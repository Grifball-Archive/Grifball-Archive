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Standings" sheetId="2" r:id="rId5"/>
    <sheet state="visible" name="Rosters" sheetId="3" r:id="rId6"/>
  </sheets>
  <definedNames>
    <definedName name="valuevx">#REF!</definedName>
  </definedNames>
  <calcPr/>
</workbook>
</file>

<file path=xl/sharedStrings.xml><?xml version="1.0" encoding="utf-8"?>
<sst xmlns="http://schemas.openxmlformats.org/spreadsheetml/2006/main" count="116" uniqueCount="108">
  <si>
    <t>AGLA SL20 Reach Schedule</t>
  </si>
  <si>
    <t>Sunday</t>
  </si>
  <si>
    <t>Monday</t>
  </si>
  <si>
    <t>Tuesday</t>
  </si>
  <si>
    <t>Wednesday</t>
  </si>
  <si>
    <t>Thursday</t>
  </si>
  <si>
    <t>Friday</t>
  </si>
  <si>
    <t>Saturday</t>
  </si>
  <si>
    <t xml:space="preserve"> </t>
  </si>
  <si>
    <t>*8pm: 2 Hype Crew (0) @ No Way Out (5)</t>
  </si>
  <si>
    <t>8:30pm: No Way Out (5) @ Rule #76 (3)</t>
  </si>
  <si>
    <t>*9pm: Power Outage (2) @ Junkyard Dogs (5)</t>
  </si>
  <si>
    <t>*8pm: Zero Gravity (5) @ Oblivion (4)</t>
  </si>
  <si>
    <t>9pm: Oblivion (3) @ Power Outage (5)</t>
  </si>
  <si>
    <t>9:30 pm: Gaming So Hard (5) @ 2 Hype Crew (2)</t>
  </si>
  <si>
    <t>9:30 pm: Gaming So Hard @ Rule #76</t>
  </si>
  <si>
    <t>*8pm: Junkyard Dogs (2) @ No Way Out (5)</t>
  </si>
  <si>
    <t>8pm: Oblivion @ 
2 Hype Crew</t>
  </si>
  <si>
    <t>8pm: No Way Out @ Oblivion</t>
  </si>
  <si>
    <t>9pm: Power Outage @ 2 Hype Crew</t>
  </si>
  <si>
    <t>8:30pm: Rule #76 @ 
Zero Gravity</t>
  </si>
  <si>
    <t>9pm: Rule #76 @ Power Outage</t>
  </si>
  <si>
    <t>*9:30 pm: Zero Gravity (5) @ Gaming So Hard (2)</t>
  </si>
  <si>
    <t>*9pm: Junkyard Dogs (2) @ Gaming So Hard (5)</t>
  </si>
  <si>
    <t>*7:30pm: 2 Hype Crew (1) @ 
Zero Gravity (5)</t>
  </si>
  <si>
    <t>7:30pm: Rule #76 @ 
Junkyard Dogs</t>
  </si>
  <si>
    <t>7:30pm: 2 Hype Crew @ 
Junkyard Dogs</t>
  </si>
  <si>
    <t>9:30pm: No Way Out (5) @ Gaming So Hard (0)</t>
  </si>
  <si>
    <t>8:30pm: Oblivion @ Rule #76</t>
  </si>
  <si>
    <t>9pm: Power Outage (1) @ Zero Gravity (5)</t>
  </si>
  <si>
    <t>9:30pm: Gaming so Hard @ Power Outage</t>
  </si>
  <si>
    <t>8pm: Junkyard Dogs @ Oblivion</t>
  </si>
  <si>
    <t>8pm: 2 Hype Crew vs. Rule #76</t>
  </si>
  <si>
    <t>8pm: Junkyard Dogs vs. Zero Gravity</t>
  </si>
  <si>
    <t>9pm: Power Outage vs. No Way Out</t>
  </si>
  <si>
    <t>9:30pm: Zero Gravity @ No Way Out</t>
  </si>
  <si>
    <t>9:30pm: Oblivion vs. Gaming So Hard</t>
  </si>
  <si>
    <t>Notes:</t>
  </si>
  <si>
    <t>© 2012-2019 by Vertex42.com. Free to print.</t>
  </si>
  <si>
    <t>AGLA SL20 Console Circuit: Reach Standings</t>
  </si>
  <si>
    <t>Team</t>
  </si>
  <si>
    <t>Wins</t>
  </si>
  <si>
    <t>Losses</t>
  </si>
  <si>
    <t>Goals For</t>
  </si>
  <si>
    <t>Goals Against</t>
  </si>
  <si>
    <t>Goal Efficiency</t>
  </si>
  <si>
    <t>No Way Out</t>
  </si>
  <si>
    <t>Zero Gravity</t>
  </si>
  <si>
    <t>Gaming So Hard</t>
  </si>
  <si>
    <t>Junkyard Dogs</t>
  </si>
  <si>
    <t>Power Outage</t>
  </si>
  <si>
    <t>2 Hypre Crew</t>
  </si>
  <si>
    <t>Rule #76</t>
  </si>
  <si>
    <t>Oblivion</t>
  </si>
  <si>
    <t>Note: Teams above the green line will make playoffs</t>
  </si>
  <si>
    <t>Captain</t>
  </si>
  <si>
    <t>Player 1</t>
  </si>
  <si>
    <t>Player 2</t>
  </si>
  <si>
    <t>Player 3</t>
  </si>
  <si>
    <t>Player 4</t>
  </si>
  <si>
    <t>Player 5</t>
  </si>
  <si>
    <t>Grunt Padre</t>
  </si>
  <si>
    <t>Frenzh</t>
  </si>
  <si>
    <t>MsWolv3rine</t>
  </si>
  <si>
    <t>TcT J Bomb</t>
  </si>
  <si>
    <t>EllisGotMyPills</t>
  </si>
  <si>
    <t>I Slenderfisk I</t>
  </si>
  <si>
    <t>Ire Paroxysm (Hide)</t>
  </si>
  <si>
    <t>oDhmon</t>
  </si>
  <si>
    <t>a man canon</t>
  </si>
  <si>
    <t>SIMQ</t>
  </si>
  <si>
    <t>Angel9001</t>
  </si>
  <si>
    <t>l Copilot l (MvRetrograder)</t>
  </si>
  <si>
    <t>Elementary</t>
  </si>
  <si>
    <t>Digital Pain</t>
  </si>
  <si>
    <t>Priest XYZ</t>
  </si>
  <si>
    <t>Its Rainin MenZ</t>
  </si>
  <si>
    <t>Reyas</t>
  </si>
  <si>
    <t>CaptainSev004</t>
  </si>
  <si>
    <t>Activehate</t>
  </si>
  <si>
    <t>Myst the Cold</t>
  </si>
  <si>
    <t>El Diablo</t>
  </si>
  <si>
    <t>nkot</t>
  </si>
  <si>
    <t>juc</t>
  </si>
  <si>
    <t>Revengeinthesky</t>
  </si>
  <si>
    <t>Enfright</t>
  </si>
  <si>
    <t>xDreaded Knight (Jiggly Puffs)</t>
  </si>
  <si>
    <t>KDSkill</t>
  </si>
  <si>
    <t>Hells Angel cx</t>
  </si>
  <si>
    <t>Cavalier IV</t>
  </si>
  <si>
    <t>2 Hype Crew</t>
  </si>
  <si>
    <t>WreckinNerds</t>
  </si>
  <si>
    <t>Gigglingreaper</t>
  </si>
  <si>
    <t>MuNgO PuNgO</t>
  </si>
  <si>
    <t>Trespa5s</t>
  </si>
  <si>
    <t>Scullen75</t>
  </si>
  <si>
    <t>The Eastbrook</t>
  </si>
  <si>
    <t>IceyTanker</t>
  </si>
  <si>
    <t>Skiyttles</t>
  </si>
  <si>
    <t>xDevilz Reaper</t>
  </si>
  <si>
    <t>xStarBlade</t>
  </si>
  <si>
    <t>Rage More Nerd</t>
  </si>
  <si>
    <t>MysticalNovice</t>
  </si>
  <si>
    <t>nagwas</t>
  </si>
  <si>
    <t>RECEPTOR 17</t>
  </si>
  <si>
    <t>Gamertag</t>
  </si>
  <si>
    <t>Regular Season Restrictions</t>
  </si>
  <si>
    <t>Playoff Restrictions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</si>
</sst>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</font>
    <font>
      <b/>
      <sz val="14.0"/>
      <color rgb="FF000000"/>
    </font>
    <font>
      <sz val="8.0"/>
      <color rgb="FF000000"/>
    </font>
    <font>
      <sz val="42.0"/>
      <color rgb="FF273359"/>
    </font>
    <font/>
    <font>
      <b/>
      <sz val="12.0"/>
      <color rgb="FFFFFFFF"/>
    </font>
    <font>
      <b/>
      <sz val="12.0"/>
      <color rgb="FF000000"/>
    </font>
    <font>
      <sz val="8.0"/>
      <color rgb="FF000000"/>
      <name val="Arial Narrow"/>
    </font>
    <font>
      <sz val="12.0"/>
      <color rgb="FF000000"/>
      <name val="Times New Roman"/>
    </font>
    <font>
      <sz val="12.0"/>
      <name val="Times New Roman"/>
    </font>
    <font>
      <b/>
      <sz val="10.0"/>
      <color rgb="FF000000"/>
      <name val="Tahoma"/>
    </font>
    <font>
      <sz val="10.0"/>
      <color rgb="FF000000"/>
      <name val="Tahoma"/>
    </font>
    <font>
      <sz val="8.0"/>
      <color rgb="FF000000"/>
      <name val="Tahoma"/>
    </font>
    <font>
      <sz val="8.0"/>
      <color rgb="FF999999"/>
      <name val="Tahoma"/>
    </font>
    <font>
      <u/>
      <sz val="9.0"/>
      <color rgb="FF1155CC"/>
      <name val="Arial"/>
    </font>
    <font>
      <sz val="8.0"/>
    </font>
    <font>
      <sz val="8.0"/>
      <color rgb="FF969696"/>
    </font>
    <font>
      <sz val="18.0"/>
    </font>
    <font>
      <sz val="12.0"/>
    </font>
    <font>
      <b/>
    </font>
    <font>
      <b/>
      <name val="Arial"/>
    </font>
    <font>
      <b/>
      <sz val="12.0"/>
      <name val="Arial"/>
    </font>
    <font>
      <sz val="12.0"/>
      <name val="Arial"/>
    </font>
    <font>
      <sz val="12.0"/>
      <color rgb="FF000000"/>
      <name val="Arial"/>
    </font>
    <font>
      <strike/>
      <sz val="12.0"/>
      <color rgb="FFFF0000"/>
      <name val="Arial"/>
    </font>
    <font>
      <name val="Arial"/>
    </font>
  </fonts>
  <fills count="10">
    <fill>
      <patternFill patternType="none"/>
    </fill>
    <fill>
      <patternFill patternType="lightGray"/>
    </fill>
    <fill>
      <patternFill patternType="solid">
        <fgColor rgb="FF273359"/>
        <bgColor rgb="FF273359"/>
      </patternFill>
    </fill>
    <fill>
      <patternFill patternType="solid">
        <fgColor rgb="FFE4E8F3"/>
        <bgColor rgb="FFE4E8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center" wrapText="0"/>
    </xf>
    <xf borderId="3" fillId="0" fontId="4" numFmtId="0" xfId="0" applyAlignment="1" applyBorder="1" applyFont="1">
      <alignment shrinkToFit="0" wrapText="1"/>
    </xf>
    <xf borderId="3" fillId="2" fontId="5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shrinkToFit="0" wrapText="1"/>
    </xf>
    <xf borderId="5" fillId="3" fontId="6" numFmtId="0" xfId="0" applyAlignment="1" applyBorder="1" applyFill="1" applyFont="1">
      <alignment horizontal="center" readingOrder="0" shrinkToFit="0" vertical="center" wrapText="0"/>
    </xf>
    <xf borderId="6" fillId="3" fontId="7" numFmtId="0" xfId="0" applyAlignment="1" applyBorder="1" applyFont="1">
      <alignment horizontal="left" shrinkToFit="0" vertical="center" wrapText="0"/>
    </xf>
    <xf borderId="5" fillId="0" fontId="6" numFmtId="0" xfId="0" applyAlignment="1" applyBorder="1" applyFont="1">
      <alignment horizontal="center" readingOrder="0" shrinkToFit="0" vertical="center" wrapText="0"/>
    </xf>
    <xf borderId="6" fillId="0" fontId="7" numFmtId="0" xfId="0" applyAlignment="1" applyBorder="1" applyFont="1">
      <alignment horizontal="left" shrinkToFit="0" vertical="center" wrapText="0"/>
    </xf>
    <xf borderId="7" fillId="3" fontId="7" numFmtId="0" xfId="0" applyAlignment="1" applyBorder="1" applyFont="1">
      <alignment horizontal="left" shrinkToFit="0" vertical="top" wrapText="0"/>
    </xf>
    <xf borderId="8" fillId="0" fontId="4" numFmtId="0" xfId="0" applyAlignment="1" applyBorder="1" applyFont="1">
      <alignment shrinkToFit="0" wrapText="1"/>
    </xf>
    <xf borderId="7" fillId="4" fontId="8" numFmtId="0" xfId="0" applyAlignment="1" applyBorder="1" applyFill="1" applyFont="1">
      <alignment horizontal="left" readingOrder="0" shrinkToFit="0" vertical="top" wrapText="1"/>
    </xf>
    <xf borderId="7" fillId="3" fontId="2" numFmtId="0" xfId="0" applyAlignment="1" applyBorder="1" applyFont="1">
      <alignment horizontal="left" shrinkToFit="0" vertical="top" wrapText="0"/>
    </xf>
    <xf borderId="7" fillId="0" fontId="2" numFmtId="0" xfId="0" applyAlignment="1" applyBorder="1" applyFont="1">
      <alignment horizontal="left" shrinkToFit="0" vertical="top" wrapText="0"/>
    </xf>
    <xf borderId="7" fillId="4" fontId="9" numFmtId="0" xfId="0" applyAlignment="1" applyBorder="1" applyFont="1">
      <alignment horizontal="left" readingOrder="0" shrinkToFit="0" vertical="top" wrapText="1"/>
    </xf>
    <xf borderId="7" fillId="5" fontId="8" numFmtId="0" xfId="0" applyAlignment="1" applyBorder="1" applyFill="1" applyFont="1">
      <alignment horizontal="left" readingOrder="0" shrinkToFit="0" vertical="top" wrapText="1"/>
    </xf>
    <xf borderId="9" fillId="3" fontId="2" numFmtId="0" xfId="0" applyAlignment="1" applyBorder="1" applyFont="1">
      <alignment horizontal="left" shrinkToFit="0" vertical="top" wrapText="0"/>
    </xf>
    <xf borderId="10" fillId="0" fontId="4" numFmtId="0" xfId="0" applyAlignment="1" applyBorder="1" applyFont="1">
      <alignment shrinkToFit="0" wrapText="1"/>
    </xf>
    <xf borderId="9" fillId="0" fontId="2" numFmtId="0" xfId="0" applyAlignment="1" applyBorder="1" applyFont="1">
      <alignment horizontal="left" shrinkToFit="0" vertical="top" wrapText="0"/>
    </xf>
    <xf borderId="7" fillId="6" fontId="8" numFmtId="0" xfId="0" applyAlignment="1" applyBorder="1" applyFill="1" applyFont="1">
      <alignment horizontal="left" readingOrder="0" shrinkToFit="0" vertical="top" wrapText="1"/>
    </xf>
    <xf borderId="7" fillId="6" fontId="9" numFmtId="0" xfId="0" applyAlignment="1" applyBorder="1" applyFont="1">
      <alignment horizontal="left" readingOrder="0" shrinkToFit="0" vertical="top" wrapText="1"/>
    </xf>
    <xf borderId="7" fillId="0" fontId="7" numFmtId="0" xfId="0" applyAlignment="1" applyBorder="1" applyFont="1">
      <alignment horizontal="left" shrinkToFit="0" vertical="top" wrapText="0"/>
    </xf>
    <xf borderId="7" fillId="0" fontId="4" numFmtId="0" xfId="0" applyAlignment="1" applyBorder="1" applyFont="1">
      <alignment shrinkToFit="0" wrapText="1"/>
    </xf>
    <xf borderId="7" fillId="7" fontId="8" numFmtId="0" xfId="0" applyAlignment="1" applyBorder="1" applyFill="1" applyFont="1">
      <alignment horizontal="left" readingOrder="0" shrinkToFit="0" vertical="top" wrapText="1"/>
    </xf>
    <xf borderId="7" fillId="0" fontId="8" numFmtId="0" xfId="0" applyAlignment="1" applyBorder="1" applyFont="1">
      <alignment horizontal="left" readingOrder="0" shrinkToFit="0" vertical="top" wrapText="1"/>
    </xf>
    <xf borderId="5" fillId="0" fontId="10" numFmtId="0" xfId="0" applyAlignment="1" applyBorder="1" applyFont="1">
      <alignment horizontal="left" readingOrder="0" shrinkToFit="0" vertical="top" wrapText="1"/>
    </xf>
    <xf borderId="11" fillId="0" fontId="4" numFmtId="0" xfId="0" applyAlignment="1" applyBorder="1" applyFont="1">
      <alignment shrinkToFit="0" wrapText="1"/>
    </xf>
    <xf borderId="11" fillId="0" fontId="11" numFmtId="0" xfId="0" applyAlignment="1" applyBorder="1" applyFont="1">
      <alignment horizontal="left" shrinkToFit="0" vertical="bottom" wrapText="1"/>
    </xf>
    <xf borderId="6" fillId="0" fontId="4" numFmtId="0" xfId="0" applyAlignment="1" applyBorder="1" applyFont="1">
      <alignment shrinkToFit="0" wrapText="1"/>
    </xf>
    <xf borderId="7" fillId="0" fontId="12" numFmtId="0" xfId="0" applyAlignment="1" applyBorder="1" applyFont="1">
      <alignment shrinkToFit="0" wrapText="1"/>
    </xf>
    <xf borderId="0" fillId="0" fontId="12" numFmtId="0" xfId="0" applyAlignment="1" applyFont="1">
      <alignment horizontal="left" shrinkToFit="0" vertical="bottom" wrapText="1"/>
    </xf>
    <xf borderId="1" fillId="0" fontId="13" numFmtId="0" xfId="0" applyAlignment="1" applyBorder="1" applyFont="1">
      <alignment readingOrder="0" shrinkToFit="0" vertical="center" wrapText="0"/>
    </xf>
    <xf borderId="1" fillId="0" fontId="14" numFmtId="0" xfId="0" applyAlignment="1" applyBorder="1" applyFont="1">
      <alignment horizontal="right" shrinkToFit="0" vertical="center" wrapText="1"/>
    </xf>
    <xf borderId="11" fillId="8" fontId="2" numFmtId="14" xfId="0" applyAlignment="1" applyBorder="1" applyFill="1" applyFont="1" applyNumberFormat="1">
      <alignment horizontal="left" shrinkToFit="0" vertical="top" wrapText="0"/>
    </xf>
    <xf borderId="11" fillId="8" fontId="2" numFmtId="0" xfId="0" applyAlignment="1" applyBorder="1" applyFont="1">
      <alignment horizontal="left" shrinkToFit="0" vertical="top" wrapText="0"/>
    </xf>
    <xf borderId="11" fillId="8" fontId="15" numFmtId="0" xfId="0" applyAlignment="1" applyBorder="1" applyFont="1">
      <alignment shrinkToFit="0" wrapText="1"/>
    </xf>
    <xf borderId="11" fillId="8" fontId="12" numFmtId="0" xfId="0" applyAlignment="1" applyBorder="1" applyFont="1">
      <alignment shrinkToFit="0" vertical="bottom" wrapText="0"/>
    </xf>
    <xf borderId="11" fillId="8" fontId="12" numFmtId="0" xfId="0" applyAlignment="1" applyBorder="1" applyFont="1">
      <alignment horizontal="left" shrinkToFit="0" vertical="bottom" wrapText="1"/>
    </xf>
    <xf borderId="11" fillId="8" fontId="16" numFmtId="0" xfId="0" applyAlignment="1" applyBorder="1" applyFont="1">
      <alignment horizontal="right" shrinkToFit="0" vertical="bottom" wrapText="1"/>
    </xf>
    <xf borderId="0" fillId="0" fontId="17" numFmtId="0" xfId="0" applyAlignment="1" applyFont="1">
      <alignment horizontal="center" readingOrder="0" shrinkToFit="0" vertical="center" wrapText="1"/>
    </xf>
    <xf borderId="3" fillId="0" fontId="18" numFmtId="0" xfId="0" applyAlignment="1" applyBorder="1" applyFont="1">
      <alignment readingOrder="0" shrinkToFit="0" wrapText="1"/>
    </xf>
    <xf borderId="0" fillId="0" fontId="18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9" fontId="4" numFmtId="0" xfId="0" applyAlignment="1" applyFill="1" applyFont="1">
      <alignment shrinkToFit="0" wrapText="1"/>
    </xf>
    <xf borderId="1" fillId="0" fontId="18" numFmtId="0" xfId="0" applyAlignment="1" applyBorder="1" applyFont="1">
      <alignment readingOrder="0" shrinkToFit="0" wrapText="1"/>
    </xf>
    <xf borderId="0" fillId="0" fontId="19" numFmtId="0" xfId="0" applyAlignment="1" applyFont="1">
      <alignment readingOrder="0" shrinkToFit="0" wrapText="1"/>
    </xf>
    <xf borderId="0" fillId="0" fontId="18" numFmtId="0" xfId="0" applyAlignment="1" applyFont="1">
      <alignment shrinkToFit="0" wrapText="1"/>
    </xf>
    <xf borderId="3" fillId="0" fontId="20" numFmtId="0" xfId="0" applyAlignment="1" applyBorder="1" applyFont="1">
      <alignment shrinkToFit="0" vertical="bottom" wrapText="1"/>
    </xf>
    <xf borderId="0" fillId="0" fontId="21" numFmtId="0" xfId="0" applyAlignment="1" applyFont="1">
      <alignment shrinkToFit="0" vertical="bottom" wrapText="1"/>
    </xf>
    <xf borderId="0" fillId="0" fontId="22" numFmtId="0" xfId="0" applyAlignment="1" applyFont="1">
      <alignment shrinkToFit="0" vertical="bottom" wrapText="1"/>
    </xf>
    <xf borderId="0" fillId="0" fontId="23" numFmtId="0" xfId="0" applyAlignment="1" applyFont="1">
      <alignment shrinkToFit="0" vertical="bottom" wrapText="1"/>
    </xf>
    <xf borderId="0" fillId="8" fontId="23" numFmtId="0" xfId="0" applyAlignment="1" applyFont="1">
      <alignment horizontal="left" readingOrder="0" shrinkToFit="0" wrapText="1"/>
    </xf>
    <xf borderId="0" fillId="0" fontId="24" numFmtId="0" xfId="0" applyAlignment="1" applyFont="1">
      <alignment shrinkToFit="0" vertical="bottom" wrapText="1"/>
    </xf>
    <xf borderId="0" fillId="0" fontId="24" numFmtId="0" xfId="0" applyAlignment="1" applyFont="1">
      <alignment readingOrder="0" shrinkToFit="0" vertical="bottom" wrapText="1"/>
    </xf>
    <xf borderId="0" fillId="0" fontId="25" numFmtId="0" xfId="0" applyAlignment="1" applyFont="1">
      <alignment shrinkToFit="0" vertical="bottom" wrapText="1"/>
    </xf>
    <xf borderId="1" fillId="0" fontId="21" numFmtId="0" xfId="0" applyAlignment="1" applyBorder="1" applyFont="1">
      <alignment shrinkToFit="0" vertical="bottom" wrapText="1"/>
    </xf>
    <xf borderId="1" fillId="0" fontId="22" numFmtId="0" xfId="0" applyAlignment="1" applyBorder="1" applyFont="1">
      <alignment shrinkToFit="0" vertical="bottom" wrapText="1"/>
    </xf>
    <xf borderId="1" fillId="0" fontId="23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3.38"/>
    <col customWidth="1" min="3" max="3" width="3.88"/>
    <col customWidth="1" min="4" max="4" width="13.38"/>
    <col customWidth="1" min="5" max="5" width="3.88"/>
    <col customWidth="1" min="6" max="6" width="13.38"/>
    <col customWidth="1" min="7" max="7" width="3.88"/>
    <col customWidth="1" min="8" max="8" width="13.38"/>
    <col customWidth="1" min="9" max="9" width="3.88"/>
    <col customWidth="1" min="10" max="10" width="13.38"/>
    <col customWidth="1" min="11" max="11" width="3.88"/>
    <col customWidth="1" min="12" max="12" width="13.38"/>
    <col customWidth="1" min="13" max="13" width="3.88"/>
    <col customWidth="1" min="14" max="14" width="13.38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51.75" customHeight="1">
      <c r="A3" s="3" t="s">
        <v>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15.0" customHeight="1">
      <c r="A4" s="5" t="s">
        <v>1</v>
      </c>
      <c r="B4" s="6"/>
      <c r="C4" s="7" t="s">
        <v>2</v>
      </c>
      <c r="D4" s="6"/>
      <c r="E4" s="7" t="s">
        <v>3</v>
      </c>
      <c r="F4" s="6"/>
      <c r="G4" s="7" t="s">
        <v>4</v>
      </c>
      <c r="H4" s="6"/>
      <c r="I4" s="7" t="s">
        <v>5</v>
      </c>
      <c r="J4" s="6"/>
      <c r="K4" s="7" t="s">
        <v>6</v>
      </c>
      <c r="L4" s="6"/>
      <c r="M4" s="7" t="s">
        <v>7</v>
      </c>
      <c r="N4" s="8"/>
    </row>
    <row r="5" ht="15.0" customHeight="1">
      <c r="A5" s="9">
        <v>17.0</v>
      </c>
      <c r="B5" s="10"/>
      <c r="C5" s="11">
        <v>18.0</v>
      </c>
      <c r="D5" s="12" t="s">
        <v>8</v>
      </c>
      <c r="E5" s="11">
        <v>19.0</v>
      </c>
      <c r="F5" s="12"/>
      <c r="G5" s="11">
        <v>20.0</v>
      </c>
      <c r="H5" s="12"/>
      <c r="I5" s="11">
        <v>21.0</v>
      </c>
      <c r="J5" s="12"/>
      <c r="K5" s="11">
        <v>22.0</v>
      </c>
      <c r="L5" s="12"/>
      <c r="M5" s="9">
        <v>23.0</v>
      </c>
      <c r="N5" s="10"/>
    </row>
    <row r="6">
      <c r="A6" s="13"/>
      <c r="B6" s="14"/>
      <c r="E6" s="15" t="s">
        <v>9</v>
      </c>
      <c r="F6" s="14"/>
      <c r="I6" s="15" t="s">
        <v>10</v>
      </c>
      <c r="J6" s="14"/>
      <c r="K6" s="15" t="s">
        <v>11</v>
      </c>
      <c r="L6" s="14"/>
      <c r="M6" s="13"/>
      <c r="N6" s="14"/>
    </row>
    <row r="7">
      <c r="A7" s="16"/>
      <c r="B7" s="14"/>
      <c r="C7" s="17"/>
      <c r="D7" s="14"/>
      <c r="E7" s="17"/>
      <c r="F7" s="14"/>
      <c r="G7" s="17"/>
      <c r="H7" s="14"/>
      <c r="I7" s="17"/>
      <c r="J7" s="14"/>
      <c r="M7" s="16"/>
      <c r="N7" s="14"/>
    </row>
    <row r="8">
      <c r="A8" s="16"/>
      <c r="B8" s="14"/>
      <c r="C8" s="17"/>
      <c r="D8" s="14"/>
      <c r="E8" s="15" t="s">
        <v>12</v>
      </c>
      <c r="F8" s="14"/>
      <c r="G8" s="18" t="s">
        <v>13</v>
      </c>
      <c r="H8" s="14"/>
      <c r="I8" s="15" t="s">
        <v>14</v>
      </c>
      <c r="J8" s="14"/>
      <c r="K8" s="19" t="s">
        <v>15</v>
      </c>
      <c r="L8" s="14"/>
      <c r="M8" s="16"/>
      <c r="N8" s="14"/>
    </row>
    <row r="9" ht="28.5" customHeight="1">
      <c r="A9" s="20"/>
      <c r="B9" s="21"/>
      <c r="C9" s="22"/>
      <c r="D9" s="21"/>
      <c r="E9" s="22"/>
      <c r="F9" s="21"/>
      <c r="G9" s="22"/>
      <c r="H9" s="21"/>
      <c r="I9" s="22"/>
      <c r="J9" s="21"/>
      <c r="K9" s="22"/>
      <c r="L9" s="21"/>
      <c r="M9" s="20"/>
      <c r="N9" s="21"/>
    </row>
    <row r="10" ht="15.0" customHeight="1">
      <c r="A10" s="9">
        <v>24.0</v>
      </c>
      <c r="B10" s="10"/>
      <c r="C10" s="11">
        <v>25.0</v>
      </c>
      <c r="D10" s="12"/>
      <c r="E10" s="11">
        <v>26.0</v>
      </c>
      <c r="F10" s="12"/>
      <c r="G10" s="11">
        <v>27.0</v>
      </c>
      <c r="H10" s="12"/>
      <c r="I10" s="11">
        <v>28.0</v>
      </c>
      <c r="J10" s="12"/>
      <c r="K10" s="11">
        <v>29.0</v>
      </c>
      <c r="L10" s="12"/>
      <c r="M10" s="9">
        <v>30.0</v>
      </c>
      <c r="N10" s="10"/>
    </row>
    <row r="11">
      <c r="A11" s="13"/>
      <c r="B11" s="14"/>
      <c r="C11" s="15" t="s">
        <v>16</v>
      </c>
      <c r="D11" s="14"/>
      <c r="E11" s="19" t="s">
        <v>17</v>
      </c>
      <c r="F11" s="14"/>
      <c r="G11" s="19" t="s">
        <v>18</v>
      </c>
      <c r="H11" s="14"/>
      <c r="I11" s="23" t="s">
        <v>19</v>
      </c>
      <c r="J11" s="14"/>
      <c r="K11" s="19" t="s">
        <v>20</v>
      </c>
      <c r="L11" s="14"/>
      <c r="M11" s="13"/>
      <c r="N11" s="14"/>
    </row>
    <row r="12">
      <c r="A12" s="16"/>
      <c r="B12" s="14"/>
      <c r="C12" s="17"/>
      <c r="D12" s="14"/>
      <c r="E12" s="17"/>
      <c r="F12" s="14"/>
      <c r="G12" s="17"/>
      <c r="H12" s="14"/>
      <c r="I12" s="17"/>
      <c r="J12" s="14"/>
      <c r="K12" s="17"/>
      <c r="L12" s="14"/>
      <c r="M12" s="16"/>
      <c r="N12" s="14"/>
    </row>
    <row r="13">
      <c r="A13" s="16"/>
      <c r="B13" s="14"/>
      <c r="C13" s="24" t="s">
        <v>21</v>
      </c>
      <c r="D13" s="14"/>
      <c r="G13" s="17"/>
      <c r="H13" s="14"/>
      <c r="I13" s="15" t="s">
        <v>22</v>
      </c>
      <c r="J13" s="14"/>
      <c r="K13" s="15" t="s">
        <v>23</v>
      </c>
      <c r="L13" s="14"/>
      <c r="M13" s="16"/>
      <c r="N13" s="14"/>
    </row>
    <row r="14" ht="27.75" customHeight="1">
      <c r="A14" s="20"/>
      <c r="B14" s="21"/>
      <c r="C14" s="22"/>
      <c r="D14" s="21"/>
      <c r="E14" s="22"/>
      <c r="F14" s="21"/>
      <c r="G14" s="22"/>
      <c r="H14" s="21"/>
      <c r="I14" s="22"/>
      <c r="J14" s="21"/>
      <c r="K14" s="22"/>
      <c r="L14" s="21"/>
      <c r="M14" s="20"/>
      <c r="N14" s="21"/>
    </row>
    <row r="15" ht="15.0" customHeight="1">
      <c r="A15" s="9">
        <v>31.0</v>
      </c>
      <c r="B15" s="10"/>
      <c r="C15" s="11">
        <v>1.0</v>
      </c>
      <c r="D15" s="12"/>
      <c r="E15" s="11">
        <v>2.0</v>
      </c>
      <c r="F15" s="12"/>
      <c r="G15" s="11">
        <v>3.0</v>
      </c>
      <c r="H15" s="12"/>
      <c r="I15" s="11">
        <v>4.0</v>
      </c>
      <c r="J15" s="12"/>
      <c r="K15" s="11">
        <v>5.0</v>
      </c>
      <c r="L15" s="12"/>
      <c r="M15" s="9">
        <v>6.0</v>
      </c>
      <c r="N15" s="10"/>
    </row>
    <row r="16">
      <c r="A16" s="13"/>
      <c r="B16" s="14"/>
      <c r="C16" s="25"/>
      <c r="D16" s="14"/>
      <c r="E16" s="15" t="s">
        <v>24</v>
      </c>
      <c r="F16" s="14"/>
      <c r="G16" s="19" t="s">
        <v>25</v>
      </c>
      <c r="H16" s="14"/>
      <c r="I16" s="23" t="s">
        <v>26</v>
      </c>
      <c r="J16" s="14"/>
      <c r="K16" s="25"/>
      <c r="L16" s="14"/>
      <c r="M16" s="13"/>
      <c r="N16" s="14"/>
    </row>
    <row r="17">
      <c r="A17" s="16"/>
      <c r="B17" s="14"/>
      <c r="C17" s="17"/>
      <c r="D17" s="14"/>
      <c r="G17" s="26"/>
      <c r="I17" s="17"/>
      <c r="J17" s="14"/>
      <c r="M17" s="16"/>
      <c r="N17" s="14"/>
    </row>
    <row r="18">
      <c r="A18" s="16"/>
      <c r="B18" s="14"/>
      <c r="C18" s="15" t="s">
        <v>27</v>
      </c>
      <c r="D18" s="14"/>
      <c r="E18" s="19" t="s">
        <v>28</v>
      </c>
      <c r="F18" s="14"/>
      <c r="G18" s="17"/>
      <c r="H18" s="14"/>
      <c r="I18" s="15" t="s">
        <v>29</v>
      </c>
      <c r="J18" s="14"/>
      <c r="K18" s="23" t="s">
        <v>30</v>
      </c>
      <c r="L18" s="14"/>
      <c r="M18" s="16"/>
      <c r="N18" s="14"/>
    </row>
    <row r="19" ht="24.75" customHeight="1">
      <c r="A19" s="20"/>
      <c r="B19" s="21"/>
      <c r="C19" s="22"/>
      <c r="D19" s="21"/>
      <c r="E19" s="22"/>
      <c r="F19" s="21"/>
      <c r="G19" s="22"/>
      <c r="H19" s="21"/>
      <c r="I19" s="22"/>
      <c r="J19" s="21"/>
      <c r="K19" s="22"/>
      <c r="L19" s="21"/>
      <c r="M19" s="20"/>
      <c r="N19" s="21"/>
    </row>
    <row r="20" ht="15.0" customHeight="1">
      <c r="A20" s="9">
        <v>7.0</v>
      </c>
      <c r="B20" s="10"/>
      <c r="C20" s="11">
        <v>8.0</v>
      </c>
      <c r="D20" s="12"/>
      <c r="E20" s="11">
        <v>9.0</v>
      </c>
      <c r="F20" s="12"/>
      <c r="G20" s="11">
        <v>10.0</v>
      </c>
      <c r="H20" s="12"/>
      <c r="I20" s="11">
        <v>11.0</v>
      </c>
      <c r="J20" s="12"/>
      <c r="K20" s="11">
        <v>12.0</v>
      </c>
      <c r="L20" s="12"/>
      <c r="M20" s="9">
        <v>13.0</v>
      </c>
      <c r="N20" s="10"/>
    </row>
    <row r="21">
      <c r="A21" s="16"/>
      <c r="B21" s="14"/>
      <c r="C21" s="25"/>
      <c r="D21" s="14"/>
      <c r="E21" s="25"/>
      <c r="F21" s="14"/>
      <c r="G21" s="19" t="s">
        <v>31</v>
      </c>
      <c r="H21" s="14"/>
      <c r="I21" s="19" t="s">
        <v>32</v>
      </c>
      <c r="J21" s="14"/>
      <c r="K21" s="27" t="s">
        <v>33</v>
      </c>
      <c r="L21" s="14"/>
      <c r="M21" s="16"/>
      <c r="N21" s="14"/>
    </row>
    <row r="22">
      <c r="A22" s="16"/>
      <c r="B22" s="14"/>
      <c r="E22" s="27" t="s">
        <v>34</v>
      </c>
      <c r="F22" s="14"/>
      <c r="I22" s="26"/>
      <c r="J22" s="14"/>
      <c r="M22" s="16"/>
      <c r="N22" s="14"/>
    </row>
    <row r="23">
      <c r="A23" s="16"/>
      <c r="B23" s="14"/>
      <c r="C23" s="28" t="s">
        <v>35</v>
      </c>
      <c r="D23" s="14"/>
      <c r="G23" s="26"/>
      <c r="H23" s="14"/>
      <c r="I23" s="19" t="s">
        <v>36</v>
      </c>
      <c r="J23" s="14"/>
      <c r="K23" s="26"/>
      <c r="M23" s="16"/>
      <c r="N23" s="14"/>
    </row>
    <row r="24" ht="25.5" customHeight="1">
      <c r="A24" s="20"/>
      <c r="B24" s="21"/>
      <c r="C24" s="22"/>
      <c r="D24" s="21"/>
      <c r="E24" s="22"/>
      <c r="F24" s="21"/>
      <c r="G24" s="22"/>
      <c r="H24" s="21"/>
      <c r="K24" s="22"/>
      <c r="L24" s="21"/>
      <c r="M24" s="20"/>
      <c r="N24" s="21"/>
    </row>
    <row r="25" ht="15.0" customHeight="1">
      <c r="A25" s="9">
        <v>14.0</v>
      </c>
      <c r="B25" s="10"/>
      <c r="C25" s="11">
        <v>15.0</v>
      </c>
      <c r="D25" s="12"/>
      <c r="E25" s="11">
        <v>16.0</v>
      </c>
      <c r="F25" s="12"/>
      <c r="G25" s="11">
        <v>17.0</v>
      </c>
      <c r="H25" s="12"/>
      <c r="I25" s="11">
        <v>18.0</v>
      </c>
      <c r="J25" s="12"/>
      <c r="K25" s="11">
        <v>19.0</v>
      </c>
      <c r="L25" s="12"/>
      <c r="M25" s="9">
        <v>20.0</v>
      </c>
      <c r="N25" s="10"/>
    </row>
    <row r="26">
      <c r="A26" s="13"/>
      <c r="B26" s="14"/>
      <c r="C26" s="25"/>
      <c r="D26" s="14"/>
      <c r="E26" s="25"/>
      <c r="F26" s="14"/>
      <c r="G26" s="25"/>
      <c r="H26" s="14"/>
      <c r="I26" s="25"/>
      <c r="J26" s="14"/>
      <c r="K26" s="25"/>
      <c r="L26" s="14"/>
      <c r="M26" s="13"/>
      <c r="N26" s="14"/>
    </row>
    <row r="27">
      <c r="A27" s="16"/>
      <c r="B27" s="14"/>
      <c r="C27" s="17"/>
      <c r="D27" s="14"/>
      <c r="E27" s="17"/>
      <c r="F27" s="14"/>
      <c r="G27" s="17"/>
      <c r="H27" s="14"/>
      <c r="I27" s="17"/>
      <c r="J27" s="14"/>
      <c r="K27" s="17"/>
      <c r="L27" s="14"/>
      <c r="M27" s="16"/>
      <c r="N27" s="14"/>
    </row>
    <row r="28">
      <c r="A28" s="16"/>
      <c r="B28" s="14"/>
      <c r="C28" s="17"/>
      <c r="D28" s="14"/>
      <c r="E28" s="17"/>
      <c r="F28" s="14"/>
      <c r="G28" s="17"/>
      <c r="H28" s="14"/>
      <c r="I28" s="17"/>
      <c r="J28" s="14"/>
      <c r="K28" s="17"/>
      <c r="L28" s="14"/>
      <c r="M28" s="16"/>
      <c r="N28" s="14"/>
    </row>
    <row r="29" ht="24.75" customHeight="1">
      <c r="A29" s="2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0"/>
      <c r="N29" s="21"/>
    </row>
    <row r="30" ht="15.0" customHeight="1">
      <c r="A30" s="9">
        <v>21.0</v>
      </c>
      <c r="B30" s="10"/>
      <c r="C30" s="11">
        <v>22.0</v>
      </c>
      <c r="D30" s="12"/>
      <c r="E30" s="29" t="s">
        <v>37</v>
      </c>
      <c r="F30" s="30"/>
      <c r="G30" s="31"/>
      <c r="H30" s="30"/>
      <c r="I30" s="30"/>
      <c r="J30" s="30"/>
      <c r="K30" s="30"/>
      <c r="L30" s="30"/>
      <c r="M30" s="30"/>
      <c r="N30" s="32"/>
    </row>
    <row r="31">
      <c r="A31" s="13"/>
      <c r="B31" s="14"/>
      <c r="C31" s="25"/>
      <c r="D31" s="14"/>
      <c r="E31" s="33"/>
      <c r="F31" s="34"/>
      <c r="N31" s="14"/>
    </row>
    <row r="32">
      <c r="A32" s="16"/>
      <c r="B32" s="14"/>
      <c r="C32" s="17"/>
      <c r="D32" s="14"/>
      <c r="E32" s="33"/>
      <c r="F32" s="34"/>
      <c r="N32" s="14"/>
    </row>
    <row r="33">
      <c r="A33" s="16"/>
      <c r="B33" s="14"/>
      <c r="C33" s="17"/>
      <c r="D33" s="14"/>
      <c r="E33" s="33"/>
      <c r="F33" s="34"/>
      <c r="N33" s="14"/>
    </row>
    <row r="34">
      <c r="A34" s="20"/>
      <c r="B34" s="21"/>
      <c r="C34" s="22"/>
      <c r="D34" s="21"/>
      <c r="E34" s="35" t="s">
        <v>38</v>
      </c>
      <c r="F34" s="4"/>
      <c r="G34" s="4"/>
      <c r="H34" s="4"/>
      <c r="I34" s="36" t="str">
        <f>HYPERLINK("https://www.vertex42.com/calendars/?utm_campaign=gs&amp;utm_source=monthly-calendar-old","Calendar Templates by Vertex42.com")</f>
        <v>Calendar Templates by Vertex42.com</v>
      </c>
      <c r="J34" s="4"/>
      <c r="K34" s="4"/>
      <c r="L34" s="4"/>
      <c r="M34" s="4"/>
      <c r="N34" s="21"/>
    </row>
    <row r="35" hidden="1">
      <c r="A35" s="37" t="str">
        <f>date(year(jan!A35),5,1)</f>
        <v>#REF!</v>
      </c>
      <c r="B35" s="30"/>
      <c r="C35" s="38"/>
      <c r="D35" s="39"/>
      <c r="E35" s="40"/>
      <c r="F35" s="41"/>
      <c r="G35" s="39"/>
      <c r="H35" s="39"/>
      <c r="I35" s="39"/>
      <c r="J35" s="39"/>
      <c r="K35" s="42"/>
      <c r="L35" s="30"/>
      <c r="M35" s="30"/>
      <c r="N35" s="30"/>
    </row>
  </sheetData>
  <mergeCells count="150">
    <mergeCell ref="A3:N3"/>
    <mergeCell ref="C4:D4"/>
    <mergeCell ref="E4:F4"/>
    <mergeCell ref="G4:H4"/>
    <mergeCell ref="I4:J4"/>
    <mergeCell ref="K4:L4"/>
    <mergeCell ref="M4:N4"/>
    <mergeCell ref="G7:H7"/>
    <mergeCell ref="I7:J7"/>
    <mergeCell ref="G8:H8"/>
    <mergeCell ref="I8:J8"/>
    <mergeCell ref="K8:L8"/>
    <mergeCell ref="M8:N8"/>
    <mergeCell ref="A4:B4"/>
    <mergeCell ref="A6:B6"/>
    <mergeCell ref="E6:F6"/>
    <mergeCell ref="I6:J6"/>
    <mergeCell ref="K6:L6"/>
    <mergeCell ref="M6:N6"/>
    <mergeCell ref="A7:B7"/>
    <mergeCell ref="M7:N7"/>
    <mergeCell ref="E9:F9"/>
    <mergeCell ref="G9:H9"/>
    <mergeCell ref="I9:J9"/>
    <mergeCell ref="K9:L9"/>
    <mergeCell ref="M9:N9"/>
    <mergeCell ref="C7:D7"/>
    <mergeCell ref="E7:F7"/>
    <mergeCell ref="A8:B8"/>
    <mergeCell ref="C8:D8"/>
    <mergeCell ref="E8:F8"/>
    <mergeCell ref="A9:B9"/>
    <mergeCell ref="C9:D9"/>
    <mergeCell ref="A11:B11"/>
    <mergeCell ref="C11:D11"/>
    <mergeCell ref="E11:F11"/>
    <mergeCell ref="G11:H11"/>
    <mergeCell ref="I11:J11"/>
    <mergeCell ref="K11:L11"/>
    <mergeCell ref="M11:N11"/>
    <mergeCell ref="A12:B12"/>
    <mergeCell ref="C12:D12"/>
    <mergeCell ref="E12:F12"/>
    <mergeCell ref="G12:H12"/>
    <mergeCell ref="I12:J12"/>
    <mergeCell ref="K12:L12"/>
    <mergeCell ref="M12:N12"/>
    <mergeCell ref="K18:L18"/>
    <mergeCell ref="M18:N18"/>
    <mergeCell ref="A17:B17"/>
    <mergeCell ref="C17:D17"/>
    <mergeCell ref="I17:J17"/>
    <mergeCell ref="M17:N17"/>
    <mergeCell ref="A18:B18"/>
    <mergeCell ref="C18:D18"/>
    <mergeCell ref="E18:F18"/>
    <mergeCell ref="G14:H14"/>
    <mergeCell ref="I14:J14"/>
    <mergeCell ref="K14:L14"/>
    <mergeCell ref="M14:N14"/>
    <mergeCell ref="A13:B13"/>
    <mergeCell ref="C13:D13"/>
    <mergeCell ref="G13:H13"/>
    <mergeCell ref="I13:J13"/>
    <mergeCell ref="K13:L13"/>
    <mergeCell ref="M13:N13"/>
    <mergeCell ref="A14:B14"/>
    <mergeCell ref="K16:L16"/>
    <mergeCell ref="M16:N16"/>
    <mergeCell ref="C14:D14"/>
    <mergeCell ref="E14:F14"/>
    <mergeCell ref="A16:B16"/>
    <mergeCell ref="C16:D16"/>
    <mergeCell ref="E16:F16"/>
    <mergeCell ref="G16:H16"/>
    <mergeCell ref="I16:J16"/>
    <mergeCell ref="G18:H18"/>
    <mergeCell ref="I18:J18"/>
    <mergeCell ref="A19:B19"/>
    <mergeCell ref="C19:D19"/>
    <mergeCell ref="E19:F19"/>
    <mergeCell ref="G19:H19"/>
    <mergeCell ref="I19:J19"/>
    <mergeCell ref="K19:L19"/>
    <mergeCell ref="M19:N19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29:B29"/>
    <mergeCell ref="C29:D29"/>
    <mergeCell ref="E29:F29"/>
    <mergeCell ref="G29:H29"/>
    <mergeCell ref="I29:J29"/>
    <mergeCell ref="K29:L29"/>
    <mergeCell ref="M29:N29"/>
    <mergeCell ref="E30:F30"/>
    <mergeCell ref="G30:N30"/>
    <mergeCell ref="A31:B31"/>
    <mergeCell ref="C31:D31"/>
    <mergeCell ref="F31:N31"/>
    <mergeCell ref="C32:D32"/>
    <mergeCell ref="F32:N32"/>
    <mergeCell ref="E21:F21"/>
    <mergeCell ref="E22:F22"/>
    <mergeCell ref="A21:B21"/>
    <mergeCell ref="C21:D21"/>
    <mergeCell ref="G21:H21"/>
    <mergeCell ref="I21:J21"/>
    <mergeCell ref="K21:L21"/>
    <mergeCell ref="M21:N21"/>
    <mergeCell ref="M22:N22"/>
    <mergeCell ref="K24:L24"/>
    <mergeCell ref="M24:N24"/>
    <mergeCell ref="A22:B22"/>
    <mergeCell ref="A23:B23"/>
    <mergeCell ref="C23:D23"/>
    <mergeCell ref="I23:J23"/>
    <mergeCell ref="M23:N23"/>
    <mergeCell ref="A24:B24"/>
    <mergeCell ref="C24:D24"/>
    <mergeCell ref="K26:L26"/>
    <mergeCell ref="M26:N26"/>
    <mergeCell ref="E24:F24"/>
    <mergeCell ref="G24:H24"/>
    <mergeCell ref="A26:B26"/>
    <mergeCell ref="C26:D26"/>
    <mergeCell ref="E26:F26"/>
    <mergeCell ref="G26:H26"/>
    <mergeCell ref="I26:J26"/>
    <mergeCell ref="A34:B34"/>
    <mergeCell ref="A35:B35"/>
    <mergeCell ref="A32:B32"/>
    <mergeCell ref="A33:B33"/>
    <mergeCell ref="C33:D33"/>
    <mergeCell ref="F33:N33"/>
    <mergeCell ref="C34:D34"/>
    <mergeCell ref="E34:H34"/>
    <mergeCell ref="I34:N34"/>
    <mergeCell ref="K35:N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6.75"/>
    <col customWidth="1" min="5" max="5" width="16.13"/>
    <col customWidth="1" min="6" max="6" width="14.63"/>
  </cols>
  <sheetData>
    <row r="1">
      <c r="A1" s="43" t="s">
        <v>39</v>
      </c>
    </row>
    <row r="3">
      <c r="A3" s="44" t="s">
        <v>40</v>
      </c>
      <c r="B3" s="44" t="s">
        <v>41</v>
      </c>
      <c r="C3" s="44" t="s">
        <v>42</v>
      </c>
      <c r="D3" s="44" t="s">
        <v>43</v>
      </c>
      <c r="E3" s="44" t="s">
        <v>44</v>
      </c>
      <c r="F3" s="44" t="s">
        <v>45</v>
      </c>
    </row>
    <row r="4">
      <c r="A4" s="45" t="s">
        <v>46</v>
      </c>
      <c r="B4" s="45">
        <v>5.0</v>
      </c>
      <c r="C4" s="45">
        <v>0.0</v>
      </c>
      <c r="D4" s="45">
        <v>20.0</v>
      </c>
      <c r="E4" s="45">
        <v>5.0</v>
      </c>
      <c r="F4">
        <f t="shared" ref="F4:F9" si="1">D4/(D4+E4)</f>
        <v>0.8</v>
      </c>
    </row>
    <row r="5">
      <c r="A5" s="45" t="s">
        <v>47</v>
      </c>
      <c r="B5" s="45">
        <v>5.0</v>
      </c>
      <c r="C5" s="45">
        <v>0.0</v>
      </c>
      <c r="D5" s="45">
        <v>20.0</v>
      </c>
      <c r="E5" s="45">
        <v>8.0</v>
      </c>
      <c r="F5">
        <f t="shared" si="1"/>
        <v>0.7142857143</v>
      </c>
    </row>
    <row r="6">
      <c r="A6" s="45" t="s">
        <v>48</v>
      </c>
      <c r="B6" s="46">
        <v>4.0</v>
      </c>
      <c r="C6" s="46">
        <v>2.0</v>
      </c>
      <c r="D6" s="46">
        <v>12.0</v>
      </c>
      <c r="E6" s="46">
        <v>14.0</v>
      </c>
      <c r="F6">
        <f t="shared" si="1"/>
        <v>0.4615384615</v>
      </c>
    </row>
    <row r="7">
      <c r="A7" s="45" t="s">
        <v>49</v>
      </c>
      <c r="B7" s="46">
        <v>3.0</v>
      </c>
      <c r="C7" s="46">
        <v>2.0</v>
      </c>
      <c r="D7" s="46">
        <v>9.0</v>
      </c>
      <c r="E7" s="46">
        <v>12.0</v>
      </c>
      <c r="F7">
        <f t="shared" si="1"/>
        <v>0.4285714286</v>
      </c>
    </row>
    <row r="8" ht="16.5" customHeight="1">
      <c r="A8" s="45" t="s">
        <v>50</v>
      </c>
      <c r="B8" s="45">
        <v>2.0</v>
      </c>
      <c r="C8" s="45">
        <v>2.0</v>
      </c>
      <c r="D8" s="45">
        <v>8.0</v>
      </c>
      <c r="E8" s="45">
        <v>13.0</v>
      </c>
      <c r="F8">
        <f t="shared" si="1"/>
        <v>0.380952381</v>
      </c>
    </row>
    <row r="9">
      <c r="A9" s="45" t="s">
        <v>51</v>
      </c>
      <c r="B9" s="45">
        <v>2.0</v>
      </c>
      <c r="C9" s="45">
        <v>3.0</v>
      </c>
      <c r="D9" s="45">
        <v>3.0</v>
      </c>
      <c r="E9" s="45">
        <v>15.0</v>
      </c>
      <c r="F9">
        <f t="shared" si="1"/>
        <v>0.1666666667</v>
      </c>
    </row>
    <row r="10" ht="6.75" customHeight="1">
      <c r="A10" s="47"/>
      <c r="B10" s="47"/>
      <c r="C10" s="47"/>
      <c r="D10" s="47"/>
      <c r="E10" s="47"/>
      <c r="F10" s="47"/>
    </row>
    <row r="11">
      <c r="A11" s="45" t="s">
        <v>52</v>
      </c>
      <c r="B11" s="45">
        <v>0.0</v>
      </c>
      <c r="C11" s="45">
        <v>7.0</v>
      </c>
      <c r="D11" s="45">
        <v>3.0</v>
      </c>
      <c r="E11" s="45">
        <v>5.0</v>
      </c>
      <c r="F11">
        <f t="shared" ref="F11:F12" si="2">D11/(D11+E11)</f>
        <v>0.375</v>
      </c>
    </row>
    <row r="12">
      <c r="A12" s="48" t="s">
        <v>53</v>
      </c>
      <c r="B12" s="48">
        <v>0.0</v>
      </c>
      <c r="C12" s="48">
        <v>7.0</v>
      </c>
      <c r="D12" s="48">
        <v>7.0</v>
      </c>
      <c r="E12" s="48">
        <v>10.0</v>
      </c>
      <c r="F12" s="4">
        <f t="shared" si="2"/>
        <v>0.4117647059</v>
      </c>
    </row>
    <row r="15">
      <c r="A15" s="49" t="s">
        <v>54</v>
      </c>
    </row>
    <row r="16">
      <c r="K16" s="45">
        <v>5.0</v>
      </c>
      <c r="L16" s="50"/>
    </row>
  </sheetData>
  <mergeCells count="2">
    <mergeCell ref="A1:F2"/>
    <mergeCell ref="A15:D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6.88"/>
    <col customWidth="1" min="2" max="2" width="24.63"/>
    <col customWidth="1" min="3" max="3" width="25.75"/>
    <col customWidth="1" min="4" max="4" width="16.38"/>
    <col customWidth="1" min="5" max="5" width="18.13"/>
    <col customWidth="1" min="6" max="6" width="16.0"/>
    <col customWidth="1" min="7" max="7" width="20.63"/>
  </cols>
  <sheetData>
    <row r="2">
      <c r="A2" s="51" t="s">
        <v>40</v>
      </c>
      <c r="B2" s="51" t="s">
        <v>55</v>
      </c>
      <c r="C2" s="51" t="s">
        <v>56</v>
      </c>
      <c r="D2" s="51" t="s">
        <v>57</v>
      </c>
      <c r="E2" s="51" t="s">
        <v>58</v>
      </c>
      <c r="F2" s="51" t="s">
        <v>59</v>
      </c>
      <c r="G2" s="51" t="s">
        <v>60</v>
      </c>
    </row>
    <row r="3">
      <c r="A3" s="52" t="s">
        <v>49</v>
      </c>
      <c r="B3" s="53" t="s">
        <v>61</v>
      </c>
      <c r="C3" s="53" t="s">
        <v>62</v>
      </c>
      <c r="D3" s="54" t="s">
        <v>63</v>
      </c>
      <c r="E3" s="53" t="s">
        <v>64</v>
      </c>
      <c r="F3" s="54" t="s">
        <v>65</v>
      </c>
      <c r="G3" s="54" t="s">
        <v>66</v>
      </c>
    </row>
    <row r="4">
      <c r="A4" s="52" t="s">
        <v>46</v>
      </c>
      <c r="B4" s="53" t="s">
        <v>67</v>
      </c>
      <c r="C4" s="53" t="s">
        <v>68</v>
      </c>
      <c r="D4" s="53" t="s">
        <v>69</v>
      </c>
      <c r="E4" s="55" t="s">
        <v>70</v>
      </c>
      <c r="F4" s="54" t="s">
        <v>71</v>
      </c>
      <c r="G4" s="54" t="s">
        <v>72</v>
      </c>
    </row>
    <row r="5">
      <c r="A5" s="52" t="s">
        <v>48</v>
      </c>
      <c r="B5" s="53" t="s">
        <v>73</v>
      </c>
      <c r="C5" s="53" t="s">
        <v>74</v>
      </c>
      <c r="D5" s="53" t="s">
        <v>75</v>
      </c>
      <c r="E5" s="54" t="s">
        <v>76</v>
      </c>
      <c r="F5" s="54" t="s">
        <v>77</v>
      </c>
      <c r="G5" s="54" t="s">
        <v>78</v>
      </c>
    </row>
    <row r="6">
      <c r="A6" s="52" t="s">
        <v>50</v>
      </c>
      <c r="B6" s="53" t="s">
        <v>79</v>
      </c>
      <c r="C6" s="53" t="s">
        <v>80</v>
      </c>
      <c r="D6" s="54" t="s">
        <v>81</v>
      </c>
      <c r="E6" s="54" t="s">
        <v>82</v>
      </c>
      <c r="F6" s="54" t="s">
        <v>83</v>
      </c>
      <c r="G6" s="54" t="s">
        <v>84</v>
      </c>
    </row>
    <row r="7">
      <c r="A7" s="52" t="s">
        <v>52</v>
      </c>
      <c r="B7" s="53" t="s">
        <v>85</v>
      </c>
      <c r="C7" s="54" t="s">
        <v>86</v>
      </c>
      <c r="D7" s="53" t="s">
        <v>87</v>
      </c>
      <c r="E7" s="54" t="s">
        <v>88</v>
      </c>
      <c r="F7" s="54" t="s">
        <v>89</v>
      </c>
      <c r="G7" s="53"/>
    </row>
    <row r="8">
      <c r="A8" s="52" t="s">
        <v>90</v>
      </c>
      <c r="B8" s="53" t="s">
        <v>91</v>
      </c>
      <c r="C8" s="53" t="s">
        <v>92</v>
      </c>
      <c r="D8" s="54" t="s">
        <v>93</v>
      </c>
      <c r="E8" s="54" t="s">
        <v>94</v>
      </c>
      <c r="F8" s="54" t="s">
        <v>95</v>
      </c>
      <c r="G8" s="53" t="s">
        <v>96</v>
      </c>
    </row>
    <row r="9">
      <c r="A9" s="52" t="s">
        <v>53</v>
      </c>
      <c r="B9" s="56" t="s">
        <v>97</v>
      </c>
      <c r="C9" s="57" t="s">
        <v>98</v>
      </c>
      <c r="D9" s="56" t="s">
        <v>99</v>
      </c>
      <c r="G9" s="58"/>
    </row>
    <row r="10">
      <c r="A10" s="59" t="s">
        <v>47</v>
      </c>
      <c r="B10" s="60" t="s">
        <v>100</v>
      </c>
      <c r="C10" s="60" t="s">
        <v>101</v>
      </c>
      <c r="D10" s="60" t="s">
        <v>102</v>
      </c>
      <c r="E10" s="60" t="s">
        <v>103</v>
      </c>
      <c r="F10" s="61" t="s">
        <v>104</v>
      </c>
      <c r="G10" s="4"/>
    </row>
    <row r="13">
      <c r="A13" s="49" t="s">
        <v>105</v>
      </c>
      <c r="B13" s="49" t="s">
        <v>106</v>
      </c>
      <c r="C13" s="49" t="s">
        <v>107</v>
      </c>
    </row>
  </sheetData>
  <drawing r:id="rId1"/>
</worksheet>
</file>