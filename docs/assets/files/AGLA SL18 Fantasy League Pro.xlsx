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ported Games" sheetId="1" r:id="rId4"/>
    <sheet state="visible" name="League Table" sheetId="2" r:id="rId5"/>
    <sheet state="visible" name="Fixtures &amp; Results" sheetId="3" r:id="rId6"/>
    <sheet state="hidden" name="_BlockspringConfiguration" sheetId="4" r:id="rId7"/>
    <sheet state="visible" name="Teams Totals" sheetId="5" r:id="rId8"/>
    <sheet state="visible" name="Total Stats" sheetId="6" r:id="rId9"/>
    <sheet state="visible" name="Points System" sheetId="7" r:id="rId10"/>
    <sheet state="visible" name="W1 Team Points" sheetId="8" r:id="rId11"/>
    <sheet state="visible" name="W1 Stats" sheetId="9" r:id="rId12"/>
    <sheet state="visible" name="W1 Points" sheetId="10" r:id="rId13"/>
    <sheet state="visible" name="W2 Team Points" sheetId="11" r:id="rId14"/>
    <sheet state="visible" name="W2 Stats" sheetId="12" r:id="rId15"/>
    <sheet state="visible" name="W2 Points" sheetId="13" r:id="rId16"/>
    <sheet state="visible" name="W3 Team Points" sheetId="14" r:id="rId17"/>
    <sheet state="visible" name="W3 Stats" sheetId="15" r:id="rId18"/>
    <sheet state="visible" name="W3 Points" sheetId="16" r:id="rId19"/>
    <sheet state="visible" name="W4 Team Points" sheetId="17" r:id="rId20"/>
    <sheet state="visible" name="W4 Stats" sheetId="18" r:id="rId21"/>
    <sheet state="visible" name="W4 Points" sheetId="19" r:id="rId22"/>
  </sheets>
  <definedNames/>
  <calcPr/>
</workbook>
</file>

<file path=xl/sharedStrings.xml><?xml version="1.0" encoding="utf-8"?>
<sst xmlns="http://schemas.openxmlformats.org/spreadsheetml/2006/main" count="5132" uniqueCount="158">
  <si>
    <t>Pro Games</t>
  </si>
  <si>
    <t>Legacy Games</t>
  </si>
  <si>
    <t>Ammy Games</t>
  </si>
  <si>
    <t>Fantasy League Table</t>
  </si>
  <si>
    <t>Form</t>
  </si>
  <si>
    <t>Pos</t>
  </si>
  <si>
    <t>Team</t>
  </si>
  <si>
    <t>Manager</t>
  </si>
  <si>
    <t>Won</t>
  </si>
  <si>
    <t>Tie</t>
  </si>
  <si>
    <t>Loss</t>
  </si>
  <si>
    <t>Fantasy Points</t>
  </si>
  <si>
    <t>Win %</t>
  </si>
  <si>
    <t>Fortnight   1</t>
  </si>
  <si>
    <t>Fortnight   2</t>
  </si>
  <si>
    <t>Fortnight 3</t>
  </si>
  <si>
    <t>Fortnight 4</t>
  </si>
  <si>
    <t>1st</t>
  </si>
  <si>
    <t>Reyley FC</t>
  </si>
  <si>
    <t>Reyas</t>
  </si>
  <si>
    <t>2nd</t>
  </si>
  <si>
    <t>Tormenting Teutons</t>
  </si>
  <si>
    <t>Xknight25R9270</t>
  </si>
  <si>
    <t>3rd</t>
  </si>
  <si>
    <t>Gingy</t>
  </si>
  <si>
    <t>ixGingy</t>
  </si>
  <si>
    <t>4th</t>
  </si>
  <si>
    <t>Sab</t>
  </si>
  <si>
    <t>Sabasauros Rex</t>
  </si>
  <si>
    <t>5th</t>
  </si>
  <si>
    <t>Ammyships</t>
  </si>
  <si>
    <t>The Texorcist</t>
  </si>
  <si>
    <t>6th</t>
  </si>
  <si>
    <t>Sonic</t>
  </si>
  <si>
    <t>SonicNachos</t>
  </si>
  <si>
    <t>7th</t>
  </si>
  <si>
    <t>Sader's Tots</t>
  </si>
  <si>
    <t>Ming Crusader</t>
  </si>
  <si>
    <t>8th</t>
  </si>
  <si>
    <t>KDSkill</t>
  </si>
  <si>
    <t>9th</t>
  </si>
  <si>
    <t>The Black List 2.0</t>
  </si>
  <si>
    <t>ActiveHate</t>
  </si>
  <si>
    <t>10th</t>
  </si>
  <si>
    <t>Repeat Performance</t>
  </si>
  <si>
    <t>Silva*</t>
  </si>
  <si>
    <t>11th</t>
  </si>
  <si>
    <t>Clutch Coffee</t>
  </si>
  <si>
    <t>AJ DaJuiceMayne</t>
  </si>
  <si>
    <t>12th</t>
  </si>
  <si>
    <t>Filler</t>
  </si>
  <si>
    <t>-</t>
  </si>
  <si>
    <t>AGLA SL18 Fixtures &amp; Results</t>
  </si>
  <si>
    <t>Played Games</t>
  </si>
  <si>
    <t>Fortnight 1</t>
  </si>
  <si>
    <t>Result</t>
  </si>
  <si>
    <t>Links</t>
  </si>
  <si>
    <t>Team 1:</t>
  </si>
  <si>
    <t>Score:</t>
  </si>
  <si>
    <t>Team 2:</t>
  </si>
  <si>
    <t>Notorious 2-1 Ghosts Of Grif</t>
  </si>
  <si>
    <t>Grammaton Clerics 2-1 Elevate</t>
  </si>
  <si>
    <t>Xbox Record That 2-0 Ghosts Of Grif</t>
  </si>
  <si>
    <t>FF</t>
  </si>
  <si>
    <t>Notorious 2-1 Elevate</t>
  </si>
  <si>
    <t>One Hit Wonders 2-0 Elevate</t>
  </si>
  <si>
    <t>Xbox Record That 2-1 Ghosts Of Grif</t>
  </si>
  <si>
    <t>Grammaton Clerics 2-0 Ghosts Of Grif</t>
  </si>
  <si>
    <t>Grammaton Clerics 2-1 Ghosts Of Grif</t>
  </si>
  <si>
    <t>Grammaton Clerics 2-0 One Hit Wonders</t>
  </si>
  <si>
    <t>Fortnight 2</t>
  </si>
  <si>
    <t>Elevate 2-0 Ghosts Of Grif</t>
  </si>
  <si>
    <t>One Hit Wonders 2-0 Ghosts Of Grif</t>
  </si>
  <si>
    <t>Grammaton Clerics 1-0 Elevate</t>
  </si>
  <si>
    <t>Settings:</t>
  </si>
  <si>
    <t>selection_metadata</t>
  </si>
  <si>
    <t>{}</t>
  </si>
  <si>
    <t>Queries:</t>
  </si>
  <si>
    <t>query id</t>
  </si>
  <si>
    <t>sheet name</t>
  </si>
  <si>
    <t>range address</t>
  </si>
  <si>
    <t>created</t>
  </si>
  <si>
    <t>updated</t>
  </si>
  <si>
    <t>selection</t>
  </si>
  <si>
    <t>clear selection</t>
  </si>
  <si>
    <t>timed refresh</t>
  </si>
  <si>
    <t>run</t>
  </si>
  <si>
    <t>append</t>
  </si>
  <si>
    <t>match headers</t>
  </si>
  <si>
    <t>advanced options</t>
  </si>
  <si>
    <t>custom title</t>
  </si>
  <si>
    <t>custom description</t>
  </si>
  <si>
    <t>block id</t>
  </si>
  <si>
    <t>parameters</t>
  </si>
  <si>
    <t>Runner</t>
  </si>
  <si>
    <t>Tank</t>
  </si>
  <si>
    <t>Defender</t>
  </si>
  <si>
    <t>Hybrid</t>
  </si>
  <si>
    <t>Sub</t>
  </si>
  <si>
    <t>Ace B S1lentND1</t>
  </si>
  <si>
    <t>Invayda Zim</t>
  </si>
  <si>
    <t>Rage More Nerd</t>
  </si>
  <si>
    <t>DCleak</t>
  </si>
  <si>
    <t>ST0P K1LLING ME</t>
  </si>
  <si>
    <t>BCN19</t>
  </si>
  <si>
    <t>ThumpingHawk</t>
  </si>
  <si>
    <t>Almighty Tycoon</t>
  </si>
  <si>
    <t>The Piggies</t>
  </si>
  <si>
    <t>Goals</t>
  </si>
  <si>
    <t>TUVW30</t>
  </si>
  <si>
    <t>Z-AC72</t>
  </si>
  <si>
    <t>NOPQ30</t>
  </si>
  <si>
    <t>Sword Kills</t>
  </si>
  <si>
    <t>Ball Kills</t>
  </si>
  <si>
    <t>KD Spread</t>
  </si>
  <si>
    <t>First Strike</t>
  </si>
  <si>
    <t>First Touch</t>
  </si>
  <si>
    <t>Multikill</t>
  </si>
  <si>
    <t>Carrier Kill</t>
  </si>
  <si>
    <t>Goal Offence</t>
  </si>
  <si>
    <t>Goal Defence</t>
  </si>
  <si>
    <t>Win</t>
  </si>
  <si>
    <t>Total</t>
  </si>
  <si>
    <t>Total:</t>
  </si>
  <si>
    <t>Saintz The God</t>
  </si>
  <si>
    <t>oUnique Rose</t>
  </si>
  <si>
    <t>PoisonxPoptart</t>
  </si>
  <si>
    <t>The Eastbrook</t>
  </si>
  <si>
    <t>Mr AboveAverage</t>
  </si>
  <si>
    <t>Z-AC30</t>
  </si>
  <si>
    <t>Z-AC16</t>
  </si>
  <si>
    <t>DlGITAL PAIN</t>
  </si>
  <si>
    <t>NetsPride15</t>
  </si>
  <si>
    <t>Ezy08</t>
  </si>
  <si>
    <t>B-E86</t>
  </si>
  <si>
    <t>HIJK16</t>
  </si>
  <si>
    <t>Silva</t>
  </si>
  <si>
    <t>Jeakilla85</t>
  </si>
  <si>
    <t>KING RICKXL</t>
  </si>
  <si>
    <t>El Diablo X230X</t>
  </si>
  <si>
    <t>Z-AC44</t>
  </si>
  <si>
    <t>AGLA SL18 Stats</t>
  </si>
  <si>
    <t>Gamertag</t>
  </si>
  <si>
    <t>Played</t>
  </si>
  <si>
    <t>Kills</t>
  </si>
  <si>
    <t>Deaths</t>
  </si>
  <si>
    <t>Hammer Kills</t>
  </si>
  <si>
    <t>Spread</t>
  </si>
  <si>
    <t>All</t>
  </si>
  <si>
    <t>Mr Ab0veAverage</t>
  </si>
  <si>
    <t>InfiniteRainge</t>
  </si>
  <si>
    <t>ACE B S1lentND1</t>
  </si>
  <si>
    <t>Myst The Cold</t>
  </si>
  <si>
    <t>Galvann</t>
  </si>
  <si>
    <t>N/A</t>
  </si>
  <si>
    <t>imShad</t>
  </si>
  <si>
    <t>Mang Canon</t>
  </si>
  <si>
    <t>TEMPLATE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</si>
</sst>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7">
    <font>
      <sz val="10.0"/>
      <color rgb="FF000000"/>
      <name val="Arial"/>
    </font>
    <font/>
    <font>
      <b/>
      <sz val="18.0"/>
      <color rgb="FFFFFFFF"/>
    </font>
    <font>
      <b/>
      <sz val="12.0"/>
    </font>
    <font>
      <name val="Arial"/>
    </font>
    <font>
      <b/>
      <sz val="12.0"/>
      <name val="Arial"/>
    </font>
    <font>
      <sz val="10.0"/>
    </font>
    <font>
      <b/>
      <sz val="10.0"/>
      <name val="Arial"/>
    </font>
    <font>
      <b/>
      <sz val="10.0"/>
    </font>
    <font>
      <b/>
      <sz val="18.0"/>
      <color rgb="FFFFFFFF"/>
      <name val="Arial"/>
    </font>
    <font>
      <b/>
      <sz val="14.0"/>
      <color rgb="FF000000"/>
      <name val="Arial"/>
    </font>
    <font>
      <b/>
      <name val="Arial"/>
    </font>
    <font>
      <u/>
      <color rgb="FF0000FF"/>
      <name val="Arial"/>
    </font>
    <font>
      <u/>
      <color rgb="FF0000FF"/>
      <name val="Arial"/>
    </font>
    <font>
      <sz val="10.0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sz val="14.0"/>
      <color rgb="FFFFFFFF"/>
    </font>
    <font>
      <b/>
      <color rgb="FFFFFFFF"/>
    </font>
    <font>
      <b/>
      <sz val="8.0"/>
      <color rgb="FFFFFFFF"/>
    </font>
    <font>
      <b/>
      <sz val="10.0"/>
      <color rgb="FFFFFFFF"/>
    </font>
    <font>
      <b/>
      <sz val="7.0"/>
      <color rgb="FFFFFFFF"/>
    </font>
    <font>
      <b/>
      <sz val="9.0"/>
    </font>
    <font>
      <b/>
    </font>
    <font>
      <b/>
      <color rgb="FFFFFFFF"/>
      <name val="Arial"/>
    </font>
    <font>
      <b/>
      <sz val="9.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2" fontId="1" numFmtId="0" xfId="0" applyFill="1" applyFont="1"/>
    <xf borderId="0" fillId="2" fontId="1" numFmtId="0" xfId="0" applyAlignment="1" applyFont="1">
      <alignment shrinkToFit="0" wrapText="0"/>
    </xf>
    <xf borderId="1" fillId="3" fontId="2" numFmtId="0" xfId="0" applyAlignment="1" applyBorder="1" applyFill="1" applyFont="1">
      <alignment horizontal="center" readingOrder="0"/>
    </xf>
    <xf borderId="2" fillId="3" fontId="2" numFmtId="0" xfId="0" applyAlignment="1" applyBorder="1" applyFont="1">
      <alignment horizontal="center" readingOrder="0"/>
    </xf>
    <xf borderId="3" fillId="3" fontId="2" numFmtId="0" xfId="0" applyAlignment="1" applyBorder="1" applyFont="1">
      <alignment horizontal="center" readingOrder="0"/>
    </xf>
    <xf borderId="0" fillId="3" fontId="2" numFmtId="0" xfId="0" applyAlignment="1" applyFont="1">
      <alignment horizontal="center" readingOrder="0"/>
    </xf>
    <xf borderId="3" fillId="0" fontId="1" numFmtId="0" xfId="0" applyBorder="1" applyFont="1"/>
    <xf borderId="4" fillId="0" fontId="1" numFmtId="0" xfId="0" applyBorder="1" applyFont="1"/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3" numFmtId="10" xfId="0" applyAlignment="1" applyBorder="1" applyFont="1" applyNumberFormat="1">
      <alignment horizontal="center" readingOrder="0" vertical="center"/>
    </xf>
    <xf borderId="5" fillId="3" fontId="4" numFmtId="10" xfId="0" applyAlignment="1" applyBorder="1" applyFont="1" applyNumberFormat="1">
      <alignment vertical="center"/>
    </xf>
    <xf borderId="2" fillId="4" fontId="5" numFmtId="0" xfId="0" applyAlignment="1" applyBorder="1" applyFont="1">
      <alignment horizontal="center" readingOrder="0" shrinkToFit="0" vertical="center" wrapText="1"/>
    </xf>
    <xf borderId="1" fillId="3" fontId="6" numFmtId="9" xfId="0" applyAlignment="1" applyBorder="1" applyFont="1" applyNumberFormat="1">
      <alignment horizontal="center" readingOrder="0" shrinkToFit="0" vertical="bottom" wrapText="1"/>
    </xf>
    <xf borderId="1" fillId="3" fontId="6" numFmtId="9" xfId="0" applyAlignment="1" applyBorder="1" applyFont="1" applyNumberFormat="1">
      <alignment horizontal="center" readingOrder="0" vertical="bottom"/>
    </xf>
    <xf borderId="1" fillId="2" fontId="5" numFmtId="0" xfId="0" applyAlignment="1" applyBorder="1" applyFont="1">
      <alignment horizontal="left" readingOrder="0" vertical="bottom"/>
    </xf>
    <xf borderId="1" fillId="2" fontId="7" numFmtId="0" xfId="0" applyAlignment="1" applyBorder="1" applyFont="1">
      <alignment horizontal="left" readingOrder="0" vertical="bottom"/>
    </xf>
    <xf borderId="1" fillId="5" fontId="6" numFmtId="0" xfId="0" applyAlignment="1" applyBorder="1" applyFill="1" applyFont="1">
      <alignment horizontal="center" readingOrder="0" vertical="bottom"/>
    </xf>
    <xf borderId="1" fillId="5" fontId="6" numFmtId="9" xfId="0" applyAlignment="1" applyBorder="1" applyFont="1" applyNumberFormat="1">
      <alignment horizontal="center" readingOrder="0" vertical="bottom"/>
    </xf>
    <xf borderId="5" fillId="3" fontId="4" numFmtId="9" xfId="0" applyAlignment="1" applyBorder="1" applyFont="1" applyNumberFormat="1">
      <alignment vertical="bottom"/>
    </xf>
    <xf borderId="1" fillId="5" fontId="4" numFmtId="9" xfId="0" applyAlignment="1" applyBorder="1" applyFont="1" applyNumberFormat="1">
      <alignment vertical="bottom"/>
    </xf>
    <xf borderId="1" fillId="3" fontId="4" numFmtId="9" xfId="0" applyAlignment="1" applyBorder="1" applyFont="1" applyNumberFormat="1">
      <alignment vertical="bottom"/>
    </xf>
    <xf borderId="1" fillId="2" fontId="3" numFmtId="0" xfId="0" applyAlignment="1" applyBorder="1" applyFont="1">
      <alignment horizontal="left" readingOrder="0"/>
    </xf>
    <xf borderId="1" fillId="2" fontId="8" numFmtId="0" xfId="0" applyAlignment="1" applyBorder="1" applyFont="1">
      <alignment horizontal="left" readingOrder="0"/>
    </xf>
    <xf borderId="6" fillId="3" fontId="6" numFmtId="9" xfId="0" applyAlignment="1" applyBorder="1" applyFont="1" applyNumberFormat="1">
      <alignment horizontal="center" readingOrder="0" vertical="bottom"/>
    </xf>
    <xf borderId="1" fillId="2" fontId="8" numFmtId="0" xfId="0" applyAlignment="1" applyBorder="1" applyFont="1">
      <alignment horizontal="left" readingOrder="0" vertical="center"/>
    </xf>
    <xf borderId="6" fillId="3" fontId="4" numFmtId="9" xfId="0" applyAlignment="1" applyBorder="1" applyFont="1" applyNumberFormat="1">
      <alignment vertical="bottom"/>
    </xf>
    <xf borderId="0" fillId="3" fontId="4" numFmtId="9" xfId="0" applyAlignment="1" applyFont="1" applyNumberFormat="1">
      <alignment vertical="bottom"/>
    </xf>
    <xf borderId="2" fillId="3" fontId="9" numFmtId="0" xfId="0" applyAlignment="1" applyBorder="1" applyFont="1">
      <alignment horizontal="center" readingOrder="0"/>
    </xf>
    <xf borderId="0" fillId="3" fontId="9" numFmtId="0" xfId="0" applyAlignment="1" applyFont="1">
      <alignment horizontal="center" readingOrder="0"/>
    </xf>
    <xf borderId="7" fillId="6" fontId="10" numFmtId="0" xfId="0" applyAlignment="1" applyBorder="1" applyFill="1" applyFont="1">
      <alignment horizontal="center" readingOrder="0"/>
    </xf>
    <xf borderId="8" fillId="0" fontId="1" numFmtId="0" xfId="0" applyBorder="1" applyFont="1"/>
    <xf borderId="6" fillId="0" fontId="1" numFmtId="0" xfId="0" applyBorder="1" applyFont="1"/>
    <xf borderId="9" fillId="0" fontId="4" numFmtId="0" xfId="0" applyAlignment="1" applyBorder="1" applyFont="1">
      <alignment vertical="bottom"/>
    </xf>
    <xf borderId="1" fillId="6" fontId="10" numFmtId="0" xfId="0" applyAlignment="1" applyBorder="1" applyFont="1">
      <alignment horizontal="center" vertical="bottom"/>
    </xf>
    <xf borderId="3" fillId="6" fontId="10" numFmtId="0" xfId="0" applyAlignment="1" applyBorder="1" applyFont="1">
      <alignment horizontal="center" readingOrder="0" vertical="bottom"/>
    </xf>
    <xf borderId="10" fillId="2" fontId="11" numFmtId="0" xfId="0" applyAlignment="1" applyBorder="1" applyFont="1">
      <alignment horizontal="right" vertical="bottom"/>
    </xf>
    <xf borderId="6" fillId="5" fontId="11" numFmtId="0" xfId="0" applyAlignment="1" applyBorder="1" applyFont="1">
      <alignment horizontal="center" vertical="bottom"/>
    </xf>
    <xf borderId="6" fillId="2" fontId="11" numFmtId="0" xfId="0" applyAlignment="1" applyBorder="1" applyFont="1">
      <alignment horizontal="left" vertical="bottom"/>
    </xf>
    <xf borderId="1" fillId="2" fontId="11" numFmtId="0" xfId="0" applyAlignment="1" applyBorder="1" applyFont="1">
      <alignment horizontal="right" vertical="bottom"/>
    </xf>
    <xf borderId="10" fillId="5" fontId="4" numFmtId="0" xfId="0" applyAlignment="1" applyBorder="1" applyFont="1">
      <alignment readingOrder="0" vertical="bottom"/>
    </xf>
    <xf borderId="6" fillId="2" fontId="12" numFmtId="164" xfId="0" applyAlignment="1" applyBorder="1" applyFont="1" applyNumberFormat="1">
      <alignment horizontal="center" readingOrder="0" vertical="bottom"/>
    </xf>
    <xf borderId="6" fillId="5" fontId="13" numFmtId="164" xfId="0" applyAlignment="1" applyBorder="1" applyFont="1" applyNumberFormat="1">
      <alignment horizontal="center" readingOrder="0" vertical="bottom"/>
    </xf>
    <xf borderId="1" fillId="2" fontId="8" numFmtId="0" xfId="0" applyAlignment="1" applyBorder="1" applyFont="1">
      <alignment horizontal="right" readingOrder="0"/>
    </xf>
    <xf borderId="6" fillId="5" fontId="14" numFmtId="0" xfId="0" applyAlignment="1" applyBorder="1" applyFont="1">
      <alignment horizontal="center" vertical="bottom"/>
    </xf>
    <xf borderId="9" fillId="0" fontId="14" numFmtId="0" xfId="0" applyAlignment="1" applyBorder="1" applyFont="1">
      <alignment vertical="bottom"/>
    </xf>
    <xf borderId="1" fillId="2" fontId="7" numFmtId="0" xfId="0" applyAlignment="1" applyBorder="1" applyFont="1">
      <alignment horizontal="right" readingOrder="0" vertical="bottom"/>
    </xf>
    <xf borderId="6" fillId="5" fontId="15" numFmtId="0" xfId="0" applyAlignment="1" applyBorder="1" applyFont="1">
      <alignment horizontal="center" vertical="bottom"/>
    </xf>
    <xf borderId="6" fillId="5" fontId="4" numFmtId="0" xfId="0" applyAlignment="1" applyBorder="1" applyFont="1">
      <alignment horizontal="center" readingOrder="0" vertical="bottom"/>
    </xf>
    <xf borderId="6" fillId="5" fontId="4" numFmtId="0" xfId="0" applyAlignment="1" applyBorder="1" applyFont="1">
      <alignment horizontal="center" vertical="bottom"/>
    </xf>
    <xf borderId="1" fillId="2" fontId="8" numFmtId="0" xfId="0" applyAlignment="1" applyBorder="1" applyFont="1">
      <alignment horizontal="right" readingOrder="0" vertical="center"/>
    </xf>
    <xf borderId="6" fillId="2" fontId="7" numFmtId="0" xfId="0" applyAlignment="1" applyBorder="1" applyFont="1">
      <alignment horizontal="right" readingOrder="0" vertical="bottom"/>
    </xf>
    <xf borderId="6" fillId="5" fontId="16" numFmtId="0" xfId="0" applyAlignment="1" applyBorder="1" applyFont="1">
      <alignment horizontal="center" readingOrder="0" vertical="bottom"/>
    </xf>
    <xf borderId="10" fillId="5" fontId="4" numFmtId="0" xfId="0" applyAlignment="1" applyBorder="1" applyFont="1">
      <alignment vertical="bottom"/>
    </xf>
    <xf borderId="6" fillId="2" fontId="7" numFmtId="0" xfId="0" applyAlignment="1" applyBorder="1" applyFont="1">
      <alignment horizontal="left" readingOrder="0" vertical="bottom"/>
    </xf>
    <xf borderId="10" fillId="5" fontId="4" numFmtId="0" xfId="0" applyBorder="1" applyFont="1"/>
    <xf borderId="6" fillId="5" fontId="4" numFmtId="0" xfId="0" applyAlignment="1" applyBorder="1" applyFont="1">
      <alignment horizontal="center"/>
    </xf>
    <xf borderId="11" fillId="0" fontId="4" numFmtId="0" xfId="0" applyAlignment="1" applyBorder="1" applyFont="1">
      <alignment horizontal="right" vertical="bottom"/>
    </xf>
    <xf borderId="12" fillId="0" fontId="4" numFmtId="0" xfId="0" applyAlignment="1" applyBorder="1" applyFont="1">
      <alignment vertical="bottom"/>
    </xf>
    <xf borderId="12" fillId="0" fontId="4" numFmtId="0" xfId="0" applyAlignment="1" applyBorder="1" applyFont="1">
      <alignment horizontal="left" vertical="bottom"/>
    </xf>
    <xf borderId="13" fillId="0" fontId="4" numFmtId="0" xfId="0" applyAlignment="1" applyBorder="1" applyFont="1">
      <alignment vertical="bottom"/>
    </xf>
    <xf borderId="12" fillId="0" fontId="4" numFmtId="0" xfId="0" applyAlignment="1" applyBorder="1" applyFont="1">
      <alignment horizontal="right" vertical="bottom"/>
    </xf>
    <xf borderId="8" fillId="0" fontId="4" numFmtId="0" xfId="0" applyAlignment="1" applyBorder="1" applyFont="1">
      <alignment horizontal="left" vertical="bottom"/>
    </xf>
    <xf borderId="14" fillId="0" fontId="4" numFmtId="0" xfId="0" applyAlignment="1" applyBorder="1" applyFont="1">
      <alignment horizontal="left" vertical="bottom"/>
    </xf>
    <xf borderId="12" fillId="0" fontId="4" numFmtId="0" xfId="0" applyAlignment="1" applyBorder="1" applyFont="1">
      <alignment horizontal="center" vertical="bottom"/>
    </xf>
    <xf borderId="2" fillId="6" fontId="10" numFmtId="0" xfId="0" applyAlignment="1" applyBorder="1" applyFont="1">
      <alignment horizontal="center" readingOrder="0"/>
    </xf>
    <xf borderId="6" fillId="5" fontId="17" numFmtId="0" xfId="0" applyAlignment="1" applyBorder="1" applyFont="1">
      <alignment horizontal="center" vertical="bottom"/>
    </xf>
    <xf borderId="6" fillId="5" fontId="4" numFmtId="0" xfId="0" applyAlignment="1" applyBorder="1" applyFont="1">
      <alignment horizontal="center" vertical="bottom"/>
    </xf>
    <xf borderId="12" fillId="5" fontId="4" numFmtId="0" xfId="0" applyAlignment="1" applyBorder="1" applyFont="1">
      <alignment vertical="bottom"/>
    </xf>
    <xf borderId="0" fillId="3" fontId="18" numFmtId="0" xfId="0" applyAlignment="1" applyFont="1">
      <alignment horizontal="center" readingOrder="0"/>
    </xf>
    <xf borderId="1" fillId="3" fontId="19" numFmtId="0" xfId="0" applyAlignment="1" applyBorder="1" applyFont="1">
      <alignment horizontal="center" readingOrder="0"/>
    </xf>
    <xf borderId="1" fillId="3" fontId="20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1" fillId="3" fontId="19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0" fillId="3" fontId="19" numFmtId="0" xfId="0" applyAlignment="1" applyFont="1">
      <alignment horizontal="right" readingOrder="0"/>
    </xf>
    <xf borderId="0" fillId="3" fontId="19" numFmtId="0" xfId="0" applyAlignment="1" applyFont="1">
      <alignment horizontal="left" readingOrder="0"/>
    </xf>
    <xf borderId="0" fillId="3" fontId="18" numFmtId="0" xfId="0" applyAlignment="1" applyFont="1">
      <alignment horizontal="center" readingOrder="0" vertical="center"/>
    </xf>
    <xf borderId="1" fillId="3" fontId="21" numFmtId="0" xfId="0" applyAlignment="1" applyBorder="1" applyFont="1">
      <alignment horizontal="center" shrinkToFit="0" vertical="center" wrapText="1"/>
    </xf>
    <xf borderId="1" fillId="3" fontId="21" numFmtId="0" xfId="0" applyAlignment="1" applyBorder="1" applyFont="1">
      <alignment horizontal="center" readingOrder="0" shrinkToFit="0" vertical="center" wrapText="1"/>
    </xf>
    <xf borderId="1" fillId="3" fontId="21" numFmtId="0" xfId="0" applyAlignment="1" applyBorder="1" applyFont="1">
      <alignment horizontal="center" readingOrder="0" shrinkToFit="0" vertical="center" wrapText="1"/>
    </xf>
    <xf borderId="1" fillId="3" fontId="21" numFmtId="1" xfId="0" applyAlignment="1" applyBorder="1" applyFont="1" applyNumberFormat="1">
      <alignment horizontal="center" readingOrder="0" shrinkToFit="0" vertical="center" wrapText="1"/>
    </xf>
    <xf borderId="1" fillId="3" fontId="21" numFmtId="1" xfId="0" applyAlignment="1" applyBorder="1" applyFont="1" applyNumberFormat="1">
      <alignment horizontal="center" shrinkToFit="0" vertical="center" wrapText="1"/>
    </xf>
    <xf borderId="1" fillId="3" fontId="22" numFmtId="0" xfId="0" applyBorder="1" applyFont="1"/>
    <xf borderId="1" fillId="2" fontId="23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1" fillId="3" fontId="22" numFmtId="1" xfId="0" applyBorder="1" applyFont="1" applyNumberFormat="1"/>
    <xf borderId="1" fillId="2" fontId="1" numFmtId="0" xfId="0" applyAlignment="1" applyBorder="1" applyFont="1">
      <alignment horizontal="right" readingOrder="0" vertical="bottom"/>
    </xf>
    <xf borderId="1" fillId="5" fontId="23" numFmtId="0" xfId="0" applyAlignment="1" applyBorder="1" applyFont="1">
      <alignment readingOrder="0"/>
    </xf>
    <xf borderId="1" fillId="5" fontId="1" numFmtId="0" xfId="0" applyAlignment="1" applyBorder="1" applyFont="1">
      <alignment readingOrder="0"/>
    </xf>
    <xf borderId="1" fillId="5" fontId="1" numFmtId="0" xfId="0" applyAlignment="1" applyBorder="1" applyFont="1">
      <alignment horizontal="right" readingOrder="0" vertical="bottom"/>
    </xf>
    <xf borderId="1" fillId="3" fontId="24" numFmtId="1" xfId="0" applyAlignment="1" applyBorder="1" applyFont="1" applyNumberFormat="1">
      <alignment vertical="bottom"/>
    </xf>
    <xf borderId="0" fillId="3" fontId="22" numFmtId="0" xfId="0" applyFont="1"/>
    <xf borderId="1" fillId="0" fontId="1" numFmtId="0" xfId="0" applyAlignment="1" applyBorder="1" applyFont="1">
      <alignment horizontal="center"/>
    </xf>
    <xf borderId="1" fillId="5" fontId="4" numFmtId="0" xfId="0" applyAlignment="1" applyBorder="1" applyFont="1">
      <alignment horizontal="right" vertical="bottom"/>
    </xf>
    <xf borderId="4" fillId="5" fontId="4" numFmtId="0" xfId="0" applyAlignment="1" applyBorder="1" applyFont="1">
      <alignment horizontal="right" vertical="bottom"/>
    </xf>
    <xf borderId="4" fillId="5" fontId="4" numFmtId="0" xfId="0" applyAlignment="1" applyBorder="1" applyFont="1">
      <alignment horizontal="right" vertical="bottom"/>
    </xf>
    <xf borderId="6" fillId="5" fontId="4" numFmtId="0" xfId="0" applyAlignment="1" applyBorder="1" applyFont="1">
      <alignment vertical="bottom"/>
    </xf>
    <xf borderId="6" fillId="5" fontId="4" numFmtId="0" xfId="0" applyAlignment="1" applyBorder="1" applyFont="1">
      <alignment vertical="bottom"/>
    </xf>
    <xf borderId="6" fillId="5" fontId="4" numFmtId="0" xfId="0" applyAlignment="1" applyBorder="1" applyFont="1">
      <alignment horizontal="right" vertical="bottom"/>
    </xf>
    <xf borderId="8" fillId="3" fontId="4" numFmtId="0" xfId="0" applyBorder="1" applyFont="1"/>
    <xf borderId="10" fillId="3" fontId="25" numFmtId="1" xfId="0" applyAlignment="1" applyBorder="1" applyFont="1" applyNumberFormat="1">
      <alignment horizontal="center" shrinkToFit="0" vertical="center" wrapText="1"/>
    </xf>
    <xf borderId="10" fillId="2" fontId="4" numFmtId="0" xfId="0" applyAlignment="1" applyBorder="1" applyFont="1">
      <alignment horizontal="right" vertical="bottom"/>
    </xf>
    <xf borderId="10" fillId="5" fontId="4" numFmtId="0" xfId="0" applyAlignment="1" applyBorder="1" applyFont="1">
      <alignment horizontal="right" vertical="bottom"/>
    </xf>
    <xf borderId="1" fillId="2" fontId="26" numFmtId="0" xfId="0" applyAlignment="1" applyBorder="1" applyFont="1">
      <alignment vertical="bottom"/>
    </xf>
    <xf borderId="4" fillId="2" fontId="4" numFmtId="0" xfId="0" applyAlignment="1" applyBorder="1" applyFont="1">
      <alignment horizontal="right" vertical="bottom"/>
    </xf>
    <xf borderId="10" fillId="2" fontId="26" numFmtId="0" xfId="0" applyAlignment="1" applyBorder="1" applyFont="1">
      <alignment vertical="bottom"/>
    </xf>
    <xf borderId="6" fillId="2" fontId="4" numFmtId="0" xfId="0" applyAlignment="1" applyBorder="1" applyFont="1">
      <alignment horizontal="right" vertical="bottom"/>
    </xf>
    <xf borderId="10" fillId="5" fontId="26" numFmtId="0" xfId="0" applyAlignment="1" applyBorder="1" applyFont="1">
      <alignment vertical="bottom"/>
    </xf>
    <xf borderId="6" fillId="5" fontId="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/>
      <c r="E1" s="1" t="s">
        <v>1</v>
      </c>
      <c r="G1" s="2"/>
      <c r="I1" s="1" t="s">
        <v>2</v>
      </c>
      <c r="K1" s="2"/>
    </row>
    <row r="2">
      <c r="A2" s="3" t="str">
        <f>IFERROR(__xludf.DUMMYFUNCTION("IMPORTRANGE(""https://docs.google.com/spreadsheets/d/1JR5LFsvurVDJDan0J41sUvpdEmU_bCrBTQdyvT_QPkc/edit"",""Schedule!M14:O200"")"),"#REF!")</f>
        <v>#REF!</v>
      </c>
      <c r="B2" s="3"/>
      <c r="C2" s="4"/>
      <c r="E2" t="str">
        <f>IFERROR(__xludf.DUMMYFUNCTION("IMPORTRANGE(""https://docs.google.com/spreadsheets/d/1RRoDr9bmj5g2RByTBFQDzH3H-fsFm1u_RSEw_NV2MDE/edit"",""Schedule!M14:O200"")"),"#REF!")</f>
        <v>#REF!</v>
      </c>
      <c r="G2" s="2"/>
      <c r="I2" t="str">
        <f>IFERROR(__xludf.DUMMYFUNCTION("IMPORTRANGE(""https://docs.google.com/spreadsheets/d/1srKzhMz0keQSWpKGQR5P3281KrGCBzL0tLp_FHRez9k/edit"",""Schedule!M14:O200"")"),"#REF!")</f>
        <v>#REF!</v>
      </c>
      <c r="K2" s="2"/>
    </row>
    <row r="3">
      <c r="A3" s="3"/>
      <c r="B3" s="3"/>
      <c r="C3" s="4"/>
      <c r="G3" s="2"/>
      <c r="K3" s="2"/>
    </row>
    <row r="4">
      <c r="A4" s="3"/>
      <c r="B4" s="3"/>
      <c r="C4" s="4"/>
      <c r="G4" s="2"/>
      <c r="K4" s="2"/>
    </row>
    <row r="5">
      <c r="A5" s="3"/>
      <c r="B5" s="3"/>
      <c r="C5" s="4"/>
      <c r="G5" s="2"/>
      <c r="K5" s="2"/>
    </row>
    <row r="6">
      <c r="A6" s="3"/>
      <c r="B6" s="3"/>
      <c r="C6" s="4"/>
      <c r="G6" s="2"/>
      <c r="K6" s="2"/>
    </row>
    <row r="7">
      <c r="A7" s="3"/>
      <c r="B7" s="3"/>
      <c r="C7" s="4"/>
      <c r="G7" s="2"/>
      <c r="K7" s="2"/>
    </row>
    <row r="8">
      <c r="A8" s="3"/>
      <c r="B8" s="3"/>
      <c r="C8" s="4"/>
      <c r="G8" s="2"/>
      <c r="K8" s="2"/>
    </row>
    <row r="9">
      <c r="A9" s="3"/>
      <c r="B9" s="3"/>
      <c r="C9" s="4"/>
      <c r="G9" s="2"/>
      <c r="K9" s="2"/>
    </row>
    <row r="10">
      <c r="A10" s="3"/>
      <c r="B10" s="3"/>
      <c r="C10" s="4"/>
      <c r="G10" s="2"/>
      <c r="K10" s="2"/>
    </row>
    <row r="11">
      <c r="A11" s="3"/>
      <c r="B11" s="3"/>
      <c r="C11" s="4"/>
      <c r="G11" s="2"/>
      <c r="K11" s="2"/>
    </row>
    <row r="12">
      <c r="A12" s="3"/>
      <c r="B12" s="3"/>
      <c r="C12" s="4"/>
      <c r="G12" s="2"/>
      <c r="K12" s="2"/>
    </row>
    <row r="13">
      <c r="A13" s="3"/>
      <c r="B13" s="3"/>
      <c r="C13" s="4"/>
      <c r="G13" s="2"/>
      <c r="K13" s="2"/>
    </row>
    <row r="14">
      <c r="A14" s="3"/>
      <c r="B14" s="3"/>
      <c r="C14" s="4"/>
      <c r="G14" s="2"/>
      <c r="K14" s="2"/>
    </row>
    <row r="15">
      <c r="A15" s="3"/>
      <c r="B15" s="3"/>
      <c r="C15" s="4"/>
      <c r="G15" s="2"/>
      <c r="K15" s="2"/>
    </row>
    <row r="16">
      <c r="A16" s="3"/>
      <c r="B16" s="3"/>
      <c r="C16" s="4"/>
      <c r="G16" s="2"/>
      <c r="K16" s="2"/>
    </row>
    <row r="17">
      <c r="A17" s="3"/>
      <c r="B17" s="3"/>
      <c r="C17" s="4"/>
      <c r="G17" s="2"/>
      <c r="K17" s="2"/>
    </row>
    <row r="18">
      <c r="A18" s="3"/>
      <c r="B18" s="3"/>
      <c r="C18" s="4"/>
      <c r="G18" s="2"/>
      <c r="K18" s="2"/>
    </row>
    <row r="19">
      <c r="A19" s="3"/>
      <c r="B19" s="3"/>
      <c r="C19" s="4"/>
      <c r="G19" s="2"/>
      <c r="K19" s="2"/>
    </row>
    <row r="20">
      <c r="A20" s="3"/>
      <c r="B20" s="3"/>
      <c r="C20" s="4"/>
      <c r="G20" s="2"/>
      <c r="K20" s="2"/>
    </row>
    <row r="21">
      <c r="A21" s="3"/>
      <c r="B21" s="3"/>
      <c r="C21" s="4"/>
      <c r="G21" s="2"/>
      <c r="K21" s="2"/>
    </row>
    <row r="22">
      <c r="A22" s="3"/>
      <c r="B22" s="3"/>
      <c r="C22" s="4"/>
      <c r="G22" s="2"/>
      <c r="K22" s="2"/>
    </row>
    <row r="23">
      <c r="A23" s="3"/>
      <c r="B23" s="3"/>
      <c r="C23" s="4"/>
      <c r="G23" s="2"/>
      <c r="K23" s="2"/>
    </row>
    <row r="24">
      <c r="A24" s="3"/>
      <c r="B24" s="3"/>
      <c r="C24" s="4"/>
      <c r="G24" s="2"/>
      <c r="K24" s="2"/>
    </row>
    <row r="25">
      <c r="A25" s="3"/>
      <c r="B25" s="3"/>
      <c r="C25" s="4"/>
      <c r="G25" s="2"/>
      <c r="K25" s="2"/>
    </row>
    <row r="26">
      <c r="A26" s="3"/>
      <c r="B26" s="3"/>
      <c r="C26" s="4"/>
      <c r="G26" s="2"/>
      <c r="K26" s="2"/>
    </row>
    <row r="27">
      <c r="A27" s="3"/>
      <c r="B27" s="3"/>
      <c r="C27" s="4"/>
      <c r="G27" s="2"/>
      <c r="K27" s="2"/>
    </row>
    <row r="28">
      <c r="A28" s="3"/>
      <c r="B28" s="3"/>
      <c r="C28" s="4"/>
      <c r="G28" s="2"/>
      <c r="K28" s="2"/>
    </row>
    <row r="29">
      <c r="A29" s="3"/>
      <c r="B29" s="3"/>
      <c r="C29" s="4"/>
      <c r="G29" s="2"/>
      <c r="K29" s="2"/>
    </row>
    <row r="30">
      <c r="A30" s="3"/>
      <c r="B30" s="3"/>
      <c r="C30" s="4"/>
      <c r="G30" s="2"/>
      <c r="K30" s="2"/>
    </row>
    <row r="31">
      <c r="A31" s="3"/>
      <c r="B31" s="3"/>
      <c r="C31" s="4"/>
      <c r="G31" s="2"/>
      <c r="K31" s="2"/>
    </row>
    <row r="32">
      <c r="C32" s="2"/>
      <c r="G32" s="2"/>
      <c r="K32" s="2"/>
    </row>
    <row r="33">
      <c r="C33" s="2"/>
      <c r="G33" s="2"/>
      <c r="K33" s="2"/>
    </row>
    <row r="34">
      <c r="C34" s="2"/>
      <c r="G34" s="2"/>
      <c r="K34" s="2"/>
    </row>
    <row r="35">
      <c r="C35" s="2"/>
      <c r="G35" s="2"/>
      <c r="K35" s="2"/>
    </row>
    <row r="36">
      <c r="C36" s="2"/>
      <c r="G36" s="2"/>
      <c r="K36" s="2"/>
    </row>
    <row r="37">
      <c r="C37" s="2"/>
      <c r="G37" s="2"/>
      <c r="K37" s="2"/>
    </row>
    <row r="38">
      <c r="C38" s="2"/>
      <c r="G38" s="2"/>
      <c r="K38" s="2"/>
    </row>
    <row r="39">
      <c r="C39" s="2"/>
      <c r="G39" s="2"/>
      <c r="K39" s="2"/>
    </row>
    <row r="40">
      <c r="C40" s="2"/>
      <c r="G40" s="2"/>
      <c r="K40" s="2"/>
    </row>
    <row r="41">
      <c r="C41" s="2"/>
      <c r="G41" s="2"/>
      <c r="K41" s="2"/>
    </row>
    <row r="42">
      <c r="C42" s="2"/>
      <c r="G42" s="2"/>
      <c r="K42" s="2"/>
    </row>
    <row r="43">
      <c r="C43" s="2"/>
      <c r="G43" s="2"/>
      <c r="K43" s="2"/>
    </row>
    <row r="44">
      <c r="C44" s="2"/>
      <c r="G44" s="2"/>
      <c r="K44" s="2"/>
    </row>
    <row r="45">
      <c r="C45" s="2"/>
      <c r="G45" s="2"/>
      <c r="K45" s="2"/>
    </row>
    <row r="46">
      <c r="C46" s="2"/>
      <c r="G46" s="2"/>
      <c r="K46" s="2"/>
    </row>
    <row r="47">
      <c r="C47" s="2"/>
      <c r="G47" s="2"/>
      <c r="K47" s="2"/>
    </row>
    <row r="48">
      <c r="C48" s="2"/>
      <c r="G48" s="2"/>
      <c r="K48" s="2"/>
    </row>
    <row r="49">
      <c r="C49" s="2"/>
      <c r="G49" s="2"/>
      <c r="K49" s="2"/>
    </row>
    <row r="50">
      <c r="C50" s="2"/>
      <c r="G50" s="2"/>
      <c r="K50" s="2"/>
    </row>
    <row r="51">
      <c r="C51" s="2"/>
      <c r="G51" s="2"/>
      <c r="K51" s="2"/>
    </row>
    <row r="52">
      <c r="C52" s="2"/>
      <c r="G52" s="2"/>
      <c r="K52" s="2"/>
    </row>
    <row r="53">
      <c r="C53" s="2"/>
      <c r="G53" s="2"/>
      <c r="K53" s="2"/>
    </row>
    <row r="54">
      <c r="C54" s="2"/>
      <c r="G54" s="2"/>
      <c r="K54" s="2"/>
    </row>
    <row r="55">
      <c r="C55" s="2"/>
      <c r="G55" s="2"/>
      <c r="K55" s="2"/>
    </row>
    <row r="56">
      <c r="C56" s="2"/>
      <c r="G56" s="2"/>
      <c r="K56" s="2"/>
    </row>
    <row r="57">
      <c r="C57" s="2"/>
      <c r="G57" s="2"/>
      <c r="K57" s="2"/>
    </row>
    <row r="58">
      <c r="C58" s="2"/>
      <c r="G58" s="2"/>
      <c r="K58" s="2"/>
    </row>
    <row r="59">
      <c r="C59" s="2"/>
      <c r="G59" s="2"/>
      <c r="K59" s="2"/>
    </row>
    <row r="60">
      <c r="C60" s="2"/>
      <c r="G60" s="2"/>
      <c r="K60" s="2"/>
    </row>
    <row r="61">
      <c r="C61" s="2"/>
      <c r="G61" s="2"/>
      <c r="K61" s="2"/>
    </row>
    <row r="62">
      <c r="C62" s="2"/>
      <c r="G62" s="2"/>
      <c r="K62" s="2"/>
    </row>
    <row r="63">
      <c r="C63" s="2"/>
      <c r="G63" s="2"/>
      <c r="K63" s="2"/>
    </row>
    <row r="64">
      <c r="C64" s="2"/>
      <c r="G64" s="2"/>
      <c r="K64" s="2"/>
    </row>
    <row r="65">
      <c r="C65" s="2"/>
      <c r="G65" s="2"/>
      <c r="K65" s="2"/>
    </row>
    <row r="66">
      <c r="C66" s="2"/>
      <c r="G66" s="2"/>
      <c r="K66" s="2"/>
    </row>
    <row r="67">
      <c r="C67" s="2"/>
      <c r="G67" s="2"/>
      <c r="K67" s="2"/>
    </row>
    <row r="68">
      <c r="C68" s="2"/>
      <c r="G68" s="2"/>
      <c r="K68" s="2"/>
    </row>
    <row r="69">
      <c r="C69" s="2"/>
      <c r="G69" s="2"/>
      <c r="K69" s="2"/>
    </row>
    <row r="70">
      <c r="C70" s="2"/>
      <c r="G70" s="2"/>
      <c r="K70" s="2"/>
    </row>
    <row r="71">
      <c r="C71" s="2"/>
      <c r="G71" s="2"/>
      <c r="K71" s="2"/>
    </row>
    <row r="72">
      <c r="C72" s="2"/>
      <c r="G72" s="2"/>
      <c r="K72" s="2"/>
    </row>
    <row r="73">
      <c r="C73" s="2"/>
      <c r="G73" s="2"/>
      <c r="K73" s="2"/>
    </row>
    <row r="74">
      <c r="C74" s="2"/>
      <c r="G74" s="2"/>
      <c r="K74" s="2"/>
    </row>
    <row r="75">
      <c r="C75" s="2"/>
      <c r="G75" s="2"/>
      <c r="K75" s="2"/>
    </row>
    <row r="76">
      <c r="C76" s="2"/>
      <c r="G76" s="2"/>
      <c r="K76" s="2"/>
    </row>
    <row r="77">
      <c r="C77" s="2"/>
      <c r="G77" s="2"/>
      <c r="K77" s="2"/>
    </row>
    <row r="78">
      <c r="C78" s="2"/>
      <c r="G78" s="2"/>
      <c r="K78" s="2"/>
    </row>
    <row r="79">
      <c r="C79" s="2"/>
      <c r="G79" s="2"/>
      <c r="K79" s="2"/>
    </row>
    <row r="80">
      <c r="C80" s="2"/>
      <c r="G80" s="2"/>
      <c r="K80" s="2"/>
    </row>
    <row r="81">
      <c r="C81" s="2"/>
      <c r="G81" s="2"/>
      <c r="K81" s="2"/>
    </row>
    <row r="82">
      <c r="C82" s="2"/>
      <c r="G82" s="2"/>
      <c r="K82" s="2"/>
    </row>
    <row r="83">
      <c r="C83" s="2"/>
      <c r="G83" s="2"/>
      <c r="K83" s="2"/>
    </row>
    <row r="84">
      <c r="C84" s="2"/>
      <c r="G84" s="2"/>
      <c r="K84" s="2"/>
    </row>
    <row r="85">
      <c r="C85" s="2"/>
      <c r="G85" s="2"/>
      <c r="K85" s="2"/>
    </row>
    <row r="86">
      <c r="C86" s="2"/>
      <c r="G86" s="2"/>
      <c r="K86" s="2"/>
    </row>
    <row r="87">
      <c r="C87" s="2"/>
      <c r="G87" s="2"/>
      <c r="K87" s="2"/>
    </row>
    <row r="88">
      <c r="C88" s="2"/>
      <c r="G88" s="2"/>
      <c r="K88" s="2"/>
    </row>
    <row r="89">
      <c r="C89" s="2"/>
      <c r="G89" s="2"/>
      <c r="K89" s="2"/>
    </row>
    <row r="90">
      <c r="C90" s="2"/>
      <c r="G90" s="2"/>
      <c r="K90" s="2"/>
    </row>
    <row r="91">
      <c r="C91" s="2"/>
      <c r="G91" s="2"/>
      <c r="K91" s="2"/>
    </row>
    <row r="92">
      <c r="C92" s="2"/>
      <c r="G92" s="2"/>
      <c r="K92" s="2"/>
    </row>
    <row r="93">
      <c r="C93" s="2"/>
      <c r="G93" s="2"/>
      <c r="K93" s="2"/>
    </row>
    <row r="94">
      <c r="C94" s="2"/>
      <c r="G94" s="2"/>
      <c r="K94" s="2"/>
    </row>
    <row r="95">
      <c r="C95" s="2"/>
      <c r="G95" s="2"/>
      <c r="K95" s="2"/>
    </row>
    <row r="96">
      <c r="C96" s="2"/>
      <c r="G96" s="2"/>
      <c r="K96" s="2"/>
    </row>
    <row r="97">
      <c r="C97" s="2"/>
      <c r="G97" s="2"/>
      <c r="K97" s="2"/>
    </row>
    <row r="98">
      <c r="C98" s="2"/>
      <c r="G98" s="2"/>
      <c r="K98" s="2"/>
    </row>
    <row r="99">
      <c r="C99" s="2"/>
      <c r="G99" s="2"/>
      <c r="K99" s="2"/>
    </row>
    <row r="100">
      <c r="C100" s="2"/>
      <c r="G100" s="2"/>
      <c r="K100" s="2"/>
    </row>
    <row r="101">
      <c r="C101" s="2"/>
      <c r="G101" s="2"/>
      <c r="K101" s="2"/>
    </row>
    <row r="102">
      <c r="C102" s="2"/>
      <c r="G102" s="2"/>
      <c r="K102" s="2"/>
    </row>
    <row r="103">
      <c r="C103" s="2"/>
      <c r="G103" s="2"/>
      <c r="K103" s="2"/>
    </row>
    <row r="104">
      <c r="C104" s="2"/>
      <c r="G104" s="2"/>
      <c r="K104" s="2"/>
    </row>
    <row r="105">
      <c r="C105" s="2"/>
      <c r="G105" s="2"/>
      <c r="K105" s="2"/>
    </row>
    <row r="106">
      <c r="C106" s="2"/>
      <c r="G106" s="2"/>
      <c r="K106" s="2"/>
    </row>
    <row r="107">
      <c r="C107" s="2"/>
      <c r="G107" s="2"/>
      <c r="K107" s="2"/>
    </row>
    <row r="108">
      <c r="C108" s="2"/>
      <c r="G108" s="2"/>
      <c r="K108" s="2"/>
    </row>
    <row r="109">
      <c r="C109" s="2"/>
      <c r="G109" s="2"/>
      <c r="K109" s="2"/>
    </row>
    <row r="110">
      <c r="C110" s="2"/>
      <c r="G110" s="2"/>
      <c r="K110" s="2"/>
    </row>
    <row r="111">
      <c r="C111" s="2"/>
      <c r="G111" s="2"/>
      <c r="K111" s="2"/>
    </row>
    <row r="112">
      <c r="C112" s="2"/>
      <c r="G112" s="2"/>
      <c r="K112" s="2"/>
    </row>
    <row r="113">
      <c r="C113" s="2"/>
      <c r="G113" s="2"/>
      <c r="K113" s="2"/>
    </row>
    <row r="114">
      <c r="C114" s="2"/>
      <c r="G114" s="2"/>
      <c r="K114" s="2"/>
    </row>
    <row r="115">
      <c r="C115" s="2"/>
      <c r="G115" s="2"/>
      <c r="K115" s="2"/>
    </row>
    <row r="116">
      <c r="C116" s="2"/>
      <c r="G116" s="2"/>
      <c r="K116" s="2"/>
    </row>
    <row r="117">
      <c r="C117" s="2"/>
      <c r="G117" s="2"/>
      <c r="K117" s="2"/>
    </row>
    <row r="118">
      <c r="C118" s="2"/>
      <c r="G118" s="2"/>
      <c r="K118" s="2"/>
    </row>
    <row r="119">
      <c r="C119" s="2"/>
      <c r="G119" s="2"/>
      <c r="K119" s="2"/>
    </row>
    <row r="120">
      <c r="C120" s="2"/>
      <c r="G120" s="2"/>
      <c r="K120" s="2"/>
    </row>
    <row r="121">
      <c r="C121" s="2"/>
      <c r="G121" s="2"/>
      <c r="K121" s="2"/>
    </row>
    <row r="122">
      <c r="C122" s="2"/>
      <c r="G122" s="2"/>
      <c r="K122" s="2"/>
    </row>
    <row r="123">
      <c r="C123" s="2"/>
      <c r="G123" s="2"/>
      <c r="K123" s="2"/>
    </row>
    <row r="124">
      <c r="C124" s="2"/>
      <c r="G124" s="2"/>
      <c r="K124" s="2"/>
    </row>
    <row r="125">
      <c r="C125" s="2"/>
      <c r="G125" s="2"/>
      <c r="K125" s="2"/>
    </row>
    <row r="126">
      <c r="C126" s="2"/>
      <c r="G126" s="2"/>
      <c r="K126" s="2"/>
    </row>
    <row r="127">
      <c r="C127" s="2"/>
      <c r="G127" s="2"/>
      <c r="K127" s="2"/>
    </row>
    <row r="128">
      <c r="C128" s="2"/>
      <c r="G128" s="2"/>
      <c r="K128" s="2"/>
    </row>
    <row r="129">
      <c r="C129" s="2"/>
      <c r="G129" s="2"/>
      <c r="K129" s="2"/>
    </row>
    <row r="130">
      <c r="C130" s="2"/>
      <c r="G130" s="2"/>
      <c r="K130" s="2"/>
    </row>
    <row r="131">
      <c r="C131" s="2"/>
      <c r="G131" s="2"/>
      <c r="K131" s="2"/>
    </row>
    <row r="132">
      <c r="C132" s="2"/>
      <c r="G132" s="2"/>
      <c r="K132" s="2"/>
    </row>
    <row r="133">
      <c r="C133" s="2"/>
      <c r="G133" s="2"/>
      <c r="K133" s="2"/>
    </row>
    <row r="134">
      <c r="C134" s="2"/>
      <c r="G134" s="2"/>
      <c r="K134" s="2"/>
    </row>
    <row r="135">
      <c r="C135" s="2"/>
      <c r="G135" s="2"/>
      <c r="K135" s="2"/>
    </row>
    <row r="136">
      <c r="C136" s="2"/>
      <c r="G136" s="2"/>
      <c r="K136" s="2"/>
    </row>
    <row r="137">
      <c r="C137" s="2"/>
      <c r="G137" s="2"/>
      <c r="K137" s="2"/>
    </row>
    <row r="138">
      <c r="C138" s="2"/>
      <c r="G138" s="2"/>
      <c r="K138" s="2"/>
    </row>
    <row r="139">
      <c r="C139" s="2"/>
      <c r="G139" s="2"/>
      <c r="K139" s="2"/>
    </row>
    <row r="140">
      <c r="C140" s="2"/>
      <c r="G140" s="2"/>
      <c r="K140" s="2"/>
    </row>
    <row r="141">
      <c r="C141" s="2"/>
      <c r="G141" s="2"/>
      <c r="K141" s="2"/>
    </row>
    <row r="142">
      <c r="C142" s="2"/>
      <c r="G142" s="2"/>
      <c r="K142" s="2"/>
    </row>
    <row r="143">
      <c r="C143" s="2"/>
      <c r="G143" s="2"/>
      <c r="K143" s="2"/>
    </row>
    <row r="144">
      <c r="C144" s="2"/>
      <c r="G144" s="2"/>
      <c r="K144" s="2"/>
    </row>
    <row r="145">
      <c r="C145" s="2"/>
      <c r="G145" s="2"/>
      <c r="K145" s="2"/>
    </row>
    <row r="146">
      <c r="C146" s="2"/>
      <c r="G146" s="2"/>
      <c r="K146" s="2"/>
    </row>
    <row r="147">
      <c r="C147" s="2"/>
      <c r="G147" s="2"/>
      <c r="K147" s="2"/>
    </row>
    <row r="148">
      <c r="C148" s="2"/>
      <c r="G148" s="2"/>
      <c r="K148" s="2"/>
    </row>
    <row r="149">
      <c r="C149" s="2"/>
      <c r="G149" s="2"/>
      <c r="K149" s="2"/>
    </row>
    <row r="150">
      <c r="C150" s="2"/>
      <c r="G150" s="2"/>
      <c r="K150" s="2"/>
    </row>
    <row r="151">
      <c r="C151" s="2"/>
      <c r="G151" s="2"/>
      <c r="K151" s="2"/>
    </row>
    <row r="152">
      <c r="C152" s="2"/>
      <c r="G152" s="2"/>
      <c r="K152" s="2"/>
    </row>
    <row r="153">
      <c r="C153" s="2"/>
      <c r="G153" s="2"/>
      <c r="K153" s="2"/>
    </row>
    <row r="154">
      <c r="C154" s="2"/>
      <c r="G154" s="2"/>
      <c r="K154" s="2"/>
    </row>
    <row r="155">
      <c r="C155" s="2"/>
      <c r="G155" s="2"/>
      <c r="K155" s="2"/>
    </row>
    <row r="156">
      <c r="C156" s="2"/>
      <c r="G156" s="2"/>
      <c r="K156" s="2"/>
    </row>
    <row r="157">
      <c r="C157" s="2"/>
      <c r="G157" s="2"/>
      <c r="K157" s="2"/>
    </row>
    <row r="158">
      <c r="C158" s="2"/>
      <c r="G158" s="2"/>
      <c r="K158" s="2"/>
    </row>
    <row r="159">
      <c r="C159" s="2"/>
      <c r="G159" s="2"/>
      <c r="K159" s="2"/>
    </row>
    <row r="160">
      <c r="C160" s="2"/>
      <c r="G160" s="2"/>
      <c r="K160" s="2"/>
    </row>
    <row r="161">
      <c r="C161" s="2"/>
      <c r="G161" s="2"/>
      <c r="K161" s="2"/>
    </row>
    <row r="162">
      <c r="C162" s="2"/>
      <c r="G162" s="2"/>
      <c r="K162" s="2"/>
    </row>
    <row r="163">
      <c r="C163" s="2"/>
      <c r="G163" s="2"/>
      <c r="K163" s="2"/>
    </row>
    <row r="164">
      <c r="C164" s="2"/>
      <c r="G164" s="2"/>
      <c r="K164" s="2"/>
    </row>
    <row r="165">
      <c r="C165" s="2"/>
      <c r="G165" s="2"/>
      <c r="K165" s="2"/>
    </row>
    <row r="166">
      <c r="C166" s="2"/>
      <c r="G166" s="2"/>
      <c r="K166" s="2"/>
    </row>
    <row r="167">
      <c r="C167" s="2"/>
      <c r="G167" s="2"/>
      <c r="K167" s="2"/>
    </row>
    <row r="168">
      <c r="C168" s="2"/>
      <c r="G168" s="2"/>
      <c r="K168" s="2"/>
    </row>
    <row r="169">
      <c r="C169" s="2"/>
      <c r="G169" s="2"/>
      <c r="K169" s="2"/>
    </row>
    <row r="170">
      <c r="C170" s="2"/>
      <c r="G170" s="2"/>
      <c r="K170" s="2"/>
    </row>
    <row r="171">
      <c r="C171" s="2"/>
      <c r="G171" s="2"/>
      <c r="K171" s="2"/>
    </row>
    <row r="172">
      <c r="C172" s="2"/>
      <c r="G172" s="2"/>
      <c r="K172" s="2"/>
    </row>
    <row r="173">
      <c r="C173" s="2"/>
      <c r="G173" s="2"/>
      <c r="K173" s="2"/>
    </row>
    <row r="174">
      <c r="C174" s="2"/>
      <c r="G174" s="2"/>
      <c r="K174" s="2"/>
    </row>
    <row r="175">
      <c r="C175" s="2"/>
      <c r="G175" s="2"/>
      <c r="K175" s="2"/>
    </row>
    <row r="176">
      <c r="C176" s="2"/>
      <c r="G176" s="2"/>
      <c r="K176" s="2"/>
    </row>
    <row r="177">
      <c r="C177" s="2"/>
      <c r="G177" s="2"/>
      <c r="K177" s="2"/>
    </row>
    <row r="178">
      <c r="C178" s="2"/>
      <c r="G178" s="2"/>
      <c r="K178" s="2"/>
    </row>
    <row r="179">
      <c r="C179" s="2"/>
      <c r="G179" s="2"/>
      <c r="K179" s="2"/>
    </row>
    <row r="180">
      <c r="C180" s="2"/>
      <c r="G180" s="2"/>
      <c r="K180" s="2"/>
    </row>
    <row r="181">
      <c r="C181" s="2"/>
      <c r="G181" s="2"/>
      <c r="K181" s="2"/>
    </row>
    <row r="182">
      <c r="C182" s="2"/>
      <c r="G182" s="2"/>
      <c r="K182" s="2"/>
    </row>
    <row r="183">
      <c r="C183" s="2"/>
      <c r="G183" s="2"/>
      <c r="K183" s="2"/>
    </row>
    <row r="184">
      <c r="C184" s="2"/>
      <c r="G184" s="2"/>
      <c r="K184" s="2"/>
    </row>
    <row r="185">
      <c r="C185" s="2"/>
      <c r="G185" s="2"/>
      <c r="K185" s="2"/>
    </row>
    <row r="186">
      <c r="C186" s="2"/>
      <c r="G186" s="2"/>
      <c r="K186" s="2"/>
    </row>
    <row r="187">
      <c r="C187" s="2"/>
      <c r="G187" s="2"/>
      <c r="K187" s="2"/>
    </row>
    <row r="188">
      <c r="C188" s="2"/>
      <c r="G188" s="2"/>
      <c r="K188" s="2"/>
    </row>
    <row r="189">
      <c r="C189" s="2"/>
      <c r="G189" s="2"/>
      <c r="K189" s="2"/>
    </row>
    <row r="190">
      <c r="C190" s="2"/>
      <c r="G190" s="2"/>
      <c r="K190" s="2"/>
    </row>
    <row r="191">
      <c r="C191" s="2"/>
      <c r="G191" s="2"/>
      <c r="K191" s="2"/>
    </row>
    <row r="192">
      <c r="C192" s="2"/>
      <c r="G192" s="2"/>
      <c r="K192" s="2"/>
    </row>
    <row r="193">
      <c r="C193" s="2"/>
      <c r="G193" s="2"/>
      <c r="K193" s="2"/>
    </row>
    <row r="194">
      <c r="C194" s="2"/>
      <c r="G194" s="2"/>
      <c r="K194" s="2"/>
    </row>
    <row r="195">
      <c r="C195" s="2"/>
      <c r="G195" s="2"/>
      <c r="K195" s="2"/>
    </row>
    <row r="196">
      <c r="C196" s="2"/>
      <c r="G196" s="2"/>
      <c r="K196" s="2"/>
    </row>
    <row r="197">
      <c r="C197" s="2"/>
      <c r="G197" s="2"/>
      <c r="K197" s="2"/>
    </row>
    <row r="198">
      <c r="C198" s="2"/>
      <c r="G198" s="2"/>
      <c r="K198" s="2"/>
    </row>
    <row r="199">
      <c r="C199" s="2"/>
      <c r="G199" s="2"/>
      <c r="K199" s="2"/>
    </row>
    <row r="200">
      <c r="C200" s="2"/>
      <c r="G200" s="2"/>
      <c r="K200" s="2"/>
    </row>
    <row r="201">
      <c r="C201" s="2"/>
      <c r="G201" s="2"/>
      <c r="K201" s="2"/>
    </row>
    <row r="202">
      <c r="C202" s="2"/>
      <c r="G202" s="2"/>
      <c r="K202" s="2"/>
    </row>
    <row r="203">
      <c r="C203" s="2"/>
      <c r="G203" s="2"/>
      <c r="K203" s="2"/>
    </row>
    <row r="204">
      <c r="C204" s="2"/>
      <c r="G204" s="2"/>
      <c r="K204" s="2"/>
    </row>
    <row r="205">
      <c r="C205" s="2"/>
      <c r="G205" s="2"/>
      <c r="K205" s="2"/>
    </row>
    <row r="206">
      <c r="C206" s="2"/>
      <c r="G206" s="2"/>
      <c r="K206" s="2"/>
    </row>
    <row r="207">
      <c r="C207" s="2"/>
      <c r="G207" s="2"/>
      <c r="K207" s="2"/>
    </row>
    <row r="208">
      <c r="C208" s="2"/>
      <c r="G208" s="2"/>
      <c r="K208" s="2"/>
    </row>
    <row r="209">
      <c r="C209" s="2"/>
      <c r="G209" s="2"/>
      <c r="K209" s="2"/>
    </row>
    <row r="210">
      <c r="C210" s="2"/>
      <c r="G210" s="2"/>
      <c r="K210" s="2"/>
    </row>
    <row r="211">
      <c r="C211" s="2"/>
      <c r="G211" s="2"/>
      <c r="K211" s="2"/>
    </row>
    <row r="212">
      <c r="C212" s="2"/>
      <c r="G212" s="2"/>
      <c r="K212" s="2"/>
    </row>
    <row r="213">
      <c r="C213" s="2"/>
      <c r="G213" s="2"/>
      <c r="K213" s="2"/>
    </row>
    <row r="214">
      <c r="C214" s="2"/>
      <c r="G214" s="2"/>
      <c r="K214" s="2"/>
    </row>
    <row r="215">
      <c r="C215" s="2"/>
      <c r="G215" s="2"/>
      <c r="K215" s="2"/>
    </row>
    <row r="216">
      <c r="C216" s="2"/>
      <c r="G216" s="2"/>
      <c r="K216" s="2"/>
    </row>
    <row r="217">
      <c r="C217" s="2"/>
      <c r="G217" s="2"/>
      <c r="K217" s="2"/>
    </row>
    <row r="218">
      <c r="C218" s="2"/>
      <c r="G218" s="2"/>
      <c r="K218" s="2"/>
    </row>
    <row r="219">
      <c r="C219" s="2"/>
      <c r="G219" s="2"/>
      <c r="K219" s="2"/>
    </row>
    <row r="220">
      <c r="C220" s="2"/>
      <c r="G220" s="2"/>
      <c r="K220" s="2"/>
    </row>
    <row r="221">
      <c r="C221" s="2"/>
      <c r="G221" s="2"/>
      <c r="K221" s="2"/>
    </row>
    <row r="222">
      <c r="C222" s="2"/>
      <c r="G222" s="2"/>
      <c r="K222" s="2"/>
    </row>
    <row r="223">
      <c r="C223" s="2"/>
      <c r="G223" s="2"/>
      <c r="K223" s="2"/>
    </row>
    <row r="224">
      <c r="C224" s="2"/>
      <c r="G224" s="2"/>
      <c r="K224" s="2"/>
    </row>
    <row r="225">
      <c r="C225" s="2"/>
      <c r="G225" s="2"/>
      <c r="K225" s="2"/>
    </row>
    <row r="226">
      <c r="C226" s="2"/>
      <c r="G226" s="2"/>
      <c r="K226" s="2"/>
    </row>
    <row r="227">
      <c r="C227" s="2"/>
      <c r="G227" s="2"/>
      <c r="K227" s="2"/>
    </row>
    <row r="228">
      <c r="C228" s="2"/>
      <c r="G228" s="2"/>
      <c r="K228" s="2"/>
    </row>
    <row r="229">
      <c r="C229" s="2"/>
      <c r="G229" s="2"/>
      <c r="K229" s="2"/>
    </row>
    <row r="230">
      <c r="C230" s="2"/>
      <c r="G230" s="2"/>
      <c r="K230" s="2"/>
    </row>
    <row r="231">
      <c r="C231" s="2"/>
      <c r="G231" s="2"/>
      <c r="K231" s="2"/>
    </row>
    <row r="232">
      <c r="C232" s="2"/>
      <c r="G232" s="2"/>
      <c r="K232" s="2"/>
    </row>
    <row r="233">
      <c r="C233" s="2"/>
      <c r="G233" s="2"/>
      <c r="K233" s="2"/>
    </row>
    <row r="234">
      <c r="C234" s="2"/>
      <c r="G234" s="2"/>
      <c r="K234" s="2"/>
    </row>
    <row r="235">
      <c r="C235" s="2"/>
      <c r="G235" s="2"/>
      <c r="K235" s="2"/>
    </row>
    <row r="236">
      <c r="C236" s="2"/>
      <c r="G236" s="2"/>
      <c r="K236" s="2"/>
    </row>
    <row r="237">
      <c r="C237" s="2"/>
      <c r="G237" s="2"/>
      <c r="K237" s="2"/>
    </row>
    <row r="238">
      <c r="C238" s="2"/>
      <c r="G238" s="2"/>
      <c r="K238" s="2"/>
    </row>
    <row r="239">
      <c r="C239" s="2"/>
      <c r="G239" s="2"/>
      <c r="K239" s="2"/>
    </row>
    <row r="240">
      <c r="C240" s="2"/>
      <c r="G240" s="2"/>
      <c r="K240" s="2"/>
    </row>
    <row r="241">
      <c r="C241" s="2"/>
      <c r="G241" s="2"/>
      <c r="K241" s="2"/>
    </row>
    <row r="242">
      <c r="C242" s="2"/>
      <c r="G242" s="2"/>
      <c r="K242" s="2"/>
    </row>
    <row r="243">
      <c r="C243" s="2"/>
      <c r="G243" s="2"/>
      <c r="K243" s="2"/>
    </row>
    <row r="244">
      <c r="C244" s="2"/>
      <c r="G244" s="2"/>
      <c r="K244" s="2"/>
    </row>
    <row r="245">
      <c r="C245" s="2"/>
      <c r="G245" s="2"/>
      <c r="K245" s="2"/>
    </row>
    <row r="246">
      <c r="C246" s="2"/>
      <c r="G246" s="2"/>
      <c r="K246" s="2"/>
    </row>
    <row r="247">
      <c r="C247" s="2"/>
      <c r="G247" s="2"/>
      <c r="K247" s="2"/>
    </row>
    <row r="248">
      <c r="C248" s="2"/>
      <c r="G248" s="2"/>
      <c r="K248" s="2"/>
    </row>
    <row r="249">
      <c r="C249" s="2"/>
      <c r="G249" s="2"/>
      <c r="K249" s="2"/>
    </row>
    <row r="250">
      <c r="C250" s="2"/>
      <c r="G250" s="2"/>
      <c r="K250" s="2"/>
    </row>
    <row r="251">
      <c r="C251" s="2"/>
      <c r="G251" s="2"/>
      <c r="K251" s="2"/>
    </row>
    <row r="252">
      <c r="C252" s="2"/>
      <c r="G252" s="2"/>
      <c r="K252" s="2"/>
    </row>
    <row r="253">
      <c r="C253" s="2"/>
      <c r="G253" s="2"/>
      <c r="K253" s="2"/>
    </row>
    <row r="254">
      <c r="C254" s="2"/>
      <c r="G254" s="2"/>
      <c r="K254" s="2"/>
    </row>
    <row r="255">
      <c r="C255" s="2"/>
      <c r="G255" s="2"/>
      <c r="K255" s="2"/>
    </row>
    <row r="256">
      <c r="C256" s="2"/>
      <c r="G256" s="2"/>
      <c r="K256" s="2"/>
    </row>
    <row r="257">
      <c r="C257" s="2"/>
      <c r="G257" s="2"/>
      <c r="K257" s="2"/>
    </row>
    <row r="258">
      <c r="C258" s="2"/>
      <c r="G258" s="2"/>
      <c r="K258" s="2"/>
    </row>
    <row r="259">
      <c r="C259" s="2"/>
      <c r="G259" s="2"/>
      <c r="K259" s="2"/>
    </row>
    <row r="260">
      <c r="C260" s="2"/>
      <c r="G260" s="2"/>
      <c r="K260" s="2"/>
    </row>
    <row r="261">
      <c r="C261" s="2"/>
      <c r="G261" s="2"/>
      <c r="K261" s="2"/>
    </row>
    <row r="262">
      <c r="C262" s="2"/>
      <c r="G262" s="2"/>
      <c r="K262" s="2"/>
    </row>
    <row r="263">
      <c r="C263" s="2"/>
      <c r="G263" s="2"/>
      <c r="K263" s="2"/>
    </row>
    <row r="264">
      <c r="C264" s="2"/>
      <c r="G264" s="2"/>
      <c r="K264" s="2"/>
    </row>
    <row r="265">
      <c r="C265" s="2"/>
      <c r="G265" s="2"/>
      <c r="K265" s="2"/>
    </row>
    <row r="266">
      <c r="C266" s="2"/>
      <c r="G266" s="2"/>
      <c r="K266" s="2"/>
    </row>
    <row r="267">
      <c r="C267" s="2"/>
      <c r="G267" s="2"/>
      <c r="K267" s="2"/>
    </row>
    <row r="268">
      <c r="C268" s="2"/>
      <c r="G268" s="2"/>
      <c r="K268" s="2"/>
    </row>
    <row r="269">
      <c r="C269" s="2"/>
      <c r="G269" s="2"/>
      <c r="K269" s="2"/>
    </row>
    <row r="270">
      <c r="C270" s="2"/>
      <c r="G270" s="2"/>
      <c r="K270" s="2"/>
    </row>
    <row r="271">
      <c r="C271" s="2"/>
      <c r="G271" s="2"/>
      <c r="K271" s="2"/>
    </row>
    <row r="272">
      <c r="C272" s="2"/>
      <c r="G272" s="2"/>
      <c r="K272" s="2"/>
    </row>
    <row r="273">
      <c r="C273" s="2"/>
      <c r="G273" s="2"/>
      <c r="K273" s="2"/>
    </row>
    <row r="274">
      <c r="C274" s="2"/>
      <c r="G274" s="2"/>
      <c r="K274" s="2"/>
    </row>
    <row r="275">
      <c r="C275" s="2"/>
      <c r="G275" s="2"/>
      <c r="K275" s="2"/>
    </row>
    <row r="276">
      <c r="C276" s="2"/>
      <c r="G276" s="2"/>
      <c r="K276" s="2"/>
    </row>
    <row r="277">
      <c r="C277" s="2"/>
      <c r="G277" s="2"/>
      <c r="K277" s="2"/>
    </row>
    <row r="278">
      <c r="C278" s="2"/>
      <c r="G278" s="2"/>
      <c r="K278" s="2"/>
    </row>
    <row r="279">
      <c r="C279" s="2"/>
      <c r="G279" s="2"/>
      <c r="K279" s="2"/>
    </row>
    <row r="280">
      <c r="C280" s="2"/>
      <c r="G280" s="2"/>
      <c r="K280" s="2"/>
    </row>
    <row r="281">
      <c r="C281" s="2"/>
      <c r="G281" s="2"/>
      <c r="K281" s="2"/>
    </row>
    <row r="282">
      <c r="C282" s="2"/>
      <c r="G282" s="2"/>
      <c r="K282" s="2"/>
    </row>
    <row r="283">
      <c r="C283" s="2"/>
      <c r="G283" s="2"/>
      <c r="K283" s="2"/>
    </row>
    <row r="284">
      <c r="C284" s="2"/>
      <c r="G284" s="2"/>
      <c r="K284" s="2"/>
    </row>
    <row r="285">
      <c r="C285" s="2"/>
      <c r="G285" s="2"/>
      <c r="K285" s="2"/>
    </row>
    <row r="286">
      <c r="C286" s="2"/>
      <c r="G286" s="2"/>
      <c r="K286" s="2"/>
    </row>
    <row r="287">
      <c r="C287" s="2"/>
      <c r="G287" s="2"/>
      <c r="K287" s="2"/>
    </row>
    <row r="288">
      <c r="C288" s="2"/>
      <c r="G288" s="2"/>
      <c r="K288" s="2"/>
    </row>
    <row r="289">
      <c r="C289" s="2"/>
      <c r="G289" s="2"/>
      <c r="K289" s="2"/>
    </row>
    <row r="290">
      <c r="C290" s="2"/>
      <c r="G290" s="2"/>
      <c r="K290" s="2"/>
    </row>
    <row r="291">
      <c r="C291" s="2"/>
      <c r="G291" s="2"/>
      <c r="K291" s="2"/>
    </row>
    <row r="292">
      <c r="C292" s="2"/>
      <c r="G292" s="2"/>
      <c r="K292" s="2"/>
    </row>
    <row r="293">
      <c r="C293" s="2"/>
      <c r="G293" s="2"/>
      <c r="K293" s="2"/>
    </row>
    <row r="294">
      <c r="C294" s="2"/>
      <c r="G294" s="2"/>
      <c r="K294" s="2"/>
    </row>
    <row r="295">
      <c r="C295" s="2"/>
      <c r="G295" s="2"/>
      <c r="K295" s="2"/>
    </row>
    <row r="296">
      <c r="C296" s="2"/>
      <c r="G296" s="2"/>
      <c r="K296" s="2"/>
    </row>
    <row r="297">
      <c r="C297" s="2"/>
      <c r="G297" s="2"/>
      <c r="K297" s="2"/>
    </row>
    <row r="298">
      <c r="C298" s="2"/>
      <c r="G298" s="2"/>
      <c r="K298" s="2"/>
    </row>
    <row r="299">
      <c r="C299" s="2"/>
      <c r="G299" s="2"/>
      <c r="K299" s="2"/>
    </row>
    <row r="300">
      <c r="C300" s="2"/>
      <c r="G300" s="2"/>
      <c r="K300" s="2"/>
    </row>
    <row r="301">
      <c r="C301" s="2"/>
      <c r="G301" s="2"/>
      <c r="K301" s="2"/>
    </row>
    <row r="302">
      <c r="C302" s="2"/>
      <c r="G302" s="2"/>
      <c r="K302" s="2"/>
    </row>
    <row r="303">
      <c r="C303" s="2"/>
      <c r="G303" s="2"/>
      <c r="K303" s="2"/>
    </row>
    <row r="304">
      <c r="C304" s="2"/>
      <c r="G304" s="2"/>
      <c r="K304" s="2"/>
    </row>
    <row r="305">
      <c r="C305" s="2"/>
      <c r="G305" s="2"/>
      <c r="K305" s="2"/>
    </row>
    <row r="306">
      <c r="C306" s="2"/>
      <c r="G306" s="2"/>
      <c r="K306" s="2"/>
    </row>
    <row r="307">
      <c r="C307" s="2"/>
      <c r="G307" s="2"/>
      <c r="K307" s="2"/>
    </row>
    <row r="308">
      <c r="C308" s="2"/>
      <c r="G308" s="2"/>
      <c r="K308" s="2"/>
    </row>
    <row r="309">
      <c r="C309" s="2"/>
      <c r="G309" s="2"/>
      <c r="K309" s="2"/>
    </row>
    <row r="310">
      <c r="C310" s="2"/>
      <c r="G310" s="2"/>
      <c r="K310" s="2"/>
    </row>
    <row r="311">
      <c r="C311" s="2"/>
      <c r="G311" s="2"/>
      <c r="K311" s="2"/>
    </row>
    <row r="312">
      <c r="C312" s="2"/>
      <c r="G312" s="2"/>
      <c r="K312" s="2"/>
    </row>
    <row r="313">
      <c r="C313" s="2"/>
      <c r="G313" s="2"/>
      <c r="K313" s="2"/>
    </row>
    <row r="314">
      <c r="C314" s="2"/>
      <c r="G314" s="2"/>
      <c r="K314" s="2"/>
    </row>
    <row r="315">
      <c r="C315" s="2"/>
      <c r="G315" s="2"/>
      <c r="K315" s="2"/>
    </row>
    <row r="316">
      <c r="C316" s="2"/>
      <c r="G316" s="2"/>
      <c r="K316" s="2"/>
    </row>
    <row r="317">
      <c r="C317" s="2"/>
      <c r="G317" s="2"/>
      <c r="K317" s="2"/>
    </row>
    <row r="318">
      <c r="C318" s="2"/>
      <c r="G318" s="2"/>
      <c r="K318" s="2"/>
    </row>
    <row r="319">
      <c r="C319" s="2"/>
      <c r="G319" s="2"/>
      <c r="K319" s="2"/>
    </row>
    <row r="320">
      <c r="C320" s="2"/>
      <c r="G320" s="2"/>
      <c r="K320" s="2"/>
    </row>
    <row r="321">
      <c r="C321" s="2"/>
      <c r="G321" s="2"/>
      <c r="K321" s="2"/>
    </row>
    <row r="322">
      <c r="C322" s="2"/>
      <c r="G322" s="2"/>
      <c r="K322" s="2"/>
    </row>
    <row r="323">
      <c r="C323" s="2"/>
      <c r="G323" s="2"/>
      <c r="K323" s="2"/>
    </row>
    <row r="324">
      <c r="C324" s="2"/>
      <c r="G324" s="2"/>
      <c r="K324" s="2"/>
    </row>
    <row r="325">
      <c r="C325" s="2"/>
      <c r="G325" s="2"/>
      <c r="K325" s="2"/>
    </row>
    <row r="326">
      <c r="C326" s="2"/>
      <c r="G326" s="2"/>
      <c r="K326" s="2"/>
    </row>
    <row r="327">
      <c r="C327" s="2"/>
      <c r="G327" s="2"/>
      <c r="K327" s="2"/>
    </row>
    <row r="328">
      <c r="C328" s="2"/>
      <c r="G328" s="2"/>
      <c r="K328" s="2"/>
    </row>
    <row r="329">
      <c r="C329" s="2"/>
      <c r="G329" s="2"/>
      <c r="K329" s="2"/>
    </row>
    <row r="330">
      <c r="C330" s="2"/>
      <c r="G330" s="2"/>
      <c r="K330" s="2"/>
    </row>
    <row r="331">
      <c r="C331" s="2"/>
      <c r="G331" s="2"/>
      <c r="K331" s="2"/>
    </row>
    <row r="332">
      <c r="C332" s="2"/>
      <c r="G332" s="2"/>
      <c r="K332" s="2"/>
    </row>
    <row r="333">
      <c r="C333" s="2"/>
      <c r="G333" s="2"/>
      <c r="K333" s="2"/>
    </row>
    <row r="334">
      <c r="C334" s="2"/>
      <c r="G334" s="2"/>
      <c r="K334" s="2"/>
    </row>
    <row r="335">
      <c r="C335" s="2"/>
      <c r="G335" s="2"/>
      <c r="K335" s="2"/>
    </row>
    <row r="336">
      <c r="C336" s="2"/>
      <c r="G336" s="2"/>
      <c r="K336" s="2"/>
    </row>
    <row r="337">
      <c r="C337" s="2"/>
      <c r="G337" s="2"/>
      <c r="K337" s="2"/>
    </row>
    <row r="338">
      <c r="C338" s="2"/>
      <c r="G338" s="2"/>
      <c r="K338" s="2"/>
    </row>
    <row r="339">
      <c r="C339" s="2"/>
      <c r="G339" s="2"/>
      <c r="K339" s="2"/>
    </row>
    <row r="340">
      <c r="C340" s="2"/>
      <c r="G340" s="2"/>
      <c r="K340" s="2"/>
    </row>
    <row r="341">
      <c r="C341" s="2"/>
      <c r="G341" s="2"/>
      <c r="K341" s="2"/>
    </row>
    <row r="342">
      <c r="C342" s="2"/>
      <c r="G342" s="2"/>
      <c r="K342" s="2"/>
    </row>
    <row r="343">
      <c r="C343" s="2"/>
      <c r="G343" s="2"/>
      <c r="K343" s="2"/>
    </row>
    <row r="344">
      <c r="C344" s="2"/>
      <c r="G344" s="2"/>
      <c r="K344" s="2"/>
    </row>
    <row r="345">
      <c r="C345" s="2"/>
      <c r="G345" s="2"/>
      <c r="K345" s="2"/>
    </row>
    <row r="346">
      <c r="C346" s="2"/>
      <c r="G346" s="2"/>
      <c r="K346" s="2"/>
    </row>
    <row r="347">
      <c r="C347" s="2"/>
      <c r="G347" s="2"/>
      <c r="K347" s="2"/>
    </row>
    <row r="348">
      <c r="C348" s="2"/>
      <c r="G348" s="2"/>
      <c r="K348" s="2"/>
    </row>
    <row r="349">
      <c r="C349" s="2"/>
      <c r="G349" s="2"/>
      <c r="K349" s="2"/>
    </row>
    <row r="350">
      <c r="C350" s="2"/>
      <c r="G350" s="2"/>
      <c r="K350" s="2"/>
    </row>
    <row r="351">
      <c r="C351" s="2"/>
      <c r="G351" s="2"/>
      <c r="K351" s="2"/>
    </row>
    <row r="352">
      <c r="C352" s="2"/>
      <c r="G352" s="2"/>
      <c r="K352" s="2"/>
    </row>
    <row r="353">
      <c r="C353" s="2"/>
      <c r="G353" s="2"/>
      <c r="K353" s="2"/>
    </row>
    <row r="354">
      <c r="C354" s="2"/>
      <c r="G354" s="2"/>
      <c r="K354" s="2"/>
    </row>
    <row r="355">
      <c r="C355" s="2"/>
      <c r="G355" s="2"/>
      <c r="K355" s="2"/>
    </row>
    <row r="356">
      <c r="C356" s="2"/>
      <c r="G356" s="2"/>
      <c r="K356" s="2"/>
    </row>
    <row r="357">
      <c r="C357" s="2"/>
      <c r="G357" s="2"/>
      <c r="K357" s="2"/>
    </row>
    <row r="358">
      <c r="C358" s="2"/>
      <c r="G358" s="2"/>
      <c r="K358" s="2"/>
    </row>
    <row r="359">
      <c r="C359" s="2"/>
      <c r="G359" s="2"/>
      <c r="K359" s="2"/>
    </row>
    <row r="360">
      <c r="C360" s="2"/>
      <c r="G360" s="2"/>
      <c r="K360" s="2"/>
    </row>
    <row r="361">
      <c r="C361" s="2"/>
      <c r="G361" s="2"/>
      <c r="K361" s="2"/>
    </row>
    <row r="362">
      <c r="C362" s="2"/>
      <c r="G362" s="2"/>
      <c r="K362" s="2"/>
    </row>
    <row r="363">
      <c r="C363" s="2"/>
      <c r="G363" s="2"/>
      <c r="K363" s="2"/>
    </row>
    <row r="364">
      <c r="C364" s="2"/>
      <c r="G364" s="2"/>
      <c r="K364" s="2"/>
    </row>
    <row r="365">
      <c r="C365" s="2"/>
      <c r="G365" s="2"/>
      <c r="K365" s="2"/>
    </row>
    <row r="366">
      <c r="C366" s="2"/>
      <c r="G366" s="2"/>
      <c r="K366" s="2"/>
    </row>
    <row r="367">
      <c r="C367" s="2"/>
      <c r="G367" s="2"/>
      <c r="K367" s="2"/>
    </row>
    <row r="368">
      <c r="C368" s="2"/>
      <c r="G368" s="2"/>
      <c r="K368" s="2"/>
    </row>
    <row r="369">
      <c r="C369" s="2"/>
      <c r="G369" s="2"/>
      <c r="K369" s="2"/>
    </row>
    <row r="370">
      <c r="C370" s="2"/>
      <c r="G370" s="2"/>
      <c r="K370" s="2"/>
    </row>
    <row r="371">
      <c r="C371" s="2"/>
      <c r="G371" s="2"/>
      <c r="K371" s="2"/>
    </row>
    <row r="372">
      <c r="C372" s="2"/>
      <c r="G372" s="2"/>
      <c r="K372" s="2"/>
    </row>
    <row r="373">
      <c r="C373" s="2"/>
      <c r="G373" s="2"/>
      <c r="K373" s="2"/>
    </row>
    <row r="374">
      <c r="C374" s="2"/>
      <c r="G374" s="2"/>
      <c r="K374" s="2"/>
    </row>
    <row r="375">
      <c r="C375" s="2"/>
      <c r="G375" s="2"/>
      <c r="K375" s="2"/>
    </row>
    <row r="376">
      <c r="C376" s="2"/>
      <c r="G376" s="2"/>
      <c r="K376" s="2"/>
    </row>
    <row r="377">
      <c r="C377" s="2"/>
      <c r="G377" s="2"/>
      <c r="K377" s="2"/>
    </row>
    <row r="378">
      <c r="C378" s="2"/>
      <c r="G378" s="2"/>
      <c r="K378" s="2"/>
    </row>
    <row r="379">
      <c r="C379" s="2"/>
      <c r="G379" s="2"/>
      <c r="K379" s="2"/>
    </row>
    <row r="380">
      <c r="C380" s="2"/>
      <c r="G380" s="2"/>
      <c r="K380" s="2"/>
    </row>
    <row r="381">
      <c r="C381" s="2"/>
      <c r="G381" s="2"/>
      <c r="K381" s="2"/>
    </row>
    <row r="382">
      <c r="C382" s="2"/>
      <c r="G382" s="2"/>
      <c r="K382" s="2"/>
    </row>
    <row r="383">
      <c r="C383" s="2"/>
      <c r="G383" s="2"/>
      <c r="K383" s="2"/>
    </row>
    <row r="384">
      <c r="C384" s="2"/>
      <c r="G384" s="2"/>
      <c r="K384" s="2"/>
    </row>
    <row r="385">
      <c r="C385" s="2"/>
      <c r="G385" s="2"/>
      <c r="K385" s="2"/>
    </row>
    <row r="386">
      <c r="C386" s="2"/>
      <c r="G386" s="2"/>
      <c r="K386" s="2"/>
    </row>
    <row r="387">
      <c r="C387" s="2"/>
      <c r="G387" s="2"/>
      <c r="K387" s="2"/>
    </row>
    <row r="388">
      <c r="C388" s="2"/>
      <c r="G388" s="2"/>
      <c r="K388" s="2"/>
    </row>
    <row r="389">
      <c r="C389" s="2"/>
      <c r="G389" s="2"/>
      <c r="K389" s="2"/>
    </row>
    <row r="390">
      <c r="C390" s="2"/>
      <c r="G390" s="2"/>
      <c r="K390" s="2"/>
    </row>
    <row r="391">
      <c r="C391" s="2"/>
      <c r="G391" s="2"/>
      <c r="K391" s="2"/>
    </row>
    <row r="392">
      <c r="C392" s="2"/>
      <c r="G392" s="2"/>
      <c r="K392" s="2"/>
    </row>
    <row r="393">
      <c r="C393" s="2"/>
      <c r="G393" s="2"/>
      <c r="K393" s="2"/>
    </row>
    <row r="394">
      <c r="C394" s="2"/>
      <c r="G394" s="2"/>
      <c r="K394" s="2"/>
    </row>
    <row r="395">
      <c r="C395" s="2"/>
      <c r="G395" s="2"/>
      <c r="K395" s="2"/>
    </row>
    <row r="396">
      <c r="C396" s="2"/>
      <c r="G396" s="2"/>
      <c r="K396" s="2"/>
    </row>
    <row r="397">
      <c r="C397" s="2"/>
      <c r="G397" s="2"/>
      <c r="K397" s="2"/>
    </row>
    <row r="398">
      <c r="C398" s="2"/>
      <c r="G398" s="2"/>
      <c r="K398" s="2"/>
    </row>
    <row r="399">
      <c r="C399" s="2"/>
      <c r="G399" s="2"/>
      <c r="K399" s="2"/>
    </row>
    <row r="400">
      <c r="C400" s="2"/>
      <c r="G400" s="2"/>
      <c r="K400" s="2"/>
    </row>
    <row r="401">
      <c r="C401" s="2"/>
      <c r="G401" s="2"/>
      <c r="K401" s="2"/>
    </row>
    <row r="402">
      <c r="C402" s="2"/>
      <c r="G402" s="2"/>
      <c r="K402" s="2"/>
    </row>
    <row r="403">
      <c r="C403" s="2"/>
      <c r="G403" s="2"/>
      <c r="K403" s="2"/>
    </row>
    <row r="404">
      <c r="C404" s="2"/>
      <c r="G404" s="2"/>
      <c r="K404" s="2"/>
    </row>
    <row r="405">
      <c r="C405" s="2"/>
      <c r="G405" s="2"/>
      <c r="K405" s="2"/>
    </row>
    <row r="406">
      <c r="C406" s="2"/>
      <c r="G406" s="2"/>
      <c r="K406" s="2"/>
    </row>
    <row r="407">
      <c r="C407" s="2"/>
      <c r="G407" s="2"/>
      <c r="K407" s="2"/>
    </row>
    <row r="408">
      <c r="C408" s="2"/>
      <c r="G408" s="2"/>
      <c r="K408" s="2"/>
    </row>
    <row r="409">
      <c r="C409" s="2"/>
      <c r="G409" s="2"/>
      <c r="K409" s="2"/>
    </row>
    <row r="410">
      <c r="C410" s="2"/>
      <c r="G410" s="2"/>
      <c r="K410" s="2"/>
    </row>
    <row r="411">
      <c r="C411" s="2"/>
      <c r="G411" s="2"/>
      <c r="K411" s="2"/>
    </row>
    <row r="412">
      <c r="C412" s="2"/>
      <c r="G412" s="2"/>
      <c r="K412" s="2"/>
    </row>
    <row r="413">
      <c r="C413" s="2"/>
      <c r="G413" s="2"/>
      <c r="K413" s="2"/>
    </row>
    <row r="414">
      <c r="C414" s="2"/>
      <c r="G414" s="2"/>
      <c r="K414" s="2"/>
    </row>
    <row r="415">
      <c r="C415" s="2"/>
      <c r="G415" s="2"/>
      <c r="K415" s="2"/>
    </row>
    <row r="416">
      <c r="C416" s="2"/>
      <c r="G416" s="2"/>
      <c r="K416" s="2"/>
    </row>
    <row r="417">
      <c r="C417" s="2"/>
      <c r="G417" s="2"/>
      <c r="K417" s="2"/>
    </row>
    <row r="418">
      <c r="C418" s="2"/>
      <c r="G418" s="2"/>
      <c r="K418" s="2"/>
    </row>
    <row r="419">
      <c r="C419" s="2"/>
      <c r="G419" s="2"/>
      <c r="K419" s="2"/>
    </row>
    <row r="420">
      <c r="C420" s="2"/>
      <c r="G420" s="2"/>
      <c r="K420" s="2"/>
    </row>
    <row r="421">
      <c r="C421" s="2"/>
      <c r="G421" s="2"/>
      <c r="K421" s="2"/>
    </row>
    <row r="422">
      <c r="C422" s="2"/>
      <c r="G422" s="2"/>
      <c r="K422" s="2"/>
    </row>
    <row r="423">
      <c r="C423" s="2"/>
      <c r="G423" s="2"/>
      <c r="K423" s="2"/>
    </row>
    <row r="424">
      <c r="C424" s="2"/>
      <c r="G424" s="2"/>
      <c r="K424" s="2"/>
    </row>
    <row r="425">
      <c r="C425" s="2"/>
      <c r="G425" s="2"/>
      <c r="K425" s="2"/>
    </row>
    <row r="426">
      <c r="C426" s="2"/>
      <c r="G426" s="2"/>
      <c r="K426" s="2"/>
    </row>
    <row r="427">
      <c r="C427" s="2"/>
      <c r="G427" s="2"/>
      <c r="K427" s="2"/>
    </row>
    <row r="428">
      <c r="C428" s="2"/>
      <c r="G428" s="2"/>
      <c r="K428" s="2"/>
    </row>
    <row r="429">
      <c r="C429" s="2"/>
      <c r="G429" s="2"/>
      <c r="K429" s="2"/>
    </row>
    <row r="430">
      <c r="C430" s="2"/>
      <c r="G430" s="2"/>
      <c r="K430" s="2"/>
    </row>
    <row r="431">
      <c r="C431" s="2"/>
      <c r="G431" s="2"/>
      <c r="K431" s="2"/>
    </row>
    <row r="432">
      <c r="C432" s="2"/>
      <c r="G432" s="2"/>
      <c r="K432" s="2"/>
    </row>
    <row r="433">
      <c r="C433" s="2"/>
      <c r="G433" s="2"/>
      <c r="K433" s="2"/>
    </row>
    <row r="434">
      <c r="C434" s="2"/>
      <c r="G434" s="2"/>
      <c r="K434" s="2"/>
    </row>
    <row r="435">
      <c r="C435" s="2"/>
      <c r="G435" s="2"/>
      <c r="K435" s="2"/>
    </row>
    <row r="436">
      <c r="C436" s="2"/>
      <c r="G436" s="2"/>
      <c r="K436" s="2"/>
    </row>
    <row r="437">
      <c r="C437" s="2"/>
      <c r="G437" s="2"/>
      <c r="K437" s="2"/>
    </row>
    <row r="438">
      <c r="C438" s="2"/>
      <c r="G438" s="2"/>
      <c r="K438" s="2"/>
    </row>
    <row r="439">
      <c r="C439" s="2"/>
      <c r="G439" s="2"/>
      <c r="K439" s="2"/>
    </row>
    <row r="440">
      <c r="C440" s="2"/>
      <c r="G440" s="2"/>
      <c r="K440" s="2"/>
    </row>
    <row r="441">
      <c r="C441" s="2"/>
      <c r="G441" s="2"/>
      <c r="K441" s="2"/>
    </row>
    <row r="442">
      <c r="C442" s="2"/>
      <c r="G442" s="2"/>
      <c r="K442" s="2"/>
    </row>
    <row r="443">
      <c r="C443" s="2"/>
      <c r="G443" s="2"/>
      <c r="K443" s="2"/>
    </row>
    <row r="444">
      <c r="C444" s="2"/>
      <c r="G444" s="2"/>
      <c r="K444" s="2"/>
    </row>
    <row r="445">
      <c r="C445" s="2"/>
      <c r="G445" s="2"/>
      <c r="K445" s="2"/>
    </row>
    <row r="446">
      <c r="C446" s="2"/>
      <c r="G446" s="2"/>
      <c r="K446" s="2"/>
    </row>
    <row r="447">
      <c r="C447" s="2"/>
      <c r="G447" s="2"/>
      <c r="K447" s="2"/>
    </row>
    <row r="448">
      <c r="C448" s="2"/>
      <c r="G448" s="2"/>
      <c r="K448" s="2"/>
    </row>
    <row r="449">
      <c r="C449" s="2"/>
      <c r="G449" s="2"/>
      <c r="K449" s="2"/>
    </row>
    <row r="450">
      <c r="C450" s="2"/>
      <c r="G450" s="2"/>
      <c r="K450" s="2"/>
    </row>
    <row r="451">
      <c r="C451" s="2"/>
      <c r="G451" s="2"/>
      <c r="K451" s="2"/>
    </row>
    <row r="452">
      <c r="C452" s="2"/>
      <c r="G452" s="2"/>
      <c r="K452" s="2"/>
    </row>
    <row r="453">
      <c r="C453" s="2"/>
      <c r="G453" s="2"/>
      <c r="K453" s="2"/>
    </row>
    <row r="454">
      <c r="C454" s="2"/>
      <c r="G454" s="2"/>
      <c r="K454" s="2"/>
    </row>
    <row r="455">
      <c r="C455" s="2"/>
      <c r="G455" s="2"/>
      <c r="K455" s="2"/>
    </row>
    <row r="456">
      <c r="C456" s="2"/>
      <c r="G456" s="2"/>
      <c r="K456" s="2"/>
    </row>
    <row r="457">
      <c r="C457" s="2"/>
      <c r="G457" s="2"/>
      <c r="K457" s="2"/>
    </row>
    <row r="458">
      <c r="C458" s="2"/>
      <c r="G458" s="2"/>
      <c r="K458" s="2"/>
    </row>
    <row r="459">
      <c r="C459" s="2"/>
      <c r="G459" s="2"/>
      <c r="K459" s="2"/>
    </row>
    <row r="460">
      <c r="C460" s="2"/>
      <c r="G460" s="2"/>
      <c r="K460" s="2"/>
    </row>
    <row r="461">
      <c r="C461" s="2"/>
      <c r="G461" s="2"/>
      <c r="K461" s="2"/>
    </row>
    <row r="462">
      <c r="C462" s="2"/>
      <c r="G462" s="2"/>
      <c r="K462" s="2"/>
    </row>
    <row r="463">
      <c r="C463" s="2"/>
      <c r="G463" s="2"/>
      <c r="K463" s="2"/>
    </row>
    <row r="464">
      <c r="C464" s="2"/>
      <c r="G464" s="2"/>
      <c r="K464" s="2"/>
    </row>
    <row r="465">
      <c r="C465" s="2"/>
      <c r="G465" s="2"/>
      <c r="K465" s="2"/>
    </row>
    <row r="466">
      <c r="C466" s="2"/>
      <c r="G466" s="2"/>
      <c r="K466" s="2"/>
    </row>
    <row r="467">
      <c r="C467" s="2"/>
      <c r="G467" s="2"/>
      <c r="K467" s="2"/>
    </row>
    <row r="468">
      <c r="C468" s="2"/>
      <c r="G468" s="2"/>
      <c r="K468" s="2"/>
    </row>
    <row r="469">
      <c r="C469" s="2"/>
      <c r="G469" s="2"/>
      <c r="K469" s="2"/>
    </row>
    <row r="470">
      <c r="C470" s="2"/>
      <c r="G470" s="2"/>
      <c r="K470" s="2"/>
    </row>
    <row r="471">
      <c r="C471" s="2"/>
      <c r="G471" s="2"/>
      <c r="K471" s="2"/>
    </row>
    <row r="472">
      <c r="C472" s="2"/>
      <c r="G472" s="2"/>
      <c r="K472" s="2"/>
    </row>
    <row r="473">
      <c r="C473" s="2"/>
      <c r="G473" s="2"/>
      <c r="K473" s="2"/>
    </row>
    <row r="474">
      <c r="C474" s="2"/>
      <c r="G474" s="2"/>
      <c r="K474" s="2"/>
    </row>
    <row r="475">
      <c r="C475" s="2"/>
      <c r="G475" s="2"/>
      <c r="K475" s="2"/>
    </row>
    <row r="476">
      <c r="C476" s="2"/>
      <c r="G476" s="2"/>
      <c r="K476" s="2"/>
    </row>
    <row r="477">
      <c r="C477" s="2"/>
      <c r="G477" s="2"/>
      <c r="K477" s="2"/>
    </row>
    <row r="478">
      <c r="C478" s="2"/>
      <c r="G478" s="2"/>
      <c r="K478" s="2"/>
    </row>
    <row r="479">
      <c r="C479" s="2"/>
      <c r="G479" s="2"/>
      <c r="K479" s="2"/>
    </row>
    <row r="480">
      <c r="C480" s="2"/>
      <c r="G480" s="2"/>
      <c r="K480" s="2"/>
    </row>
    <row r="481">
      <c r="C481" s="2"/>
      <c r="G481" s="2"/>
      <c r="K481" s="2"/>
    </row>
    <row r="482">
      <c r="C482" s="2"/>
      <c r="G482" s="2"/>
      <c r="K482" s="2"/>
    </row>
    <row r="483">
      <c r="C483" s="2"/>
      <c r="G483" s="2"/>
      <c r="K483" s="2"/>
    </row>
    <row r="484">
      <c r="C484" s="2"/>
      <c r="G484" s="2"/>
      <c r="K484" s="2"/>
    </row>
    <row r="485">
      <c r="C485" s="2"/>
      <c r="G485" s="2"/>
      <c r="K485" s="2"/>
    </row>
    <row r="486">
      <c r="C486" s="2"/>
      <c r="G486" s="2"/>
      <c r="K486" s="2"/>
    </row>
    <row r="487">
      <c r="C487" s="2"/>
      <c r="G487" s="2"/>
      <c r="K487" s="2"/>
    </row>
    <row r="488">
      <c r="C488" s="2"/>
      <c r="G488" s="2"/>
      <c r="K488" s="2"/>
    </row>
    <row r="489">
      <c r="C489" s="2"/>
      <c r="G489" s="2"/>
      <c r="K489" s="2"/>
    </row>
    <row r="490">
      <c r="C490" s="2"/>
      <c r="G490" s="2"/>
      <c r="K490" s="2"/>
    </row>
    <row r="491">
      <c r="C491" s="2"/>
      <c r="G491" s="2"/>
      <c r="K491" s="2"/>
    </row>
    <row r="492">
      <c r="C492" s="2"/>
      <c r="G492" s="2"/>
      <c r="K492" s="2"/>
    </row>
    <row r="493">
      <c r="C493" s="2"/>
      <c r="G493" s="2"/>
      <c r="K493" s="2"/>
    </row>
    <row r="494">
      <c r="C494" s="2"/>
      <c r="G494" s="2"/>
      <c r="K494" s="2"/>
    </row>
    <row r="495">
      <c r="C495" s="2"/>
      <c r="G495" s="2"/>
      <c r="K495" s="2"/>
    </row>
    <row r="496">
      <c r="C496" s="2"/>
      <c r="G496" s="2"/>
      <c r="K496" s="2"/>
    </row>
    <row r="497">
      <c r="C497" s="2"/>
      <c r="G497" s="2"/>
      <c r="K497" s="2"/>
    </row>
    <row r="498">
      <c r="C498" s="2"/>
      <c r="G498" s="2"/>
      <c r="K498" s="2"/>
    </row>
    <row r="499">
      <c r="C499" s="2"/>
      <c r="G499" s="2"/>
      <c r="K499" s="2"/>
    </row>
    <row r="500">
      <c r="C500" s="2"/>
      <c r="G500" s="2"/>
      <c r="K500" s="2"/>
    </row>
    <row r="501">
      <c r="C501" s="2"/>
      <c r="G501" s="2"/>
      <c r="K501" s="2"/>
    </row>
    <row r="502">
      <c r="C502" s="2"/>
      <c r="G502" s="2"/>
      <c r="K502" s="2"/>
    </row>
    <row r="503">
      <c r="C503" s="2"/>
      <c r="G503" s="2"/>
      <c r="K503" s="2"/>
    </row>
    <row r="504">
      <c r="C504" s="2"/>
      <c r="G504" s="2"/>
      <c r="K504" s="2"/>
    </row>
    <row r="505">
      <c r="C505" s="2"/>
      <c r="G505" s="2"/>
      <c r="K505" s="2"/>
    </row>
    <row r="506">
      <c r="C506" s="2"/>
      <c r="G506" s="2"/>
      <c r="K506" s="2"/>
    </row>
    <row r="507">
      <c r="C507" s="2"/>
      <c r="G507" s="2"/>
      <c r="K507" s="2"/>
    </row>
    <row r="508">
      <c r="C508" s="2"/>
      <c r="G508" s="2"/>
      <c r="K508" s="2"/>
    </row>
    <row r="509">
      <c r="C509" s="2"/>
      <c r="G509" s="2"/>
      <c r="K509" s="2"/>
    </row>
    <row r="510">
      <c r="C510" s="2"/>
      <c r="G510" s="2"/>
      <c r="K510" s="2"/>
    </row>
    <row r="511">
      <c r="C511" s="2"/>
      <c r="G511" s="2"/>
      <c r="K511" s="2"/>
    </row>
    <row r="512">
      <c r="C512" s="2"/>
      <c r="G512" s="2"/>
      <c r="K512" s="2"/>
    </row>
    <row r="513">
      <c r="C513" s="2"/>
      <c r="G513" s="2"/>
      <c r="K513" s="2"/>
    </row>
    <row r="514">
      <c r="C514" s="2"/>
      <c r="G514" s="2"/>
      <c r="K514" s="2"/>
    </row>
    <row r="515">
      <c r="C515" s="2"/>
      <c r="G515" s="2"/>
      <c r="K515" s="2"/>
    </row>
    <row r="516">
      <c r="C516" s="2"/>
      <c r="G516" s="2"/>
      <c r="K516" s="2"/>
    </row>
    <row r="517">
      <c r="C517" s="2"/>
      <c r="G517" s="2"/>
      <c r="K517" s="2"/>
    </row>
    <row r="518">
      <c r="C518" s="2"/>
      <c r="G518" s="2"/>
      <c r="K518" s="2"/>
    </row>
    <row r="519">
      <c r="C519" s="2"/>
      <c r="G519" s="2"/>
      <c r="K519" s="2"/>
    </row>
    <row r="520">
      <c r="C520" s="2"/>
      <c r="G520" s="2"/>
      <c r="K520" s="2"/>
    </row>
    <row r="521">
      <c r="C521" s="2"/>
      <c r="G521" s="2"/>
      <c r="K521" s="2"/>
    </row>
    <row r="522">
      <c r="C522" s="2"/>
      <c r="G522" s="2"/>
      <c r="K522" s="2"/>
    </row>
    <row r="523">
      <c r="C523" s="2"/>
      <c r="G523" s="2"/>
      <c r="K523" s="2"/>
    </row>
    <row r="524">
      <c r="C524" s="2"/>
      <c r="G524" s="2"/>
      <c r="K524" s="2"/>
    </row>
    <row r="525">
      <c r="C525" s="2"/>
      <c r="G525" s="2"/>
      <c r="K525" s="2"/>
    </row>
    <row r="526">
      <c r="C526" s="2"/>
      <c r="G526" s="2"/>
      <c r="K526" s="2"/>
    </row>
    <row r="527">
      <c r="C527" s="2"/>
      <c r="G527" s="2"/>
      <c r="K527" s="2"/>
    </row>
    <row r="528">
      <c r="C528" s="2"/>
      <c r="G528" s="2"/>
      <c r="K528" s="2"/>
    </row>
    <row r="529">
      <c r="C529" s="2"/>
      <c r="G529" s="2"/>
      <c r="K529" s="2"/>
    </row>
    <row r="530">
      <c r="C530" s="2"/>
      <c r="G530" s="2"/>
      <c r="K530" s="2"/>
    </row>
    <row r="531">
      <c r="C531" s="2"/>
      <c r="G531" s="2"/>
      <c r="K531" s="2"/>
    </row>
    <row r="532">
      <c r="C532" s="2"/>
      <c r="G532" s="2"/>
      <c r="K532" s="2"/>
    </row>
    <row r="533">
      <c r="C533" s="2"/>
      <c r="G533" s="2"/>
      <c r="K533" s="2"/>
    </row>
    <row r="534">
      <c r="C534" s="2"/>
      <c r="G534" s="2"/>
      <c r="K534" s="2"/>
    </row>
    <row r="535">
      <c r="C535" s="2"/>
      <c r="G535" s="2"/>
      <c r="K535" s="2"/>
    </row>
    <row r="536">
      <c r="C536" s="2"/>
      <c r="G536" s="2"/>
      <c r="K536" s="2"/>
    </row>
    <row r="537">
      <c r="C537" s="2"/>
      <c r="G537" s="2"/>
      <c r="K537" s="2"/>
    </row>
    <row r="538">
      <c r="C538" s="2"/>
      <c r="G538" s="2"/>
      <c r="K538" s="2"/>
    </row>
    <row r="539">
      <c r="C539" s="2"/>
      <c r="G539" s="2"/>
      <c r="K539" s="2"/>
    </row>
    <row r="540">
      <c r="C540" s="2"/>
      <c r="G540" s="2"/>
      <c r="K540" s="2"/>
    </row>
    <row r="541">
      <c r="C541" s="2"/>
      <c r="G541" s="2"/>
      <c r="K541" s="2"/>
    </row>
    <row r="542">
      <c r="C542" s="2"/>
      <c r="G542" s="2"/>
      <c r="K542" s="2"/>
    </row>
    <row r="543">
      <c r="C543" s="2"/>
      <c r="G543" s="2"/>
      <c r="K543" s="2"/>
    </row>
    <row r="544">
      <c r="C544" s="2"/>
      <c r="G544" s="2"/>
      <c r="K544" s="2"/>
    </row>
    <row r="545">
      <c r="C545" s="2"/>
      <c r="G545" s="2"/>
      <c r="K545" s="2"/>
    </row>
    <row r="546">
      <c r="C546" s="2"/>
      <c r="G546" s="2"/>
      <c r="K546" s="2"/>
    </row>
    <row r="547">
      <c r="C547" s="2"/>
      <c r="G547" s="2"/>
      <c r="K547" s="2"/>
    </row>
    <row r="548">
      <c r="C548" s="2"/>
      <c r="G548" s="2"/>
      <c r="K548" s="2"/>
    </row>
    <row r="549">
      <c r="C549" s="2"/>
      <c r="G549" s="2"/>
      <c r="K549" s="2"/>
    </row>
    <row r="550">
      <c r="C550" s="2"/>
      <c r="G550" s="2"/>
      <c r="K550" s="2"/>
    </row>
    <row r="551">
      <c r="C551" s="2"/>
      <c r="G551" s="2"/>
      <c r="K551" s="2"/>
    </row>
    <row r="552">
      <c r="C552" s="2"/>
      <c r="G552" s="2"/>
      <c r="K552" s="2"/>
    </row>
    <row r="553">
      <c r="C553" s="2"/>
      <c r="G553" s="2"/>
      <c r="K553" s="2"/>
    </row>
    <row r="554">
      <c r="C554" s="2"/>
      <c r="G554" s="2"/>
      <c r="K554" s="2"/>
    </row>
    <row r="555">
      <c r="C555" s="2"/>
      <c r="G555" s="2"/>
      <c r="K555" s="2"/>
    </row>
    <row r="556">
      <c r="C556" s="2"/>
      <c r="G556" s="2"/>
      <c r="K556" s="2"/>
    </row>
    <row r="557">
      <c r="C557" s="2"/>
      <c r="G557" s="2"/>
      <c r="K557" s="2"/>
    </row>
    <row r="558">
      <c r="C558" s="2"/>
      <c r="G558" s="2"/>
      <c r="K558" s="2"/>
    </row>
    <row r="559">
      <c r="C559" s="2"/>
      <c r="G559" s="2"/>
      <c r="K559" s="2"/>
    </row>
    <row r="560">
      <c r="C560" s="2"/>
      <c r="G560" s="2"/>
      <c r="K560" s="2"/>
    </row>
    <row r="561">
      <c r="C561" s="2"/>
      <c r="G561" s="2"/>
      <c r="K561" s="2"/>
    </row>
    <row r="562">
      <c r="C562" s="2"/>
      <c r="G562" s="2"/>
      <c r="K562" s="2"/>
    </row>
    <row r="563">
      <c r="C563" s="2"/>
      <c r="G563" s="2"/>
      <c r="K563" s="2"/>
    </row>
    <row r="564">
      <c r="C564" s="2"/>
      <c r="G564" s="2"/>
      <c r="K564" s="2"/>
    </row>
    <row r="565">
      <c r="C565" s="2"/>
      <c r="G565" s="2"/>
      <c r="K565" s="2"/>
    </row>
    <row r="566">
      <c r="C566" s="2"/>
      <c r="G566" s="2"/>
      <c r="K566" s="2"/>
    </row>
    <row r="567">
      <c r="C567" s="2"/>
      <c r="G567" s="2"/>
      <c r="K567" s="2"/>
    </row>
    <row r="568">
      <c r="C568" s="2"/>
      <c r="G568" s="2"/>
      <c r="K568" s="2"/>
    </row>
    <row r="569">
      <c r="C569" s="2"/>
      <c r="G569" s="2"/>
      <c r="K569" s="2"/>
    </row>
    <row r="570">
      <c r="C570" s="2"/>
      <c r="G570" s="2"/>
      <c r="K570" s="2"/>
    </row>
    <row r="571">
      <c r="C571" s="2"/>
      <c r="G571" s="2"/>
      <c r="K571" s="2"/>
    </row>
    <row r="572">
      <c r="C572" s="2"/>
      <c r="G572" s="2"/>
      <c r="K572" s="2"/>
    </row>
    <row r="573">
      <c r="C573" s="2"/>
      <c r="G573" s="2"/>
      <c r="K573" s="2"/>
    </row>
    <row r="574">
      <c r="C574" s="2"/>
      <c r="G574" s="2"/>
      <c r="K574" s="2"/>
    </row>
    <row r="575">
      <c r="C575" s="2"/>
      <c r="G575" s="2"/>
      <c r="K575" s="2"/>
    </row>
    <row r="576">
      <c r="C576" s="2"/>
      <c r="G576" s="2"/>
      <c r="K576" s="2"/>
    </row>
    <row r="577">
      <c r="C577" s="2"/>
      <c r="G577" s="2"/>
      <c r="K577" s="2"/>
    </row>
    <row r="578">
      <c r="C578" s="2"/>
      <c r="G578" s="2"/>
      <c r="K578" s="2"/>
    </row>
    <row r="579">
      <c r="C579" s="2"/>
      <c r="G579" s="2"/>
      <c r="K579" s="2"/>
    </row>
    <row r="580">
      <c r="C580" s="2"/>
      <c r="G580" s="2"/>
      <c r="K580" s="2"/>
    </row>
    <row r="581">
      <c r="C581" s="2"/>
      <c r="G581" s="2"/>
      <c r="K581" s="2"/>
    </row>
    <row r="582">
      <c r="C582" s="2"/>
      <c r="G582" s="2"/>
      <c r="K582" s="2"/>
    </row>
    <row r="583">
      <c r="C583" s="2"/>
      <c r="G583" s="2"/>
      <c r="K583" s="2"/>
    </row>
    <row r="584">
      <c r="C584" s="2"/>
      <c r="G584" s="2"/>
      <c r="K584" s="2"/>
    </row>
    <row r="585">
      <c r="C585" s="2"/>
      <c r="G585" s="2"/>
      <c r="K585" s="2"/>
    </row>
    <row r="586">
      <c r="C586" s="2"/>
      <c r="G586" s="2"/>
      <c r="K586" s="2"/>
    </row>
    <row r="587">
      <c r="C587" s="2"/>
      <c r="G587" s="2"/>
      <c r="K587" s="2"/>
    </row>
    <row r="588">
      <c r="C588" s="2"/>
      <c r="G588" s="2"/>
      <c r="K588" s="2"/>
    </row>
    <row r="589">
      <c r="C589" s="2"/>
      <c r="G589" s="2"/>
      <c r="K589" s="2"/>
    </row>
    <row r="590">
      <c r="C590" s="2"/>
      <c r="G590" s="2"/>
      <c r="K590" s="2"/>
    </row>
    <row r="591">
      <c r="C591" s="2"/>
      <c r="G591" s="2"/>
      <c r="K591" s="2"/>
    </row>
    <row r="592">
      <c r="C592" s="2"/>
      <c r="G592" s="2"/>
      <c r="K592" s="2"/>
    </row>
    <row r="593">
      <c r="C593" s="2"/>
      <c r="G593" s="2"/>
      <c r="K593" s="2"/>
    </row>
    <row r="594">
      <c r="C594" s="2"/>
      <c r="G594" s="2"/>
      <c r="K594" s="2"/>
    </row>
    <row r="595">
      <c r="C595" s="2"/>
      <c r="G595" s="2"/>
      <c r="K595" s="2"/>
    </row>
    <row r="596">
      <c r="C596" s="2"/>
      <c r="G596" s="2"/>
      <c r="K596" s="2"/>
    </row>
    <row r="597">
      <c r="C597" s="2"/>
      <c r="G597" s="2"/>
      <c r="K597" s="2"/>
    </row>
    <row r="598">
      <c r="C598" s="2"/>
      <c r="G598" s="2"/>
      <c r="K598" s="2"/>
    </row>
    <row r="599">
      <c r="C599" s="2"/>
      <c r="G599" s="2"/>
      <c r="K599" s="2"/>
    </row>
    <row r="600">
      <c r="C600" s="2"/>
      <c r="G600" s="2"/>
      <c r="K600" s="2"/>
    </row>
    <row r="601">
      <c r="C601" s="2"/>
      <c r="G601" s="2"/>
      <c r="K601" s="2"/>
    </row>
    <row r="602">
      <c r="C602" s="2"/>
      <c r="G602" s="2"/>
      <c r="K602" s="2"/>
    </row>
    <row r="603">
      <c r="C603" s="2"/>
      <c r="G603" s="2"/>
      <c r="K603" s="2"/>
    </row>
    <row r="604">
      <c r="C604" s="2"/>
      <c r="G604" s="2"/>
      <c r="K604" s="2"/>
    </row>
    <row r="605">
      <c r="C605" s="2"/>
      <c r="G605" s="2"/>
      <c r="K605" s="2"/>
    </row>
    <row r="606">
      <c r="C606" s="2"/>
      <c r="G606" s="2"/>
      <c r="K606" s="2"/>
    </row>
    <row r="607">
      <c r="C607" s="2"/>
      <c r="G607" s="2"/>
      <c r="K607" s="2"/>
    </row>
    <row r="608">
      <c r="C608" s="2"/>
      <c r="G608" s="2"/>
      <c r="K608" s="2"/>
    </row>
    <row r="609">
      <c r="C609" s="2"/>
      <c r="G609" s="2"/>
      <c r="K609" s="2"/>
    </row>
    <row r="610">
      <c r="C610" s="2"/>
      <c r="G610" s="2"/>
      <c r="K610" s="2"/>
    </row>
    <row r="611">
      <c r="C611" s="2"/>
      <c r="G611" s="2"/>
      <c r="K611" s="2"/>
    </row>
    <row r="612">
      <c r="C612" s="2"/>
      <c r="G612" s="2"/>
      <c r="K612" s="2"/>
    </row>
    <row r="613">
      <c r="C613" s="2"/>
      <c r="G613" s="2"/>
      <c r="K613" s="2"/>
    </row>
    <row r="614">
      <c r="C614" s="2"/>
      <c r="G614" s="2"/>
      <c r="K614" s="2"/>
    </row>
    <row r="615">
      <c r="C615" s="2"/>
      <c r="G615" s="2"/>
      <c r="K615" s="2"/>
    </row>
    <row r="616">
      <c r="C616" s="2"/>
      <c r="G616" s="2"/>
      <c r="K616" s="2"/>
    </row>
    <row r="617">
      <c r="C617" s="2"/>
      <c r="G617" s="2"/>
      <c r="K617" s="2"/>
    </row>
    <row r="618">
      <c r="C618" s="2"/>
      <c r="G618" s="2"/>
      <c r="K618" s="2"/>
    </row>
    <row r="619">
      <c r="C619" s="2"/>
      <c r="G619" s="2"/>
      <c r="K619" s="2"/>
    </row>
    <row r="620">
      <c r="C620" s="2"/>
      <c r="G620" s="2"/>
      <c r="K620" s="2"/>
    </row>
    <row r="621">
      <c r="C621" s="2"/>
      <c r="G621" s="2"/>
      <c r="K621" s="2"/>
    </row>
    <row r="622">
      <c r="C622" s="2"/>
      <c r="G622" s="2"/>
      <c r="K622" s="2"/>
    </row>
    <row r="623">
      <c r="C623" s="2"/>
      <c r="G623" s="2"/>
      <c r="K623" s="2"/>
    </row>
    <row r="624">
      <c r="C624" s="2"/>
      <c r="G624" s="2"/>
      <c r="K624" s="2"/>
    </row>
    <row r="625">
      <c r="C625" s="2"/>
      <c r="G625" s="2"/>
      <c r="K625" s="2"/>
    </row>
    <row r="626">
      <c r="C626" s="2"/>
      <c r="G626" s="2"/>
      <c r="K626" s="2"/>
    </row>
    <row r="627">
      <c r="C627" s="2"/>
      <c r="G627" s="2"/>
      <c r="K627" s="2"/>
    </row>
    <row r="628">
      <c r="C628" s="2"/>
      <c r="G628" s="2"/>
      <c r="K628" s="2"/>
    </row>
    <row r="629">
      <c r="C629" s="2"/>
      <c r="G629" s="2"/>
      <c r="K629" s="2"/>
    </row>
    <row r="630">
      <c r="C630" s="2"/>
      <c r="G630" s="2"/>
      <c r="K630" s="2"/>
    </row>
    <row r="631">
      <c r="C631" s="2"/>
      <c r="G631" s="2"/>
      <c r="K631" s="2"/>
    </row>
    <row r="632">
      <c r="C632" s="2"/>
      <c r="G632" s="2"/>
      <c r="K632" s="2"/>
    </row>
    <row r="633">
      <c r="C633" s="2"/>
      <c r="G633" s="2"/>
      <c r="K633" s="2"/>
    </row>
    <row r="634">
      <c r="C634" s="2"/>
      <c r="G634" s="2"/>
      <c r="K634" s="2"/>
    </row>
    <row r="635">
      <c r="C635" s="2"/>
      <c r="G635" s="2"/>
      <c r="K635" s="2"/>
    </row>
    <row r="636">
      <c r="C636" s="2"/>
      <c r="G636" s="2"/>
      <c r="K636" s="2"/>
    </row>
    <row r="637">
      <c r="C637" s="2"/>
      <c r="G637" s="2"/>
      <c r="K637" s="2"/>
    </row>
    <row r="638">
      <c r="C638" s="2"/>
      <c r="G638" s="2"/>
      <c r="K638" s="2"/>
    </row>
    <row r="639">
      <c r="C639" s="2"/>
      <c r="G639" s="2"/>
      <c r="K639" s="2"/>
    </row>
    <row r="640">
      <c r="C640" s="2"/>
      <c r="G640" s="2"/>
      <c r="K640" s="2"/>
    </row>
    <row r="641">
      <c r="C641" s="2"/>
      <c r="G641" s="2"/>
      <c r="K641" s="2"/>
    </row>
    <row r="642">
      <c r="C642" s="2"/>
      <c r="G642" s="2"/>
      <c r="K642" s="2"/>
    </row>
    <row r="643">
      <c r="C643" s="2"/>
      <c r="G643" s="2"/>
      <c r="K643" s="2"/>
    </row>
    <row r="644">
      <c r="C644" s="2"/>
      <c r="G644" s="2"/>
      <c r="K644" s="2"/>
    </row>
    <row r="645">
      <c r="C645" s="2"/>
      <c r="G645" s="2"/>
      <c r="K645" s="2"/>
    </row>
    <row r="646">
      <c r="C646" s="2"/>
      <c r="G646" s="2"/>
      <c r="K646" s="2"/>
    </row>
    <row r="647">
      <c r="C647" s="2"/>
      <c r="G647" s="2"/>
      <c r="K647" s="2"/>
    </row>
    <row r="648">
      <c r="C648" s="2"/>
      <c r="G648" s="2"/>
      <c r="K648" s="2"/>
    </row>
    <row r="649">
      <c r="C649" s="2"/>
      <c r="G649" s="2"/>
      <c r="K649" s="2"/>
    </row>
    <row r="650">
      <c r="C650" s="2"/>
      <c r="G650" s="2"/>
      <c r="K650" s="2"/>
    </row>
    <row r="651">
      <c r="C651" s="2"/>
      <c r="G651" s="2"/>
      <c r="K651" s="2"/>
    </row>
    <row r="652">
      <c r="C652" s="2"/>
      <c r="G652" s="2"/>
      <c r="K652" s="2"/>
    </row>
    <row r="653">
      <c r="C653" s="2"/>
      <c r="G653" s="2"/>
      <c r="K653" s="2"/>
    </row>
    <row r="654">
      <c r="C654" s="2"/>
      <c r="G654" s="2"/>
      <c r="K654" s="2"/>
    </row>
    <row r="655">
      <c r="C655" s="2"/>
      <c r="G655" s="2"/>
      <c r="K655" s="2"/>
    </row>
    <row r="656">
      <c r="C656" s="2"/>
      <c r="G656" s="2"/>
      <c r="K656" s="2"/>
    </row>
    <row r="657">
      <c r="C657" s="2"/>
      <c r="G657" s="2"/>
      <c r="K657" s="2"/>
    </row>
    <row r="658">
      <c r="C658" s="2"/>
      <c r="G658" s="2"/>
      <c r="K658" s="2"/>
    </row>
    <row r="659">
      <c r="C659" s="2"/>
      <c r="G659" s="2"/>
      <c r="K659" s="2"/>
    </row>
    <row r="660">
      <c r="C660" s="2"/>
      <c r="G660" s="2"/>
      <c r="K660" s="2"/>
    </row>
    <row r="661">
      <c r="C661" s="2"/>
      <c r="G661" s="2"/>
      <c r="K661" s="2"/>
    </row>
    <row r="662">
      <c r="C662" s="2"/>
      <c r="G662" s="2"/>
      <c r="K662" s="2"/>
    </row>
    <row r="663">
      <c r="C663" s="2"/>
      <c r="G663" s="2"/>
      <c r="K663" s="2"/>
    </row>
    <row r="664">
      <c r="C664" s="2"/>
      <c r="G664" s="2"/>
      <c r="K664" s="2"/>
    </row>
    <row r="665">
      <c r="C665" s="2"/>
      <c r="G665" s="2"/>
      <c r="K665" s="2"/>
    </row>
    <row r="666">
      <c r="C666" s="2"/>
      <c r="G666" s="2"/>
      <c r="K666" s="2"/>
    </row>
    <row r="667">
      <c r="C667" s="2"/>
      <c r="G667" s="2"/>
      <c r="K667" s="2"/>
    </row>
    <row r="668">
      <c r="C668" s="2"/>
      <c r="G668" s="2"/>
      <c r="K668" s="2"/>
    </row>
    <row r="669">
      <c r="C669" s="2"/>
      <c r="G669" s="2"/>
      <c r="K669" s="2"/>
    </row>
    <row r="670">
      <c r="C670" s="2"/>
      <c r="G670" s="2"/>
      <c r="K670" s="2"/>
    </row>
    <row r="671">
      <c r="C671" s="2"/>
      <c r="G671" s="2"/>
      <c r="K671" s="2"/>
    </row>
    <row r="672">
      <c r="C672" s="2"/>
      <c r="G672" s="2"/>
      <c r="K672" s="2"/>
    </row>
    <row r="673">
      <c r="C673" s="2"/>
      <c r="G673" s="2"/>
      <c r="K673" s="2"/>
    </row>
    <row r="674">
      <c r="C674" s="2"/>
      <c r="G674" s="2"/>
      <c r="K674" s="2"/>
    </row>
    <row r="675">
      <c r="C675" s="2"/>
      <c r="G675" s="2"/>
      <c r="K675" s="2"/>
    </row>
    <row r="676">
      <c r="C676" s="2"/>
      <c r="G676" s="2"/>
      <c r="K676" s="2"/>
    </row>
    <row r="677">
      <c r="C677" s="2"/>
      <c r="G677" s="2"/>
      <c r="K677" s="2"/>
    </row>
    <row r="678">
      <c r="C678" s="2"/>
      <c r="G678" s="2"/>
      <c r="K678" s="2"/>
    </row>
    <row r="679">
      <c r="C679" s="2"/>
      <c r="G679" s="2"/>
      <c r="K679" s="2"/>
    </row>
    <row r="680">
      <c r="C680" s="2"/>
      <c r="G680" s="2"/>
      <c r="K680" s="2"/>
    </row>
    <row r="681">
      <c r="C681" s="2"/>
      <c r="G681" s="2"/>
      <c r="K681" s="2"/>
    </row>
    <row r="682">
      <c r="C682" s="2"/>
      <c r="G682" s="2"/>
      <c r="K682" s="2"/>
    </row>
    <row r="683">
      <c r="C683" s="2"/>
      <c r="G683" s="2"/>
      <c r="K683" s="2"/>
    </row>
    <row r="684">
      <c r="C684" s="2"/>
      <c r="G684" s="2"/>
      <c r="K684" s="2"/>
    </row>
    <row r="685">
      <c r="C685" s="2"/>
      <c r="G685" s="2"/>
      <c r="K685" s="2"/>
    </row>
    <row r="686">
      <c r="C686" s="2"/>
      <c r="G686" s="2"/>
      <c r="K686" s="2"/>
    </row>
    <row r="687">
      <c r="C687" s="2"/>
      <c r="G687" s="2"/>
      <c r="K687" s="2"/>
    </row>
    <row r="688">
      <c r="C688" s="2"/>
      <c r="G688" s="2"/>
      <c r="K688" s="2"/>
    </row>
    <row r="689">
      <c r="C689" s="2"/>
      <c r="G689" s="2"/>
      <c r="K689" s="2"/>
    </row>
    <row r="690">
      <c r="C690" s="2"/>
      <c r="G690" s="2"/>
      <c r="K690" s="2"/>
    </row>
    <row r="691">
      <c r="C691" s="2"/>
      <c r="G691" s="2"/>
      <c r="K691" s="2"/>
    </row>
    <row r="692">
      <c r="C692" s="2"/>
      <c r="G692" s="2"/>
      <c r="K692" s="2"/>
    </row>
    <row r="693">
      <c r="C693" s="2"/>
      <c r="G693" s="2"/>
      <c r="K693" s="2"/>
    </row>
    <row r="694">
      <c r="C694" s="2"/>
      <c r="G694" s="2"/>
      <c r="K694" s="2"/>
    </row>
    <row r="695">
      <c r="C695" s="2"/>
      <c r="G695" s="2"/>
      <c r="K695" s="2"/>
    </row>
    <row r="696">
      <c r="C696" s="2"/>
      <c r="G696" s="2"/>
      <c r="K696" s="2"/>
    </row>
    <row r="697">
      <c r="C697" s="2"/>
      <c r="G697" s="2"/>
      <c r="K697" s="2"/>
    </row>
    <row r="698">
      <c r="C698" s="2"/>
      <c r="G698" s="2"/>
      <c r="K698" s="2"/>
    </row>
    <row r="699">
      <c r="C699" s="2"/>
      <c r="G699" s="2"/>
      <c r="K699" s="2"/>
    </row>
    <row r="700">
      <c r="C700" s="2"/>
      <c r="G700" s="2"/>
      <c r="K700" s="2"/>
    </row>
    <row r="701">
      <c r="C701" s="2"/>
      <c r="G701" s="2"/>
      <c r="K701" s="2"/>
    </row>
    <row r="702">
      <c r="C702" s="2"/>
      <c r="G702" s="2"/>
      <c r="K702" s="2"/>
    </row>
    <row r="703">
      <c r="C703" s="2"/>
      <c r="G703" s="2"/>
      <c r="K703" s="2"/>
    </row>
    <row r="704">
      <c r="C704" s="2"/>
      <c r="G704" s="2"/>
      <c r="K704" s="2"/>
    </row>
    <row r="705">
      <c r="C705" s="2"/>
      <c r="G705" s="2"/>
      <c r="K705" s="2"/>
    </row>
    <row r="706">
      <c r="C706" s="2"/>
      <c r="G706" s="2"/>
      <c r="K706" s="2"/>
    </row>
    <row r="707">
      <c r="C707" s="2"/>
      <c r="G707" s="2"/>
      <c r="K707" s="2"/>
    </row>
    <row r="708">
      <c r="C708" s="2"/>
      <c r="G708" s="2"/>
      <c r="K708" s="2"/>
    </row>
    <row r="709">
      <c r="C709" s="2"/>
      <c r="G709" s="2"/>
      <c r="K709" s="2"/>
    </row>
    <row r="710">
      <c r="C710" s="2"/>
      <c r="G710" s="2"/>
      <c r="K710" s="2"/>
    </row>
    <row r="711">
      <c r="C711" s="2"/>
      <c r="G711" s="2"/>
      <c r="K711" s="2"/>
    </row>
    <row r="712">
      <c r="C712" s="2"/>
      <c r="G712" s="2"/>
      <c r="K712" s="2"/>
    </row>
    <row r="713">
      <c r="C713" s="2"/>
      <c r="G713" s="2"/>
      <c r="K713" s="2"/>
    </row>
    <row r="714">
      <c r="C714" s="2"/>
      <c r="G714" s="2"/>
      <c r="K714" s="2"/>
    </row>
    <row r="715">
      <c r="C715" s="2"/>
      <c r="G715" s="2"/>
      <c r="K715" s="2"/>
    </row>
    <row r="716">
      <c r="C716" s="2"/>
      <c r="G716" s="2"/>
      <c r="K716" s="2"/>
    </row>
    <row r="717">
      <c r="C717" s="2"/>
      <c r="G717" s="2"/>
      <c r="K717" s="2"/>
    </row>
    <row r="718">
      <c r="C718" s="2"/>
      <c r="G718" s="2"/>
      <c r="K718" s="2"/>
    </row>
    <row r="719">
      <c r="C719" s="2"/>
      <c r="G719" s="2"/>
      <c r="K719" s="2"/>
    </row>
    <row r="720">
      <c r="C720" s="2"/>
      <c r="G720" s="2"/>
      <c r="K720" s="2"/>
    </row>
    <row r="721">
      <c r="C721" s="2"/>
      <c r="G721" s="2"/>
      <c r="K721" s="2"/>
    </row>
    <row r="722">
      <c r="C722" s="2"/>
      <c r="G722" s="2"/>
      <c r="K722" s="2"/>
    </row>
    <row r="723">
      <c r="C723" s="2"/>
      <c r="G723" s="2"/>
      <c r="K723" s="2"/>
    </row>
    <row r="724">
      <c r="C724" s="2"/>
      <c r="G724" s="2"/>
      <c r="K724" s="2"/>
    </row>
    <row r="725">
      <c r="C725" s="2"/>
      <c r="G725" s="2"/>
      <c r="K725" s="2"/>
    </row>
    <row r="726">
      <c r="C726" s="2"/>
      <c r="G726" s="2"/>
      <c r="K726" s="2"/>
    </row>
    <row r="727">
      <c r="C727" s="2"/>
      <c r="G727" s="2"/>
      <c r="K727" s="2"/>
    </row>
    <row r="728">
      <c r="C728" s="2"/>
      <c r="G728" s="2"/>
      <c r="K728" s="2"/>
    </row>
    <row r="729">
      <c r="C729" s="2"/>
      <c r="G729" s="2"/>
      <c r="K729" s="2"/>
    </row>
    <row r="730">
      <c r="C730" s="2"/>
      <c r="G730" s="2"/>
      <c r="K730" s="2"/>
    </row>
    <row r="731">
      <c r="C731" s="2"/>
      <c r="G731" s="2"/>
      <c r="K731" s="2"/>
    </row>
    <row r="732">
      <c r="C732" s="2"/>
      <c r="G732" s="2"/>
      <c r="K732" s="2"/>
    </row>
    <row r="733">
      <c r="C733" s="2"/>
      <c r="G733" s="2"/>
      <c r="K733" s="2"/>
    </row>
    <row r="734">
      <c r="C734" s="2"/>
      <c r="G734" s="2"/>
      <c r="K734" s="2"/>
    </row>
    <row r="735">
      <c r="C735" s="2"/>
      <c r="G735" s="2"/>
      <c r="K735" s="2"/>
    </row>
    <row r="736">
      <c r="C736" s="2"/>
      <c r="G736" s="2"/>
      <c r="K736" s="2"/>
    </row>
    <row r="737">
      <c r="C737" s="2"/>
      <c r="G737" s="2"/>
      <c r="K737" s="2"/>
    </row>
    <row r="738">
      <c r="C738" s="2"/>
      <c r="G738" s="2"/>
      <c r="K738" s="2"/>
    </row>
    <row r="739">
      <c r="C739" s="2"/>
      <c r="G739" s="2"/>
      <c r="K739" s="2"/>
    </row>
    <row r="740">
      <c r="C740" s="2"/>
      <c r="G740" s="2"/>
      <c r="K740" s="2"/>
    </row>
    <row r="741">
      <c r="C741" s="2"/>
      <c r="G741" s="2"/>
      <c r="K741" s="2"/>
    </row>
    <row r="742">
      <c r="C742" s="2"/>
      <c r="G742" s="2"/>
      <c r="K742" s="2"/>
    </row>
    <row r="743">
      <c r="C743" s="2"/>
      <c r="G743" s="2"/>
      <c r="K743" s="2"/>
    </row>
    <row r="744">
      <c r="C744" s="2"/>
      <c r="G744" s="2"/>
      <c r="K744" s="2"/>
    </row>
    <row r="745">
      <c r="C745" s="2"/>
      <c r="G745" s="2"/>
      <c r="K745" s="2"/>
    </row>
    <row r="746">
      <c r="C746" s="2"/>
      <c r="G746" s="2"/>
      <c r="K746" s="2"/>
    </row>
    <row r="747">
      <c r="C747" s="2"/>
      <c r="G747" s="2"/>
      <c r="K747" s="2"/>
    </row>
    <row r="748">
      <c r="C748" s="2"/>
      <c r="G748" s="2"/>
      <c r="K748" s="2"/>
    </row>
    <row r="749">
      <c r="C749" s="2"/>
      <c r="G749" s="2"/>
      <c r="K749" s="2"/>
    </row>
    <row r="750">
      <c r="C750" s="2"/>
      <c r="G750" s="2"/>
      <c r="K750" s="2"/>
    </row>
    <row r="751">
      <c r="C751" s="2"/>
      <c r="G751" s="2"/>
      <c r="K751" s="2"/>
    </row>
    <row r="752">
      <c r="C752" s="2"/>
      <c r="G752" s="2"/>
      <c r="K752" s="2"/>
    </row>
    <row r="753">
      <c r="C753" s="2"/>
      <c r="G753" s="2"/>
      <c r="K753" s="2"/>
    </row>
    <row r="754">
      <c r="C754" s="2"/>
      <c r="G754" s="2"/>
      <c r="K754" s="2"/>
    </row>
    <row r="755">
      <c r="C755" s="2"/>
      <c r="G755" s="2"/>
      <c r="K755" s="2"/>
    </row>
    <row r="756">
      <c r="C756" s="2"/>
      <c r="G756" s="2"/>
      <c r="K756" s="2"/>
    </row>
    <row r="757">
      <c r="C757" s="2"/>
      <c r="G757" s="2"/>
      <c r="K757" s="2"/>
    </row>
    <row r="758">
      <c r="C758" s="2"/>
      <c r="G758" s="2"/>
      <c r="K758" s="2"/>
    </row>
    <row r="759">
      <c r="C759" s="2"/>
      <c r="G759" s="2"/>
      <c r="K759" s="2"/>
    </row>
    <row r="760">
      <c r="C760" s="2"/>
      <c r="G760" s="2"/>
      <c r="K760" s="2"/>
    </row>
    <row r="761">
      <c r="C761" s="2"/>
      <c r="G761" s="2"/>
      <c r="K761" s="2"/>
    </row>
    <row r="762">
      <c r="C762" s="2"/>
      <c r="G762" s="2"/>
      <c r="K762" s="2"/>
    </row>
    <row r="763">
      <c r="C763" s="2"/>
      <c r="G763" s="2"/>
      <c r="K763" s="2"/>
    </row>
    <row r="764">
      <c r="C764" s="2"/>
      <c r="G764" s="2"/>
      <c r="K764" s="2"/>
    </row>
    <row r="765">
      <c r="C765" s="2"/>
      <c r="G765" s="2"/>
      <c r="K765" s="2"/>
    </row>
    <row r="766">
      <c r="C766" s="2"/>
      <c r="G766" s="2"/>
      <c r="K766" s="2"/>
    </row>
    <row r="767">
      <c r="C767" s="2"/>
      <c r="G767" s="2"/>
      <c r="K767" s="2"/>
    </row>
    <row r="768">
      <c r="C768" s="2"/>
      <c r="G768" s="2"/>
      <c r="K768" s="2"/>
    </row>
    <row r="769">
      <c r="C769" s="2"/>
      <c r="G769" s="2"/>
      <c r="K769" s="2"/>
    </row>
    <row r="770">
      <c r="C770" s="2"/>
      <c r="G770" s="2"/>
      <c r="K770" s="2"/>
    </row>
    <row r="771">
      <c r="C771" s="2"/>
      <c r="G771" s="2"/>
      <c r="K771" s="2"/>
    </row>
    <row r="772">
      <c r="C772" s="2"/>
      <c r="G772" s="2"/>
      <c r="K772" s="2"/>
    </row>
    <row r="773">
      <c r="C773" s="2"/>
      <c r="G773" s="2"/>
      <c r="K773" s="2"/>
    </row>
    <row r="774">
      <c r="C774" s="2"/>
      <c r="G774" s="2"/>
      <c r="K774" s="2"/>
    </row>
    <row r="775">
      <c r="C775" s="2"/>
      <c r="G775" s="2"/>
      <c r="K775" s="2"/>
    </row>
    <row r="776">
      <c r="C776" s="2"/>
      <c r="G776" s="2"/>
      <c r="K776" s="2"/>
    </row>
    <row r="777">
      <c r="C777" s="2"/>
      <c r="G777" s="2"/>
      <c r="K777" s="2"/>
    </row>
    <row r="778">
      <c r="C778" s="2"/>
      <c r="G778" s="2"/>
      <c r="K778" s="2"/>
    </row>
    <row r="779">
      <c r="C779" s="2"/>
      <c r="G779" s="2"/>
      <c r="K779" s="2"/>
    </row>
    <row r="780">
      <c r="C780" s="2"/>
      <c r="G780" s="2"/>
      <c r="K780" s="2"/>
    </row>
    <row r="781">
      <c r="C781" s="2"/>
      <c r="G781" s="2"/>
      <c r="K781" s="2"/>
    </row>
    <row r="782">
      <c r="C782" s="2"/>
      <c r="G782" s="2"/>
      <c r="K782" s="2"/>
    </row>
    <row r="783">
      <c r="C783" s="2"/>
      <c r="G783" s="2"/>
      <c r="K783" s="2"/>
    </row>
    <row r="784">
      <c r="C784" s="2"/>
      <c r="G784" s="2"/>
      <c r="K784" s="2"/>
    </row>
    <row r="785">
      <c r="C785" s="2"/>
      <c r="G785" s="2"/>
      <c r="K785" s="2"/>
    </row>
    <row r="786">
      <c r="C786" s="2"/>
      <c r="G786" s="2"/>
      <c r="K786" s="2"/>
    </row>
    <row r="787">
      <c r="C787" s="2"/>
      <c r="G787" s="2"/>
      <c r="K787" s="2"/>
    </row>
    <row r="788">
      <c r="C788" s="2"/>
      <c r="G788" s="2"/>
      <c r="K788" s="2"/>
    </row>
    <row r="789">
      <c r="C789" s="2"/>
      <c r="G789" s="2"/>
      <c r="K789" s="2"/>
    </row>
    <row r="790">
      <c r="C790" s="2"/>
      <c r="G790" s="2"/>
      <c r="K790" s="2"/>
    </row>
    <row r="791">
      <c r="C791" s="2"/>
      <c r="G791" s="2"/>
      <c r="K791" s="2"/>
    </row>
    <row r="792">
      <c r="C792" s="2"/>
      <c r="G792" s="2"/>
      <c r="K792" s="2"/>
    </row>
    <row r="793">
      <c r="C793" s="2"/>
      <c r="G793" s="2"/>
      <c r="K793" s="2"/>
    </row>
    <row r="794">
      <c r="C794" s="2"/>
      <c r="G794" s="2"/>
      <c r="K794" s="2"/>
    </row>
    <row r="795">
      <c r="C795" s="2"/>
      <c r="G795" s="2"/>
      <c r="K795" s="2"/>
    </row>
    <row r="796">
      <c r="C796" s="2"/>
      <c r="G796" s="2"/>
      <c r="K796" s="2"/>
    </row>
    <row r="797">
      <c r="C797" s="2"/>
      <c r="G797" s="2"/>
      <c r="K797" s="2"/>
    </row>
    <row r="798">
      <c r="C798" s="2"/>
      <c r="G798" s="2"/>
      <c r="K798" s="2"/>
    </row>
    <row r="799">
      <c r="C799" s="2"/>
      <c r="G799" s="2"/>
      <c r="K799" s="2"/>
    </row>
    <row r="800">
      <c r="C800" s="2"/>
      <c r="G800" s="2"/>
      <c r="K800" s="2"/>
    </row>
    <row r="801">
      <c r="C801" s="2"/>
      <c r="G801" s="2"/>
      <c r="K801" s="2"/>
    </row>
    <row r="802">
      <c r="C802" s="2"/>
      <c r="G802" s="2"/>
      <c r="K802" s="2"/>
    </row>
    <row r="803">
      <c r="C803" s="2"/>
      <c r="G803" s="2"/>
      <c r="K803" s="2"/>
    </row>
    <row r="804">
      <c r="C804" s="2"/>
      <c r="G804" s="2"/>
      <c r="K804" s="2"/>
    </row>
    <row r="805">
      <c r="C805" s="2"/>
      <c r="G805" s="2"/>
      <c r="K805" s="2"/>
    </row>
    <row r="806">
      <c r="C806" s="2"/>
      <c r="G806" s="2"/>
      <c r="K806" s="2"/>
    </row>
    <row r="807">
      <c r="C807" s="2"/>
      <c r="G807" s="2"/>
      <c r="K807" s="2"/>
    </row>
    <row r="808">
      <c r="C808" s="2"/>
      <c r="G808" s="2"/>
      <c r="K808" s="2"/>
    </row>
    <row r="809">
      <c r="C809" s="2"/>
      <c r="G809" s="2"/>
      <c r="K809" s="2"/>
    </row>
    <row r="810">
      <c r="C810" s="2"/>
      <c r="G810" s="2"/>
      <c r="K810" s="2"/>
    </row>
    <row r="811">
      <c r="C811" s="2"/>
      <c r="G811" s="2"/>
      <c r="K811" s="2"/>
    </row>
    <row r="812">
      <c r="C812" s="2"/>
      <c r="G812" s="2"/>
      <c r="K812" s="2"/>
    </row>
    <row r="813">
      <c r="C813" s="2"/>
      <c r="G813" s="2"/>
      <c r="K813" s="2"/>
    </row>
    <row r="814">
      <c r="C814" s="2"/>
      <c r="G814" s="2"/>
      <c r="K814" s="2"/>
    </row>
    <row r="815">
      <c r="C815" s="2"/>
      <c r="G815" s="2"/>
      <c r="K815" s="2"/>
    </row>
    <row r="816">
      <c r="C816" s="2"/>
      <c r="G816" s="2"/>
      <c r="K816" s="2"/>
    </row>
    <row r="817">
      <c r="C817" s="2"/>
      <c r="G817" s="2"/>
      <c r="K817" s="2"/>
    </row>
    <row r="818">
      <c r="C818" s="2"/>
      <c r="G818" s="2"/>
      <c r="K818" s="2"/>
    </row>
    <row r="819">
      <c r="C819" s="2"/>
      <c r="G819" s="2"/>
      <c r="K819" s="2"/>
    </row>
    <row r="820">
      <c r="C820" s="2"/>
      <c r="G820" s="2"/>
      <c r="K820" s="2"/>
    </row>
    <row r="821">
      <c r="C821" s="2"/>
      <c r="G821" s="2"/>
      <c r="K821" s="2"/>
    </row>
    <row r="822">
      <c r="C822" s="2"/>
      <c r="G822" s="2"/>
      <c r="K822" s="2"/>
    </row>
    <row r="823">
      <c r="C823" s="2"/>
      <c r="G823" s="2"/>
      <c r="K823" s="2"/>
    </row>
    <row r="824">
      <c r="C824" s="2"/>
      <c r="G824" s="2"/>
      <c r="K824" s="2"/>
    </row>
    <row r="825">
      <c r="C825" s="2"/>
      <c r="G825" s="2"/>
      <c r="K825" s="2"/>
    </row>
    <row r="826">
      <c r="C826" s="2"/>
      <c r="G826" s="2"/>
      <c r="K826" s="2"/>
    </row>
    <row r="827">
      <c r="C827" s="2"/>
      <c r="G827" s="2"/>
      <c r="K827" s="2"/>
    </row>
    <row r="828">
      <c r="C828" s="2"/>
      <c r="G828" s="2"/>
      <c r="K828" s="2"/>
    </row>
    <row r="829">
      <c r="C829" s="2"/>
      <c r="G829" s="2"/>
      <c r="K829" s="2"/>
    </row>
    <row r="830">
      <c r="C830" s="2"/>
      <c r="G830" s="2"/>
      <c r="K830" s="2"/>
    </row>
    <row r="831">
      <c r="C831" s="2"/>
      <c r="G831" s="2"/>
      <c r="K831" s="2"/>
    </row>
    <row r="832">
      <c r="C832" s="2"/>
      <c r="G832" s="2"/>
      <c r="K832" s="2"/>
    </row>
    <row r="833">
      <c r="C833" s="2"/>
      <c r="G833" s="2"/>
      <c r="K833" s="2"/>
    </row>
    <row r="834">
      <c r="C834" s="2"/>
      <c r="G834" s="2"/>
      <c r="K834" s="2"/>
    </row>
    <row r="835">
      <c r="C835" s="2"/>
      <c r="G835" s="2"/>
      <c r="K835" s="2"/>
    </row>
    <row r="836">
      <c r="C836" s="2"/>
      <c r="G836" s="2"/>
      <c r="K836" s="2"/>
    </row>
    <row r="837">
      <c r="C837" s="2"/>
      <c r="G837" s="2"/>
      <c r="K837" s="2"/>
    </row>
    <row r="838">
      <c r="C838" s="2"/>
      <c r="G838" s="2"/>
      <c r="K838" s="2"/>
    </row>
    <row r="839">
      <c r="C839" s="2"/>
      <c r="G839" s="2"/>
      <c r="K839" s="2"/>
    </row>
    <row r="840">
      <c r="C840" s="2"/>
      <c r="G840" s="2"/>
      <c r="K840" s="2"/>
    </row>
    <row r="841">
      <c r="C841" s="2"/>
      <c r="G841" s="2"/>
      <c r="K841" s="2"/>
    </row>
    <row r="842">
      <c r="C842" s="2"/>
      <c r="G842" s="2"/>
      <c r="K842" s="2"/>
    </row>
    <row r="843">
      <c r="C843" s="2"/>
      <c r="G843" s="2"/>
      <c r="K843" s="2"/>
    </row>
    <row r="844">
      <c r="C844" s="2"/>
      <c r="G844" s="2"/>
      <c r="K844" s="2"/>
    </row>
    <row r="845">
      <c r="C845" s="2"/>
      <c r="G845" s="2"/>
      <c r="K845" s="2"/>
    </row>
    <row r="846">
      <c r="C846" s="2"/>
      <c r="G846" s="2"/>
      <c r="K846" s="2"/>
    </row>
    <row r="847">
      <c r="C847" s="2"/>
      <c r="G847" s="2"/>
      <c r="K847" s="2"/>
    </row>
    <row r="848">
      <c r="C848" s="2"/>
      <c r="G848" s="2"/>
      <c r="K848" s="2"/>
    </row>
    <row r="849">
      <c r="C849" s="2"/>
      <c r="G849" s="2"/>
      <c r="K849" s="2"/>
    </row>
    <row r="850">
      <c r="C850" s="2"/>
      <c r="G850" s="2"/>
      <c r="K850" s="2"/>
    </row>
    <row r="851">
      <c r="C851" s="2"/>
      <c r="G851" s="2"/>
      <c r="K851" s="2"/>
    </row>
    <row r="852">
      <c r="C852" s="2"/>
      <c r="G852" s="2"/>
      <c r="K852" s="2"/>
    </row>
    <row r="853">
      <c r="C853" s="2"/>
      <c r="G853" s="2"/>
      <c r="K853" s="2"/>
    </row>
    <row r="854">
      <c r="C854" s="2"/>
      <c r="G854" s="2"/>
      <c r="K854" s="2"/>
    </row>
    <row r="855">
      <c r="C855" s="2"/>
      <c r="G855" s="2"/>
      <c r="K855" s="2"/>
    </row>
    <row r="856">
      <c r="C856" s="2"/>
      <c r="G856" s="2"/>
      <c r="K856" s="2"/>
    </row>
    <row r="857">
      <c r="C857" s="2"/>
      <c r="G857" s="2"/>
      <c r="K857" s="2"/>
    </row>
    <row r="858">
      <c r="C858" s="2"/>
      <c r="G858" s="2"/>
      <c r="K858" s="2"/>
    </row>
    <row r="859">
      <c r="C859" s="2"/>
      <c r="G859" s="2"/>
      <c r="K859" s="2"/>
    </row>
    <row r="860">
      <c r="C860" s="2"/>
      <c r="G860" s="2"/>
      <c r="K860" s="2"/>
    </row>
    <row r="861">
      <c r="C861" s="2"/>
      <c r="G861" s="2"/>
      <c r="K861" s="2"/>
    </row>
    <row r="862">
      <c r="C862" s="2"/>
      <c r="G862" s="2"/>
      <c r="K862" s="2"/>
    </row>
    <row r="863">
      <c r="C863" s="2"/>
      <c r="G863" s="2"/>
      <c r="K863" s="2"/>
    </row>
    <row r="864">
      <c r="C864" s="2"/>
      <c r="G864" s="2"/>
      <c r="K864" s="2"/>
    </row>
    <row r="865">
      <c r="C865" s="2"/>
      <c r="G865" s="2"/>
      <c r="K865" s="2"/>
    </row>
    <row r="866">
      <c r="C866" s="2"/>
      <c r="G866" s="2"/>
      <c r="K866" s="2"/>
    </row>
    <row r="867">
      <c r="C867" s="2"/>
      <c r="G867" s="2"/>
      <c r="K867" s="2"/>
    </row>
    <row r="868">
      <c r="C868" s="2"/>
      <c r="G868" s="2"/>
      <c r="K868" s="2"/>
    </row>
    <row r="869">
      <c r="C869" s="2"/>
      <c r="G869" s="2"/>
      <c r="K869" s="2"/>
    </row>
    <row r="870">
      <c r="C870" s="2"/>
      <c r="G870" s="2"/>
      <c r="K870" s="2"/>
    </row>
    <row r="871">
      <c r="C871" s="2"/>
      <c r="G871" s="2"/>
      <c r="K871" s="2"/>
    </row>
    <row r="872">
      <c r="C872" s="2"/>
      <c r="G872" s="2"/>
      <c r="K872" s="2"/>
    </row>
    <row r="873">
      <c r="C873" s="2"/>
      <c r="G873" s="2"/>
      <c r="K873" s="2"/>
    </row>
    <row r="874">
      <c r="C874" s="2"/>
      <c r="G874" s="2"/>
      <c r="K874" s="2"/>
    </row>
    <row r="875">
      <c r="C875" s="2"/>
      <c r="G875" s="2"/>
      <c r="K875" s="2"/>
    </row>
    <row r="876">
      <c r="C876" s="2"/>
      <c r="G876" s="2"/>
      <c r="K876" s="2"/>
    </row>
    <row r="877">
      <c r="C877" s="2"/>
      <c r="G877" s="2"/>
      <c r="K877" s="2"/>
    </row>
    <row r="878">
      <c r="C878" s="2"/>
      <c r="G878" s="2"/>
      <c r="K878" s="2"/>
    </row>
    <row r="879">
      <c r="C879" s="2"/>
      <c r="G879" s="2"/>
      <c r="K879" s="2"/>
    </row>
    <row r="880">
      <c r="C880" s="2"/>
      <c r="G880" s="2"/>
      <c r="K880" s="2"/>
    </row>
    <row r="881">
      <c r="C881" s="2"/>
      <c r="G881" s="2"/>
      <c r="K881" s="2"/>
    </row>
    <row r="882">
      <c r="C882" s="2"/>
      <c r="G882" s="2"/>
      <c r="K882" s="2"/>
    </row>
    <row r="883">
      <c r="C883" s="2"/>
      <c r="G883" s="2"/>
      <c r="K883" s="2"/>
    </row>
    <row r="884">
      <c r="C884" s="2"/>
      <c r="G884" s="2"/>
      <c r="K884" s="2"/>
    </row>
    <row r="885">
      <c r="C885" s="2"/>
      <c r="G885" s="2"/>
      <c r="K885" s="2"/>
    </row>
    <row r="886">
      <c r="C886" s="2"/>
      <c r="G886" s="2"/>
      <c r="K886" s="2"/>
    </row>
    <row r="887">
      <c r="C887" s="2"/>
      <c r="G887" s="2"/>
      <c r="K887" s="2"/>
    </row>
    <row r="888">
      <c r="C888" s="2"/>
      <c r="G888" s="2"/>
      <c r="K888" s="2"/>
    </row>
    <row r="889">
      <c r="C889" s="2"/>
      <c r="G889" s="2"/>
      <c r="K889" s="2"/>
    </row>
    <row r="890">
      <c r="C890" s="2"/>
      <c r="G890" s="2"/>
      <c r="K890" s="2"/>
    </row>
    <row r="891">
      <c r="C891" s="2"/>
      <c r="G891" s="2"/>
      <c r="K891" s="2"/>
    </row>
    <row r="892">
      <c r="C892" s="2"/>
      <c r="G892" s="2"/>
      <c r="K892" s="2"/>
    </row>
    <row r="893">
      <c r="C893" s="2"/>
      <c r="G893" s="2"/>
      <c r="K893" s="2"/>
    </row>
    <row r="894">
      <c r="C894" s="2"/>
      <c r="G894" s="2"/>
      <c r="K894" s="2"/>
    </row>
    <row r="895">
      <c r="C895" s="2"/>
      <c r="G895" s="2"/>
      <c r="K895" s="2"/>
    </row>
    <row r="896">
      <c r="C896" s="2"/>
      <c r="G896" s="2"/>
      <c r="K896" s="2"/>
    </row>
    <row r="897">
      <c r="C897" s="2"/>
      <c r="G897" s="2"/>
      <c r="K897" s="2"/>
    </row>
    <row r="898">
      <c r="C898" s="2"/>
      <c r="G898" s="2"/>
      <c r="K898" s="2"/>
    </row>
    <row r="899">
      <c r="C899" s="2"/>
      <c r="G899" s="2"/>
      <c r="K899" s="2"/>
    </row>
    <row r="900">
      <c r="C900" s="2"/>
      <c r="G900" s="2"/>
      <c r="K900" s="2"/>
    </row>
    <row r="901">
      <c r="C901" s="2"/>
      <c r="G901" s="2"/>
      <c r="K901" s="2"/>
    </row>
    <row r="902">
      <c r="C902" s="2"/>
      <c r="G902" s="2"/>
      <c r="K902" s="2"/>
    </row>
    <row r="903">
      <c r="C903" s="2"/>
      <c r="G903" s="2"/>
      <c r="K903" s="2"/>
    </row>
    <row r="904">
      <c r="C904" s="2"/>
      <c r="G904" s="2"/>
      <c r="K904" s="2"/>
    </row>
    <row r="905">
      <c r="C905" s="2"/>
      <c r="G905" s="2"/>
      <c r="K905" s="2"/>
    </row>
    <row r="906">
      <c r="C906" s="2"/>
      <c r="G906" s="2"/>
      <c r="K906" s="2"/>
    </row>
    <row r="907">
      <c r="C907" s="2"/>
      <c r="G907" s="2"/>
      <c r="K907" s="2"/>
    </row>
    <row r="908">
      <c r="C908" s="2"/>
      <c r="G908" s="2"/>
      <c r="K908" s="2"/>
    </row>
    <row r="909">
      <c r="C909" s="2"/>
      <c r="G909" s="2"/>
      <c r="K909" s="2"/>
    </row>
    <row r="910">
      <c r="C910" s="2"/>
      <c r="G910" s="2"/>
      <c r="K910" s="2"/>
    </row>
    <row r="911">
      <c r="C911" s="2"/>
      <c r="G911" s="2"/>
      <c r="K911" s="2"/>
    </row>
    <row r="912">
      <c r="C912" s="2"/>
      <c r="G912" s="2"/>
      <c r="K912" s="2"/>
    </row>
    <row r="913">
      <c r="C913" s="2"/>
      <c r="G913" s="2"/>
      <c r="K913" s="2"/>
    </row>
    <row r="914">
      <c r="C914" s="2"/>
      <c r="G914" s="2"/>
      <c r="K914" s="2"/>
    </row>
    <row r="915">
      <c r="C915" s="2"/>
      <c r="G915" s="2"/>
      <c r="K915" s="2"/>
    </row>
    <row r="916">
      <c r="C916" s="2"/>
      <c r="G916" s="2"/>
      <c r="K916" s="2"/>
    </row>
    <row r="917">
      <c r="C917" s="2"/>
      <c r="G917" s="2"/>
      <c r="K917" s="2"/>
    </row>
    <row r="918">
      <c r="C918" s="2"/>
      <c r="G918" s="2"/>
      <c r="K918" s="2"/>
    </row>
    <row r="919">
      <c r="C919" s="2"/>
      <c r="G919" s="2"/>
      <c r="K919" s="2"/>
    </row>
    <row r="920">
      <c r="C920" s="2"/>
      <c r="G920" s="2"/>
      <c r="K920" s="2"/>
    </row>
    <row r="921">
      <c r="C921" s="2"/>
      <c r="G921" s="2"/>
      <c r="K921" s="2"/>
    </row>
    <row r="922">
      <c r="C922" s="2"/>
      <c r="G922" s="2"/>
      <c r="K922" s="2"/>
    </row>
    <row r="923">
      <c r="C923" s="2"/>
      <c r="G923" s="2"/>
      <c r="K923" s="2"/>
    </row>
    <row r="924">
      <c r="C924" s="2"/>
      <c r="G924" s="2"/>
      <c r="K924" s="2"/>
    </row>
    <row r="925">
      <c r="C925" s="2"/>
      <c r="G925" s="2"/>
      <c r="K925" s="2"/>
    </row>
    <row r="926">
      <c r="C926" s="2"/>
      <c r="G926" s="2"/>
      <c r="K926" s="2"/>
    </row>
    <row r="927">
      <c r="C927" s="2"/>
      <c r="G927" s="2"/>
      <c r="K927" s="2"/>
    </row>
    <row r="928">
      <c r="C928" s="2"/>
      <c r="G928" s="2"/>
      <c r="K928" s="2"/>
    </row>
    <row r="929">
      <c r="C929" s="2"/>
      <c r="G929" s="2"/>
      <c r="K929" s="2"/>
    </row>
    <row r="930">
      <c r="C930" s="2"/>
      <c r="G930" s="2"/>
      <c r="K930" s="2"/>
    </row>
    <row r="931">
      <c r="C931" s="2"/>
      <c r="G931" s="2"/>
      <c r="K931" s="2"/>
    </row>
    <row r="932">
      <c r="C932" s="2"/>
      <c r="G932" s="2"/>
      <c r="K932" s="2"/>
    </row>
    <row r="933">
      <c r="C933" s="2"/>
      <c r="G933" s="2"/>
      <c r="K933" s="2"/>
    </row>
    <row r="934">
      <c r="C934" s="2"/>
      <c r="G934" s="2"/>
      <c r="K934" s="2"/>
    </row>
    <row r="935">
      <c r="C935" s="2"/>
      <c r="G935" s="2"/>
      <c r="K935" s="2"/>
    </row>
    <row r="936">
      <c r="C936" s="2"/>
      <c r="G936" s="2"/>
      <c r="K936" s="2"/>
    </row>
    <row r="937">
      <c r="C937" s="2"/>
      <c r="G937" s="2"/>
      <c r="K937" s="2"/>
    </row>
    <row r="938">
      <c r="C938" s="2"/>
      <c r="G938" s="2"/>
      <c r="K938" s="2"/>
    </row>
    <row r="939">
      <c r="C939" s="2"/>
      <c r="G939" s="2"/>
      <c r="K939" s="2"/>
    </row>
    <row r="940">
      <c r="C940" s="2"/>
      <c r="G940" s="2"/>
      <c r="K940" s="2"/>
    </row>
    <row r="941">
      <c r="C941" s="2"/>
      <c r="G941" s="2"/>
      <c r="K941" s="2"/>
    </row>
    <row r="942">
      <c r="C942" s="2"/>
      <c r="G942" s="2"/>
      <c r="K942" s="2"/>
    </row>
    <row r="943">
      <c r="C943" s="2"/>
      <c r="G943" s="2"/>
      <c r="K943" s="2"/>
    </row>
    <row r="944">
      <c r="C944" s="2"/>
      <c r="G944" s="2"/>
      <c r="K944" s="2"/>
    </row>
    <row r="945">
      <c r="C945" s="2"/>
      <c r="G945" s="2"/>
      <c r="K945" s="2"/>
    </row>
    <row r="946">
      <c r="C946" s="2"/>
      <c r="G946" s="2"/>
      <c r="K946" s="2"/>
    </row>
    <row r="947">
      <c r="C947" s="2"/>
      <c r="G947" s="2"/>
      <c r="K947" s="2"/>
    </row>
    <row r="948">
      <c r="C948" s="2"/>
      <c r="G948" s="2"/>
      <c r="K948" s="2"/>
    </row>
    <row r="949">
      <c r="C949" s="2"/>
      <c r="G949" s="2"/>
      <c r="K949" s="2"/>
    </row>
    <row r="950">
      <c r="C950" s="2"/>
      <c r="G950" s="2"/>
      <c r="K950" s="2"/>
    </row>
    <row r="951">
      <c r="C951" s="2"/>
      <c r="G951" s="2"/>
      <c r="K951" s="2"/>
    </row>
    <row r="952">
      <c r="C952" s="2"/>
      <c r="G952" s="2"/>
      <c r="K952" s="2"/>
    </row>
    <row r="953">
      <c r="C953" s="2"/>
      <c r="G953" s="2"/>
      <c r="K953" s="2"/>
    </row>
    <row r="954">
      <c r="C954" s="2"/>
      <c r="G954" s="2"/>
      <c r="K954" s="2"/>
    </row>
    <row r="955">
      <c r="C955" s="2"/>
      <c r="G955" s="2"/>
      <c r="K955" s="2"/>
    </row>
    <row r="956">
      <c r="C956" s="2"/>
      <c r="G956" s="2"/>
      <c r="K956" s="2"/>
    </row>
    <row r="957">
      <c r="C957" s="2"/>
      <c r="G957" s="2"/>
      <c r="K957" s="2"/>
    </row>
    <row r="958">
      <c r="C958" s="2"/>
      <c r="G958" s="2"/>
      <c r="K958" s="2"/>
    </row>
    <row r="959">
      <c r="C959" s="2"/>
      <c r="G959" s="2"/>
      <c r="K959" s="2"/>
    </row>
    <row r="960">
      <c r="C960" s="2"/>
      <c r="G960" s="2"/>
      <c r="K960" s="2"/>
    </row>
    <row r="961">
      <c r="C961" s="2"/>
      <c r="G961" s="2"/>
      <c r="K961" s="2"/>
    </row>
    <row r="962">
      <c r="C962" s="2"/>
      <c r="G962" s="2"/>
      <c r="K962" s="2"/>
    </row>
    <row r="963">
      <c r="C963" s="2"/>
      <c r="G963" s="2"/>
      <c r="K963" s="2"/>
    </row>
    <row r="964">
      <c r="C964" s="2"/>
      <c r="G964" s="2"/>
      <c r="K964" s="2"/>
    </row>
    <row r="965">
      <c r="C965" s="2"/>
      <c r="G965" s="2"/>
      <c r="K965" s="2"/>
    </row>
    <row r="966">
      <c r="C966" s="2"/>
      <c r="G966" s="2"/>
      <c r="K966" s="2"/>
    </row>
    <row r="967">
      <c r="C967" s="2"/>
      <c r="G967" s="2"/>
      <c r="K967" s="2"/>
    </row>
    <row r="968">
      <c r="C968" s="2"/>
      <c r="G968" s="2"/>
      <c r="K968" s="2"/>
    </row>
    <row r="969">
      <c r="C969" s="2"/>
      <c r="G969" s="2"/>
      <c r="K969" s="2"/>
    </row>
    <row r="970">
      <c r="C970" s="2"/>
      <c r="G970" s="2"/>
      <c r="K970" s="2"/>
    </row>
    <row r="971">
      <c r="C971" s="2"/>
      <c r="G971" s="2"/>
      <c r="K971" s="2"/>
    </row>
    <row r="972">
      <c r="C972" s="2"/>
      <c r="G972" s="2"/>
      <c r="K972" s="2"/>
    </row>
    <row r="973">
      <c r="C973" s="2"/>
      <c r="G973" s="2"/>
      <c r="K973" s="2"/>
    </row>
    <row r="974">
      <c r="C974" s="2"/>
      <c r="G974" s="2"/>
      <c r="K974" s="2"/>
    </row>
    <row r="975">
      <c r="C975" s="2"/>
      <c r="G975" s="2"/>
      <c r="K975" s="2"/>
    </row>
    <row r="976">
      <c r="C976" s="2"/>
      <c r="G976" s="2"/>
      <c r="K976" s="2"/>
    </row>
    <row r="977">
      <c r="C977" s="2"/>
      <c r="G977" s="2"/>
      <c r="K977" s="2"/>
    </row>
    <row r="978">
      <c r="C978" s="2"/>
      <c r="G978" s="2"/>
      <c r="K978" s="2"/>
    </row>
    <row r="979">
      <c r="C979" s="2"/>
      <c r="G979" s="2"/>
      <c r="K979" s="2"/>
    </row>
    <row r="980">
      <c r="C980" s="2"/>
      <c r="G980" s="2"/>
      <c r="K980" s="2"/>
    </row>
    <row r="981">
      <c r="C981" s="2"/>
      <c r="G981" s="2"/>
      <c r="K981" s="2"/>
    </row>
    <row r="982">
      <c r="C982" s="2"/>
      <c r="G982" s="2"/>
      <c r="K982" s="2"/>
    </row>
    <row r="983">
      <c r="C983" s="2"/>
      <c r="G983" s="2"/>
      <c r="K983" s="2"/>
    </row>
    <row r="984">
      <c r="C984" s="2"/>
      <c r="G984" s="2"/>
      <c r="K984" s="2"/>
    </row>
    <row r="985">
      <c r="C985" s="2"/>
      <c r="G985" s="2"/>
      <c r="K985" s="2"/>
    </row>
    <row r="986">
      <c r="C986" s="2"/>
      <c r="G986" s="2"/>
      <c r="K986" s="2"/>
    </row>
    <row r="987">
      <c r="C987" s="2"/>
      <c r="G987" s="2"/>
      <c r="K987" s="2"/>
    </row>
    <row r="988">
      <c r="C988" s="2"/>
      <c r="G988" s="2"/>
      <c r="K988" s="2"/>
    </row>
    <row r="989">
      <c r="C989" s="2"/>
      <c r="G989" s="2"/>
      <c r="K989" s="2"/>
    </row>
    <row r="990">
      <c r="C990" s="2"/>
      <c r="G990" s="2"/>
      <c r="K990" s="2"/>
    </row>
    <row r="991">
      <c r="C991" s="2"/>
      <c r="G991" s="2"/>
      <c r="K991" s="2"/>
    </row>
    <row r="992">
      <c r="C992" s="2"/>
      <c r="G992" s="2"/>
      <c r="K992" s="2"/>
    </row>
    <row r="993">
      <c r="C993" s="2"/>
      <c r="G993" s="2"/>
      <c r="K993" s="2"/>
    </row>
    <row r="994">
      <c r="C994" s="2"/>
      <c r="G994" s="2"/>
      <c r="K994" s="2"/>
    </row>
    <row r="995">
      <c r="C995" s="2"/>
      <c r="G995" s="2"/>
      <c r="K995" s="2"/>
    </row>
    <row r="996">
      <c r="C996" s="2"/>
      <c r="G996" s="2"/>
      <c r="K996" s="2"/>
    </row>
    <row r="997">
      <c r="C997" s="2"/>
      <c r="G997" s="2"/>
      <c r="K997" s="2"/>
    </row>
    <row r="998">
      <c r="C998" s="2"/>
      <c r="G998" s="2"/>
      <c r="K998" s="2"/>
    </row>
    <row r="999">
      <c r="C999" s="2"/>
      <c r="G999" s="2"/>
      <c r="K999" s="2"/>
    </row>
    <row r="1000">
      <c r="C1000" s="2"/>
      <c r="G1000" s="2"/>
      <c r="K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5"/>
    <col customWidth="1" min="2" max="2" width="28.88"/>
    <col customWidth="1" min="3" max="3" width="15.25"/>
    <col customWidth="1" min="4" max="6" width="5.13"/>
    <col customWidth="1" min="7" max="8" width="10.13"/>
    <col customWidth="1" min="9" max="9" width="0.75"/>
    <col customWidth="1" min="10" max="15" width="2.0"/>
    <col customWidth="1" min="16" max="16" width="0.75"/>
    <col customWidth="1" min="17" max="22" width="2.0"/>
    <col customWidth="1" min="23" max="23" width="0.75"/>
    <col customWidth="1" min="24" max="28" width="2.0"/>
    <col customWidth="1" min="29" max="29" width="0.75"/>
    <col customWidth="1" min="30" max="34" width="2.0"/>
    <col customWidth="1" min="35" max="35" width="0.75"/>
  </cols>
  <sheetData>
    <row r="1">
      <c r="A1" s="5"/>
      <c r="B1" s="6"/>
      <c r="C1" s="6"/>
      <c r="D1" s="6"/>
      <c r="E1" s="6" t="s">
        <v>3</v>
      </c>
      <c r="F1" s="7"/>
      <c r="G1" s="7"/>
      <c r="H1" s="7"/>
      <c r="I1" s="8"/>
      <c r="J1" s="6" t="s">
        <v>4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10"/>
    </row>
    <row r="2">
      <c r="A2" s="11" t="s">
        <v>5</v>
      </c>
      <c r="B2" s="12" t="s">
        <v>6</v>
      </c>
      <c r="C2" s="11" t="s">
        <v>7</v>
      </c>
      <c r="D2" s="12" t="s">
        <v>8</v>
      </c>
      <c r="E2" s="11" t="s">
        <v>9</v>
      </c>
      <c r="F2" s="12" t="s">
        <v>10</v>
      </c>
      <c r="G2" s="13" t="s">
        <v>11</v>
      </c>
      <c r="H2" s="14" t="s">
        <v>12</v>
      </c>
      <c r="I2" s="15"/>
      <c r="J2" s="16" t="s">
        <v>13</v>
      </c>
      <c r="K2" s="9"/>
      <c r="L2" s="9"/>
      <c r="M2" s="9"/>
      <c r="N2" s="9"/>
      <c r="O2" s="9"/>
      <c r="P2" s="17"/>
      <c r="Q2" s="16" t="s">
        <v>14</v>
      </c>
      <c r="R2" s="9"/>
      <c r="S2" s="9"/>
      <c r="T2" s="9"/>
      <c r="U2" s="9"/>
      <c r="V2" s="9"/>
      <c r="W2" s="17"/>
      <c r="X2" s="16" t="s">
        <v>15</v>
      </c>
      <c r="Y2" s="9"/>
      <c r="Z2" s="9"/>
      <c r="AA2" s="9"/>
      <c r="AB2" s="9"/>
      <c r="AC2" s="17"/>
      <c r="AD2" s="16" t="s">
        <v>16</v>
      </c>
      <c r="AE2" s="9"/>
      <c r="AF2" s="9"/>
      <c r="AG2" s="9"/>
      <c r="AH2" s="9"/>
      <c r="AI2" s="18"/>
    </row>
    <row r="3" ht="15.0" customHeight="1">
      <c r="A3" s="19" t="s">
        <v>17</v>
      </c>
      <c r="B3" s="19" t="s">
        <v>18</v>
      </c>
      <c r="C3" s="20" t="s">
        <v>19</v>
      </c>
      <c r="D3" s="21">
        <f t="shared" ref="D3:F3" si="1">0</f>
        <v>0</v>
      </c>
      <c r="E3" s="21">
        <f t="shared" si="1"/>
        <v>0</v>
      </c>
      <c r="F3" s="21">
        <f t="shared" si="1"/>
        <v>0</v>
      </c>
      <c r="G3" s="21">
        <f>'W1 Team Points'!F16+'W2 Team Points'!F16+'W3 Team Points'!F16+'W4 Team Points'!F16</f>
        <v>0</v>
      </c>
      <c r="H3" s="22" t="str">
        <f t="shared" ref="H3:H14" si="3">D3/(D3+E3+F3)</f>
        <v>#DIV/0!</v>
      </c>
      <c r="I3" s="23"/>
      <c r="J3" s="24"/>
      <c r="K3" s="24"/>
      <c r="L3" s="24"/>
      <c r="M3" s="24"/>
      <c r="N3" s="24"/>
      <c r="O3" s="24"/>
      <c r="P3" s="25"/>
      <c r="Q3" s="24"/>
      <c r="R3" s="24"/>
      <c r="S3" s="24"/>
      <c r="T3" s="24"/>
      <c r="U3" s="24"/>
      <c r="V3" s="24"/>
      <c r="W3" s="25"/>
      <c r="X3" s="24"/>
      <c r="Y3" s="24"/>
      <c r="Z3" s="24"/>
      <c r="AA3" s="24"/>
      <c r="AB3" s="24"/>
      <c r="AC3" s="25"/>
      <c r="AD3" s="24"/>
      <c r="AE3" s="24"/>
      <c r="AF3" s="24"/>
      <c r="AG3" s="24"/>
      <c r="AH3" s="24"/>
      <c r="AI3" s="25"/>
    </row>
    <row r="4" ht="15.0" customHeight="1">
      <c r="A4" s="26" t="s">
        <v>20</v>
      </c>
      <c r="B4" s="26" t="s">
        <v>21</v>
      </c>
      <c r="C4" s="27" t="s">
        <v>22</v>
      </c>
      <c r="D4" s="21">
        <f t="shared" ref="D4:F4" si="2">0</f>
        <v>0</v>
      </c>
      <c r="E4" s="21">
        <f t="shared" si="2"/>
        <v>0</v>
      </c>
      <c r="F4" s="21">
        <f t="shared" si="2"/>
        <v>0</v>
      </c>
      <c r="G4" s="21">
        <f>'W1 Team Points'!M16+'W2 Team Points'!M16+'W3 Team Points'!M16+'W4 Team Points'!M16</f>
        <v>0</v>
      </c>
      <c r="H4" s="22" t="str">
        <f t="shared" si="3"/>
        <v>#DIV/0!</v>
      </c>
      <c r="I4" s="23"/>
      <c r="J4" s="24"/>
      <c r="K4" s="24"/>
      <c r="L4" s="24"/>
      <c r="M4" s="24"/>
      <c r="N4" s="24"/>
      <c r="O4" s="24"/>
      <c r="P4" s="25"/>
      <c r="Q4" s="24"/>
      <c r="R4" s="24"/>
      <c r="S4" s="24"/>
      <c r="T4" s="24"/>
      <c r="U4" s="24"/>
      <c r="V4" s="24"/>
      <c r="W4" s="25"/>
      <c r="X4" s="24"/>
      <c r="Y4" s="24"/>
      <c r="Z4" s="24"/>
      <c r="AA4" s="24"/>
      <c r="AB4" s="24"/>
      <c r="AC4" s="25"/>
      <c r="AD4" s="24"/>
      <c r="AE4" s="24"/>
      <c r="AF4" s="24"/>
      <c r="AG4" s="24"/>
      <c r="AH4" s="24"/>
      <c r="AI4" s="25"/>
    </row>
    <row r="5" ht="15.0" customHeight="1">
      <c r="A5" s="19" t="s">
        <v>23</v>
      </c>
      <c r="B5" s="19" t="s">
        <v>24</v>
      </c>
      <c r="C5" s="20" t="s">
        <v>25</v>
      </c>
      <c r="D5" s="21">
        <f t="shared" ref="D5:F5" si="4">0</f>
        <v>0</v>
      </c>
      <c r="E5" s="21">
        <f t="shared" si="4"/>
        <v>0</v>
      </c>
      <c r="F5" s="21">
        <f t="shared" si="4"/>
        <v>0</v>
      </c>
      <c r="G5" s="21">
        <f>'W1 Team Points'!T16+'W2 Team Points'!T16+'W3 Team Points'!T16+'W4 Team Points'!T16</f>
        <v>234</v>
      </c>
      <c r="H5" s="22" t="str">
        <f t="shared" si="3"/>
        <v>#DIV/0!</v>
      </c>
      <c r="I5" s="28"/>
      <c r="J5" s="24"/>
      <c r="K5" s="24"/>
      <c r="L5" s="24"/>
      <c r="M5" s="24"/>
      <c r="N5" s="24"/>
      <c r="O5" s="24"/>
      <c r="P5" s="18"/>
      <c r="Q5" s="24"/>
      <c r="R5" s="24"/>
      <c r="S5" s="24"/>
      <c r="T5" s="24"/>
      <c r="U5" s="24"/>
      <c r="V5" s="24"/>
      <c r="W5" s="18"/>
      <c r="X5" s="24"/>
      <c r="Y5" s="24"/>
      <c r="Z5" s="24"/>
      <c r="AA5" s="24"/>
      <c r="AB5" s="24"/>
      <c r="AC5" s="18"/>
      <c r="AD5" s="24"/>
      <c r="AE5" s="24"/>
      <c r="AF5" s="24"/>
      <c r="AG5" s="24"/>
      <c r="AH5" s="24"/>
      <c r="AI5" s="18"/>
    </row>
    <row r="6" ht="15.0" customHeight="1">
      <c r="A6" s="26" t="s">
        <v>26</v>
      </c>
      <c r="B6" s="26" t="s">
        <v>27</v>
      </c>
      <c r="C6" s="27" t="s">
        <v>28</v>
      </c>
      <c r="D6" s="21">
        <f t="shared" ref="D6:F6" si="5">0</f>
        <v>0</v>
      </c>
      <c r="E6" s="21">
        <f t="shared" si="5"/>
        <v>0</v>
      </c>
      <c r="F6" s="21">
        <f t="shared" si="5"/>
        <v>0</v>
      </c>
      <c r="G6" s="21">
        <f>'W1 Team Points'!F32+'W2 Team Points'!F32+'W3 Team Points'!F32+'W4 Team Points'!F32</f>
        <v>271</v>
      </c>
      <c r="H6" s="22" t="str">
        <f t="shared" si="3"/>
        <v>#DIV/0!</v>
      </c>
      <c r="I6" s="23"/>
      <c r="J6" s="24"/>
      <c r="K6" s="24"/>
      <c r="L6" s="24"/>
      <c r="M6" s="24"/>
      <c r="N6" s="24"/>
      <c r="O6" s="24"/>
      <c r="P6" s="25"/>
      <c r="Q6" s="24"/>
      <c r="R6" s="24"/>
      <c r="S6" s="24"/>
      <c r="T6" s="24"/>
      <c r="U6" s="24"/>
      <c r="V6" s="24"/>
      <c r="W6" s="25"/>
      <c r="X6" s="24"/>
      <c r="Y6" s="24"/>
      <c r="Z6" s="24"/>
      <c r="AA6" s="24"/>
      <c r="AB6" s="24"/>
      <c r="AC6" s="25"/>
      <c r="AD6" s="24"/>
      <c r="AE6" s="24"/>
      <c r="AF6" s="24"/>
      <c r="AG6" s="24"/>
      <c r="AH6" s="24"/>
      <c r="AI6" s="25"/>
    </row>
    <row r="7" ht="15.0" customHeight="1">
      <c r="A7" s="26" t="s">
        <v>29</v>
      </c>
      <c r="B7" s="26" t="s">
        <v>30</v>
      </c>
      <c r="C7" s="29" t="s">
        <v>31</v>
      </c>
      <c r="D7" s="21">
        <f t="shared" ref="D7:F7" si="6">0</f>
        <v>0</v>
      </c>
      <c r="E7" s="21">
        <f t="shared" si="6"/>
        <v>0</v>
      </c>
      <c r="F7" s="21">
        <f t="shared" si="6"/>
        <v>0</v>
      </c>
      <c r="G7" s="21">
        <f>'W1 Team Points'!M32+'W2 Team Points'!M32+'W3 Team Points'!M32+'W4 Team Points'!M32</f>
        <v>215</v>
      </c>
      <c r="H7" s="22" t="str">
        <f t="shared" si="3"/>
        <v>#DIV/0!</v>
      </c>
      <c r="I7" s="23"/>
      <c r="J7" s="24"/>
      <c r="K7" s="24"/>
      <c r="L7" s="24"/>
      <c r="M7" s="24"/>
      <c r="N7" s="24"/>
      <c r="O7" s="24"/>
      <c r="P7" s="25"/>
      <c r="Q7" s="24"/>
      <c r="R7" s="24"/>
      <c r="S7" s="24"/>
      <c r="T7" s="24"/>
      <c r="U7" s="24"/>
      <c r="V7" s="24"/>
      <c r="W7" s="25"/>
      <c r="X7" s="24"/>
      <c r="Y7" s="24"/>
      <c r="Z7" s="24"/>
      <c r="AA7" s="24"/>
      <c r="AB7" s="24"/>
      <c r="AC7" s="25"/>
      <c r="AD7" s="24"/>
      <c r="AE7" s="24"/>
      <c r="AF7" s="24"/>
      <c r="AG7" s="24"/>
      <c r="AH7" s="24"/>
      <c r="AI7" s="25"/>
    </row>
    <row r="8" ht="15.0" customHeight="1">
      <c r="A8" s="26" t="s">
        <v>32</v>
      </c>
      <c r="B8" s="26" t="s">
        <v>33</v>
      </c>
      <c r="C8" s="27" t="s">
        <v>34</v>
      </c>
      <c r="D8" s="21">
        <f t="shared" ref="D8:F8" si="7">0</f>
        <v>0</v>
      </c>
      <c r="E8" s="21">
        <f t="shared" si="7"/>
        <v>0</v>
      </c>
      <c r="F8" s="21">
        <f t="shared" si="7"/>
        <v>0</v>
      </c>
      <c r="G8" s="21">
        <f>'W1 Team Points'!T32+'W2 Team Points'!T32+'W3 Team Points'!T32+'W4 Team Points'!T32</f>
        <v>0</v>
      </c>
      <c r="H8" s="22" t="str">
        <f t="shared" si="3"/>
        <v>#DIV/0!</v>
      </c>
      <c r="I8" s="28"/>
      <c r="J8" s="24"/>
      <c r="K8" s="24"/>
      <c r="L8" s="24"/>
      <c r="M8" s="24"/>
      <c r="N8" s="24"/>
      <c r="O8" s="24"/>
      <c r="P8" s="18"/>
      <c r="Q8" s="24"/>
      <c r="R8" s="24"/>
      <c r="S8" s="24"/>
      <c r="T8" s="24"/>
      <c r="U8" s="24"/>
      <c r="V8" s="24"/>
      <c r="W8" s="18"/>
      <c r="X8" s="24"/>
      <c r="Y8" s="24"/>
      <c r="Z8" s="24"/>
      <c r="AA8" s="24"/>
      <c r="AB8" s="24"/>
      <c r="AC8" s="18"/>
      <c r="AD8" s="24"/>
      <c r="AE8" s="24"/>
      <c r="AF8" s="24"/>
      <c r="AG8" s="24"/>
      <c r="AH8" s="24"/>
      <c r="AI8" s="18"/>
    </row>
    <row r="9" ht="15.0" customHeight="1">
      <c r="A9" s="26" t="s">
        <v>35</v>
      </c>
      <c r="B9" s="26" t="s">
        <v>36</v>
      </c>
      <c r="C9" s="27" t="s">
        <v>37</v>
      </c>
      <c r="D9" s="21">
        <f t="shared" ref="D9:F9" si="8">0</f>
        <v>0</v>
      </c>
      <c r="E9" s="21">
        <f t="shared" si="8"/>
        <v>0</v>
      </c>
      <c r="F9" s="21">
        <f t="shared" si="8"/>
        <v>0</v>
      </c>
      <c r="G9" s="21">
        <f>'W1 Team Points'!F48+'W2 Team Points'!F48+'W3 Team Points'!F48+'W4 Team Points'!F48</f>
        <v>0</v>
      </c>
      <c r="H9" s="22" t="str">
        <f t="shared" si="3"/>
        <v>#DIV/0!</v>
      </c>
      <c r="I9" s="23"/>
      <c r="J9" s="24"/>
      <c r="K9" s="24"/>
      <c r="L9" s="24"/>
      <c r="M9" s="24"/>
      <c r="N9" s="24"/>
      <c r="O9" s="24"/>
      <c r="P9" s="25"/>
      <c r="Q9" s="24"/>
      <c r="R9" s="24"/>
      <c r="S9" s="24"/>
      <c r="T9" s="24"/>
      <c r="U9" s="24"/>
      <c r="V9" s="24"/>
      <c r="W9" s="25"/>
      <c r="X9" s="24"/>
      <c r="Y9" s="24"/>
      <c r="Z9" s="24"/>
      <c r="AA9" s="24"/>
      <c r="AB9" s="24"/>
      <c r="AC9" s="25"/>
      <c r="AD9" s="24"/>
      <c r="AE9" s="24"/>
      <c r="AF9" s="24"/>
      <c r="AG9" s="24"/>
      <c r="AH9" s="24"/>
      <c r="AI9" s="25"/>
    </row>
    <row r="10" ht="15.0" customHeight="1">
      <c r="A10" s="26" t="s">
        <v>38</v>
      </c>
      <c r="B10" s="26" t="s">
        <v>39</v>
      </c>
      <c r="C10" s="27" t="s">
        <v>39</v>
      </c>
      <c r="D10" s="21">
        <f t="shared" ref="D10:F10" si="9">0</f>
        <v>0</v>
      </c>
      <c r="E10" s="21">
        <f t="shared" si="9"/>
        <v>0</v>
      </c>
      <c r="F10" s="21">
        <f t="shared" si="9"/>
        <v>0</v>
      </c>
      <c r="G10" s="21">
        <f>'W1 Team Points'!M48+'W2 Team Points'!M48+'W3 Team Points'!M48+'W4 Team Points'!M48</f>
        <v>215</v>
      </c>
      <c r="H10" s="22" t="str">
        <f t="shared" si="3"/>
        <v>#DIV/0!</v>
      </c>
      <c r="I10" s="30"/>
      <c r="J10" s="24"/>
      <c r="K10" s="24"/>
      <c r="L10" s="24"/>
      <c r="M10" s="24"/>
      <c r="N10" s="24"/>
      <c r="O10" s="24"/>
      <c r="P10" s="25"/>
      <c r="Q10" s="24"/>
      <c r="R10" s="24"/>
      <c r="S10" s="24"/>
      <c r="T10" s="24"/>
      <c r="U10" s="24"/>
      <c r="V10" s="24"/>
      <c r="W10" s="25"/>
      <c r="X10" s="24"/>
      <c r="Y10" s="24"/>
      <c r="Z10" s="24"/>
      <c r="AA10" s="24"/>
      <c r="AB10" s="24"/>
      <c r="AC10" s="25"/>
      <c r="AD10" s="24"/>
      <c r="AE10" s="24"/>
      <c r="AF10" s="24"/>
      <c r="AG10" s="24"/>
      <c r="AH10" s="24"/>
      <c r="AI10" s="25"/>
    </row>
    <row r="11" ht="15.0" customHeight="1">
      <c r="A11" s="26" t="s">
        <v>40</v>
      </c>
      <c r="B11" s="26" t="s">
        <v>41</v>
      </c>
      <c r="C11" s="27" t="s">
        <v>42</v>
      </c>
      <c r="D11" s="21">
        <f t="shared" ref="D11:F11" si="10">0</f>
        <v>0</v>
      </c>
      <c r="E11" s="21">
        <f t="shared" si="10"/>
        <v>0</v>
      </c>
      <c r="F11" s="21">
        <f t="shared" si="10"/>
        <v>0</v>
      </c>
      <c r="G11" s="21">
        <f>'W1 Team Points'!T48+'W2 Team Points'!T48+'W3 Team Points'!T48+'W4 Team Points'!T48</f>
        <v>146</v>
      </c>
      <c r="H11" s="22" t="str">
        <f t="shared" si="3"/>
        <v>#DIV/0!</v>
      </c>
      <c r="I11" s="30"/>
      <c r="J11" s="24"/>
      <c r="K11" s="24"/>
      <c r="L11" s="24"/>
      <c r="M11" s="24"/>
      <c r="N11" s="24"/>
      <c r="O11" s="24"/>
      <c r="P11" s="25"/>
      <c r="Q11" s="24"/>
      <c r="R11" s="24"/>
      <c r="S11" s="24"/>
      <c r="T11" s="24"/>
      <c r="U11" s="24"/>
      <c r="V11" s="24"/>
      <c r="W11" s="25"/>
      <c r="X11" s="24"/>
      <c r="Y11" s="24"/>
      <c r="Z11" s="24"/>
      <c r="AA11" s="24"/>
      <c r="AB11" s="24"/>
      <c r="AC11" s="25"/>
      <c r="AD11" s="24"/>
      <c r="AE11" s="24"/>
      <c r="AF11" s="24"/>
      <c r="AG11" s="24"/>
      <c r="AH11" s="24"/>
      <c r="AI11" s="25"/>
    </row>
    <row r="12" ht="15.0" customHeight="1">
      <c r="A12" s="26" t="s">
        <v>43</v>
      </c>
      <c r="B12" s="26" t="s">
        <v>44</v>
      </c>
      <c r="C12" s="27" t="s">
        <v>45</v>
      </c>
      <c r="D12" s="21">
        <f t="shared" ref="D12:F12" si="11">0</f>
        <v>0</v>
      </c>
      <c r="E12" s="21">
        <f t="shared" si="11"/>
        <v>0</v>
      </c>
      <c r="F12" s="21">
        <f t="shared" si="11"/>
        <v>0</v>
      </c>
      <c r="G12" s="21">
        <f>'W1 Team Points'!F64+'W2 Team Points'!F64+'W3 Team Points'!F64+'W4 Team Points'!F64</f>
        <v>215</v>
      </c>
      <c r="H12" s="22" t="str">
        <f t="shared" si="3"/>
        <v>#DIV/0!</v>
      </c>
      <c r="I12" s="23"/>
      <c r="J12" s="24"/>
      <c r="K12" s="24"/>
      <c r="L12" s="24"/>
      <c r="M12" s="24"/>
      <c r="N12" s="24"/>
      <c r="O12" s="24"/>
      <c r="P12" s="25"/>
      <c r="Q12" s="24"/>
      <c r="R12" s="24"/>
      <c r="S12" s="24"/>
      <c r="T12" s="24"/>
      <c r="U12" s="24"/>
      <c r="V12" s="24"/>
      <c r="W12" s="25"/>
      <c r="X12" s="24"/>
      <c r="Y12" s="24"/>
      <c r="Z12" s="24"/>
      <c r="AA12" s="24"/>
      <c r="AB12" s="24"/>
      <c r="AC12" s="25"/>
      <c r="AD12" s="24"/>
      <c r="AE12" s="24"/>
      <c r="AF12" s="24"/>
      <c r="AG12" s="24"/>
      <c r="AH12" s="24"/>
      <c r="AI12" s="25"/>
    </row>
    <row r="13" ht="15.0" customHeight="1">
      <c r="A13" s="26" t="s">
        <v>46</v>
      </c>
      <c r="B13" s="26" t="s">
        <v>47</v>
      </c>
      <c r="C13" s="27" t="s">
        <v>48</v>
      </c>
      <c r="D13" s="21">
        <f t="shared" ref="D13:F13" si="12">0</f>
        <v>0</v>
      </c>
      <c r="E13" s="21">
        <f t="shared" si="12"/>
        <v>0</v>
      </c>
      <c r="F13" s="21">
        <f t="shared" si="12"/>
        <v>0</v>
      </c>
      <c r="G13" s="21">
        <f>'W1 Team Points'!M64+'W2 Team Points'!M64+'W3 Team Points'!M64+'W4 Team Points'!M64</f>
        <v>264</v>
      </c>
      <c r="H13" s="22" t="str">
        <f t="shared" si="3"/>
        <v>#DIV/0!</v>
      </c>
      <c r="I13" s="31"/>
      <c r="J13" s="24"/>
      <c r="K13" s="24"/>
      <c r="L13" s="24"/>
      <c r="M13" s="24"/>
      <c r="N13" s="24"/>
      <c r="O13" s="24"/>
      <c r="P13" s="25"/>
      <c r="Q13" s="24"/>
      <c r="R13" s="24"/>
      <c r="S13" s="24"/>
      <c r="T13" s="24"/>
      <c r="U13" s="24"/>
      <c r="V13" s="24"/>
      <c r="W13" s="25"/>
      <c r="X13" s="24"/>
      <c r="Y13" s="24"/>
      <c r="Z13" s="24"/>
      <c r="AA13" s="24"/>
      <c r="AB13" s="24"/>
      <c r="AC13" s="25"/>
      <c r="AD13" s="24"/>
      <c r="AE13" s="24"/>
      <c r="AF13" s="24"/>
      <c r="AG13" s="24"/>
      <c r="AH13" s="24"/>
      <c r="AI13" s="25"/>
    </row>
    <row r="14" ht="15.0" customHeight="1">
      <c r="A14" s="26" t="s">
        <v>49</v>
      </c>
      <c r="B14" s="26" t="s">
        <v>50</v>
      </c>
      <c r="C14" s="27" t="s">
        <v>51</v>
      </c>
      <c r="D14" s="21">
        <f t="shared" ref="D14:F14" si="13">0</f>
        <v>0</v>
      </c>
      <c r="E14" s="21">
        <f t="shared" si="13"/>
        <v>0</v>
      </c>
      <c r="F14" s="21">
        <f t="shared" si="13"/>
        <v>0</v>
      </c>
      <c r="G14" s="21">
        <f>'W1 Team Points'!T64+'W2 Team Points'!T64+'W3 Team Points'!T64+'W4 Team Points'!T64</f>
        <v>0</v>
      </c>
      <c r="H14" s="22" t="str">
        <f t="shared" si="3"/>
        <v>#DIV/0!</v>
      </c>
      <c r="I14" s="31"/>
      <c r="J14" s="24"/>
      <c r="K14" s="24"/>
      <c r="L14" s="24"/>
      <c r="M14" s="24"/>
      <c r="N14" s="24"/>
      <c r="O14" s="24"/>
      <c r="P14" s="25"/>
      <c r="Q14" s="24"/>
      <c r="R14" s="24"/>
      <c r="S14" s="24"/>
      <c r="T14" s="24"/>
      <c r="U14" s="24"/>
      <c r="V14" s="24"/>
      <c r="W14" s="25"/>
      <c r="X14" s="24"/>
      <c r="Y14" s="24"/>
      <c r="Z14" s="24"/>
      <c r="AA14" s="24"/>
      <c r="AB14" s="24"/>
      <c r="AC14" s="25"/>
      <c r="AD14" s="24"/>
      <c r="AE14" s="24"/>
      <c r="AF14" s="24"/>
      <c r="AG14" s="24"/>
      <c r="AH14" s="24"/>
      <c r="AI14" s="25"/>
    </row>
  </sheetData>
  <mergeCells count="5">
    <mergeCell ref="J1:AI1"/>
    <mergeCell ref="J2:O2"/>
    <mergeCell ref="Q2:V2"/>
    <mergeCell ref="X2:AB2"/>
    <mergeCell ref="AD2:AH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3" width="10.13"/>
    <col customWidth="1" min="4" max="4" width="25.13"/>
    <col customWidth="1" min="5" max="5" width="3.25"/>
    <col customWidth="1" min="6" max="6" width="25.13"/>
    <col customWidth="1" min="7" max="8" width="10.13"/>
    <col customWidth="1" min="9" max="9" width="25.13"/>
    <col customWidth="1" min="10" max="10" width="3.25"/>
    <col customWidth="1" min="11" max="11" width="35.75"/>
    <col customWidth="1" min="12" max="14" width="5.13"/>
  </cols>
  <sheetData>
    <row r="1">
      <c r="A1" s="32" t="s">
        <v>52</v>
      </c>
      <c r="B1" s="9"/>
      <c r="C1" s="9"/>
      <c r="D1" s="9"/>
      <c r="E1" s="9"/>
      <c r="F1" s="9"/>
      <c r="G1" s="9"/>
      <c r="H1" s="9"/>
      <c r="I1" s="10"/>
      <c r="K1" s="33" t="s">
        <v>53</v>
      </c>
    </row>
    <row r="2">
      <c r="A2" s="34" t="s">
        <v>54</v>
      </c>
      <c r="B2" s="35"/>
      <c r="C2" s="35"/>
      <c r="D2" s="35"/>
      <c r="E2" s="35"/>
      <c r="F2" s="35"/>
      <c r="G2" s="35"/>
      <c r="H2" s="35"/>
      <c r="I2" s="36"/>
      <c r="J2" s="37"/>
      <c r="K2" s="38" t="s">
        <v>55</v>
      </c>
      <c r="L2" s="39" t="s">
        <v>56</v>
      </c>
      <c r="M2" s="9"/>
      <c r="N2" s="10"/>
    </row>
    <row r="3">
      <c r="A3" s="40" t="s">
        <v>57</v>
      </c>
      <c r="B3" s="41" t="s">
        <v>58</v>
      </c>
      <c r="C3" s="41" t="s">
        <v>58</v>
      </c>
      <c r="D3" s="42" t="s">
        <v>59</v>
      </c>
      <c r="E3" s="37"/>
      <c r="F3" s="43" t="s">
        <v>57</v>
      </c>
      <c r="G3" s="41" t="s">
        <v>58</v>
      </c>
      <c r="H3" s="41" t="s">
        <v>58</v>
      </c>
      <c r="I3" s="42" t="s">
        <v>59</v>
      </c>
      <c r="J3" s="37"/>
      <c r="K3" s="44" t="s">
        <v>60</v>
      </c>
      <c r="L3" s="45" t="str">
        <f>HYPERLINK("https://www.halowaypoint.com/en-us/games/halo-5-guardians/xbox-one/mode/custom/matches/5668bce5-70fe-4523-b93b-dfd5250ee8f3/players/saintz%20the%20god?gameHistoryMatchIndex=55&amp;gameHistoryGameModeFilter=All","5-4")</f>
        <v>5-4</v>
      </c>
      <c r="M3" s="46" t="str">
        <f>HYPERLINK("https://www.halowaypoint.com/en-us/games/halo-5-guardians/xbox-one/mode/custom/matches/558f96c9-145b-48ff-ac42-614587e1412d/players/saintz%20the%20god?gameHistoryMatchIndex=54&amp;gameHistoryGameModeFilter=All","2-5")</f>
        <v>2-5</v>
      </c>
      <c r="N3" s="46" t="str">
        <f>HYPERLINK("https://www.halowaypoint.com/en-us/games/halo-5-guardians/xbox-one/mode/custom/matches/2e8056b4-7159-4b0c-87b8-39e579323439/players/saintz%20the%20god?gameHistoryMatchIndex=53&amp;gameHistoryGameModeFilter=All","5-2")</f>
        <v>5-2</v>
      </c>
    </row>
    <row r="4">
      <c r="A4" s="47" t="s">
        <v>41</v>
      </c>
      <c r="B4" s="48">
        <f>'W1 Team Points'!T48</f>
        <v>146</v>
      </c>
      <c r="C4" s="48">
        <f>'W1 Team Points'!M64</f>
        <v>264</v>
      </c>
      <c r="D4" s="27" t="s">
        <v>47</v>
      </c>
      <c r="E4" s="49"/>
      <c r="F4" s="50" t="s">
        <v>44</v>
      </c>
      <c r="G4" s="48">
        <f>'W1 Team Points'!F64</f>
        <v>215</v>
      </c>
      <c r="H4" s="48">
        <f>'W1 Team Points'!T48</f>
        <v>146</v>
      </c>
      <c r="I4" s="27" t="s">
        <v>41</v>
      </c>
      <c r="J4" s="37"/>
      <c r="K4" s="44" t="s">
        <v>61</v>
      </c>
      <c r="L4" s="51" t="str">
        <f>HYPERLINK("https://www.halowaypoint.com/en-us/games/halo-5-guardians/xbox-one/mode/custom/matches/c923b91c-083a-4a77-b58d-7857e3cec20e/players/rage%20more%20nerd?gameHistoryMatchIndex=26&amp;gameHistoryGameModeFilter=Custom","4-5")</f>
        <v>4-5</v>
      </c>
      <c r="M4" s="51" t="str">
        <f>HYPERLINK("https://www.halowaypoint.com/en-us/games/halo-5-guardians/xbox-one/mode/custom/matches/dee8ad31-0be9-45c5-8725-64fd2c889e79/players/rage%20more%20nerd?gameHistoryMatchIndex=25&amp;gameHistoryGameModeFilter=Custom","5-1")</f>
        <v>5-1</v>
      </c>
      <c r="N4" s="51" t="str">
        <f>HYPERLINK("https://www.halowaypoint.com/en-us/games/halo-5-guardians/xbox-one/mode/custom/matches/7e333166-6350-4ad5-915e-83a26fdd67fa/players/rage%20more%20nerd?gameHistoryMatchIndex=24&amp;gameHistoryGameModeFilter=Custom","5-0")</f>
        <v>5-0</v>
      </c>
    </row>
    <row r="5">
      <c r="A5" s="47" t="s">
        <v>39</v>
      </c>
      <c r="B5" s="48">
        <f>'W1 Team Points'!M48</f>
        <v>215</v>
      </c>
      <c r="C5" s="48">
        <f>'W1 Team Points'!T16</f>
        <v>234</v>
      </c>
      <c r="D5" s="27" t="s">
        <v>24</v>
      </c>
      <c r="E5" s="49"/>
      <c r="F5" s="47" t="s">
        <v>36</v>
      </c>
      <c r="G5" s="48">
        <f>'W1 Team Points'!F48</f>
        <v>0</v>
      </c>
      <c r="H5" s="48">
        <f>'W1 Team Points'!F16</f>
        <v>0</v>
      </c>
      <c r="I5" s="27" t="s">
        <v>18</v>
      </c>
      <c r="J5" s="37"/>
      <c r="K5" s="44" t="s">
        <v>62</v>
      </c>
      <c r="L5" s="52" t="s">
        <v>63</v>
      </c>
      <c r="M5" s="51" t="str">
        <f>HYPERLINK("https://www.halowaypoint.com/en-us/games/halo-5-guardians/xbox-one/mode/custom/matches/34a16586-6f31-4e0c-9678-f97b522c729f/players/poisonxpoptart?gameHistoryMatchIndex=44&amp;gameHistoryGameModeFilter=Custom","5-1")</f>
        <v>5-1</v>
      </c>
      <c r="N5" s="53"/>
    </row>
    <row r="6">
      <c r="A6" s="47" t="s">
        <v>27</v>
      </c>
      <c r="B6" s="48">
        <f>'W1 Team Points'!F32</f>
        <v>271</v>
      </c>
      <c r="C6" s="48">
        <f>'W1 Team Points'!F16</f>
        <v>0</v>
      </c>
      <c r="D6" s="27" t="s">
        <v>18</v>
      </c>
      <c r="E6" s="49"/>
      <c r="F6" s="47" t="s">
        <v>30</v>
      </c>
      <c r="G6" s="48">
        <f>'W1 Team Points'!M32</f>
        <v>215</v>
      </c>
      <c r="H6" s="48">
        <f>'W1 Team Points'!T16</f>
        <v>234</v>
      </c>
      <c r="I6" s="27" t="s">
        <v>24</v>
      </c>
      <c r="J6" s="37"/>
      <c r="K6" s="44" t="s">
        <v>64</v>
      </c>
      <c r="L6" s="51" t="str">
        <f>HYPERLINK("https://www.halowaypoint.com/en-us/games/halo-5-guardians/xbox-one/mode/custom/matches/4a8a20b2-f873-42e2-921d-59b724828f0d/players/rage%20more%20nerd?gameHistoryMatchIndex=10&amp;gameHistoryGameModeFilter=Custom","5-4")</f>
        <v>5-4</v>
      </c>
      <c r="M6" s="51" t="str">
        <f>HYPERLINK("https://www.halowaypoint.com/en-us/games/halo-5-guardians/xbox-one/mode/custom/matches/45a80853-64e3-43cb-93eb-5b6f9fb1ce48/players/rage%20more%20nerd?gameHistoryMatchIndex=9&amp;gameHistoryGameModeFilter=Custom","0-5")</f>
        <v>0-5</v>
      </c>
      <c r="N6" s="51" t="str">
        <f>HYPERLINK("https://www.halowaypoint.com/en-us/games/halo-5-guardians/xbox-one/mode/custom/matches/59c13e12-7554-4e2b-9ad6-8c0a0165c2d0/players/rage%20more%20nerd?gameHistoryMatchIndex=8&amp;gameHistoryGameModeFilter=Custom","3-5")</f>
        <v>3-5</v>
      </c>
    </row>
    <row r="7">
      <c r="A7" s="47" t="s">
        <v>50</v>
      </c>
      <c r="B7" s="48">
        <f>'W1 Team Points'!T64</f>
        <v>0</v>
      </c>
      <c r="C7" s="48">
        <f>'W1 Team Points'!F64</f>
        <v>215</v>
      </c>
      <c r="D7" s="27" t="s">
        <v>44</v>
      </c>
      <c r="E7" s="49"/>
      <c r="F7" s="47" t="s">
        <v>33</v>
      </c>
      <c r="G7" s="48">
        <f>'W1 Team Points'!T32</f>
        <v>0</v>
      </c>
      <c r="H7" s="48">
        <f>'W1 Team Points'!M64</f>
        <v>264</v>
      </c>
      <c r="I7" s="27" t="s">
        <v>47</v>
      </c>
      <c r="J7" s="37"/>
      <c r="K7" s="44" t="s">
        <v>65</v>
      </c>
      <c r="L7" s="51" t="str">
        <f>HYPERLINK("https://www.halowaypoint.com/en-us/games/halo-5-guardians/xbox-one/mode/custom/matches/2bd8ba12-6de7-48fb-8fe1-bc06bd1c7492/players/rage%20more%20nerd?gameHistoryMatchIndex=7&amp;gameHistoryGameModeFilter=Custom","5-1")</f>
        <v>5-1</v>
      </c>
      <c r="M7" s="51" t="str">
        <f>HYPERLINK("https://www.halowaypoint.com/en-us/games/halo-5-guardians/xbox-one/mode/custom/matches/9e5be57c-868e-4970-ade6-e0f72edabc4d/players/rage%20more%20nerd?gameHistoryMatchIndex=6&amp;gameHistoryGameModeFilter=Custom","5-2")</f>
        <v>5-2</v>
      </c>
      <c r="N7" s="53"/>
    </row>
    <row r="8">
      <c r="A8" s="54" t="s">
        <v>21</v>
      </c>
      <c r="B8" s="48">
        <f>'W1 Team Points'!M16</f>
        <v>0</v>
      </c>
      <c r="C8" s="48">
        <f>'W1 Team Points'!F48</f>
        <v>0</v>
      </c>
      <c r="D8" s="27" t="s">
        <v>36</v>
      </c>
      <c r="E8" s="49"/>
      <c r="F8" s="55" t="s">
        <v>21</v>
      </c>
      <c r="G8" s="48">
        <f>'W1 Team Points'!M16</f>
        <v>0</v>
      </c>
      <c r="H8" s="48">
        <f>'W1 Team Points'!M48</f>
        <v>215</v>
      </c>
      <c r="I8" s="27" t="s">
        <v>39</v>
      </c>
      <c r="J8" s="37"/>
      <c r="K8" s="44" t="s">
        <v>66</v>
      </c>
      <c r="L8" s="51" t="str">
        <f>HYPERLINK("https://www.halowaypoint.com/en-us/games/halo-5-guardians/xbox-one/mode/custom/matches/818001f0-4d59-4143-91ad-d41de7b22cb5/players/poisonxpoptart?gameHistoryMatchIndex=28&amp;gameHistoryGameModeFilter=Custom","5-2")</f>
        <v>5-2</v>
      </c>
      <c r="M8" s="51" t="str">
        <f>HYPERLINK("https://www.halowaypoint.com/en-us/games/halo-5-guardians/xbox-one/mode/custom/matches/073c2b54-65ef-47c2-97f9-f203819475da/players/poisonxpoptart?gameHistoryMatchIndex=26&amp;gameHistoryGameModeFilter=Custom","5-1")</f>
        <v>5-1</v>
      </c>
      <c r="N8" s="51" t="str">
        <f>HYPERLINK("https://www.halowaypoint.com/en-us/games/halo-5-guardians/xbox-one/mode/custom/matches/ed8042a8-f4ee-4858-9a2c-96a56c7566a3/players/poisonxpoptart?gameHistoryMatchIndex=27&amp;gameHistoryGameModeFilter=Custom","5-1")</f>
        <v>5-1</v>
      </c>
    </row>
    <row r="9">
      <c r="A9" s="47" t="s">
        <v>33</v>
      </c>
      <c r="B9" s="48">
        <f>'W1 Team Points'!T32</f>
        <v>0</v>
      </c>
      <c r="C9" s="48">
        <f>'W1 Team Points'!M32</f>
        <v>215</v>
      </c>
      <c r="D9" s="27" t="s">
        <v>30</v>
      </c>
      <c r="E9" s="49"/>
      <c r="F9" s="47" t="s">
        <v>50</v>
      </c>
      <c r="G9" s="48">
        <f>'W1 Team Points'!T64</f>
        <v>0</v>
      </c>
      <c r="H9" s="48">
        <f>'W1 Team Points'!F32</f>
        <v>271</v>
      </c>
      <c r="I9" s="27" t="s">
        <v>27</v>
      </c>
      <c r="J9" s="37"/>
      <c r="K9" s="44" t="s">
        <v>67</v>
      </c>
      <c r="L9" s="51" t="str">
        <f>HYPERLINK("https://www.halowaypoint.com/en-us/games/halo-5-guardians/xbox-one/mode/custom/matches/4908a990-98ad-461f-8c13-5e93cb83fa72/players/king%20rickxl?gameHistoryMatchIndex=12&amp;gameHistoryGameModeFilter=Custom","5-1")</f>
        <v>5-1</v>
      </c>
      <c r="M9" s="51" t="str">
        <f>HYPERLINK("https://www.halowaypoint.com/en-us/games/halo-5-guardians/xbox-one/mode/custom/matches/92a15ea8-9d82-4ea0-aed8-c6278ad421b6/players/king%20rickxl?gameHistoryMatchIndex=13&amp;gameHistoryGameModeFilter=Custom","5-1")</f>
        <v>5-1</v>
      </c>
      <c r="N9" s="53"/>
    </row>
    <row r="10">
      <c r="A10" s="47" t="s">
        <v>24</v>
      </c>
      <c r="B10" s="48">
        <f>'W1 Team Points'!T16</f>
        <v>234</v>
      </c>
      <c r="C10" s="48">
        <f>'W1 Team Points'!T48</f>
        <v>146</v>
      </c>
      <c r="D10" s="27" t="s">
        <v>41</v>
      </c>
      <c r="E10" s="49"/>
      <c r="F10" s="54" t="s">
        <v>41</v>
      </c>
      <c r="G10" s="48">
        <f>'W1 Team Points'!T48</f>
        <v>146</v>
      </c>
      <c r="H10" s="48">
        <f>'W1 Team Points'!F48</f>
        <v>0</v>
      </c>
      <c r="I10" s="27" t="s">
        <v>36</v>
      </c>
      <c r="J10" s="37"/>
      <c r="K10" s="44" t="s">
        <v>68</v>
      </c>
      <c r="L10" s="51" t="str">
        <f>HYPERLINK("https://www.halowaypoint.com/en-us/games/halo-5-guardians/xbox-one/mode/custom/matches/d2068f50-b643-48d5-9d24-e38528a44a6e/players/king%20rickxl?gameHistoryMatchIndex=11&amp;gameHistoryGameModeFilter=Custom","4-5")</f>
        <v>4-5</v>
      </c>
      <c r="M10" s="56" t="str">
        <f>HYPERLINK("https://www.halowaypoint.com/en-us/games/halo-5-guardians/xbox-one/mode/custom/matches/364da6eb-00e8-4eb3-9c4c-056bcafcdba1/players/king%20rickxl?gameHistoryMatchIndex=9&amp;gameHistoryGameModeFilter=Custom","5-0")</f>
        <v>5-0</v>
      </c>
      <c r="N10" s="51" t="str">
        <f>HYPERLINK("https://www.halowaypoint.com/en-us/games/halo-5-guardians/xbox-one/mode/custom/matches/3c23759d-d32b-4f70-9689-c83bffec843c/players/king%20rickxl?gameHistoryMatchIndex=10&amp;gameHistoryGameModeFilter=Custom","5-2")</f>
        <v>5-2</v>
      </c>
    </row>
    <row r="11">
      <c r="A11" s="47" t="s">
        <v>18</v>
      </c>
      <c r="B11" s="48">
        <f>'W1 Team Points'!F16</f>
        <v>0</v>
      </c>
      <c r="C11" s="48">
        <f>'W1 Team Points'!M64</f>
        <v>264</v>
      </c>
      <c r="D11" s="27" t="s">
        <v>47</v>
      </c>
      <c r="E11" s="49"/>
      <c r="F11" s="47" t="s">
        <v>44</v>
      </c>
      <c r="G11" s="48">
        <f>'W1 Team Points'!F64</f>
        <v>215</v>
      </c>
      <c r="H11" s="48">
        <f>'W1 Team Points'!M32</f>
        <v>215</v>
      </c>
      <c r="I11" s="27" t="s">
        <v>30</v>
      </c>
      <c r="J11" s="37"/>
      <c r="K11" s="44" t="s">
        <v>69</v>
      </c>
      <c r="L11" s="51" t="str">
        <f>HYPERLINK("https://www.halowaypoint.com/en-us/games/halo-5-guardians/xbox-one/mode/custom/matches/5089ca3c-dd77-46fc-9478-83795eef677f/players/infiniterainge?gameHistoryMatchIndex=4&amp;gameHistoryGameModeFilter=Custom","5-0")</f>
        <v>5-0</v>
      </c>
      <c r="M11" s="51" t="str">
        <f>HYPERLINK("https://www.halowaypoint.com/en-us/games/halo-5-guardians/xbox-one/mode/custom/matches/0aaf6f37-5a64-40ba-9767-eec5c49a2802/players/infiniterainge?gameHistoryMatchIndex=5&amp;gameHistoryGameModeFilter=Custom","5-3")</f>
        <v>5-3</v>
      </c>
      <c r="N11" s="53"/>
    </row>
    <row r="12">
      <c r="A12" s="47" t="s">
        <v>44</v>
      </c>
      <c r="B12" s="48">
        <f>'W1 Team Points'!F64</f>
        <v>215</v>
      </c>
      <c r="C12" s="48">
        <f>'W1 Team Points'!M48</f>
        <v>215</v>
      </c>
      <c r="D12" s="27" t="s">
        <v>39</v>
      </c>
      <c r="E12" s="49"/>
      <c r="F12" s="50" t="s">
        <v>18</v>
      </c>
      <c r="G12" s="48">
        <f>'W1 Team Points'!F16</f>
        <v>0</v>
      </c>
      <c r="H12" s="48">
        <f>'W1 Team Points'!T32</f>
        <v>0</v>
      </c>
      <c r="I12" s="20" t="s">
        <v>33</v>
      </c>
      <c r="J12" s="37"/>
      <c r="K12" s="57"/>
      <c r="L12" s="53"/>
      <c r="M12" s="53"/>
      <c r="N12" s="53"/>
    </row>
    <row r="13">
      <c r="A13" s="47" t="s">
        <v>36</v>
      </c>
      <c r="B13" s="48">
        <f>'W1 Team Points'!F48</f>
        <v>0</v>
      </c>
      <c r="C13" s="48">
        <f>'W1 Team Points'!F32</f>
        <v>271</v>
      </c>
      <c r="D13" s="20" t="s">
        <v>27</v>
      </c>
      <c r="E13" s="49"/>
      <c r="F13" s="50" t="s">
        <v>24</v>
      </c>
      <c r="G13" s="48">
        <f>'W1 Team Points'!T16</f>
        <v>234</v>
      </c>
      <c r="H13" s="48">
        <f>'W1 Team Points'!M16</f>
        <v>0</v>
      </c>
      <c r="I13" s="58" t="s">
        <v>21</v>
      </c>
      <c r="J13" s="37"/>
      <c r="K13" s="57"/>
      <c r="L13" s="53"/>
      <c r="M13" s="53"/>
      <c r="N13" s="53"/>
    </row>
    <row r="14">
      <c r="A14" s="47" t="s">
        <v>30</v>
      </c>
      <c r="B14" s="48">
        <f>'W1 Team Points'!M32</f>
        <v>215</v>
      </c>
      <c r="C14" s="48">
        <f>'W1 Team Points'!T64</f>
        <v>0</v>
      </c>
      <c r="D14" s="58" t="s">
        <v>50</v>
      </c>
      <c r="E14" s="49"/>
      <c r="F14" s="47" t="s">
        <v>47</v>
      </c>
      <c r="G14" s="48">
        <f>'W1 Team Points'!M64</f>
        <v>264</v>
      </c>
      <c r="H14" s="48">
        <f>'W1 Team Points'!T64</f>
        <v>0</v>
      </c>
      <c r="I14" s="20" t="s">
        <v>50</v>
      </c>
      <c r="J14" s="37"/>
      <c r="K14" s="57"/>
      <c r="L14" s="53"/>
      <c r="M14" s="53"/>
      <c r="N14" s="53"/>
    </row>
    <row r="15">
      <c r="A15" s="47" t="s">
        <v>33</v>
      </c>
      <c r="B15" s="48">
        <f>'W1 Team Points'!T32</f>
        <v>0</v>
      </c>
      <c r="C15" s="48">
        <f>'W1 Team Points'!M16</f>
        <v>0</v>
      </c>
      <c r="D15" s="58" t="s">
        <v>21</v>
      </c>
      <c r="E15" s="49"/>
      <c r="F15" s="47" t="s">
        <v>39</v>
      </c>
      <c r="G15" s="48">
        <f>'W1 Team Points'!M48</f>
        <v>215</v>
      </c>
      <c r="H15" s="48">
        <f>'W1 Team Points'!F32</f>
        <v>271</v>
      </c>
      <c r="I15" s="27" t="s">
        <v>27</v>
      </c>
      <c r="J15" s="37"/>
      <c r="K15" s="57"/>
      <c r="L15" s="53"/>
      <c r="M15" s="53"/>
      <c r="N15" s="53"/>
    </row>
    <row r="16">
      <c r="A16" s="47" t="s">
        <v>41</v>
      </c>
      <c r="B16" s="48">
        <f>'W1 Team Points'!T48</f>
        <v>146</v>
      </c>
      <c r="C16" s="48">
        <f>'W1 Team Points'!F16</f>
        <v>0</v>
      </c>
      <c r="D16" s="58" t="s">
        <v>18</v>
      </c>
      <c r="E16" s="49"/>
      <c r="F16" s="50" t="s">
        <v>30</v>
      </c>
      <c r="G16" s="48">
        <f>'W1 Team Points'!M32</f>
        <v>215</v>
      </c>
      <c r="H16" s="48">
        <f>'W1 Team Points'!T48</f>
        <v>146</v>
      </c>
      <c r="I16" s="27" t="s">
        <v>41</v>
      </c>
      <c r="J16" s="37"/>
      <c r="K16" s="57"/>
      <c r="L16" s="53"/>
      <c r="M16" s="53"/>
      <c r="N16" s="53"/>
    </row>
    <row r="17">
      <c r="A17" s="47" t="s">
        <v>24</v>
      </c>
      <c r="B17" s="48">
        <f>'W1 Team Points'!T16</f>
        <v>234</v>
      </c>
      <c r="C17" s="48">
        <f>'W1 Team Points'!F64</f>
        <v>215</v>
      </c>
      <c r="D17" s="58" t="s">
        <v>44</v>
      </c>
      <c r="E17" s="49"/>
      <c r="F17" s="47" t="s">
        <v>33</v>
      </c>
      <c r="G17" s="48">
        <f>'W1 Team Points'!T32</f>
        <v>0</v>
      </c>
      <c r="H17" s="48">
        <f>'W1 Team Points'!F48</f>
        <v>0</v>
      </c>
      <c r="I17" s="27" t="s">
        <v>36</v>
      </c>
      <c r="J17" s="37"/>
      <c r="K17" s="57"/>
      <c r="L17" s="53"/>
      <c r="M17" s="53"/>
      <c r="N17" s="53"/>
    </row>
    <row r="18">
      <c r="A18" s="47" t="s">
        <v>47</v>
      </c>
      <c r="B18" s="48">
        <f>'W1 Team Points'!M64</f>
        <v>264</v>
      </c>
      <c r="C18" s="48">
        <f>'W1 Team Points'!F48</f>
        <v>0</v>
      </c>
      <c r="D18" s="58" t="s">
        <v>36</v>
      </c>
      <c r="E18" s="49"/>
      <c r="F18" s="55" t="s">
        <v>21</v>
      </c>
      <c r="G18" s="48">
        <f>'W1 Team Points'!M16</f>
        <v>0</v>
      </c>
      <c r="H18" s="48">
        <f>'W1 Team Points'!F64</f>
        <v>215</v>
      </c>
      <c r="I18" s="27" t="s">
        <v>44</v>
      </c>
      <c r="J18" s="37"/>
      <c r="K18" s="57"/>
      <c r="L18" s="53"/>
      <c r="M18" s="53"/>
      <c r="N18" s="53"/>
    </row>
    <row r="19">
      <c r="A19" s="47" t="s">
        <v>39</v>
      </c>
      <c r="B19" s="48">
        <f>'W1 Team Points'!M48</f>
        <v>215</v>
      </c>
      <c r="C19" s="48">
        <f>'W1 Team Points'!M32</f>
        <v>215</v>
      </c>
      <c r="D19" s="29" t="s">
        <v>30</v>
      </c>
      <c r="E19" s="49"/>
      <c r="F19" s="47" t="s">
        <v>50</v>
      </c>
      <c r="G19" s="48">
        <f>'W1 Team Points'!T64</f>
        <v>0</v>
      </c>
      <c r="H19" s="48">
        <f>'W1 Team Points'!F16</f>
        <v>0</v>
      </c>
      <c r="I19" s="27" t="s">
        <v>18</v>
      </c>
      <c r="J19" s="37"/>
      <c r="K19" s="57"/>
      <c r="L19" s="53"/>
      <c r="M19" s="53"/>
      <c r="N19" s="53"/>
    </row>
    <row r="20">
      <c r="A20" s="47" t="s">
        <v>27</v>
      </c>
      <c r="B20" s="48">
        <f>'W1 Team Points'!F32</f>
        <v>271</v>
      </c>
      <c r="C20" s="48">
        <f>'W1 Team Points'!T32</f>
        <v>0</v>
      </c>
      <c r="D20" s="58" t="s">
        <v>33</v>
      </c>
      <c r="E20" s="49"/>
      <c r="F20" s="47" t="s">
        <v>27</v>
      </c>
      <c r="G20" s="48">
        <f>'W1 Team Points'!F32</f>
        <v>271</v>
      </c>
      <c r="H20" s="48">
        <f>'W1 Team Points'!T16</f>
        <v>234</v>
      </c>
      <c r="I20" s="27" t="s">
        <v>24</v>
      </c>
      <c r="J20" s="37"/>
      <c r="K20" s="57"/>
      <c r="L20" s="53"/>
      <c r="M20" s="53"/>
      <c r="N20" s="53"/>
    </row>
    <row r="21">
      <c r="A21" s="50" t="s">
        <v>50</v>
      </c>
      <c r="B21" s="48">
        <f>'W1 Team Points'!T64</f>
        <v>0</v>
      </c>
      <c r="C21" s="48">
        <f>'W1 Team Points'!M16</f>
        <v>0</v>
      </c>
      <c r="D21" s="29" t="s">
        <v>21</v>
      </c>
      <c r="E21" s="49"/>
      <c r="F21" s="50" t="s">
        <v>39</v>
      </c>
      <c r="G21" s="48">
        <f>'W1 Team Points'!M48</f>
        <v>215</v>
      </c>
      <c r="H21" s="48">
        <f>'W1 Team Points'!M64</f>
        <v>264</v>
      </c>
      <c r="I21" s="29" t="s">
        <v>47</v>
      </c>
      <c r="J21" s="37"/>
      <c r="K21" s="59"/>
      <c r="L21" s="60"/>
      <c r="M21" s="60"/>
      <c r="N21" s="60"/>
    </row>
    <row r="22">
      <c r="A22" s="61"/>
      <c r="B22" s="62"/>
      <c r="C22" s="62"/>
      <c r="D22" s="63"/>
      <c r="E22" s="64"/>
      <c r="F22" s="65"/>
      <c r="G22" s="62"/>
      <c r="H22" s="62"/>
      <c r="I22" s="66"/>
      <c r="J22" s="67"/>
      <c r="K22" s="63"/>
      <c r="L22" s="68"/>
      <c r="M22" s="68"/>
      <c r="N22" s="68"/>
    </row>
    <row r="23">
      <c r="A23" s="69" t="s">
        <v>70</v>
      </c>
      <c r="B23" s="9"/>
      <c r="C23" s="9"/>
      <c r="D23" s="9"/>
      <c r="E23" s="9"/>
      <c r="F23" s="9"/>
      <c r="G23" s="9"/>
      <c r="H23" s="9"/>
      <c r="I23" s="10"/>
      <c r="J23" s="37"/>
      <c r="K23" s="38" t="s">
        <v>55</v>
      </c>
      <c r="L23" s="39" t="s">
        <v>56</v>
      </c>
      <c r="M23" s="9"/>
      <c r="N23" s="10"/>
    </row>
    <row r="24">
      <c r="A24" s="40" t="s">
        <v>57</v>
      </c>
      <c r="B24" s="41" t="s">
        <v>58</v>
      </c>
      <c r="C24" s="41" t="s">
        <v>58</v>
      </c>
      <c r="D24" s="42" t="s">
        <v>59</v>
      </c>
      <c r="E24" s="37"/>
      <c r="F24" s="43" t="s">
        <v>57</v>
      </c>
      <c r="G24" s="41" t="s">
        <v>58</v>
      </c>
      <c r="H24" s="41" t="s">
        <v>58</v>
      </c>
      <c r="I24" s="42" t="s">
        <v>59</v>
      </c>
      <c r="J24" s="37"/>
      <c r="K24" s="44" t="s">
        <v>71</v>
      </c>
      <c r="L24" s="70" t="str">
        <f>HYPERLINK("https://www.halowaypoint.com/en-us/games/halo-5-guardians/xbox-one/mode/custom/matches/48f5abcf-d0a5-4599-a68b-24458ba64d34/players/rage%20more%20nerd?gameHistoryMatchIndex=3&amp;gameHistoryGameModeFilter=All","5-1")</f>
        <v>5-1</v>
      </c>
      <c r="M24" s="70" t="str">
        <f>HYPERLINK("https://www.halowaypoint.com/en-us/games/halo-5-guardians/xbox-one/mode/custom/matches/89b8affe-2b27-412a-a726-44e7855c02dc/players/rage%20more%20nerd?gameHistoryMatchIndex=2&amp;gameHistoryGameModeFilter=All","5-3")</f>
        <v>5-3</v>
      </c>
      <c r="N24" s="71"/>
    </row>
    <row r="25">
      <c r="A25" s="47" t="s">
        <v>41</v>
      </c>
      <c r="B25" s="48">
        <f>'W2 Team Points'!T48</f>
        <v>0</v>
      </c>
      <c r="C25" s="48">
        <f>'W2 Team Points'!T32</f>
        <v>0</v>
      </c>
      <c r="D25" s="27" t="s">
        <v>33</v>
      </c>
      <c r="E25" s="49"/>
      <c r="F25" s="50" t="s">
        <v>27</v>
      </c>
      <c r="G25" s="48">
        <f>'W2 Team Points'!F32</f>
        <v>0</v>
      </c>
      <c r="H25" s="48">
        <f>'W2 Team Points'!T48</f>
        <v>0</v>
      </c>
      <c r="I25" s="27" t="s">
        <v>41</v>
      </c>
      <c r="J25" s="37"/>
      <c r="K25" s="44" t="s">
        <v>71</v>
      </c>
      <c r="L25" s="51" t="str">
        <f>HYPERLINK("https://www.halowaypoint.com/en-us/games/halo-5-guardians/xbox-one/mode/custom/matches/5d24faa0-6ec1-44a9-80b4-7d28e7a1a8b2/players/rage%20more%20nerd?gameHistoryMatchIndex=1&amp;gameHistoryGameModeFilter=All","5-2")</f>
        <v>5-2</v>
      </c>
      <c r="M25" s="51" t="str">
        <f>HYPERLINK("https://www.halowaypoint.com/en-us/games/halo-5-guardians/xbox-one/mode/custom/matches/8472c7d6-ffc4-468f-9b43-0c231e50dcb0/players/rage%20more%20nerd?gameHistoryMatchIndex=0&amp;gameHistoryGameModeFilter=All","5-3")</f>
        <v>5-3</v>
      </c>
      <c r="N25" s="53"/>
    </row>
    <row r="26">
      <c r="A26" s="47" t="s">
        <v>30</v>
      </c>
      <c r="B26" s="48">
        <f>'W2 Team Points'!M32</f>
        <v>0</v>
      </c>
      <c r="C26" s="48">
        <f>'W2 Team Points'!M16</f>
        <v>0</v>
      </c>
      <c r="D26" s="58" t="s">
        <v>21</v>
      </c>
      <c r="E26" s="49"/>
      <c r="F26" s="47" t="s">
        <v>39</v>
      </c>
      <c r="G26" s="48">
        <f>'W2 Team Points'!M48</f>
        <v>0</v>
      </c>
      <c r="H26" s="48">
        <f>'W2 Team Points'!T64</f>
        <v>0</v>
      </c>
      <c r="I26" s="27" t="s">
        <v>50</v>
      </c>
      <c r="J26" s="37"/>
      <c r="K26" s="44" t="s">
        <v>72</v>
      </c>
      <c r="L26" s="51" t="str">
        <f>HYPERLINK("https://www.halowaypoint.com/en-us/games/halo-5-guardians/xbox-one/mode/custom/matches/1a298f78-f293-4e8d-a49a-b85facdc7133/players/ohw%20crusader?gameHistoryMatchIndex=1&amp;gameHistoryGameModeFilter=All","5-0")</f>
        <v>5-0</v>
      </c>
      <c r="M26" s="51" t="str">
        <f>HYPERLINK("https://www.halowaypoint.com/en-us/games/halo-5-guardians/xbox-one/mode/custom/matches/240fe1c7-81f0-4d16-a965-bc07dc6da6d9/players/ohw%20crusader?gameHistoryMatchIndex=0&amp;gameHistoryGameModeFilter=All","5-1")</f>
        <v>5-1</v>
      </c>
      <c r="N26" s="53"/>
    </row>
    <row r="27">
      <c r="A27" s="47" t="s">
        <v>36</v>
      </c>
      <c r="B27" s="48">
        <f>'W2 Team Points'!F48</f>
        <v>0</v>
      </c>
      <c r="C27" s="48">
        <f>'W2 Team Points'!T64</f>
        <v>0</v>
      </c>
      <c r="D27" s="27" t="s">
        <v>50</v>
      </c>
      <c r="E27" s="49"/>
      <c r="F27" s="47" t="s">
        <v>47</v>
      </c>
      <c r="G27" s="48">
        <f>'W2 Team Points'!M64</f>
        <v>0</v>
      </c>
      <c r="H27" s="48">
        <f>'W2 Team Points'!M16</f>
        <v>0</v>
      </c>
      <c r="I27" s="58" t="s">
        <v>21</v>
      </c>
      <c r="J27" s="37"/>
      <c r="K27" s="44" t="s">
        <v>73</v>
      </c>
      <c r="L27" s="51" t="str">
        <f>HYPERLINK("https://www.halowaypoint.com/en-us/games/halo-5-guardians/xbox-one/mode/custom/matches/132b74b7-6e02-4064-bd92-e55e2faec6be/players/rage%20more%20nerd?gameHistoryMatchIndex=4&amp;gameHistoryGameModeFilter=All","5-3")</f>
        <v>5-3</v>
      </c>
      <c r="M27" s="53"/>
      <c r="N27" s="53"/>
    </row>
    <row r="28">
      <c r="A28" s="47" t="s">
        <v>44</v>
      </c>
      <c r="B28" s="48">
        <f>'W2 Team Points'!F64</f>
        <v>0</v>
      </c>
      <c r="C28" s="48">
        <f>'W2 Team Points'!F32</f>
        <v>0</v>
      </c>
      <c r="D28" s="27" t="s">
        <v>27</v>
      </c>
      <c r="E28" s="49"/>
      <c r="F28" s="47" t="s">
        <v>24</v>
      </c>
      <c r="G28" s="48">
        <f>'W2 Team Points'!T16</f>
        <v>0</v>
      </c>
      <c r="H28" s="48">
        <f>'W2 Team Points'!T32</f>
        <v>0</v>
      </c>
      <c r="I28" s="27" t="s">
        <v>33</v>
      </c>
      <c r="J28" s="37"/>
      <c r="K28" s="44"/>
      <c r="L28" s="53"/>
      <c r="M28" s="53"/>
      <c r="N28" s="53"/>
    </row>
    <row r="29">
      <c r="A29" s="54" t="s">
        <v>18</v>
      </c>
      <c r="B29" s="48">
        <f>'W2 Team Points'!F16</f>
        <v>0</v>
      </c>
      <c r="C29" s="48">
        <f>'W2 Team Points'!M48</f>
        <v>0</v>
      </c>
      <c r="D29" s="27" t="s">
        <v>39</v>
      </c>
      <c r="E29" s="49"/>
      <c r="F29" s="47" t="s">
        <v>18</v>
      </c>
      <c r="G29" s="48">
        <f>'W2 Team Points'!F16</f>
        <v>0</v>
      </c>
      <c r="H29" s="48">
        <f>'W2 Team Points'!M32</f>
        <v>0</v>
      </c>
      <c r="I29" s="27" t="s">
        <v>30</v>
      </c>
      <c r="J29" s="37"/>
      <c r="K29" s="44"/>
      <c r="L29" s="53"/>
      <c r="M29" s="53"/>
      <c r="N29" s="53"/>
    </row>
    <row r="30">
      <c r="A30" s="47" t="s">
        <v>24</v>
      </c>
      <c r="B30" s="48">
        <f>'W2 Team Points'!T16</f>
        <v>0</v>
      </c>
      <c r="C30" s="48">
        <f>'W2 Team Points'!M64</f>
        <v>0</v>
      </c>
      <c r="D30" s="27" t="s">
        <v>47</v>
      </c>
      <c r="E30" s="49"/>
      <c r="F30" s="47" t="s">
        <v>44</v>
      </c>
      <c r="G30" s="48">
        <f>'W2 Team Points'!F64</f>
        <v>0</v>
      </c>
      <c r="H30" s="48">
        <f>'W2 Team Points'!F48</f>
        <v>0</v>
      </c>
      <c r="I30" s="27" t="s">
        <v>36</v>
      </c>
      <c r="J30" s="37"/>
      <c r="K30" s="44"/>
      <c r="L30" s="53"/>
      <c r="M30" s="53"/>
      <c r="N30" s="53"/>
    </row>
    <row r="31">
      <c r="A31" s="55" t="s">
        <v>21</v>
      </c>
      <c r="B31" s="48">
        <f>'W2 Team Points'!M16</f>
        <v>0</v>
      </c>
      <c r="C31" s="48">
        <f>'W2 Team Points'!T48</f>
        <v>0</v>
      </c>
      <c r="D31" s="27" t="s">
        <v>41</v>
      </c>
      <c r="E31" s="49"/>
      <c r="F31" s="54" t="s">
        <v>41</v>
      </c>
      <c r="G31" s="48">
        <f>'W2 Team Points'!T48</f>
        <v>0</v>
      </c>
      <c r="H31" s="48">
        <f>'W2 Team Points'!M48</f>
        <v>0</v>
      </c>
      <c r="I31" s="27" t="s">
        <v>39</v>
      </c>
      <c r="J31" s="37"/>
      <c r="K31" s="44"/>
      <c r="L31" s="53"/>
      <c r="M31" s="53"/>
      <c r="N31" s="53"/>
    </row>
    <row r="32">
      <c r="A32" s="47" t="s">
        <v>50</v>
      </c>
      <c r="B32" s="48">
        <f>'W2 Team Points'!T64</f>
        <v>0</v>
      </c>
      <c r="C32" s="48">
        <f>'W2 Team Points'!T32</f>
        <v>0</v>
      </c>
      <c r="D32" s="27" t="s">
        <v>33</v>
      </c>
      <c r="E32" s="49"/>
      <c r="F32" s="47" t="s">
        <v>27</v>
      </c>
      <c r="G32" s="48">
        <f>'W2 Team Points'!F32</f>
        <v>0</v>
      </c>
      <c r="H32" s="48">
        <f>'W2 Team Points'!M64</f>
        <v>0</v>
      </c>
      <c r="I32" s="27" t="s">
        <v>47</v>
      </c>
      <c r="J32" s="37"/>
      <c r="K32" s="44"/>
      <c r="L32" s="53"/>
      <c r="M32" s="53"/>
      <c r="N32" s="53"/>
    </row>
    <row r="33">
      <c r="A33" s="47" t="s">
        <v>27</v>
      </c>
      <c r="B33" s="48">
        <f>'W2 Team Points'!F32</f>
        <v>0</v>
      </c>
      <c r="C33" s="48">
        <f>'W2 Team Points'!M32</f>
        <v>0</v>
      </c>
      <c r="D33" s="27" t="s">
        <v>30</v>
      </c>
      <c r="E33" s="49"/>
      <c r="F33" s="50" t="s">
        <v>50</v>
      </c>
      <c r="G33" s="48">
        <f>'W2 Team Points'!T64</f>
        <v>0</v>
      </c>
      <c r="H33" s="48">
        <f>'W2 Team Points'!T16</f>
        <v>0</v>
      </c>
      <c r="I33" s="20" t="s">
        <v>24</v>
      </c>
      <c r="J33" s="37"/>
      <c r="K33" s="57"/>
      <c r="L33" s="53"/>
      <c r="M33" s="53"/>
      <c r="N33" s="53"/>
    </row>
    <row r="34">
      <c r="A34" s="47" t="s">
        <v>39</v>
      </c>
      <c r="B34" s="48">
        <f>'W2 Team Points'!M48</f>
        <v>0</v>
      </c>
      <c r="C34" s="48">
        <f>'W2 Team Points'!F48</f>
        <v>0</v>
      </c>
      <c r="D34" s="20" t="s">
        <v>36</v>
      </c>
      <c r="E34" s="49"/>
      <c r="F34" s="55" t="s">
        <v>21</v>
      </c>
      <c r="G34" s="48">
        <f>'W2 Team Points'!M16</f>
        <v>0</v>
      </c>
      <c r="H34" s="48">
        <f>'W2 Team Points'!F16</f>
        <v>0</v>
      </c>
      <c r="I34" s="27" t="s">
        <v>18</v>
      </c>
      <c r="J34" s="37"/>
      <c r="K34" s="57"/>
      <c r="L34" s="53"/>
      <c r="M34" s="53"/>
      <c r="N34" s="53"/>
    </row>
    <row r="35">
      <c r="A35" s="47" t="s">
        <v>47</v>
      </c>
      <c r="B35" s="48">
        <f>'W2 Team Points'!M64</f>
        <v>0</v>
      </c>
      <c r="C35" s="48">
        <f>'W2 Team Points'!F64</f>
        <v>0</v>
      </c>
      <c r="D35" s="58" t="s">
        <v>44</v>
      </c>
      <c r="E35" s="49"/>
      <c r="F35" s="47" t="s">
        <v>33</v>
      </c>
      <c r="G35" s="48">
        <f>'W2 Team Points'!T32</f>
        <v>0</v>
      </c>
      <c r="H35" s="48">
        <f>'W2 Team Points'!F64</f>
        <v>0</v>
      </c>
      <c r="I35" s="20" t="s">
        <v>44</v>
      </c>
      <c r="J35" s="37"/>
      <c r="K35" s="57"/>
      <c r="L35" s="53"/>
      <c r="M35" s="53"/>
      <c r="N35" s="53"/>
    </row>
    <row r="36">
      <c r="A36" s="47" t="s">
        <v>24</v>
      </c>
      <c r="B36" s="48">
        <f>'W2 Team Points'!T16</f>
        <v>0</v>
      </c>
      <c r="C36" s="48">
        <f>'W2 Team Points'!F16</f>
        <v>0</v>
      </c>
      <c r="D36" s="58" t="s">
        <v>18</v>
      </c>
      <c r="E36" s="49"/>
      <c r="F36" s="47" t="s">
        <v>30</v>
      </c>
      <c r="G36" s="48">
        <f>'W2 Team Points'!M32</f>
        <v>0</v>
      </c>
      <c r="H36" s="48">
        <f>'W2 Team Points'!F48</f>
        <v>0</v>
      </c>
      <c r="I36" s="27" t="s">
        <v>36</v>
      </c>
      <c r="J36" s="37"/>
      <c r="K36" s="57"/>
      <c r="L36" s="53"/>
      <c r="M36" s="53"/>
      <c r="N36" s="53"/>
    </row>
    <row r="37">
      <c r="A37" s="47" t="s">
        <v>41</v>
      </c>
      <c r="B37" s="48">
        <f>'W2 Team Points'!T48</f>
        <v>0</v>
      </c>
      <c r="C37" s="48">
        <f>'W2 Team Points'!T64</f>
        <v>0</v>
      </c>
      <c r="D37" s="58" t="s">
        <v>50</v>
      </c>
      <c r="E37" s="49"/>
      <c r="F37" s="50" t="s">
        <v>47</v>
      </c>
      <c r="G37" s="48">
        <f>'W2 Team Points'!M64</f>
        <v>0</v>
      </c>
      <c r="H37" s="48">
        <f>'W2 Team Points'!T48</f>
        <v>0</v>
      </c>
      <c r="I37" s="27" t="s">
        <v>41</v>
      </c>
      <c r="J37" s="37"/>
      <c r="K37" s="57"/>
      <c r="L37" s="53"/>
      <c r="M37" s="53"/>
      <c r="N37" s="53"/>
    </row>
    <row r="38">
      <c r="A38" s="55" t="s">
        <v>21</v>
      </c>
      <c r="B38" s="48">
        <f>'W2 Team Points'!M16</f>
        <v>0</v>
      </c>
      <c r="C38" s="48">
        <f>'W2 Team Points'!F32</f>
        <v>0</v>
      </c>
      <c r="D38" s="58" t="s">
        <v>27</v>
      </c>
      <c r="E38" s="49"/>
      <c r="F38" s="47" t="s">
        <v>24</v>
      </c>
      <c r="G38" s="48">
        <f>'W2 Team Points'!T16</f>
        <v>0</v>
      </c>
      <c r="H38" s="48">
        <f>'W2 Team Points'!M48</f>
        <v>0</v>
      </c>
      <c r="I38" s="27" t="s">
        <v>39</v>
      </c>
      <c r="J38" s="37"/>
      <c r="K38" s="57"/>
      <c r="L38" s="53"/>
      <c r="M38" s="53"/>
      <c r="N38" s="53"/>
    </row>
    <row r="39">
      <c r="A39" s="47" t="s">
        <v>33</v>
      </c>
      <c r="B39" s="48">
        <f>'W2 Team Points'!T32</f>
        <v>0</v>
      </c>
      <c r="C39" s="48">
        <f>'W2 Team Points'!M48</f>
        <v>0</v>
      </c>
      <c r="D39" s="58" t="s">
        <v>39</v>
      </c>
      <c r="E39" s="49"/>
      <c r="F39" s="47" t="s">
        <v>18</v>
      </c>
      <c r="G39" s="48">
        <f>'W2 Team Points'!F16</f>
        <v>0</v>
      </c>
      <c r="H39" s="48">
        <f>'W2 Team Points'!F32</f>
        <v>0</v>
      </c>
      <c r="I39" s="27" t="s">
        <v>27</v>
      </c>
      <c r="J39" s="37"/>
      <c r="K39" s="57"/>
      <c r="L39" s="53"/>
      <c r="M39" s="53"/>
      <c r="N39" s="53"/>
    </row>
    <row r="40">
      <c r="A40" s="47" t="s">
        <v>30</v>
      </c>
      <c r="B40" s="48">
        <f>'W2 Team Points'!M32</f>
        <v>0</v>
      </c>
      <c r="C40" s="48">
        <f>'W2 Team Points'!M64</f>
        <v>0</v>
      </c>
      <c r="D40" s="29" t="s">
        <v>47</v>
      </c>
      <c r="E40" s="49"/>
      <c r="F40" s="47" t="s">
        <v>44</v>
      </c>
      <c r="G40" s="48">
        <f>'W2 Team Points'!F64</f>
        <v>0</v>
      </c>
      <c r="H40" s="48">
        <f>'W2 Team Points'!T64</f>
        <v>0</v>
      </c>
      <c r="I40" s="27" t="s">
        <v>50</v>
      </c>
      <c r="J40" s="37"/>
      <c r="K40" s="57"/>
      <c r="L40" s="53"/>
      <c r="M40" s="53"/>
      <c r="N40" s="53"/>
    </row>
    <row r="41">
      <c r="A41" s="47" t="s">
        <v>36</v>
      </c>
      <c r="B41" s="48">
        <f>'W2 Team Points'!F48</f>
        <v>0</v>
      </c>
      <c r="C41" s="48">
        <f>'W2 Team Points'!T16</f>
        <v>0</v>
      </c>
      <c r="D41" s="58" t="s">
        <v>24</v>
      </c>
      <c r="E41" s="49"/>
      <c r="F41" s="47" t="s">
        <v>36</v>
      </c>
      <c r="G41" s="48">
        <f>'W2 Team Points'!F48</f>
        <v>0</v>
      </c>
      <c r="H41" s="48">
        <f>'W2 Team Points'!M16</f>
        <v>0</v>
      </c>
      <c r="I41" s="58" t="s">
        <v>21</v>
      </c>
      <c r="J41" s="37"/>
      <c r="K41" s="57"/>
      <c r="L41" s="53"/>
      <c r="M41" s="53"/>
      <c r="N41" s="53"/>
    </row>
    <row r="42">
      <c r="A42" s="50" t="s">
        <v>44</v>
      </c>
      <c r="B42" s="48">
        <f>'W2 Team Points'!F64</f>
        <v>0</v>
      </c>
      <c r="C42" s="48">
        <f>'W2 Team Points'!F16</f>
        <v>0</v>
      </c>
      <c r="D42" s="29" t="s">
        <v>18</v>
      </c>
      <c r="E42" s="49"/>
      <c r="F42" s="50" t="s">
        <v>30</v>
      </c>
      <c r="G42" s="48">
        <f>'W2 Team Points'!M32</f>
        <v>0</v>
      </c>
      <c r="H42" s="48">
        <f>'W2 Team Points'!T32</f>
        <v>0</v>
      </c>
      <c r="I42" s="29" t="s">
        <v>33</v>
      </c>
      <c r="J42" s="37"/>
      <c r="K42" s="59"/>
      <c r="L42" s="60"/>
      <c r="M42" s="60"/>
      <c r="N42" s="60"/>
    </row>
    <row r="43">
      <c r="A43" s="61"/>
      <c r="B43" s="62"/>
      <c r="C43" s="62"/>
      <c r="D43" s="63"/>
      <c r="E43" s="64"/>
      <c r="F43" s="65"/>
      <c r="G43" s="62"/>
      <c r="H43" s="62"/>
      <c r="I43" s="63"/>
      <c r="J43" s="67"/>
      <c r="K43" s="63"/>
      <c r="L43" s="68"/>
      <c r="M43" s="68"/>
      <c r="N43" s="68"/>
    </row>
    <row r="44">
      <c r="A44" s="69" t="s">
        <v>15</v>
      </c>
      <c r="B44" s="9"/>
      <c r="C44" s="9"/>
      <c r="D44" s="9"/>
      <c r="E44" s="9"/>
      <c r="F44" s="9"/>
      <c r="G44" s="9"/>
      <c r="H44" s="9"/>
      <c r="I44" s="10"/>
      <c r="J44" s="37"/>
      <c r="K44" s="38" t="s">
        <v>55</v>
      </c>
      <c r="L44" s="39" t="s">
        <v>56</v>
      </c>
      <c r="M44" s="9"/>
      <c r="N44" s="10"/>
    </row>
    <row r="45">
      <c r="A45" s="40" t="s">
        <v>57</v>
      </c>
      <c r="B45" s="41" t="s">
        <v>58</v>
      </c>
      <c r="C45" s="41" t="s">
        <v>58</v>
      </c>
      <c r="D45" s="42" t="s">
        <v>59</v>
      </c>
      <c r="E45" s="37"/>
      <c r="F45" s="43" t="s">
        <v>57</v>
      </c>
      <c r="G45" s="41" t="s">
        <v>58</v>
      </c>
      <c r="H45" s="41" t="s">
        <v>58</v>
      </c>
      <c r="I45" s="42" t="s">
        <v>59</v>
      </c>
      <c r="J45" s="37"/>
      <c r="K45" s="44"/>
      <c r="L45" s="71"/>
      <c r="M45" s="71"/>
      <c r="N45" s="71"/>
    </row>
    <row r="46">
      <c r="A46" s="47" t="s">
        <v>41</v>
      </c>
      <c r="B46" s="48">
        <f>'W3 Team Points'!T48</f>
        <v>0</v>
      </c>
      <c r="C46" s="48">
        <f>'W3 Team Points'!T16</f>
        <v>0</v>
      </c>
      <c r="D46" s="27" t="s">
        <v>24</v>
      </c>
      <c r="E46" s="49"/>
      <c r="F46" s="50" t="s">
        <v>41</v>
      </c>
      <c r="G46" s="48">
        <f>'W3 Team Points'!T48</f>
        <v>0</v>
      </c>
      <c r="H46" s="48">
        <f>'W3 Team Points'!F64</f>
        <v>0</v>
      </c>
      <c r="I46" s="27" t="s">
        <v>44</v>
      </c>
      <c r="J46" s="37"/>
      <c r="K46" s="44"/>
      <c r="L46" s="53"/>
      <c r="M46" s="53"/>
      <c r="N46" s="53"/>
    </row>
    <row r="47">
      <c r="A47" s="47" t="s">
        <v>47</v>
      </c>
      <c r="B47" s="48">
        <f>'W3 Team Points'!M64</f>
        <v>0</v>
      </c>
      <c r="C47" s="48">
        <f>'W3 Team Points'!F16</f>
        <v>0</v>
      </c>
      <c r="D47" s="27" t="s">
        <v>18</v>
      </c>
      <c r="E47" s="49"/>
      <c r="F47" s="47" t="s">
        <v>18</v>
      </c>
      <c r="G47" s="48">
        <f>'W3 Team Points'!F16</f>
        <v>0</v>
      </c>
      <c r="H47" s="48">
        <f>'W3 Team Points'!F48</f>
        <v>0</v>
      </c>
      <c r="I47" s="27" t="s">
        <v>36</v>
      </c>
      <c r="J47" s="37"/>
      <c r="K47" s="44"/>
      <c r="L47" s="53"/>
      <c r="M47" s="53"/>
      <c r="N47" s="53"/>
    </row>
    <row r="48">
      <c r="A48" s="47" t="s">
        <v>39</v>
      </c>
      <c r="B48" s="48">
        <f>'W3 Team Points'!M48</f>
        <v>0</v>
      </c>
      <c r="C48" s="48">
        <f>'W3 Team Points'!F64</f>
        <v>0</v>
      </c>
      <c r="D48" s="27" t="s">
        <v>44</v>
      </c>
      <c r="E48" s="49"/>
      <c r="F48" s="47" t="s">
        <v>24</v>
      </c>
      <c r="G48" s="48">
        <f>'W3 Team Points'!T16</f>
        <v>0</v>
      </c>
      <c r="H48" s="48">
        <f>'W3 Team Points'!M32</f>
        <v>0</v>
      </c>
      <c r="I48" s="27" t="s">
        <v>30</v>
      </c>
      <c r="J48" s="37"/>
      <c r="K48" s="44"/>
      <c r="L48" s="53"/>
      <c r="M48" s="53"/>
      <c r="N48" s="53"/>
    </row>
    <row r="49">
      <c r="A49" s="47" t="s">
        <v>27</v>
      </c>
      <c r="B49" s="48">
        <f>'W3 Team Points'!F32</f>
        <v>0</v>
      </c>
      <c r="C49" s="48">
        <f>'W3 Team Points'!F48</f>
        <v>0</v>
      </c>
      <c r="D49" s="27" t="s">
        <v>36</v>
      </c>
      <c r="E49" s="49"/>
      <c r="F49" s="47" t="s">
        <v>47</v>
      </c>
      <c r="G49" s="48">
        <f>'W3 Team Points'!M64</f>
        <v>0</v>
      </c>
      <c r="H49" s="48">
        <f>'W3 Team Points'!T32</f>
        <v>0</v>
      </c>
      <c r="I49" s="27" t="s">
        <v>33</v>
      </c>
      <c r="J49" s="37"/>
      <c r="K49" s="44"/>
      <c r="L49" s="53"/>
      <c r="M49" s="53"/>
      <c r="N49" s="53"/>
    </row>
    <row r="50">
      <c r="A50" s="54" t="s">
        <v>50</v>
      </c>
      <c r="B50" s="48">
        <f>'W3 Team Points'!T64</f>
        <v>0</v>
      </c>
      <c r="C50" s="48">
        <f>'W3 Team Points'!M32</f>
        <v>0</v>
      </c>
      <c r="D50" s="27" t="s">
        <v>30</v>
      </c>
      <c r="E50" s="49"/>
      <c r="F50" s="47" t="s">
        <v>39</v>
      </c>
      <c r="G50" s="48">
        <f>'W3 Team Points'!M48</f>
        <v>0</v>
      </c>
      <c r="H50" s="48">
        <f>'W3 Team Points'!M16</f>
        <v>0</v>
      </c>
      <c r="I50" s="58" t="s">
        <v>21</v>
      </c>
      <c r="J50" s="37"/>
      <c r="K50" s="44"/>
      <c r="L50" s="53"/>
      <c r="M50" s="53"/>
      <c r="N50" s="53"/>
    </row>
    <row r="51">
      <c r="A51" s="55" t="s">
        <v>21</v>
      </c>
      <c r="B51" s="48">
        <f>'W3 Team Points'!M16</f>
        <v>0</v>
      </c>
      <c r="C51" s="48">
        <f>'W3 Team Points'!T32</f>
        <v>0</v>
      </c>
      <c r="D51" s="27" t="s">
        <v>33</v>
      </c>
      <c r="E51" s="49"/>
      <c r="F51" s="47" t="s">
        <v>27</v>
      </c>
      <c r="G51" s="48">
        <f>'W3 Team Points'!F32</f>
        <v>0</v>
      </c>
      <c r="H51" s="48">
        <f>'W3 Team Points'!T64</f>
        <v>0</v>
      </c>
      <c r="I51" s="27" t="s">
        <v>50</v>
      </c>
      <c r="J51" s="37"/>
      <c r="K51" s="44"/>
      <c r="L51" s="53"/>
      <c r="M51" s="53"/>
      <c r="N51" s="53"/>
    </row>
    <row r="52">
      <c r="A52" s="47" t="s">
        <v>18</v>
      </c>
      <c r="B52" s="48">
        <f>'W3 Team Points'!F16</f>
        <v>0</v>
      </c>
      <c r="C52" s="48">
        <f>'W3 Team Points'!T48</f>
        <v>0</v>
      </c>
      <c r="D52" s="27" t="s">
        <v>41</v>
      </c>
      <c r="E52" s="49"/>
      <c r="F52" s="54" t="s">
        <v>36</v>
      </c>
      <c r="G52" s="48">
        <f>'W3 Team Points'!F48</f>
        <v>0</v>
      </c>
      <c r="H52" s="48">
        <f>'W3 Team Points'!T48</f>
        <v>0</v>
      </c>
      <c r="I52" s="27" t="s">
        <v>41</v>
      </c>
      <c r="J52" s="37"/>
      <c r="K52" s="44"/>
      <c r="L52" s="53"/>
      <c r="M52" s="53"/>
      <c r="N52" s="53"/>
    </row>
    <row r="53">
      <c r="A53" s="47" t="s">
        <v>44</v>
      </c>
      <c r="B53" s="48">
        <f>'W3 Team Points'!F64</f>
        <v>0</v>
      </c>
      <c r="C53" s="48">
        <f>'W3 Team Points'!T16</f>
        <v>0</v>
      </c>
      <c r="D53" s="27" t="s">
        <v>24</v>
      </c>
      <c r="E53" s="49"/>
      <c r="F53" s="47" t="s">
        <v>30</v>
      </c>
      <c r="G53" s="48">
        <f>'W3 Team Points'!M32</f>
        <v>0</v>
      </c>
      <c r="H53" s="48">
        <f>'W3 Team Points'!F64</f>
        <v>0</v>
      </c>
      <c r="I53" s="27" t="s">
        <v>44</v>
      </c>
      <c r="J53" s="37"/>
      <c r="K53" s="44"/>
      <c r="L53" s="53"/>
      <c r="M53" s="53"/>
      <c r="N53" s="53"/>
    </row>
    <row r="54">
      <c r="A54" s="47" t="s">
        <v>36</v>
      </c>
      <c r="B54" s="48">
        <f>'W3 Team Points'!F48</f>
        <v>0</v>
      </c>
      <c r="C54" s="48">
        <f>'W3 Team Points'!M64</f>
        <v>0</v>
      </c>
      <c r="D54" s="27" t="s">
        <v>47</v>
      </c>
      <c r="E54" s="49"/>
      <c r="F54" s="50" t="s">
        <v>33</v>
      </c>
      <c r="G54" s="48">
        <f>'W3 Team Points'!T32</f>
        <v>0</v>
      </c>
      <c r="H54" s="48">
        <f>'W3 Team Points'!F16</f>
        <v>0</v>
      </c>
      <c r="I54" s="20" t="s">
        <v>18</v>
      </c>
      <c r="J54" s="37"/>
      <c r="K54" s="57"/>
      <c r="L54" s="53"/>
      <c r="M54" s="53"/>
      <c r="N54" s="53"/>
    </row>
    <row r="55">
      <c r="A55" s="47" t="s">
        <v>30</v>
      </c>
      <c r="B55" s="48">
        <f>'W3 Team Points'!M32</f>
        <v>0</v>
      </c>
      <c r="C55" s="48">
        <f>'W3 Team Points'!M48</f>
        <v>0</v>
      </c>
      <c r="D55" s="20" t="s">
        <v>39</v>
      </c>
      <c r="E55" s="49"/>
      <c r="F55" s="55" t="s">
        <v>21</v>
      </c>
      <c r="G55" s="48">
        <f>'W3 Team Points'!M16</f>
        <v>0</v>
      </c>
      <c r="H55" s="48">
        <f>'W3 Team Points'!T16</f>
        <v>0</v>
      </c>
      <c r="I55" s="27" t="s">
        <v>24</v>
      </c>
      <c r="J55" s="37"/>
      <c r="K55" s="57"/>
      <c r="L55" s="53"/>
      <c r="M55" s="53"/>
      <c r="N55" s="53"/>
    </row>
    <row r="56">
      <c r="A56" s="47" t="s">
        <v>33</v>
      </c>
      <c r="B56" s="48">
        <f>'W3 Team Points'!T32</f>
        <v>0</v>
      </c>
      <c r="C56" s="48">
        <f>'W3 Team Points'!F32</f>
        <v>0</v>
      </c>
      <c r="D56" s="58" t="s">
        <v>27</v>
      </c>
      <c r="E56" s="49"/>
      <c r="F56" s="47" t="s">
        <v>50</v>
      </c>
      <c r="G56" s="48">
        <f>'W3 Team Points'!T64</f>
        <v>0</v>
      </c>
      <c r="H56" s="48">
        <f>'W3 Team Points'!M64</f>
        <v>0</v>
      </c>
      <c r="I56" s="20" t="s">
        <v>47</v>
      </c>
      <c r="J56" s="37"/>
      <c r="K56" s="57"/>
      <c r="L56" s="53"/>
      <c r="M56" s="53"/>
      <c r="N56" s="53"/>
    </row>
    <row r="57">
      <c r="A57" s="55" t="s">
        <v>21</v>
      </c>
      <c r="B57" s="48">
        <f>'W3 Team Points'!M16</f>
        <v>0</v>
      </c>
      <c r="C57" s="48">
        <f>'W3 Team Points'!T64</f>
        <v>0</v>
      </c>
      <c r="D57" s="58" t="s">
        <v>50</v>
      </c>
      <c r="E57" s="49"/>
      <c r="F57" s="47" t="s">
        <v>27</v>
      </c>
      <c r="G57" s="48">
        <f>'W3 Team Points'!F32</f>
        <v>0</v>
      </c>
      <c r="H57" s="48">
        <f>'W3 Team Points'!M48</f>
        <v>0</v>
      </c>
      <c r="I57" s="27" t="s">
        <v>39</v>
      </c>
      <c r="J57" s="37"/>
      <c r="K57" s="57"/>
      <c r="L57" s="53"/>
      <c r="M57" s="53"/>
      <c r="N57" s="53"/>
    </row>
    <row r="58">
      <c r="A58" s="47" t="s">
        <v>41</v>
      </c>
      <c r="B58" s="48">
        <f>'W3 Team Points'!T48</f>
        <v>0</v>
      </c>
      <c r="C58" s="48">
        <f>'W3 Team Points'!M32</f>
        <v>0</v>
      </c>
      <c r="D58" s="58" t="s">
        <v>30</v>
      </c>
      <c r="E58" s="49"/>
      <c r="F58" s="50" t="s">
        <v>18</v>
      </c>
      <c r="G58" s="48">
        <f>'W3 Team Points'!F16</f>
        <v>0</v>
      </c>
      <c r="H58" s="48">
        <f>'W3 Team Points'!T64</f>
        <v>0</v>
      </c>
      <c r="I58" s="27" t="s">
        <v>50</v>
      </c>
      <c r="J58" s="37"/>
      <c r="K58" s="57"/>
      <c r="L58" s="53"/>
      <c r="M58" s="53"/>
      <c r="N58" s="53"/>
    </row>
    <row r="59">
      <c r="A59" s="47" t="s">
        <v>36</v>
      </c>
      <c r="B59" s="48">
        <f>'W3 Team Points'!F48</f>
        <v>0</v>
      </c>
      <c r="C59" s="48">
        <f>'W3 Team Points'!T32</f>
        <v>0</v>
      </c>
      <c r="D59" s="58" t="s">
        <v>33</v>
      </c>
      <c r="E59" s="49"/>
      <c r="F59" s="47" t="s">
        <v>24</v>
      </c>
      <c r="G59" s="48">
        <f>'W3 Team Points'!T16</f>
        <v>0</v>
      </c>
      <c r="H59" s="48">
        <f>'W3 Team Points'!F32</f>
        <v>0</v>
      </c>
      <c r="I59" s="27" t="s">
        <v>27</v>
      </c>
      <c r="J59" s="37"/>
      <c r="K59" s="57"/>
      <c r="L59" s="53"/>
      <c r="M59" s="53"/>
      <c r="N59" s="53"/>
    </row>
    <row r="60">
      <c r="A60" s="47" t="s">
        <v>44</v>
      </c>
      <c r="B60" s="48">
        <f>'W3 Team Points'!F64</f>
        <v>0</v>
      </c>
      <c r="C60" s="48">
        <f>'W3 Team Points'!M16</f>
        <v>0</v>
      </c>
      <c r="D60" s="58" t="s">
        <v>21</v>
      </c>
      <c r="E60" s="49"/>
      <c r="F60" s="47" t="s">
        <v>47</v>
      </c>
      <c r="G60" s="48">
        <f>'W3 Team Points'!M64</f>
        <v>0</v>
      </c>
      <c r="H60" s="48">
        <f>'W3 Team Points'!M48</f>
        <v>0</v>
      </c>
      <c r="I60" s="27" t="s">
        <v>39</v>
      </c>
      <c r="J60" s="37"/>
      <c r="K60" s="57"/>
      <c r="L60" s="53"/>
      <c r="M60" s="53"/>
      <c r="N60" s="53"/>
    </row>
    <row r="61">
      <c r="A61" s="61"/>
      <c r="B61" s="62"/>
      <c r="C61" s="62"/>
      <c r="D61" s="63"/>
      <c r="E61" s="64"/>
      <c r="F61" s="65"/>
      <c r="G61" s="62"/>
      <c r="H61" s="72"/>
      <c r="I61" s="63"/>
      <c r="J61" s="67"/>
      <c r="K61" s="63"/>
      <c r="L61" s="68"/>
      <c r="M61" s="68"/>
      <c r="N61" s="68"/>
    </row>
    <row r="62">
      <c r="A62" s="69" t="s">
        <v>16</v>
      </c>
      <c r="B62" s="9"/>
      <c r="C62" s="9"/>
      <c r="D62" s="9"/>
      <c r="E62" s="9"/>
      <c r="F62" s="9"/>
      <c r="G62" s="9"/>
      <c r="H62" s="9"/>
      <c r="I62" s="10"/>
      <c r="J62" s="37"/>
      <c r="K62" s="38" t="s">
        <v>55</v>
      </c>
      <c r="L62" s="39" t="s">
        <v>56</v>
      </c>
      <c r="M62" s="9"/>
      <c r="N62" s="10"/>
    </row>
    <row r="63">
      <c r="A63" s="40" t="s">
        <v>57</v>
      </c>
      <c r="B63" s="41" t="s">
        <v>58</v>
      </c>
      <c r="C63" s="41" t="s">
        <v>58</v>
      </c>
      <c r="D63" s="42" t="s">
        <v>59</v>
      </c>
      <c r="E63" s="37"/>
      <c r="F63" s="43" t="s">
        <v>57</v>
      </c>
      <c r="G63" s="41" t="s">
        <v>58</v>
      </c>
      <c r="H63" s="41" t="s">
        <v>58</v>
      </c>
      <c r="I63" s="42" t="s">
        <v>59</v>
      </c>
      <c r="J63" s="37"/>
      <c r="K63" s="44"/>
      <c r="L63" s="71"/>
      <c r="M63" s="71"/>
      <c r="N63" s="71"/>
    </row>
    <row r="64">
      <c r="A64" s="47" t="s">
        <v>33</v>
      </c>
      <c r="B64" s="48">
        <f>'W4 Team Points'!T32</f>
        <v>0</v>
      </c>
      <c r="C64" s="48">
        <f>'W4 Team Points'!T48</f>
        <v>0</v>
      </c>
      <c r="D64" s="27" t="s">
        <v>41</v>
      </c>
      <c r="E64" s="49"/>
      <c r="F64" s="50" t="s">
        <v>50</v>
      </c>
      <c r="G64" s="48">
        <f>'W4 Team Points'!T64</f>
        <v>0</v>
      </c>
      <c r="H64" s="48">
        <f>'W4 Team Points'!T48</f>
        <v>0</v>
      </c>
      <c r="I64" s="27" t="s">
        <v>41</v>
      </c>
      <c r="J64" s="37"/>
      <c r="K64" s="44"/>
      <c r="L64" s="53"/>
      <c r="M64" s="53"/>
      <c r="N64" s="53"/>
    </row>
    <row r="65">
      <c r="A65" s="55" t="s">
        <v>21</v>
      </c>
      <c r="B65" s="48">
        <f>'W4 Team Points'!M16</f>
        <v>0</v>
      </c>
      <c r="C65" s="48">
        <f>'W4 Team Points'!M32</f>
        <v>0</v>
      </c>
      <c r="D65" s="27" t="s">
        <v>30</v>
      </c>
      <c r="E65" s="49"/>
      <c r="F65" s="47" t="s">
        <v>27</v>
      </c>
      <c r="G65" s="48">
        <f>'W4 Team Points'!F32</f>
        <v>0</v>
      </c>
      <c r="H65" s="48">
        <f>'W4 Team Points'!M16</f>
        <v>0</v>
      </c>
      <c r="I65" s="58" t="s">
        <v>21</v>
      </c>
      <c r="J65" s="37"/>
      <c r="K65" s="44"/>
      <c r="L65" s="53"/>
      <c r="M65" s="53"/>
      <c r="N65" s="53"/>
    </row>
    <row r="66">
      <c r="A66" s="47" t="s">
        <v>50</v>
      </c>
      <c r="B66" s="48">
        <f>'W4 Team Points'!T64</f>
        <v>0</v>
      </c>
      <c r="C66" s="48">
        <f>'W4 Team Points'!F48</f>
        <v>0</v>
      </c>
      <c r="D66" s="27" t="s">
        <v>36</v>
      </c>
      <c r="E66" s="49"/>
      <c r="F66" s="47" t="s">
        <v>39</v>
      </c>
      <c r="G66" s="48">
        <f>'W4 Team Points'!M48</f>
        <v>0</v>
      </c>
      <c r="H66" s="48">
        <f>'W4 Team Points'!T32</f>
        <v>0</v>
      </c>
      <c r="I66" s="27" t="s">
        <v>33</v>
      </c>
      <c r="J66" s="37"/>
      <c r="K66" s="44"/>
      <c r="L66" s="53"/>
      <c r="M66" s="53"/>
      <c r="N66" s="53"/>
    </row>
    <row r="67">
      <c r="A67" s="47" t="s">
        <v>27</v>
      </c>
      <c r="B67" s="48">
        <f>'W4 Team Points'!F32</f>
        <v>0</v>
      </c>
      <c r="C67" s="48">
        <f>'W4 Team Points'!F64</f>
        <v>0</v>
      </c>
      <c r="D67" s="27" t="s">
        <v>44</v>
      </c>
      <c r="E67" s="49"/>
      <c r="F67" s="47" t="s">
        <v>47</v>
      </c>
      <c r="G67" s="48">
        <f>'W4 Team Points'!M64</f>
        <v>0</v>
      </c>
      <c r="H67" s="48">
        <f>'W4 Team Points'!M32</f>
        <v>0</v>
      </c>
      <c r="I67" s="27" t="s">
        <v>30</v>
      </c>
      <c r="J67" s="37"/>
      <c r="K67" s="44"/>
      <c r="L67" s="53"/>
      <c r="M67" s="53"/>
      <c r="N67" s="53"/>
    </row>
    <row r="68">
      <c r="A68" s="54" t="s">
        <v>39</v>
      </c>
      <c r="B68" s="48">
        <f>'W4 Team Points'!M48</f>
        <v>0</v>
      </c>
      <c r="C68" s="48">
        <f>'W4 Team Points'!F16</f>
        <v>0</v>
      </c>
      <c r="D68" s="27" t="s">
        <v>18</v>
      </c>
      <c r="E68" s="49"/>
      <c r="F68" s="47" t="s">
        <v>24</v>
      </c>
      <c r="G68" s="48">
        <f>'W4 Team Points'!T16</f>
        <v>0</v>
      </c>
      <c r="H68" s="48">
        <f>'W4 Team Points'!F48</f>
        <v>0</v>
      </c>
      <c r="I68" s="27" t="s">
        <v>36</v>
      </c>
      <c r="J68" s="37"/>
      <c r="K68" s="44"/>
      <c r="L68" s="53"/>
      <c r="M68" s="53"/>
      <c r="N68" s="53"/>
    </row>
    <row r="69">
      <c r="A69" s="47" t="s">
        <v>47</v>
      </c>
      <c r="B69" s="48">
        <f>'W4 Team Points'!M64</f>
        <v>0</v>
      </c>
      <c r="C69" s="48">
        <f>'W4 Team Points'!T16</f>
        <v>0</v>
      </c>
      <c r="D69" s="27" t="s">
        <v>24</v>
      </c>
      <c r="E69" s="49"/>
      <c r="F69" s="47" t="s">
        <v>18</v>
      </c>
      <c r="G69" s="48">
        <f>'W4 Team Points'!F16</f>
        <v>0</v>
      </c>
      <c r="H69" s="48">
        <f>'W4 Team Points'!F64</f>
        <v>0</v>
      </c>
      <c r="I69" s="27" t="s">
        <v>44</v>
      </c>
      <c r="J69" s="37"/>
      <c r="K69" s="44"/>
      <c r="L69" s="53"/>
      <c r="M69" s="53"/>
      <c r="N69" s="53"/>
    </row>
    <row r="70">
      <c r="A70" s="47" t="s">
        <v>41</v>
      </c>
      <c r="B70" s="48">
        <f>'W4 Team Points'!T48</f>
        <v>0</v>
      </c>
      <c r="C70" s="48">
        <f>'W4 Team Points'!M16</f>
        <v>0</v>
      </c>
      <c r="D70" s="58" t="s">
        <v>21</v>
      </c>
      <c r="E70" s="49"/>
      <c r="F70" s="54" t="s">
        <v>41</v>
      </c>
      <c r="G70" s="48">
        <f>'W4 Team Points'!T48</f>
        <v>0</v>
      </c>
      <c r="H70" s="48">
        <f>'W4 Team Points'!F32</f>
        <v>0</v>
      </c>
      <c r="I70" s="27" t="s">
        <v>27</v>
      </c>
      <c r="J70" s="37"/>
      <c r="K70" s="44"/>
      <c r="L70" s="53"/>
      <c r="M70" s="53"/>
      <c r="N70" s="53"/>
    </row>
    <row r="71">
      <c r="A71" s="47" t="s">
        <v>33</v>
      </c>
      <c r="B71" s="48">
        <f>'W4 Team Points'!T32</f>
        <v>0</v>
      </c>
      <c r="C71" s="48">
        <f>'W4 Team Points'!T64</f>
        <v>0</v>
      </c>
      <c r="D71" s="27" t="s">
        <v>50</v>
      </c>
      <c r="E71" s="49"/>
      <c r="F71" s="47" t="s">
        <v>50</v>
      </c>
      <c r="G71" s="48">
        <f>'W4 Team Points'!T64</f>
        <v>0</v>
      </c>
      <c r="H71" s="48">
        <f>'W4 Team Points'!M48</f>
        <v>0</v>
      </c>
      <c r="I71" s="27" t="s">
        <v>39</v>
      </c>
      <c r="J71" s="37"/>
      <c r="K71" s="44"/>
      <c r="L71" s="53"/>
      <c r="M71" s="53"/>
      <c r="N71" s="53"/>
    </row>
    <row r="72">
      <c r="A72" s="47" t="s">
        <v>30</v>
      </c>
      <c r="B72" s="48">
        <f>'W4 Team Points'!M32</f>
        <v>0</v>
      </c>
      <c r="C72" s="48">
        <f>'W4 Team Points'!F32</f>
        <v>0</v>
      </c>
      <c r="D72" s="27" t="s">
        <v>27</v>
      </c>
      <c r="E72" s="49"/>
      <c r="F72" s="55" t="s">
        <v>21</v>
      </c>
      <c r="G72" s="48">
        <f>'W4 Team Points'!M16</f>
        <v>0</v>
      </c>
      <c r="H72" s="48">
        <f>'W4 Team Points'!M64</f>
        <v>0</v>
      </c>
      <c r="I72" s="20" t="s">
        <v>47</v>
      </c>
      <c r="J72" s="37"/>
      <c r="K72" s="57"/>
      <c r="L72" s="53"/>
      <c r="M72" s="53"/>
      <c r="N72" s="53"/>
    </row>
    <row r="73">
      <c r="A73" s="47" t="s">
        <v>36</v>
      </c>
      <c r="B73" s="48">
        <f>'W4 Team Points'!F48</f>
        <v>0</v>
      </c>
      <c r="C73" s="48">
        <f>'W4 Team Points'!M48</f>
        <v>0</v>
      </c>
      <c r="D73" s="20" t="s">
        <v>39</v>
      </c>
      <c r="E73" s="49"/>
      <c r="F73" s="50" t="s">
        <v>33</v>
      </c>
      <c r="G73" s="48">
        <f>'W4 Team Points'!T32</f>
        <v>0</v>
      </c>
      <c r="H73" s="48">
        <f>'W4 Team Points'!T16</f>
        <v>0</v>
      </c>
      <c r="I73" s="27" t="s">
        <v>24</v>
      </c>
      <c r="J73" s="37"/>
      <c r="K73" s="57"/>
      <c r="L73" s="53"/>
      <c r="M73" s="53"/>
      <c r="N73" s="53"/>
    </row>
    <row r="74">
      <c r="A74" s="47" t="s">
        <v>44</v>
      </c>
      <c r="B74" s="48">
        <f>'W4 Team Points'!F64</f>
        <v>0</v>
      </c>
      <c r="C74" s="48">
        <f>'W4 Team Points'!M64</f>
        <v>0</v>
      </c>
      <c r="D74" s="58" t="s">
        <v>47</v>
      </c>
      <c r="E74" s="49"/>
      <c r="F74" s="47" t="s">
        <v>30</v>
      </c>
      <c r="G74" s="48">
        <f>'W4 Team Points'!M32</f>
        <v>0</v>
      </c>
      <c r="H74" s="48">
        <f>'W4 Team Points'!F16</f>
        <v>0</v>
      </c>
      <c r="I74" s="20" t="s">
        <v>18</v>
      </c>
      <c r="J74" s="37"/>
      <c r="K74" s="57"/>
      <c r="L74" s="53"/>
      <c r="M74" s="53"/>
      <c r="N74" s="53"/>
    </row>
    <row r="75">
      <c r="A75" s="47" t="s">
        <v>18</v>
      </c>
      <c r="B75" s="48">
        <f>'W4 Team Points'!F16</f>
        <v>0</v>
      </c>
      <c r="C75" s="48">
        <f>'W4 Team Points'!T16</f>
        <v>0</v>
      </c>
      <c r="D75" s="58" t="s">
        <v>24</v>
      </c>
      <c r="E75" s="49"/>
      <c r="F75" s="47" t="s">
        <v>36</v>
      </c>
      <c r="G75" s="48">
        <f>'W4 Team Points'!F48</f>
        <v>0</v>
      </c>
      <c r="H75" s="48">
        <f>'W4 Team Points'!F64</f>
        <v>0</v>
      </c>
      <c r="I75" s="27" t="s">
        <v>44</v>
      </c>
      <c r="J75" s="37"/>
      <c r="K75" s="57"/>
      <c r="L75" s="53"/>
      <c r="M75" s="53"/>
      <c r="N75" s="53"/>
    </row>
    <row r="76">
      <c r="A76" s="47" t="s">
        <v>39</v>
      </c>
      <c r="B76" s="48">
        <f>'W4 Team Points'!M48</f>
        <v>0</v>
      </c>
      <c r="C76" s="48">
        <f>'W4 Team Points'!T48</f>
        <v>0</v>
      </c>
      <c r="D76" s="58" t="s">
        <v>41</v>
      </c>
      <c r="E76" s="49"/>
      <c r="F76" s="50" t="s">
        <v>18</v>
      </c>
      <c r="G76" s="48">
        <f>'W4 Team Points'!F16</f>
        <v>0</v>
      </c>
      <c r="H76" s="48">
        <f>'W1 Team Points'!M16</f>
        <v>0</v>
      </c>
      <c r="I76" s="58" t="s">
        <v>21</v>
      </c>
      <c r="J76" s="37"/>
      <c r="K76" s="57"/>
      <c r="L76" s="53"/>
      <c r="M76" s="53"/>
      <c r="N76" s="53"/>
    </row>
    <row r="77">
      <c r="A77" s="47" t="s">
        <v>47</v>
      </c>
      <c r="B77" s="48">
        <f>'W4 Team Points'!M64</f>
        <v>0</v>
      </c>
      <c r="C77" s="48">
        <f>'W4 Team Points'!F32</f>
        <v>0</v>
      </c>
      <c r="D77" s="58" t="s">
        <v>27</v>
      </c>
      <c r="E77" s="49"/>
      <c r="F77" s="47" t="s">
        <v>44</v>
      </c>
      <c r="G77" s="48">
        <f>'W4 Team Points'!F64</f>
        <v>0</v>
      </c>
      <c r="H77" s="48">
        <f>'W4 Team Points'!T32</f>
        <v>0</v>
      </c>
      <c r="I77" s="27" t="s">
        <v>33</v>
      </c>
      <c r="J77" s="37"/>
      <c r="K77" s="57"/>
      <c r="L77" s="53"/>
      <c r="M77" s="53"/>
      <c r="N77" s="53"/>
    </row>
    <row r="78">
      <c r="A78" s="47" t="s">
        <v>24</v>
      </c>
      <c r="B78" s="48">
        <f>'W4 Team Points'!T16</f>
        <v>0</v>
      </c>
      <c r="C78" s="48">
        <f>'W4 Team Points'!T64</f>
        <v>0</v>
      </c>
      <c r="D78" s="58" t="s">
        <v>50</v>
      </c>
      <c r="E78" s="49"/>
      <c r="F78" s="47" t="s">
        <v>36</v>
      </c>
      <c r="G78" s="48">
        <f>'W4 Team Points'!F48</f>
        <v>0</v>
      </c>
      <c r="H78" s="48">
        <f>'W4 Team Points'!M32</f>
        <v>0</v>
      </c>
      <c r="I78" s="27" t="s">
        <v>30</v>
      </c>
      <c r="J78" s="37"/>
      <c r="K78" s="57"/>
      <c r="L78" s="53"/>
      <c r="M78" s="53"/>
      <c r="N78" s="53"/>
    </row>
  </sheetData>
  <mergeCells count="10">
    <mergeCell ref="A44:I44"/>
    <mergeCell ref="A62:I62"/>
    <mergeCell ref="L62:N62"/>
    <mergeCell ref="A1:I1"/>
    <mergeCell ref="K1:N1"/>
    <mergeCell ref="A2:I2"/>
    <mergeCell ref="L2:N2"/>
    <mergeCell ref="A23:I23"/>
    <mergeCell ref="L23:N23"/>
    <mergeCell ref="L44:N4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74</v>
      </c>
    </row>
    <row r="2">
      <c r="A2" s="1" t="s">
        <v>75</v>
      </c>
      <c r="B2" s="1" t="s">
        <v>76</v>
      </c>
    </row>
    <row r="3">
      <c r="A3" s="1" t="s">
        <v>77</v>
      </c>
    </row>
    <row r="4">
      <c r="A4" s="1" t="s">
        <v>78</v>
      </c>
      <c r="B4" s="1" t="s">
        <v>79</v>
      </c>
      <c r="C4" s="1" t="s">
        <v>80</v>
      </c>
      <c r="D4" s="1" t="s">
        <v>81</v>
      </c>
      <c r="E4" s="1" t="s">
        <v>82</v>
      </c>
      <c r="F4" s="1" t="s">
        <v>83</v>
      </c>
      <c r="G4" s="1" t="s">
        <v>84</v>
      </c>
      <c r="H4" s="1" t="s">
        <v>85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90</v>
      </c>
      <c r="N4" s="1" t="s">
        <v>91</v>
      </c>
      <c r="O4" s="1" t="s">
        <v>92</v>
      </c>
      <c r="P4" s="1" t="s">
        <v>93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7" max="7" width="2.25"/>
    <col customWidth="1" min="8" max="8" width="11.88"/>
    <col customWidth="1" min="14" max="14" width="2.25"/>
    <col customWidth="1" min="15" max="15" width="11.88"/>
  </cols>
  <sheetData>
    <row r="1">
      <c r="A1" s="73" t="s">
        <v>18</v>
      </c>
      <c r="H1" s="73" t="s">
        <v>21</v>
      </c>
      <c r="O1" s="73" t="s">
        <v>24</v>
      </c>
    </row>
    <row r="2">
      <c r="A2" s="74" t="s">
        <v>7</v>
      </c>
      <c r="B2" s="74" t="s">
        <v>94</v>
      </c>
      <c r="C2" s="74" t="s">
        <v>95</v>
      </c>
      <c r="D2" s="74" t="s">
        <v>96</v>
      </c>
      <c r="E2" s="74" t="s">
        <v>97</v>
      </c>
      <c r="F2" s="74" t="s">
        <v>98</v>
      </c>
      <c r="H2" s="74" t="s">
        <v>7</v>
      </c>
      <c r="I2" s="74" t="s">
        <v>94</v>
      </c>
      <c r="J2" s="74" t="s">
        <v>95</v>
      </c>
      <c r="K2" s="74" t="s">
        <v>96</v>
      </c>
      <c r="L2" s="74" t="s">
        <v>97</v>
      </c>
      <c r="M2" s="74" t="s">
        <v>98</v>
      </c>
      <c r="O2" s="74" t="s">
        <v>7</v>
      </c>
      <c r="P2" s="74" t="s">
        <v>94</v>
      </c>
      <c r="Q2" s="74" t="s">
        <v>95</v>
      </c>
      <c r="R2" s="74" t="s">
        <v>96</v>
      </c>
      <c r="S2" s="74" t="s">
        <v>97</v>
      </c>
      <c r="T2" s="74" t="s">
        <v>98</v>
      </c>
    </row>
    <row r="3">
      <c r="A3" s="75" t="s">
        <v>19</v>
      </c>
      <c r="B3" s="75" t="s">
        <v>99</v>
      </c>
      <c r="C3" s="75" t="s">
        <v>100</v>
      </c>
      <c r="D3" s="75" t="s">
        <v>101</v>
      </c>
      <c r="E3" s="75" t="s">
        <v>102</v>
      </c>
      <c r="F3" s="75" t="s">
        <v>103</v>
      </c>
      <c r="G3" s="76"/>
      <c r="H3" s="75" t="s">
        <v>22</v>
      </c>
      <c r="I3" s="75" t="s">
        <v>39</v>
      </c>
      <c r="J3" s="75" t="s">
        <v>104</v>
      </c>
      <c r="K3" s="75" t="s">
        <v>37</v>
      </c>
      <c r="L3" s="75" t="s">
        <v>105</v>
      </c>
      <c r="M3" s="75" t="s">
        <v>106</v>
      </c>
      <c r="N3" s="76"/>
      <c r="O3" s="75" t="s">
        <v>25</v>
      </c>
      <c r="P3" s="75" t="s">
        <v>106</v>
      </c>
      <c r="Q3" s="75" t="s">
        <v>25</v>
      </c>
      <c r="R3" s="75" t="s">
        <v>101</v>
      </c>
      <c r="S3" s="75" t="s">
        <v>107</v>
      </c>
      <c r="T3" s="75" t="s">
        <v>102</v>
      </c>
    </row>
    <row r="4">
      <c r="A4" s="77" t="s">
        <v>108</v>
      </c>
      <c r="B4" s="78">
        <f>'Points System'!H30</f>
        <v>0</v>
      </c>
      <c r="C4" s="78" t="str">
        <f>'Points System'!I86</f>
        <v/>
      </c>
      <c r="D4" s="78" t="str">
        <f>'Points System'!D16</f>
        <v/>
      </c>
      <c r="E4" s="78">
        <f>'Points System'!Q30</f>
        <v>0</v>
      </c>
      <c r="F4" s="78" t="s">
        <v>109</v>
      </c>
      <c r="H4" s="77" t="s">
        <v>108</v>
      </c>
      <c r="I4" s="78">
        <f>'Points System'!T58</f>
        <v>0</v>
      </c>
      <c r="J4" s="78" t="str">
        <f>'Points System'!I16</f>
        <v/>
      </c>
      <c r="K4" s="78" t="str">
        <f>'Points System'!D58</f>
        <v/>
      </c>
      <c r="L4" s="78">
        <f>'Points System'!W16</f>
        <v>0</v>
      </c>
      <c r="M4" s="78" t="s">
        <v>110</v>
      </c>
      <c r="O4" s="77" t="s">
        <v>108</v>
      </c>
      <c r="P4" s="78">
        <f>'Points System'!Z72</f>
        <v>45</v>
      </c>
      <c r="Q4" s="78" t="str">
        <f>'Points System'!O72</f>
        <v/>
      </c>
      <c r="R4" s="78" t="str">
        <f>'Points System'!D16</f>
        <v/>
      </c>
      <c r="S4" s="78">
        <f>'Points System'!E86</f>
        <v>0</v>
      </c>
      <c r="T4" s="78" t="s">
        <v>111</v>
      </c>
    </row>
    <row r="5">
      <c r="A5" s="77" t="s">
        <v>112</v>
      </c>
      <c r="B5" s="78" t="str">
        <f>'Points System'!H31</f>
        <v/>
      </c>
      <c r="C5" s="78" t="str">
        <f>'Points System'!I87</f>
        <v/>
      </c>
      <c r="D5" s="78">
        <f>'Points System'!D17</f>
        <v>0</v>
      </c>
      <c r="E5" s="78" t="str">
        <f>'Points System'!Q31</f>
        <v/>
      </c>
      <c r="F5" s="78"/>
      <c r="H5" s="77" t="s">
        <v>112</v>
      </c>
      <c r="I5" s="78" t="str">
        <f>'Points System'!T59</f>
        <v/>
      </c>
      <c r="J5" s="78" t="str">
        <f>'Points System'!I17</f>
        <v/>
      </c>
      <c r="K5" s="78">
        <f>'Points System'!D59</f>
        <v>0</v>
      </c>
      <c r="L5" s="78" t="str">
        <f>'Points System'!W17</f>
        <v/>
      </c>
      <c r="M5" s="78"/>
      <c r="O5" s="77" t="s">
        <v>112</v>
      </c>
      <c r="P5" s="78" t="str">
        <f>'Points System'!Z73</f>
        <v/>
      </c>
      <c r="Q5" s="78" t="str">
        <f>'Points System'!O73</f>
        <v/>
      </c>
      <c r="R5" s="78">
        <f>'Points System'!D17</f>
        <v>0</v>
      </c>
      <c r="S5" s="78" t="str">
        <f>'Points System'!E87</f>
        <v/>
      </c>
      <c r="T5" s="78"/>
    </row>
    <row r="6">
      <c r="A6" s="77" t="s">
        <v>113</v>
      </c>
      <c r="B6" s="78">
        <f>'Points System'!H32</f>
        <v>0</v>
      </c>
      <c r="C6" s="78" t="str">
        <f>'Points System'!I88</f>
        <v/>
      </c>
      <c r="D6" s="78" t="str">
        <f>'Points System'!D18</f>
        <v/>
      </c>
      <c r="E6" s="78" t="str">
        <f>'Points System'!Q32</f>
        <v/>
      </c>
      <c r="F6" s="78"/>
      <c r="H6" s="77" t="s">
        <v>113</v>
      </c>
      <c r="I6" s="78">
        <f>'Points System'!T60</f>
        <v>0</v>
      </c>
      <c r="J6" s="78" t="str">
        <f>'Points System'!I18</f>
        <v/>
      </c>
      <c r="K6" s="78" t="str">
        <f>'Points System'!D60</f>
        <v/>
      </c>
      <c r="L6" s="78" t="str">
        <f>'Points System'!W18</f>
        <v/>
      </c>
      <c r="M6" s="78"/>
      <c r="O6" s="77" t="s">
        <v>113</v>
      </c>
      <c r="P6" s="78">
        <f>'Points System'!Z74</f>
        <v>26</v>
      </c>
      <c r="Q6" s="78" t="str">
        <f>'Points System'!O74</f>
        <v/>
      </c>
      <c r="R6" s="78" t="str">
        <f>'Points System'!D18</f>
        <v/>
      </c>
      <c r="S6" s="78" t="str">
        <f>'Points System'!E88</f>
        <v/>
      </c>
      <c r="T6" s="78"/>
    </row>
    <row r="7">
      <c r="A7" s="77" t="s">
        <v>114</v>
      </c>
      <c r="B7" s="78" t="str">
        <f>'Points System'!H33</f>
        <v/>
      </c>
      <c r="C7" s="78">
        <f>'Points System'!I89</f>
        <v>0</v>
      </c>
      <c r="D7" s="78" t="str">
        <f>'Points System'!D19</f>
        <v/>
      </c>
      <c r="E7" s="78">
        <f>'Points System'!Q33</f>
        <v>0</v>
      </c>
      <c r="F7" s="78"/>
      <c r="H7" s="77" t="s">
        <v>114</v>
      </c>
      <c r="I7" s="78" t="str">
        <f>'Points System'!T61</f>
        <v/>
      </c>
      <c r="J7" s="78">
        <f>'Points System'!I19</f>
        <v>0</v>
      </c>
      <c r="K7" s="78" t="str">
        <f>'Points System'!D61</f>
        <v/>
      </c>
      <c r="L7" s="78">
        <f>'Points System'!W19</f>
        <v>0</v>
      </c>
      <c r="M7" s="78"/>
      <c r="O7" s="77" t="s">
        <v>114</v>
      </c>
      <c r="P7" s="78" t="str">
        <f>'Points System'!Z75</f>
        <v/>
      </c>
      <c r="Q7" s="78">
        <f>'Points System'!O75</f>
        <v>30</v>
      </c>
      <c r="R7" s="78" t="str">
        <f>'Points System'!D19</f>
        <v/>
      </c>
      <c r="S7" s="78">
        <f>'Points System'!E89</f>
        <v>0</v>
      </c>
      <c r="T7" s="78"/>
    </row>
    <row r="8">
      <c r="A8" s="77" t="s">
        <v>115</v>
      </c>
      <c r="B8" s="78" t="str">
        <f>'Points System'!H34</f>
        <v/>
      </c>
      <c r="C8" s="78">
        <f>'Points System'!I90</f>
        <v>0</v>
      </c>
      <c r="D8" s="78" t="str">
        <f>'Points System'!D20</f>
        <v/>
      </c>
      <c r="E8" s="78">
        <f>'Points System'!Q34</f>
        <v>0</v>
      </c>
      <c r="F8" s="78"/>
      <c r="H8" s="77" t="s">
        <v>115</v>
      </c>
      <c r="I8" s="78" t="str">
        <f>'Points System'!T62</f>
        <v/>
      </c>
      <c r="J8" s="78">
        <f>'Points System'!I20</f>
        <v>0</v>
      </c>
      <c r="K8" s="78" t="str">
        <f>'Points System'!D62</f>
        <v/>
      </c>
      <c r="L8" s="78">
        <f>'Points System'!W20</f>
        <v>0</v>
      </c>
      <c r="M8" s="78"/>
      <c r="O8" s="77" t="s">
        <v>115</v>
      </c>
      <c r="P8" s="78" t="str">
        <f>'Points System'!Z76</f>
        <v/>
      </c>
      <c r="Q8" s="78">
        <f>'Points System'!O76</f>
        <v>30</v>
      </c>
      <c r="R8" s="78" t="str">
        <f>'Points System'!D20</f>
        <v/>
      </c>
      <c r="S8" s="78">
        <f>'Points System'!E90</f>
        <v>0</v>
      </c>
      <c r="T8" s="78"/>
    </row>
    <row r="9">
      <c r="A9" s="77" t="s">
        <v>116</v>
      </c>
      <c r="B9" s="78">
        <f>'Points System'!H35</f>
        <v>0</v>
      </c>
      <c r="C9" s="78" t="str">
        <f>'Points System'!I91</f>
        <v/>
      </c>
      <c r="D9" s="78">
        <f>'Points System'!D21</f>
        <v>0</v>
      </c>
      <c r="E9" s="78" t="str">
        <f>'Points System'!Q35</f>
        <v/>
      </c>
      <c r="F9" s="78"/>
      <c r="H9" s="77" t="s">
        <v>116</v>
      </c>
      <c r="I9" s="78">
        <f>'Points System'!T63</f>
        <v>0</v>
      </c>
      <c r="J9" s="78" t="str">
        <f>'Points System'!I21</f>
        <v/>
      </c>
      <c r="K9" s="78">
        <f>'Points System'!D63</f>
        <v>0</v>
      </c>
      <c r="L9" s="78" t="str">
        <f>'Points System'!W21</f>
        <v/>
      </c>
      <c r="M9" s="78"/>
      <c r="O9" s="77" t="s">
        <v>116</v>
      </c>
      <c r="P9" s="78">
        <f>'Points System'!Z77</f>
        <v>30</v>
      </c>
      <c r="Q9" s="78" t="str">
        <f>'Points System'!O77</f>
        <v/>
      </c>
      <c r="R9" s="78">
        <f>'Points System'!D21</f>
        <v>0</v>
      </c>
      <c r="S9" s="78" t="str">
        <f>'Points System'!E91</f>
        <v/>
      </c>
      <c r="T9" s="78"/>
    </row>
    <row r="10">
      <c r="A10" s="77" t="s">
        <v>117</v>
      </c>
      <c r="B10" s="78" t="str">
        <f>'Points System'!H36</f>
        <v/>
      </c>
      <c r="C10" s="78">
        <f>'Points System'!I92</f>
        <v>0</v>
      </c>
      <c r="D10" s="78" t="str">
        <f>'Points System'!D22</f>
        <v/>
      </c>
      <c r="E10" s="78" t="str">
        <f>'Points System'!Q36</f>
        <v/>
      </c>
      <c r="F10" s="78"/>
      <c r="H10" s="77" t="s">
        <v>117</v>
      </c>
      <c r="I10" s="78" t="str">
        <f>'Points System'!T64</f>
        <v/>
      </c>
      <c r="J10" s="78">
        <f>'Points System'!I22</f>
        <v>0</v>
      </c>
      <c r="K10" s="78" t="str">
        <f>'Points System'!D64</f>
        <v/>
      </c>
      <c r="L10" s="78" t="str">
        <f>'Points System'!W22</f>
        <v/>
      </c>
      <c r="M10" s="78"/>
      <c r="O10" s="77" t="s">
        <v>117</v>
      </c>
      <c r="P10" s="78" t="str">
        <f>'Points System'!Z78</f>
        <v/>
      </c>
      <c r="Q10" s="78">
        <f>'Points System'!O78</f>
        <v>52</v>
      </c>
      <c r="R10" s="78" t="str">
        <f>'Points System'!D22</f>
        <v/>
      </c>
      <c r="S10" s="78" t="str">
        <f>'Points System'!E92</f>
        <v/>
      </c>
      <c r="T10" s="78"/>
    </row>
    <row r="11">
      <c r="A11" s="77" t="s">
        <v>118</v>
      </c>
      <c r="B11" s="78" t="str">
        <f>'Points System'!H37</f>
        <v/>
      </c>
      <c r="C11" s="78" t="str">
        <f>'Points System'!I93</f>
        <v/>
      </c>
      <c r="D11" s="78">
        <f>'Points System'!D23</f>
        <v>0</v>
      </c>
      <c r="E11" s="78">
        <f>'Points System'!Q37</f>
        <v>0</v>
      </c>
      <c r="F11" s="78"/>
      <c r="H11" s="77" t="s">
        <v>118</v>
      </c>
      <c r="I11" s="78" t="str">
        <f>'Points System'!T65</f>
        <v/>
      </c>
      <c r="J11" s="78" t="str">
        <f>'Points System'!I23</f>
        <v/>
      </c>
      <c r="K11" s="78">
        <f>'Points System'!D65</f>
        <v>0</v>
      </c>
      <c r="L11" s="78">
        <f>'Points System'!W23</f>
        <v>0</v>
      </c>
      <c r="M11" s="78"/>
      <c r="O11" s="77" t="s">
        <v>118</v>
      </c>
      <c r="P11" s="78" t="str">
        <f>'Points System'!Z79</f>
        <v/>
      </c>
      <c r="Q11" s="78" t="str">
        <f>'Points System'!O79</f>
        <v/>
      </c>
      <c r="R11" s="78">
        <f>'Points System'!D23</f>
        <v>0</v>
      </c>
      <c r="S11" s="78">
        <f>'Points System'!E93</f>
        <v>0</v>
      </c>
      <c r="T11" s="78"/>
    </row>
    <row r="12">
      <c r="A12" s="77" t="s">
        <v>119</v>
      </c>
      <c r="B12" s="78" t="str">
        <f>'Points System'!H38</f>
        <v/>
      </c>
      <c r="C12" s="78">
        <f>'Points System'!I94</f>
        <v>0</v>
      </c>
      <c r="D12" s="78" t="str">
        <f>'Points System'!D24</f>
        <v/>
      </c>
      <c r="E12" s="78">
        <f>'Points System'!Q38</f>
        <v>0</v>
      </c>
      <c r="F12" s="78"/>
      <c r="H12" s="77" t="s">
        <v>119</v>
      </c>
      <c r="I12" s="78" t="str">
        <f>'Points System'!T66</f>
        <v/>
      </c>
      <c r="J12" s="78">
        <f>'Points System'!I24</f>
        <v>0</v>
      </c>
      <c r="K12" s="78" t="str">
        <f>'Points System'!D66</f>
        <v/>
      </c>
      <c r="L12" s="78">
        <f>'Points System'!W24</f>
        <v>0</v>
      </c>
      <c r="M12" s="78"/>
      <c r="O12" s="77" t="s">
        <v>119</v>
      </c>
      <c r="P12" s="78" t="str">
        <f>'Points System'!Z80</f>
        <v/>
      </c>
      <c r="Q12" s="78">
        <f>'Points System'!O80</f>
        <v>21</v>
      </c>
      <c r="R12" s="78" t="str">
        <f>'Points System'!D24</f>
        <v/>
      </c>
      <c r="S12" s="78">
        <f>'Points System'!E94</f>
        <v>0</v>
      </c>
      <c r="T12" s="78"/>
    </row>
    <row r="13">
      <c r="A13" s="77" t="s">
        <v>120</v>
      </c>
      <c r="B13" s="78" t="str">
        <f>'Points System'!H39</f>
        <v/>
      </c>
      <c r="C13" s="78" t="str">
        <f>'Points System'!I95</f>
        <v/>
      </c>
      <c r="D13" s="78">
        <f>'Points System'!D25</f>
        <v>0</v>
      </c>
      <c r="E13" s="78">
        <f>'Points System'!Q39</f>
        <v>0</v>
      </c>
      <c r="F13" s="78"/>
      <c r="H13" s="77" t="s">
        <v>120</v>
      </c>
      <c r="I13" s="78" t="str">
        <f>'Points System'!T67</f>
        <v/>
      </c>
      <c r="J13" s="78" t="str">
        <f>'Points System'!I25</f>
        <v/>
      </c>
      <c r="K13" s="78">
        <f>'Points System'!D67</f>
        <v>0</v>
      </c>
      <c r="L13" s="78">
        <f>'Points System'!W25</f>
        <v>0</v>
      </c>
      <c r="M13" s="78"/>
      <c r="O13" s="77" t="s">
        <v>120</v>
      </c>
      <c r="P13" s="78" t="str">
        <f>'Points System'!Z81</f>
        <v/>
      </c>
      <c r="Q13" s="78" t="str">
        <f>'Points System'!O81</f>
        <v/>
      </c>
      <c r="R13" s="78">
        <f>'Points System'!D25</f>
        <v>0</v>
      </c>
      <c r="S13" s="78">
        <f>'Points System'!E95</f>
        <v>0</v>
      </c>
      <c r="T13" s="78"/>
    </row>
    <row r="14">
      <c r="A14" s="77" t="s">
        <v>121</v>
      </c>
      <c r="B14" s="78">
        <f>'Points System'!H40</f>
        <v>0</v>
      </c>
      <c r="C14" s="78">
        <f>'Points System'!I96</f>
        <v>0</v>
      </c>
      <c r="D14" s="78">
        <f>'Points System'!D26</f>
        <v>0</v>
      </c>
      <c r="E14" s="78">
        <f>'Points System'!Q40</f>
        <v>0</v>
      </c>
      <c r="F14" s="78"/>
      <c r="H14" s="77" t="s">
        <v>121</v>
      </c>
      <c r="I14" s="78">
        <f>'Points System'!T68</f>
        <v>0</v>
      </c>
      <c r="J14" s="78">
        <f>'Points System'!I26</f>
        <v>0</v>
      </c>
      <c r="K14" s="78">
        <f>'Points System'!D68</f>
        <v>0</v>
      </c>
      <c r="L14" s="78">
        <f>'Points System'!W26</f>
        <v>0</v>
      </c>
      <c r="M14" s="78"/>
      <c r="O14" s="77" t="s">
        <v>121</v>
      </c>
      <c r="P14" s="78">
        <f>'Points System'!Z82</f>
        <v>0</v>
      </c>
      <c r="Q14" s="78">
        <f>'Points System'!O82</f>
        <v>0</v>
      </c>
      <c r="R14" s="78">
        <f>'Points System'!D26</f>
        <v>0</v>
      </c>
      <c r="S14" s="78">
        <f>'Points System'!E96</f>
        <v>0</v>
      </c>
      <c r="T14" s="78"/>
    </row>
    <row r="15">
      <c r="A15" s="77" t="s">
        <v>122</v>
      </c>
      <c r="B15" s="79">
        <f t="shared" ref="B15:F15" si="1">SUM(B4:B14)</f>
        <v>0</v>
      </c>
      <c r="C15" s="79">
        <f t="shared" si="1"/>
        <v>0</v>
      </c>
      <c r="D15" s="79">
        <f t="shared" si="1"/>
        <v>0</v>
      </c>
      <c r="E15" s="79">
        <f t="shared" si="1"/>
        <v>0</v>
      </c>
      <c r="F15" s="79">
        <f t="shared" si="1"/>
        <v>0</v>
      </c>
      <c r="H15" s="77" t="s">
        <v>122</v>
      </c>
      <c r="I15" s="79">
        <f t="shared" ref="I15:M15" si="2">SUM(I4:I14)</f>
        <v>0</v>
      </c>
      <c r="J15" s="79">
        <f t="shared" si="2"/>
        <v>0</v>
      </c>
      <c r="K15" s="79">
        <f t="shared" si="2"/>
        <v>0</v>
      </c>
      <c r="L15" s="79">
        <f t="shared" si="2"/>
        <v>0</v>
      </c>
      <c r="M15" s="79">
        <f t="shared" si="2"/>
        <v>0</v>
      </c>
      <c r="O15" s="77" t="s">
        <v>122</v>
      </c>
      <c r="P15" s="80">
        <f t="shared" ref="P15:T15" si="3">SUM(P4:P14)</f>
        <v>101</v>
      </c>
      <c r="Q15" s="80">
        <f t="shared" si="3"/>
        <v>133</v>
      </c>
      <c r="R15" s="80">
        <f t="shared" si="3"/>
        <v>0</v>
      </c>
      <c r="S15" s="80">
        <f t="shared" si="3"/>
        <v>0</v>
      </c>
      <c r="T15" s="80">
        <f t="shared" si="3"/>
        <v>0</v>
      </c>
    </row>
    <row r="16">
      <c r="E16" s="81" t="s">
        <v>123</v>
      </c>
      <c r="F16" s="82">
        <f>SUM(B15:E15)</f>
        <v>0</v>
      </c>
      <c r="L16" s="81" t="s">
        <v>123</v>
      </c>
      <c r="M16" s="82">
        <f>SUM(I15:L15)</f>
        <v>0</v>
      </c>
      <c r="S16" s="81" t="s">
        <v>123</v>
      </c>
      <c r="T16" s="82">
        <f>SUM(P15:S15)</f>
        <v>234</v>
      </c>
    </row>
    <row r="17">
      <c r="A17" s="73" t="s">
        <v>27</v>
      </c>
      <c r="H17" s="73" t="s">
        <v>30</v>
      </c>
      <c r="O17" s="73" t="s">
        <v>33</v>
      </c>
    </row>
    <row r="18">
      <c r="A18" s="74" t="s">
        <v>7</v>
      </c>
      <c r="B18" s="74" t="s">
        <v>94</v>
      </c>
      <c r="C18" s="74" t="s">
        <v>95</v>
      </c>
      <c r="D18" s="74" t="s">
        <v>96</v>
      </c>
      <c r="E18" s="74" t="s">
        <v>97</v>
      </c>
      <c r="F18" s="74" t="s">
        <v>98</v>
      </c>
      <c r="H18" s="74" t="s">
        <v>7</v>
      </c>
      <c r="I18" s="74" t="s">
        <v>94</v>
      </c>
      <c r="J18" s="74" t="s">
        <v>95</v>
      </c>
      <c r="K18" s="74" t="s">
        <v>96</v>
      </c>
      <c r="L18" s="74" t="s">
        <v>97</v>
      </c>
      <c r="M18" s="74" t="s">
        <v>98</v>
      </c>
      <c r="O18" s="74" t="s">
        <v>7</v>
      </c>
      <c r="P18" s="74" t="s">
        <v>94</v>
      </c>
      <c r="Q18" s="74" t="s">
        <v>95</v>
      </c>
      <c r="R18" s="74" t="s">
        <v>96</v>
      </c>
      <c r="S18" s="74" t="s">
        <v>97</v>
      </c>
      <c r="T18" s="74" t="s">
        <v>98</v>
      </c>
    </row>
    <row r="19">
      <c r="A19" s="75" t="s">
        <v>28</v>
      </c>
      <c r="B19" s="75" t="s">
        <v>37</v>
      </c>
      <c r="C19" s="75" t="s">
        <v>124</v>
      </c>
      <c r="D19" s="75" t="s">
        <v>39</v>
      </c>
      <c r="E19" s="75" t="s">
        <v>106</v>
      </c>
      <c r="F19" s="75" t="s">
        <v>125</v>
      </c>
      <c r="H19" s="75" t="s">
        <v>31</v>
      </c>
      <c r="I19" s="75" t="s">
        <v>106</v>
      </c>
      <c r="J19" s="75" t="s">
        <v>124</v>
      </c>
      <c r="K19" s="75" t="s">
        <v>100</v>
      </c>
      <c r="L19" s="75" t="s">
        <v>126</v>
      </c>
      <c r="M19" s="75" t="s">
        <v>103</v>
      </c>
      <c r="O19" s="75" t="s">
        <v>34</v>
      </c>
      <c r="P19" s="75" t="s">
        <v>127</v>
      </c>
      <c r="Q19" s="75" t="s">
        <v>103</v>
      </c>
      <c r="R19" s="75" t="s">
        <v>37</v>
      </c>
      <c r="S19" s="75" t="s">
        <v>101</v>
      </c>
      <c r="T19" s="75" t="s">
        <v>128</v>
      </c>
    </row>
    <row r="20">
      <c r="A20" s="77" t="s">
        <v>108</v>
      </c>
      <c r="B20" s="78">
        <f>'Points System'!B58</f>
        <v>0</v>
      </c>
      <c r="C20" s="78" t="str">
        <f>'Points System'!I44</f>
        <v/>
      </c>
      <c r="D20" s="78" t="str">
        <f>'Points System'!V58</f>
        <v/>
      </c>
      <c r="E20" s="78">
        <f>'Points System'!AC72</f>
        <v>30</v>
      </c>
      <c r="F20" s="78" t="s">
        <v>129</v>
      </c>
      <c r="H20" s="77" t="s">
        <v>108</v>
      </c>
      <c r="I20" s="78">
        <f>'Points System'!Z30</f>
        <v>0</v>
      </c>
      <c r="J20" s="78" t="str">
        <f>'Points System'!I44</f>
        <v/>
      </c>
      <c r="K20" s="78" t="str">
        <f>'Points System'!J86</f>
        <v/>
      </c>
      <c r="L20" s="78">
        <f>'Points System'!W86</f>
        <v>0</v>
      </c>
      <c r="M20" s="78" t="s">
        <v>109</v>
      </c>
      <c r="O20" s="77" t="s">
        <v>108</v>
      </c>
      <c r="P20" s="78">
        <f>'Points System'!N16</f>
        <v>0</v>
      </c>
      <c r="Q20" s="78" t="str">
        <f>'Points System'!U30</f>
        <v/>
      </c>
      <c r="R20" s="78" t="str">
        <f>'Points System'!D58</f>
        <v/>
      </c>
      <c r="S20" s="78">
        <f>'Points System'!E16</f>
        <v>0</v>
      </c>
      <c r="T20" s="78" t="s">
        <v>130</v>
      </c>
    </row>
    <row r="21">
      <c r="A21" s="77" t="s">
        <v>112</v>
      </c>
      <c r="B21" s="78" t="str">
        <f>'Points System'!B59</f>
        <v/>
      </c>
      <c r="C21" s="78" t="str">
        <f>'Points System'!I45</f>
        <v/>
      </c>
      <c r="D21" s="78">
        <f>'Points System'!V59</f>
        <v>0</v>
      </c>
      <c r="E21" s="78" t="str">
        <f>'Points System'!AC73</f>
        <v/>
      </c>
      <c r="F21" s="78"/>
      <c r="H21" s="77" t="s">
        <v>112</v>
      </c>
      <c r="I21" s="78" t="str">
        <f>'Points System'!Z31</f>
        <v/>
      </c>
      <c r="J21" s="78" t="str">
        <f>'Points System'!I45</f>
        <v/>
      </c>
      <c r="K21" s="78">
        <f>'Points System'!J87</f>
        <v>0</v>
      </c>
      <c r="L21" s="78" t="str">
        <f>'Points System'!W87</f>
        <v/>
      </c>
      <c r="M21" s="78"/>
      <c r="O21" s="77" t="s">
        <v>112</v>
      </c>
      <c r="P21" s="78" t="str">
        <f>'Points System'!N17</f>
        <v/>
      </c>
      <c r="Q21" s="78" t="str">
        <f>'Points System'!U31</f>
        <v/>
      </c>
      <c r="R21" s="78">
        <f>'Points System'!D59</f>
        <v>0</v>
      </c>
      <c r="S21" s="78" t="str">
        <f>'Points System'!E17</f>
        <v/>
      </c>
      <c r="T21" s="78"/>
    </row>
    <row r="22">
      <c r="A22" s="77" t="s">
        <v>113</v>
      </c>
      <c r="B22" s="78">
        <f>'Points System'!B60</f>
        <v>0</v>
      </c>
      <c r="C22" s="78" t="str">
        <f>'Points System'!I46</f>
        <v/>
      </c>
      <c r="D22" s="78" t="str">
        <f>'Points System'!V60</f>
        <v/>
      </c>
      <c r="E22" s="78" t="str">
        <f>'Points System'!AC74</f>
        <v/>
      </c>
      <c r="F22" s="78"/>
      <c r="H22" s="77" t="s">
        <v>113</v>
      </c>
      <c r="I22" s="78">
        <f>'Points System'!Z32</f>
        <v>0</v>
      </c>
      <c r="J22" s="78" t="str">
        <f>'Points System'!I46</f>
        <v/>
      </c>
      <c r="K22" s="78" t="str">
        <f>'Points System'!J88</f>
        <v/>
      </c>
      <c r="L22" s="78" t="str">
        <f>'Points System'!W88</f>
        <v/>
      </c>
      <c r="M22" s="78"/>
      <c r="O22" s="77" t="s">
        <v>113</v>
      </c>
      <c r="P22" s="78">
        <f>'Points System'!N18</f>
        <v>0</v>
      </c>
      <c r="Q22" s="78" t="str">
        <f>'Points System'!U32</f>
        <v/>
      </c>
      <c r="R22" s="78" t="str">
        <f>'Points System'!D60</f>
        <v/>
      </c>
      <c r="S22" s="78" t="str">
        <f>'Points System'!E18</f>
        <v/>
      </c>
      <c r="T22" s="78"/>
    </row>
    <row r="23">
      <c r="A23" s="77" t="s">
        <v>114</v>
      </c>
      <c r="B23" s="78" t="str">
        <f>'Points System'!B61</f>
        <v/>
      </c>
      <c r="C23" s="78">
        <f>'Points System'!I47</f>
        <v>116</v>
      </c>
      <c r="D23" s="78" t="str">
        <f>'Points System'!V61</f>
        <v/>
      </c>
      <c r="E23" s="78">
        <f>'Points System'!AC75</f>
        <v>-32</v>
      </c>
      <c r="F23" s="78"/>
      <c r="H23" s="77" t="s">
        <v>114</v>
      </c>
      <c r="I23" s="78" t="str">
        <f>'Points System'!Z33</f>
        <v/>
      </c>
      <c r="J23" s="78">
        <f>'Points System'!I47</f>
        <v>116</v>
      </c>
      <c r="K23" s="78" t="str">
        <f>'Points System'!J89</f>
        <v/>
      </c>
      <c r="L23" s="78">
        <f>'Points System'!W89</f>
        <v>0</v>
      </c>
      <c r="M23" s="78"/>
      <c r="O23" s="77" t="s">
        <v>114</v>
      </c>
      <c r="P23" s="78" t="str">
        <f>'Points System'!N19</f>
        <v/>
      </c>
      <c r="Q23" s="78">
        <f>'Points System'!U33</f>
        <v>0</v>
      </c>
      <c r="R23" s="78" t="str">
        <f>'Points System'!D61</f>
        <v/>
      </c>
      <c r="S23" s="78">
        <f>'Points System'!E19</f>
        <v>0</v>
      </c>
      <c r="T23" s="78"/>
    </row>
    <row r="24">
      <c r="A24" s="77" t="s">
        <v>115</v>
      </c>
      <c r="B24" s="78" t="str">
        <f>'Points System'!B62</f>
        <v/>
      </c>
      <c r="C24" s="78">
        <f>'Points System'!I48</f>
        <v>0</v>
      </c>
      <c r="D24" s="78" t="str">
        <f>'Points System'!V62</f>
        <v/>
      </c>
      <c r="E24" s="78">
        <f>'Points System'!AC76</f>
        <v>0</v>
      </c>
      <c r="F24" s="78"/>
      <c r="H24" s="77" t="s">
        <v>115</v>
      </c>
      <c r="I24" s="78" t="str">
        <f>'Points System'!Z34</f>
        <v/>
      </c>
      <c r="J24" s="78">
        <f>'Points System'!I48</f>
        <v>0</v>
      </c>
      <c r="K24" s="78" t="str">
        <f>'Points System'!J90</f>
        <v/>
      </c>
      <c r="L24" s="78">
        <f>'Points System'!W90</f>
        <v>0</v>
      </c>
      <c r="M24" s="78"/>
      <c r="O24" s="77" t="s">
        <v>115</v>
      </c>
      <c r="P24" s="78" t="str">
        <f>'Points System'!N20</f>
        <v/>
      </c>
      <c r="Q24" s="78">
        <f>'Points System'!U34</f>
        <v>0</v>
      </c>
      <c r="R24" s="78" t="str">
        <f>'Points System'!D62</f>
        <v/>
      </c>
      <c r="S24" s="78">
        <f>'Points System'!E20</f>
        <v>0</v>
      </c>
      <c r="T24" s="78"/>
    </row>
    <row r="25">
      <c r="A25" s="77" t="s">
        <v>116</v>
      </c>
      <c r="B25" s="78">
        <f>'Points System'!B63</f>
        <v>0</v>
      </c>
      <c r="C25" s="78" t="str">
        <f>'Points System'!I49</f>
        <v/>
      </c>
      <c r="D25" s="78">
        <f>'Points System'!V63</f>
        <v>0</v>
      </c>
      <c r="E25" s="78" t="str">
        <f>'Points System'!AC77</f>
        <v/>
      </c>
      <c r="F25" s="78"/>
      <c r="H25" s="77" t="s">
        <v>116</v>
      </c>
      <c r="I25" s="78">
        <f>'Points System'!Z35</f>
        <v>0</v>
      </c>
      <c r="J25" s="78" t="str">
        <f>'Points System'!I49</f>
        <v/>
      </c>
      <c r="K25" s="78">
        <f>'Points System'!J91</f>
        <v>0</v>
      </c>
      <c r="L25" s="78" t="str">
        <f>'Points System'!W91</f>
        <v/>
      </c>
      <c r="M25" s="78"/>
      <c r="O25" s="77" t="s">
        <v>116</v>
      </c>
      <c r="P25" s="78">
        <f>'Points System'!N21</f>
        <v>0</v>
      </c>
      <c r="Q25" s="78" t="str">
        <f>'Points System'!U35</f>
        <v/>
      </c>
      <c r="R25" s="78">
        <f>'Points System'!D63</f>
        <v>0</v>
      </c>
      <c r="S25" s="78" t="str">
        <f>'Points System'!E21</f>
        <v/>
      </c>
      <c r="T25" s="78"/>
    </row>
    <row r="26">
      <c r="A26" s="77" t="s">
        <v>117</v>
      </c>
      <c r="B26" s="78" t="str">
        <f>'Points System'!B64</f>
        <v/>
      </c>
      <c r="C26" s="78">
        <f>'Points System'!I50</f>
        <v>61</v>
      </c>
      <c r="D26" s="78" t="str">
        <f>'Points System'!V64</f>
        <v/>
      </c>
      <c r="E26" s="78" t="str">
        <f>'Points System'!AC78</f>
        <v/>
      </c>
      <c r="F26" s="78"/>
      <c r="H26" s="77" t="s">
        <v>117</v>
      </c>
      <c r="I26" s="78" t="str">
        <f>'Points System'!Z36</f>
        <v/>
      </c>
      <c r="J26" s="78">
        <f>'Points System'!I50</f>
        <v>61</v>
      </c>
      <c r="K26" s="78" t="str">
        <f>'Points System'!J92</f>
        <v/>
      </c>
      <c r="L26" s="78" t="str">
        <f>'Points System'!W92</f>
        <v/>
      </c>
      <c r="M26" s="78"/>
      <c r="O26" s="77" t="s">
        <v>117</v>
      </c>
      <c r="P26" s="78" t="str">
        <f>'Points System'!N22</f>
        <v/>
      </c>
      <c r="Q26" s="78">
        <f>'Points System'!U36</f>
        <v>0</v>
      </c>
      <c r="R26" s="78" t="str">
        <f>'Points System'!D64</f>
        <v/>
      </c>
      <c r="S26" s="78" t="str">
        <f>'Points System'!E22</f>
        <v/>
      </c>
      <c r="T26" s="78"/>
    </row>
    <row r="27">
      <c r="A27" s="77" t="s">
        <v>118</v>
      </c>
      <c r="B27" s="78" t="str">
        <f>'Points System'!B65</f>
        <v/>
      </c>
      <c r="C27" s="78" t="str">
        <f>'Points System'!I51</f>
        <v/>
      </c>
      <c r="D27" s="78">
        <f>'Points System'!V65</f>
        <v>0</v>
      </c>
      <c r="E27" s="78">
        <f>'Points System'!AC79</f>
        <v>40</v>
      </c>
      <c r="F27" s="78"/>
      <c r="H27" s="77" t="s">
        <v>118</v>
      </c>
      <c r="I27" s="78" t="str">
        <f>'Points System'!Z37</f>
        <v/>
      </c>
      <c r="J27" s="78" t="str">
        <f>'Points System'!I51</f>
        <v/>
      </c>
      <c r="K27" s="78">
        <f>'Points System'!J93</f>
        <v>0</v>
      </c>
      <c r="L27" s="78">
        <f>'Points System'!W93</f>
        <v>0</v>
      </c>
      <c r="M27" s="78"/>
      <c r="O27" s="77" t="s">
        <v>118</v>
      </c>
      <c r="P27" s="78" t="str">
        <f>'Points System'!N23</f>
        <v/>
      </c>
      <c r="Q27" s="78" t="str">
        <f>'Points System'!U37</f>
        <v/>
      </c>
      <c r="R27" s="78">
        <f>'Points System'!D65</f>
        <v>0</v>
      </c>
      <c r="S27" s="78">
        <f>'Points System'!E23</f>
        <v>0</v>
      </c>
      <c r="T27" s="78"/>
    </row>
    <row r="28">
      <c r="A28" s="77" t="s">
        <v>119</v>
      </c>
      <c r="B28" s="78" t="str">
        <f>'Points System'!B66</f>
        <v/>
      </c>
      <c r="C28" s="78">
        <f>'Points System'!I52</f>
        <v>18</v>
      </c>
      <c r="D28" s="78" t="str">
        <f>'Points System'!V66</f>
        <v/>
      </c>
      <c r="E28" s="78">
        <f>'Points System'!AC80</f>
        <v>10</v>
      </c>
      <c r="F28" s="78"/>
      <c r="H28" s="77" t="s">
        <v>119</v>
      </c>
      <c r="I28" s="78" t="str">
        <f>'Points System'!Z38</f>
        <v/>
      </c>
      <c r="J28" s="78">
        <f>'Points System'!I52</f>
        <v>18</v>
      </c>
      <c r="K28" s="78" t="str">
        <f>'Points System'!J94</f>
        <v/>
      </c>
      <c r="L28" s="78">
        <f>'Points System'!W94</f>
        <v>0</v>
      </c>
      <c r="M28" s="78"/>
      <c r="O28" s="77" t="s">
        <v>119</v>
      </c>
      <c r="P28" s="78" t="str">
        <f>'Points System'!N24</f>
        <v/>
      </c>
      <c r="Q28" s="78">
        <f>'Points System'!U38</f>
        <v>0</v>
      </c>
      <c r="R28" s="78" t="str">
        <f>'Points System'!D66</f>
        <v/>
      </c>
      <c r="S28" s="78">
        <f>'Points System'!E24</f>
        <v>0</v>
      </c>
      <c r="T28" s="78"/>
    </row>
    <row r="29">
      <c r="A29" s="77" t="s">
        <v>120</v>
      </c>
      <c r="B29" s="78" t="str">
        <f>'Points System'!B67</f>
        <v/>
      </c>
      <c r="C29" s="78" t="str">
        <f>'Points System'!I53</f>
        <v/>
      </c>
      <c r="D29" s="78">
        <f>'Points System'!V67</f>
        <v>0</v>
      </c>
      <c r="E29" s="78">
        <f>'Points System'!AC81</f>
        <v>8</v>
      </c>
      <c r="F29" s="78"/>
      <c r="H29" s="77" t="s">
        <v>120</v>
      </c>
      <c r="I29" s="78" t="str">
        <f>'Points System'!Z39</f>
        <v/>
      </c>
      <c r="J29" s="78" t="str">
        <f>'Points System'!I53</f>
        <v/>
      </c>
      <c r="K29" s="78">
        <f>'Points System'!J95</f>
        <v>0</v>
      </c>
      <c r="L29" s="78">
        <f>'Points System'!W95</f>
        <v>0</v>
      </c>
      <c r="M29" s="78"/>
      <c r="O29" s="77" t="s">
        <v>120</v>
      </c>
      <c r="P29" s="78" t="str">
        <f>'Points System'!N25</f>
        <v/>
      </c>
      <c r="Q29" s="78" t="str">
        <f>'Points System'!U39</f>
        <v/>
      </c>
      <c r="R29" s="78">
        <f>'Points System'!D67</f>
        <v>0</v>
      </c>
      <c r="S29" s="78">
        <f>'Points System'!E25</f>
        <v>0</v>
      </c>
      <c r="T29" s="78"/>
    </row>
    <row r="30">
      <c r="A30" s="77" t="s">
        <v>121</v>
      </c>
      <c r="B30" s="78">
        <f>'Points System'!B68</f>
        <v>0</v>
      </c>
      <c r="C30" s="78">
        <f>'Points System'!I54</f>
        <v>20</v>
      </c>
      <c r="D30" s="78">
        <f>'Points System'!V68</f>
        <v>0</v>
      </c>
      <c r="E30" s="78">
        <f>'Points System'!AC82</f>
        <v>0</v>
      </c>
      <c r="F30" s="78"/>
      <c r="H30" s="77" t="s">
        <v>121</v>
      </c>
      <c r="I30" s="78">
        <f>'Points System'!Z40</f>
        <v>0</v>
      </c>
      <c r="J30" s="78">
        <f>'Points System'!I54</f>
        <v>20</v>
      </c>
      <c r="K30" s="78">
        <f>'Points System'!J96</f>
        <v>0</v>
      </c>
      <c r="L30" s="78">
        <f>'Points System'!W96</f>
        <v>0</v>
      </c>
      <c r="M30" s="78"/>
      <c r="O30" s="77" t="s">
        <v>121</v>
      </c>
      <c r="P30" s="78">
        <f>'Points System'!N26</f>
        <v>0</v>
      </c>
      <c r="Q30" s="78">
        <f>'Points System'!U40</f>
        <v>0</v>
      </c>
      <c r="R30" s="78">
        <f>'Points System'!D68</f>
        <v>0</v>
      </c>
      <c r="S30" s="78">
        <f>'Points System'!E26</f>
        <v>0</v>
      </c>
      <c r="T30" s="78"/>
    </row>
    <row r="31">
      <c r="A31" s="77" t="s">
        <v>122</v>
      </c>
      <c r="B31" s="79">
        <f t="shared" ref="B31:F31" si="4">SUM(B20:B30)</f>
        <v>0</v>
      </c>
      <c r="C31" s="79">
        <f t="shared" si="4"/>
        <v>215</v>
      </c>
      <c r="D31" s="79">
        <f t="shared" si="4"/>
        <v>0</v>
      </c>
      <c r="E31" s="79">
        <f t="shared" si="4"/>
        <v>56</v>
      </c>
      <c r="F31" s="79">
        <f t="shared" si="4"/>
        <v>0</v>
      </c>
      <c r="H31" s="77" t="s">
        <v>122</v>
      </c>
      <c r="I31" s="79">
        <f t="shared" ref="I31:M31" si="5">SUM(I20:I30)</f>
        <v>0</v>
      </c>
      <c r="J31" s="79">
        <f t="shared" si="5"/>
        <v>215</v>
      </c>
      <c r="K31" s="79">
        <f t="shared" si="5"/>
        <v>0</v>
      </c>
      <c r="L31" s="79">
        <f t="shared" si="5"/>
        <v>0</v>
      </c>
      <c r="M31" s="79">
        <f t="shared" si="5"/>
        <v>0</v>
      </c>
      <c r="O31" s="77" t="s">
        <v>122</v>
      </c>
      <c r="P31" s="80">
        <f t="shared" ref="P31:T31" si="6">SUM(P20:P30)</f>
        <v>0</v>
      </c>
      <c r="Q31" s="80">
        <f t="shared" si="6"/>
        <v>0</v>
      </c>
      <c r="R31" s="80">
        <f t="shared" si="6"/>
        <v>0</v>
      </c>
      <c r="S31" s="80">
        <f t="shared" si="6"/>
        <v>0</v>
      </c>
      <c r="T31" s="80">
        <f t="shared" si="6"/>
        <v>0</v>
      </c>
    </row>
    <row r="32">
      <c r="E32" s="81" t="s">
        <v>123</v>
      </c>
      <c r="F32" s="82">
        <f>SUM(B31:E31)</f>
        <v>271</v>
      </c>
      <c r="L32" s="81" t="s">
        <v>123</v>
      </c>
      <c r="M32" s="82">
        <f>SUM(I31:L31)</f>
        <v>215</v>
      </c>
      <c r="S32" s="81" t="s">
        <v>123</v>
      </c>
      <c r="T32" s="82">
        <f>SUM(P31:S31)</f>
        <v>0</v>
      </c>
    </row>
    <row r="33">
      <c r="A33" s="73" t="s">
        <v>36</v>
      </c>
      <c r="H33" s="73" t="s">
        <v>39</v>
      </c>
      <c r="O33" s="73" t="s">
        <v>41</v>
      </c>
    </row>
    <row r="34">
      <c r="A34" s="74" t="s">
        <v>7</v>
      </c>
      <c r="B34" s="74" t="s">
        <v>94</v>
      </c>
      <c r="C34" s="74" t="s">
        <v>95</v>
      </c>
      <c r="D34" s="74" t="s">
        <v>96</v>
      </c>
      <c r="E34" s="74" t="s">
        <v>97</v>
      </c>
      <c r="F34" s="74" t="s">
        <v>98</v>
      </c>
      <c r="H34" s="74" t="s">
        <v>7</v>
      </c>
      <c r="I34" s="74" t="s">
        <v>94</v>
      </c>
      <c r="J34" s="74" t="s">
        <v>95</v>
      </c>
      <c r="K34" s="74" t="s">
        <v>96</v>
      </c>
      <c r="L34" s="74" t="s">
        <v>97</v>
      </c>
      <c r="M34" s="74" t="s">
        <v>98</v>
      </c>
      <c r="O34" s="74" t="s">
        <v>7</v>
      </c>
      <c r="P34" s="74" t="s">
        <v>94</v>
      </c>
      <c r="Q34" s="74" t="s">
        <v>95</v>
      </c>
      <c r="R34" s="74" t="s">
        <v>96</v>
      </c>
      <c r="S34" s="74" t="s">
        <v>97</v>
      </c>
      <c r="T34" s="74" t="s">
        <v>98</v>
      </c>
    </row>
    <row r="35">
      <c r="A35" s="75" t="s">
        <v>37</v>
      </c>
      <c r="B35" s="75" t="s">
        <v>37</v>
      </c>
      <c r="C35" s="75" t="s">
        <v>131</v>
      </c>
      <c r="D35" s="75" t="s">
        <v>102</v>
      </c>
      <c r="E35" s="75" t="s">
        <v>107</v>
      </c>
      <c r="F35" s="75" t="s">
        <v>106</v>
      </c>
      <c r="G35" s="76"/>
      <c r="H35" s="75" t="s">
        <v>39</v>
      </c>
      <c r="I35" s="75" t="s">
        <v>106</v>
      </c>
      <c r="J35" s="75" t="s">
        <v>124</v>
      </c>
      <c r="K35" s="75" t="s">
        <v>39</v>
      </c>
      <c r="L35" s="75" t="s">
        <v>101</v>
      </c>
      <c r="M35" s="75" t="s">
        <v>107</v>
      </c>
      <c r="N35" s="76"/>
      <c r="O35" s="75" t="s">
        <v>42</v>
      </c>
      <c r="P35" s="75" t="s">
        <v>106</v>
      </c>
      <c r="Q35" s="75" t="s">
        <v>131</v>
      </c>
      <c r="R35" s="75" t="s">
        <v>132</v>
      </c>
      <c r="S35" s="75" t="s">
        <v>133</v>
      </c>
      <c r="T35" s="75" t="s">
        <v>104</v>
      </c>
    </row>
    <row r="36">
      <c r="A36" s="77" t="s">
        <v>108</v>
      </c>
      <c r="B36" s="78">
        <f>'Points System'!B58</f>
        <v>0</v>
      </c>
      <c r="C36" s="78" t="str">
        <f>'Points System'!O86</f>
        <v/>
      </c>
      <c r="D36" s="78" t="str">
        <f>'Points System'!P30</f>
        <v/>
      </c>
      <c r="E36" s="78">
        <f>'Points System'!E86</f>
        <v>0</v>
      </c>
      <c r="F36" s="78" t="s">
        <v>110</v>
      </c>
      <c r="H36" s="77" t="s">
        <v>108</v>
      </c>
      <c r="I36" s="78">
        <f>'Points System'!Z30</f>
        <v>0</v>
      </c>
      <c r="J36" s="78" t="str">
        <f>'Points System'!I44</f>
        <v/>
      </c>
      <c r="K36" s="78" t="str">
        <f>'Points System'!V58</f>
        <v/>
      </c>
      <c r="L36" s="78">
        <f>'Points System'!E16</f>
        <v>0</v>
      </c>
      <c r="M36" s="78" t="s">
        <v>134</v>
      </c>
      <c r="O36" s="77" t="s">
        <v>108</v>
      </c>
      <c r="P36" s="78">
        <f>'Points System'!Z30</f>
        <v>0</v>
      </c>
      <c r="Q36" s="78" t="str">
        <f>'Points System'!O86</f>
        <v/>
      </c>
      <c r="R36" s="78" t="str">
        <f>'Points System'!D44</f>
        <v/>
      </c>
      <c r="S36" s="78">
        <f>'Points System'!W72</f>
        <v>10</v>
      </c>
      <c r="T36" s="78" t="s">
        <v>135</v>
      </c>
    </row>
    <row r="37">
      <c r="A37" s="77" t="s">
        <v>112</v>
      </c>
      <c r="B37" s="78" t="str">
        <f>'Points System'!B59</f>
        <v/>
      </c>
      <c r="C37" s="78" t="str">
        <f>'Points System'!O87</f>
        <v/>
      </c>
      <c r="D37" s="78">
        <f>'Points System'!P31</f>
        <v>0</v>
      </c>
      <c r="E37" s="78" t="str">
        <f>'Points System'!E87</f>
        <v/>
      </c>
      <c r="F37" s="78"/>
      <c r="H37" s="77" t="s">
        <v>112</v>
      </c>
      <c r="I37" s="78" t="str">
        <f>'Points System'!Z31</f>
        <v/>
      </c>
      <c r="J37" s="78" t="str">
        <f>'Points System'!I45</f>
        <v/>
      </c>
      <c r="K37" s="78">
        <f>'Points System'!V59</f>
        <v>0</v>
      </c>
      <c r="L37" s="78" t="str">
        <f>'Points System'!E17</f>
        <v/>
      </c>
      <c r="M37" s="78"/>
      <c r="O37" s="77" t="s">
        <v>112</v>
      </c>
      <c r="P37" s="78" t="str">
        <f>'Points System'!Z31</f>
        <v/>
      </c>
      <c r="Q37" s="78" t="str">
        <f>'Points System'!O87</f>
        <v/>
      </c>
      <c r="R37" s="78">
        <f>'Points System'!D45</f>
        <v>3</v>
      </c>
      <c r="S37" s="78" t="str">
        <f>'Points System'!W73</f>
        <v/>
      </c>
      <c r="T37" s="78"/>
    </row>
    <row r="38">
      <c r="A38" s="77" t="s">
        <v>113</v>
      </c>
      <c r="B38" s="78">
        <f>'Points System'!B60</f>
        <v>0</v>
      </c>
      <c r="C38" s="78" t="str">
        <f>'Points System'!O88</f>
        <v/>
      </c>
      <c r="D38" s="78" t="str">
        <f>'Points System'!P32</f>
        <v/>
      </c>
      <c r="E38" s="78" t="str">
        <f>'Points System'!E88</f>
        <v/>
      </c>
      <c r="F38" s="78"/>
      <c r="H38" s="77" t="s">
        <v>113</v>
      </c>
      <c r="I38" s="78">
        <f>'Points System'!Z32</f>
        <v>0</v>
      </c>
      <c r="J38" s="78" t="str">
        <f>'Points System'!I46</f>
        <v/>
      </c>
      <c r="K38" s="78" t="str">
        <f>'Points System'!V60</f>
        <v/>
      </c>
      <c r="L38" s="78" t="str">
        <f>'Points System'!E18</f>
        <v/>
      </c>
      <c r="M38" s="78"/>
      <c r="O38" s="77" t="s">
        <v>113</v>
      </c>
      <c r="P38" s="78">
        <f>'Points System'!Z32</f>
        <v>0</v>
      </c>
      <c r="Q38" s="78" t="str">
        <f>'Points System'!O88</f>
        <v/>
      </c>
      <c r="R38" s="78" t="str">
        <f>'Points System'!D46</f>
        <v/>
      </c>
      <c r="S38" s="78" t="str">
        <f>'Points System'!W74</f>
        <v/>
      </c>
      <c r="T38" s="78"/>
    </row>
    <row r="39">
      <c r="A39" s="77" t="s">
        <v>114</v>
      </c>
      <c r="B39" s="78" t="str">
        <f>'Points System'!B61</f>
        <v/>
      </c>
      <c r="C39" s="78">
        <f>'Points System'!O89</f>
        <v>0</v>
      </c>
      <c r="D39" s="78" t="str">
        <f>'Points System'!P33</f>
        <v/>
      </c>
      <c r="E39" s="78">
        <f>'Points System'!E89</f>
        <v>0</v>
      </c>
      <c r="F39" s="78"/>
      <c r="H39" s="77" t="s">
        <v>114</v>
      </c>
      <c r="I39" s="78" t="str">
        <f>'Points System'!Z33</f>
        <v/>
      </c>
      <c r="J39" s="78">
        <f>'Points System'!I47</f>
        <v>116</v>
      </c>
      <c r="K39" s="78" t="str">
        <f>'Points System'!V61</f>
        <v/>
      </c>
      <c r="L39" s="78">
        <f>'Points System'!E19</f>
        <v>0</v>
      </c>
      <c r="M39" s="78"/>
      <c r="O39" s="77" t="s">
        <v>114</v>
      </c>
      <c r="P39" s="78" t="str">
        <f>'Points System'!Z33</f>
        <v/>
      </c>
      <c r="Q39" s="78">
        <f>'Points System'!O89</f>
        <v>0</v>
      </c>
      <c r="R39" s="78" t="str">
        <f>'Points System'!D47</f>
        <v/>
      </c>
      <c r="S39" s="78">
        <f>'Points System'!W75</f>
        <v>1</v>
      </c>
      <c r="T39" s="78"/>
    </row>
    <row r="40">
      <c r="A40" s="77" t="s">
        <v>115</v>
      </c>
      <c r="B40" s="78" t="str">
        <f>'Points System'!B62</f>
        <v/>
      </c>
      <c r="C40" s="78">
        <f>'Points System'!O90</f>
        <v>0</v>
      </c>
      <c r="D40" s="78" t="str">
        <f>'Points System'!P34</f>
        <v/>
      </c>
      <c r="E40" s="78">
        <f>'Points System'!E90</f>
        <v>0</v>
      </c>
      <c r="F40" s="78"/>
      <c r="H40" s="77" t="s">
        <v>115</v>
      </c>
      <c r="I40" s="78" t="str">
        <f>'Points System'!Z34</f>
        <v/>
      </c>
      <c r="J40" s="78">
        <f>'Points System'!I48</f>
        <v>0</v>
      </c>
      <c r="K40" s="78" t="str">
        <f>'Points System'!V62</f>
        <v/>
      </c>
      <c r="L40" s="78">
        <f>'Points System'!E20</f>
        <v>0</v>
      </c>
      <c r="M40" s="78"/>
      <c r="O40" s="77" t="s">
        <v>115</v>
      </c>
      <c r="P40" s="78" t="str">
        <f>'Points System'!Z34</f>
        <v/>
      </c>
      <c r="Q40" s="78">
        <f>'Points System'!O90</f>
        <v>0</v>
      </c>
      <c r="R40" s="78" t="str">
        <f>'Points System'!D48</f>
        <v/>
      </c>
      <c r="S40" s="78">
        <f>'Points System'!W76</f>
        <v>0</v>
      </c>
      <c r="T40" s="78"/>
    </row>
    <row r="41">
      <c r="A41" s="77" t="s">
        <v>116</v>
      </c>
      <c r="B41" s="78">
        <f>'Points System'!B63</f>
        <v>0</v>
      </c>
      <c r="C41" s="78" t="str">
        <f>'Points System'!O91</f>
        <v/>
      </c>
      <c r="D41" s="78">
        <f>'Points System'!P35</f>
        <v>0</v>
      </c>
      <c r="E41" s="78" t="str">
        <f>'Points System'!E91</f>
        <v/>
      </c>
      <c r="F41" s="78"/>
      <c r="H41" s="77" t="s">
        <v>116</v>
      </c>
      <c r="I41" s="78">
        <f>'Points System'!Z35</f>
        <v>0</v>
      </c>
      <c r="J41" s="78" t="str">
        <f>'Points System'!I49</f>
        <v/>
      </c>
      <c r="K41" s="78">
        <f>'Points System'!V63</f>
        <v>0</v>
      </c>
      <c r="L41" s="78" t="str">
        <f>'Points System'!E21</f>
        <v/>
      </c>
      <c r="M41" s="78"/>
      <c r="O41" s="77" t="s">
        <v>116</v>
      </c>
      <c r="P41" s="78">
        <f>'Points System'!Z35</f>
        <v>0</v>
      </c>
      <c r="Q41" s="78" t="str">
        <f>'Points System'!O91</f>
        <v/>
      </c>
      <c r="R41" s="78">
        <f>'Points System'!D49</f>
        <v>0</v>
      </c>
      <c r="S41" s="78" t="str">
        <f>'Points System'!W77</f>
        <v/>
      </c>
      <c r="T41" s="78"/>
    </row>
    <row r="42">
      <c r="A42" s="77" t="s">
        <v>117</v>
      </c>
      <c r="B42" s="78" t="str">
        <f>'Points System'!B64</f>
        <v/>
      </c>
      <c r="C42" s="78">
        <f>'Points System'!O92</f>
        <v>0</v>
      </c>
      <c r="D42" s="78" t="str">
        <f>'Points System'!P36</f>
        <v/>
      </c>
      <c r="E42" s="78" t="str">
        <f>'Points System'!E92</f>
        <v/>
      </c>
      <c r="F42" s="78"/>
      <c r="H42" s="77" t="s">
        <v>117</v>
      </c>
      <c r="I42" s="78" t="str">
        <f>'Points System'!Z36</f>
        <v/>
      </c>
      <c r="J42" s="78">
        <f>'Points System'!I50</f>
        <v>61</v>
      </c>
      <c r="K42" s="78" t="str">
        <f>'Points System'!V64</f>
        <v/>
      </c>
      <c r="L42" s="78" t="str">
        <f>'Points System'!E22</f>
        <v/>
      </c>
      <c r="M42" s="78"/>
      <c r="O42" s="77" t="s">
        <v>117</v>
      </c>
      <c r="P42" s="78" t="str">
        <f>'Points System'!Z36</f>
        <v/>
      </c>
      <c r="Q42" s="78">
        <f>'Points System'!O92</f>
        <v>0</v>
      </c>
      <c r="R42" s="78" t="str">
        <f>'Points System'!D50</f>
        <v/>
      </c>
      <c r="S42" s="78" t="str">
        <f>'Points System'!W78</f>
        <v/>
      </c>
      <c r="T42" s="78"/>
    </row>
    <row r="43">
      <c r="A43" s="77" t="s">
        <v>118</v>
      </c>
      <c r="B43" s="78" t="str">
        <f>'Points System'!B65</f>
        <v/>
      </c>
      <c r="C43" s="78" t="str">
        <f>'Points System'!O93</f>
        <v/>
      </c>
      <c r="D43" s="78">
        <f>'Points System'!P37</f>
        <v>0</v>
      </c>
      <c r="E43" s="78">
        <f>'Points System'!E93</f>
        <v>0</v>
      </c>
      <c r="F43" s="78"/>
      <c r="H43" s="77" t="s">
        <v>118</v>
      </c>
      <c r="I43" s="78" t="str">
        <f>'Points System'!Z37</f>
        <v/>
      </c>
      <c r="J43" s="78" t="str">
        <f>'Points System'!I51</f>
        <v/>
      </c>
      <c r="K43" s="78">
        <f>'Points System'!V65</f>
        <v>0</v>
      </c>
      <c r="L43" s="78">
        <f>'Points System'!E23</f>
        <v>0</v>
      </c>
      <c r="M43" s="78"/>
      <c r="O43" s="77" t="s">
        <v>118</v>
      </c>
      <c r="P43" s="78" t="str">
        <f>'Points System'!Z37</f>
        <v/>
      </c>
      <c r="Q43" s="78" t="str">
        <f>'Points System'!O93</f>
        <v/>
      </c>
      <c r="R43" s="78">
        <f>'Points System'!D51</f>
        <v>45</v>
      </c>
      <c r="S43" s="78">
        <f>'Points System'!W79</f>
        <v>10</v>
      </c>
      <c r="T43" s="78"/>
    </row>
    <row r="44">
      <c r="A44" s="77" t="s">
        <v>119</v>
      </c>
      <c r="B44" s="78" t="str">
        <f>'Points System'!B66</f>
        <v/>
      </c>
      <c r="C44" s="78">
        <f>'Points System'!O94</f>
        <v>0</v>
      </c>
      <c r="D44" s="78" t="str">
        <f>'Points System'!P38</f>
        <v/>
      </c>
      <c r="E44" s="78">
        <f>'Points System'!E94</f>
        <v>0</v>
      </c>
      <c r="F44" s="78"/>
      <c r="H44" s="77" t="s">
        <v>119</v>
      </c>
      <c r="I44" s="78" t="str">
        <f>'Points System'!Z38</f>
        <v/>
      </c>
      <c r="J44" s="78">
        <f>'Points System'!I52</f>
        <v>18</v>
      </c>
      <c r="K44" s="78" t="str">
        <f>'Points System'!V66</f>
        <v/>
      </c>
      <c r="L44" s="78">
        <f>'Points System'!E24</f>
        <v>0</v>
      </c>
      <c r="M44" s="78"/>
      <c r="O44" s="77" t="s">
        <v>119</v>
      </c>
      <c r="P44" s="78" t="str">
        <f>'Points System'!Z38</f>
        <v/>
      </c>
      <c r="Q44" s="78">
        <f>'Points System'!O94</f>
        <v>0</v>
      </c>
      <c r="R44" s="78" t="str">
        <f>'Points System'!D52</f>
        <v/>
      </c>
      <c r="S44" s="78">
        <f>'Points System'!W80</f>
        <v>30</v>
      </c>
      <c r="T44" s="78"/>
    </row>
    <row r="45">
      <c r="A45" s="77" t="s">
        <v>120</v>
      </c>
      <c r="B45" s="78" t="str">
        <f>'Points System'!B67</f>
        <v/>
      </c>
      <c r="C45" s="78" t="str">
        <f>'Points System'!O95</f>
        <v/>
      </c>
      <c r="D45" s="78">
        <f>'Points System'!P39</f>
        <v>0</v>
      </c>
      <c r="E45" s="78">
        <f>'Points System'!E95</f>
        <v>0</v>
      </c>
      <c r="F45" s="78"/>
      <c r="H45" s="77" t="s">
        <v>120</v>
      </c>
      <c r="I45" s="78" t="str">
        <f>'Points System'!Z39</f>
        <v/>
      </c>
      <c r="J45" s="78" t="str">
        <f>'Points System'!I53</f>
        <v/>
      </c>
      <c r="K45" s="78">
        <f>'Points System'!V67</f>
        <v>0</v>
      </c>
      <c r="L45" s="78">
        <f>'Points System'!E25</f>
        <v>0</v>
      </c>
      <c r="M45" s="78"/>
      <c r="O45" s="77" t="s">
        <v>120</v>
      </c>
      <c r="P45" s="78" t="str">
        <f>'Points System'!Z39</f>
        <v/>
      </c>
      <c r="Q45" s="78" t="str">
        <f>'Points System'!O95</f>
        <v/>
      </c>
      <c r="R45" s="78">
        <f>'Points System'!D53</f>
        <v>21</v>
      </c>
      <c r="S45" s="78">
        <f>'Points System'!W81</f>
        <v>6</v>
      </c>
      <c r="T45" s="78"/>
    </row>
    <row r="46">
      <c r="A46" s="77" t="s">
        <v>121</v>
      </c>
      <c r="B46" s="78">
        <f>'Points System'!B68</f>
        <v>0</v>
      </c>
      <c r="C46" s="78">
        <f>'Points System'!O96</f>
        <v>0</v>
      </c>
      <c r="D46" s="78">
        <f>'Points System'!P40</f>
        <v>0</v>
      </c>
      <c r="E46" s="78">
        <f>'Points System'!E96</f>
        <v>0</v>
      </c>
      <c r="F46" s="78"/>
      <c r="H46" s="77" t="s">
        <v>121</v>
      </c>
      <c r="I46" s="78">
        <f>'Points System'!Z40</f>
        <v>0</v>
      </c>
      <c r="J46" s="78">
        <f>'Points System'!I54</f>
        <v>20</v>
      </c>
      <c r="K46" s="78">
        <f>'Points System'!V68</f>
        <v>0</v>
      </c>
      <c r="L46" s="78">
        <f>'Points System'!E26</f>
        <v>0</v>
      </c>
      <c r="M46" s="78"/>
      <c r="O46" s="77" t="s">
        <v>121</v>
      </c>
      <c r="P46" s="78">
        <f>'Points System'!Z40</f>
        <v>0</v>
      </c>
      <c r="Q46" s="78">
        <f>'Points System'!O96</f>
        <v>0</v>
      </c>
      <c r="R46" s="78">
        <f>'Points System'!D54</f>
        <v>20</v>
      </c>
      <c r="S46" s="78">
        <f>'Points System'!W82</f>
        <v>0</v>
      </c>
      <c r="T46" s="78"/>
    </row>
    <row r="47">
      <c r="A47" s="77" t="s">
        <v>122</v>
      </c>
      <c r="B47" s="79">
        <f t="shared" ref="B47:F47" si="7">SUM(B36:B46)</f>
        <v>0</v>
      </c>
      <c r="C47" s="79">
        <f t="shared" si="7"/>
        <v>0</v>
      </c>
      <c r="D47" s="79">
        <f t="shared" si="7"/>
        <v>0</v>
      </c>
      <c r="E47" s="79">
        <f t="shared" si="7"/>
        <v>0</v>
      </c>
      <c r="F47" s="79">
        <f t="shared" si="7"/>
        <v>0</v>
      </c>
      <c r="H47" s="77" t="s">
        <v>122</v>
      </c>
      <c r="I47" s="79">
        <f t="shared" ref="I47:M47" si="8">SUM(I36:I46)</f>
        <v>0</v>
      </c>
      <c r="J47" s="79">
        <f t="shared" si="8"/>
        <v>215</v>
      </c>
      <c r="K47" s="79">
        <f t="shared" si="8"/>
        <v>0</v>
      </c>
      <c r="L47" s="79">
        <f t="shared" si="8"/>
        <v>0</v>
      </c>
      <c r="M47" s="79">
        <f t="shared" si="8"/>
        <v>0</v>
      </c>
      <c r="O47" s="77" t="s">
        <v>122</v>
      </c>
      <c r="P47" s="80">
        <f t="shared" ref="P47:T47" si="9">SUM(P36:P46)</f>
        <v>0</v>
      </c>
      <c r="Q47" s="80">
        <f t="shared" si="9"/>
        <v>0</v>
      </c>
      <c r="R47" s="80">
        <f t="shared" si="9"/>
        <v>89</v>
      </c>
      <c r="S47" s="80">
        <f t="shared" si="9"/>
        <v>57</v>
      </c>
      <c r="T47" s="80">
        <f t="shared" si="9"/>
        <v>0</v>
      </c>
    </row>
    <row r="48">
      <c r="E48" s="81" t="s">
        <v>123</v>
      </c>
      <c r="F48" s="82">
        <f>SUM(B47:E47)</f>
        <v>0</v>
      </c>
      <c r="L48" s="81" t="s">
        <v>123</v>
      </c>
      <c r="M48" s="82">
        <f>SUM(I47:L47)</f>
        <v>215</v>
      </c>
      <c r="S48" s="81" t="s">
        <v>123</v>
      </c>
      <c r="T48" s="82">
        <f>SUM(P47:S47)</f>
        <v>146</v>
      </c>
    </row>
    <row r="49">
      <c r="A49" s="73" t="s">
        <v>44</v>
      </c>
      <c r="H49" s="73" t="s">
        <v>47</v>
      </c>
      <c r="O49" s="73" t="s">
        <v>50</v>
      </c>
    </row>
    <row r="50">
      <c r="A50" s="74" t="s">
        <v>7</v>
      </c>
      <c r="B50" s="74" t="s">
        <v>94</v>
      </c>
      <c r="C50" s="74" t="s">
        <v>95</v>
      </c>
      <c r="D50" s="74" t="s">
        <v>96</v>
      </c>
      <c r="E50" s="74" t="s">
        <v>97</v>
      </c>
      <c r="F50" s="74" t="s">
        <v>98</v>
      </c>
      <c r="H50" s="74" t="s">
        <v>7</v>
      </c>
      <c r="I50" s="74" t="s">
        <v>94</v>
      </c>
      <c r="J50" s="74" t="s">
        <v>95</v>
      </c>
      <c r="K50" s="74" t="s">
        <v>96</v>
      </c>
      <c r="L50" s="74" t="s">
        <v>97</v>
      </c>
      <c r="M50" s="74" t="s">
        <v>98</v>
      </c>
      <c r="O50" s="74" t="s">
        <v>7</v>
      </c>
      <c r="P50" s="74" t="s">
        <v>94</v>
      </c>
      <c r="Q50" s="74" t="s">
        <v>95</v>
      </c>
      <c r="R50" s="74" t="s">
        <v>96</v>
      </c>
      <c r="S50" s="74" t="s">
        <v>97</v>
      </c>
      <c r="T50" s="74" t="s">
        <v>98</v>
      </c>
    </row>
    <row r="51">
      <c r="A51" s="75" t="s">
        <v>136</v>
      </c>
      <c r="B51" s="75" t="s">
        <v>106</v>
      </c>
      <c r="C51" s="75" t="s">
        <v>124</v>
      </c>
      <c r="D51" s="75" t="s">
        <v>102</v>
      </c>
      <c r="E51" s="75" t="s">
        <v>104</v>
      </c>
      <c r="F51" s="75" t="s">
        <v>125</v>
      </c>
      <c r="H51" s="75" t="s">
        <v>48</v>
      </c>
      <c r="I51" s="75" t="s">
        <v>39</v>
      </c>
      <c r="J51" s="75" t="s">
        <v>124</v>
      </c>
      <c r="K51" s="75" t="s">
        <v>102</v>
      </c>
      <c r="L51" s="75" t="s">
        <v>48</v>
      </c>
      <c r="M51" s="75" t="s">
        <v>106</v>
      </c>
      <c r="O51" s="75" t="s">
        <v>51</v>
      </c>
      <c r="P51" s="75" t="s">
        <v>105</v>
      </c>
      <c r="Q51" s="75" t="s">
        <v>137</v>
      </c>
      <c r="R51" s="75" t="s">
        <v>28</v>
      </c>
      <c r="S51" s="75" t="s">
        <v>138</v>
      </c>
      <c r="T51" s="75" t="s">
        <v>139</v>
      </c>
    </row>
    <row r="52">
      <c r="A52" s="77" t="s">
        <v>108</v>
      </c>
      <c r="B52" s="78">
        <f>'Points System'!Z30</f>
        <v>0</v>
      </c>
      <c r="C52" s="78" t="str">
        <f>'Points System'!I44</f>
        <v/>
      </c>
      <c r="D52" s="78" t="str">
        <f>'Points System'!P30</f>
        <v/>
      </c>
      <c r="E52" s="78">
        <f>'Points System'!K16</f>
        <v>0</v>
      </c>
      <c r="F52" s="78" t="s">
        <v>129</v>
      </c>
      <c r="H52" s="77" t="s">
        <v>108</v>
      </c>
      <c r="I52" s="78">
        <f>'Points System'!T58</f>
        <v>0</v>
      </c>
      <c r="J52" s="78" t="str">
        <f>'Points System'!I44</f>
        <v/>
      </c>
      <c r="K52" s="78" t="str">
        <f>'Points System'!P30</f>
        <v/>
      </c>
      <c r="L52" s="78">
        <f>'Points System'!W44</f>
        <v>0</v>
      </c>
      <c r="M52" s="78" t="s">
        <v>110</v>
      </c>
      <c r="O52" s="77" t="s">
        <v>108</v>
      </c>
      <c r="P52" s="78">
        <f>'Points System'!T16</f>
        <v>0</v>
      </c>
      <c r="Q52" s="78" t="str">
        <f>'Points System'!O58</f>
        <v/>
      </c>
      <c r="R52" s="78" t="str">
        <f>'Points System'!J58</f>
        <v/>
      </c>
      <c r="S52" s="78">
        <f>'Points System'!E72</f>
        <v>0</v>
      </c>
      <c r="T52" s="78" t="s">
        <v>140</v>
      </c>
    </row>
    <row r="53">
      <c r="A53" s="77" t="s">
        <v>112</v>
      </c>
      <c r="B53" s="78" t="str">
        <f>'Points System'!Z31</f>
        <v/>
      </c>
      <c r="C53" s="78" t="str">
        <f>'Points System'!I45</f>
        <v/>
      </c>
      <c r="D53" s="78">
        <f>'Points System'!P31</f>
        <v>0</v>
      </c>
      <c r="E53" s="78" t="str">
        <f>'Points System'!K17</f>
        <v/>
      </c>
      <c r="F53" s="78"/>
      <c r="H53" s="77" t="s">
        <v>112</v>
      </c>
      <c r="I53" s="78" t="str">
        <f>'Points System'!T59</f>
        <v/>
      </c>
      <c r="J53" s="78" t="str">
        <f>'Points System'!I45</f>
        <v/>
      </c>
      <c r="K53" s="78">
        <f>'Points System'!P31</f>
        <v>0</v>
      </c>
      <c r="L53" s="78" t="str">
        <f>'Points System'!W45</f>
        <v/>
      </c>
      <c r="M53" s="78"/>
      <c r="O53" s="77" t="s">
        <v>112</v>
      </c>
      <c r="P53" s="78" t="str">
        <f>'Points System'!T17</f>
        <v/>
      </c>
      <c r="Q53" s="78" t="str">
        <f>'Points System'!O59</f>
        <v/>
      </c>
      <c r="R53" s="78">
        <f>'Points System'!J59</f>
        <v>0</v>
      </c>
      <c r="S53" s="78" t="str">
        <f>'Points System'!E73</f>
        <v/>
      </c>
      <c r="T53" s="78"/>
    </row>
    <row r="54">
      <c r="A54" s="77" t="s">
        <v>113</v>
      </c>
      <c r="B54" s="78">
        <f>'Points System'!Z32</f>
        <v>0</v>
      </c>
      <c r="C54" s="78" t="str">
        <f>'Points System'!I46</f>
        <v/>
      </c>
      <c r="D54" s="78" t="str">
        <f>'Points System'!P32</f>
        <v/>
      </c>
      <c r="E54" s="78" t="str">
        <f>'Points System'!K18</f>
        <v/>
      </c>
      <c r="F54" s="78"/>
      <c r="H54" s="77" t="s">
        <v>113</v>
      </c>
      <c r="I54" s="78">
        <f>'Points System'!T60</f>
        <v>0</v>
      </c>
      <c r="J54" s="78" t="str">
        <f>'Points System'!I46</f>
        <v/>
      </c>
      <c r="K54" s="78" t="str">
        <f>'Points System'!P32</f>
        <v/>
      </c>
      <c r="L54" s="78" t="str">
        <f>'Points System'!W46</f>
        <v/>
      </c>
      <c r="M54" s="78"/>
      <c r="O54" s="77" t="s">
        <v>113</v>
      </c>
      <c r="P54" s="78">
        <f>'Points System'!T18</f>
        <v>0</v>
      </c>
      <c r="Q54" s="78" t="str">
        <f>'Points System'!O60</f>
        <v/>
      </c>
      <c r="R54" s="78" t="str">
        <f>'Points System'!J60</f>
        <v/>
      </c>
      <c r="S54" s="78" t="str">
        <f>'Points System'!E74</f>
        <v/>
      </c>
      <c r="T54" s="78"/>
    </row>
    <row r="55">
      <c r="A55" s="77" t="s">
        <v>114</v>
      </c>
      <c r="B55" s="78" t="str">
        <f>'Points System'!Z33</f>
        <v/>
      </c>
      <c r="C55" s="78">
        <f>'Points System'!I47</f>
        <v>116</v>
      </c>
      <c r="D55" s="78" t="str">
        <f>'Points System'!P33</f>
        <v/>
      </c>
      <c r="E55" s="78">
        <f>'Points System'!K19</f>
        <v>0</v>
      </c>
      <c r="F55" s="78"/>
      <c r="H55" s="77" t="s">
        <v>114</v>
      </c>
      <c r="I55" s="78" t="str">
        <f>'Points System'!T61</f>
        <v/>
      </c>
      <c r="J55" s="78">
        <f>'Points System'!I47</f>
        <v>116</v>
      </c>
      <c r="K55" s="78" t="str">
        <f>'Points System'!P33</f>
        <v/>
      </c>
      <c r="L55" s="78">
        <f>'Points System'!W47</f>
        <v>-13</v>
      </c>
      <c r="M55" s="78"/>
      <c r="O55" s="77" t="s">
        <v>114</v>
      </c>
      <c r="P55" s="78" t="str">
        <f>'Points System'!T19</f>
        <v/>
      </c>
      <c r="Q55" s="78">
        <f>'Points System'!O61</f>
        <v>0</v>
      </c>
      <c r="R55" s="78" t="str">
        <f>'Points System'!J61</f>
        <v/>
      </c>
      <c r="S55" s="78">
        <f>'Points System'!E75</f>
        <v>0</v>
      </c>
      <c r="T55" s="78"/>
    </row>
    <row r="56">
      <c r="A56" s="77" t="s">
        <v>115</v>
      </c>
      <c r="B56" s="78" t="str">
        <f>'Points System'!Z34</f>
        <v/>
      </c>
      <c r="C56" s="78">
        <f>'Points System'!I48</f>
        <v>0</v>
      </c>
      <c r="D56" s="78" t="str">
        <f>'Points System'!P34</f>
        <v/>
      </c>
      <c r="E56" s="78">
        <f>'Points System'!K20</f>
        <v>0</v>
      </c>
      <c r="F56" s="78"/>
      <c r="H56" s="77" t="s">
        <v>115</v>
      </c>
      <c r="I56" s="78" t="str">
        <f>'Points System'!T62</f>
        <v/>
      </c>
      <c r="J56" s="78">
        <f>'Points System'!I48</f>
        <v>0</v>
      </c>
      <c r="K56" s="78" t="str">
        <f>'Points System'!P34</f>
        <v/>
      </c>
      <c r="L56" s="78">
        <f>'Points System'!W48</f>
        <v>0</v>
      </c>
      <c r="M56" s="78"/>
      <c r="O56" s="77" t="s">
        <v>115</v>
      </c>
      <c r="P56" s="78" t="str">
        <f>'Points System'!T20</f>
        <v/>
      </c>
      <c r="Q56" s="78">
        <f>'Points System'!O62</f>
        <v>0</v>
      </c>
      <c r="R56" s="78" t="str">
        <f>'Points System'!J62</f>
        <v/>
      </c>
      <c r="S56" s="78">
        <f>'Points System'!E76</f>
        <v>0</v>
      </c>
      <c r="T56" s="78"/>
    </row>
    <row r="57">
      <c r="A57" s="77" t="s">
        <v>116</v>
      </c>
      <c r="B57" s="78">
        <f>'Points System'!Z35</f>
        <v>0</v>
      </c>
      <c r="C57" s="78" t="str">
        <f>'Points System'!I49</f>
        <v/>
      </c>
      <c r="D57" s="78">
        <f>'Points System'!P35</f>
        <v>0</v>
      </c>
      <c r="E57" s="78" t="str">
        <f>'Points System'!K21</f>
        <v/>
      </c>
      <c r="F57" s="78"/>
      <c r="H57" s="77" t="s">
        <v>116</v>
      </c>
      <c r="I57" s="78">
        <f>'Points System'!T63</f>
        <v>0</v>
      </c>
      <c r="J57" s="78" t="str">
        <f>'Points System'!I49</f>
        <v/>
      </c>
      <c r="K57" s="78">
        <f>'Points System'!P35</f>
        <v>0</v>
      </c>
      <c r="L57" s="78" t="str">
        <f>'Points System'!W49</f>
        <v/>
      </c>
      <c r="M57" s="78"/>
      <c r="O57" s="77" t="s">
        <v>116</v>
      </c>
      <c r="P57" s="78">
        <f>'Points System'!T21</f>
        <v>0</v>
      </c>
      <c r="Q57" s="78" t="str">
        <f>'Points System'!O63</f>
        <v/>
      </c>
      <c r="R57" s="78">
        <f>'Points System'!J63</f>
        <v>0</v>
      </c>
      <c r="S57" s="78" t="str">
        <f>'Points System'!E77</f>
        <v/>
      </c>
      <c r="T57" s="78"/>
    </row>
    <row r="58">
      <c r="A58" s="77" t="s">
        <v>117</v>
      </c>
      <c r="B58" s="78" t="str">
        <f>'Points System'!Z36</f>
        <v/>
      </c>
      <c r="C58" s="78">
        <f>'Points System'!I50</f>
        <v>61</v>
      </c>
      <c r="D58" s="78" t="str">
        <f>'Points System'!P36</f>
        <v/>
      </c>
      <c r="E58" s="78" t="str">
        <f>'Points System'!K22</f>
        <v/>
      </c>
      <c r="F58" s="78"/>
      <c r="H58" s="77" t="s">
        <v>117</v>
      </c>
      <c r="I58" s="78" t="str">
        <f>'Points System'!T64</f>
        <v/>
      </c>
      <c r="J58" s="78">
        <f>'Points System'!I50</f>
        <v>61</v>
      </c>
      <c r="K58" s="78" t="str">
        <f>'Points System'!P36</f>
        <v/>
      </c>
      <c r="L58" s="78" t="str">
        <f>'Points System'!W50</f>
        <v/>
      </c>
      <c r="M58" s="78"/>
      <c r="O58" s="77" t="s">
        <v>117</v>
      </c>
      <c r="P58" s="78" t="str">
        <f>'Points System'!T22</f>
        <v/>
      </c>
      <c r="Q58" s="78">
        <f>'Points System'!O64</f>
        <v>0</v>
      </c>
      <c r="R58" s="78" t="str">
        <f>'Points System'!J64</f>
        <v/>
      </c>
      <c r="S58" s="78" t="str">
        <f>'Points System'!E78</f>
        <v/>
      </c>
      <c r="T58" s="78"/>
    </row>
    <row r="59">
      <c r="A59" s="77" t="s">
        <v>118</v>
      </c>
      <c r="B59" s="78" t="str">
        <f>'Points System'!Z37</f>
        <v/>
      </c>
      <c r="C59" s="78" t="str">
        <f>'Points System'!I51</f>
        <v/>
      </c>
      <c r="D59" s="78">
        <f>'Points System'!P37</f>
        <v>0</v>
      </c>
      <c r="E59" s="78">
        <f>'Points System'!K23</f>
        <v>0</v>
      </c>
      <c r="F59" s="78"/>
      <c r="H59" s="77" t="s">
        <v>118</v>
      </c>
      <c r="I59" s="78" t="str">
        <f>'Points System'!T65</f>
        <v/>
      </c>
      <c r="J59" s="78" t="str">
        <f>'Points System'!I51</f>
        <v/>
      </c>
      <c r="K59" s="78">
        <f>'Points System'!P37</f>
        <v>0</v>
      </c>
      <c r="L59" s="78">
        <f>'Points System'!W51</f>
        <v>20</v>
      </c>
      <c r="M59" s="78"/>
      <c r="O59" s="77" t="s">
        <v>118</v>
      </c>
      <c r="P59" s="78" t="str">
        <f>'Points System'!T23</f>
        <v/>
      </c>
      <c r="Q59" s="78" t="str">
        <f>'Points System'!O65</f>
        <v/>
      </c>
      <c r="R59" s="78">
        <f>'Points System'!J65</f>
        <v>0</v>
      </c>
      <c r="S59" s="78">
        <f>'Points System'!E79</f>
        <v>0</v>
      </c>
      <c r="T59" s="78"/>
    </row>
    <row r="60">
      <c r="A60" s="77" t="s">
        <v>119</v>
      </c>
      <c r="B60" s="78" t="str">
        <f>'Points System'!Z38</f>
        <v/>
      </c>
      <c r="C60" s="78">
        <f>'Points System'!I52</f>
        <v>18</v>
      </c>
      <c r="D60" s="78" t="str">
        <f>'Points System'!P38</f>
        <v/>
      </c>
      <c r="E60" s="78">
        <f>'Points System'!K24</f>
        <v>0</v>
      </c>
      <c r="F60" s="78"/>
      <c r="H60" s="77" t="s">
        <v>119</v>
      </c>
      <c r="I60" s="78" t="str">
        <f>'Points System'!T66</f>
        <v/>
      </c>
      <c r="J60" s="78">
        <f>'Points System'!I52</f>
        <v>18</v>
      </c>
      <c r="K60" s="78" t="str">
        <f>'Points System'!P38</f>
        <v/>
      </c>
      <c r="L60" s="78">
        <f>'Points System'!W52</f>
        <v>12</v>
      </c>
      <c r="M60" s="78"/>
      <c r="O60" s="77" t="s">
        <v>119</v>
      </c>
      <c r="P60" s="78" t="str">
        <f>'Points System'!T24</f>
        <v/>
      </c>
      <c r="Q60" s="78">
        <f>'Points System'!O66</f>
        <v>0</v>
      </c>
      <c r="R60" s="78" t="str">
        <f>'Points System'!J66</f>
        <v/>
      </c>
      <c r="S60" s="78">
        <f>'Points System'!E80</f>
        <v>0</v>
      </c>
      <c r="T60" s="78"/>
    </row>
    <row r="61">
      <c r="A61" s="77" t="s">
        <v>120</v>
      </c>
      <c r="B61" s="78" t="str">
        <f>'Points System'!Z39</f>
        <v/>
      </c>
      <c r="C61" s="78" t="str">
        <f>'Points System'!I53</f>
        <v/>
      </c>
      <c r="D61" s="78">
        <f>'Points System'!P39</f>
        <v>0</v>
      </c>
      <c r="E61" s="78">
        <f>'Points System'!K25</f>
        <v>0</v>
      </c>
      <c r="F61" s="78"/>
      <c r="H61" s="77" t="s">
        <v>120</v>
      </c>
      <c r="I61" s="78" t="str">
        <f>'Points System'!T67</f>
        <v/>
      </c>
      <c r="J61" s="78" t="str">
        <f>'Points System'!I53</f>
        <v/>
      </c>
      <c r="K61" s="78">
        <f>'Points System'!P39</f>
        <v>0</v>
      </c>
      <c r="L61" s="78">
        <f>'Points System'!W53</f>
        <v>10</v>
      </c>
      <c r="M61" s="78"/>
      <c r="O61" s="77" t="s">
        <v>120</v>
      </c>
      <c r="P61" s="78" t="str">
        <f>'Points System'!T25</f>
        <v/>
      </c>
      <c r="Q61" s="78" t="str">
        <f>'Points System'!O67</f>
        <v/>
      </c>
      <c r="R61" s="78">
        <f>'Points System'!J67</f>
        <v>0</v>
      </c>
      <c r="S61" s="78">
        <f>'Points System'!E81</f>
        <v>0</v>
      </c>
      <c r="T61" s="78"/>
    </row>
    <row r="62">
      <c r="A62" s="77" t="s">
        <v>121</v>
      </c>
      <c r="B62" s="78">
        <f>'Points System'!Z40</f>
        <v>0</v>
      </c>
      <c r="C62" s="78">
        <f>'Points System'!I54</f>
        <v>20</v>
      </c>
      <c r="D62" s="78">
        <f>'Points System'!P40</f>
        <v>0</v>
      </c>
      <c r="E62" s="78">
        <f>'Points System'!K26</f>
        <v>0</v>
      </c>
      <c r="F62" s="78"/>
      <c r="H62" s="77" t="s">
        <v>121</v>
      </c>
      <c r="I62" s="78">
        <f>'Points System'!T68</f>
        <v>0</v>
      </c>
      <c r="J62" s="78">
        <f>'Points System'!I54</f>
        <v>20</v>
      </c>
      <c r="K62" s="78">
        <f>'Points System'!P40</f>
        <v>0</v>
      </c>
      <c r="L62" s="78">
        <f>'Points System'!W54</f>
        <v>20</v>
      </c>
      <c r="M62" s="78"/>
      <c r="O62" s="77" t="s">
        <v>121</v>
      </c>
      <c r="P62" s="78">
        <f>'Points System'!T26</f>
        <v>0</v>
      </c>
      <c r="Q62" s="78">
        <f>'Points System'!O68</f>
        <v>0</v>
      </c>
      <c r="R62" s="78">
        <f>'Points System'!J68</f>
        <v>0</v>
      </c>
      <c r="S62" s="78">
        <f>'Points System'!E82</f>
        <v>0</v>
      </c>
      <c r="T62" s="78"/>
    </row>
    <row r="63">
      <c r="A63" s="77" t="s">
        <v>122</v>
      </c>
      <c r="B63" s="79">
        <f t="shared" ref="B63:F63" si="10">SUM(B52:B62)</f>
        <v>0</v>
      </c>
      <c r="C63" s="79">
        <f t="shared" si="10"/>
        <v>215</v>
      </c>
      <c r="D63" s="79">
        <f t="shared" si="10"/>
        <v>0</v>
      </c>
      <c r="E63" s="79">
        <f t="shared" si="10"/>
        <v>0</v>
      </c>
      <c r="F63" s="79">
        <f t="shared" si="10"/>
        <v>0</v>
      </c>
      <c r="H63" s="77" t="s">
        <v>122</v>
      </c>
      <c r="I63" s="79">
        <f t="shared" ref="I63:M63" si="11">SUM(I52:I62)</f>
        <v>0</v>
      </c>
      <c r="J63" s="79">
        <f t="shared" si="11"/>
        <v>215</v>
      </c>
      <c r="K63" s="79">
        <f t="shared" si="11"/>
        <v>0</v>
      </c>
      <c r="L63" s="79">
        <f t="shared" si="11"/>
        <v>49</v>
      </c>
      <c r="M63" s="79">
        <f t="shared" si="11"/>
        <v>0</v>
      </c>
      <c r="O63" s="77" t="s">
        <v>122</v>
      </c>
      <c r="P63" s="79">
        <f t="shared" ref="P63:T63" si="12">SUM(P52:P62)</f>
        <v>0</v>
      </c>
      <c r="Q63" s="79">
        <f t="shared" si="12"/>
        <v>0</v>
      </c>
      <c r="R63" s="79">
        <f t="shared" si="12"/>
        <v>0</v>
      </c>
      <c r="S63" s="79">
        <f t="shared" si="12"/>
        <v>0</v>
      </c>
      <c r="T63" s="79">
        <f t="shared" si="12"/>
        <v>0</v>
      </c>
    </row>
    <row r="64">
      <c r="E64" s="81" t="s">
        <v>123</v>
      </c>
      <c r="F64" s="82">
        <f>SUM(B63:E63)</f>
        <v>215</v>
      </c>
      <c r="L64" s="81" t="s">
        <v>123</v>
      </c>
      <c r="M64" s="82">
        <f>SUM(I63:L63)</f>
        <v>264</v>
      </c>
      <c r="S64" s="81" t="s">
        <v>123</v>
      </c>
      <c r="T64" s="82">
        <f>SUM(P63:S63)</f>
        <v>0</v>
      </c>
    </row>
  </sheetData>
  <mergeCells count="12">
    <mergeCell ref="H33:M33"/>
    <mergeCell ref="O33:T33"/>
    <mergeCell ref="A49:F49"/>
    <mergeCell ref="H49:M49"/>
    <mergeCell ref="O49:T49"/>
    <mergeCell ref="A1:F1"/>
    <mergeCell ref="H1:M1"/>
    <mergeCell ref="O1:T1"/>
    <mergeCell ref="A17:F17"/>
    <mergeCell ref="H17:M17"/>
    <mergeCell ref="O17:T17"/>
    <mergeCell ref="A33:F3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0.5"/>
    <col customWidth="1" min="2" max="2" width="18.88"/>
    <col customWidth="1" min="3" max="17" width="8.25"/>
    <col customWidth="1" min="18" max="18" width="0.5"/>
    <col customWidth="1" min="19" max="23" width="8.25"/>
  </cols>
  <sheetData>
    <row r="1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 t="s">
        <v>141</v>
      </c>
      <c r="O1" s="83"/>
      <c r="P1" s="83"/>
      <c r="Q1" s="83"/>
      <c r="R1" s="83"/>
      <c r="S1" s="83"/>
      <c r="T1" s="83"/>
      <c r="U1" s="83"/>
      <c r="V1" s="83"/>
      <c r="W1" s="83"/>
    </row>
    <row r="2">
      <c r="A2" s="84"/>
      <c r="B2" s="85" t="s">
        <v>142</v>
      </c>
      <c r="C2" s="86" t="s">
        <v>143</v>
      </c>
      <c r="D2" s="86" t="s">
        <v>108</v>
      </c>
      <c r="E2" s="86" t="s">
        <v>144</v>
      </c>
      <c r="F2" s="86" t="s">
        <v>145</v>
      </c>
      <c r="G2" s="86" t="s">
        <v>146</v>
      </c>
      <c r="H2" s="86" t="s">
        <v>112</v>
      </c>
      <c r="I2" s="86" t="s">
        <v>113</v>
      </c>
      <c r="J2" s="86" t="s">
        <v>147</v>
      </c>
      <c r="K2" s="86" t="s">
        <v>115</v>
      </c>
      <c r="L2" s="87" t="s">
        <v>116</v>
      </c>
      <c r="M2" s="87" t="s">
        <v>117</v>
      </c>
      <c r="N2" s="87" t="s">
        <v>118</v>
      </c>
      <c r="O2" s="87" t="s">
        <v>119</v>
      </c>
      <c r="P2" s="87" t="s">
        <v>120</v>
      </c>
      <c r="Q2" s="87" t="s">
        <v>121</v>
      </c>
      <c r="R2" s="88"/>
      <c r="S2" s="87" t="s">
        <v>94</v>
      </c>
      <c r="T2" s="87" t="s">
        <v>95</v>
      </c>
      <c r="U2" s="87" t="s">
        <v>96</v>
      </c>
      <c r="V2" s="87" t="s">
        <v>97</v>
      </c>
      <c r="W2" s="87" t="s">
        <v>148</v>
      </c>
    </row>
    <row r="3" ht="12.75" customHeight="1">
      <c r="A3" s="89"/>
      <c r="B3" s="90" t="s">
        <v>101</v>
      </c>
      <c r="C3" s="91">
        <f>'W1 Stats'!C3+'W2 Stats'!C3+'W3 Stats'!C3+'W4 Stats'!C3</f>
        <v>0</v>
      </c>
      <c r="D3" s="91">
        <f>'W1 Stats'!D3+'W2 Stats'!D3+'W3 Stats'!D3+'W4 Stats'!D3</f>
        <v>0</v>
      </c>
      <c r="E3" s="91">
        <f>'W1 Stats'!E3+'W2 Stats'!E3+'W3 Stats'!E3+'W4 Stats'!E3</f>
        <v>0</v>
      </c>
      <c r="F3" s="91">
        <f>'W1 Stats'!F3+'W2 Stats'!F3+'W3 Stats'!F3+'W4 Stats'!F3</f>
        <v>0</v>
      </c>
      <c r="G3" s="91">
        <f>'W1 Stats'!G3+'W2 Stats'!G3+'W3 Stats'!G3+'W4 Stats'!G3</f>
        <v>0</v>
      </c>
      <c r="H3" s="91">
        <f>'W1 Stats'!H3+'W2 Stats'!H3+'W3 Stats'!H3+'W4 Stats'!H3</f>
        <v>0</v>
      </c>
      <c r="I3" s="91">
        <f>'W1 Stats'!I3+'W2 Stats'!I3+'W3 Stats'!I3+'W4 Stats'!I3</f>
        <v>0</v>
      </c>
      <c r="J3" s="91">
        <f>'W1 Stats'!J3+'W2 Stats'!J3+'W3 Stats'!J3+'W4 Stats'!J3</f>
        <v>0</v>
      </c>
      <c r="K3" s="91">
        <f>'W1 Stats'!K3+'W2 Stats'!K3+'W3 Stats'!K3+'W4 Stats'!K3</f>
        <v>0</v>
      </c>
      <c r="L3" s="91">
        <f>'W1 Stats'!L3+'W2 Stats'!L3+'W3 Stats'!L3+'W4 Stats'!L3</f>
        <v>0</v>
      </c>
      <c r="M3" s="91">
        <f>'W1 Stats'!M3+'W2 Stats'!M3+'W3 Stats'!M3+'W4 Stats'!M3</f>
        <v>0</v>
      </c>
      <c r="N3" s="91">
        <f>'W1 Stats'!N3+'W2 Stats'!N3+'W3 Stats'!N3+'W4 Stats'!N3</f>
        <v>0</v>
      </c>
      <c r="O3" s="91">
        <f>'W1 Stats'!O3+'W2 Stats'!O3+'W3 Stats'!O3+'W4 Stats'!O3</f>
        <v>0</v>
      </c>
      <c r="P3" s="91">
        <f>'W1 Stats'!P3+'W2 Stats'!P3+'W3 Stats'!P3+'W4 Stats'!P3</f>
        <v>0</v>
      </c>
      <c r="Q3" s="91">
        <f>'W1 Stats'!Q3+'W2 Stats'!Q3+'W3 Stats'!Q3+'W4 Stats'!Q3</f>
        <v>0</v>
      </c>
      <c r="R3" s="92"/>
      <c r="S3" s="93">
        <f>'Points System'!B27</f>
        <v>0</v>
      </c>
      <c r="T3" s="93">
        <f>'Points System'!C27</f>
        <v>0</v>
      </c>
      <c r="U3" s="93">
        <f>'Points System'!D27</f>
        <v>0</v>
      </c>
      <c r="V3" s="93">
        <f>'Points System'!E27</f>
        <v>0</v>
      </c>
      <c r="W3" s="93">
        <f t="shared" ref="W3:W23" si="1">SUM(S3:V3)</f>
        <v>0</v>
      </c>
    </row>
    <row r="4" ht="12.75" customHeight="1">
      <c r="A4" s="89"/>
      <c r="B4" s="90" t="s">
        <v>104</v>
      </c>
      <c r="C4" s="91">
        <f>'W1 Stats'!C4+'W2 Stats'!C4+'W3 Stats'!C4+'W4 Stats'!C4</f>
        <v>0</v>
      </c>
      <c r="D4" s="91">
        <f>'W1 Stats'!D4+'W2 Stats'!D4+'W3 Stats'!D4+'W4 Stats'!D4</f>
        <v>0</v>
      </c>
      <c r="E4" s="91">
        <f>'W1 Stats'!E4+'W2 Stats'!E4+'W3 Stats'!E4+'W4 Stats'!E4</f>
        <v>0</v>
      </c>
      <c r="F4" s="91">
        <f>'W1 Stats'!F4+'W2 Stats'!F4+'W3 Stats'!F4+'W4 Stats'!F4</f>
        <v>0</v>
      </c>
      <c r="G4" s="91">
        <f>'W1 Stats'!G4+'W2 Stats'!G4+'W3 Stats'!G4+'W4 Stats'!G4</f>
        <v>0</v>
      </c>
      <c r="H4" s="91">
        <f>'W1 Stats'!H4+'W2 Stats'!H4+'W3 Stats'!H4+'W4 Stats'!H4</f>
        <v>0</v>
      </c>
      <c r="I4" s="91">
        <f>'W1 Stats'!I4+'W2 Stats'!I4+'W3 Stats'!I4+'W4 Stats'!I4</f>
        <v>0</v>
      </c>
      <c r="J4" s="91">
        <f>'W1 Stats'!J4+'W2 Stats'!J4+'W3 Stats'!J4+'W4 Stats'!J4</f>
        <v>0</v>
      </c>
      <c r="K4" s="91">
        <f>'W1 Stats'!K4+'W2 Stats'!K4+'W3 Stats'!K4+'W4 Stats'!K4</f>
        <v>0</v>
      </c>
      <c r="L4" s="91">
        <f>'W1 Stats'!L4+'W2 Stats'!L4+'W3 Stats'!L4+'W4 Stats'!L4</f>
        <v>0</v>
      </c>
      <c r="M4" s="91">
        <f>'W1 Stats'!M4+'W2 Stats'!M4+'W3 Stats'!M4+'W4 Stats'!M4</f>
        <v>0</v>
      </c>
      <c r="N4" s="91">
        <f>'W1 Stats'!N4+'W2 Stats'!N4+'W3 Stats'!N4+'W4 Stats'!N4</f>
        <v>0</v>
      </c>
      <c r="O4" s="91">
        <f>'W1 Stats'!O4+'W2 Stats'!O4+'W3 Stats'!O4+'W4 Stats'!O4</f>
        <v>0</v>
      </c>
      <c r="P4" s="91">
        <f>'W1 Stats'!P4+'W2 Stats'!P4+'W3 Stats'!P4+'W4 Stats'!P4</f>
        <v>0</v>
      </c>
      <c r="Q4" s="91">
        <f>'W1 Stats'!Q4+'W2 Stats'!Q4+'W3 Stats'!Q4+'W4 Stats'!Q4</f>
        <v>0</v>
      </c>
      <c r="R4" s="92"/>
      <c r="S4" s="93">
        <f>'Points System'!H27</f>
        <v>0</v>
      </c>
      <c r="T4" s="93">
        <f>'Points System'!I27</f>
        <v>0</v>
      </c>
      <c r="U4" s="93">
        <f>'Points System'!J27</f>
        <v>0</v>
      </c>
      <c r="V4" s="93">
        <f>'Points System'!K27</f>
        <v>0</v>
      </c>
      <c r="W4" s="93">
        <f t="shared" si="1"/>
        <v>0</v>
      </c>
    </row>
    <row r="5" ht="12.75" customHeight="1">
      <c r="A5" s="89"/>
      <c r="B5" s="90" t="s">
        <v>127</v>
      </c>
      <c r="C5" s="91">
        <f>'W1 Stats'!C5+'W2 Stats'!C5+'W3 Stats'!C5+'W4 Stats'!C5</f>
        <v>0</v>
      </c>
      <c r="D5" s="91">
        <f>'W1 Stats'!D5+'W2 Stats'!D5+'W3 Stats'!D5+'W4 Stats'!D5</f>
        <v>0</v>
      </c>
      <c r="E5" s="91">
        <f>'W1 Stats'!E5+'W2 Stats'!E5+'W3 Stats'!E5+'W4 Stats'!E5</f>
        <v>0</v>
      </c>
      <c r="F5" s="91">
        <f>'W1 Stats'!F5+'W2 Stats'!F5+'W3 Stats'!F5+'W4 Stats'!F5</f>
        <v>0</v>
      </c>
      <c r="G5" s="91">
        <f>'W1 Stats'!G5+'W2 Stats'!G5+'W3 Stats'!G5+'W4 Stats'!G5</f>
        <v>0</v>
      </c>
      <c r="H5" s="91">
        <f>'W1 Stats'!H5+'W2 Stats'!H5+'W3 Stats'!H5+'W4 Stats'!H5</f>
        <v>0</v>
      </c>
      <c r="I5" s="91">
        <f>'W1 Stats'!I5+'W2 Stats'!I5+'W3 Stats'!I5+'W4 Stats'!I5</f>
        <v>0</v>
      </c>
      <c r="J5" s="91">
        <f>'W1 Stats'!J5+'W2 Stats'!J5+'W3 Stats'!J5+'W4 Stats'!J5</f>
        <v>0</v>
      </c>
      <c r="K5" s="91">
        <f>'W1 Stats'!K5+'W2 Stats'!K5+'W3 Stats'!K5+'W4 Stats'!K5</f>
        <v>0</v>
      </c>
      <c r="L5" s="91">
        <f>'W1 Stats'!L5+'W2 Stats'!L5+'W3 Stats'!L5+'W4 Stats'!L5</f>
        <v>0</v>
      </c>
      <c r="M5" s="91">
        <f>'W1 Stats'!M5+'W2 Stats'!M5+'W3 Stats'!M5+'W4 Stats'!M5</f>
        <v>0</v>
      </c>
      <c r="N5" s="91">
        <f>'W1 Stats'!N5+'W2 Stats'!N5+'W3 Stats'!N5+'W4 Stats'!N5</f>
        <v>0</v>
      </c>
      <c r="O5" s="91">
        <f>'W1 Stats'!O5+'W2 Stats'!O5+'W3 Stats'!O5+'W4 Stats'!O5</f>
        <v>0</v>
      </c>
      <c r="P5" s="91">
        <f>'W1 Stats'!P5+'W2 Stats'!P5+'W3 Stats'!P5+'W4 Stats'!P5</f>
        <v>0</v>
      </c>
      <c r="Q5" s="91">
        <f>'W1 Stats'!Q5+'W2 Stats'!Q5+'W3 Stats'!Q5+'W4 Stats'!Q5</f>
        <v>0</v>
      </c>
      <c r="R5" s="92"/>
      <c r="S5" s="93">
        <f>'Points System'!N27</f>
        <v>0</v>
      </c>
      <c r="T5" s="93">
        <f>'Points System'!O27</f>
        <v>0</v>
      </c>
      <c r="U5" s="93">
        <f>'Points System'!P27</f>
        <v>0</v>
      </c>
      <c r="V5" s="93">
        <f>'Points System'!Q27</f>
        <v>0</v>
      </c>
      <c r="W5" s="93">
        <f t="shared" si="1"/>
        <v>0</v>
      </c>
    </row>
    <row r="6" ht="12.75" customHeight="1">
      <c r="A6" s="89"/>
      <c r="B6" s="90" t="s">
        <v>105</v>
      </c>
      <c r="C6" s="91">
        <f>'W1 Stats'!C6+'W2 Stats'!C6+'W3 Stats'!C6+'W4 Stats'!C6</f>
        <v>0</v>
      </c>
      <c r="D6" s="91">
        <f>'W1 Stats'!D6+'W2 Stats'!D6+'W3 Stats'!D6+'W4 Stats'!D6</f>
        <v>0</v>
      </c>
      <c r="E6" s="91">
        <f>'W1 Stats'!E6+'W2 Stats'!E6+'W3 Stats'!E6+'W4 Stats'!E6</f>
        <v>0</v>
      </c>
      <c r="F6" s="91">
        <f>'W1 Stats'!F6+'W2 Stats'!F6+'W3 Stats'!F6+'W4 Stats'!F6</f>
        <v>0</v>
      </c>
      <c r="G6" s="91">
        <f>'W1 Stats'!G6+'W2 Stats'!G6+'W3 Stats'!G6+'W4 Stats'!G6</f>
        <v>0</v>
      </c>
      <c r="H6" s="91">
        <f>'W1 Stats'!H6+'W2 Stats'!H6+'W3 Stats'!H6+'W4 Stats'!H6</f>
        <v>0</v>
      </c>
      <c r="I6" s="91">
        <f>'W1 Stats'!I6+'W2 Stats'!I6+'W3 Stats'!I6+'W4 Stats'!I6</f>
        <v>0</v>
      </c>
      <c r="J6" s="91">
        <f>'W1 Stats'!J6+'W2 Stats'!J6+'W3 Stats'!J6+'W4 Stats'!J6</f>
        <v>0</v>
      </c>
      <c r="K6" s="91">
        <f>'W1 Stats'!K6+'W2 Stats'!K6+'W3 Stats'!K6+'W4 Stats'!K6</f>
        <v>0</v>
      </c>
      <c r="L6" s="91">
        <f>'W1 Stats'!L6+'W2 Stats'!L6+'W3 Stats'!L6+'W4 Stats'!L6</f>
        <v>0</v>
      </c>
      <c r="M6" s="91">
        <f>'W1 Stats'!M6+'W2 Stats'!M6+'W3 Stats'!M6+'W4 Stats'!M6</f>
        <v>0</v>
      </c>
      <c r="N6" s="91">
        <f>'W1 Stats'!N6+'W2 Stats'!N6+'W3 Stats'!N6+'W4 Stats'!N6</f>
        <v>0</v>
      </c>
      <c r="O6" s="91">
        <f>'W1 Stats'!O6+'W2 Stats'!O6+'W3 Stats'!O6+'W4 Stats'!O6</f>
        <v>0</v>
      </c>
      <c r="P6" s="91">
        <f>'W1 Stats'!P6+'W2 Stats'!P6+'W3 Stats'!P6+'W4 Stats'!P6</f>
        <v>0</v>
      </c>
      <c r="Q6" s="91">
        <f>'W1 Stats'!Q6+'W2 Stats'!Q6+'W3 Stats'!Q6+'W4 Stats'!Q6</f>
        <v>0</v>
      </c>
      <c r="R6" s="92"/>
      <c r="S6" s="93">
        <f>'Points System'!T27</f>
        <v>0</v>
      </c>
      <c r="T6" s="93">
        <f>'Points System'!U27</f>
        <v>0</v>
      </c>
      <c r="U6" s="93">
        <f>'Points System'!V27</f>
        <v>0</v>
      </c>
      <c r="V6" s="93">
        <f>'Points System'!W27</f>
        <v>0</v>
      </c>
      <c r="W6" s="93">
        <f t="shared" si="1"/>
        <v>0</v>
      </c>
    </row>
    <row r="7" ht="12.75" customHeight="1">
      <c r="A7" s="89"/>
      <c r="B7" s="90" t="s">
        <v>149</v>
      </c>
      <c r="C7" s="91">
        <f>'W1 Stats'!C7+'W2 Stats'!C7+'W3 Stats'!C7+'W4 Stats'!C7</f>
        <v>0</v>
      </c>
      <c r="D7" s="91">
        <f>'W1 Stats'!D7+'W2 Stats'!D7+'W3 Stats'!D7+'W4 Stats'!D7</f>
        <v>0</v>
      </c>
      <c r="E7" s="91">
        <f>'W1 Stats'!E7+'W2 Stats'!E7+'W3 Stats'!E7+'W4 Stats'!E7</f>
        <v>0</v>
      </c>
      <c r="F7" s="91">
        <f>'W1 Stats'!F7+'W2 Stats'!F7+'W3 Stats'!F7+'W4 Stats'!F7</f>
        <v>0</v>
      </c>
      <c r="G7" s="91">
        <f>'W1 Stats'!G7+'W2 Stats'!G7+'W3 Stats'!G7+'W4 Stats'!G7</f>
        <v>0</v>
      </c>
      <c r="H7" s="91">
        <f>'W1 Stats'!H7+'W2 Stats'!H7+'W3 Stats'!H7+'W4 Stats'!H7</f>
        <v>0</v>
      </c>
      <c r="I7" s="91">
        <f>'W1 Stats'!I7+'W2 Stats'!I7+'W3 Stats'!I7+'W4 Stats'!I7</f>
        <v>0</v>
      </c>
      <c r="J7" s="91">
        <f>'W1 Stats'!J7+'W2 Stats'!J7+'W3 Stats'!J7+'W4 Stats'!J7</f>
        <v>0</v>
      </c>
      <c r="K7" s="91">
        <f>'W1 Stats'!K7+'W2 Stats'!K7+'W3 Stats'!K7+'W4 Stats'!K7</f>
        <v>0</v>
      </c>
      <c r="L7" s="91">
        <f>'W1 Stats'!L7+'W2 Stats'!L7+'W3 Stats'!L7+'W4 Stats'!L7</f>
        <v>0</v>
      </c>
      <c r="M7" s="91">
        <f>'W1 Stats'!M7+'W2 Stats'!M7+'W3 Stats'!M7+'W4 Stats'!M7</f>
        <v>0</v>
      </c>
      <c r="N7" s="91">
        <f>'W1 Stats'!N7+'W2 Stats'!N7+'W3 Stats'!N7+'W4 Stats'!N7</f>
        <v>0</v>
      </c>
      <c r="O7" s="91">
        <f>'W1 Stats'!O7+'W2 Stats'!O7+'W3 Stats'!O7+'W4 Stats'!O7</f>
        <v>0</v>
      </c>
      <c r="P7" s="91">
        <f>'W1 Stats'!P7+'W2 Stats'!P7+'W3 Stats'!P7+'W4 Stats'!P7</f>
        <v>0</v>
      </c>
      <c r="Q7" s="91">
        <f>'W1 Stats'!Q7+'W2 Stats'!Q7+'W3 Stats'!Q7+'W4 Stats'!Q7</f>
        <v>0</v>
      </c>
      <c r="R7" s="92"/>
      <c r="S7" s="93">
        <f>'Points System'!Z27</f>
        <v>0</v>
      </c>
      <c r="T7" s="93">
        <f>'Points System'!AA27</f>
        <v>0</v>
      </c>
      <c r="U7" s="93">
        <f>'Points System'!AB27</f>
        <v>0</v>
      </c>
      <c r="V7" s="93">
        <f>'Points System'!AC27</f>
        <v>0</v>
      </c>
      <c r="W7" s="93">
        <f t="shared" si="1"/>
        <v>0</v>
      </c>
    </row>
    <row r="8" ht="12.75" customHeight="1">
      <c r="A8" s="89"/>
      <c r="B8" s="94" t="s">
        <v>150</v>
      </c>
      <c r="C8" s="95">
        <f>'W1 Stats'!C8+'W2 Stats'!C8+'W3 Stats'!C8+'W4 Stats'!C8</f>
        <v>0</v>
      </c>
      <c r="D8" s="95">
        <f>'W1 Stats'!D8+'W2 Stats'!D8+'W3 Stats'!D8+'W4 Stats'!D8</f>
        <v>0</v>
      </c>
      <c r="E8" s="95">
        <f>'W1 Stats'!E8+'W2 Stats'!E8+'W3 Stats'!E8+'W4 Stats'!E8</f>
        <v>0</v>
      </c>
      <c r="F8" s="95">
        <f>'W1 Stats'!F8+'W2 Stats'!F8+'W3 Stats'!F8+'W4 Stats'!F8</f>
        <v>0</v>
      </c>
      <c r="G8" s="95">
        <f>'W1 Stats'!G8+'W2 Stats'!G8+'W3 Stats'!G8+'W4 Stats'!G8</f>
        <v>0</v>
      </c>
      <c r="H8" s="95">
        <f>'W1 Stats'!H8+'W2 Stats'!H8+'W3 Stats'!H8+'W4 Stats'!H8</f>
        <v>0</v>
      </c>
      <c r="I8" s="95">
        <f>'W1 Stats'!I8+'W2 Stats'!I8+'W3 Stats'!I8+'W4 Stats'!I8</f>
        <v>0</v>
      </c>
      <c r="J8" s="95">
        <f>'W1 Stats'!J8+'W2 Stats'!J8+'W3 Stats'!J8+'W4 Stats'!J8</f>
        <v>0</v>
      </c>
      <c r="K8" s="95">
        <f>'W1 Stats'!K8+'W2 Stats'!K8+'W3 Stats'!K8+'W4 Stats'!K8</f>
        <v>0</v>
      </c>
      <c r="L8" s="95">
        <f>'W1 Stats'!L8+'W2 Stats'!L8+'W3 Stats'!L8+'W4 Stats'!L8</f>
        <v>0</v>
      </c>
      <c r="M8" s="95">
        <f>'W1 Stats'!M8+'W2 Stats'!M8+'W3 Stats'!M8+'W4 Stats'!M8</f>
        <v>0</v>
      </c>
      <c r="N8" s="95">
        <f>'W1 Stats'!N8+'W2 Stats'!N8+'W3 Stats'!N8+'W4 Stats'!N8</f>
        <v>0</v>
      </c>
      <c r="O8" s="95">
        <f>'W1 Stats'!O8+'W2 Stats'!O8+'W3 Stats'!O8+'W4 Stats'!O8</f>
        <v>0</v>
      </c>
      <c r="P8" s="95">
        <f>'W1 Stats'!P8+'W2 Stats'!P8+'W3 Stats'!P8+'W4 Stats'!P8</f>
        <v>0</v>
      </c>
      <c r="Q8" s="95">
        <f>'W1 Stats'!Q8+'W2 Stats'!Q8+'W3 Stats'!Q8+'W4 Stats'!Q8</f>
        <v>0</v>
      </c>
      <c r="R8" s="92"/>
      <c r="S8" s="96">
        <f>'Points System'!B41</f>
        <v>0</v>
      </c>
      <c r="T8" s="96">
        <f>'Points System'!C41</f>
        <v>0</v>
      </c>
      <c r="U8" s="96">
        <f>'Points System'!D41</f>
        <v>0</v>
      </c>
      <c r="V8" s="96">
        <f>'Points System'!E41</f>
        <v>0</v>
      </c>
      <c r="W8" s="96">
        <f t="shared" si="1"/>
        <v>0</v>
      </c>
    </row>
    <row r="9" ht="12.75" customHeight="1">
      <c r="A9" s="89"/>
      <c r="B9" s="94" t="s">
        <v>151</v>
      </c>
      <c r="C9" s="95">
        <f>'W1 Stats'!C9+'W2 Stats'!C9+'W3 Stats'!C9+'W4 Stats'!C9</f>
        <v>0</v>
      </c>
      <c r="D9" s="95">
        <f>'W1 Stats'!D9+'W2 Stats'!D9+'W3 Stats'!D9+'W4 Stats'!D9</f>
        <v>0</v>
      </c>
      <c r="E9" s="95">
        <f>'W1 Stats'!E9+'W2 Stats'!E9+'W3 Stats'!E9+'W4 Stats'!E9</f>
        <v>0</v>
      </c>
      <c r="F9" s="95">
        <f>'W1 Stats'!F9+'W2 Stats'!F9+'W3 Stats'!F9+'W4 Stats'!F9</f>
        <v>0</v>
      </c>
      <c r="G9" s="95">
        <f>'W1 Stats'!G9+'W2 Stats'!G9+'W3 Stats'!G9+'W4 Stats'!G9</f>
        <v>0</v>
      </c>
      <c r="H9" s="95">
        <f>'W1 Stats'!H9+'W2 Stats'!H9+'W3 Stats'!H9+'W4 Stats'!H9</f>
        <v>0</v>
      </c>
      <c r="I9" s="95">
        <f>'W1 Stats'!I9+'W2 Stats'!I9+'W3 Stats'!I9+'W4 Stats'!I9</f>
        <v>0</v>
      </c>
      <c r="J9" s="95">
        <f>'W1 Stats'!J9+'W2 Stats'!J9+'W3 Stats'!J9+'W4 Stats'!J9</f>
        <v>0</v>
      </c>
      <c r="K9" s="95">
        <f>'W1 Stats'!K9+'W2 Stats'!K9+'W3 Stats'!K9+'W4 Stats'!K9</f>
        <v>0</v>
      </c>
      <c r="L9" s="95">
        <f>'W1 Stats'!L9+'W2 Stats'!L9+'W3 Stats'!L9+'W4 Stats'!L9</f>
        <v>0</v>
      </c>
      <c r="M9" s="95">
        <f>'W1 Stats'!M9+'W2 Stats'!M9+'W3 Stats'!M9+'W4 Stats'!M9</f>
        <v>0</v>
      </c>
      <c r="N9" s="95">
        <f>'W1 Stats'!N9+'W2 Stats'!N9+'W3 Stats'!N9+'W4 Stats'!N9</f>
        <v>0</v>
      </c>
      <c r="O9" s="95">
        <f>'W1 Stats'!O9+'W2 Stats'!O9+'W3 Stats'!O9+'W4 Stats'!O9</f>
        <v>0</v>
      </c>
      <c r="P9" s="95">
        <f>'W1 Stats'!P9+'W2 Stats'!P9+'W3 Stats'!P9+'W4 Stats'!P9</f>
        <v>0</v>
      </c>
      <c r="Q9" s="95">
        <f>'W1 Stats'!Q9+'W2 Stats'!Q9+'W3 Stats'!Q9+'W4 Stats'!Q9</f>
        <v>0</v>
      </c>
      <c r="R9" s="92"/>
      <c r="S9" s="96">
        <f>'Points System'!H41</f>
        <v>0</v>
      </c>
      <c r="T9" s="96">
        <f>'Points System'!I41</f>
        <v>0</v>
      </c>
      <c r="U9" s="96">
        <f>'Points System'!J41</f>
        <v>0</v>
      </c>
      <c r="V9" s="96">
        <f>'Points System'!K41</f>
        <v>0</v>
      </c>
      <c r="W9" s="96">
        <f t="shared" si="1"/>
        <v>0</v>
      </c>
    </row>
    <row r="10" ht="12.75" customHeight="1">
      <c r="A10" s="89"/>
      <c r="B10" s="94" t="s">
        <v>102</v>
      </c>
      <c r="C10" s="95">
        <f>'W1 Stats'!C10+'W2 Stats'!C10+'W3 Stats'!C10+'W4 Stats'!C10</f>
        <v>0</v>
      </c>
      <c r="D10" s="95">
        <f>'W1 Stats'!D10+'W2 Stats'!D10+'W3 Stats'!D10+'W4 Stats'!D10</f>
        <v>0</v>
      </c>
      <c r="E10" s="95">
        <f>'W1 Stats'!E10+'W2 Stats'!E10+'W3 Stats'!E10+'W4 Stats'!E10</f>
        <v>0</v>
      </c>
      <c r="F10" s="95">
        <f>'W1 Stats'!F10+'W2 Stats'!F10+'W3 Stats'!F10+'W4 Stats'!F10</f>
        <v>0</v>
      </c>
      <c r="G10" s="95">
        <f>'W1 Stats'!G10+'W2 Stats'!G10+'W3 Stats'!G10+'W4 Stats'!G10</f>
        <v>0</v>
      </c>
      <c r="H10" s="95">
        <f>'W1 Stats'!H10+'W2 Stats'!H10+'W3 Stats'!H10+'W4 Stats'!H10</f>
        <v>0</v>
      </c>
      <c r="I10" s="95">
        <f>'W1 Stats'!I10+'W2 Stats'!I10+'W3 Stats'!I10+'W4 Stats'!I10</f>
        <v>0</v>
      </c>
      <c r="J10" s="95">
        <f>'W1 Stats'!J10+'W2 Stats'!J10+'W3 Stats'!J10+'W4 Stats'!J10</f>
        <v>0</v>
      </c>
      <c r="K10" s="95">
        <f>'W1 Stats'!K10+'W2 Stats'!K10+'W3 Stats'!K10+'W4 Stats'!K10</f>
        <v>0</v>
      </c>
      <c r="L10" s="95">
        <f>'W1 Stats'!L10+'W2 Stats'!L10+'W3 Stats'!L10+'W4 Stats'!L10</f>
        <v>0</v>
      </c>
      <c r="M10" s="95">
        <f>'W1 Stats'!M10+'W2 Stats'!M10+'W3 Stats'!M10+'W4 Stats'!M10</f>
        <v>0</v>
      </c>
      <c r="N10" s="95">
        <f>'W1 Stats'!N10+'W2 Stats'!N10+'W3 Stats'!N10+'W4 Stats'!N10</f>
        <v>0</v>
      </c>
      <c r="O10" s="95">
        <f>'W1 Stats'!O10+'W2 Stats'!O10+'W3 Stats'!O10+'W4 Stats'!O10</f>
        <v>0</v>
      </c>
      <c r="P10" s="95">
        <f>'W1 Stats'!P10+'W2 Stats'!P10+'W3 Stats'!P10+'W4 Stats'!P10</f>
        <v>0</v>
      </c>
      <c r="Q10" s="95">
        <f>'W1 Stats'!Q10+'W2 Stats'!Q10+'W3 Stats'!Q10+'W4 Stats'!Q10</f>
        <v>0</v>
      </c>
      <c r="R10" s="92"/>
      <c r="S10" s="96">
        <f>'Points System'!N41</f>
        <v>0</v>
      </c>
      <c r="T10" s="96">
        <f>'Points System'!O41</f>
        <v>0</v>
      </c>
      <c r="U10" s="96">
        <f>'Points System'!P41</f>
        <v>0</v>
      </c>
      <c r="V10" s="96">
        <f>'Points System'!Q41</f>
        <v>0</v>
      </c>
      <c r="W10" s="96">
        <f t="shared" si="1"/>
        <v>0</v>
      </c>
    </row>
    <row r="11" ht="12.75" customHeight="1">
      <c r="A11" s="89"/>
      <c r="B11" s="94" t="s">
        <v>103</v>
      </c>
      <c r="C11" s="95">
        <f>'W1 Stats'!C11+'W2 Stats'!C11+'W3 Stats'!C11+'W4 Stats'!C11</f>
        <v>0</v>
      </c>
      <c r="D11" s="95">
        <f>'W1 Stats'!D11+'W2 Stats'!D11+'W3 Stats'!D11+'W4 Stats'!D11</f>
        <v>0</v>
      </c>
      <c r="E11" s="95">
        <f>'W1 Stats'!E11+'W2 Stats'!E11+'W3 Stats'!E11+'W4 Stats'!E11</f>
        <v>0</v>
      </c>
      <c r="F11" s="95">
        <f>'W1 Stats'!F11+'W2 Stats'!F11+'W3 Stats'!F11+'W4 Stats'!F11</f>
        <v>0</v>
      </c>
      <c r="G11" s="95">
        <f>'W1 Stats'!G11+'W2 Stats'!G11+'W3 Stats'!G11+'W4 Stats'!G11</f>
        <v>0</v>
      </c>
      <c r="H11" s="95">
        <f>'W1 Stats'!H11+'W2 Stats'!H11+'W3 Stats'!H11+'W4 Stats'!H11</f>
        <v>0</v>
      </c>
      <c r="I11" s="95">
        <f>'W1 Stats'!I11+'W2 Stats'!I11+'W3 Stats'!I11+'W4 Stats'!I11</f>
        <v>0</v>
      </c>
      <c r="J11" s="95">
        <f>'W1 Stats'!J11+'W2 Stats'!J11+'W3 Stats'!J11+'W4 Stats'!J11</f>
        <v>0</v>
      </c>
      <c r="K11" s="95">
        <f>'W1 Stats'!K11+'W2 Stats'!K11+'W3 Stats'!K11+'W4 Stats'!K11</f>
        <v>0</v>
      </c>
      <c r="L11" s="95">
        <f>'W1 Stats'!L11+'W2 Stats'!L11+'W3 Stats'!L11+'W4 Stats'!L11</f>
        <v>0</v>
      </c>
      <c r="M11" s="95">
        <f>'W1 Stats'!M11+'W2 Stats'!M11+'W3 Stats'!M11+'W4 Stats'!M11</f>
        <v>0</v>
      </c>
      <c r="N11" s="95">
        <f>'W1 Stats'!N11+'W2 Stats'!N11+'W3 Stats'!N11+'W4 Stats'!N11</f>
        <v>0</v>
      </c>
      <c r="O11" s="95">
        <f>'W1 Stats'!O11+'W2 Stats'!O11+'W3 Stats'!O11+'W4 Stats'!O11</f>
        <v>0</v>
      </c>
      <c r="P11" s="95">
        <f>'W1 Stats'!P11+'W2 Stats'!P11+'W3 Stats'!P11+'W4 Stats'!P11</f>
        <v>0</v>
      </c>
      <c r="Q11" s="95">
        <f>'W1 Stats'!Q11+'W2 Stats'!Q11+'W3 Stats'!Q11+'W4 Stats'!Q11</f>
        <v>0</v>
      </c>
      <c r="R11" s="92"/>
      <c r="S11" s="96">
        <f>'Points System'!T41</f>
        <v>0</v>
      </c>
      <c r="T11" s="96">
        <f>'Points System'!U41</f>
        <v>0</v>
      </c>
      <c r="U11" s="96">
        <f>'Points System'!V41</f>
        <v>0</v>
      </c>
      <c r="V11" s="96">
        <f>'Points System'!W41</f>
        <v>0</v>
      </c>
      <c r="W11" s="96">
        <f t="shared" si="1"/>
        <v>0</v>
      </c>
    </row>
    <row r="12" ht="12.75" customHeight="1">
      <c r="A12" s="89"/>
      <c r="B12" s="94" t="s">
        <v>125</v>
      </c>
      <c r="C12" s="95">
        <f>'W1 Stats'!C12+'W2 Stats'!C12+'W3 Stats'!C12+'W4 Stats'!C12</f>
        <v>0</v>
      </c>
      <c r="D12" s="95">
        <f>'W1 Stats'!D12+'W2 Stats'!D12+'W3 Stats'!D12+'W4 Stats'!D12</f>
        <v>0</v>
      </c>
      <c r="E12" s="95">
        <f>'W1 Stats'!E12+'W2 Stats'!E12+'W3 Stats'!E12+'W4 Stats'!E12</f>
        <v>0</v>
      </c>
      <c r="F12" s="95">
        <f>'W1 Stats'!F12+'W2 Stats'!F12+'W3 Stats'!F12+'W4 Stats'!F12</f>
        <v>0</v>
      </c>
      <c r="G12" s="95">
        <f>'W1 Stats'!G12+'W2 Stats'!G12+'W3 Stats'!G12+'W4 Stats'!G12</f>
        <v>0</v>
      </c>
      <c r="H12" s="95">
        <f>'W1 Stats'!H12+'W2 Stats'!H12+'W3 Stats'!H12+'W4 Stats'!H12</f>
        <v>0</v>
      </c>
      <c r="I12" s="95">
        <f>'W1 Stats'!I12+'W2 Stats'!I12+'W3 Stats'!I12+'W4 Stats'!I12</f>
        <v>0</v>
      </c>
      <c r="J12" s="95">
        <f>'W1 Stats'!J12+'W2 Stats'!J12+'W3 Stats'!J12+'W4 Stats'!J12</f>
        <v>0</v>
      </c>
      <c r="K12" s="95">
        <f>'W1 Stats'!K12+'W2 Stats'!K12+'W3 Stats'!K12+'W4 Stats'!K12</f>
        <v>0</v>
      </c>
      <c r="L12" s="95">
        <f>'W1 Stats'!L12+'W2 Stats'!L12+'W3 Stats'!L12+'W4 Stats'!L12</f>
        <v>0</v>
      </c>
      <c r="M12" s="95">
        <f>'W1 Stats'!M12+'W2 Stats'!M12+'W3 Stats'!M12+'W4 Stats'!M12</f>
        <v>0</v>
      </c>
      <c r="N12" s="95">
        <f>'W1 Stats'!N12+'W2 Stats'!N12+'W3 Stats'!N12+'W4 Stats'!N12</f>
        <v>0</v>
      </c>
      <c r="O12" s="95">
        <f>'W1 Stats'!O12+'W2 Stats'!O12+'W3 Stats'!O12+'W4 Stats'!O12</f>
        <v>0</v>
      </c>
      <c r="P12" s="95">
        <f>'W1 Stats'!P12+'W2 Stats'!P12+'W3 Stats'!P12+'W4 Stats'!P12</f>
        <v>0</v>
      </c>
      <c r="Q12" s="95">
        <f>'W1 Stats'!Q12+'W2 Stats'!Q12+'W3 Stats'!Q12+'W4 Stats'!Q12</f>
        <v>0</v>
      </c>
      <c r="R12" s="92"/>
      <c r="S12" s="96">
        <f>'Points System'!Z41</f>
        <v>0</v>
      </c>
      <c r="T12" s="96">
        <f>'Points System'!AA41</f>
        <v>0</v>
      </c>
      <c r="U12" s="96">
        <f>'Points System'!AB41</f>
        <v>0</v>
      </c>
      <c r="V12" s="96">
        <f>'Points System'!AC41</f>
        <v>0</v>
      </c>
      <c r="W12" s="96">
        <f t="shared" si="1"/>
        <v>0</v>
      </c>
    </row>
    <row r="13" ht="12.75" customHeight="1">
      <c r="A13" s="89"/>
      <c r="B13" s="90" t="s">
        <v>132</v>
      </c>
      <c r="C13" s="91">
        <f>'W1 Stats'!C13+'W2 Stats'!C13+'W3 Stats'!C13+'W4 Stats'!C13</f>
        <v>1</v>
      </c>
      <c r="D13" s="91">
        <f>'W1 Stats'!D13+'W2 Stats'!D13+'W3 Stats'!D13+'W4 Stats'!D13</f>
        <v>1</v>
      </c>
      <c r="E13" s="91">
        <f>'W1 Stats'!E13+'W2 Stats'!E13+'W3 Stats'!E13+'W4 Stats'!E13</f>
        <v>187</v>
      </c>
      <c r="F13" s="91">
        <f>'W1 Stats'!F13+'W2 Stats'!F13+'W3 Stats'!F13+'W4 Stats'!F13</f>
        <v>217</v>
      </c>
      <c r="G13" s="91">
        <f>'W1 Stats'!G13+'W2 Stats'!G13+'W3 Stats'!G13+'W4 Stats'!G13</f>
        <v>183</v>
      </c>
      <c r="H13" s="91">
        <f>'W1 Stats'!H13+'W2 Stats'!H13+'W3 Stats'!H13+'W4 Stats'!H13</f>
        <v>3</v>
      </c>
      <c r="I13" s="91">
        <f>'W1 Stats'!I13+'W2 Stats'!I13+'W3 Stats'!I13+'W4 Stats'!I13</f>
        <v>1</v>
      </c>
      <c r="J13" s="91">
        <f>'W1 Stats'!J13+'W2 Stats'!J13+'W3 Stats'!J13+'W4 Stats'!J13</f>
        <v>-30</v>
      </c>
      <c r="K13" s="91">
        <f>'W1 Stats'!K13+'W2 Stats'!K13+'W3 Stats'!K13+'W4 Stats'!K13</f>
        <v>3</v>
      </c>
      <c r="L13" s="91">
        <f>'W1 Stats'!L13+'W2 Stats'!L13+'W3 Stats'!L13+'W4 Stats'!L13</f>
        <v>0</v>
      </c>
      <c r="M13" s="91">
        <f>'W1 Stats'!M13+'W2 Stats'!M13+'W3 Stats'!M13+'W4 Stats'!M13</f>
        <v>48</v>
      </c>
      <c r="N13" s="91">
        <f>'W1 Stats'!N13+'W2 Stats'!N13+'W3 Stats'!N13+'W4 Stats'!N13</f>
        <v>3</v>
      </c>
      <c r="O13" s="91">
        <f>'W1 Stats'!O13+'W2 Stats'!O13+'W3 Stats'!O13+'W4 Stats'!O13</f>
        <v>11</v>
      </c>
      <c r="P13" s="91">
        <f>'W1 Stats'!P13+'W2 Stats'!P13+'W3 Stats'!P13+'W4 Stats'!P13</f>
        <v>7</v>
      </c>
      <c r="Q13" s="91">
        <f>'W1 Stats'!Q13+'W2 Stats'!Q13+'W3 Stats'!Q13+'W4 Stats'!Q13</f>
        <v>1</v>
      </c>
      <c r="R13" s="92"/>
      <c r="S13" s="93">
        <f>'Points System'!B55</f>
        <v>37</v>
      </c>
      <c r="T13" s="93">
        <f>'Points System'!C55</f>
        <v>71</v>
      </c>
      <c r="U13" s="93">
        <f>'Points System'!D55</f>
        <v>89</v>
      </c>
      <c r="V13" s="93">
        <f>'Points System'!E55</f>
        <v>81</v>
      </c>
      <c r="W13" s="93">
        <f t="shared" si="1"/>
        <v>278</v>
      </c>
    </row>
    <row r="14" ht="12.75" customHeight="1">
      <c r="A14" s="89"/>
      <c r="B14" s="90" t="s">
        <v>124</v>
      </c>
      <c r="C14" s="91">
        <f>'W1 Stats'!C14+'W2 Stats'!C14+'W3 Stats'!C14+'W4 Stats'!C14</f>
        <v>1</v>
      </c>
      <c r="D14" s="91">
        <f>'W1 Stats'!D14+'W2 Stats'!D14+'W3 Stats'!D14+'W4 Stats'!D14</f>
        <v>0</v>
      </c>
      <c r="E14" s="91">
        <f>'W1 Stats'!E14+'W2 Stats'!E14+'W3 Stats'!E14+'W4 Stats'!E14</f>
        <v>218</v>
      </c>
      <c r="F14" s="91">
        <f>'W1 Stats'!F14+'W2 Stats'!F14+'W3 Stats'!F14+'W4 Stats'!F14</f>
        <v>160</v>
      </c>
      <c r="G14" s="91">
        <f>'W1 Stats'!G14+'W2 Stats'!G14+'W3 Stats'!G14+'W4 Stats'!G14</f>
        <v>195</v>
      </c>
      <c r="H14" s="91">
        <f>'W1 Stats'!H14+'W2 Stats'!H14+'W3 Stats'!H14+'W4 Stats'!H14</f>
        <v>15</v>
      </c>
      <c r="I14" s="91">
        <f>'W1 Stats'!I14+'W2 Stats'!I14+'W3 Stats'!I14+'W4 Stats'!I14</f>
        <v>8</v>
      </c>
      <c r="J14" s="91">
        <f>'W1 Stats'!J14+'W2 Stats'!J14+'W3 Stats'!J14+'W4 Stats'!J14</f>
        <v>58</v>
      </c>
      <c r="K14" s="91">
        <f>'W1 Stats'!K14+'W2 Stats'!K14+'W3 Stats'!K14+'W4 Stats'!K14</f>
        <v>0</v>
      </c>
      <c r="L14" s="91">
        <f>'W1 Stats'!L14+'W2 Stats'!L14+'W3 Stats'!L14+'W4 Stats'!L14</f>
        <v>3</v>
      </c>
      <c r="M14" s="91">
        <f>'W1 Stats'!M14+'W2 Stats'!M14+'W3 Stats'!M14+'W4 Stats'!M14</f>
        <v>61</v>
      </c>
      <c r="N14" s="91">
        <f>'W1 Stats'!N14+'W2 Stats'!N14+'W3 Stats'!N14+'W4 Stats'!N14</f>
        <v>8</v>
      </c>
      <c r="O14" s="91">
        <f>'W1 Stats'!O14+'W2 Stats'!O14+'W3 Stats'!O14+'W4 Stats'!O14</f>
        <v>6</v>
      </c>
      <c r="P14" s="91">
        <f>'W1 Stats'!P14+'W2 Stats'!P14+'W3 Stats'!P14+'W4 Stats'!P14</f>
        <v>2</v>
      </c>
      <c r="Q14" s="91">
        <f>'W1 Stats'!Q14+'W2 Stats'!Q14+'W3 Stats'!Q14+'W4 Stats'!Q14</f>
        <v>1</v>
      </c>
      <c r="R14" s="92"/>
      <c r="S14" s="93">
        <f>'Points System'!H55</f>
        <v>81</v>
      </c>
      <c r="T14" s="93">
        <f>'Points System'!I55</f>
        <v>215</v>
      </c>
      <c r="U14" s="93">
        <f>'Points System'!J55</f>
        <v>176</v>
      </c>
      <c r="V14" s="93">
        <f>'Points System'!K55</f>
        <v>174</v>
      </c>
      <c r="W14" s="93">
        <f t="shared" si="1"/>
        <v>646</v>
      </c>
    </row>
    <row r="15" ht="12.75" customHeight="1">
      <c r="A15" s="89"/>
      <c r="B15" s="90" t="s">
        <v>136</v>
      </c>
      <c r="C15" s="91">
        <f>'W1 Stats'!C15+'W2 Stats'!C15+'W3 Stats'!C15+'W4 Stats'!C15</f>
        <v>1</v>
      </c>
      <c r="D15" s="91">
        <f>'W1 Stats'!D15+'W2 Stats'!D15+'W3 Stats'!D15+'W4 Stats'!D15</f>
        <v>4</v>
      </c>
      <c r="E15" s="91">
        <f>'W1 Stats'!E15+'W2 Stats'!E15+'W3 Stats'!E15+'W4 Stats'!E15</f>
        <v>120</v>
      </c>
      <c r="F15" s="91">
        <f>'W1 Stats'!F15+'W2 Stats'!F15+'W3 Stats'!F15+'W4 Stats'!F15</f>
        <v>117</v>
      </c>
      <c r="G15" s="91">
        <f>'W1 Stats'!G15+'W2 Stats'!G15+'W3 Stats'!G15+'W4 Stats'!G15</f>
        <v>75</v>
      </c>
      <c r="H15" s="91">
        <f>'W1 Stats'!H15+'W2 Stats'!H15+'W3 Stats'!H15+'W4 Stats'!H15</f>
        <v>23</v>
      </c>
      <c r="I15" s="91">
        <f>'W1 Stats'!I15+'W2 Stats'!I15+'W3 Stats'!I15+'W4 Stats'!I15</f>
        <v>22</v>
      </c>
      <c r="J15" s="91">
        <f>'W1 Stats'!J15+'W2 Stats'!J15+'W3 Stats'!J15+'W4 Stats'!J15</f>
        <v>3</v>
      </c>
      <c r="K15" s="91">
        <f>'W1 Stats'!K15+'W2 Stats'!K15+'W3 Stats'!K15+'W4 Stats'!K15</f>
        <v>0</v>
      </c>
      <c r="L15" s="91">
        <f>'W1 Stats'!L15+'W2 Stats'!L15+'W3 Stats'!L15+'W4 Stats'!L15</f>
        <v>3</v>
      </c>
      <c r="M15" s="91">
        <f>'W1 Stats'!M15+'W2 Stats'!M15+'W3 Stats'!M15+'W4 Stats'!M15</f>
        <v>29</v>
      </c>
      <c r="N15" s="91">
        <f>'W1 Stats'!N15+'W2 Stats'!N15+'W3 Stats'!N15+'W4 Stats'!N15</f>
        <v>1</v>
      </c>
      <c r="O15" s="91">
        <f>'W1 Stats'!O15+'W2 Stats'!O15+'W3 Stats'!O15+'W4 Stats'!O15</f>
        <v>6</v>
      </c>
      <c r="P15" s="91">
        <f>'W1 Stats'!P15+'W2 Stats'!P15+'W3 Stats'!P15+'W4 Stats'!P15</f>
        <v>3</v>
      </c>
      <c r="Q15" s="91">
        <f>'W1 Stats'!Q15+'W2 Stats'!Q15+'W3 Stats'!Q15+'W4 Stats'!Q15</f>
        <v>1</v>
      </c>
      <c r="R15" s="92"/>
      <c r="S15" s="93">
        <f>'Points System'!N55</f>
        <v>169</v>
      </c>
      <c r="T15" s="93">
        <f>'Points System'!O55</f>
        <v>73</v>
      </c>
      <c r="U15" s="93">
        <f>'Points System'!P55</f>
        <v>82</v>
      </c>
      <c r="V15" s="93">
        <f>'Points System'!Q55</f>
        <v>91</v>
      </c>
      <c r="W15" s="93">
        <f t="shared" si="1"/>
        <v>415</v>
      </c>
    </row>
    <row r="16" ht="12.75" customHeight="1">
      <c r="A16" s="89"/>
      <c r="B16" s="90" t="s">
        <v>48</v>
      </c>
      <c r="C16" s="91">
        <f>'W1 Stats'!C16+'W2 Stats'!C16+'W3 Stats'!C16+'W4 Stats'!C16</f>
        <v>1</v>
      </c>
      <c r="D16" s="91">
        <f>'W1 Stats'!D16+'W2 Stats'!D16+'W3 Stats'!D16+'W4 Stats'!D16</f>
        <v>0</v>
      </c>
      <c r="E16" s="91">
        <f>'W1 Stats'!E16+'W2 Stats'!E16+'W3 Stats'!E16+'W4 Stats'!E16</f>
        <v>160</v>
      </c>
      <c r="F16" s="91">
        <f>'W1 Stats'!F16+'W2 Stats'!F16+'W3 Stats'!F16+'W4 Stats'!F16</f>
        <v>173</v>
      </c>
      <c r="G16" s="91">
        <f>'W1 Stats'!G16+'W2 Stats'!G16+'W3 Stats'!G16+'W4 Stats'!G16</f>
        <v>156</v>
      </c>
      <c r="H16" s="91">
        <f>'W1 Stats'!H16+'W2 Stats'!H16+'W3 Stats'!H16+'W4 Stats'!H16</f>
        <v>4</v>
      </c>
      <c r="I16" s="91">
        <f>'W1 Stats'!I16+'W2 Stats'!I16+'W3 Stats'!I16+'W4 Stats'!I16</f>
        <v>0</v>
      </c>
      <c r="J16" s="91">
        <f>'W1 Stats'!J16+'W2 Stats'!J16+'W3 Stats'!J16+'W4 Stats'!J16</f>
        <v>-13</v>
      </c>
      <c r="K16" s="91">
        <f>'W1 Stats'!K16+'W2 Stats'!K16+'W3 Stats'!K16+'W4 Stats'!K16</f>
        <v>0</v>
      </c>
      <c r="L16" s="91">
        <f>'W1 Stats'!L16+'W2 Stats'!L16+'W3 Stats'!L16+'W4 Stats'!L16</f>
        <v>0</v>
      </c>
      <c r="M16" s="91">
        <f>'W1 Stats'!M16+'W2 Stats'!M16+'W3 Stats'!M16+'W4 Stats'!M16</f>
        <v>33</v>
      </c>
      <c r="N16" s="91">
        <f>'W1 Stats'!N16+'W2 Stats'!N16+'W3 Stats'!N16+'W4 Stats'!N16</f>
        <v>2</v>
      </c>
      <c r="O16" s="91">
        <f>'W1 Stats'!O16+'W2 Stats'!O16+'W3 Stats'!O16+'W4 Stats'!O16</f>
        <v>6</v>
      </c>
      <c r="P16" s="91">
        <f>'W1 Stats'!P16+'W2 Stats'!P16+'W3 Stats'!P16+'W4 Stats'!P16</f>
        <v>5</v>
      </c>
      <c r="Q16" s="91">
        <f>'W1 Stats'!Q16+'W2 Stats'!Q16+'W3 Stats'!Q16+'W4 Stats'!Q16</f>
        <v>1</v>
      </c>
      <c r="R16" s="92"/>
      <c r="S16" s="93">
        <f>'Points System'!T55</f>
        <v>20</v>
      </c>
      <c r="T16" s="93">
        <f>'Points System'!U55</f>
        <v>45</v>
      </c>
      <c r="U16" s="93">
        <f>'Points System'!V55</f>
        <v>69</v>
      </c>
      <c r="V16" s="93">
        <f>'Points System'!W55</f>
        <v>49</v>
      </c>
      <c r="W16" s="93">
        <f t="shared" si="1"/>
        <v>183</v>
      </c>
    </row>
    <row r="17" ht="12.75" customHeight="1">
      <c r="A17" s="89"/>
      <c r="B17" s="90" t="s">
        <v>139</v>
      </c>
      <c r="C17" s="91">
        <f>'W1 Stats'!C17+'W2 Stats'!C17+'W3 Stats'!C17+'W4 Stats'!C17</f>
        <v>0</v>
      </c>
      <c r="D17" s="91">
        <f>'W1 Stats'!D17+'W2 Stats'!D17+'W3 Stats'!D17+'W4 Stats'!D17</f>
        <v>0</v>
      </c>
      <c r="E17" s="91">
        <f>'W1 Stats'!E17+'W2 Stats'!E17+'W3 Stats'!E17+'W4 Stats'!E17</f>
        <v>0</v>
      </c>
      <c r="F17" s="91">
        <f>'W1 Stats'!F17+'W2 Stats'!F17+'W3 Stats'!F17+'W4 Stats'!F17</f>
        <v>0</v>
      </c>
      <c r="G17" s="91">
        <f>'W1 Stats'!G17+'W2 Stats'!G17+'W3 Stats'!G17+'W4 Stats'!G17</f>
        <v>0</v>
      </c>
      <c r="H17" s="91">
        <f>'W1 Stats'!H17+'W2 Stats'!H17+'W3 Stats'!H17+'W4 Stats'!H17</f>
        <v>0</v>
      </c>
      <c r="I17" s="91">
        <f>'W1 Stats'!I17+'W2 Stats'!I17+'W3 Stats'!I17+'W4 Stats'!I17</f>
        <v>0</v>
      </c>
      <c r="J17" s="91">
        <f>'W1 Stats'!J17+'W2 Stats'!J17+'W3 Stats'!J17+'W4 Stats'!J17</f>
        <v>0</v>
      </c>
      <c r="K17" s="91">
        <f>'W1 Stats'!K17+'W2 Stats'!K17+'W3 Stats'!K17+'W4 Stats'!K17</f>
        <v>0</v>
      </c>
      <c r="L17" s="91">
        <f>'W1 Stats'!L17+'W2 Stats'!L17+'W3 Stats'!L17+'W4 Stats'!L17</f>
        <v>0</v>
      </c>
      <c r="M17" s="91">
        <f>'W1 Stats'!M17+'W2 Stats'!M17+'W3 Stats'!M17+'W4 Stats'!M17</f>
        <v>0</v>
      </c>
      <c r="N17" s="91">
        <f>'W1 Stats'!N17+'W2 Stats'!N17+'W3 Stats'!N17+'W4 Stats'!N17</f>
        <v>0</v>
      </c>
      <c r="O17" s="91">
        <f>'W1 Stats'!O17+'W2 Stats'!O17+'W3 Stats'!O17+'W4 Stats'!O17</f>
        <v>0</v>
      </c>
      <c r="P17" s="91">
        <f>'W1 Stats'!P17+'W2 Stats'!P17+'W3 Stats'!P17+'W4 Stats'!P17</f>
        <v>0</v>
      </c>
      <c r="Q17" s="91">
        <f>'W1 Stats'!Q17+'W2 Stats'!Q17+'W3 Stats'!Q17+'W4 Stats'!Q17</f>
        <v>0</v>
      </c>
      <c r="R17" s="92"/>
      <c r="S17" s="93">
        <f>'Points System'!Z55</f>
        <v>0</v>
      </c>
      <c r="T17" s="93">
        <f>'Points System'!AA55</f>
        <v>0</v>
      </c>
      <c r="U17" s="93">
        <f>'Points System'!AB55</f>
        <v>0</v>
      </c>
      <c r="V17" s="93">
        <f>'Points System'!AC55</f>
        <v>0</v>
      </c>
      <c r="W17" s="93">
        <f t="shared" si="1"/>
        <v>0</v>
      </c>
    </row>
    <row r="18" ht="12.75" customHeight="1">
      <c r="A18" s="89"/>
      <c r="B18" s="94" t="s">
        <v>37</v>
      </c>
      <c r="C18" s="95">
        <f>'W1 Stats'!C18+'W2 Stats'!C18+'W3 Stats'!C18+'W4 Stats'!C18</f>
        <v>0</v>
      </c>
      <c r="D18" s="95">
        <f>'W1 Stats'!D18+'W2 Stats'!D18+'W3 Stats'!D18+'W4 Stats'!D18</f>
        <v>0</v>
      </c>
      <c r="E18" s="95">
        <f>'W1 Stats'!E18+'W2 Stats'!E18+'W3 Stats'!E18+'W4 Stats'!E18</f>
        <v>0</v>
      </c>
      <c r="F18" s="95">
        <f>'W1 Stats'!F18+'W2 Stats'!F18+'W3 Stats'!F18+'W4 Stats'!F18</f>
        <v>0</v>
      </c>
      <c r="G18" s="95">
        <f>'W1 Stats'!G18+'W2 Stats'!G18+'W3 Stats'!G18+'W4 Stats'!G18</f>
        <v>0</v>
      </c>
      <c r="H18" s="95">
        <f>'W1 Stats'!H18+'W2 Stats'!H18+'W3 Stats'!H18+'W4 Stats'!H18</f>
        <v>0</v>
      </c>
      <c r="I18" s="95">
        <f>'W1 Stats'!I18+'W2 Stats'!I18+'W3 Stats'!I18+'W4 Stats'!I18</f>
        <v>0</v>
      </c>
      <c r="J18" s="95">
        <f>'W1 Stats'!J18+'W2 Stats'!J18+'W3 Stats'!J18+'W4 Stats'!J18</f>
        <v>0</v>
      </c>
      <c r="K18" s="95">
        <f>'W1 Stats'!K18+'W2 Stats'!K18+'W3 Stats'!K18+'W4 Stats'!K18</f>
        <v>0</v>
      </c>
      <c r="L18" s="95">
        <f>'W1 Stats'!L18+'W2 Stats'!L18+'W3 Stats'!L18+'W4 Stats'!L18</f>
        <v>0</v>
      </c>
      <c r="M18" s="95">
        <f>'W1 Stats'!M18+'W2 Stats'!M18+'W3 Stats'!M18+'W4 Stats'!M18</f>
        <v>0</v>
      </c>
      <c r="N18" s="95">
        <f>'W1 Stats'!N18+'W2 Stats'!N18+'W3 Stats'!N18+'W4 Stats'!N18</f>
        <v>0</v>
      </c>
      <c r="O18" s="95">
        <f>'W1 Stats'!O18+'W2 Stats'!O18+'W3 Stats'!O18+'W4 Stats'!O18</f>
        <v>0</v>
      </c>
      <c r="P18" s="95">
        <f>'W1 Stats'!P18+'W2 Stats'!P18+'W3 Stats'!P18+'W4 Stats'!P18</f>
        <v>0</v>
      </c>
      <c r="Q18" s="95">
        <f>'W1 Stats'!Q18+'W2 Stats'!Q18+'W3 Stats'!Q18+'W4 Stats'!Q18</f>
        <v>0</v>
      </c>
      <c r="R18" s="92"/>
      <c r="S18" s="96">
        <f>'Points System'!B69</f>
        <v>0</v>
      </c>
      <c r="T18" s="96">
        <f>'Points System'!C69</f>
        <v>0</v>
      </c>
      <c r="U18" s="96">
        <f>'Points System'!D69</f>
        <v>0</v>
      </c>
      <c r="V18" s="96">
        <f>'Points System'!E69</f>
        <v>0</v>
      </c>
      <c r="W18" s="96">
        <f t="shared" si="1"/>
        <v>0</v>
      </c>
    </row>
    <row r="19" ht="12.75" customHeight="1">
      <c r="A19" s="89"/>
      <c r="B19" s="94" t="s">
        <v>28</v>
      </c>
      <c r="C19" s="95">
        <f>'W1 Stats'!C19+'W2 Stats'!C19+'W3 Stats'!C19+'W4 Stats'!C19</f>
        <v>0</v>
      </c>
      <c r="D19" s="95">
        <f>'W1 Stats'!D19+'W2 Stats'!D19+'W3 Stats'!D19+'W4 Stats'!D19</f>
        <v>0</v>
      </c>
      <c r="E19" s="95">
        <f>'W1 Stats'!E19+'W2 Stats'!E19+'W3 Stats'!E19+'W4 Stats'!E19</f>
        <v>0</v>
      </c>
      <c r="F19" s="95">
        <f>'W1 Stats'!F19+'W2 Stats'!F19+'W3 Stats'!F19+'W4 Stats'!F19</f>
        <v>0</v>
      </c>
      <c r="G19" s="95">
        <f>'W1 Stats'!G19+'W2 Stats'!G19+'W3 Stats'!G19+'W4 Stats'!G19</f>
        <v>0</v>
      </c>
      <c r="H19" s="95">
        <f>'W1 Stats'!H19+'W2 Stats'!H19+'W3 Stats'!H19+'W4 Stats'!H19</f>
        <v>0</v>
      </c>
      <c r="I19" s="95">
        <f>'W1 Stats'!I19+'W2 Stats'!I19+'W3 Stats'!I19+'W4 Stats'!I19</f>
        <v>0</v>
      </c>
      <c r="J19" s="95">
        <f>'W1 Stats'!J19+'W2 Stats'!J19+'W3 Stats'!J19+'W4 Stats'!J19</f>
        <v>0</v>
      </c>
      <c r="K19" s="95">
        <f>'W1 Stats'!K19+'W2 Stats'!K19+'W3 Stats'!K19+'W4 Stats'!K19</f>
        <v>0</v>
      </c>
      <c r="L19" s="95">
        <f>'W1 Stats'!L19+'W2 Stats'!L19+'W3 Stats'!L19+'W4 Stats'!L19</f>
        <v>0</v>
      </c>
      <c r="M19" s="95">
        <f>'W1 Stats'!M19+'W2 Stats'!M19+'W3 Stats'!M19+'W4 Stats'!M19</f>
        <v>0</v>
      </c>
      <c r="N19" s="95">
        <f>'W1 Stats'!N19+'W2 Stats'!N19+'W3 Stats'!N19+'W4 Stats'!N19</f>
        <v>0</v>
      </c>
      <c r="O19" s="95">
        <f>'W1 Stats'!O19+'W2 Stats'!O19+'W3 Stats'!O19+'W4 Stats'!O19</f>
        <v>0</v>
      </c>
      <c r="P19" s="95">
        <f>'W1 Stats'!P19+'W2 Stats'!P19+'W3 Stats'!P19+'W4 Stats'!P19</f>
        <v>0</v>
      </c>
      <c r="Q19" s="95">
        <f>'W1 Stats'!Q19+'W2 Stats'!Q19+'W3 Stats'!Q19+'W4 Stats'!Q19</f>
        <v>0</v>
      </c>
      <c r="R19" s="92"/>
      <c r="S19" s="96">
        <f>'Points System'!H69</f>
        <v>0</v>
      </c>
      <c r="T19" s="96">
        <f>'Points System'!I69</f>
        <v>0</v>
      </c>
      <c r="U19" s="96">
        <f>'Points System'!J69</f>
        <v>0</v>
      </c>
      <c r="V19" s="96">
        <f>'Points System'!K69</f>
        <v>0</v>
      </c>
      <c r="W19" s="96">
        <f t="shared" si="1"/>
        <v>0</v>
      </c>
    </row>
    <row r="20" ht="12.75" customHeight="1">
      <c r="A20" s="89"/>
      <c r="B20" s="94" t="s">
        <v>137</v>
      </c>
      <c r="C20" s="95">
        <f>'W1 Stats'!C20+'W2 Stats'!C20+'W3 Stats'!C20+'W4 Stats'!C20</f>
        <v>0</v>
      </c>
      <c r="D20" s="95">
        <f>'W1 Stats'!D20+'W2 Stats'!D20+'W3 Stats'!D20+'W4 Stats'!D20</f>
        <v>0</v>
      </c>
      <c r="E20" s="95">
        <f>'W1 Stats'!E20+'W2 Stats'!E20+'W3 Stats'!E20+'W4 Stats'!E20</f>
        <v>0</v>
      </c>
      <c r="F20" s="95">
        <f>'W1 Stats'!F20+'W2 Stats'!F20+'W3 Stats'!F20+'W4 Stats'!F20</f>
        <v>0</v>
      </c>
      <c r="G20" s="95">
        <f>'W1 Stats'!G20+'W2 Stats'!G20+'W3 Stats'!G20+'W4 Stats'!G20</f>
        <v>0</v>
      </c>
      <c r="H20" s="95">
        <f>'W1 Stats'!H20+'W2 Stats'!H20+'W3 Stats'!H20+'W4 Stats'!H20</f>
        <v>0</v>
      </c>
      <c r="I20" s="95">
        <f>'W1 Stats'!I20+'W2 Stats'!I20+'W3 Stats'!I20+'W4 Stats'!I20</f>
        <v>0</v>
      </c>
      <c r="J20" s="95">
        <f>'W1 Stats'!J20+'W2 Stats'!J20+'W3 Stats'!J20+'W4 Stats'!J20</f>
        <v>0</v>
      </c>
      <c r="K20" s="95">
        <f>'W1 Stats'!K20+'W2 Stats'!K20+'W3 Stats'!K20+'W4 Stats'!K20</f>
        <v>0</v>
      </c>
      <c r="L20" s="95">
        <f>'W1 Stats'!L20+'W2 Stats'!L20+'W3 Stats'!L20+'W4 Stats'!L20</f>
        <v>0</v>
      </c>
      <c r="M20" s="95">
        <f>'W1 Stats'!M20+'W2 Stats'!M20+'W3 Stats'!M20+'W4 Stats'!M20</f>
        <v>0</v>
      </c>
      <c r="N20" s="95">
        <f>'W1 Stats'!N20+'W2 Stats'!N20+'W3 Stats'!N20+'W4 Stats'!N20</f>
        <v>0</v>
      </c>
      <c r="O20" s="95">
        <f>'W1 Stats'!O20+'W2 Stats'!O20+'W3 Stats'!O20+'W4 Stats'!O20</f>
        <v>0</v>
      </c>
      <c r="P20" s="95">
        <f>'W1 Stats'!P20+'W2 Stats'!P20+'W3 Stats'!P20+'W4 Stats'!P20</f>
        <v>0</v>
      </c>
      <c r="Q20" s="95">
        <f>'W1 Stats'!Q20+'W2 Stats'!Q20+'W3 Stats'!Q20+'W4 Stats'!Q20</f>
        <v>0</v>
      </c>
      <c r="R20" s="92"/>
      <c r="S20" s="96">
        <f>'Points System'!N69</f>
        <v>0</v>
      </c>
      <c r="T20" s="96">
        <f>'Points System'!O69</f>
        <v>0</v>
      </c>
      <c r="U20" s="96">
        <f>'Points System'!P69</f>
        <v>0</v>
      </c>
      <c r="V20" s="96">
        <f>'Points System'!Q69</f>
        <v>0</v>
      </c>
      <c r="W20" s="96">
        <f t="shared" si="1"/>
        <v>0</v>
      </c>
    </row>
    <row r="21" ht="12.75" customHeight="1">
      <c r="A21" s="89"/>
      <c r="B21" s="94" t="s">
        <v>39</v>
      </c>
      <c r="C21" s="95">
        <f>'W1 Stats'!C21+'W2 Stats'!C21+'W3 Stats'!C21+'W4 Stats'!C21</f>
        <v>0</v>
      </c>
      <c r="D21" s="95">
        <f>'W1 Stats'!D21+'W2 Stats'!D21+'W3 Stats'!D21+'W4 Stats'!D21</f>
        <v>0</v>
      </c>
      <c r="E21" s="95">
        <f>'W1 Stats'!E21+'W2 Stats'!E21+'W3 Stats'!E21+'W4 Stats'!E21</f>
        <v>0</v>
      </c>
      <c r="F21" s="95">
        <f>'W1 Stats'!F21+'W2 Stats'!F21+'W3 Stats'!F21+'W4 Stats'!F21</f>
        <v>0</v>
      </c>
      <c r="G21" s="95">
        <f>'W1 Stats'!G21+'W2 Stats'!G21+'W3 Stats'!G21+'W4 Stats'!G21</f>
        <v>0</v>
      </c>
      <c r="H21" s="95">
        <f>'W1 Stats'!H21+'W2 Stats'!H21+'W3 Stats'!H21+'W4 Stats'!H21</f>
        <v>0</v>
      </c>
      <c r="I21" s="95">
        <f>'W1 Stats'!I21+'W2 Stats'!I21+'W3 Stats'!I21+'W4 Stats'!I21</f>
        <v>0</v>
      </c>
      <c r="J21" s="95">
        <f>'W1 Stats'!J21+'W2 Stats'!J21+'W3 Stats'!J21+'W4 Stats'!J21</f>
        <v>0</v>
      </c>
      <c r="K21" s="95">
        <f>'W1 Stats'!K21+'W2 Stats'!K21+'W3 Stats'!K21+'W4 Stats'!K21</f>
        <v>0</v>
      </c>
      <c r="L21" s="95">
        <f>'W1 Stats'!L21+'W2 Stats'!L21+'W3 Stats'!L21+'W4 Stats'!L21</f>
        <v>0</v>
      </c>
      <c r="M21" s="95">
        <f>'W1 Stats'!M21+'W2 Stats'!M21+'W3 Stats'!M21+'W4 Stats'!M21</f>
        <v>0</v>
      </c>
      <c r="N21" s="95">
        <f>'W1 Stats'!N21+'W2 Stats'!N21+'W3 Stats'!N21+'W4 Stats'!N21</f>
        <v>0</v>
      </c>
      <c r="O21" s="95">
        <f>'W1 Stats'!O21+'W2 Stats'!O21+'W3 Stats'!O21+'W4 Stats'!O21</f>
        <v>0</v>
      </c>
      <c r="P21" s="95">
        <f>'W1 Stats'!P21+'W2 Stats'!P21+'W3 Stats'!P21+'W4 Stats'!P21</f>
        <v>0</v>
      </c>
      <c r="Q21" s="95">
        <f>'W1 Stats'!Q21+'W2 Stats'!Q21+'W3 Stats'!Q21+'W4 Stats'!Q21</f>
        <v>0</v>
      </c>
      <c r="R21" s="92"/>
      <c r="S21" s="96">
        <f>'Points System'!T69</f>
        <v>0</v>
      </c>
      <c r="T21" s="96">
        <f>'Points System'!U69</f>
        <v>0</v>
      </c>
      <c r="U21" s="96">
        <f>'Points System'!V69</f>
        <v>0</v>
      </c>
      <c r="V21" s="96">
        <f>'Points System'!W69</f>
        <v>0</v>
      </c>
      <c r="W21" s="96">
        <f t="shared" si="1"/>
        <v>0</v>
      </c>
    </row>
    <row r="22" ht="12.75" customHeight="1">
      <c r="A22" s="89"/>
      <c r="B22" s="94" t="s">
        <v>152</v>
      </c>
      <c r="C22" s="95">
        <f>'W1 Stats'!C22+'W2 Stats'!C22+'W3 Stats'!C22+'W4 Stats'!C22</f>
        <v>0</v>
      </c>
      <c r="D22" s="95">
        <f>'W1 Stats'!D22+'W2 Stats'!D22+'W3 Stats'!D22+'W4 Stats'!D22</f>
        <v>0</v>
      </c>
      <c r="E22" s="95">
        <f>'W1 Stats'!E22+'W2 Stats'!E22+'W3 Stats'!E22+'W4 Stats'!E22</f>
        <v>0</v>
      </c>
      <c r="F22" s="95">
        <f>'W1 Stats'!F22+'W2 Stats'!F22+'W3 Stats'!F22+'W4 Stats'!F22</f>
        <v>0</v>
      </c>
      <c r="G22" s="95">
        <f>'W1 Stats'!G22+'W2 Stats'!G22+'W3 Stats'!G22+'W4 Stats'!G22</f>
        <v>0</v>
      </c>
      <c r="H22" s="95">
        <f>'W1 Stats'!H22+'W2 Stats'!H22+'W3 Stats'!H22+'W4 Stats'!H22</f>
        <v>0</v>
      </c>
      <c r="I22" s="95">
        <f>'W1 Stats'!I22+'W2 Stats'!I22+'W3 Stats'!I22+'W4 Stats'!I22</f>
        <v>0</v>
      </c>
      <c r="J22" s="95">
        <f>'W1 Stats'!J22+'W2 Stats'!J22+'W3 Stats'!J22+'W4 Stats'!J22</f>
        <v>0</v>
      </c>
      <c r="K22" s="95">
        <f>'W1 Stats'!K22+'W2 Stats'!K22+'W3 Stats'!K22+'W4 Stats'!K22</f>
        <v>0</v>
      </c>
      <c r="L22" s="95">
        <f>'W1 Stats'!L22+'W2 Stats'!L22+'W3 Stats'!L22+'W4 Stats'!L22</f>
        <v>0</v>
      </c>
      <c r="M22" s="95">
        <f>'W1 Stats'!M22+'W2 Stats'!M22+'W3 Stats'!M22+'W4 Stats'!M22</f>
        <v>0</v>
      </c>
      <c r="N22" s="95">
        <f>'W1 Stats'!N22+'W2 Stats'!N22+'W3 Stats'!N22+'W4 Stats'!N22</f>
        <v>0</v>
      </c>
      <c r="O22" s="95">
        <f>'W1 Stats'!O22+'W2 Stats'!O22+'W3 Stats'!O22+'W4 Stats'!O22</f>
        <v>0</v>
      </c>
      <c r="P22" s="95">
        <f>'W1 Stats'!P22+'W2 Stats'!P22+'W3 Stats'!P22+'W4 Stats'!P22</f>
        <v>0</v>
      </c>
      <c r="Q22" s="95">
        <f>'W1 Stats'!Q22+'W2 Stats'!Q22+'W3 Stats'!Q22+'W4 Stats'!Q22</f>
        <v>0</v>
      </c>
      <c r="R22" s="92"/>
      <c r="S22" s="96">
        <f>'Points System'!Z69</f>
        <v>0</v>
      </c>
      <c r="T22" s="96">
        <f>'Points System'!AA69</f>
        <v>0</v>
      </c>
      <c r="U22" s="96">
        <f>'Points System'!AB69</f>
        <v>0</v>
      </c>
      <c r="V22" s="96">
        <f>'Points System'!AC69</f>
        <v>0</v>
      </c>
      <c r="W22" s="96">
        <f t="shared" si="1"/>
        <v>0</v>
      </c>
    </row>
    <row r="23" ht="12.75" customHeight="1">
      <c r="A23" s="89"/>
      <c r="B23" s="90" t="s">
        <v>138</v>
      </c>
      <c r="C23" s="91">
        <f>'W1 Stats'!C23+'W2 Stats'!C23+'W3 Stats'!C23+'W4 Stats'!C23</f>
        <v>0</v>
      </c>
      <c r="D23" s="91">
        <f>'W1 Stats'!D23+'W2 Stats'!D23+'W3 Stats'!D23+'W4 Stats'!D23</f>
        <v>0</v>
      </c>
      <c r="E23" s="91">
        <f>'W1 Stats'!E23+'W2 Stats'!E23+'W3 Stats'!E23+'W4 Stats'!E23</f>
        <v>0</v>
      </c>
      <c r="F23" s="91">
        <f>'W1 Stats'!F23+'W2 Stats'!F23+'W3 Stats'!F23+'W4 Stats'!F23</f>
        <v>0</v>
      </c>
      <c r="G23" s="91">
        <f>'W1 Stats'!G23+'W2 Stats'!G23+'W3 Stats'!G23+'W4 Stats'!G23</f>
        <v>0</v>
      </c>
      <c r="H23" s="91">
        <f>'W1 Stats'!H23+'W2 Stats'!H23+'W3 Stats'!H23+'W4 Stats'!H23</f>
        <v>0</v>
      </c>
      <c r="I23" s="91">
        <f>'W1 Stats'!I23+'W2 Stats'!I23+'W3 Stats'!I23+'W4 Stats'!I23</f>
        <v>0</v>
      </c>
      <c r="J23" s="91">
        <f>'W1 Stats'!J23+'W2 Stats'!J23+'W3 Stats'!J23+'W4 Stats'!J23</f>
        <v>0</v>
      </c>
      <c r="K23" s="91">
        <f>'W1 Stats'!K23+'W2 Stats'!K23+'W3 Stats'!K23+'W4 Stats'!K23</f>
        <v>0</v>
      </c>
      <c r="L23" s="91">
        <f>'W1 Stats'!L23+'W2 Stats'!L23+'W3 Stats'!L23+'W4 Stats'!L23</f>
        <v>0</v>
      </c>
      <c r="M23" s="91">
        <f>'W1 Stats'!M23+'W2 Stats'!M23+'W3 Stats'!M23+'W4 Stats'!M23</f>
        <v>0</v>
      </c>
      <c r="N23" s="91">
        <f>'W1 Stats'!N23+'W2 Stats'!N23+'W3 Stats'!N23+'W4 Stats'!N23</f>
        <v>0</v>
      </c>
      <c r="O23" s="91">
        <f>'W1 Stats'!O23+'W2 Stats'!O23+'W3 Stats'!O23+'W4 Stats'!O23</f>
        <v>0</v>
      </c>
      <c r="P23" s="91">
        <f>'W1 Stats'!P23+'W2 Stats'!P23+'W3 Stats'!P23+'W4 Stats'!P23</f>
        <v>0</v>
      </c>
      <c r="Q23" s="91">
        <f>'W1 Stats'!Q23+'W2 Stats'!Q23+'W3 Stats'!Q23+'W4 Stats'!Q23</f>
        <v>0</v>
      </c>
      <c r="R23" s="97"/>
      <c r="S23" s="93">
        <f>'Points System'!B83</f>
        <v>0</v>
      </c>
      <c r="T23" s="93">
        <f>'Points System'!C83</f>
        <v>0</v>
      </c>
      <c r="U23" s="93">
        <f>'Points System'!D83</f>
        <v>0</v>
      </c>
      <c r="V23" s="93">
        <f>'Points System'!E83</f>
        <v>0</v>
      </c>
      <c r="W23" s="93">
        <f t="shared" si="1"/>
        <v>0</v>
      </c>
    </row>
    <row r="24" ht="12.75" customHeight="1">
      <c r="A24" s="89"/>
      <c r="B24" s="90" t="s">
        <v>153</v>
      </c>
      <c r="C24" s="91">
        <f>'W1 Stats'!C24+'W2 Stats'!C24+'W3 Stats'!C24+'W4 Stats'!C24</f>
        <v>1</v>
      </c>
      <c r="D24" s="91">
        <f>'W1 Stats'!D24+'W2 Stats'!D24+'W3 Stats'!D24+'W4 Stats'!D24</f>
        <v>0</v>
      </c>
      <c r="E24" s="91">
        <f>'W1 Stats'!E24+'W2 Stats'!E24+'W3 Stats'!E24+'W4 Stats'!E24</f>
        <v>168</v>
      </c>
      <c r="F24" s="91">
        <f>'W1 Stats'!F24+'W2 Stats'!F24+'W3 Stats'!F24+'W4 Stats'!F24</f>
        <v>210</v>
      </c>
      <c r="G24" s="91">
        <f>'W1 Stats'!G24+'W2 Stats'!G24+'W3 Stats'!G24+'W4 Stats'!G24</f>
        <v>154</v>
      </c>
      <c r="H24" s="91">
        <f>'W1 Stats'!H24+'W2 Stats'!H24+'W3 Stats'!H24+'W4 Stats'!H24</f>
        <v>12</v>
      </c>
      <c r="I24" s="91">
        <f>'W1 Stats'!I24+'W2 Stats'!I24+'W3 Stats'!I24+'W4 Stats'!I24</f>
        <v>2</v>
      </c>
      <c r="J24" s="91">
        <f>'W1 Stats'!J24+'W2 Stats'!J24+'W3 Stats'!J24+'W4 Stats'!J24</f>
        <v>-42</v>
      </c>
      <c r="K24" s="91">
        <f>'W1 Stats'!K24+'W2 Stats'!K24+'W3 Stats'!K24+'W4 Stats'!K24</f>
        <v>3</v>
      </c>
      <c r="L24" s="91">
        <f>'W1 Stats'!L24+'W2 Stats'!L24+'W3 Stats'!L24+'W4 Stats'!L24</f>
        <v>0</v>
      </c>
      <c r="M24" s="91">
        <f>'W1 Stats'!M24+'W2 Stats'!M24+'W3 Stats'!M24+'W4 Stats'!M24</f>
        <v>32</v>
      </c>
      <c r="N24" s="91">
        <f>'W1 Stats'!N24+'W2 Stats'!N24+'W3 Stats'!N24+'W4 Stats'!N24</f>
        <v>4</v>
      </c>
      <c r="O24" s="91">
        <f>'W1 Stats'!O24+'W2 Stats'!O24+'W3 Stats'!O24+'W4 Stats'!O24</f>
        <v>8</v>
      </c>
      <c r="P24" s="91">
        <f>'W1 Stats'!P24+'W2 Stats'!P24+'W3 Stats'!P24+'W4 Stats'!P24</f>
        <v>8</v>
      </c>
      <c r="Q24" s="91">
        <f>'W1 Stats'!Q24+'W2 Stats'!Q24+'W3 Stats'!Q24+'W4 Stats'!Q24</f>
        <v>0</v>
      </c>
      <c r="R24" s="97"/>
      <c r="S24" s="93" t="s">
        <v>154</v>
      </c>
      <c r="T24" s="93" t="s">
        <v>154</v>
      </c>
      <c r="U24" s="93" t="s">
        <v>154</v>
      </c>
      <c r="V24" s="93" t="s">
        <v>154</v>
      </c>
      <c r="W24" s="93" t="s">
        <v>154</v>
      </c>
    </row>
    <row r="25" ht="12.75" customHeight="1">
      <c r="A25" s="89"/>
      <c r="B25" s="90" t="s">
        <v>155</v>
      </c>
      <c r="C25" s="91">
        <f>'W1 Stats'!C25+'W2 Stats'!C25+'W3 Stats'!C25+'W4 Stats'!C25</f>
        <v>0</v>
      </c>
      <c r="D25" s="91">
        <f>'W1 Stats'!D25+'W2 Stats'!D25+'W3 Stats'!D25+'W4 Stats'!D25</f>
        <v>0</v>
      </c>
      <c r="E25" s="91">
        <f>'W1 Stats'!E25+'W2 Stats'!E25+'W3 Stats'!E25+'W4 Stats'!E25</f>
        <v>0</v>
      </c>
      <c r="F25" s="91">
        <f>'W1 Stats'!F25+'W2 Stats'!F25+'W3 Stats'!F25+'W4 Stats'!F25</f>
        <v>0</v>
      </c>
      <c r="G25" s="91">
        <f>'W1 Stats'!G25+'W2 Stats'!G25+'W3 Stats'!G25+'W4 Stats'!G25</f>
        <v>0</v>
      </c>
      <c r="H25" s="91">
        <f>'W1 Stats'!H25+'W2 Stats'!H25+'W3 Stats'!H25+'W4 Stats'!H25</f>
        <v>0</v>
      </c>
      <c r="I25" s="91">
        <f>'W1 Stats'!I25+'W2 Stats'!I25+'W3 Stats'!I25+'W4 Stats'!I25</f>
        <v>0</v>
      </c>
      <c r="J25" s="91">
        <f>'W1 Stats'!J25+'W2 Stats'!J25+'W3 Stats'!J25+'W4 Stats'!J25</f>
        <v>0</v>
      </c>
      <c r="K25" s="91">
        <f>'W1 Stats'!K25+'W2 Stats'!K25+'W3 Stats'!K25+'W4 Stats'!K25</f>
        <v>0</v>
      </c>
      <c r="L25" s="91">
        <f>'W1 Stats'!L25+'W2 Stats'!L25+'W3 Stats'!L25+'W4 Stats'!L25</f>
        <v>0</v>
      </c>
      <c r="M25" s="91">
        <f>'W1 Stats'!M25+'W2 Stats'!M25+'W3 Stats'!M25+'W4 Stats'!M25</f>
        <v>0</v>
      </c>
      <c r="N25" s="91">
        <f>'W1 Stats'!N25+'W2 Stats'!N25+'W3 Stats'!N25+'W4 Stats'!N25</f>
        <v>0</v>
      </c>
      <c r="O25" s="91">
        <f>'W1 Stats'!O25+'W2 Stats'!O25+'W3 Stats'!O25+'W4 Stats'!O25</f>
        <v>0</v>
      </c>
      <c r="P25" s="91">
        <f>'W1 Stats'!P25+'W2 Stats'!P25+'W3 Stats'!P25+'W4 Stats'!P25</f>
        <v>0</v>
      </c>
      <c r="Q25" s="91">
        <f>'W1 Stats'!Q25+'W2 Stats'!Q25+'W3 Stats'!Q25+'W4 Stats'!Q25</f>
        <v>0</v>
      </c>
      <c r="R25" s="97"/>
      <c r="S25" s="93">
        <f>'Points System'!H83</f>
        <v>0</v>
      </c>
      <c r="T25" s="93">
        <f>'Points System'!I83</f>
        <v>0</v>
      </c>
      <c r="U25" s="93">
        <f>'Points System'!J83</f>
        <v>0</v>
      </c>
      <c r="V25" s="93">
        <f>'Points System'!K83</f>
        <v>0</v>
      </c>
      <c r="W25" s="93">
        <f t="shared" ref="W25:W33" si="2">SUM(S25:V25)</f>
        <v>0</v>
      </c>
    </row>
    <row r="26" ht="12.75" customHeight="1">
      <c r="A26" s="89"/>
      <c r="B26" s="90" t="s">
        <v>25</v>
      </c>
      <c r="C26" s="91">
        <f>'W1 Stats'!C26+'W2 Stats'!C26+'W3 Stats'!C26+'W4 Stats'!C26</f>
        <v>1</v>
      </c>
      <c r="D26" s="91">
        <f>'W1 Stats'!D26+'W2 Stats'!D26+'W3 Stats'!D26+'W4 Stats'!D26</f>
        <v>0</v>
      </c>
      <c r="E26" s="91">
        <f>'W1 Stats'!E26+'W2 Stats'!E26+'W3 Stats'!E26+'W4 Stats'!E26</f>
        <v>199</v>
      </c>
      <c r="F26" s="91">
        <f>'W1 Stats'!F26+'W2 Stats'!F26+'W3 Stats'!F26+'W4 Stats'!F26</f>
        <v>184</v>
      </c>
      <c r="G26" s="91">
        <f>'W1 Stats'!G26+'W2 Stats'!G26+'W3 Stats'!G26+'W4 Stats'!G26</f>
        <v>183</v>
      </c>
      <c r="H26" s="91">
        <f>'W1 Stats'!H26+'W2 Stats'!H26+'W3 Stats'!H26+'W4 Stats'!H26</f>
        <v>15</v>
      </c>
      <c r="I26" s="91">
        <f>'W1 Stats'!I26+'W2 Stats'!I26+'W3 Stats'!I26+'W4 Stats'!I26</f>
        <v>1</v>
      </c>
      <c r="J26" s="91">
        <f>'W1 Stats'!J26+'W2 Stats'!J26+'W3 Stats'!J26+'W4 Stats'!J26</f>
        <v>15</v>
      </c>
      <c r="K26" s="91">
        <f>'W1 Stats'!K26+'W2 Stats'!K26+'W3 Stats'!K26+'W4 Stats'!K26</f>
        <v>3</v>
      </c>
      <c r="L26" s="91">
        <f>'W1 Stats'!L26+'W2 Stats'!L26+'W3 Stats'!L26+'W4 Stats'!L26</f>
        <v>0</v>
      </c>
      <c r="M26" s="91">
        <f>'W1 Stats'!M26+'W2 Stats'!M26+'W3 Stats'!M26+'W4 Stats'!M26</f>
        <v>52</v>
      </c>
      <c r="N26" s="91">
        <f>'W1 Stats'!N26+'W2 Stats'!N26+'W3 Stats'!N26+'W4 Stats'!N26</f>
        <v>3</v>
      </c>
      <c r="O26" s="91">
        <f>'W1 Stats'!O26+'W2 Stats'!O26+'W3 Stats'!O26+'W4 Stats'!O26</f>
        <v>7</v>
      </c>
      <c r="P26" s="91">
        <f>'W1 Stats'!P26+'W2 Stats'!P26+'W3 Stats'!P26+'W4 Stats'!P26</f>
        <v>4</v>
      </c>
      <c r="Q26" s="91">
        <f>'W1 Stats'!Q26+'W2 Stats'!Q26+'W3 Stats'!Q26+'W4 Stats'!Q26</f>
        <v>0</v>
      </c>
      <c r="R26" s="97"/>
      <c r="S26" s="93">
        <f>'Points System'!N83</f>
        <v>2</v>
      </c>
      <c r="T26" s="93">
        <f>'Points System'!O83</f>
        <v>133</v>
      </c>
      <c r="U26" s="93">
        <f>'Points System'!P83</f>
        <v>72</v>
      </c>
      <c r="V26" s="93">
        <f>'Points System'!Q83</f>
        <v>82</v>
      </c>
      <c r="W26" s="93">
        <f t="shared" si="2"/>
        <v>289</v>
      </c>
    </row>
    <row r="27" ht="12.75" customHeight="1">
      <c r="A27" s="89"/>
      <c r="B27" s="90" t="s">
        <v>133</v>
      </c>
      <c r="C27" s="91">
        <f>'W1 Stats'!C27+'W2 Stats'!C27+'W3 Stats'!C27+'W4 Stats'!C27</f>
        <v>1</v>
      </c>
      <c r="D27" s="91">
        <f>'W1 Stats'!D27+'W2 Stats'!D27+'W3 Stats'!D27+'W4 Stats'!D27</f>
        <v>1</v>
      </c>
      <c r="E27" s="91">
        <f>'W1 Stats'!E27+'W2 Stats'!E27+'W3 Stats'!E27+'W4 Stats'!E27</f>
        <v>167</v>
      </c>
      <c r="F27" s="91">
        <f>'W1 Stats'!F27+'W2 Stats'!F27+'W3 Stats'!F27+'W4 Stats'!F27</f>
        <v>166</v>
      </c>
      <c r="G27" s="91">
        <f>'W1 Stats'!G27+'W2 Stats'!G27+'W3 Stats'!G27+'W4 Stats'!G27</f>
        <v>153</v>
      </c>
      <c r="H27" s="91">
        <f>'W1 Stats'!H27+'W2 Stats'!H27+'W3 Stats'!H27+'W4 Stats'!H27</f>
        <v>11</v>
      </c>
      <c r="I27" s="91">
        <f>'W1 Stats'!I27+'W2 Stats'!I27+'W3 Stats'!I27+'W4 Stats'!I27</f>
        <v>3</v>
      </c>
      <c r="J27" s="91">
        <f>'W1 Stats'!J27+'W2 Stats'!J27+'W3 Stats'!J27+'W4 Stats'!J27</f>
        <v>1</v>
      </c>
      <c r="K27" s="91">
        <f>'W1 Stats'!K27+'W2 Stats'!K27+'W3 Stats'!K27+'W4 Stats'!K27</f>
        <v>0</v>
      </c>
      <c r="L27" s="91">
        <f>'W1 Stats'!L27+'W2 Stats'!L27+'W3 Stats'!L27+'W4 Stats'!L27</f>
        <v>1</v>
      </c>
      <c r="M27" s="91">
        <f>'W1 Stats'!M27+'W2 Stats'!M27+'W3 Stats'!M27+'W4 Stats'!M27</f>
        <v>37</v>
      </c>
      <c r="N27" s="91">
        <f>'W1 Stats'!N27+'W2 Stats'!N27+'W3 Stats'!N27+'W4 Stats'!N27</f>
        <v>1</v>
      </c>
      <c r="O27" s="91">
        <f>'W1 Stats'!O27+'W2 Stats'!O27+'W3 Stats'!O27+'W4 Stats'!O27</f>
        <v>15</v>
      </c>
      <c r="P27" s="91">
        <f>'W1 Stats'!P27+'W2 Stats'!P27+'W3 Stats'!P27+'W4 Stats'!P27</f>
        <v>3</v>
      </c>
      <c r="Q27" s="91">
        <f>'W1 Stats'!Q27+'W2 Stats'!Q27+'W3 Stats'!Q27+'W4 Stats'!Q27</f>
        <v>0</v>
      </c>
      <c r="R27" s="97"/>
      <c r="S27" s="93">
        <f>'Points System'!T83</f>
        <v>36</v>
      </c>
      <c r="T27" s="93">
        <f>'Points System'!U83</f>
        <v>84</v>
      </c>
      <c r="U27" s="93">
        <f>'Points System'!V83</f>
        <v>40</v>
      </c>
      <c r="V27" s="93">
        <f>'Points System'!W83</f>
        <v>57</v>
      </c>
      <c r="W27" s="93">
        <f t="shared" si="2"/>
        <v>217</v>
      </c>
    </row>
    <row r="28" ht="12.75" customHeight="1">
      <c r="A28" s="89"/>
      <c r="B28" s="90" t="s">
        <v>106</v>
      </c>
      <c r="C28" s="91">
        <f>'W1 Stats'!C28+'W2 Stats'!C28+'W3 Stats'!C28+'W4 Stats'!C28</f>
        <v>1</v>
      </c>
      <c r="D28" s="91">
        <f>'W1 Stats'!D28+'W2 Stats'!D28+'W3 Stats'!D28+'W4 Stats'!D28</f>
        <v>3</v>
      </c>
      <c r="E28" s="91">
        <f>'W1 Stats'!E28+'W2 Stats'!E28+'W3 Stats'!E28+'W4 Stats'!E28</f>
        <v>111</v>
      </c>
      <c r="F28" s="91">
        <f>'W1 Stats'!F28+'W2 Stats'!F28+'W3 Stats'!F28+'W4 Stats'!F28</f>
        <v>143</v>
      </c>
      <c r="G28" s="91">
        <f>'W1 Stats'!G28+'W2 Stats'!G28+'W3 Stats'!G28+'W4 Stats'!G28</f>
        <v>83</v>
      </c>
      <c r="H28" s="91">
        <f>'W1 Stats'!H28+'W2 Stats'!H28+'W3 Stats'!H28+'W4 Stats'!H28</f>
        <v>15</v>
      </c>
      <c r="I28" s="91">
        <f>'W1 Stats'!I28+'W2 Stats'!I28+'W3 Stats'!I28+'W4 Stats'!I28</f>
        <v>13</v>
      </c>
      <c r="J28" s="91">
        <f>'W1 Stats'!J28+'W2 Stats'!J28+'W3 Stats'!J28+'W4 Stats'!J28</f>
        <v>-32</v>
      </c>
      <c r="K28" s="91">
        <f>'W1 Stats'!K28+'W2 Stats'!K28+'W3 Stats'!K28+'W4 Stats'!K28</f>
        <v>0</v>
      </c>
      <c r="L28" s="91">
        <f>'W1 Stats'!L28+'W2 Stats'!L28+'W3 Stats'!L28+'W4 Stats'!L28</f>
        <v>2</v>
      </c>
      <c r="M28" s="91">
        <f>'W1 Stats'!M28+'W2 Stats'!M28+'W3 Stats'!M28+'W4 Stats'!M28</f>
        <v>20</v>
      </c>
      <c r="N28" s="91">
        <f>'W1 Stats'!N28+'W2 Stats'!N28+'W3 Stats'!N28+'W4 Stats'!N28</f>
        <v>4</v>
      </c>
      <c r="O28" s="91">
        <f>'W1 Stats'!O28+'W2 Stats'!O28+'W3 Stats'!O28+'W4 Stats'!O28</f>
        <v>5</v>
      </c>
      <c r="P28" s="91">
        <f>'W1 Stats'!P28+'W2 Stats'!P28+'W3 Stats'!P28+'W4 Stats'!P28</f>
        <v>4</v>
      </c>
      <c r="Q28" s="91">
        <f>'W1 Stats'!Q28+'W2 Stats'!Q28+'W3 Stats'!Q28+'W4 Stats'!Q28</f>
        <v>0</v>
      </c>
      <c r="R28" s="97"/>
      <c r="S28" s="93">
        <f>'Points System'!Z83</f>
        <v>101</v>
      </c>
      <c r="T28" s="93">
        <f>'Points System'!AA83</f>
        <v>-29</v>
      </c>
      <c r="U28" s="93">
        <f>'Points System'!AB83</f>
        <v>97</v>
      </c>
      <c r="V28" s="93">
        <f>'Points System'!AC83</f>
        <v>56</v>
      </c>
      <c r="W28" s="93">
        <f t="shared" si="2"/>
        <v>225</v>
      </c>
    </row>
    <row r="29" ht="12.75" customHeight="1">
      <c r="A29" s="89"/>
      <c r="B29" s="94" t="s">
        <v>107</v>
      </c>
      <c r="C29" s="95">
        <f>'W1 Stats'!C29+'W2 Stats'!C29+'W3 Stats'!C29+'W4 Stats'!C29</f>
        <v>0</v>
      </c>
      <c r="D29" s="95">
        <f>'W1 Stats'!D29+'W2 Stats'!D29+'W3 Stats'!D29+'W4 Stats'!D29</f>
        <v>0</v>
      </c>
      <c r="E29" s="95">
        <f>'W1 Stats'!E29+'W2 Stats'!E29+'W3 Stats'!E29+'W4 Stats'!E29</f>
        <v>0</v>
      </c>
      <c r="F29" s="95">
        <f>'W1 Stats'!F29+'W2 Stats'!F29+'W3 Stats'!F29+'W4 Stats'!F29</f>
        <v>0</v>
      </c>
      <c r="G29" s="95">
        <f>'W1 Stats'!G29+'W2 Stats'!G29+'W3 Stats'!G29+'W4 Stats'!G29</f>
        <v>0</v>
      </c>
      <c r="H29" s="95">
        <f>'W1 Stats'!H29+'W2 Stats'!H29+'W3 Stats'!H29+'W4 Stats'!H29</f>
        <v>0</v>
      </c>
      <c r="I29" s="95">
        <f>'W1 Stats'!I29+'W2 Stats'!I29+'W3 Stats'!I29+'W4 Stats'!I29</f>
        <v>0</v>
      </c>
      <c r="J29" s="95">
        <f>'W1 Stats'!J29+'W2 Stats'!J29+'W3 Stats'!J29+'W4 Stats'!J29</f>
        <v>0</v>
      </c>
      <c r="K29" s="95">
        <f>'W1 Stats'!K29+'W2 Stats'!K29+'W3 Stats'!K29+'W4 Stats'!K29</f>
        <v>0</v>
      </c>
      <c r="L29" s="95">
        <f>'W1 Stats'!L29+'W2 Stats'!L29+'W3 Stats'!L29+'W4 Stats'!L29</f>
        <v>0</v>
      </c>
      <c r="M29" s="95">
        <f>'W1 Stats'!M29+'W2 Stats'!M29+'W3 Stats'!M29+'W4 Stats'!M29</f>
        <v>0</v>
      </c>
      <c r="N29" s="95">
        <f>'W1 Stats'!N29+'W2 Stats'!N29+'W3 Stats'!N29+'W4 Stats'!N29</f>
        <v>0</v>
      </c>
      <c r="O29" s="95">
        <f>'W1 Stats'!O29+'W2 Stats'!O29+'W3 Stats'!O29+'W4 Stats'!O29</f>
        <v>0</v>
      </c>
      <c r="P29" s="95">
        <f>'W1 Stats'!P29+'W2 Stats'!P29+'W3 Stats'!P29+'W4 Stats'!P29</f>
        <v>0</v>
      </c>
      <c r="Q29" s="95">
        <f>'W1 Stats'!Q29+'W2 Stats'!Q29+'W3 Stats'!Q29+'W4 Stats'!Q29</f>
        <v>0</v>
      </c>
      <c r="R29" s="97"/>
      <c r="S29" s="96">
        <f>'Points System'!B97</f>
        <v>0</v>
      </c>
      <c r="T29" s="96">
        <f>'Points System'!C97</f>
        <v>0</v>
      </c>
      <c r="U29" s="96">
        <f>'Points System'!D97</f>
        <v>0</v>
      </c>
      <c r="V29" s="96">
        <f>'Points System'!E97</f>
        <v>0</v>
      </c>
      <c r="W29" s="96">
        <f t="shared" si="2"/>
        <v>0</v>
      </c>
    </row>
    <row r="30" ht="12.75" customHeight="1">
      <c r="A30" s="89"/>
      <c r="B30" s="94" t="s">
        <v>100</v>
      </c>
      <c r="C30" s="95">
        <f>'W1 Stats'!C30+'W2 Stats'!C30+'W3 Stats'!C30+'W4 Stats'!C30</f>
        <v>0</v>
      </c>
      <c r="D30" s="95">
        <f>'W1 Stats'!D30+'W2 Stats'!D30+'W3 Stats'!D30+'W4 Stats'!D30</f>
        <v>0</v>
      </c>
      <c r="E30" s="95">
        <f>'W1 Stats'!E30+'W2 Stats'!E30+'W3 Stats'!E30+'W4 Stats'!E30</f>
        <v>0</v>
      </c>
      <c r="F30" s="95">
        <f>'W1 Stats'!F30+'W2 Stats'!F30+'W3 Stats'!F30+'W4 Stats'!F30</f>
        <v>0</v>
      </c>
      <c r="G30" s="95">
        <f>'W1 Stats'!G30+'W2 Stats'!G30+'W3 Stats'!G30+'W4 Stats'!G30</f>
        <v>0</v>
      </c>
      <c r="H30" s="95">
        <f>'W1 Stats'!H30+'W2 Stats'!H30+'W3 Stats'!H30+'W4 Stats'!H30</f>
        <v>0</v>
      </c>
      <c r="I30" s="95">
        <f>'W1 Stats'!I30+'W2 Stats'!I30+'W3 Stats'!I30+'W4 Stats'!I30</f>
        <v>0</v>
      </c>
      <c r="J30" s="95">
        <f>'W1 Stats'!J30+'W2 Stats'!J30+'W3 Stats'!J30+'W4 Stats'!J30</f>
        <v>0</v>
      </c>
      <c r="K30" s="95">
        <f>'W1 Stats'!K30+'W2 Stats'!K30+'W3 Stats'!K30+'W4 Stats'!K30</f>
        <v>0</v>
      </c>
      <c r="L30" s="95">
        <f>'W1 Stats'!L30+'W2 Stats'!L30+'W3 Stats'!L30+'W4 Stats'!L30</f>
        <v>0</v>
      </c>
      <c r="M30" s="95">
        <f>'W1 Stats'!M30+'W2 Stats'!M30+'W3 Stats'!M30+'W4 Stats'!M30</f>
        <v>0</v>
      </c>
      <c r="N30" s="95">
        <f>'W1 Stats'!N30+'W2 Stats'!N30+'W3 Stats'!N30+'W4 Stats'!N30</f>
        <v>0</v>
      </c>
      <c r="O30" s="95">
        <f>'W1 Stats'!O30+'W2 Stats'!O30+'W3 Stats'!O30+'W4 Stats'!O30</f>
        <v>0</v>
      </c>
      <c r="P30" s="95">
        <f>'W1 Stats'!P30+'W2 Stats'!P30+'W3 Stats'!P30+'W4 Stats'!P30</f>
        <v>0</v>
      </c>
      <c r="Q30" s="95">
        <f>'W1 Stats'!Q30+'W2 Stats'!Q30+'W3 Stats'!Q30+'W4 Stats'!Q30</f>
        <v>0</v>
      </c>
      <c r="R30" s="92"/>
      <c r="S30" s="96">
        <f>'Points System'!H97</f>
        <v>0</v>
      </c>
      <c r="T30" s="96">
        <f>'Points System'!I97</f>
        <v>0</v>
      </c>
      <c r="U30" s="96">
        <f>'Points System'!J97</f>
        <v>0</v>
      </c>
      <c r="V30" s="96">
        <f>'Points System'!K97</f>
        <v>0</v>
      </c>
      <c r="W30" s="96">
        <f t="shared" si="2"/>
        <v>0</v>
      </c>
    </row>
    <row r="31" ht="12.75" customHeight="1">
      <c r="A31" s="89"/>
      <c r="B31" s="94" t="s">
        <v>131</v>
      </c>
      <c r="C31" s="95">
        <f>'W1 Stats'!C31+'W2 Stats'!C31+'W3 Stats'!C31+'W4 Stats'!C31</f>
        <v>0</v>
      </c>
      <c r="D31" s="95">
        <f>'W1 Stats'!D31+'W2 Stats'!D31+'W3 Stats'!D31+'W4 Stats'!D31</f>
        <v>0</v>
      </c>
      <c r="E31" s="95">
        <f>'W1 Stats'!E31+'W2 Stats'!E31+'W3 Stats'!E31+'W4 Stats'!E31</f>
        <v>0</v>
      </c>
      <c r="F31" s="95">
        <f>'W1 Stats'!F31+'W2 Stats'!F31+'W3 Stats'!F31+'W4 Stats'!F31</f>
        <v>0</v>
      </c>
      <c r="G31" s="95">
        <f>'W1 Stats'!G31+'W2 Stats'!G31+'W3 Stats'!G31+'W4 Stats'!G31</f>
        <v>0</v>
      </c>
      <c r="H31" s="95">
        <f>'W1 Stats'!H31+'W2 Stats'!H31+'W3 Stats'!H31+'W4 Stats'!H31</f>
        <v>0</v>
      </c>
      <c r="I31" s="95">
        <f>'W1 Stats'!I31+'W2 Stats'!I31+'W3 Stats'!I31+'W4 Stats'!I31</f>
        <v>0</v>
      </c>
      <c r="J31" s="95">
        <f>'W1 Stats'!J31+'W2 Stats'!J31+'W3 Stats'!J31+'W4 Stats'!J31</f>
        <v>0</v>
      </c>
      <c r="K31" s="95">
        <f>'W1 Stats'!K31+'W2 Stats'!K31+'W3 Stats'!K31+'W4 Stats'!K31</f>
        <v>0</v>
      </c>
      <c r="L31" s="95">
        <f>'W1 Stats'!L31+'W2 Stats'!L31+'W3 Stats'!L31+'W4 Stats'!L31</f>
        <v>0</v>
      </c>
      <c r="M31" s="95">
        <f>'W1 Stats'!M31+'W2 Stats'!M31+'W3 Stats'!M31+'W4 Stats'!M31</f>
        <v>0</v>
      </c>
      <c r="N31" s="95">
        <f>'W1 Stats'!N31+'W2 Stats'!N31+'W3 Stats'!N31+'W4 Stats'!N31</f>
        <v>0</v>
      </c>
      <c r="O31" s="95">
        <f>'W1 Stats'!O31+'W2 Stats'!O31+'W3 Stats'!O31+'W4 Stats'!O31</f>
        <v>0</v>
      </c>
      <c r="P31" s="95">
        <f>'W1 Stats'!P31+'W2 Stats'!P31+'W3 Stats'!P31+'W4 Stats'!P31</f>
        <v>0</v>
      </c>
      <c r="Q31" s="95">
        <f>'W1 Stats'!Q31+'W2 Stats'!Q31+'W3 Stats'!Q31+'W4 Stats'!Q31</f>
        <v>0</v>
      </c>
      <c r="R31" s="92"/>
      <c r="S31" s="96">
        <f>'Points System'!N97</f>
        <v>0</v>
      </c>
      <c r="T31" s="96">
        <f>'Points System'!O97</f>
        <v>0</v>
      </c>
      <c r="U31" s="96">
        <f>'Points System'!P97</f>
        <v>0</v>
      </c>
      <c r="V31" s="96">
        <f>'Points System'!Q97</f>
        <v>0</v>
      </c>
      <c r="W31" s="96">
        <f t="shared" si="2"/>
        <v>0</v>
      </c>
    </row>
    <row r="32" ht="12.75" customHeight="1">
      <c r="A32" s="89"/>
      <c r="B32" s="94" t="s">
        <v>126</v>
      </c>
      <c r="C32" s="95">
        <f>'W1 Stats'!C32+'W2 Stats'!C32+'W3 Stats'!C32+'W4 Stats'!C32</f>
        <v>0</v>
      </c>
      <c r="D32" s="95">
        <f>'W1 Stats'!D32+'W2 Stats'!D32+'W3 Stats'!D32+'W4 Stats'!D32</f>
        <v>0</v>
      </c>
      <c r="E32" s="95">
        <f>'W1 Stats'!E32+'W2 Stats'!E32+'W3 Stats'!E32+'W4 Stats'!E32</f>
        <v>0</v>
      </c>
      <c r="F32" s="95">
        <f>'W1 Stats'!F32+'W2 Stats'!F32+'W3 Stats'!F32+'W4 Stats'!F32</f>
        <v>0</v>
      </c>
      <c r="G32" s="95">
        <f>'W1 Stats'!G32+'W2 Stats'!G32+'W3 Stats'!G32+'W4 Stats'!G32</f>
        <v>0</v>
      </c>
      <c r="H32" s="95">
        <f>'W1 Stats'!H32+'W2 Stats'!H32+'W3 Stats'!H32+'W4 Stats'!H32</f>
        <v>0</v>
      </c>
      <c r="I32" s="95">
        <f>'W1 Stats'!I32+'W2 Stats'!I32+'W3 Stats'!I32+'W4 Stats'!I32</f>
        <v>0</v>
      </c>
      <c r="J32" s="95">
        <f>'W1 Stats'!J32+'W2 Stats'!J32+'W3 Stats'!J32+'W4 Stats'!J32</f>
        <v>0</v>
      </c>
      <c r="K32" s="95">
        <f>'W1 Stats'!K32+'W2 Stats'!K32+'W3 Stats'!K32+'W4 Stats'!K32</f>
        <v>0</v>
      </c>
      <c r="L32" s="95">
        <f>'W1 Stats'!L32+'W2 Stats'!L32+'W3 Stats'!L32+'W4 Stats'!L32</f>
        <v>0</v>
      </c>
      <c r="M32" s="95">
        <f>'W1 Stats'!M32+'W2 Stats'!M32+'W3 Stats'!M32+'W4 Stats'!M32</f>
        <v>0</v>
      </c>
      <c r="N32" s="95">
        <f>'W1 Stats'!N32+'W2 Stats'!N32+'W3 Stats'!N32+'W4 Stats'!N32</f>
        <v>0</v>
      </c>
      <c r="O32" s="95">
        <f>'W1 Stats'!O32+'W2 Stats'!O32+'W3 Stats'!O32+'W4 Stats'!O32</f>
        <v>0</v>
      </c>
      <c r="P32" s="95">
        <f>'W1 Stats'!P32+'W2 Stats'!P32+'W3 Stats'!P32+'W4 Stats'!P32</f>
        <v>0</v>
      </c>
      <c r="Q32" s="95">
        <f>'W1 Stats'!Q32+'W2 Stats'!Q32+'W3 Stats'!Q32+'W4 Stats'!Q32</f>
        <v>0</v>
      </c>
      <c r="R32" s="92"/>
      <c r="S32" s="96">
        <f>'Points System'!T97</f>
        <v>0</v>
      </c>
      <c r="T32" s="96">
        <f>'Points System'!U97</f>
        <v>0</v>
      </c>
      <c r="U32" s="96">
        <f>'Points System'!V97</f>
        <v>0</v>
      </c>
      <c r="V32" s="96">
        <f>'Points System'!W97</f>
        <v>0</v>
      </c>
      <c r="W32" s="96">
        <f t="shared" si="2"/>
        <v>0</v>
      </c>
    </row>
    <row r="33" ht="12.75" customHeight="1">
      <c r="A33" s="98"/>
      <c r="B33" s="94" t="s">
        <v>156</v>
      </c>
      <c r="C33" s="95">
        <f>'W1 Stats'!C33+'W2 Stats'!C33+'W3 Stats'!C33+'W4 Stats'!C33</f>
        <v>0</v>
      </c>
      <c r="D33" s="95">
        <f>'W1 Stats'!D33+'W2 Stats'!D33+'W3 Stats'!D33+'W4 Stats'!D33</f>
        <v>0</v>
      </c>
      <c r="E33" s="95">
        <f>'W1 Stats'!E33+'W2 Stats'!E33+'W3 Stats'!E33+'W4 Stats'!E33</f>
        <v>0</v>
      </c>
      <c r="F33" s="95">
        <f>'W1 Stats'!F33+'W2 Stats'!F33+'W3 Stats'!F33+'W4 Stats'!F33</f>
        <v>0</v>
      </c>
      <c r="G33" s="95">
        <f>'W1 Stats'!G33+'W2 Stats'!G33+'W3 Stats'!G33+'W4 Stats'!G33</f>
        <v>0</v>
      </c>
      <c r="H33" s="95">
        <f>'W1 Stats'!H33+'W2 Stats'!H33+'W3 Stats'!H33+'W4 Stats'!H33</f>
        <v>0</v>
      </c>
      <c r="I33" s="95">
        <f>'W1 Stats'!I33+'W2 Stats'!I33+'W3 Stats'!I33+'W4 Stats'!I33</f>
        <v>0</v>
      </c>
      <c r="J33" s="95">
        <f>'W1 Stats'!J33+'W2 Stats'!J33+'W3 Stats'!J33+'W4 Stats'!J33</f>
        <v>0</v>
      </c>
      <c r="K33" s="95">
        <f>'W1 Stats'!K33+'W2 Stats'!K33+'W3 Stats'!K33+'W4 Stats'!K33</f>
        <v>0</v>
      </c>
      <c r="L33" s="95">
        <f>'W1 Stats'!L33+'W2 Stats'!L33+'W3 Stats'!L33+'W4 Stats'!L33</f>
        <v>0</v>
      </c>
      <c r="M33" s="95">
        <f>'W1 Stats'!M33+'W2 Stats'!M33+'W3 Stats'!M33+'W4 Stats'!M33</f>
        <v>0</v>
      </c>
      <c r="N33" s="95">
        <f>'W1 Stats'!N33+'W2 Stats'!N33+'W3 Stats'!N33+'W4 Stats'!N33</f>
        <v>0</v>
      </c>
      <c r="O33" s="95">
        <f>'W1 Stats'!O33+'W2 Stats'!O33+'W3 Stats'!O33+'W4 Stats'!O33</f>
        <v>0</v>
      </c>
      <c r="P33" s="95">
        <f>'W1 Stats'!P33+'W2 Stats'!P33+'W3 Stats'!P33+'W4 Stats'!P33</f>
        <v>0</v>
      </c>
      <c r="Q33" s="95">
        <f>'W1 Stats'!Q33+'W2 Stats'!Q33+'W3 Stats'!Q33+'W4 Stats'!Q33</f>
        <v>0</v>
      </c>
      <c r="R33" s="92"/>
      <c r="S33" s="96">
        <f>'Points System'!Z97</f>
        <v>0</v>
      </c>
      <c r="T33" s="96">
        <f>'Points System'!AA97</f>
        <v>0</v>
      </c>
      <c r="U33" s="96">
        <f>'Points System'!AB97</f>
        <v>0</v>
      </c>
      <c r="V33" s="96">
        <f>'Points System'!AC97</f>
        <v>0</v>
      </c>
      <c r="W33" s="96">
        <f t="shared" si="2"/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5" width="8.88"/>
    <col customWidth="1" min="6" max="6" width="2.0"/>
    <col customWidth="1" min="7" max="7" width="11.38"/>
    <col customWidth="1" min="8" max="11" width="8.88"/>
    <col customWidth="1" min="12" max="12" width="2.0"/>
    <col customWidth="1" min="13" max="13" width="11.38"/>
    <col customWidth="1" min="14" max="17" width="8.88"/>
    <col customWidth="1" min="18" max="18" width="2.0"/>
    <col customWidth="1" min="19" max="19" width="11.38"/>
    <col customWidth="1" min="20" max="23" width="8.88"/>
    <col customWidth="1" min="24" max="24" width="2.0"/>
    <col customWidth="1" min="25" max="25" width="11.38"/>
    <col customWidth="1" min="26" max="29" width="8.88"/>
  </cols>
  <sheetData>
    <row r="1">
      <c r="A1" s="77" t="s">
        <v>157</v>
      </c>
      <c r="B1" s="74" t="s">
        <v>94</v>
      </c>
      <c r="C1" s="74" t="s">
        <v>95</v>
      </c>
      <c r="D1" s="74" t="s">
        <v>96</v>
      </c>
      <c r="E1" s="74" t="s">
        <v>97</v>
      </c>
      <c r="G1" s="77" t="s">
        <v>157</v>
      </c>
      <c r="H1" s="74" t="s">
        <v>94</v>
      </c>
      <c r="I1" s="74" t="s">
        <v>95</v>
      </c>
      <c r="J1" s="74" t="s">
        <v>96</v>
      </c>
      <c r="K1" s="74" t="s">
        <v>97</v>
      </c>
      <c r="M1" s="77" t="s">
        <v>157</v>
      </c>
      <c r="N1" s="74" t="s">
        <v>94</v>
      </c>
      <c r="O1" s="74" t="s">
        <v>95</v>
      </c>
      <c r="P1" s="74" t="s">
        <v>96</v>
      </c>
      <c r="Q1" s="74" t="s">
        <v>97</v>
      </c>
      <c r="S1" s="77" t="s">
        <v>157</v>
      </c>
      <c r="T1" s="74" t="s">
        <v>94</v>
      </c>
      <c r="U1" s="74" t="s">
        <v>95</v>
      </c>
      <c r="V1" s="74" t="s">
        <v>96</v>
      </c>
      <c r="W1" s="74" t="s">
        <v>97</v>
      </c>
      <c r="Y1" s="77" t="s">
        <v>157</v>
      </c>
      <c r="Z1" s="74" t="s">
        <v>94</v>
      </c>
      <c r="AA1" s="74" t="s">
        <v>95</v>
      </c>
      <c r="AB1" s="74" t="s">
        <v>96</v>
      </c>
      <c r="AC1" s="74" t="s">
        <v>97</v>
      </c>
    </row>
    <row r="2">
      <c r="A2" s="77" t="s">
        <v>108</v>
      </c>
      <c r="B2" s="78">
        <v>15.0</v>
      </c>
      <c r="C2" s="99"/>
      <c r="D2" s="99"/>
      <c r="E2" s="78">
        <v>10.0</v>
      </c>
      <c r="G2" s="77" t="s">
        <v>108</v>
      </c>
      <c r="H2" s="78">
        <f t="shared" ref="H2:K2" si="1">B2</f>
        <v>15</v>
      </c>
      <c r="I2" s="78" t="str">
        <f t="shared" si="1"/>
        <v/>
      </c>
      <c r="J2" s="78" t="str">
        <f t="shared" si="1"/>
        <v/>
      </c>
      <c r="K2" s="78">
        <f t="shared" si="1"/>
        <v>10</v>
      </c>
      <c r="M2" s="77" t="s">
        <v>108</v>
      </c>
      <c r="N2" s="78">
        <f t="shared" ref="N2:Q2" si="2">H2</f>
        <v>15</v>
      </c>
      <c r="O2" s="78" t="str">
        <f t="shared" si="2"/>
        <v/>
      </c>
      <c r="P2" s="78" t="str">
        <f t="shared" si="2"/>
        <v/>
      </c>
      <c r="Q2" s="78">
        <f t="shared" si="2"/>
        <v>10</v>
      </c>
      <c r="S2" s="77" t="s">
        <v>108</v>
      </c>
      <c r="T2" s="78">
        <f t="shared" ref="T2:W2" si="3">N2</f>
        <v>15</v>
      </c>
      <c r="U2" s="78" t="str">
        <f t="shared" si="3"/>
        <v/>
      </c>
      <c r="V2" s="78" t="str">
        <f t="shared" si="3"/>
        <v/>
      </c>
      <c r="W2" s="78">
        <f t="shared" si="3"/>
        <v>10</v>
      </c>
      <c r="Y2" s="77" t="s">
        <v>108</v>
      </c>
      <c r="Z2" s="78">
        <f t="shared" ref="Z2:AC2" si="4">T2</f>
        <v>15</v>
      </c>
      <c r="AA2" s="78" t="str">
        <f t="shared" si="4"/>
        <v/>
      </c>
      <c r="AB2" s="78" t="str">
        <f t="shared" si="4"/>
        <v/>
      </c>
      <c r="AC2" s="78">
        <f t="shared" si="4"/>
        <v>10</v>
      </c>
    </row>
    <row r="3">
      <c r="A3" s="77" t="s">
        <v>112</v>
      </c>
      <c r="B3" s="99"/>
      <c r="C3" s="99"/>
      <c r="D3" s="78">
        <v>1.0</v>
      </c>
      <c r="E3" s="78"/>
      <c r="G3" s="77" t="s">
        <v>112</v>
      </c>
      <c r="H3" s="78" t="str">
        <f t="shared" ref="H3:K3" si="5">B3</f>
        <v/>
      </c>
      <c r="I3" s="78" t="str">
        <f t="shared" si="5"/>
        <v/>
      </c>
      <c r="J3" s="78">
        <f t="shared" si="5"/>
        <v>1</v>
      </c>
      <c r="K3" s="78" t="str">
        <f t="shared" si="5"/>
        <v/>
      </c>
      <c r="M3" s="77" t="s">
        <v>112</v>
      </c>
      <c r="N3" s="78" t="str">
        <f t="shared" ref="N3:Q3" si="6">H3</f>
        <v/>
      </c>
      <c r="O3" s="78" t="str">
        <f t="shared" si="6"/>
        <v/>
      </c>
      <c r="P3" s="78">
        <f t="shared" si="6"/>
        <v>1</v>
      </c>
      <c r="Q3" s="78" t="str">
        <f t="shared" si="6"/>
        <v/>
      </c>
      <c r="S3" s="77" t="s">
        <v>112</v>
      </c>
      <c r="T3" s="78" t="str">
        <f t="shared" ref="T3:W3" si="7">N3</f>
        <v/>
      </c>
      <c r="U3" s="78" t="str">
        <f t="shared" si="7"/>
        <v/>
      </c>
      <c r="V3" s="78">
        <f t="shared" si="7"/>
        <v>1</v>
      </c>
      <c r="W3" s="78" t="str">
        <f t="shared" si="7"/>
        <v/>
      </c>
      <c r="Y3" s="77" t="s">
        <v>112</v>
      </c>
      <c r="Z3" s="78" t="str">
        <f t="shared" ref="Z3:AC3" si="8">T3</f>
        <v/>
      </c>
      <c r="AA3" s="78" t="str">
        <f t="shared" si="8"/>
        <v/>
      </c>
      <c r="AB3" s="78">
        <f t="shared" si="8"/>
        <v>1</v>
      </c>
      <c r="AC3" s="78" t="str">
        <f t="shared" si="8"/>
        <v/>
      </c>
    </row>
    <row r="4">
      <c r="A4" s="77" t="s">
        <v>113</v>
      </c>
      <c r="B4" s="78">
        <v>2.0</v>
      </c>
      <c r="C4" s="99"/>
      <c r="D4" s="99"/>
      <c r="E4" s="78"/>
      <c r="G4" s="77" t="s">
        <v>113</v>
      </c>
      <c r="H4" s="78">
        <f t="shared" ref="H4:K4" si="9">B4</f>
        <v>2</v>
      </c>
      <c r="I4" s="78" t="str">
        <f t="shared" si="9"/>
        <v/>
      </c>
      <c r="J4" s="78" t="str">
        <f t="shared" si="9"/>
        <v/>
      </c>
      <c r="K4" s="78" t="str">
        <f t="shared" si="9"/>
        <v/>
      </c>
      <c r="M4" s="77" t="s">
        <v>113</v>
      </c>
      <c r="N4" s="78">
        <f t="shared" ref="N4:Q4" si="10">H4</f>
        <v>2</v>
      </c>
      <c r="O4" s="78" t="str">
        <f t="shared" si="10"/>
        <v/>
      </c>
      <c r="P4" s="78" t="str">
        <f t="shared" si="10"/>
        <v/>
      </c>
      <c r="Q4" s="78" t="str">
        <f t="shared" si="10"/>
        <v/>
      </c>
      <c r="S4" s="77" t="s">
        <v>113</v>
      </c>
      <c r="T4" s="78">
        <f t="shared" ref="T4:W4" si="11">N4</f>
        <v>2</v>
      </c>
      <c r="U4" s="78" t="str">
        <f t="shared" si="11"/>
        <v/>
      </c>
      <c r="V4" s="78" t="str">
        <f t="shared" si="11"/>
        <v/>
      </c>
      <c r="W4" s="78" t="str">
        <f t="shared" si="11"/>
        <v/>
      </c>
      <c r="Y4" s="77" t="s">
        <v>113</v>
      </c>
      <c r="Z4" s="78">
        <f t="shared" ref="Z4:AC4" si="12">T4</f>
        <v>2</v>
      </c>
      <c r="AA4" s="78" t="str">
        <f t="shared" si="12"/>
        <v/>
      </c>
      <c r="AB4" s="78" t="str">
        <f t="shared" si="12"/>
        <v/>
      </c>
      <c r="AC4" s="78" t="str">
        <f t="shared" si="12"/>
        <v/>
      </c>
    </row>
    <row r="5">
      <c r="A5" s="77" t="s">
        <v>114</v>
      </c>
      <c r="B5" s="99"/>
      <c r="C5" s="78">
        <v>2.0</v>
      </c>
      <c r="D5" s="99"/>
      <c r="E5" s="78">
        <v>1.0</v>
      </c>
      <c r="G5" s="77" t="s">
        <v>114</v>
      </c>
      <c r="H5" s="78" t="str">
        <f t="shared" ref="H5:K5" si="13">B5</f>
        <v/>
      </c>
      <c r="I5" s="78">
        <f t="shared" si="13"/>
        <v>2</v>
      </c>
      <c r="J5" s="78" t="str">
        <f t="shared" si="13"/>
        <v/>
      </c>
      <c r="K5" s="78">
        <f t="shared" si="13"/>
        <v>1</v>
      </c>
      <c r="M5" s="77" t="s">
        <v>114</v>
      </c>
      <c r="N5" s="78" t="str">
        <f t="shared" ref="N5:Q5" si="14">H5</f>
        <v/>
      </c>
      <c r="O5" s="78">
        <f t="shared" si="14"/>
        <v>2</v>
      </c>
      <c r="P5" s="78" t="str">
        <f t="shared" si="14"/>
        <v/>
      </c>
      <c r="Q5" s="78">
        <f t="shared" si="14"/>
        <v>1</v>
      </c>
      <c r="S5" s="77" t="s">
        <v>114</v>
      </c>
      <c r="T5" s="78" t="str">
        <f t="shared" ref="T5:W5" si="15">N5</f>
        <v/>
      </c>
      <c r="U5" s="78">
        <f t="shared" si="15"/>
        <v>2</v>
      </c>
      <c r="V5" s="78" t="str">
        <f t="shared" si="15"/>
        <v/>
      </c>
      <c r="W5" s="78">
        <f t="shared" si="15"/>
        <v>1</v>
      </c>
      <c r="Y5" s="77" t="s">
        <v>114</v>
      </c>
      <c r="Z5" s="78" t="str">
        <f t="shared" ref="Z5:AC5" si="16">T5</f>
        <v/>
      </c>
      <c r="AA5" s="78">
        <f t="shared" si="16"/>
        <v>2</v>
      </c>
      <c r="AB5" s="78" t="str">
        <f t="shared" si="16"/>
        <v/>
      </c>
      <c r="AC5" s="78">
        <f t="shared" si="16"/>
        <v>1</v>
      </c>
    </row>
    <row r="6">
      <c r="A6" s="77" t="s">
        <v>115</v>
      </c>
      <c r="B6" s="78"/>
      <c r="C6" s="78">
        <v>10.0</v>
      </c>
      <c r="D6" s="78"/>
      <c r="E6" s="78">
        <v>5.0</v>
      </c>
      <c r="G6" s="77" t="s">
        <v>115</v>
      </c>
      <c r="H6" s="78" t="str">
        <f t="shared" ref="H6:K6" si="17">B6</f>
        <v/>
      </c>
      <c r="I6" s="78">
        <f t="shared" si="17"/>
        <v>10</v>
      </c>
      <c r="J6" s="78" t="str">
        <f t="shared" si="17"/>
        <v/>
      </c>
      <c r="K6" s="78">
        <f t="shared" si="17"/>
        <v>5</v>
      </c>
      <c r="M6" s="77" t="s">
        <v>115</v>
      </c>
      <c r="N6" s="78" t="str">
        <f t="shared" ref="N6:Q6" si="18">H6</f>
        <v/>
      </c>
      <c r="O6" s="78">
        <f t="shared" si="18"/>
        <v>10</v>
      </c>
      <c r="P6" s="78" t="str">
        <f t="shared" si="18"/>
        <v/>
      </c>
      <c r="Q6" s="78">
        <f t="shared" si="18"/>
        <v>5</v>
      </c>
      <c r="S6" s="77" t="s">
        <v>115</v>
      </c>
      <c r="T6" s="78" t="str">
        <f t="shared" ref="T6:W6" si="19">N6</f>
        <v/>
      </c>
      <c r="U6" s="78">
        <f t="shared" si="19"/>
        <v>10</v>
      </c>
      <c r="V6" s="78" t="str">
        <f t="shared" si="19"/>
        <v/>
      </c>
      <c r="W6" s="78">
        <f t="shared" si="19"/>
        <v>5</v>
      </c>
      <c r="Y6" s="77" t="s">
        <v>115</v>
      </c>
      <c r="Z6" s="78" t="str">
        <f t="shared" ref="Z6:AC6" si="20">T6</f>
        <v/>
      </c>
      <c r="AA6" s="78">
        <f t="shared" si="20"/>
        <v>10</v>
      </c>
      <c r="AB6" s="78" t="str">
        <f t="shared" si="20"/>
        <v/>
      </c>
      <c r="AC6" s="78">
        <f t="shared" si="20"/>
        <v>5</v>
      </c>
    </row>
    <row r="7">
      <c r="A7" s="77" t="s">
        <v>116</v>
      </c>
      <c r="B7" s="78">
        <v>15.0</v>
      </c>
      <c r="C7" s="78"/>
      <c r="D7" s="78">
        <v>5.0</v>
      </c>
      <c r="E7" s="78"/>
      <c r="G7" s="77" t="s">
        <v>116</v>
      </c>
      <c r="H7" s="78">
        <f t="shared" ref="H7:K7" si="21">B7</f>
        <v>15</v>
      </c>
      <c r="I7" s="78" t="str">
        <f t="shared" si="21"/>
        <v/>
      </c>
      <c r="J7" s="78">
        <f t="shared" si="21"/>
        <v>5</v>
      </c>
      <c r="K7" s="78" t="str">
        <f t="shared" si="21"/>
        <v/>
      </c>
      <c r="M7" s="77" t="s">
        <v>116</v>
      </c>
      <c r="N7" s="78">
        <f t="shared" ref="N7:Q7" si="22">H7</f>
        <v>15</v>
      </c>
      <c r="O7" s="78" t="str">
        <f t="shared" si="22"/>
        <v/>
      </c>
      <c r="P7" s="78">
        <f t="shared" si="22"/>
        <v>5</v>
      </c>
      <c r="Q7" s="78" t="str">
        <f t="shared" si="22"/>
        <v/>
      </c>
      <c r="S7" s="77" t="s">
        <v>116</v>
      </c>
      <c r="T7" s="78">
        <f t="shared" ref="T7:W7" si="23">N7</f>
        <v>15</v>
      </c>
      <c r="U7" s="78" t="str">
        <f t="shared" si="23"/>
        <v/>
      </c>
      <c r="V7" s="78">
        <f t="shared" si="23"/>
        <v>5</v>
      </c>
      <c r="W7" s="78" t="str">
        <f t="shared" si="23"/>
        <v/>
      </c>
      <c r="Y7" s="77" t="s">
        <v>116</v>
      </c>
      <c r="Z7" s="78">
        <f t="shared" ref="Z7:AC7" si="24">T7</f>
        <v>15</v>
      </c>
      <c r="AA7" s="78" t="str">
        <f t="shared" si="24"/>
        <v/>
      </c>
      <c r="AB7" s="78">
        <f t="shared" si="24"/>
        <v>5</v>
      </c>
      <c r="AC7" s="78" t="str">
        <f t="shared" si="24"/>
        <v/>
      </c>
    </row>
    <row r="8">
      <c r="A8" s="77" t="s">
        <v>117</v>
      </c>
      <c r="B8" s="99"/>
      <c r="C8" s="78">
        <v>1.0</v>
      </c>
      <c r="D8" s="99"/>
      <c r="E8" s="78"/>
      <c r="G8" s="77" t="s">
        <v>117</v>
      </c>
      <c r="H8" s="78" t="str">
        <f t="shared" ref="H8:K8" si="25">B8</f>
        <v/>
      </c>
      <c r="I8" s="78">
        <f t="shared" si="25"/>
        <v>1</v>
      </c>
      <c r="J8" s="78" t="str">
        <f t="shared" si="25"/>
        <v/>
      </c>
      <c r="K8" s="78" t="str">
        <f t="shared" si="25"/>
        <v/>
      </c>
      <c r="M8" s="77" t="s">
        <v>117</v>
      </c>
      <c r="N8" s="78" t="str">
        <f t="shared" ref="N8:Q8" si="26">H8</f>
        <v/>
      </c>
      <c r="O8" s="78">
        <f t="shared" si="26"/>
        <v>1</v>
      </c>
      <c r="P8" s="78" t="str">
        <f t="shared" si="26"/>
        <v/>
      </c>
      <c r="Q8" s="78" t="str">
        <f t="shared" si="26"/>
        <v/>
      </c>
      <c r="S8" s="77" t="s">
        <v>117</v>
      </c>
      <c r="T8" s="78" t="str">
        <f t="shared" ref="T8:W8" si="27">N8</f>
        <v/>
      </c>
      <c r="U8" s="78">
        <f t="shared" si="27"/>
        <v>1</v>
      </c>
      <c r="V8" s="78" t="str">
        <f t="shared" si="27"/>
        <v/>
      </c>
      <c r="W8" s="78" t="str">
        <f t="shared" si="27"/>
        <v/>
      </c>
      <c r="Y8" s="77" t="s">
        <v>117</v>
      </c>
      <c r="Z8" s="78" t="str">
        <f t="shared" ref="Z8:AC8" si="28">T8</f>
        <v/>
      </c>
      <c r="AA8" s="78">
        <f t="shared" si="28"/>
        <v>1</v>
      </c>
      <c r="AB8" s="78" t="str">
        <f t="shared" si="28"/>
        <v/>
      </c>
      <c r="AC8" s="78" t="str">
        <f t="shared" si="28"/>
        <v/>
      </c>
    </row>
    <row r="9">
      <c r="A9" s="77" t="s">
        <v>118</v>
      </c>
      <c r="B9" s="99"/>
      <c r="C9" s="99"/>
      <c r="D9" s="78">
        <v>15.0</v>
      </c>
      <c r="E9" s="78">
        <v>10.0</v>
      </c>
      <c r="G9" s="77" t="s">
        <v>118</v>
      </c>
      <c r="H9" s="78" t="str">
        <f t="shared" ref="H9:K9" si="29">B9</f>
        <v/>
      </c>
      <c r="I9" s="78" t="str">
        <f t="shared" si="29"/>
        <v/>
      </c>
      <c r="J9" s="78">
        <f t="shared" si="29"/>
        <v>15</v>
      </c>
      <c r="K9" s="78">
        <f t="shared" si="29"/>
        <v>10</v>
      </c>
      <c r="M9" s="77" t="s">
        <v>118</v>
      </c>
      <c r="N9" s="78" t="str">
        <f t="shared" ref="N9:Q9" si="30">H9</f>
        <v/>
      </c>
      <c r="O9" s="78" t="str">
        <f t="shared" si="30"/>
        <v/>
      </c>
      <c r="P9" s="78">
        <f t="shared" si="30"/>
        <v>15</v>
      </c>
      <c r="Q9" s="78">
        <f t="shared" si="30"/>
        <v>10</v>
      </c>
      <c r="S9" s="77" t="s">
        <v>118</v>
      </c>
      <c r="T9" s="78" t="str">
        <f t="shared" ref="T9:W9" si="31">N9</f>
        <v/>
      </c>
      <c r="U9" s="78" t="str">
        <f t="shared" si="31"/>
        <v/>
      </c>
      <c r="V9" s="78">
        <f t="shared" si="31"/>
        <v>15</v>
      </c>
      <c r="W9" s="78">
        <f t="shared" si="31"/>
        <v>10</v>
      </c>
      <c r="Y9" s="77" t="s">
        <v>118</v>
      </c>
      <c r="Z9" s="78" t="str">
        <f t="shared" ref="Z9:AC9" si="32">T9</f>
        <v/>
      </c>
      <c r="AA9" s="78" t="str">
        <f t="shared" si="32"/>
        <v/>
      </c>
      <c r="AB9" s="78">
        <f t="shared" si="32"/>
        <v>15</v>
      </c>
      <c r="AC9" s="78">
        <f t="shared" si="32"/>
        <v>10</v>
      </c>
    </row>
    <row r="10">
      <c r="A10" s="77" t="s">
        <v>119</v>
      </c>
      <c r="B10" s="78"/>
      <c r="C10" s="78">
        <v>3.0</v>
      </c>
      <c r="D10" s="99"/>
      <c r="E10" s="78">
        <v>2.0</v>
      </c>
      <c r="G10" s="77" t="s">
        <v>119</v>
      </c>
      <c r="H10" s="78" t="str">
        <f t="shared" ref="H10:K10" si="33">B10</f>
        <v/>
      </c>
      <c r="I10" s="78">
        <f t="shared" si="33"/>
        <v>3</v>
      </c>
      <c r="J10" s="78" t="str">
        <f t="shared" si="33"/>
        <v/>
      </c>
      <c r="K10" s="78">
        <f t="shared" si="33"/>
        <v>2</v>
      </c>
      <c r="M10" s="77" t="s">
        <v>119</v>
      </c>
      <c r="N10" s="78" t="str">
        <f t="shared" ref="N10:Q10" si="34">H10</f>
        <v/>
      </c>
      <c r="O10" s="78">
        <f t="shared" si="34"/>
        <v>3</v>
      </c>
      <c r="P10" s="78" t="str">
        <f t="shared" si="34"/>
        <v/>
      </c>
      <c r="Q10" s="78">
        <f t="shared" si="34"/>
        <v>2</v>
      </c>
      <c r="S10" s="77" t="s">
        <v>119</v>
      </c>
      <c r="T10" s="78" t="str">
        <f t="shared" ref="T10:W10" si="35">N10</f>
        <v/>
      </c>
      <c r="U10" s="78">
        <f t="shared" si="35"/>
        <v>3</v>
      </c>
      <c r="V10" s="78" t="str">
        <f t="shared" si="35"/>
        <v/>
      </c>
      <c r="W10" s="78">
        <f t="shared" si="35"/>
        <v>2</v>
      </c>
      <c r="Y10" s="77" t="s">
        <v>119</v>
      </c>
      <c r="Z10" s="78" t="str">
        <f t="shared" ref="Z10:AC10" si="36">T10</f>
        <v/>
      </c>
      <c r="AA10" s="78">
        <f t="shared" si="36"/>
        <v>3</v>
      </c>
      <c r="AB10" s="78" t="str">
        <f t="shared" si="36"/>
        <v/>
      </c>
      <c r="AC10" s="78">
        <f t="shared" si="36"/>
        <v>2</v>
      </c>
    </row>
    <row r="11">
      <c r="A11" s="77" t="s">
        <v>120</v>
      </c>
      <c r="B11" s="99"/>
      <c r="C11" s="99"/>
      <c r="D11" s="78">
        <v>3.0</v>
      </c>
      <c r="E11" s="78">
        <v>2.0</v>
      </c>
      <c r="G11" s="77" t="s">
        <v>120</v>
      </c>
      <c r="H11" s="78" t="str">
        <f t="shared" ref="H11:K11" si="37">B11</f>
        <v/>
      </c>
      <c r="I11" s="78" t="str">
        <f t="shared" si="37"/>
        <v/>
      </c>
      <c r="J11" s="78">
        <f t="shared" si="37"/>
        <v>3</v>
      </c>
      <c r="K11" s="78">
        <f t="shared" si="37"/>
        <v>2</v>
      </c>
      <c r="M11" s="77" t="s">
        <v>120</v>
      </c>
      <c r="N11" s="78" t="str">
        <f t="shared" ref="N11:Q11" si="38">H11</f>
        <v/>
      </c>
      <c r="O11" s="78" t="str">
        <f t="shared" si="38"/>
        <v/>
      </c>
      <c r="P11" s="78">
        <f t="shared" si="38"/>
        <v>3</v>
      </c>
      <c r="Q11" s="78">
        <f t="shared" si="38"/>
        <v>2</v>
      </c>
      <c r="S11" s="77" t="s">
        <v>120</v>
      </c>
      <c r="T11" s="78" t="str">
        <f t="shared" ref="T11:W11" si="39">N11</f>
        <v/>
      </c>
      <c r="U11" s="78" t="str">
        <f t="shared" si="39"/>
        <v/>
      </c>
      <c r="V11" s="78">
        <f t="shared" si="39"/>
        <v>3</v>
      </c>
      <c r="W11" s="78">
        <f t="shared" si="39"/>
        <v>2</v>
      </c>
      <c r="Y11" s="77" t="s">
        <v>120</v>
      </c>
      <c r="Z11" s="78" t="str">
        <f t="shared" ref="Z11:AC11" si="40">T11</f>
        <v/>
      </c>
      <c r="AA11" s="78" t="str">
        <f t="shared" si="40"/>
        <v/>
      </c>
      <c r="AB11" s="78">
        <f t="shared" si="40"/>
        <v>3</v>
      </c>
      <c r="AC11" s="78">
        <f t="shared" si="40"/>
        <v>2</v>
      </c>
    </row>
    <row r="12">
      <c r="A12" s="77" t="s">
        <v>121</v>
      </c>
      <c r="B12" s="78">
        <v>20.0</v>
      </c>
      <c r="C12" s="78">
        <v>20.0</v>
      </c>
      <c r="D12" s="78">
        <v>20.0</v>
      </c>
      <c r="E12" s="78">
        <v>20.0</v>
      </c>
      <c r="G12" s="77" t="s">
        <v>121</v>
      </c>
      <c r="H12" s="78">
        <f t="shared" ref="H12:K12" si="41">B12</f>
        <v>20</v>
      </c>
      <c r="I12" s="78">
        <f t="shared" si="41"/>
        <v>20</v>
      </c>
      <c r="J12" s="78">
        <f t="shared" si="41"/>
        <v>20</v>
      </c>
      <c r="K12" s="78">
        <f t="shared" si="41"/>
        <v>20</v>
      </c>
      <c r="M12" s="77" t="s">
        <v>121</v>
      </c>
      <c r="N12" s="78">
        <f t="shared" ref="N12:Q12" si="42">H12</f>
        <v>20</v>
      </c>
      <c r="O12" s="78">
        <f t="shared" si="42"/>
        <v>20</v>
      </c>
      <c r="P12" s="78">
        <f t="shared" si="42"/>
        <v>20</v>
      </c>
      <c r="Q12" s="78">
        <f t="shared" si="42"/>
        <v>20</v>
      </c>
      <c r="S12" s="77" t="s">
        <v>121</v>
      </c>
      <c r="T12" s="78">
        <f t="shared" ref="T12:W12" si="43">N12</f>
        <v>20</v>
      </c>
      <c r="U12" s="78">
        <f t="shared" si="43"/>
        <v>20</v>
      </c>
      <c r="V12" s="78">
        <f t="shared" si="43"/>
        <v>20</v>
      </c>
      <c r="W12" s="78">
        <f t="shared" si="43"/>
        <v>20</v>
      </c>
      <c r="Y12" s="77" t="s">
        <v>121</v>
      </c>
      <c r="Z12" s="78">
        <f t="shared" ref="Z12:AC12" si="44">T12</f>
        <v>20</v>
      </c>
      <c r="AA12" s="78">
        <f t="shared" si="44"/>
        <v>20</v>
      </c>
      <c r="AB12" s="78">
        <f t="shared" si="44"/>
        <v>20</v>
      </c>
      <c r="AC12" s="78">
        <f t="shared" si="44"/>
        <v>20</v>
      </c>
    </row>
    <row r="13">
      <c r="A13" s="77" t="s">
        <v>122</v>
      </c>
      <c r="B13" s="78">
        <f t="shared" ref="B13:E13" si="45">SUM(B2:B12)</f>
        <v>52</v>
      </c>
      <c r="C13" s="78">
        <f t="shared" si="45"/>
        <v>36</v>
      </c>
      <c r="D13" s="78">
        <f t="shared" si="45"/>
        <v>44</v>
      </c>
      <c r="E13" s="78">
        <f t="shared" si="45"/>
        <v>50</v>
      </c>
      <c r="G13" s="77" t="s">
        <v>122</v>
      </c>
      <c r="H13" s="78">
        <f t="shared" ref="H13:K13" si="46">B13</f>
        <v>52</v>
      </c>
      <c r="I13" s="78">
        <f t="shared" si="46"/>
        <v>36</v>
      </c>
      <c r="J13" s="78">
        <f t="shared" si="46"/>
        <v>44</v>
      </c>
      <c r="K13" s="78">
        <f t="shared" si="46"/>
        <v>50</v>
      </c>
      <c r="M13" s="77" t="s">
        <v>122</v>
      </c>
      <c r="N13" s="78">
        <f t="shared" ref="N13:Q13" si="47">H13</f>
        <v>52</v>
      </c>
      <c r="O13" s="78">
        <f t="shared" si="47"/>
        <v>36</v>
      </c>
      <c r="P13" s="78">
        <f t="shared" si="47"/>
        <v>44</v>
      </c>
      <c r="Q13" s="78">
        <f t="shared" si="47"/>
        <v>50</v>
      </c>
      <c r="S13" s="77" t="s">
        <v>122</v>
      </c>
      <c r="T13" s="78">
        <f t="shared" ref="T13:W13" si="48">N13</f>
        <v>52</v>
      </c>
      <c r="U13" s="78">
        <f t="shared" si="48"/>
        <v>36</v>
      </c>
      <c r="V13" s="78">
        <f t="shared" si="48"/>
        <v>44</v>
      </c>
      <c r="W13" s="78">
        <f t="shared" si="48"/>
        <v>50</v>
      </c>
      <c r="Y13" s="77" t="s">
        <v>122</v>
      </c>
      <c r="Z13" s="78">
        <f t="shared" ref="Z13:AC13" si="49">T13</f>
        <v>52</v>
      </c>
      <c r="AA13" s="78">
        <f t="shared" si="49"/>
        <v>36</v>
      </c>
      <c r="AB13" s="78">
        <f t="shared" si="49"/>
        <v>44</v>
      </c>
      <c r="AC13" s="78">
        <f t="shared" si="49"/>
        <v>50</v>
      </c>
    </row>
    <row r="15">
      <c r="A15" s="77" t="str">
        <f>'Total Stats'!B3</f>
        <v>Rage More Nerd</v>
      </c>
      <c r="B15" s="74" t="s">
        <v>94</v>
      </c>
      <c r="C15" s="74" t="s">
        <v>95</v>
      </c>
      <c r="D15" s="74" t="s">
        <v>96</v>
      </c>
      <c r="E15" s="74" t="s">
        <v>97</v>
      </c>
      <c r="F15" s="1"/>
      <c r="G15" s="77" t="str">
        <f>'Total Stats'!B4</f>
        <v>BCN19</v>
      </c>
      <c r="H15" s="74" t="s">
        <v>94</v>
      </c>
      <c r="I15" s="74" t="s">
        <v>95</v>
      </c>
      <c r="J15" s="74" t="s">
        <v>96</v>
      </c>
      <c r="K15" s="74" t="s">
        <v>97</v>
      </c>
      <c r="M15" s="77" t="str">
        <f>'Total Stats'!B5</f>
        <v>The Eastbrook</v>
      </c>
      <c r="N15" s="74" t="s">
        <v>94</v>
      </c>
      <c r="O15" s="74" t="s">
        <v>95</v>
      </c>
      <c r="P15" s="74" t="s">
        <v>96</v>
      </c>
      <c r="Q15" s="74" t="s">
        <v>97</v>
      </c>
      <c r="S15" s="77" t="str">
        <f>'Total Stats'!B6</f>
        <v>ThumpingHawk</v>
      </c>
      <c r="T15" s="74" t="s">
        <v>94</v>
      </c>
      <c r="U15" s="74" t="s">
        <v>95</v>
      </c>
      <c r="V15" s="74" t="s">
        <v>96</v>
      </c>
      <c r="W15" s="74" t="s">
        <v>97</v>
      </c>
      <c r="Y15" s="77" t="str">
        <f>'Total Stats'!B7</f>
        <v>Mr Ab0veAverage</v>
      </c>
      <c r="Z15" s="74" t="s">
        <v>94</v>
      </c>
      <c r="AA15" s="74" t="s">
        <v>95</v>
      </c>
      <c r="AB15" s="74" t="s">
        <v>96</v>
      </c>
      <c r="AC15" s="74" t="s">
        <v>97</v>
      </c>
    </row>
    <row r="16">
      <c r="A16" s="77" t="s">
        <v>108</v>
      </c>
      <c r="B16" s="78">
        <f>'Total Stats'!D3*B2</f>
        <v>0</v>
      </c>
      <c r="C16" s="78"/>
      <c r="D16" s="78"/>
      <c r="E16" s="78">
        <f>'Total Stats'!D3*E2</f>
        <v>0</v>
      </c>
      <c r="G16" s="77" t="s">
        <v>108</v>
      </c>
      <c r="H16" s="78">
        <f>'Total Stats'!D4*H2</f>
        <v>0</v>
      </c>
      <c r="I16" s="78"/>
      <c r="J16" s="78"/>
      <c r="K16" s="78">
        <f>'Total Stats'!D4*K2</f>
        <v>0</v>
      </c>
      <c r="M16" s="77" t="s">
        <v>108</v>
      </c>
      <c r="N16" s="78">
        <f>'Total Stats'!D5*N2</f>
        <v>0</v>
      </c>
      <c r="O16" s="78"/>
      <c r="P16" s="78"/>
      <c r="Q16" s="78">
        <f>'Total Stats'!D5*Q2</f>
        <v>0</v>
      </c>
      <c r="S16" s="77" t="s">
        <v>108</v>
      </c>
      <c r="T16" s="78">
        <f>'Total Stats'!D6*T2</f>
        <v>0</v>
      </c>
      <c r="U16" s="78"/>
      <c r="V16" s="78"/>
      <c r="W16" s="78">
        <f>'Total Stats'!D6*W2</f>
        <v>0</v>
      </c>
      <c r="Y16" s="77" t="s">
        <v>108</v>
      </c>
      <c r="Z16" s="78">
        <f>'Total Stats'!D7*Z2</f>
        <v>0</v>
      </c>
      <c r="AA16" s="99"/>
      <c r="AB16" s="78"/>
      <c r="AC16" s="99">
        <f>'Total Stats'!D7*AC2</f>
        <v>0</v>
      </c>
    </row>
    <row r="17">
      <c r="A17" s="77" t="s">
        <v>112</v>
      </c>
      <c r="B17" s="99"/>
      <c r="C17" s="99"/>
      <c r="D17" s="78">
        <f>'Total Stats'!H3*D3</f>
        <v>0</v>
      </c>
      <c r="E17" s="78"/>
      <c r="G17" s="77" t="s">
        <v>112</v>
      </c>
      <c r="H17" s="99"/>
      <c r="I17" s="99"/>
      <c r="J17" s="78">
        <f>'Total Stats'!H4*J4</f>
        <v>0</v>
      </c>
      <c r="K17" s="78"/>
      <c r="M17" s="77" t="s">
        <v>112</v>
      </c>
      <c r="N17" s="99"/>
      <c r="O17" s="99"/>
      <c r="P17" s="78">
        <f>'Total Stats'!H5*P3</f>
        <v>0</v>
      </c>
      <c r="Q17" s="78"/>
      <c r="S17" s="77" t="s">
        <v>112</v>
      </c>
      <c r="T17" s="99"/>
      <c r="U17" s="99"/>
      <c r="V17" s="78">
        <f>'Total Stats'!H6*V3</f>
        <v>0</v>
      </c>
      <c r="W17" s="78"/>
      <c r="Y17" s="77" t="s">
        <v>112</v>
      </c>
      <c r="Z17" s="78"/>
      <c r="AA17" s="99"/>
      <c r="AB17" s="99">
        <f>'Total Stats'!H7*AB3</f>
        <v>0</v>
      </c>
      <c r="AC17" s="78"/>
    </row>
    <row r="18">
      <c r="A18" s="77" t="s">
        <v>113</v>
      </c>
      <c r="B18" s="78">
        <f>'Total Stats'!I3*B4</f>
        <v>0</v>
      </c>
      <c r="C18" s="99"/>
      <c r="D18" s="99"/>
      <c r="E18" s="78"/>
      <c r="G18" s="77" t="s">
        <v>113</v>
      </c>
      <c r="H18" s="78">
        <f>'Total Stats'!I4*H4</f>
        <v>0</v>
      </c>
      <c r="I18" s="99"/>
      <c r="J18" s="99"/>
      <c r="K18" s="78"/>
      <c r="M18" s="77" t="s">
        <v>113</v>
      </c>
      <c r="N18" s="78">
        <f>'Total Stats'!I5*N4</f>
        <v>0</v>
      </c>
      <c r="O18" s="99"/>
      <c r="P18" s="99"/>
      <c r="Q18" s="78"/>
      <c r="S18" s="77" t="s">
        <v>113</v>
      </c>
      <c r="T18" s="78">
        <f>'Total Stats'!I6*T4</f>
        <v>0</v>
      </c>
      <c r="U18" s="99"/>
      <c r="V18" s="99"/>
      <c r="W18" s="78"/>
      <c r="Y18" s="77" t="s">
        <v>113</v>
      </c>
      <c r="Z18" s="78">
        <f>'Total Stats'!I7*Z4</f>
        <v>0</v>
      </c>
      <c r="AA18" s="78"/>
      <c r="AB18" s="99"/>
      <c r="AC18" s="99"/>
    </row>
    <row r="19">
      <c r="A19" s="77" t="s">
        <v>114</v>
      </c>
      <c r="B19" s="99"/>
      <c r="C19" s="78">
        <f>'Total Stats'!J3*C5</f>
        <v>0</v>
      </c>
      <c r="D19" s="99"/>
      <c r="E19" s="78">
        <f>'Total Stats'!J3*E5</f>
        <v>0</v>
      </c>
      <c r="G19" s="77" t="s">
        <v>114</v>
      </c>
      <c r="H19" s="99"/>
      <c r="I19" s="78">
        <f>'Total Stats'!J4*I5</f>
        <v>0</v>
      </c>
      <c r="J19" s="99"/>
      <c r="K19" s="78">
        <f>'Total Stats'!J4*K5</f>
        <v>0</v>
      </c>
      <c r="M19" s="77" t="s">
        <v>114</v>
      </c>
      <c r="N19" s="99"/>
      <c r="O19" s="78">
        <f>'Total Stats'!J5*O5</f>
        <v>0</v>
      </c>
      <c r="P19" s="99"/>
      <c r="Q19" s="78">
        <f>'Total Stats'!J5*Q5</f>
        <v>0</v>
      </c>
      <c r="S19" s="77" t="s">
        <v>114</v>
      </c>
      <c r="T19" s="99"/>
      <c r="U19" s="78">
        <f>'Total Stats'!J6*U5</f>
        <v>0</v>
      </c>
      <c r="V19" s="99"/>
      <c r="W19" s="78">
        <f>'Total Stats'!J6*W5</f>
        <v>0</v>
      </c>
      <c r="Y19" s="77" t="s">
        <v>114</v>
      </c>
      <c r="Z19" s="78"/>
      <c r="AA19" s="78">
        <f>'Total Stats'!J7*AA5</f>
        <v>0</v>
      </c>
      <c r="AB19" s="78"/>
      <c r="AC19" s="78">
        <f>'Total Stats'!J7*AC5</f>
        <v>0</v>
      </c>
    </row>
    <row r="20">
      <c r="A20" s="77" t="s">
        <v>115</v>
      </c>
      <c r="B20" s="78"/>
      <c r="C20" s="78">
        <f>'Total Stats'!K3*C6</f>
        <v>0</v>
      </c>
      <c r="D20" s="78"/>
      <c r="E20" s="78">
        <f>'Total Stats'!K3*E6</f>
        <v>0</v>
      </c>
      <c r="G20" s="77" t="s">
        <v>115</v>
      </c>
      <c r="H20" s="78"/>
      <c r="I20" s="78">
        <f>'Total Stats'!K4*I6</f>
        <v>0</v>
      </c>
      <c r="J20" s="78"/>
      <c r="K20" s="78">
        <f>'Total Stats'!K4*K6</f>
        <v>0</v>
      </c>
      <c r="M20" s="77" t="s">
        <v>115</v>
      </c>
      <c r="N20" s="78"/>
      <c r="O20" s="78">
        <f>'Total Stats'!K5*O6</f>
        <v>0</v>
      </c>
      <c r="P20" s="78"/>
      <c r="Q20" s="78">
        <f>'Total Stats'!K5*Q6</f>
        <v>0</v>
      </c>
      <c r="S20" s="77" t="s">
        <v>115</v>
      </c>
      <c r="T20" s="78"/>
      <c r="U20" s="78">
        <f>'Total Stats'!K6*U6</f>
        <v>0</v>
      </c>
      <c r="V20" s="78"/>
      <c r="W20" s="78">
        <f>'Total Stats'!K6*W6</f>
        <v>0</v>
      </c>
      <c r="Y20" s="77" t="s">
        <v>115</v>
      </c>
      <c r="Z20" s="78"/>
      <c r="AA20" s="99">
        <f>'Total Stats'!K7*AA6</f>
        <v>0</v>
      </c>
      <c r="AB20" s="78"/>
      <c r="AC20" s="99">
        <f>'Total Stats'!K7*AC6</f>
        <v>0</v>
      </c>
    </row>
    <row r="21">
      <c r="A21" s="77" t="s">
        <v>116</v>
      </c>
      <c r="B21" s="78">
        <f>'Total Stats'!L3*B7</f>
        <v>0</v>
      </c>
      <c r="C21" s="78"/>
      <c r="D21" s="78">
        <f>'Total Stats'!L3*D7</f>
        <v>0</v>
      </c>
      <c r="E21" s="78"/>
      <c r="G21" s="77" t="s">
        <v>116</v>
      </c>
      <c r="H21" s="78">
        <f>'Total Stats'!L4*H7</f>
        <v>0</v>
      </c>
      <c r="I21" s="78"/>
      <c r="J21" s="78">
        <f>'Total Stats'!L4*J7</f>
        <v>0</v>
      </c>
      <c r="K21" s="78"/>
      <c r="M21" s="77" t="s">
        <v>116</v>
      </c>
      <c r="N21" s="78">
        <f>'Total Stats'!L5*N7</f>
        <v>0</v>
      </c>
      <c r="O21" s="78"/>
      <c r="P21" s="78">
        <f>'Total Stats'!L5*P7</f>
        <v>0</v>
      </c>
      <c r="Q21" s="78"/>
      <c r="S21" s="77" t="s">
        <v>116</v>
      </c>
      <c r="T21" s="78">
        <f>'Total Stats'!L6*T7</f>
        <v>0</v>
      </c>
      <c r="U21" s="78"/>
      <c r="V21" s="78">
        <f>'Total Stats'!L6*V7</f>
        <v>0</v>
      </c>
      <c r="W21" s="78"/>
      <c r="Y21" s="77" t="s">
        <v>116</v>
      </c>
      <c r="Z21" s="78">
        <f>'Total Stats'!L7*Z7</f>
        <v>0</v>
      </c>
      <c r="AA21" s="99"/>
      <c r="AB21" s="99">
        <f>'Total Stats'!L7*AB7</f>
        <v>0</v>
      </c>
      <c r="AC21" s="78"/>
    </row>
    <row r="22">
      <c r="A22" s="77" t="s">
        <v>117</v>
      </c>
      <c r="B22" s="99"/>
      <c r="C22" s="78">
        <f>'Total Stats'!M3*C8</f>
        <v>0</v>
      </c>
      <c r="D22" s="99"/>
      <c r="E22" s="78"/>
      <c r="G22" s="77" t="s">
        <v>117</v>
      </c>
      <c r="H22" s="99"/>
      <c r="I22" s="78">
        <f>'Total Stats'!M4*I8</f>
        <v>0</v>
      </c>
      <c r="J22" s="99"/>
      <c r="K22" s="78"/>
      <c r="M22" s="77" t="s">
        <v>117</v>
      </c>
      <c r="N22" s="99"/>
      <c r="O22" s="78">
        <f>'Total Stats'!M5*O8</f>
        <v>0</v>
      </c>
      <c r="P22" s="99"/>
      <c r="Q22" s="78"/>
      <c r="S22" s="77" t="s">
        <v>117</v>
      </c>
      <c r="T22" s="99"/>
      <c r="U22" s="78">
        <f>'Total Stats'!M6*U8</f>
        <v>0</v>
      </c>
      <c r="V22" s="99"/>
      <c r="W22" s="78"/>
      <c r="Y22" s="77" t="s">
        <v>117</v>
      </c>
      <c r="Z22" s="78"/>
      <c r="AA22" s="78">
        <f>'Total Stats'!M7*AA8</f>
        <v>0</v>
      </c>
      <c r="AB22" s="99"/>
      <c r="AC22" s="99"/>
    </row>
    <row r="23">
      <c r="A23" s="77" t="s">
        <v>118</v>
      </c>
      <c r="B23" s="99"/>
      <c r="C23" s="99"/>
      <c r="D23" s="78">
        <f>'Total Stats'!N3*D9</f>
        <v>0</v>
      </c>
      <c r="E23" s="78">
        <f>'Total Stats'!N3*E9</f>
        <v>0</v>
      </c>
      <c r="G23" s="77" t="s">
        <v>118</v>
      </c>
      <c r="H23" s="99"/>
      <c r="I23" s="99"/>
      <c r="J23" s="78">
        <f>'Total Stats'!N4*J9</f>
        <v>0</v>
      </c>
      <c r="K23" s="78">
        <f>'Total Stats'!N4*K9</f>
        <v>0</v>
      </c>
      <c r="M23" s="77" t="s">
        <v>118</v>
      </c>
      <c r="N23" s="99"/>
      <c r="O23" s="99"/>
      <c r="P23" s="78">
        <f>'Total Stats'!N5*P9</f>
        <v>0</v>
      </c>
      <c r="Q23" s="78">
        <f>'Total Stats'!N5*Q9</f>
        <v>0</v>
      </c>
      <c r="S23" s="77" t="s">
        <v>118</v>
      </c>
      <c r="T23" s="99"/>
      <c r="U23" s="99"/>
      <c r="V23" s="78">
        <f>'Total Stats'!N6*V9</f>
        <v>0</v>
      </c>
      <c r="W23" s="78">
        <f>'Total Stats'!N6*W9</f>
        <v>0</v>
      </c>
      <c r="Y23" s="77" t="s">
        <v>118</v>
      </c>
      <c r="Z23" s="78"/>
      <c r="AA23" s="78"/>
      <c r="AB23" s="78">
        <f>'Total Stats'!N7*AB9</f>
        <v>0</v>
      </c>
      <c r="AC23" s="78">
        <f>'Total Stats'!N7*AC9</f>
        <v>0</v>
      </c>
    </row>
    <row r="24">
      <c r="A24" s="77" t="s">
        <v>119</v>
      </c>
      <c r="B24" s="78"/>
      <c r="C24" s="78">
        <f>'Total Stats'!O3*C10</f>
        <v>0</v>
      </c>
      <c r="D24" s="99"/>
      <c r="E24" s="78">
        <f>'Total Stats'!O3*E10</f>
        <v>0</v>
      </c>
      <c r="G24" s="77" t="s">
        <v>119</v>
      </c>
      <c r="H24" s="78"/>
      <c r="I24" s="78">
        <f>'Total Stats'!O4*I10</f>
        <v>0</v>
      </c>
      <c r="J24" s="99"/>
      <c r="K24" s="78">
        <f>'Total Stats'!O4*K10</f>
        <v>0</v>
      </c>
      <c r="M24" s="77" t="s">
        <v>119</v>
      </c>
      <c r="N24" s="78"/>
      <c r="O24" s="78">
        <f>'Total Stats'!O5*O10</f>
        <v>0</v>
      </c>
      <c r="P24" s="99"/>
      <c r="Q24" s="78">
        <f>'Total Stats'!O5*Q10</f>
        <v>0</v>
      </c>
      <c r="S24" s="77" t="s">
        <v>119</v>
      </c>
      <c r="T24" s="78"/>
      <c r="U24" s="78">
        <f>'Total Stats'!O6*U10</f>
        <v>0</v>
      </c>
      <c r="V24" s="99"/>
      <c r="W24" s="78">
        <f>'Total Stats'!O6*W10</f>
        <v>0</v>
      </c>
      <c r="Y24" s="77" t="s">
        <v>119</v>
      </c>
      <c r="Z24" s="78"/>
      <c r="AA24" s="99">
        <f>'Total Stats'!O7*AA10</f>
        <v>0</v>
      </c>
      <c r="AB24" s="78"/>
      <c r="AC24" s="99">
        <f>'Total Stats'!O7*AC10</f>
        <v>0</v>
      </c>
    </row>
    <row r="25">
      <c r="A25" s="77" t="s">
        <v>120</v>
      </c>
      <c r="B25" s="99"/>
      <c r="C25" s="99"/>
      <c r="D25" s="78">
        <f>'Total Stats'!P3*D11</f>
        <v>0</v>
      </c>
      <c r="E25" s="78">
        <f>'Total Stats'!P3*E11</f>
        <v>0</v>
      </c>
      <c r="G25" s="77" t="s">
        <v>120</v>
      </c>
      <c r="H25" s="99"/>
      <c r="I25" s="99"/>
      <c r="J25" s="78">
        <f>'Total Stats'!P4*J11</f>
        <v>0</v>
      </c>
      <c r="K25" s="78">
        <f>'Total Stats'!P4*K11</f>
        <v>0</v>
      </c>
      <c r="M25" s="77" t="s">
        <v>120</v>
      </c>
      <c r="N25" s="99"/>
      <c r="O25" s="99"/>
      <c r="P25" s="78">
        <f>'Total Stats'!P5*P11</f>
        <v>0</v>
      </c>
      <c r="Q25" s="78">
        <f>'Total Stats'!P5*Q11</f>
        <v>0</v>
      </c>
      <c r="S25" s="77" t="s">
        <v>120</v>
      </c>
      <c r="T25" s="99"/>
      <c r="U25" s="99"/>
      <c r="V25" s="78">
        <f>'Total Stats'!P6*V11</f>
        <v>0</v>
      </c>
      <c r="W25" s="78">
        <f>'Total Stats'!P6*W11</f>
        <v>0</v>
      </c>
      <c r="Y25" s="77" t="s">
        <v>120</v>
      </c>
      <c r="Z25" s="78"/>
      <c r="AA25" s="99"/>
      <c r="AB25" s="99">
        <f>'Total Stats'!P7*AB11</f>
        <v>0</v>
      </c>
      <c r="AC25" s="78">
        <f>'Total Stats'!P7*AC11</f>
        <v>0</v>
      </c>
    </row>
    <row r="26">
      <c r="A26" s="77" t="s">
        <v>121</v>
      </c>
      <c r="B26" s="78">
        <f>'Total Stats'!Q3*B12</f>
        <v>0</v>
      </c>
      <c r="C26" s="78">
        <f>'Total Stats'!Q3*C12</f>
        <v>0</v>
      </c>
      <c r="D26" s="78">
        <f>'Total Stats'!Q3*D12</f>
        <v>0</v>
      </c>
      <c r="E26" s="78">
        <f>'Total Stats'!Q3*E12</f>
        <v>0</v>
      </c>
      <c r="G26" s="77" t="s">
        <v>121</v>
      </c>
      <c r="H26" s="78">
        <f>'Total Stats'!Q4*H12</f>
        <v>0</v>
      </c>
      <c r="I26" s="78">
        <f>'Total Stats'!Q4*I12</f>
        <v>0</v>
      </c>
      <c r="J26" s="78">
        <f>'Total Stats'!Q4*J12</f>
        <v>0</v>
      </c>
      <c r="K26" s="78">
        <f>'Total Stats'!Q4*K12</f>
        <v>0</v>
      </c>
      <c r="M26" s="77" t="s">
        <v>121</v>
      </c>
      <c r="N26" s="78">
        <f>'Total Stats'!Q5*N12</f>
        <v>0</v>
      </c>
      <c r="O26" s="78">
        <f>'Total Stats'!Q5*O12</f>
        <v>0</v>
      </c>
      <c r="P26" s="78">
        <f>'Total Stats'!Q5*P12</f>
        <v>0</v>
      </c>
      <c r="Q26" s="78">
        <f>'Total Stats'!Q5*Q12</f>
        <v>0</v>
      </c>
      <c r="S26" s="77" t="s">
        <v>121</v>
      </c>
      <c r="T26" s="78">
        <f>'Total Stats'!Q6*T12</f>
        <v>0</v>
      </c>
      <c r="U26" s="78">
        <f>'Total Stats'!Q6*U12</f>
        <v>0</v>
      </c>
      <c r="V26" s="78">
        <f>'Total Stats'!Q6*V12</f>
        <v>0</v>
      </c>
      <c r="W26" s="78">
        <f>'Total Stats'!Q6*W12</f>
        <v>0</v>
      </c>
      <c r="Y26" s="77" t="s">
        <v>121</v>
      </c>
      <c r="Z26" s="78">
        <f>'Total Stats'!Q7*Z12</f>
        <v>0</v>
      </c>
      <c r="AA26" s="78">
        <f>'Total Stats'!Q7*AA12</f>
        <v>0</v>
      </c>
      <c r="AB26" s="78">
        <f>'Total Stats'!Q7*AB12</f>
        <v>0</v>
      </c>
      <c r="AC26" s="78">
        <f>'Total Stats'!Q7*AC12</f>
        <v>0</v>
      </c>
    </row>
    <row r="27">
      <c r="A27" s="77" t="s">
        <v>122</v>
      </c>
      <c r="B27" s="78">
        <f t="shared" ref="B27:E27" si="50">SUM(B16:B26)</f>
        <v>0</v>
      </c>
      <c r="C27" s="78">
        <f t="shared" si="50"/>
        <v>0</v>
      </c>
      <c r="D27" s="78">
        <f t="shared" si="50"/>
        <v>0</v>
      </c>
      <c r="E27" s="78">
        <f t="shared" si="50"/>
        <v>0</v>
      </c>
      <c r="G27" s="77" t="s">
        <v>122</v>
      </c>
      <c r="H27" s="78">
        <f t="shared" ref="H27:K27" si="51">SUM(H16:H26)</f>
        <v>0</v>
      </c>
      <c r="I27" s="78">
        <f t="shared" si="51"/>
        <v>0</v>
      </c>
      <c r="J27" s="78">
        <f t="shared" si="51"/>
        <v>0</v>
      </c>
      <c r="K27" s="78">
        <f t="shared" si="51"/>
        <v>0</v>
      </c>
      <c r="M27" s="77" t="s">
        <v>122</v>
      </c>
      <c r="N27" s="78">
        <f t="shared" ref="N27:Q27" si="52">SUM(N16:N26)</f>
        <v>0</v>
      </c>
      <c r="O27" s="78">
        <f t="shared" si="52"/>
        <v>0</v>
      </c>
      <c r="P27" s="78">
        <f t="shared" si="52"/>
        <v>0</v>
      </c>
      <c r="Q27" s="78">
        <f t="shared" si="52"/>
        <v>0</v>
      </c>
      <c r="S27" s="77" t="s">
        <v>122</v>
      </c>
      <c r="T27" s="78">
        <f t="shared" ref="T27:W27" si="53">SUM(T16:T26)</f>
        <v>0</v>
      </c>
      <c r="U27" s="78">
        <f t="shared" si="53"/>
        <v>0</v>
      </c>
      <c r="V27" s="78">
        <f t="shared" si="53"/>
        <v>0</v>
      </c>
      <c r="W27" s="78">
        <f t="shared" si="53"/>
        <v>0</v>
      </c>
      <c r="Y27" s="77" t="s">
        <v>122</v>
      </c>
      <c r="Z27" s="78">
        <f t="shared" ref="Z27:AC27" si="54">SUM(Z16:Z26)</f>
        <v>0</v>
      </c>
      <c r="AA27" s="78">
        <f t="shared" si="54"/>
        <v>0</v>
      </c>
      <c r="AB27" s="78">
        <f t="shared" si="54"/>
        <v>0</v>
      </c>
      <c r="AC27" s="78">
        <f t="shared" si="54"/>
        <v>0</v>
      </c>
    </row>
    <row r="29">
      <c r="A29" s="77" t="str">
        <f>'Total Stats'!B8</f>
        <v>InfiniteRainge</v>
      </c>
      <c r="B29" s="74" t="s">
        <v>94</v>
      </c>
      <c r="C29" s="74" t="s">
        <v>95</v>
      </c>
      <c r="D29" s="74" t="s">
        <v>96</v>
      </c>
      <c r="E29" s="74" t="s">
        <v>97</v>
      </c>
      <c r="G29" s="77" t="str">
        <f>'Total Stats'!B9</f>
        <v>ACE B S1lentND1</v>
      </c>
      <c r="H29" s="74" t="s">
        <v>94</v>
      </c>
      <c r="I29" s="74" t="s">
        <v>95</v>
      </c>
      <c r="J29" s="74" t="s">
        <v>96</v>
      </c>
      <c r="K29" s="74" t="s">
        <v>97</v>
      </c>
      <c r="M29" s="77" t="str">
        <f>'Total Stats'!B10</f>
        <v>DCleak</v>
      </c>
      <c r="N29" s="74" t="s">
        <v>94</v>
      </c>
      <c r="O29" s="74" t="s">
        <v>95</v>
      </c>
      <c r="P29" s="74" t="s">
        <v>96</v>
      </c>
      <c r="Q29" s="74" t="s">
        <v>97</v>
      </c>
      <c r="S29" s="77" t="str">
        <f>'Total Stats'!B11</f>
        <v>ST0P K1LLING ME</v>
      </c>
      <c r="T29" s="74" t="s">
        <v>94</v>
      </c>
      <c r="U29" s="74" t="s">
        <v>95</v>
      </c>
      <c r="V29" s="74" t="s">
        <v>96</v>
      </c>
      <c r="W29" s="74" t="s">
        <v>97</v>
      </c>
      <c r="Y29" s="77" t="str">
        <f>'Total Stats'!B12</f>
        <v>oUnique Rose</v>
      </c>
      <c r="Z29" s="74" t="s">
        <v>94</v>
      </c>
      <c r="AA29" s="74" t="s">
        <v>95</v>
      </c>
      <c r="AB29" s="74" t="s">
        <v>96</v>
      </c>
      <c r="AC29" s="74" t="s">
        <v>97</v>
      </c>
    </row>
    <row r="30">
      <c r="A30" s="77" t="s">
        <v>108</v>
      </c>
      <c r="B30" s="78">
        <f>'Total Stats'!D8*B2</f>
        <v>0</v>
      </c>
      <c r="C30" s="78"/>
      <c r="D30" s="78"/>
      <c r="E30" s="78">
        <f>'Total Stats'!D8*E2</f>
        <v>0</v>
      </c>
      <c r="G30" s="77" t="s">
        <v>108</v>
      </c>
      <c r="H30" s="78">
        <f>'Total Stats'!D9*H2</f>
        <v>0</v>
      </c>
      <c r="I30" s="78"/>
      <c r="J30" s="78"/>
      <c r="K30" s="78">
        <f>'Total Stats'!D9*K2</f>
        <v>0</v>
      </c>
      <c r="M30" s="77" t="s">
        <v>108</v>
      </c>
      <c r="N30" s="78">
        <f>'Total Stats'!D10*N2</f>
        <v>0</v>
      </c>
      <c r="O30" s="78"/>
      <c r="P30" s="78"/>
      <c r="Q30" s="78">
        <f>'Total Stats'!D10*Q2</f>
        <v>0</v>
      </c>
      <c r="S30" s="77" t="s">
        <v>108</v>
      </c>
      <c r="T30" s="78">
        <f>'Total Stats'!D11*T2</f>
        <v>0</v>
      </c>
      <c r="U30" s="78"/>
      <c r="V30" s="78"/>
      <c r="W30" s="78">
        <f>'Total Stats'!D11*W2</f>
        <v>0</v>
      </c>
      <c r="Y30" s="77" t="s">
        <v>108</v>
      </c>
      <c r="Z30" s="78">
        <f>'Total Stats'!D12*Z2</f>
        <v>0</v>
      </c>
      <c r="AA30" s="78"/>
      <c r="AB30" s="78"/>
      <c r="AC30" s="78">
        <f>'Total Stats'!D12*AC2</f>
        <v>0</v>
      </c>
    </row>
    <row r="31">
      <c r="A31" s="77" t="s">
        <v>112</v>
      </c>
      <c r="B31" s="78"/>
      <c r="C31" s="78"/>
      <c r="D31" s="78">
        <f>'Total Stats'!H8*D3</f>
        <v>0</v>
      </c>
      <c r="E31" s="78"/>
      <c r="G31" s="77" t="s">
        <v>112</v>
      </c>
      <c r="H31" s="78"/>
      <c r="I31" s="78"/>
      <c r="J31" s="78">
        <f>'Total Stats'!H9*J3</f>
        <v>0</v>
      </c>
      <c r="K31" s="78"/>
      <c r="M31" s="77" t="s">
        <v>112</v>
      </c>
      <c r="N31" s="78"/>
      <c r="O31" s="78"/>
      <c r="P31" s="78">
        <f>'Total Stats'!H10*P3</f>
        <v>0</v>
      </c>
      <c r="Q31" s="78"/>
      <c r="S31" s="77" t="s">
        <v>112</v>
      </c>
      <c r="T31" s="78"/>
      <c r="U31" s="78"/>
      <c r="V31" s="78">
        <f>'Total Stats'!H11*V3</f>
        <v>0</v>
      </c>
      <c r="W31" s="78"/>
      <c r="Y31" s="77" t="s">
        <v>112</v>
      </c>
      <c r="Z31" s="78"/>
      <c r="AA31" s="78"/>
      <c r="AB31" s="78">
        <f>'Total Stats'!H12*AB3</f>
        <v>0</v>
      </c>
      <c r="AC31" s="78"/>
    </row>
    <row r="32">
      <c r="A32" s="77" t="s">
        <v>113</v>
      </c>
      <c r="B32" s="78">
        <f>'Total Stats'!I8*B4</f>
        <v>0</v>
      </c>
      <c r="C32" s="78"/>
      <c r="D32" s="78"/>
      <c r="E32" s="78"/>
      <c r="G32" s="77" t="s">
        <v>113</v>
      </c>
      <c r="H32" s="78">
        <f>'Total Stats'!I9*H4</f>
        <v>0</v>
      </c>
      <c r="I32" s="78"/>
      <c r="J32" s="78"/>
      <c r="K32" s="78"/>
      <c r="M32" s="77" t="s">
        <v>113</v>
      </c>
      <c r="N32" s="78">
        <f>'Total Stats'!I10*N4</f>
        <v>0</v>
      </c>
      <c r="O32" s="78"/>
      <c r="P32" s="78"/>
      <c r="Q32" s="78"/>
      <c r="S32" s="77" t="s">
        <v>113</v>
      </c>
      <c r="T32" s="78">
        <f>'Total Stats'!I11*T4</f>
        <v>0</v>
      </c>
      <c r="U32" s="78"/>
      <c r="V32" s="78"/>
      <c r="W32" s="78"/>
      <c r="Y32" s="77" t="s">
        <v>113</v>
      </c>
      <c r="Z32" s="78">
        <f>'Total Stats'!I12*Z4</f>
        <v>0</v>
      </c>
      <c r="AA32" s="78"/>
      <c r="AB32" s="78"/>
      <c r="AC32" s="78"/>
    </row>
    <row r="33">
      <c r="A33" s="77" t="s">
        <v>114</v>
      </c>
      <c r="B33" s="78"/>
      <c r="C33" s="78">
        <f>'Total Stats'!J8*C5</f>
        <v>0</v>
      </c>
      <c r="D33" s="78"/>
      <c r="E33" s="78">
        <f>'Total Stats'!J8*E5</f>
        <v>0</v>
      </c>
      <c r="G33" s="77" t="s">
        <v>114</v>
      </c>
      <c r="H33" s="78"/>
      <c r="I33" s="78">
        <f>'Total Stats'!J9*I5</f>
        <v>0</v>
      </c>
      <c r="J33" s="78"/>
      <c r="K33" s="78">
        <f>'Total Stats'!J9*K5</f>
        <v>0</v>
      </c>
      <c r="M33" s="77" t="s">
        <v>114</v>
      </c>
      <c r="N33" s="78"/>
      <c r="O33" s="78">
        <f>'Total Stats'!J10*O5</f>
        <v>0</v>
      </c>
      <c r="P33" s="78"/>
      <c r="Q33" s="78">
        <f>'Total Stats'!J10*Q5</f>
        <v>0</v>
      </c>
      <c r="S33" s="77" t="s">
        <v>114</v>
      </c>
      <c r="T33" s="78"/>
      <c r="U33" s="78">
        <f>'Total Stats'!J11*U5</f>
        <v>0</v>
      </c>
      <c r="V33" s="78"/>
      <c r="W33" s="78">
        <f>'Total Stats'!J11*W5</f>
        <v>0</v>
      </c>
      <c r="Y33" s="77" t="s">
        <v>114</v>
      </c>
      <c r="Z33" s="78"/>
      <c r="AA33" s="78">
        <f>'Total Stats'!J12*AA5</f>
        <v>0</v>
      </c>
      <c r="AB33" s="78"/>
      <c r="AC33" s="78">
        <f>'Total Stats'!J12*AC5</f>
        <v>0</v>
      </c>
    </row>
    <row r="34">
      <c r="A34" s="77" t="s">
        <v>115</v>
      </c>
      <c r="B34" s="78"/>
      <c r="C34" s="78">
        <f>'Total Stats'!K8*C6</f>
        <v>0</v>
      </c>
      <c r="D34" s="78"/>
      <c r="E34" s="78">
        <f>'Total Stats'!K8*E6</f>
        <v>0</v>
      </c>
      <c r="G34" s="77" t="s">
        <v>115</v>
      </c>
      <c r="H34" s="78"/>
      <c r="I34" s="78">
        <f>'Total Stats'!K9*I6</f>
        <v>0</v>
      </c>
      <c r="J34" s="78"/>
      <c r="K34" s="78">
        <f>'Total Stats'!K9*K6</f>
        <v>0</v>
      </c>
      <c r="M34" s="77" t="s">
        <v>115</v>
      </c>
      <c r="N34" s="78"/>
      <c r="O34" s="78">
        <f>'Total Stats'!K10*O6</f>
        <v>0</v>
      </c>
      <c r="P34" s="78"/>
      <c r="Q34" s="78">
        <f>'Total Stats'!K10*Q6</f>
        <v>0</v>
      </c>
      <c r="S34" s="77" t="s">
        <v>115</v>
      </c>
      <c r="T34" s="78"/>
      <c r="U34" s="78">
        <f>'Total Stats'!K11*U6</f>
        <v>0</v>
      </c>
      <c r="V34" s="78"/>
      <c r="W34" s="78">
        <f>'Total Stats'!K11*W6</f>
        <v>0</v>
      </c>
      <c r="Y34" s="77" t="s">
        <v>115</v>
      </c>
      <c r="Z34" s="78"/>
      <c r="AA34" s="78">
        <f>'Total Stats'!K12*AA6</f>
        <v>0</v>
      </c>
      <c r="AB34" s="78"/>
      <c r="AC34" s="78">
        <f>'Total Stats'!K12*AC6</f>
        <v>0</v>
      </c>
    </row>
    <row r="35">
      <c r="A35" s="77" t="s">
        <v>116</v>
      </c>
      <c r="B35" s="78">
        <f>'Total Stats'!L8*B7</f>
        <v>0</v>
      </c>
      <c r="C35" s="78"/>
      <c r="D35" s="78">
        <f>'Total Stats'!L8*D7</f>
        <v>0</v>
      </c>
      <c r="E35" s="78"/>
      <c r="G35" s="77" t="s">
        <v>116</v>
      </c>
      <c r="H35" s="78">
        <f>'Total Stats'!L9*H7</f>
        <v>0</v>
      </c>
      <c r="I35" s="78"/>
      <c r="J35" s="78">
        <f>'Total Stats'!L9*J7</f>
        <v>0</v>
      </c>
      <c r="K35" s="78"/>
      <c r="M35" s="77" t="s">
        <v>116</v>
      </c>
      <c r="N35" s="78">
        <f>'Total Stats'!L10*N7</f>
        <v>0</v>
      </c>
      <c r="O35" s="78"/>
      <c r="P35" s="78">
        <f>'Total Stats'!L10*P7</f>
        <v>0</v>
      </c>
      <c r="Q35" s="78"/>
      <c r="S35" s="77" t="s">
        <v>116</v>
      </c>
      <c r="T35" s="78">
        <f>'Total Stats'!L11*T7</f>
        <v>0</v>
      </c>
      <c r="U35" s="78"/>
      <c r="V35" s="78">
        <f>'Total Stats'!L11*V7</f>
        <v>0</v>
      </c>
      <c r="W35" s="78"/>
      <c r="Y35" s="77" t="s">
        <v>116</v>
      </c>
      <c r="Z35" s="78">
        <f>'Total Stats'!L12*Z7</f>
        <v>0</v>
      </c>
      <c r="AA35" s="78"/>
      <c r="AB35" s="78">
        <f>'Total Stats'!L12*AB7</f>
        <v>0</v>
      </c>
      <c r="AC35" s="78"/>
    </row>
    <row r="36">
      <c r="A36" s="77" t="s">
        <v>117</v>
      </c>
      <c r="B36" s="78"/>
      <c r="C36" s="78">
        <f>'Total Stats'!M8*C8</f>
        <v>0</v>
      </c>
      <c r="D36" s="78"/>
      <c r="E36" s="78"/>
      <c r="G36" s="77" t="s">
        <v>117</v>
      </c>
      <c r="H36" s="78"/>
      <c r="I36" s="78">
        <f>'Total Stats'!M9*C9</f>
        <v>0</v>
      </c>
      <c r="J36" s="78"/>
      <c r="K36" s="78"/>
      <c r="M36" s="77" t="s">
        <v>117</v>
      </c>
      <c r="N36" s="78"/>
      <c r="O36" s="78">
        <f>'Total Stats'!M10*O8</f>
        <v>0</v>
      </c>
      <c r="P36" s="78"/>
      <c r="Q36" s="78"/>
      <c r="S36" s="77" t="s">
        <v>117</v>
      </c>
      <c r="T36" s="78"/>
      <c r="U36" s="78">
        <f>'Total Stats'!M11*U8</f>
        <v>0</v>
      </c>
      <c r="V36" s="78"/>
      <c r="W36" s="78"/>
      <c r="Y36" s="77" t="s">
        <v>117</v>
      </c>
      <c r="Z36" s="78"/>
      <c r="AA36" s="78">
        <f>'Total Stats'!M12*AA8</f>
        <v>0</v>
      </c>
      <c r="AB36" s="78"/>
      <c r="AC36" s="78"/>
    </row>
    <row r="37">
      <c r="A37" s="77" t="s">
        <v>118</v>
      </c>
      <c r="B37" s="78"/>
      <c r="C37" s="78"/>
      <c r="D37" s="78">
        <f>'Total Stats'!N8*D9</f>
        <v>0</v>
      </c>
      <c r="E37" s="78">
        <f>'Total Stats'!N8*E9</f>
        <v>0</v>
      </c>
      <c r="G37" s="77" t="s">
        <v>118</v>
      </c>
      <c r="H37" s="78"/>
      <c r="I37" s="78"/>
      <c r="J37" s="78">
        <f>'Total Stats'!N9*J9</f>
        <v>0</v>
      </c>
      <c r="K37" s="78">
        <f>'Total Stats'!N9*K9</f>
        <v>0</v>
      </c>
      <c r="M37" s="77" t="s">
        <v>118</v>
      </c>
      <c r="N37" s="78"/>
      <c r="O37" s="78"/>
      <c r="P37" s="78">
        <f>'Total Stats'!N10*P9</f>
        <v>0</v>
      </c>
      <c r="Q37" s="78">
        <f>'Total Stats'!N10*Q9</f>
        <v>0</v>
      </c>
      <c r="S37" s="77" t="s">
        <v>118</v>
      </c>
      <c r="T37" s="78"/>
      <c r="U37" s="78"/>
      <c r="V37" s="78">
        <f>'Total Stats'!N11*V9</f>
        <v>0</v>
      </c>
      <c r="W37" s="78">
        <f>'Total Stats'!N11*W9</f>
        <v>0</v>
      </c>
      <c r="Y37" s="77" t="s">
        <v>118</v>
      </c>
      <c r="Z37" s="78"/>
      <c r="AA37" s="78"/>
      <c r="AB37" s="78">
        <f>'Total Stats'!N12*AB9</f>
        <v>0</v>
      </c>
      <c r="AC37" s="78">
        <f>'Total Stats'!N12*AC9</f>
        <v>0</v>
      </c>
    </row>
    <row r="38">
      <c r="A38" s="77" t="s">
        <v>119</v>
      </c>
      <c r="B38" s="78"/>
      <c r="C38" s="78">
        <f>'Total Stats'!O8*C10</f>
        <v>0</v>
      </c>
      <c r="D38" s="78"/>
      <c r="E38" s="78">
        <f>'Total Stats'!O8*E10</f>
        <v>0</v>
      </c>
      <c r="G38" s="77" t="s">
        <v>119</v>
      </c>
      <c r="H38" s="78"/>
      <c r="I38" s="78">
        <f>'Total Stats'!O9*I10</f>
        <v>0</v>
      </c>
      <c r="J38" s="78"/>
      <c r="K38" s="78">
        <f>'Total Stats'!O9*K10</f>
        <v>0</v>
      </c>
      <c r="M38" s="77" t="s">
        <v>119</v>
      </c>
      <c r="N38" s="78"/>
      <c r="O38" s="78">
        <f>'Total Stats'!O10*O10</f>
        <v>0</v>
      </c>
      <c r="P38" s="78"/>
      <c r="Q38" s="78">
        <f>'Total Stats'!O10*Q10</f>
        <v>0</v>
      </c>
      <c r="S38" s="77" t="s">
        <v>119</v>
      </c>
      <c r="T38" s="78"/>
      <c r="U38" s="78">
        <f>'Total Stats'!O11*U10</f>
        <v>0</v>
      </c>
      <c r="V38" s="78"/>
      <c r="W38" s="78">
        <f>'Total Stats'!O11*W10</f>
        <v>0</v>
      </c>
      <c r="Y38" s="77" t="s">
        <v>119</v>
      </c>
      <c r="Z38" s="78"/>
      <c r="AA38" s="78">
        <f>'Total Stats'!O12*AA10</f>
        <v>0</v>
      </c>
      <c r="AB38" s="78"/>
      <c r="AC38" s="78">
        <f>'Total Stats'!O12*AC10</f>
        <v>0</v>
      </c>
    </row>
    <row r="39">
      <c r="A39" s="77" t="s">
        <v>120</v>
      </c>
      <c r="B39" s="78"/>
      <c r="C39" s="78"/>
      <c r="D39" s="78">
        <f>'Total Stats'!P8*D11</f>
        <v>0</v>
      </c>
      <c r="E39" s="78">
        <f>'Total Stats'!P8*E11</f>
        <v>0</v>
      </c>
      <c r="G39" s="77" t="s">
        <v>120</v>
      </c>
      <c r="H39" s="78"/>
      <c r="I39" s="78"/>
      <c r="J39" s="78">
        <f>'Total Stats'!P9*J11</f>
        <v>0</v>
      </c>
      <c r="K39" s="78">
        <f>'Total Stats'!P9*K11</f>
        <v>0</v>
      </c>
      <c r="M39" s="77" t="s">
        <v>120</v>
      </c>
      <c r="N39" s="78"/>
      <c r="O39" s="78"/>
      <c r="P39" s="78">
        <f>'Total Stats'!P10*P11</f>
        <v>0</v>
      </c>
      <c r="Q39" s="78">
        <f>'Total Stats'!P10*Q11</f>
        <v>0</v>
      </c>
      <c r="S39" s="77" t="s">
        <v>120</v>
      </c>
      <c r="T39" s="78"/>
      <c r="U39" s="78"/>
      <c r="V39" s="78">
        <f>'Total Stats'!P11*V11</f>
        <v>0</v>
      </c>
      <c r="W39" s="78">
        <f>'Total Stats'!P11*W11</f>
        <v>0</v>
      </c>
      <c r="Y39" s="77" t="s">
        <v>120</v>
      </c>
      <c r="Z39" s="78"/>
      <c r="AA39" s="78"/>
      <c r="AB39" s="78">
        <f>'Total Stats'!P12*AB11</f>
        <v>0</v>
      </c>
      <c r="AC39" s="78">
        <f>'Total Stats'!P12*AC11</f>
        <v>0</v>
      </c>
    </row>
    <row r="40">
      <c r="A40" s="77" t="s">
        <v>121</v>
      </c>
      <c r="B40" s="78">
        <f>'Total Stats'!Q8*B12</f>
        <v>0</v>
      </c>
      <c r="C40" s="78">
        <f>'Total Stats'!Q8*C12</f>
        <v>0</v>
      </c>
      <c r="D40" s="78">
        <f>'Total Stats'!Q8*D12</f>
        <v>0</v>
      </c>
      <c r="E40" s="78">
        <f>'Total Stats'!Q8*E12</f>
        <v>0</v>
      </c>
      <c r="G40" s="77" t="s">
        <v>121</v>
      </c>
      <c r="H40" s="78">
        <f>'Total Stats'!Q9*H12</f>
        <v>0</v>
      </c>
      <c r="I40" s="78">
        <f>'Total Stats'!Q9*I12</f>
        <v>0</v>
      </c>
      <c r="J40" s="78">
        <f>'Total Stats'!Q9*J12</f>
        <v>0</v>
      </c>
      <c r="K40" s="78">
        <f>'Total Stats'!Q9*K12</f>
        <v>0</v>
      </c>
      <c r="M40" s="77" t="s">
        <v>121</v>
      </c>
      <c r="N40" s="78">
        <f>'Total Stats'!Q10*N12</f>
        <v>0</v>
      </c>
      <c r="O40" s="78">
        <f>'Total Stats'!Q10*O12</f>
        <v>0</v>
      </c>
      <c r="P40" s="78">
        <f>'Total Stats'!Q10*P12</f>
        <v>0</v>
      </c>
      <c r="Q40" s="78">
        <f>'Total Stats'!Q10*Q12</f>
        <v>0</v>
      </c>
      <c r="S40" s="77" t="s">
        <v>121</v>
      </c>
      <c r="T40" s="78">
        <f>'Total Stats'!Q11*T12</f>
        <v>0</v>
      </c>
      <c r="U40" s="78">
        <f>'Total Stats'!Q11*U12</f>
        <v>0</v>
      </c>
      <c r="V40" s="78">
        <f>'Total Stats'!Q11*V12</f>
        <v>0</v>
      </c>
      <c r="W40" s="78">
        <f>'Total Stats'!Q11*W12</f>
        <v>0</v>
      </c>
      <c r="Y40" s="77" t="s">
        <v>121</v>
      </c>
      <c r="Z40" s="78">
        <f>'Total Stats'!Q12*Z12</f>
        <v>0</v>
      </c>
      <c r="AA40" s="78">
        <f>'Total Stats'!Q12*AA12</f>
        <v>0</v>
      </c>
      <c r="AB40" s="78">
        <f>'Total Stats'!Q12*AB12</f>
        <v>0</v>
      </c>
      <c r="AC40" s="78">
        <f>'Total Stats'!Q12*AC12</f>
        <v>0</v>
      </c>
    </row>
    <row r="41">
      <c r="A41" s="77" t="s">
        <v>122</v>
      </c>
      <c r="B41" s="78">
        <f t="shared" ref="B41:E41" si="55">SUM(B30:B40)</f>
        <v>0</v>
      </c>
      <c r="C41" s="78">
        <f t="shared" si="55"/>
        <v>0</v>
      </c>
      <c r="D41" s="78">
        <f t="shared" si="55"/>
        <v>0</v>
      </c>
      <c r="E41" s="78">
        <f t="shared" si="55"/>
        <v>0</v>
      </c>
      <c r="G41" s="77" t="s">
        <v>122</v>
      </c>
      <c r="H41" s="78">
        <f t="shared" ref="H41:K41" si="56">SUM(H30:H40)</f>
        <v>0</v>
      </c>
      <c r="I41" s="78">
        <f t="shared" si="56"/>
        <v>0</v>
      </c>
      <c r="J41" s="78">
        <f t="shared" si="56"/>
        <v>0</v>
      </c>
      <c r="K41" s="78">
        <f t="shared" si="56"/>
        <v>0</v>
      </c>
      <c r="M41" s="77" t="s">
        <v>122</v>
      </c>
      <c r="N41" s="78">
        <f t="shared" ref="N41:Q41" si="57">SUM(N30:N40)</f>
        <v>0</v>
      </c>
      <c r="O41" s="78">
        <f t="shared" si="57"/>
        <v>0</v>
      </c>
      <c r="P41" s="78">
        <f t="shared" si="57"/>
        <v>0</v>
      </c>
      <c r="Q41" s="78">
        <f t="shared" si="57"/>
        <v>0</v>
      </c>
      <c r="S41" s="77" t="s">
        <v>122</v>
      </c>
      <c r="T41" s="78">
        <f t="shared" ref="T41:W41" si="58">SUM(T30:T40)</f>
        <v>0</v>
      </c>
      <c r="U41" s="78">
        <f t="shared" si="58"/>
        <v>0</v>
      </c>
      <c r="V41" s="78">
        <f t="shared" si="58"/>
        <v>0</v>
      </c>
      <c r="W41" s="78">
        <f t="shared" si="58"/>
        <v>0</v>
      </c>
      <c r="Y41" s="77" t="s">
        <v>122</v>
      </c>
      <c r="Z41" s="78">
        <f t="shared" ref="Z41:AC41" si="59">SUM(Z30:Z40)</f>
        <v>0</v>
      </c>
      <c r="AA41" s="78">
        <f t="shared" si="59"/>
        <v>0</v>
      </c>
      <c r="AB41" s="78">
        <f t="shared" si="59"/>
        <v>0</v>
      </c>
      <c r="AC41" s="78">
        <f t="shared" si="59"/>
        <v>0</v>
      </c>
    </row>
    <row r="43">
      <c r="A43" s="77" t="str">
        <f>'Total Stats'!B13</f>
        <v>NetsPride15</v>
      </c>
      <c r="B43" s="74" t="s">
        <v>94</v>
      </c>
      <c r="C43" s="74" t="s">
        <v>95</v>
      </c>
      <c r="D43" s="74" t="s">
        <v>96</v>
      </c>
      <c r="E43" s="74" t="s">
        <v>97</v>
      </c>
      <c r="F43" s="1"/>
      <c r="G43" s="77" t="str">
        <f>'Total Stats'!B14</f>
        <v>Saintz The God</v>
      </c>
      <c r="H43" s="74" t="s">
        <v>94</v>
      </c>
      <c r="I43" s="74" t="s">
        <v>95</v>
      </c>
      <c r="J43" s="74" t="s">
        <v>96</v>
      </c>
      <c r="K43" s="74" t="s">
        <v>97</v>
      </c>
      <c r="M43" s="77" t="str">
        <f>'Total Stats'!B15</f>
        <v>Silva</v>
      </c>
      <c r="N43" s="74" t="s">
        <v>94</v>
      </c>
      <c r="O43" s="74" t="s">
        <v>95</v>
      </c>
      <c r="P43" s="74" t="s">
        <v>96</v>
      </c>
      <c r="Q43" s="74" t="s">
        <v>97</v>
      </c>
      <c r="S43" s="77" t="str">
        <f>'Total Stats'!B16</f>
        <v>AJ DaJuiceMayne</v>
      </c>
      <c r="T43" s="74" t="s">
        <v>94</v>
      </c>
      <c r="U43" s="74" t="s">
        <v>95</v>
      </c>
      <c r="V43" s="74" t="s">
        <v>96</v>
      </c>
      <c r="W43" s="74" t="s">
        <v>97</v>
      </c>
      <c r="Y43" s="77" t="str">
        <f>'Total Stats'!B17</f>
        <v>El Diablo X230X</v>
      </c>
      <c r="Z43" s="74" t="s">
        <v>94</v>
      </c>
      <c r="AA43" s="74" t="s">
        <v>95</v>
      </c>
      <c r="AB43" s="74" t="s">
        <v>96</v>
      </c>
      <c r="AC43" s="74" t="s">
        <v>97</v>
      </c>
    </row>
    <row r="44">
      <c r="A44" s="77" t="s">
        <v>108</v>
      </c>
      <c r="B44" s="78">
        <f>'Total Stats'!D13*B2</f>
        <v>15</v>
      </c>
      <c r="C44" s="78"/>
      <c r="D44" s="78"/>
      <c r="E44" s="78">
        <f>'Total Stats'!D13*E2</f>
        <v>10</v>
      </c>
      <c r="G44" s="77" t="s">
        <v>108</v>
      </c>
      <c r="H44" s="78">
        <f>'Total Stats'!D14*H2</f>
        <v>0</v>
      </c>
      <c r="I44" s="78"/>
      <c r="J44" s="78"/>
      <c r="K44" s="78">
        <f>'Total Stats'!D14*K2</f>
        <v>0</v>
      </c>
      <c r="M44" s="77" t="s">
        <v>108</v>
      </c>
      <c r="N44" s="78">
        <f>'Total Stats'!D15*N2</f>
        <v>60</v>
      </c>
      <c r="O44" s="78"/>
      <c r="P44" s="78"/>
      <c r="Q44" s="78">
        <f>'Total Stats'!D15*Q2</f>
        <v>40</v>
      </c>
      <c r="S44" s="77" t="s">
        <v>108</v>
      </c>
      <c r="T44" s="78">
        <f>'Total Stats'!D16*T2</f>
        <v>0</v>
      </c>
      <c r="U44" s="78"/>
      <c r="V44" s="78"/>
      <c r="W44" s="78">
        <f>'Total Stats'!D16*W2</f>
        <v>0</v>
      </c>
      <c r="Y44" s="77" t="s">
        <v>108</v>
      </c>
      <c r="Z44" s="78">
        <f>'Total Stats'!D17*Z2</f>
        <v>0</v>
      </c>
      <c r="AA44" s="78"/>
      <c r="AB44" s="78"/>
      <c r="AC44" s="78">
        <f>'Total Stats'!D17*AC2</f>
        <v>0</v>
      </c>
    </row>
    <row r="45">
      <c r="A45" s="77" t="s">
        <v>112</v>
      </c>
      <c r="B45" s="99"/>
      <c r="C45" s="99"/>
      <c r="D45" s="78">
        <f>'Total Stats'!H13*D3</f>
        <v>3</v>
      </c>
      <c r="E45" s="78"/>
      <c r="G45" s="77" t="s">
        <v>112</v>
      </c>
      <c r="H45" s="99"/>
      <c r="I45" s="99"/>
      <c r="J45" s="78">
        <f>'Total Stats'!H14*J3</f>
        <v>15</v>
      </c>
      <c r="K45" s="78"/>
      <c r="M45" s="77" t="s">
        <v>112</v>
      </c>
      <c r="N45" s="99"/>
      <c r="O45" s="99"/>
      <c r="P45" s="78">
        <f>'Total Stats'!H15*J3</f>
        <v>23</v>
      </c>
      <c r="Q45" s="78"/>
      <c r="S45" s="77" t="s">
        <v>112</v>
      </c>
      <c r="T45" s="99"/>
      <c r="U45" s="99"/>
      <c r="V45" s="78">
        <f>'Total Stats'!H16*J3</f>
        <v>4</v>
      </c>
      <c r="W45" s="78"/>
      <c r="Y45" s="77" t="s">
        <v>112</v>
      </c>
      <c r="Z45" s="99"/>
      <c r="AA45" s="99"/>
      <c r="AB45" s="78">
        <f>'Total Stats'!H17*P3</f>
        <v>0</v>
      </c>
      <c r="AC45" s="78"/>
    </row>
    <row r="46">
      <c r="A46" s="77" t="s">
        <v>113</v>
      </c>
      <c r="B46" s="78">
        <f>'Total Stats'!I13*B4</f>
        <v>2</v>
      </c>
      <c r="C46" s="99"/>
      <c r="D46" s="99"/>
      <c r="E46" s="78"/>
      <c r="G46" s="77" t="s">
        <v>113</v>
      </c>
      <c r="H46" s="78">
        <f>'Total Stats'!I14*H4</f>
        <v>16</v>
      </c>
      <c r="I46" s="99"/>
      <c r="J46" s="99"/>
      <c r="K46" s="78"/>
      <c r="M46" s="77" t="s">
        <v>113</v>
      </c>
      <c r="N46" s="78">
        <f>'Total Stats'!I15*H4</f>
        <v>44</v>
      </c>
      <c r="O46" s="99"/>
      <c r="P46" s="99"/>
      <c r="Q46" s="78"/>
      <c r="S46" s="77" t="s">
        <v>113</v>
      </c>
      <c r="T46" s="78">
        <f>'Total Stats'!I16*H4</f>
        <v>0</v>
      </c>
      <c r="U46" s="99"/>
      <c r="V46" s="99"/>
      <c r="W46" s="78"/>
      <c r="Y46" s="77" t="s">
        <v>113</v>
      </c>
      <c r="Z46" s="78">
        <f>'Total Stats'!I17*N4</f>
        <v>0</v>
      </c>
      <c r="AA46" s="99"/>
      <c r="AB46" s="99"/>
      <c r="AC46" s="78"/>
    </row>
    <row r="47">
      <c r="A47" s="77" t="s">
        <v>114</v>
      </c>
      <c r="B47" s="99"/>
      <c r="C47" s="78">
        <f>'Total Stats'!J13*C5</f>
        <v>-60</v>
      </c>
      <c r="D47" s="99"/>
      <c r="E47" s="78">
        <f>'Total Stats'!J13*E5</f>
        <v>-30</v>
      </c>
      <c r="G47" s="77" t="s">
        <v>114</v>
      </c>
      <c r="H47" s="99"/>
      <c r="I47" s="78">
        <f>'Total Stats'!J14*I5</f>
        <v>116</v>
      </c>
      <c r="J47" s="99"/>
      <c r="K47" s="78">
        <f>'Total Stats'!J14*K5</f>
        <v>58</v>
      </c>
      <c r="M47" s="77" t="s">
        <v>114</v>
      </c>
      <c r="N47" s="99"/>
      <c r="O47" s="78">
        <f>'Total Stats'!J15*O5</f>
        <v>6</v>
      </c>
      <c r="P47" s="99"/>
      <c r="Q47" s="78">
        <f>'Total Stats'!J15*Q5</f>
        <v>3</v>
      </c>
      <c r="S47" s="77" t="s">
        <v>114</v>
      </c>
      <c r="T47" s="99"/>
      <c r="U47" s="78">
        <f>'Total Stats'!J16*U5</f>
        <v>-26</v>
      </c>
      <c r="V47" s="99"/>
      <c r="W47" s="78">
        <f>'Total Stats'!J16*W5</f>
        <v>-13</v>
      </c>
      <c r="Y47" s="77" t="s">
        <v>114</v>
      </c>
      <c r="Z47" s="99"/>
      <c r="AA47" s="78">
        <f>'Total Stats'!J17*AA5</f>
        <v>0</v>
      </c>
      <c r="AB47" s="99"/>
      <c r="AC47" s="78">
        <f>'Total Stats'!J17*AC5</f>
        <v>0</v>
      </c>
    </row>
    <row r="48">
      <c r="A48" s="77" t="s">
        <v>115</v>
      </c>
      <c r="B48" s="78"/>
      <c r="C48" s="78">
        <f>'Total Stats'!K13*C6</f>
        <v>30</v>
      </c>
      <c r="D48" s="78"/>
      <c r="E48" s="78">
        <f>'Total Stats'!K13*E6</f>
        <v>15</v>
      </c>
      <c r="G48" s="77" t="s">
        <v>115</v>
      </c>
      <c r="H48" s="78"/>
      <c r="I48" s="78">
        <f>'Total Stats'!K14*I6</f>
        <v>0</v>
      </c>
      <c r="J48" s="78"/>
      <c r="K48" s="78">
        <f>'Total Stats'!K14*K6</f>
        <v>0</v>
      </c>
      <c r="M48" s="77" t="s">
        <v>115</v>
      </c>
      <c r="N48" s="78"/>
      <c r="O48" s="78">
        <f>'Total Stats'!K15*O6</f>
        <v>0</v>
      </c>
      <c r="P48" s="78"/>
      <c r="Q48" s="78">
        <f>'Total Stats'!K15*Q6</f>
        <v>0</v>
      </c>
      <c r="S48" s="77" t="s">
        <v>115</v>
      </c>
      <c r="T48" s="78"/>
      <c r="U48" s="78">
        <f>'Total Stats'!K16*U6</f>
        <v>0</v>
      </c>
      <c r="V48" s="78"/>
      <c r="W48" s="78">
        <f>'Total Stats'!K16*W6</f>
        <v>0</v>
      </c>
      <c r="Y48" s="77" t="s">
        <v>115</v>
      </c>
      <c r="Z48" s="78"/>
      <c r="AA48" s="78">
        <f>'Total Stats'!K17*AA6</f>
        <v>0</v>
      </c>
      <c r="AB48" s="78"/>
      <c r="AC48" s="78">
        <f>'Total Stats'!K17*AC6</f>
        <v>0</v>
      </c>
    </row>
    <row r="49">
      <c r="A49" s="77" t="s">
        <v>116</v>
      </c>
      <c r="B49" s="78">
        <f>'Total Stats'!L13*B7</f>
        <v>0</v>
      </c>
      <c r="C49" s="78"/>
      <c r="D49" s="78">
        <f>'Total Stats'!L13*D7</f>
        <v>0</v>
      </c>
      <c r="E49" s="78"/>
      <c r="G49" s="77" t="s">
        <v>116</v>
      </c>
      <c r="H49" s="78">
        <f>'Total Stats'!L14*H7</f>
        <v>45</v>
      </c>
      <c r="I49" s="78"/>
      <c r="J49" s="78">
        <f>'Total Stats'!L14*J7</f>
        <v>15</v>
      </c>
      <c r="K49" s="78"/>
      <c r="M49" s="77" t="s">
        <v>116</v>
      </c>
      <c r="N49" s="78">
        <f>'Total Stats'!L15*N7</f>
        <v>45</v>
      </c>
      <c r="O49" s="78"/>
      <c r="P49" s="78">
        <f>'Total Stats'!L15*P7</f>
        <v>15</v>
      </c>
      <c r="Q49" s="78"/>
      <c r="S49" s="77" t="s">
        <v>116</v>
      </c>
      <c r="T49" s="78">
        <f>'Total Stats'!L16*T7</f>
        <v>0</v>
      </c>
      <c r="U49" s="78"/>
      <c r="V49" s="78">
        <f>'Total Stats'!L16*V7</f>
        <v>0</v>
      </c>
      <c r="W49" s="78"/>
      <c r="Y49" s="77" t="s">
        <v>116</v>
      </c>
      <c r="Z49" s="78">
        <f>'Total Stats'!L17*Z7</f>
        <v>0</v>
      </c>
      <c r="AA49" s="78"/>
      <c r="AB49" s="78">
        <f>'Total Stats'!L17*AB7</f>
        <v>0</v>
      </c>
      <c r="AC49" s="78"/>
    </row>
    <row r="50">
      <c r="A50" s="77" t="s">
        <v>117</v>
      </c>
      <c r="B50" s="99"/>
      <c r="C50" s="78">
        <f>'Total Stats'!M13*C8</f>
        <v>48</v>
      </c>
      <c r="D50" s="99"/>
      <c r="E50" s="78"/>
      <c r="G50" s="77" t="s">
        <v>117</v>
      </c>
      <c r="H50" s="99"/>
      <c r="I50" s="78">
        <f>'Total Stats'!M14*I8</f>
        <v>61</v>
      </c>
      <c r="J50" s="99"/>
      <c r="K50" s="78"/>
      <c r="M50" s="77" t="s">
        <v>117</v>
      </c>
      <c r="N50" s="99"/>
      <c r="O50" s="78">
        <f>'Total Stats'!M15*O8</f>
        <v>29</v>
      </c>
      <c r="P50" s="99"/>
      <c r="Q50" s="78"/>
      <c r="S50" s="77" t="s">
        <v>117</v>
      </c>
      <c r="T50" s="99"/>
      <c r="U50" s="78">
        <f>'Total Stats'!M16*U8</f>
        <v>33</v>
      </c>
      <c r="V50" s="99"/>
      <c r="W50" s="78"/>
      <c r="Y50" s="77" t="s">
        <v>117</v>
      </c>
      <c r="Z50" s="99"/>
      <c r="AA50" s="78">
        <f>'Total Stats'!M17*AA8</f>
        <v>0</v>
      </c>
      <c r="AB50" s="99"/>
      <c r="AC50" s="78"/>
    </row>
    <row r="51">
      <c r="A51" s="77" t="s">
        <v>118</v>
      </c>
      <c r="B51" s="99"/>
      <c r="C51" s="99"/>
      <c r="D51" s="78">
        <f>'Total Stats'!N13*D9</f>
        <v>45</v>
      </c>
      <c r="E51" s="78">
        <f>'Total Stats'!N13*E9</f>
        <v>30</v>
      </c>
      <c r="G51" s="77" t="s">
        <v>118</v>
      </c>
      <c r="H51" s="99"/>
      <c r="I51" s="99"/>
      <c r="J51" s="78">
        <f>'Total Stats'!N14*J9</f>
        <v>120</v>
      </c>
      <c r="K51" s="78">
        <f>'Total Stats'!N14*K9</f>
        <v>80</v>
      </c>
      <c r="M51" s="77" t="s">
        <v>118</v>
      </c>
      <c r="N51" s="99"/>
      <c r="O51" s="99"/>
      <c r="P51" s="78">
        <f>'Total Stats'!N15*P9</f>
        <v>15</v>
      </c>
      <c r="Q51" s="78">
        <f>'Total Stats'!N15*Q9</f>
        <v>10</v>
      </c>
      <c r="S51" s="77" t="s">
        <v>118</v>
      </c>
      <c r="T51" s="99"/>
      <c r="U51" s="99"/>
      <c r="V51" s="78">
        <f>'Total Stats'!N16*V9</f>
        <v>30</v>
      </c>
      <c r="W51" s="78">
        <f>'Total Stats'!N16*W9</f>
        <v>20</v>
      </c>
      <c r="Y51" s="77" t="s">
        <v>118</v>
      </c>
      <c r="Z51" s="99"/>
      <c r="AA51" s="99"/>
      <c r="AB51" s="78">
        <f>'Total Stats'!N17*AB9</f>
        <v>0</v>
      </c>
      <c r="AC51" s="78">
        <f>'Total Stats'!N17*AC9</f>
        <v>0</v>
      </c>
    </row>
    <row r="52">
      <c r="A52" s="77" t="s">
        <v>119</v>
      </c>
      <c r="B52" s="78"/>
      <c r="C52" s="78">
        <f>'Total Stats'!O13*C10</f>
        <v>33</v>
      </c>
      <c r="D52" s="99"/>
      <c r="E52" s="78">
        <f>'Total Stats'!O13*E10</f>
        <v>22</v>
      </c>
      <c r="G52" s="77" t="s">
        <v>119</v>
      </c>
      <c r="H52" s="78"/>
      <c r="I52" s="78">
        <f>'Total Stats'!O14*I10</f>
        <v>18</v>
      </c>
      <c r="J52" s="99"/>
      <c r="K52" s="78">
        <f>'Total Stats'!O14*K10</f>
        <v>12</v>
      </c>
      <c r="M52" s="77" t="s">
        <v>119</v>
      </c>
      <c r="N52" s="78"/>
      <c r="O52" s="78">
        <f>'Total Stats'!O15*O10</f>
        <v>18</v>
      </c>
      <c r="P52" s="99"/>
      <c r="Q52" s="78">
        <f>'Total Stats'!O15*Q10</f>
        <v>12</v>
      </c>
      <c r="S52" s="77" t="s">
        <v>119</v>
      </c>
      <c r="T52" s="78"/>
      <c r="U52" s="78">
        <f>'Total Stats'!O16*U10</f>
        <v>18</v>
      </c>
      <c r="V52" s="99"/>
      <c r="W52" s="78">
        <f>'Total Stats'!O16*W10</f>
        <v>12</v>
      </c>
      <c r="Y52" s="77" t="s">
        <v>119</v>
      </c>
      <c r="Z52" s="78"/>
      <c r="AA52" s="78">
        <f>'Total Stats'!O17*AA10</f>
        <v>0</v>
      </c>
      <c r="AB52" s="99"/>
      <c r="AC52" s="78">
        <f>'Total Stats'!O17*AC10</f>
        <v>0</v>
      </c>
    </row>
    <row r="53">
      <c r="A53" s="77" t="s">
        <v>120</v>
      </c>
      <c r="B53" s="99"/>
      <c r="C53" s="99"/>
      <c r="D53" s="78">
        <f>'Total Stats'!P13*D11</f>
        <v>21</v>
      </c>
      <c r="E53" s="78">
        <f>'Total Stats'!P13*E11</f>
        <v>14</v>
      </c>
      <c r="G53" s="77" t="s">
        <v>120</v>
      </c>
      <c r="H53" s="99"/>
      <c r="I53" s="99"/>
      <c r="J53" s="78">
        <f>'Total Stats'!P14*J11</f>
        <v>6</v>
      </c>
      <c r="K53" s="78">
        <f>'Total Stats'!P14*K11</f>
        <v>4</v>
      </c>
      <c r="M53" s="77" t="s">
        <v>120</v>
      </c>
      <c r="N53" s="99"/>
      <c r="O53" s="99"/>
      <c r="P53" s="78">
        <f>'Total Stats'!P15*P11</f>
        <v>9</v>
      </c>
      <c r="Q53" s="78">
        <f>'Total Stats'!P15*Q11</f>
        <v>6</v>
      </c>
      <c r="S53" s="77" t="s">
        <v>120</v>
      </c>
      <c r="T53" s="99"/>
      <c r="U53" s="99"/>
      <c r="V53" s="78">
        <f>'Total Stats'!P16*V11</f>
        <v>15</v>
      </c>
      <c r="W53" s="78">
        <f>'Total Stats'!P16*W11</f>
        <v>10</v>
      </c>
      <c r="Y53" s="77" t="s">
        <v>120</v>
      </c>
      <c r="Z53" s="99"/>
      <c r="AA53" s="99"/>
      <c r="AB53" s="78">
        <f>'Total Stats'!P17*AB11</f>
        <v>0</v>
      </c>
      <c r="AC53" s="78">
        <f>'Total Stats'!P17*AC11</f>
        <v>0</v>
      </c>
    </row>
    <row r="54">
      <c r="A54" s="77" t="s">
        <v>121</v>
      </c>
      <c r="B54" s="78">
        <f>'Total Stats'!Q13*B12</f>
        <v>20</v>
      </c>
      <c r="C54" s="78">
        <f>'Total Stats'!Q13*C12</f>
        <v>20</v>
      </c>
      <c r="D54" s="78">
        <f>'Total Stats'!Q13*D12</f>
        <v>20</v>
      </c>
      <c r="E54" s="78">
        <f>'Total Stats'!Q13*E12</f>
        <v>20</v>
      </c>
      <c r="G54" s="77" t="s">
        <v>121</v>
      </c>
      <c r="H54" s="78">
        <f>'Total Stats'!Q14*H12</f>
        <v>20</v>
      </c>
      <c r="I54" s="78">
        <f>'Total Stats'!Q14*I12</f>
        <v>20</v>
      </c>
      <c r="J54" s="78">
        <f>'Total Stats'!Q14*J12</f>
        <v>20</v>
      </c>
      <c r="K54" s="78">
        <f>'Total Stats'!Q14*K12</f>
        <v>20</v>
      </c>
      <c r="M54" s="77" t="s">
        <v>121</v>
      </c>
      <c r="N54" s="78">
        <f>'Total Stats'!Q15*N12</f>
        <v>20</v>
      </c>
      <c r="O54" s="78">
        <f>'Total Stats'!Q15*O12</f>
        <v>20</v>
      </c>
      <c r="P54" s="78">
        <f>'Total Stats'!Q15*P12</f>
        <v>20</v>
      </c>
      <c r="Q54" s="78">
        <f>'Total Stats'!Q15*Q12</f>
        <v>20</v>
      </c>
      <c r="S54" s="77" t="s">
        <v>121</v>
      </c>
      <c r="T54" s="78">
        <f>'Total Stats'!Q16*T12</f>
        <v>20</v>
      </c>
      <c r="U54" s="78">
        <f>'Total Stats'!Q16*U12</f>
        <v>20</v>
      </c>
      <c r="V54" s="78">
        <f>'Total Stats'!Q16*V12</f>
        <v>20</v>
      </c>
      <c r="W54" s="78">
        <f>'Total Stats'!Q16*W12</f>
        <v>20</v>
      </c>
      <c r="Y54" s="77" t="s">
        <v>121</v>
      </c>
      <c r="Z54" s="78">
        <f>'Total Stats'!Q17*Z12</f>
        <v>0</v>
      </c>
      <c r="AA54" s="78">
        <f>'Total Stats'!Q17*AA12</f>
        <v>0</v>
      </c>
      <c r="AB54" s="78">
        <f>'Total Stats'!Q17*AB12</f>
        <v>0</v>
      </c>
      <c r="AC54" s="78">
        <f>'Total Stats'!Q17*AC12</f>
        <v>0</v>
      </c>
    </row>
    <row r="55">
      <c r="A55" s="77" t="s">
        <v>122</v>
      </c>
      <c r="B55" s="78">
        <f t="shared" ref="B55:E55" si="60">SUM(B44:B54)</f>
        <v>37</v>
      </c>
      <c r="C55" s="78">
        <f t="shared" si="60"/>
        <v>71</v>
      </c>
      <c r="D55" s="78">
        <f t="shared" si="60"/>
        <v>89</v>
      </c>
      <c r="E55" s="78">
        <f t="shared" si="60"/>
        <v>81</v>
      </c>
      <c r="G55" s="77" t="s">
        <v>122</v>
      </c>
      <c r="H55" s="78">
        <f t="shared" ref="H55:K55" si="61">SUM(H44:H54)</f>
        <v>81</v>
      </c>
      <c r="I55" s="78">
        <f t="shared" si="61"/>
        <v>215</v>
      </c>
      <c r="J55" s="78">
        <f t="shared" si="61"/>
        <v>176</v>
      </c>
      <c r="K55" s="78">
        <f t="shared" si="61"/>
        <v>174</v>
      </c>
      <c r="M55" s="77" t="s">
        <v>122</v>
      </c>
      <c r="N55" s="78">
        <f t="shared" ref="N55:Q55" si="62">SUM(N44:N54)</f>
        <v>169</v>
      </c>
      <c r="O55" s="78">
        <f t="shared" si="62"/>
        <v>73</v>
      </c>
      <c r="P55" s="78">
        <f t="shared" si="62"/>
        <v>82</v>
      </c>
      <c r="Q55" s="78">
        <f t="shared" si="62"/>
        <v>91</v>
      </c>
      <c r="S55" s="77" t="s">
        <v>122</v>
      </c>
      <c r="T55" s="78">
        <f t="shared" ref="T55:W55" si="63">SUM(T44:T54)</f>
        <v>20</v>
      </c>
      <c r="U55" s="78">
        <f t="shared" si="63"/>
        <v>45</v>
      </c>
      <c r="V55" s="78">
        <f t="shared" si="63"/>
        <v>69</v>
      </c>
      <c r="W55" s="78">
        <f t="shared" si="63"/>
        <v>49</v>
      </c>
      <c r="Y55" s="77" t="s">
        <v>122</v>
      </c>
      <c r="Z55" s="78">
        <f t="shared" ref="Z55:AC55" si="64">SUM(Z44:Z54)</f>
        <v>0</v>
      </c>
      <c r="AA55" s="78">
        <f t="shared" si="64"/>
        <v>0</v>
      </c>
      <c r="AB55" s="78">
        <f t="shared" si="64"/>
        <v>0</v>
      </c>
      <c r="AC55" s="78">
        <f t="shared" si="64"/>
        <v>0</v>
      </c>
    </row>
    <row r="57">
      <c r="A57" s="77" t="str">
        <f>'Total Stats'!B18</f>
        <v>Ming Crusader</v>
      </c>
      <c r="B57" s="74" t="s">
        <v>94</v>
      </c>
      <c r="C57" s="74" t="s">
        <v>95</v>
      </c>
      <c r="D57" s="74" t="s">
        <v>96</v>
      </c>
      <c r="E57" s="74" t="s">
        <v>97</v>
      </c>
      <c r="G57" s="77" t="str">
        <f>'Total Stats'!B19</f>
        <v>Sabasauros Rex</v>
      </c>
      <c r="H57" s="74" t="s">
        <v>94</v>
      </c>
      <c r="I57" s="74" t="s">
        <v>95</v>
      </c>
      <c r="J57" s="74" t="s">
        <v>96</v>
      </c>
      <c r="K57" s="74" t="s">
        <v>97</v>
      </c>
      <c r="M57" s="77" t="str">
        <f>'Total Stats'!B20</f>
        <v>Jeakilla85</v>
      </c>
      <c r="N57" s="74" t="s">
        <v>94</v>
      </c>
      <c r="O57" s="74" t="s">
        <v>95</v>
      </c>
      <c r="P57" s="74" t="s">
        <v>96</v>
      </c>
      <c r="Q57" s="74" t="s">
        <v>97</v>
      </c>
      <c r="S57" s="77" t="str">
        <f>'Total Stats'!B21</f>
        <v>KDSkill</v>
      </c>
      <c r="T57" s="74" t="s">
        <v>94</v>
      </c>
      <c r="U57" s="74" t="s">
        <v>95</v>
      </c>
      <c r="V57" s="74" t="s">
        <v>96</v>
      </c>
      <c r="W57" s="74" t="s">
        <v>97</v>
      </c>
      <c r="Y57" s="77" t="str">
        <f>'Total Stats'!B22</f>
        <v>Myst The Cold</v>
      </c>
      <c r="Z57" s="74" t="s">
        <v>94</v>
      </c>
      <c r="AA57" s="74" t="s">
        <v>95</v>
      </c>
      <c r="AB57" s="74" t="s">
        <v>96</v>
      </c>
      <c r="AC57" s="74" t="s">
        <v>97</v>
      </c>
    </row>
    <row r="58">
      <c r="A58" s="77" t="s">
        <v>108</v>
      </c>
      <c r="B58" s="78">
        <f>'Total Stats'!D18*B2</f>
        <v>0</v>
      </c>
      <c r="C58" s="78"/>
      <c r="D58" s="78"/>
      <c r="E58" s="78">
        <f>'Total Stats'!D18*E2</f>
        <v>0</v>
      </c>
      <c r="G58" s="77" t="s">
        <v>108</v>
      </c>
      <c r="H58" s="78">
        <f>'Total Stats'!D19*H2</f>
        <v>0</v>
      </c>
      <c r="I58" s="78"/>
      <c r="J58" s="78"/>
      <c r="K58" s="78">
        <f>'Total Stats'!D19*K2</f>
        <v>0</v>
      </c>
      <c r="M58" s="77" t="s">
        <v>108</v>
      </c>
      <c r="N58" s="78">
        <f>'Total Stats'!D20*N2</f>
        <v>0</v>
      </c>
      <c r="O58" s="78"/>
      <c r="P58" s="78"/>
      <c r="Q58" s="78">
        <f>'Total Stats'!D20*Q2</f>
        <v>0</v>
      </c>
      <c r="S58" s="77" t="s">
        <v>108</v>
      </c>
      <c r="T58" s="78">
        <f>'Total Stats'!D21*T2</f>
        <v>0</v>
      </c>
      <c r="U58" s="78"/>
      <c r="V58" s="78"/>
      <c r="W58" s="78">
        <f>'Total Stats'!D21*W2</f>
        <v>0</v>
      </c>
      <c r="Y58" s="77" t="s">
        <v>108</v>
      </c>
      <c r="Z58" s="78">
        <f>'Total Stats'!D22*Z2</f>
        <v>0</v>
      </c>
      <c r="AA58" s="78"/>
      <c r="AB58" s="78"/>
      <c r="AC58" s="78">
        <f>'Total Stats'!D22*AC2</f>
        <v>0</v>
      </c>
    </row>
    <row r="59">
      <c r="A59" s="77" t="s">
        <v>112</v>
      </c>
      <c r="B59" s="78"/>
      <c r="C59" s="78"/>
      <c r="D59" s="78">
        <f>'Total Stats'!H18*D3</f>
        <v>0</v>
      </c>
      <c r="E59" s="78"/>
      <c r="G59" s="77" t="s">
        <v>112</v>
      </c>
      <c r="H59" s="78"/>
      <c r="I59" s="78"/>
      <c r="J59" s="78">
        <f>'Total Stats'!H19*J3</f>
        <v>0</v>
      </c>
      <c r="K59" s="78"/>
      <c r="M59" s="77" t="s">
        <v>112</v>
      </c>
      <c r="N59" s="78"/>
      <c r="O59" s="78"/>
      <c r="P59" s="78">
        <f>'Total Stats'!H20*P3</f>
        <v>0</v>
      </c>
      <c r="Q59" s="78"/>
      <c r="S59" s="77" t="s">
        <v>112</v>
      </c>
      <c r="T59" s="78"/>
      <c r="U59" s="78"/>
      <c r="V59" s="78">
        <f>'Total Stats'!H21*V3</f>
        <v>0</v>
      </c>
      <c r="W59" s="78"/>
      <c r="Y59" s="77" t="s">
        <v>112</v>
      </c>
      <c r="Z59" s="78"/>
      <c r="AA59" s="78"/>
      <c r="AB59" s="78">
        <f>'Total Stats'!H22*AB3</f>
        <v>0</v>
      </c>
      <c r="AC59" s="78"/>
    </row>
    <row r="60">
      <c r="A60" s="77" t="s">
        <v>113</v>
      </c>
      <c r="B60" s="78">
        <f>'Total Stats'!I18*B4</f>
        <v>0</v>
      </c>
      <c r="C60" s="78"/>
      <c r="D60" s="78"/>
      <c r="E60" s="78"/>
      <c r="G60" s="77" t="s">
        <v>113</v>
      </c>
      <c r="H60" s="78">
        <f>'Total Stats'!I19*H4</f>
        <v>0</v>
      </c>
      <c r="I60" s="78"/>
      <c r="J60" s="78"/>
      <c r="K60" s="78"/>
      <c r="M60" s="77" t="s">
        <v>113</v>
      </c>
      <c r="N60" s="78">
        <f>'Total Stats'!I20*N4</f>
        <v>0</v>
      </c>
      <c r="O60" s="78"/>
      <c r="P60" s="78"/>
      <c r="Q60" s="78"/>
      <c r="S60" s="77" t="s">
        <v>113</v>
      </c>
      <c r="T60" s="78">
        <f>'Total Stats'!I21*T4</f>
        <v>0</v>
      </c>
      <c r="U60" s="78"/>
      <c r="V60" s="78"/>
      <c r="W60" s="78"/>
      <c r="Y60" s="77" t="s">
        <v>113</v>
      </c>
      <c r="Z60" s="78">
        <f>'Total Stats'!I22*Z4</f>
        <v>0</v>
      </c>
      <c r="AA60" s="78"/>
      <c r="AB60" s="78"/>
      <c r="AC60" s="78"/>
    </row>
    <row r="61">
      <c r="A61" s="77" t="s">
        <v>114</v>
      </c>
      <c r="B61" s="78"/>
      <c r="C61" s="78">
        <f>'Total Stats'!J18*C5</f>
        <v>0</v>
      </c>
      <c r="D61" s="78"/>
      <c r="E61" s="78">
        <f>'Total Stats'!J18*E5</f>
        <v>0</v>
      </c>
      <c r="G61" s="77" t="s">
        <v>114</v>
      </c>
      <c r="H61" s="78"/>
      <c r="I61" s="78">
        <f>'Total Stats'!J19*I5</f>
        <v>0</v>
      </c>
      <c r="J61" s="78"/>
      <c r="K61" s="78">
        <f>'Total Stats'!J19*K5</f>
        <v>0</v>
      </c>
      <c r="M61" s="77" t="s">
        <v>114</v>
      </c>
      <c r="N61" s="78"/>
      <c r="O61" s="78">
        <f>'Total Stats'!J20*O5</f>
        <v>0</v>
      </c>
      <c r="P61" s="78"/>
      <c r="Q61" s="78">
        <f>'Total Stats'!J20*Q5</f>
        <v>0</v>
      </c>
      <c r="S61" s="77" t="s">
        <v>114</v>
      </c>
      <c r="T61" s="78"/>
      <c r="U61" s="78">
        <f>'Total Stats'!J21*U5</f>
        <v>0</v>
      </c>
      <c r="V61" s="78"/>
      <c r="W61" s="78">
        <f>'Total Stats'!J21*W5</f>
        <v>0</v>
      </c>
      <c r="Y61" s="77" t="s">
        <v>114</v>
      </c>
      <c r="Z61" s="78"/>
      <c r="AA61" s="78">
        <f>'Total Stats'!J22*AA5</f>
        <v>0</v>
      </c>
      <c r="AB61" s="78"/>
      <c r="AC61" s="78">
        <f>'Total Stats'!J22*AC5</f>
        <v>0</v>
      </c>
    </row>
    <row r="62">
      <c r="A62" s="77" t="s">
        <v>115</v>
      </c>
      <c r="B62" s="78"/>
      <c r="C62" s="78">
        <f>'Total Stats'!K18*C6</f>
        <v>0</v>
      </c>
      <c r="D62" s="78"/>
      <c r="E62" s="78">
        <f>'Total Stats'!K18*E6</f>
        <v>0</v>
      </c>
      <c r="G62" s="77" t="s">
        <v>115</v>
      </c>
      <c r="H62" s="78"/>
      <c r="I62" s="78">
        <f>'Total Stats'!K19*I6</f>
        <v>0</v>
      </c>
      <c r="J62" s="78"/>
      <c r="K62" s="78">
        <f>'Total Stats'!K19*K6</f>
        <v>0</v>
      </c>
      <c r="M62" s="77" t="s">
        <v>115</v>
      </c>
      <c r="N62" s="78"/>
      <c r="O62" s="78">
        <f>'Total Stats'!K20*O6</f>
        <v>0</v>
      </c>
      <c r="P62" s="78"/>
      <c r="Q62" s="78">
        <f>'Total Stats'!K20*Q6</f>
        <v>0</v>
      </c>
      <c r="S62" s="77" t="s">
        <v>115</v>
      </c>
      <c r="T62" s="78"/>
      <c r="U62" s="78">
        <f>'Total Stats'!K21*U6</f>
        <v>0</v>
      </c>
      <c r="V62" s="78"/>
      <c r="W62" s="78">
        <f>'Total Stats'!K21*W6</f>
        <v>0</v>
      </c>
      <c r="Y62" s="77" t="s">
        <v>115</v>
      </c>
      <c r="Z62" s="78"/>
      <c r="AA62" s="78">
        <f>'Total Stats'!K22*AA6</f>
        <v>0</v>
      </c>
      <c r="AB62" s="78"/>
      <c r="AC62" s="78">
        <f>'Total Stats'!K22*AC6</f>
        <v>0</v>
      </c>
    </row>
    <row r="63">
      <c r="A63" s="77" t="s">
        <v>116</v>
      </c>
      <c r="B63" s="78">
        <f>'Total Stats'!L18*B7</f>
        <v>0</v>
      </c>
      <c r="C63" s="78"/>
      <c r="D63" s="78">
        <f>'Total Stats'!L18*D7</f>
        <v>0</v>
      </c>
      <c r="E63" s="78"/>
      <c r="G63" s="77" t="s">
        <v>116</v>
      </c>
      <c r="H63" s="78">
        <f>'Total Stats'!L19*H7</f>
        <v>0</v>
      </c>
      <c r="I63" s="78"/>
      <c r="J63" s="78">
        <f>'Total Stats'!L19*J7</f>
        <v>0</v>
      </c>
      <c r="K63" s="78"/>
      <c r="M63" s="77" t="s">
        <v>116</v>
      </c>
      <c r="N63" s="78">
        <f>'Total Stats'!L20*N7</f>
        <v>0</v>
      </c>
      <c r="O63" s="78"/>
      <c r="P63" s="78">
        <f>'Total Stats'!L20*P7</f>
        <v>0</v>
      </c>
      <c r="Q63" s="78"/>
      <c r="S63" s="77" t="s">
        <v>116</v>
      </c>
      <c r="T63" s="78">
        <f>'Total Stats'!L21*T7</f>
        <v>0</v>
      </c>
      <c r="U63" s="78"/>
      <c r="V63" s="78">
        <f>'Total Stats'!L21*V7</f>
        <v>0</v>
      </c>
      <c r="W63" s="78"/>
      <c r="Y63" s="77" t="s">
        <v>116</v>
      </c>
      <c r="Z63" s="78">
        <f>'Total Stats'!L22*Z7</f>
        <v>0</v>
      </c>
      <c r="AA63" s="78"/>
      <c r="AB63" s="78">
        <f>'Total Stats'!L22*AB7</f>
        <v>0</v>
      </c>
      <c r="AC63" s="78"/>
    </row>
    <row r="64">
      <c r="A64" s="77" t="s">
        <v>117</v>
      </c>
      <c r="B64" s="78"/>
      <c r="C64" s="78">
        <f>'Total Stats'!M18*C8</f>
        <v>0</v>
      </c>
      <c r="D64" s="78"/>
      <c r="E64" s="78"/>
      <c r="G64" s="77" t="s">
        <v>117</v>
      </c>
      <c r="H64" s="78"/>
      <c r="I64" s="78">
        <f>'Total Stats'!M19*C8</f>
        <v>0</v>
      </c>
      <c r="J64" s="78"/>
      <c r="K64" s="78"/>
      <c r="M64" s="77" t="s">
        <v>117</v>
      </c>
      <c r="N64" s="78"/>
      <c r="O64" s="78">
        <f>'Total Stats'!M20*O8</f>
        <v>0</v>
      </c>
      <c r="P64" s="78"/>
      <c r="Q64" s="78"/>
      <c r="S64" s="77" t="s">
        <v>117</v>
      </c>
      <c r="T64" s="78"/>
      <c r="U64" s="78">
        <f>'Total Stats'!M21*U8</f>
        <v>0</v>
      </c>
      <c r="V64" s="78"/>
      <c r="W64" s="78"/>
      <c r="Y64" s="77" t="s">
        <v>117</v>
      </c>
      <c r="Z64" s="78"/>
      <c r="AA64" s="78">
        <f>'Total Stats'!M22*AA8</f>
        <v>0</v>
      </c>
      <c r="AB64" s="78"/>
      <c r="AC64" s="78"/>
    </row>
    <row r="65">
      <c r="A65" s="77" t="s">
        <v>118</v>
      </c>
      <c r="B65" s="78"/>
      <c r="C65" s="78"/>
      <c r="D65" s="78">
        <f>'Total Stats'!N18*D9</f>
        <v>0</v>
      </c>
      <c r="E65" s="78">
        <f>'Total Stats'!N18*E9</f>
        <v>0</v>
      </c>
      <c r="G65" s="77" t="s">
        <v>118</v>
      </c>
      <c r="H65" s="78"/>
      <c r="I65" s="78"/>
      <c r="J65" s="78">
        <f>'Total Stats'!N19*J9</f>
        <v>0</v>
      </c>
      <c r="K65" s="78">
        <f>'Total Stats'!N19*K9</f>
        <v>0</v>
      </c>
      <c r="M65" s="77" t="s">
        <v>118</v>
      </c>
      <c r="N65" s="78"/>
      <c r="O65" s="78"/>
      <c r="P65" s="78">
        <f>'Total Stats'!N20*P9</f>
        <v>0</v>
      </c>
      <c r="Q65" s="78">
        <f>'Total Stats'!N20*Q9</f>
        <v>0</v>
      </c>
      <c r="S65" s="77" t="s">
        <v>118</v>
      </c>
      <c r="T65" s="78"/>
      <c r="U65" s="78"/>
      <c r="V65" s="78">
        <f>'Total Stats'!N21*V9</f>
        <v>0</v>
      </c>
      <c r="W65" s="78">
        <f>'Total Stats'!N21*W9</f>
        <v>0</v>
      </c>
      <c r="Y65" s="77" t="s">
        <v>118</v>
      </c>
      <c r="Z65" s="78"/>
      <c r="AA65" s="78"/>
      <c r="AB65" s="78">
        <f>'Total Stats'!N22*AB9</f>
        <v>0</v>
      </c>
      <c r="AC65" s="78">
        <f>'Total Stats'!N22*AC9</f>
        <v>0</v>
      </c>
    </row>
    <row r="66">
      <c r="A66" s="77" t="s">
        <v>119</v>
      </c>
      <c r="B66" s="78"/>
      <c r="C66" s="78">
        <f>'Total Stats'!O18*C10</f>
        <v>0</v>
      </c>
      <c r="D66" s="78"/>
      <c r="E66" s="78">
        <f>'Total Stats'!O18*E10</f>
        <v>0</v>
      </c>
      <c r="G66" s="77" t="s">
        <v>119</v>
      </c>
      <c r="H66" s="78"/>
      <c r="I66" s="78">
        <f>'Total Stats'!O19*I10</f>
        <v>0</v>
      </c>
      <c r="J66" s="78"/>
      <c r="K66" s="78">
        <f>'Total Stats'!O19*K10</f>
        <v>0</v>
      </c>
      <c r="M66" s="77" t="s">
        <v>119</v>
      </c>
      <c r="N66" s="78"/>
      <c r="O66" s="78">
        <f>'Total Stats'!O20*O10</f>
        <v>0</v>
      </c>
      <c r="P66" s="78"/>
      <c r="Q66" s="78">
        <f>'Total Stats'!O20*Q10</f>
        <v>0</v>
      </c>
      <c r="S66" s="77" t="s">
        <v>119</v>
      </c>
      <c r="T66" s="78"/>
      <c r="U66" s="78">
        <f>'Total Stats'!O21*U10</f>
        <v>0</v>
      </c>
      <c r="V66" s="78"/>
      <c r="W66" s="78">
        <f>'Total Stats'!O21*W10</f>
        <v>0</v>
      </c>
      <c r="Y66" s="77" t="s">
        <v>119</v>
      </c>
      <c r="Z66" s="78"/>
      <c r="AA66" s="78">
        <f>'Total Stats'!O22*AA10</f>
        <v>0</v>
      </c>
      <c r="AB66" s="78"/>
      <c r="AC66" s="78">
        <f>'Total Stats'!O22*AC10</f>
        <v>0</v>
      </c>
    </row>
    <row r="67">
      <c r="A67" s="77" t="s">
        <v>120</v>
      </c>
      <c r="B67" s="78"/>
      <c r="C67" s="78"/>
      <c r="D67" s="78">
        <f>'Total Stats'!P18*D11</f>
        <v>0</v>
      </c>
      <c r="E67" s="78">
        <f>'Total Stats'!P18*E11</f>
        <v>0</v>
      </c>
      <c r="G67" s="77" t="s">
        <v>120</v>
      </c>
      <c r="H67" s="78"/>
      <c r="I67" s="78"/>
      <c r="J67" s="78">
        <f>'Total Stats'!P19*J11</f>
        <v>0</v>
      </c>
      <c r="K67" s="78">
        <f>'Total Stats'!P19*K11</f>
        <v>0</v>
      </c>
      <c r="M67" s="77" t="s">
        <v>120</v>
      </c>
      <c r="N67" s="78"/>
      <c r="O67" s="78"/>
      <c r="P67" s="78">
        <f>'Total Stats'!P20*P11</f>
        <v>0</v>
      </c>
      <c r="Q67" s="78">
        <f>'Total Stats'!P20*Q11</f>
        <v>0</v>
      </c>
      <c r="S67" s="77" t="s">
        <v>120</v>
      </c>
      <c r="T67" s="78"/>
      <c r="U67" s="78"/>
      <c r="V67" s="78">
        <f>'Total Stats'!P21*V11</f>
        <v>0</v>
      </c>
      <c r="W67" s="78">
        <f>'Total Stats'!P21*W11</f>
        <v>0</v>
      </c>
      <c r="Y67" s="77" t="s">
        <v>120</v>
      </c>
      <c r="Z67" s="78"/>
      <c r="AA67" s="78"/>
      <c r="AB67" s="78">
        <f>'Total Stats'!P22*AB11</f>
        <v>0</v>
      </c>
      <c r="AC67" s="78">
        <f>'Total Stats'!P22*AC11</f>
        <v>0</v>
      </c>
    </row>
    <row r="68">
      <c r="A68" s="77" t="s">
        <v>121</v>
      </c>
      <c r="B68" s="78">
        <f>'Total Stats'!Q18*B12</f>
        <v>0</v>
      </c>
      <c r="C68" s="78">
        <f>'Total Stats'!Q18*C12</f>
        <v>0</v>
      </c>
      <c r="D68" s="78">
        <f>'Total Stats'!Q18*D12</f>
        <v>0</v>
      </c>
      <c r="E68" s="78">
        <f>'Total Stats'!Q18*E12</f>
        <v>0</v>
      </c>
      <c r="G68" s="77" t="s">
        <v>121</v>
      </c>
      <c r="H68" s="78">
        <f>'Total Stats'!Q19*H12</f>
        <v>0</v>
      </c>
      <c r="I68" s="78">
        <f>'Total Stats'!Q19*I12</f>
        <v>0</v>
      </c>
      <c r="J68" s="78">
        <f>'Total Stats'!Q19*J12</f>
        <v>0</v>
      </c>
      <c r="K68" s="78">
        <f>'Total Stats'!Q19*K12</f>
        <v>0</v>
      </c>
      <c r="M68" s="77" t="s">
        <v>121</v>
      </c>
      <c r="N68" s="78">
        <f>'Total Stats'!Q20*N12</f>
        <v>0</v>
      </c>
      <c r="O68" s="78">
        <f>'Total Stats'!Q20*O12</f>
        <v>0</v>
      </c>
      <c r="P68" s="78">
        <f>'Total Stats'!Q20*P12</f>
        <v>0</v>
      </c>
      <c r="Q68" s="78">
        <f>'Total Stats'!Q20*Q12</f>
        <v>0</v>
      </c>
      <c r="S68" s="77" t="s">
        <v>121</v>
      </c>
      <c r="T68" s="78">
        <f>'Total Stats'!Q21*T12</f>
        <v>0</v>
      </c>
      <c r="U68" s="78">
        <f>'Total Stats'!Q21*U12</f>
        <v>0</v>
      </c>
      <c r="V68" s="78">
        <f>'Total Stats'!Q21*V12</f>
        <v>0</v>
      </c>
      <c r="W68" s="78">
        <f>'Total Stats'!Q21*W12</f>
        <v>0</v>
      </c>
      <c r="Y68" s="77" t="s">
        <v>121</v>
      </c>
      <c r="Z68" s="78">
        <f>'Total Stats'!Q22*Z12</f>
        <v>0</v>
      </c>
      <c r="AA68" s="78">
        <f>'Total Stats'!Q22*AA12</f>
        <v>0</v>
      </c>
      <c r="AB68" s="78">
        <f>'Total Stats'!Q22*AB12</f>
        <v>0</v>
      </c>
      <c r="AC68" s="78">
        <f>'Total Stats'!Q22*AC12</f>
        <v>0</v>
      </c>
    </row>
    <row r="69">
      <c r="A69" s="77" t="s">
        <v>122</v>
      </c>
      <c r="B69" s="78">
        <f t="shared" ref="B69:E69" si="65">SUM(B58:B68)</f>
        <v>0</v>
      </c>
      <c r="C69" s="78">
        <f t="shared" si="65"/>
        <v>0</v>
      </c>
      <c r="D69" s="78">
        <f t="shared" si="65"/>
        <v>0</v>
      </c>
      <c r="E69" s="78">
        <f t="shared" si="65"/>
        <v>0</v>
      </c>
      <c r="G69" s="77" t="s">
        <v>122</v>
      </c>
      <c r="H69" s="78">
        <f t="shared" ref="H69:K69" si="66">SUM(H58:H68)</f>
        <v>0</v>
      </c>
      <c r="I69" s="78">
        <f t="shared" si="66"/>
        <v>0</v>
      </c>
      <c r="J69" s="78">
        <f t="shared" si="66"/>
        <v>0</v>
      </c>
      <c r="K69" s="78">
        <f t="shared" si="66"/>
        <v>0</v>
      </c>
      <c r="M69" s="77" t="s">
        <v>122</v>
      </c>
      <c r="N69" s="78">
        <f t="shared" ref="N69:Q69" si="67">SUM(N58:N68)</f>
        <v>0</v>
      </c>
      <c r="O69" s="78">
        <f t="shared" si="67"/>
        <v>0</v>
      </c>
      <c r="P69" s="78">
        <f t="shared" si="67"/>
        <v>0</v>
      </c>
      <c r="Q69" s="78">
        <f t="shared" si="67"/>
        <v>0</v>
      </c>
      <c r="S69" s="77" t="s">
        <v>122</v>
      </c>
      <c r="T69" s="78">
        <f t="shared" ref="T69:W69" si="68">SUM(T58:T68)</f>
        <v>0</v>
      </c>
      <c r="U69" s="78">
        <f t="shared" si="68"/>
        <v>0</v>
      </c>
      <c r="V69" s="78">
        <f t="shared" si="68"/>
        <v>0</v>
      </c>
      <c r="W69" s="78">
        <f t="shared" si="68"/>
        <v>0</v>
      </c>
      <c r="Y69" s="77" t="s">
        <v>122</v>
      </c>
      <c r="Z69" s="78">
        <f t="shared" ref="Z69:AC69" si="69">SUM(Z58:Z68)</f>
        <v>0</v>
      </c>
      <c r="AA69" s="78">
        <f t="shared" si="69"/>
        <v>0</v>
      </c>
      <c r="AB69" s="78">
        <f t="shared" si="69"/>
        <v>0</v>
      </c>
      <c r="AC69" s="78">
        <f t="shared" si="69"/>
        <v>0</v>
      </c>
    </row>
    <row r="71">
      <c r="A71" s="77" t="str">
        <f>'Total Stats'!B23</f>
        <v>KING RICKXL</v>
      </c>
      <c r="B71" s="74" t="s">
        <v>94</v>
      </c>
      <c r="C71" s="74" t="s">
        <v>95</v>
      </c>
      <c r="D71" s="74" t="s">
        <v>96</v>
      </c>
      <c r="E71" s="74" t="s">
        <v>97</v>
      </c>
      <c r="F71" s="1"/>
      <c r="G71" s="77" t="str">
        <f>'Total Stats'!B25</f>
        <v>imShad</v>
      </c>
      <c r="H71" s="74" t="s">
        <v>94</v>
      </c>
      <c r="I71" s="74" t="s">
        <v>95</v>
      </c>
      <c r="J71" s="74" t="s">
        <v>96</v>
      </c>
      <c r="K71" s="74" t="s">
        <v>97</v>
      </c>
      <c r="M71" s="77" t="str">
        <f>'Total Stats'!B26</f>
        <v>ixGingy</v>
      </c>
      <c r="N71" s="74" t="s">
        <v>94</v>
      </c>
      <c r="O71" s="74" t="s">
        <v>95</v>
      </c>
      <c r="P71" s="74" t="s">
        <v>96</v>
      </c>
      <c r="Q71" s="74" t="s">
        <v>97</v>
      </c>
      <c r="S71" s="77" t="str">
        <f>'Total Stats'!B27</f>
        <v>Ezy08</v>
      </c>
      <c r="T71" s="74" t="s">
        <v>94</v>
      </c>
      <c r="U71" s="74" t="s">
        <v>95</v>
      </c>
      <c r="V71" s="74" t="s">
        <v>96</v>
      </c>
      <c r="W71" s="74" t="s">
        <v>97</v>
      </c>
      <c r="Y71" s="77" t="str">
        <f>'Total Stats'!B28</f>
        <v>Almighty Tycoon</v>
      </c>
      <c r="Z71" s="74" t="s">
        <v>94</v>
      </c>
      <c r="AA71" s="74" t="s">
        <v>95</v>
      </c>
      <c r="AB71" s="74" t="s">
        <v>96</v>
      </c>
      <c r="AC71" s="74" t="s">
        <v>97</v>
      </c>
    </row>
    <row r="72">
      <c r="A72" s="77" t="s">
        <v>108</v>
      </c>
      <c r="B72" s="78">
        <f>'Total Stats'!D23*B2</f>
        <v>0</v>
      </c>
      <c r="C72" s="78"/>
      <c r="D72" s="78"/>
      <c r="E72" s="78">
        <f>'Total Stats'!D23*E2</f>
        <v>0</v>
      </c>
      <c r="G72" s="77" t="s">
        <v>108</v>
      </c>
      <c r="H72" s="78">
        <f>'Total Stats'!D25*H2</f>
        <v>0</v>
      </c>
      <c r="I72" s="78"/>
      <c r="J72" s="78"/>
      <c r="K72" s="78">
        <f>'Total Stats'!D25*K2</f>
        <v>0</v>
      </c>
      <c r="M72" s="77" t="s">
        <v>108</v>
      </c>
      <c r="N72" s="78">
        <f>'Total Stats'!D26*N2</f>
        <v>0</v>
      </c>
      <c r="O72" s="78"/>
      <c r="P72" s="78"/>
      <c r="Q72" s="78">
        <f>'Total Stats'!D26*Q2</f>
        <v>0</v>
      </c>
      <c r="S72" s="77" t="s">
        <v>108</v>
      </c>
      <c r="T72" s="78">
        <f>'Total Stats'!D27*T2</f>
        <v>15</v>
      </c>
      <c r="U72" s="78"/>
      <c r="V72" s="78"/>
      <c r="W72" s="78">
        <f>'Total Stats'!D27*W2</f>
        <v>10</v>
      </c>
      <c r="Y72" s="77" t="s">
        <v>108</v>
      </c>
      <c r="Z72" s="78">
        <f>'Total Stats'!D28*Z2</f>
        <v>45</v>
      </c>
      <c r="AA72" s="78"/>
      <c r="AB72" s="78"/>
      <c r="AC72" s="78">
        <f>'Total Stats'!D28*AC2</f>
        <v>30</v>
      </c>
    </row>
    <row r="73">
      <c r="A73" s="77" t="s">
        <v>112</v>
      </c>
      <c r="B73" s="99"/>
      <c r="C73" s="99"/>
      <c r="D73" s="78">
        <f>'Total Stats'!H23*D3</f>
        <v>0</v>
      </c>
      <c r="E73" s="78"/>
      <c r="G73" s="77" t="s">
        <v>112</v>
      </c>
      <c r="H73" s="99"/>
      <c r="I73" s="99"/>
      <c r="J73" s="78">
        <f>'Total Stats'!H25*J3</f>
        <v>0</v>
      </c>
      <c r="K73" s="78"/>
      <c r="M73" s="77" t="s">
        <v>112</v>
      </c>
      <c r="N73" s="99"/>
      <c r="O73" s="99"/>
      <c r="P73" s="78">
        <f>'Total Stats'!H26*J3</f>
        <v>15</v>
      </c>
      <c r="Q73" s="78"/>
      <c r="S73" s="77" t="s">
        <v>112</v>
      </c>
      <c r="T73" s="99"/>
      <c r="U73" s="99"/>
      <c r="V73" s="78">
        <f>'Total Stats'!H27*J3</f>
        <v>11</v>
      </c>
      <c r="W73" s="78"/>
      <c r="Y73" s="77" t="s">
        <v>112</v>
      </c>
      <c r="Z73" s="99"/>
      <c r="AA73" s="99"/>
      <c r="AB73" s="78">
        <f>'Total Stats'!H28*P3</f>
        <v>15</v>
      </c>
      <c r="AC73" s="78"/>
    </row>
    <row r="74">
      <c r="A74" s="77" t="s">
        <v>113</v>
      </c>
      <c r="B74" s="78">
        <f>'Total Stats'!I23*B4</f>
        <v>0</v>
      </c>
      <c r="C74" s="99"/>
      <c r="D74" s="99"/>
      <c r="E74" s="78"/>
      <c r="G74" s="77" t="s">
        <v>113</v>
      </c>
      <c r="H74" s="78">
        <f>'Total Stats'!I25*H4</f>
        <v>0</v>
      </c>
      <c r="I74" s="99"/>
      <c r="J74" s="99"/>
      <c r="K74" s="78"/>
      <c r="M74" s="77" t="s">
        <v>113</v>
      </c>
      <c r="N74" s="78">
        <f>'Total Stats'!I26*H4</f>
        <v>2</v>
      </c>
      <c r="O74" s="99"/>
      <c r="P74" s="99"/>
      <c r="Q74" s="78"/>
      <c r="S74" s="77" t="s">
        <v>113</v>
      </c>
      <c r="T74" s="78">
        <f>'Total Stats'!I27*H4</f>
        <v>6</v>
      </c>
      <c r="U74" s="99"/>
      <c r="V74" s="99"/>
      <c r="W74" s="78"/>
      <c r="Y74" s="77" t="s">
        <v>113</v>
      </c>
      <c r="Z74" s="78">
        <f>'Total Stats'!I28*N4</f>
        <v>26</v>
      </c>
      <c r="AA74" s="99"/>
      <c r="AB74" s="99"/>
      <c r="AC74" s="78"/>
    </row>
    <row r="75">
      <c r="A75" s="77" t="s">
        <v>114</v>
      </c>
      <c r="B75" s="99"/>
      <c r="C75" s="78">
        <f>'Total Stats'!J23*C5</f>
        <v>0</v>
      </c>
      <c r="D75" s="99"/>
      <c r="E75" s="78">
        <f>'Total Stats'!J23*E5</f>
        <v>0</v>
      </c>
      <c r="G75" s="77" t="s">
        <v>114</v>
      </c>
      <c r="H75" s="78"/>
      <c r="I75" s="78">
        <f>'Total Stats'!J25*I5</f>
        <v>0</v>
      </c>
      <c r="J75" s="99"/>
      <c r="K75" s="78">
        <f>'Total Stats'!J25*K5</f>
        <v>0</v>
      </c>
      <c r="M75" s="77" t="s">
        <v>114</v>
      </c>
      <c r="N75" s="99"/>
      <c r="O75" s="78">
        <f>'Total Stats'!J26*O5</f>
        <v>30</v>
      </c>
      <c r="P75" s="99"/>
      <c r="Q75" s="78">
        <f>'Total Stats'!J26*Q5</f>
        <v>15</v>
      </c>
      <c r="S75" s="77" t="s">
        <v>114</v>
      </c>
      <c r="T75" s="99"/>
      <c r="U75" s="78">
        <f>'Total Stats'!J27*U5</f>
        <v>2</v>
      </c>
      <c r="V75" s="99"/>
      <c r="W75" s="78">
        <f>'Total Stats'!J27*W5</f>
        <v>1</v>
      </c>
      <c r="Y75" s="77" t="s">
        <v>114</v>
      </c>
      <c r="Z75" s="99"/>
      <c r="AA75" s="78">
        <f>'Total Stats'!J28*AA5</f>
        <v>-64</v>
      </c>
      <c r="AB75" s="99"/>
      <c r="AC75" s="78">
        <f>'Total Stats'!J28*AC5</f>
        <v>-32</v>
      </c>
    </row>
    <row r="76">
      <c r="A76" s="77" t="s">
        <v>115</v>
      </c>
      <c r="B76" s="78"/>
      <c r="C76" s="78">
        <f>'Total Stats'!K23*C6</f>
        <v>0</v>
      </c>
      <c r="D76" s="78"/>
      <c r="E76" s="78">
        <f>'Total Stats'!K23*E6</f>
        <v>0</v>
      </c>
      <c r="G76" s="77" t="s">
        <v>115</v>
      </c>
      <c r="H76" s="78"/>
      <c r="I76" s="78">
        <f>'Total Stats'!K25*I6</f>
        <v>0</v>
      </c>
      <c r="J76" s="78"/>
      <c r="K76" s="78">
        <f>'Total Stats'!K25*K6</f>
        <v>0</v>
      </c>
      <c r="M76" s="77" t="s">
        <v>115</v>
      </c>
      <c r="N76" s="78"/>
      <c r="O76" s="78">
        <f>'Total Stats'!K26*O6</f>
        <v>30</v>
      </c>
      <c r="P76" s="78"/>
      <c r="Q76" s="78">
        <f>'Total Stats'!K26*Q6</f>
        <v>15</v>
      </c>
      <c r="S76" s="77" t="s">
        <v>115</v>
      </c>
      <c r="T76" s="78"/>
      <c r="U76" s="78">
        <f>'Total Stats'!K27*U6</f>
        <v>0</v>
      </c>
      <c r="V76" s="78"/>
      <c r="W76" s="78">
        <f>'Total Stats'!K27*W6</f>
        <v>0</v>
      </c>
      <c r="Y76" s="77" t="s">
        <v>115</v>
      </c>
      <c r="Z76" s="78"/>
      <c r="AA76" s="78">
        <f>'Total Stats'!K28*AA6</f>
        <v>0</v>
      </c>
      <c r="AB76" s="78"/>
      <c r="AC76" s="78">
        <f>'Total Stats'!K28*AC6</f>
        <v>0</v>
      </c>
    </row>
    <row r="77">
      <c r="A77" s="77" t="s">
        <v>116</v>
      </c>
      <c r="B77" s="78">
        <f>'Total Stats'!L23*B7</f>
        <v>0</v>
      </c>
      <c r="C77" s="78"/>
      <c r="D77" s="78">
        <f>'Total Stats'!L23*D7</f>
        <v>0</v>
      </c>
      <c r="E77" s="78"/>
      <c r="G77" s="77" t="s">
        <v>116</v>
      </c>
      <c r="H77" s="78">
        <f>'Total Stats'!L25*H7</f>
        <v>0</v>
      </c>
      <c r="I77" s="78"/>
      <c r="J77" s="78">
        <f>'Total Stats'!L25*J7</f>
        <v>0</v>
      </c>
      <c r="K77" s="78"/>
      <c r="M77" s="77" t="s">
        <v>116</v>
      </c>
      <c r="N77" s="78">
        <f>'Total Stats'!L26*N7</f>
        <v>0</v>
      </c>
      <c r="O77" s="78"/>
      <c r="P77" s="78">
        <f>'Total Stats'!L26*P7</f>
        <v>0</v>
      </c>
      <c r="Q77" s="78"/>
      <c r="S77" s="77" t="s">
        <v>116</v>
      </c>
      <c r="T77" s="78">
        <f>'Total Stats'!L27*T7</f>
        <v>15</v>
      </c>
      <c r="U77" s="78"/>
      <c r="V77" s="78">
        <f>'Total Stats'!L27*V7</f>
        <v>5</v>
      </c>
      <c r="W77" s="78"/>
      <c r="Y77" s="77" t="s">
        <v>116</v>
      </c>
      <c r="Z77" s="78">
        <f>'Total Stats'!L28*Z7</f>
        <v>30</v>
      </c>
      <c r="AA77" s="78"/>
      <c r="AB77" s="78">
        <f>'Total Stats'!L28*AB7</f>
        <v>10</v>
      </c>
      <c r="AC77" s="78"/>
    </row>
    <row r="78">
      <c r="A78" s="77" t="s">
        <v>117</v>
      </c>
      <c r="B78" s="99"/>
      <c r="C78" s="78">
        <f>'Total Stats'!M23*C8</f>
        <v>0</v>
      </c>
      <c r="D78" s="99"/>
      <c r="E78" s="78"/>
      <c r="G78" s="77" t="s">
        <v>117</v>
      </c>
      <c r="H78" s="99"/>
      <c r="I78" s="78">
        <f>'Total Stats'!M25*I8</f>
        <v>0</v>
      </c>
      <c r="J78" s="99"/>
      <c r="K78" s="78"/>
      <c r="M78" s="77" t="s">
        <v>117</v>
      </c>
      <c r="N78" s="99"/>
      <c r="O78" s="78">
        <f>'Total Stats'!M26*O8</f>
        <v>52</v>
      </c>
      <c r="P78" s="99"/>
      <c r="Q78" s="78"/>
      <c r="S78" s="77" t="s">
        <v>117</v>
      </c>
      <c r="T78" s="99"/>
      <c r="U78" s="78">
        <f>'Total Stats'!M27*U8</f>
        <v>37</v>
      </c>
      <c r="V78" s="99"/>
      <c r="W78" s="78"/>
      <c r="Y78" s="77" t="s">
        <v>117</v>
      </c>
      <c r="Z78" s="99"/>
      <c r="AA78" s="78">
        <f>'Total Stats'!M28*AA8</f>
        <v>20</v>
      </c>
      <c r="AB78" s="99"/>
      <c r="AC78" s="78"/>
    </row>
    <row r="79">
      <c r="A79" s="77" t="s">
        <v>118</v>
      </c>
      <c r="B79" s="99"/>
      <c r="C79" s="99"/>
      <c r="D79" s="78">
        <f>'Total Stats'!N23*D9</f>
        <v>0</v>
      </c>
      <c r="E79" s="78">
        <f>'Total Stats'!N23*E9</f>
        <v>0</v>
      </c>
      <c r="G79" s="77" t="s">
        <v>118</v>
      </c>
      <c r="H79" s="99"/>
      <c r="I79" s="99"/>
      <c r="J79" s="78">
        <f>'Total Stats'!N25*J9</f>
        <v>0</v>
      </c>
      <c r="K79" s="78">
        <f>'Total Stats'!N25*K9</f>
        <v>0</v>
      </c>
      <c r="M79" s="77" t="s">
        <v>118</v>
      </c>
      <c r="N79" s="99"/>
      <c r="O79" s="99"/>
      <c r="P79" s="78">
        <f>'Total Stats'!N26*P9</f>
        <v>45</v>
      </c>
      <c r="Q79" s="78">
        <f>'Total Stats'!N26*Q9</f>
        <v>30</v>
      </c>
      <c r="S79" s="77" t="s">
        <v>118</v>
      </c>
      <c r="T79" s="99"/>
      <c r="U79" s="99"/>
      <c r="V79" s="78">
        <f>'Total Stats'!N27*V9</f>
        <v>15</v>
      </c>
      <c r="W79" s="78">
        <f>'Total Stats'!N27*W9</f>
        <v>10</v>
      </c>
      <c r="Y79" s="77" t="s">
        <v>118</v>
      </c>
      <c r="Z79" s="99"/>
      <c r="AA79" s="99"/>
      <c r="AB79" s="78">
        <f>'Total Stats'!N28*AB9</f>
        <v>60</v>
      </c>
      <c r="AC79" s="78">
        <f>'Total Stats'!N28*AC9</f>
        <v>40</v>
      </c>
    </row>
    <row r="80">
      <c r="A80" s="77" t="s">
        <v>119</v>
      </c>
      <c r="B80" s="78"/>
      <c r="C80" s="78">
        <f>'Total Stats'!O23*C10</f>
        <v>0</v>
      </c>
      <c r="D80" s="99"/>
      <c r="E80" s="78">
        <f>'Total Stats'!O23*E10</f>
        <v>0</v>
      </c>
      <c r="G80" s="77" t="s">
        <v>119</v>
      </c>
      <c r="H80" s="78"/>
      <c r="I80" s="78">
        <f>'Total Stats'!O25*I10</f>
        <v>0</v>
      </c>
      <c r="J80" s="99"/>
      <c r="K80" s="78">
        <f>'Total Stats'!O25*K10</f>
        <v>0</v>
      </c>
      <c r="M80" s="77" t="s">
        <v>119</v>
      </c>
      <c r="N80" s="78"/>
      <c r="O80" s="78">
        <f>'Total Stats'!O26*O10</f>
        <v>21</v>
      </c>
      <c r="P80" s="99"/>
      <c r="Q80" s="78">
        <f>'Total Stats'!O26*Q10</f>
        <v>14</v>
      </c>
      <c r="S80" s="77" t="s">
        <v>119</v>
      </c>
      <c r="T80" s="78"/>
      <c r="U80" s="78">
        <f>'Total Stats'!O27*U10</f>
        <v>45</v>
      </c>
      <c r="V80" s="99"/>
      <c r="W80" s="78">
        <f>'Total Stats'!O27*W10</f>
        <v>30</v>
      </c>
      <c r="Y80" s="77" t="s">
        <v>119</v>
      </c>
      <c r="Z80" s="78"/>
      <c r="AA80" s="78">
        <f>'Total Stats'!O28*AA10</f>
        <v>15</v>
      </c>
      <c r="AB80" s="99"/>
      <c r="AC80" s="78">
        <f>'Total Stats'!O28*AC10</f>
        <v>10</v>
      </c>
    </row>
    <row r="81">
      <c r="A81" s="77" t="s">
        <v>120</v>
      </c>
      <c r="B81" s="99"/>
      <c r="C81" s="99"/>
      <c r="D81" s="78">
        <f>'Total Stats'!P23*D11</f>
        <v>0</v>
      </c>
      <c r="E81" s="78">
        <f>'Total Stats'!P23*E11</f>
        <v>0</v>
      </c>
      <c r="G81" s="77" t="s">
        <v>120</v>
      </c>
      <c r="H81" s="99"/>
      <c r="I81" s="99"/>
      <c r="J81" s="78">
        <f>'Total Stats'!P25*J11</f>
        <v>0</v>
      </c>
      <c r="K81" s="78">
        <f>'Total Stats'!P25*K11</f>
        <v>0</v>
      </c>
      <c r="M81" s="77" t="s">
        <v>120</v>
      </c>
      <c r="N81" s="99"/>
      <c r="O81" s="99"/>
      <c r="P81" s="78">
        <f>'Total Stats'!P26*P11</f>
        <v>12</v>
      </c>
      <c r="Q81" s="78">
        <f>'Total Stats'!P26*Q11</f>
        <v>8</v>
      </c>
      <c r="S81" s="77" t="s">
        <v>120</v>
      </c>
      <c r="T81" s="99"/>
      <c r="U81" s="99"/>
      <c r="V81" s="78">
        <f>'Total Stats'!P27*V11</f>
        <v>9</v>
      </c>
      <c r="W81" s="78">
        <f>'Total Stats'!P27*W11</f>
        <v>6</v>
      </c>
      <c r="Y81" s="77" t="s">
        <v>120</v>
      </c>
      <c r="Z81" s="99"/>
      <c r="AA81" s="99"/>
      <c r="AB81" s="78">
        <f>'Total Stats'!P28*AB11</f>
        <v>12</v>
      </c>
      <c r="AC81" s="78">
        <f>'Total Stats'!P28*AC11</f>
        <v>8</v>
      </c>
    </row>
    <row r="82">
      <c r="A82" s="77" t="s">
        <v>121</v>
      </c>
      <c r="B82" s="78">
        <f>'Total Stats'!Q23*B12</f>
        <v>0</v>
      </c>
      <c r="C82" s="78">
        <f>'Total Stats'!Q23*C12</f>
        <v>0</v>
      </c>
      <c r="D82" s="78">
        <f>'Total Stats'!Q23*D12</f>
        <v>0</v>
      </c>
      <c r="E82" s="78">
        <f>'Total Stats'!Q23*E12</f>
        <v>0</v>
      </c>
      <c r="G82" s="77" t="s">
        <v>121</v>
      </c>
      <c r="H82" s="78">
        <f>'Total Stats'!Q25*H12</f>
        <v>0</v>
      </c>
      <c r="I82" s="78">
        <f>'Total Stats'!Q25*I12</f>
        <v>0</v>
      </c>
      <c r="J82" s="78">
        <f>'Total Stats'!Q25*J12</f>
        <v>0</v>
      </c>
      <c r="K82" s="78">
        <f>'Total Stats'!Q25*K12</f>
        <v>0</v>
      </c>
      <c r="M82" s="77" t="s">
        <v>121</v>
      </c>
      <c r="N82" s="78">
        <f>'Total Stats'!Q26*N12</f>
        <v>0</v>
      </c>
      <c r="O82" s="78">
        <f>'Total Stats'!Q26*O12</f>
        <v>0</v>
      </c>
      <c r="P82" s="78">
        <f>'Total Stats'!Q26*P12</f>
        <v>0</v>
      </c>
      <c r="Q82" s="78">
        <f>'Total Stats'!Q26*Q12</f>
        <v>0</v>
      </c>
      <c r="S82" s="77" t="s">
        <v>121</v>
      </c>
      <c r="T82" s="78">
        <f>'Total Stats'!Q27*T12</f>
        <v>0</v>
      </c>
      <c r="U82" s="78">
        <f>'Total Stats'!Q27*U12</f>
        <v>0</v>
      </c>
      <c r="V82" s="78">
        <f>'Total Stats'!Q27*V12</f>
        <v>0</v>
      </c>
      <c r="W82" s="78">
        <f>'Total Stats'!Q27*W12</f>
        <v>0</v>
      </c>
      <c r="Y82" s="77" t="s">
        <v>121</v>
      </c>
      <c r="Z82" s="78">
        <f>'Total Stats'!Q28*Z12</f>
        <v>0</v>
      </c>
      <c r="AA82" s="78">
        <f>'Total Stats'!Q28*AA12</f>
        <v>0</v>
      </c>
      <c r="AB82" s="78">
        <f>'Total Stats'!Q28*AB12</f>
        <v>0</v>
      </c>
      <c r="AC82" s="78">
        <f>'Total Stats'!Q28*AC12</f>
        <v>0</v>
      </c>
    </row>
    <row r="83">
      <c r="A83" s="77" t="s">
        <v>122</v>
      </c>
      <c r="B83" s="78">
        <f t="shared" ref="B83:E83" si="70">SUM(B72:B82)</f>
        <v>0</v>
      </c>
      <c r="C83" s="78">
        <f t="shared" si="70"/>
        <v>0</v>
      </c>
      <c r="D83" s="78">
        <f t="shared" si="70"/>
        <v>0</v>
      </c>
      <c r="E83" s="78">
        <f t="shared" si="70"/>
        <v>0</v>
      </c>
      <c r="G83" s="77" t="s">
        <v>122</v>
      </c>
      <c r="H83" s="78">
        <f t="shared" ref="H83:K83" si="71">SUM(H72:H82)</f>
        <v>0</v>
      </c>
      <c r="I83" s="78">
        <f t="shared" si="71"/>
        <v>0</v>
      </c>
      <c r="J83" s="78">
        <f t="shared" si="71"/>
        <v>0</v>
      </c>
      <c r="K83" s="78">
        <f t="shared" si="71"/>
        <v>0</v>
      </c>
      <c r="M83" s="77" t="s">
        <v>122</v>
      </c>
      <c r="N83" s="78">
        <f t="shared" ref="N83:Q83" si="72">SUM(N72:N82)</f>
        <v>2</v>
      </c>
      <c r="O83" s="78">
        <f t="shared" si="72"/>
        <v>133</v>
      </c>
      <c r="P83" s="78">
        <f t="shared" si="72"/>
        <v>72</v>
      </c>
      <c r="Q83" s="78">
        <f t="shared" si="72"/>
        <v>82</v>
      </c>
      <c r="S83" s="77" t="s">
        <v>122</v>
      </c>
      <c r="T83" s="78">
        <f t="shared" ref="T83:W83" si="73">SUM(T72:T82)</f>
        <v>36</v>
      </c>
      <c r="U83" s="78">
        <f t="shared" si="73"/>
        <v>84</v>
      </c>
      <c r="V83" s="78">
        <f t="shared" si="73"/>
        <v>40</v>
      </c>
      <c r="W83" s="78">
        <f t="shared" si="73"/>
        <v>57</v>
      </c>
      <c r="Y83" s="77" t="s">
        <v>122</v>
      </c>
      <c r="Z83" s="78">
        <f t="shared" ref="Z83:AC83" si="74">SUM(Z72:Z82)</f>
        <v>101</v>
      </c>
      <c r="AA83" s="78">
        <f t="shared" si="74"/>
        <v>-29</v>
      </c>
      <c r="AB83" s="78">
        <f t="shared" si="74"/>
        <v>97</v>
      </c>
      <c r="AC83" s="78">
        <f t="shared" si="74"/>
        <v>56</v>
      </c>
    </row>
    <row r="85">
      <c r="A85" s="77" t="str">
        <f>'Total Stats'!B29</f>
        <v>The Piggies</v>
      </c>
      <c r="B85" s="74" t="s">
        <v>94</v>
      </c>
      <c r="C85" s="74" t="s">
        <v>95</v>
      </c>
      <c r="D85" s="74" t="s">
        <v>96</v>
      </c>
      <c r="E85" s="74" t="s">
        <v>97</v>
      </c>
      <c r="F85" s="1"/>
      <c r="G85" s="77" t="str">
        <f>'Total Stats'!B30</f>
        <v>Invayda Zim</v>
      </c>
      <c r="H85" s="74" t="s">
        <v>94</v>
      </c>
      <c r="I85" s="74" t="s">
        <v>95</v>
      </c>
      <c r="J85" s="74" t="s">
        <v>96</v>
      </c>
      <c r="K85" s="74" t="s">
        <v>97</v>
      </c>
      <c r="M85" s="77" t="str">
        <f>'Total Stats'!B31</f>
        <v>DlGITAL PAIN</v>
      </c>
      <c r="N85" s="74" t="s">
        <v>94</v>
      </c>
      <c r="O85" s="74" t="s">
        <v>95</v>
      </c>
      <c r="P85" s="74" t="s">
        <v>96</v>
      </c>
      <c r="Q85" s="74" t="s">
        <v>97</v>
      </c>
      <c r="S85" s="77" t="str">
        <f>'Total Stats'!B32</f>
        <v>PoisonxPoptart</v>
      </c>
      <c r="T85" s="74" t="s">
        <v>94</v>
      </c>
      <c r="U85" s="74" t="s">
        <v>95</v>
      </c>
      <c r="V85" s="74" t="s">
        <v>96</v>
      </c>
      <c r="W85" s="74" t="s">
        <v>97</v>
      </c>
      <c r="Y85" s="77" t="str">
        <f>'Total Stats'!B33</f>
        <v>Mang Canon</v>
      </c>
      <c r="Z85" s="74" t="s">
        <v>94</v>
      </c>
      <c r="AA85" s="74" t="s">
        <v>95</v>
      </c>
      <c r="AB85" s="74" t="s">
        <v>96</v>
      </c>
      <c r="AC85" s="74" t="s">
        <v>97</v>
      </c>
    </row>
    <row r="86">
      <c r="A86" s="77" t="s">
        <v>108</v>
      </c>
      <c r="B86" s="78">
        <f>'Total Stats'!D29*B2</f>
        <v>0</v>
      </c>
      <c r="C86" s="78"/>
      <c r="D86" s="78"/>
      <c r="E86" s="78">
        <f>'Total Stats'!D29*E2</f>
        <v>0</v>
      </c>
      <c r="G86" s="77" t="s">
        <v>108</v>
      </c>
      <c r="H86" s="78">
        <f>'Total Stats'!D30*H2</f>
        <v>0</v>
      </c>
      <c r="I86" s="78"/>
      <c r="J86" s="78"/>
      <c r="K86" s="78">
        <f>'Total Stats'!D30*K2</f>
        <v>0</v>
      </c>
      <c r="M86" s="77" t="s">
        <v>108</v>
      </c>
      <c r="N86" s="78">
        <f>'Total Stats'!D31*N2</f>
        <v>0</v>
      </c>
      <c r="O86" s="78"/>
      <c r="P86" s="78"/>
      <c r="Q86" s="78">
        <f>'Total Stats'!D31*Q2</f>
        <v>0</v>
      </c>
      <c r="S86" s="77" t="s">
        <v>108</v>
      </c>
      <c r="T86" s="78">
        <f>'Total Stats'!D32*T2</f>
        <v>0</v>
      </c>
      <c r="U86" s="78"/>
      <c r="V86" s="78"/>
      <c r="W86" s="78">
        <f>'Total Stats'!D32*W2</f>
        <v>0</v>
      </c>
      <c r="Y86" s="77" t="s">
        <v>108</v>
      </c>
      <c r="Z86" s="78">
        <f>'Total Stats'!D33*Z2</f>
        <v>0</v>
      </c>
      <c r="AA86" s="78"/>
      <c r="AB86" s="78"/>
      <c r="AC86" s="78">
        <f>'Total Stats'!D33*AC2</f>
        <v>0</v>
      </c>
    </row>
    <row r="87">
      <c r="A87" s="77" t="s">
        <v>112</v>
      </c>
      <c r="B87" s="78"/>
      <c r="C87" s="78"/>
      <c r="D87" s="78">
        <f>'Total Stats'!H29*D3</f>
        <v>0</v>
      </c>
      <c r="E87" s="78"/>
      <c r="G87" s="77" t="s">
        <v>112</v>
      </c>
      <c r="H87" s="78"/>
      <c r="I87" s="78"/>
      <c r="J87" s="78">
        <f>'Total Stats'!H30*J3</f>
        <v>0</v>
      </c>
      <c r="K87" s="78"/>
      <c r="M87" s="77" t="s">
        <v>112</v>
      </c>
      <c r="N87" s="78"/>
      <c r="O87" s="78"/>
      <c r="P87" s="78">
        <f>'Total Stats'!H31*P3</f>
        <v>0</v>
      </c>
      <c r="Q87" s="78"/>
      <c r="S87" s="77" t="s">
        <v>112</v>
      </c>
      <c r="T87" s="78"/>
      <c r="U87" s="78"/>
      <c r="V87" s="78">
        <f>'Total Stats'!H32*V3</f>
        <v>0</v>
      </c>
      <c r="W87" s="78"/>
      <c r="Y87" s="77" t="s">
        <v>112</v>
      </c>
      <c r="Z87" s="78"/>
      <c r="AA87" s="78"/>
      <c r="AB87" s="78">
        <f>'Total Stats'!H33*AB3</f>
        <v>0</v>
      </c>
      <c r="AC87" s="78"/>
    </row>
    <row r="88">
      <c r="A88" s="77" t="s">
        <v>113</v>
      </c>
      <c r="B88" s="78">
        <f>'Total Stats'!I29*B4</f>
        <v>0</v>
      </c>
      <c r="C88" s="78"/>
      <c r="D88" s="78"/>
      <c r="E88" s="78"/>
      <c r="G88" s="77" t="s">
        <v>113</v>
      </c>
      <c r="H88" s="78">
        <f>'Total Stats'!I30*H4</f>
        <v>0</v>
      </c>
      <c r="I88" s="78"/>
      <c r="J88" s="78"/>
      <c r="K88" s="78"/>
      <c r="M88" s="77" t="s">
        <v>113</v>
      </c>
      <c r="N88" s="78">
        <f>'Total Stats'!I31*N4</f>
        <v>0</v>
      </c>
      <c r="O88" s="78"/>
      <c r="P88" s="78"/>
      <c r="Q88" s="78"/>
      <c r="S88" s="77" t="s">
        <v>113</v>
      </c>
      <c r="T88" s="78">
        <f>'Total Stats'!I32*T4</f>
        <v>0</v>
      </c>
      <c r="U88" s="78"/>
      <c r="V88" s="78"/>
      <c r="W88" s="78"/>
      <c r="Y88" s="77" t="s">
        <v>113</v>
      </c>
      <c r="Z88" s="78">
        <f>'Total Stats'!I33*Z4</f>
        <v>0</v>
      </c>
      <c r="AA88" s="78"/>
      <c r="AB88" s="78"/>
      <c r="AC88" s="78"/>
    </row>
    <row r="89">
      <c r="A89" s="77" t="s">
        <v>114</v>
      </c>
      <c r="B89" s="78"/>
      <c r="C89" s="78">
        <f>'Total Stats'!J29*C5</f>
        <v>0</v>
      </c>
      <c r="D89" s="78"/>
      <c r="E89" s="78">
        <f>'Total Stats'!J29*E5</f>
        <v>0</v>
      </c>
      <c r="G89" s="77" t="s">
        <v>114</v>
      </c>
      <c r="H89" s="78"/>
      <c r="I89" s="78">
        <f>'Total Stats'!J30*I5</f>
        <v>0</v>
      </c>
      <c r="J89" s="78"/>
      <c r="K89" s="78">
        <f>'Total Stats'!J30*K5</f>
        <v>0</v>
      </c>
      <c r="M89" s="77" t="s">
        <v>114</v>
      </c>
      <c r="N89" s="78"/>
      <c r="O89" s="78">
        <f>'Total Stats'!J31*O5</f>
        <v>0</v>
      </c>
      <c r="P89" s="78"/>
      <c r="Q89" s="78">
        <f>'Total Stats'!J31*Q5</f>
        <v>0</v>
      </c>
      <c r="S89" s="77" t="s">
        <v>114</v>
      </c>
      <c r="T89" s="78"/>
      <c r="U89" s="78">
        <f>'Total Stats'!J32*U5</f>
        <v>0</v>
      </c>
      <c r="V89" s="78"/>
      <c r="W89" s="78">
        <f>'Total Stats'!J32*W5</f>
        <v>0</v>
      </c>
      <c r="Y89" s="77" t="s">
        <v>114</v>
      </c>
      <c r="Z89" s="78"/>
      <c r="AA89" s="78">
        <f>'Total Stats'!J33*AA5</f>
        <v>0</v>
      </c>
      <c r="AB89" s="78"/>
      <c r="AC89" s="78">
        <f>'Total Stats'!J33*AC5</f>
        <v>0</v>
      </c>
    </row>
    <row r="90">
      <c r="A90" s="77" t="s">
        <v>115</v>
      </c>
      <c r="B90" s="78"/>
      <c r="C90" s="78">
        <f>'Total Stats'!K29*C6</f>
        <v>0</v>
      </c>
      <c r="D90" s="78"/>
      <c r="E90" s="78">
        <f>'Total Stats'!K29*E6</f>
        <v>0</v>
      </c>
      <c r="G90" s="77" t="s">
        <v>115</v>
      </c>
      <c r="H90" s="78"/>
      <c r="I90" s="78">
        <f>'Total Stats'!K30*I6</f>
        <v>0</v>
      </c>
      <c r="J90" s="78"/>
      <c r="K90" s="78">
        <f>'Total Stats'!K30*K6</f>
        <v>0</v>
      </c>
      <c r="M90" s="77" t="s">
        <v>115</v>
      </c>
      <c r="N90" s="78"/>
      <c r="O90" s="78">
        <f>'Total Stats'!K31*O6</f>
        <v>0</v>
      </c>
      <c r="P90" s="78"/>
      <c r="Q90" s="78">
        <f>'Total Stats'!K31*Q6</f>
        <v>0</v>
      </c>
      <c r="S90" s="77" t="s">
        <v>115</v>
      </c>
      <c r="T90" s="78"/>
      <c r="U90" s="78">
        <f>'Total Stats'!K32*U6</f>
        <v>0</v>
      </c>
      <c r="V90" s="78"/>
      <c r="W90" s="78">
        <f>'Total Stats'!K32*W6</f>
        <v>0</v>
      </c>
      <c r="Y90" s="77" t="s">
        <v>115</v>
      </c>
      <c r="Z90" s="78"/>
      <c r="AA90" s="78">
        <f>'Total Stats'!K33*AA6</f>
        <v>0</v>
      </c>
      <c r="AB90" s="78"/>
      <c r="AC90" s="78">
        <f>'Total Stats'!K33*AC6</f>
        <v>0</v>
      </c>
    </row>
    <row r="91">
      <c r="A91" s="77" t="s">
        <v>116</v>
      </c>
      <c r="B91" s="78">
        <f>'Total Stats'!L29*B7</f>
        <v>0</v>
      </c>
      <c r="C91" s="78"/>
      <c r="D91" s="78">
        <f>'Total Stats'!L29*D7</f>
        <v>0</v>
      </c>
      <c r="E91" s="78"/>
      <c r="G91" s="77" t="s">
        <v>116</v>
      </c>
      <c r="H91" s="78">
        <f>'Total Stats'!L30*H7</f>
        <v>0</v>
      </c>
      <c r="I91" s="78"/>
      <c r="J91" s="78">
        <f>'Total Stats'!L30*J7</f>
        <v>0</v>
      </c>
      <c r="K91" s="78"/>
      <c r="M91" s="77" t="s">
        <v>116</v>
      </c>
      <c r="N91" s="78">
        <f>'Total Stats'!L31*N7</f>
        <v>0</v>
      </c>
      <c r="O91" s="78"/>
      <c r="P91" s="78">
        <f>'Total Stats'!L31*P7</f>
        <v>0</v>
      </c>
      <c r="Q91" s="78"/>
      <c r="S91" s="77" t="s">
        <v>116</v>
      </c>
      <c r="T91" s="78">
        <f>'Total Stats'!L32*T7</f>
        <v>0</v>
      </c>
      <c r="U91" s="78"/>
      <c r="V91" s="78">
        <f>'Total Stats'!L32*V7</f>
        <v>0</v>
      </c>
      <c r="W91" s="78"/>
      <c r="Y91" s="77" t="s">
        <v>116</v>
      </c>
      <c r="Z91" s="78">
        <f>'Total Stats'!L33*Z7</f>
        <v>0</v>
      </c>
      <c r="AA91" s="78"/>
      <c r="AB91" s="78">
        <f>'Total Stats'!L33*AB7</f>
        <v>0</v>
      </c>
      <c r="AC91" s="78"/>
    </row>
    <row r="92">
      <c r="A92" s="77" t="s">
        <v>117</v>
      </c>
      <c r="B92" s="78"/>
      <c r="C92" s="78">
        <f>'Total Stats'!M29*C8</f>
        <v>0</v>
      </c>
      <c r="D92" s="78"/>
      <c r="E92" s="78"/>
      <c r="G92" s="77" t="s">
        <v>117</v>
      </c>
      <c r="H92" s="78"/>
      <c r="I92" s="78">
        <f>'Total Stats'!M30*C8</f>
        <v>0</v>
      </c>
      <c r="J92" s="78"/>
      <c r="K92" s="78"/>
      <c r="M92" s="77" t="s">
        <v>117</v>
      </c>
      <c r="N92" s="78"/>
      <c r="O92" s="78">
        <f>'Total Stats'!M31*O8</f>
        <v>0</v>
      </c>
      <c r="P92" s="78"/>
      <c r="Q92" s="78"/>
      <c r="S92" s="77" t="s">
        <v>117</v>
      </c>
      <c r="T92" s="78"/>
      <c r="U92" s="78">
        <f>'Total Stats'!M32*U8</f>
        <v>0</v>
      </c>
      <c r="V92" s="78"/>
      <c r="W92" s="78"/>
      <c r="Y92" s="77" t="s">
        <v>117</v>
      </c>
      <c r="Z92" s="78"/>
      <c r="AA92" s="78">
        <f>'Total Stats'!M33*AA8</f>
        <v>0</v>
      </c>
      <c r="AB92" s="78"/>
      <c r="AC92" s="78"/>
    </row>
    <row r="93">
      <c r="A93" s="77" t="s">
        <v>118</v>
      </c>
      <c r="B93" s="78"/>
      <c r="C93" s="78"/>
      <c r="D93" s="78">
        <f>'Total Stats'!N29*D9</f>
        <v>0</v>
      </c>
      <c r="E93" s="78">
        <f>'Total Stats'!N29*E9</f>
        <v>0</v>
      </c>
      <c r="G93" s="77" t="s">
        <v>118</v>
      </c>
      <c r="H93" s="78"/>
      <c r="I93" s="78"/>
      <c r="J93" s="78">
        <f>'Total Stats'!N30*J9</f>
        <v>0</v>
      </c>
      <c r="K93" s="78">
        <f>'Total Stats'!N30*K9</f>
        <v>0</v>
      </c>
      <c r="M93" s="77" t="s">
        <v>118</v>
      </c>
      <c r="N93" s="78"/>
      <c r="O93" s="78"/>
      <c r="P93" s="78">
        <f>'Total Stats'!N31*P9</f>
        <v>0</v>
      </c>
      <c r="Q93" s="78">
        <f>'Total Stats'!N31*Q9</f>
        <v>0</v>
      </c>
      <c r="S93" s="77" t="s">
        <v>118</v>
      </c>
      <c r="T93" s="78"/>
      <c r="U93" s="78"/>
      <c r="V93" s="78">
        <f>'Total Stats'!N32*V9</f>
        <v>0</v>
      </c>
      <c r="W93" s="78">
        <f>'Total Stats'!N32*W9</f>
        <v>0</v>
      </c>
      <c r="Y93" s="77" t="s">
        <v>118</v>
      </c>
      <c r="Z93" s="78"/>
      <c r="AA93" s="78"/>
      <c r="AB93" s="78">
        <f>'Total Stats'!N33*AB9</f>
        <v>0</v>
      </c>
      <c r="AC93" s="78">
        <f>'Total Stats'!N33*AC9</f>
        <v>0</v>
      </c>
    </row>
    <row r="94">
      <c r="A94" s="77" t="s">
        <v>119</v>
      </c>
      <c r="B94" s="78"/>
      <c r="C94" s="78">
        <f>'Total Stats'!O29*C10</f>
        <v>0</v>
      </c>
      <c r="D94" s="78"/>
      <c r="E94" s="78">
        <f>'Total Stats'!O29*E10</f>
        <v>0</v>
      </c>
      <c r="G94" s="77" t="s">
        <v>119</v>
      </c>
      <c r="H94" s="78"/>
      <c r="I94" s="78">
        <f>'Total Stats'!O30*I10</f>
        <v>0</v>
      </c>
      <c r="J94" s="78"/>
      <c r="K94" s="78">
        <f>'Total Stats'!O30*K10</f>
        <v>0</v>
      </c>
      <c r="M94" s="77" t="s">
        <v>119</v>
      </c>
      <c r="N94" s="78"/>
      <c r="O94" s="78">
        <f>'Total Stats'!O31*O10</f>
        <v>0</v>
      </c>
      <c r="P94" s="78"/>
      <c r="Q94" s="78">
        <f>'Total Stats'!O31*Q10</f>
        <v>0</v>
      </c>
      <c r="S94" s="77" t="s">
        <v>119</v>
      </c>
      <c r="T94" s="78"/>
      <c r="U94" s="78">
        <f>'Total Stats'!O32*U10</f>
        <v>0</v>
      </c>
      <c r="V94" s="78"/>
      <c r="W94" s="78">
        <f>'Total Stats'!O32*W10</f>
        <v>0</v>
      </c>
      <c r="Y94" s="77" t="s">
        <v>119</v>
      </c>
      <c r="Z94" s="78"/>
      <c r="AA94" s="78">
        <f>'Total Stats'!O33*AA10</f>
        <v>0</v>
      </c>
      <c r="AB94" s="78"/>
      <c r="AC94" s="78">
        <f>'Total Stats'!O33*AC10</f>
        <v>0</v>
      </c>
    </row>
    <row r="95">
      <c r="A95" s="77" t="s">
        <v>120</v>
      </c>
      <c r="B95" s="78"/>
      <c r="C95" s="78"/>
      <c r="D95" s="78">
        <f>'Total Stats'!P29*D11</f>
        <v>0</v>
      </c>
      <c r="E95" s="78">
        <f>'Total Stats'!P29*E11</f>
        <v>0</v>
      </c>
      <c r="G95" s="77" t="s">
        <v>120</v>
      </c>
      <c r="H95" s="78"/>
      <c r="I95" s="78"/>
      <c r="J95" s="78">
        <f>'Total Stats'!P30*J11</f>
        <v>0</v>
      </c>
      <c r="K95" s="78">
        <f>'Total Stats'!P30*K11</f>
        <v>0</v>
      </c>
      <c r="M95" s="77" t="s">
        <v>120</v>
      </c>
      <c r="N95" s="78"/>
      <c r="O95" s="78"/>
      <c r="P95" s="78">
        <f>'Total Stats'!P31*P11</f>
        <v>0</v>
      </c>
      <c r="Q95" s="78">
        <f>'Total Stats'!P31*Q11</f>
        <v>0</v>
      </c>
      <c r="S95" s="77" t="s">
        <v>120</v>
      </c>
      <c r="T95" s="78"/>
      <c r="U95" s="78"/>
      <c r="V95" s="78">
        <f>'Total Stats'!P32*V11</f>
        <v>0</v>
      </c>
      <c r="W95" s="78">
        <f>'Total Stats'!P32*W11</f>
        <v>0</v>
      </c>
      <c r="Y95" s="77" t="s">
        <v>120</v>
      </c>
      <c r="Z95" s="78"/>
      <c r="AA95" s="78"/>
      <c r="AB95" s="78">
        <f>'Total Stats'!P33*AB11</f>
        <v>0</v>
      </c>
      <c r="AC95" s="78">
        <f>'Total Stats'!P33*AC11</f>
        <v>0</v>
      </c>
    </row>
    <row r="96">
      <c r="A96" s="77" t="s">
        <v>121</v>
      </c>
      <c r="B96" s="78">
        <f>'Total Stats'!Q29*B12</f>
        <v>0</v>
      </c>
      <c r="C96" s="78">
        <f>'Total Stats'!Q29*C12</f>
        <v>0</v>
      </c>
      <c r="D96" s="78">
        <f>'Total Stats'!Q29*D12</f>
        <v>0</v>
      </c>
      <c r="E96" s="78">
        <f>'Total Stats'!Q29*E12</f>
        <v>0</v>
      </c>
      <c r="G96" s="77" t="s">
        <v>121</v>
      </c>
      <c r="H96" s="78">
        <f>'Total Stats'!Q30*H12</f>
        <v>0</v>
      </c>
      <c r="I96" s="78">
        <f>'Total Stats'!Q30*I12</f>
        <v>0</v>
      </c>
      <c r="J96" s="78">
        <f>'Total Stats'!Q30*J12</f>
        <v>0</v>
      </c>
      <c r="K96" s="78">
        <f>'Total Stats'!Q30*K12</f>
        <v>0</v>
      </c>
      <c r="M96" s="77" t="s">
        <v>121</v>
      </c>
      <c r="N96" s="78">
        <f>'Total Stats'!Q31*N12</f>
        <v>0</v>
      </c>
      <c r="O96" s="78">
        <f>'Total Stats'!Q31*O12</f>
        <v>0</v>
      </c>
      <c r="P96" s="78">
        <f>'Total Stats'!Q31*P12</f>
        <v>0</v>
      </c>
      <c r="Q96" s="78">
        <f>'Total Stats'!Q31*Q12</f>
        <v>0</v>
      </c>
      <c r="S96" s="77" t="s">
        <v>121</v>
      </c>
      <c r="T96" s="78">
        <f>'Total Stats'!Q32*T12</f>
        <v>0</v>
      </c>
      <c r="U96" s="78">
        <f>'Total Stats'!Q32*U12</f>
        <v>0</v>
      </c>
      <c r="V96" s="78">
        <f>'Total Stats'!Q32*V12</f>
        <v>0</v>
      </c>
      <c r="W96" s="78">
        <f>'Total Stats'!Q32*W12</f>
        <v>0</v>
      </c>
      <c r="Y96" s="77" t="s">
        <v>121</v>
      </c>
      <c r="Z96" s="78">
        <f>'Total Stats'!Q33*Z12</f>
        <v>0</v>
      </c>
      <c r="AA96" s="78">
        <f>'Total Stats'!Q33*AA12</f>
        <v>0</v>
      </c>
      <c r="AB96" s="78">
        <f>'Total Stats'!Q33*AB12</f>
        <v>0</v>
      </c>
      <c r="AC96" s="78">
        <f>'Total Stats'!Q33*AC12</f>
        <v>0</v>
      </c>
    </row>
    <row r="97">
      <c r="A97" s="77" t="s">
        <v>122</v>
      </c>
      <c r="B97" s="78">
        <f t="shared" ref="B97:E97" si="75">SUM(B86:B96)</f>
        <v>0</v>
      </c>
      <c r="C97" s="78">
        <f t="shared" si="75"/>
        <v>0</v>
      </c>
      <c r="D97" s="78">
        <f t="shared" si="75"/>
        <v>0</v>
      </c>
      <c r="E97" s="78">
        <f t="shared" si="75"/>
        <v>0</v>
      </c>
      <c r="G97" s="77" t="s">
        <v>122</v>
      </c>
      <c r="H97" s="78">
        <f t="shared" ref="H97:K97" si="76">SUM(H86:H96)</f>
        <v>0</v>
      </c>
      <c r="I97" s="78">
        <f t="shared" si="76"/>
        <v>0</v>
      </c>
      <c r="J97" s="78">
        <f t="shared" si="76"/>
        <v>0</v>
      </c>
      <c r="K97" s="78">
        <f t="shared" si="76"/>
        <v>0</v>
      </c>
      <c r="M97" s="77" t="s">
        <v>122</v>
      </c>
      <c r="N97" s="78">
        <f t="shared" ref="N97:Q97" si="77">SUM(N86:N96)</f>
        <v>0</v>
      </c>
      <c r="O97" s="78">
        <f t="shared" si="77"/>
        <v>0</v>
      </c>
      <c r="P97" s="78">
        <f t="shared" si="77"/>
        <v>0</v>
      </c>
      <c r="Q97" s="78">
        <f t="shared" si="77"/>
        <v>0</v>
      </c>
      <c r="S97" s="77" t="s">
        <v>122</v>
      </c>
      <c r="T97" s="78">
        <f t="shared" ref="T97:W97" si="78">SUM(T86:T96)</f>
        <v>0</v>
      </c>
      <c r="U97" s="78">
        <f t="shared" si="78"/>
        <v>0</v>
      </c>
      <c r="V97" s="78">
        <f t="shared" si="78"/>
        <v>0</v>
      </c>
      <c r="W97" s="78">
        <f t="shared" si="78"/>
        <v>0</v>
      </c>
      <c r="Y97" s="77" t="s">
        <v>122</v>
      </c>
      <c r="Z97" s="78">
        <f t="shared" ref="Z97:AC97" si="79">SUM(Z86:Z96)</f>
        <v>0</v>
      </c>
      <c r="AA97" s="78">
        <f t="shared" si="79"/>
        <v>0</v>
      </c>
      <c r="AB97" s="78">
        <f t="shared" si="79"/>
        <v>0</v>
      </c>
      <c r="AC97" s="78">
        <f t="shared" si="79"/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7" max="7" width="2.25"/>
    <col customWidth="1" min="8" max="8" width="11.88"/>
    <col customWidth="1" min="14" max="14" width="2.25"/>
    <col customWidth="1" min="15" max="15" width="11.88"/>
  </cols>
  <sheetData>
    <row r="1">
      <c r="A1" s="73" t="s">
        <v>18</v>
      </c>
      <c r="H1" s="73" t="s">
        <v>21</v>
      </c>
      <c r="O1" s="73" t="s">
        <v>25</v>
      </c>
    </row>
    <row r="2">
      <c r="A2" s="74" t="s">
        <v>7</v>
      </c>
      <c r="B2" s="74" t="s">
        <v>94</v>
      </c>
      <c r="C2" s="74" t="s">
        <v>95</v>
      </c>
      <c r="D2" s="74" t="s">
        <v>96</v>
      </c>
      <c r="E2" s="74" t="s">
        <v>97</v>
      </c>
      <c r="F2" s="74" t="s">
        <v>98</v>
      </c>
      <c r="H2" s="74" t="s">
        <v>7</v>
      </c>
      <c r="I2" s="74" t="s">
        <v>94</v>
      </c>
      <c r="J2" s="74" t="s">
        <v>95</v>
      </c>
      <c r="K2" s="74" t="s">
        <v>96</v>
      </c>
      <c r="L2" s="74" t="s">
        <v>97</v>
      </c>
      <c r="M2" s="74" t="s">
        <v>98</v>
      </c>
      <c r="O2" s="74" t="s">
        <v>7</v>
      </c>
      <c r="P2" s="74" t="s">
        <v>94</v>
      </c>
      <c r="Q2" s="74" t="s">
        <v>95</v>
      </c>
      <c r="R2" s="74" t="s">
        <v>96</v>
      </c>
      <c r="S2" s="74" t="s">
        <v>97</v>
      </c>
      <c r="T2" s="74" t="s">
        <v>98</v>
      </c>
    </row>
    <row r="3">
      <c r="A3" s="75" t="s">
        <v>19</v>
      </c>
      <c r="B3" s="75" t="s">
        <v>99</v>
      </c>
      <c r="C3" s="75" t="s">
        <v>100</v>
      </c>
      <c r="D3" s="75" t="s">
        <v>101</v>
      </c>
      <c r="E3" s="75" t="s">
        <v>102</v>
      </c>
      <c r="F3" s="75" t="s">
        <v>103</v>
      </c>
      <c r="G3" s="76"/>
      <c r="H3" s="75" t="s">
        <v>22</v>
      </c>
      <c r="I3" s="75" t="s">
        <v>39</v>
      </c>
      <c r="J3" s="75" t="s">
        <v>104</v>
      </c>
      <c r="K3" s="75" t="s">
        <v>37</v>
      </c>
      <c r="L3" s="75" t="s">
        <v>105</v>
      </c>
      <c r="M3" s="75" t="s">
        <v>106</v>
      </c>
      <c r="N3" s="76"/>
      <c r="O3" s="75" t="s">
        <v>25</v>
      </c>
      <c r="P3" s="75" t="s">
        <v>106</v>
      </c>
      <c r="Q3" s="75" t="s">
        <v>25</v>
      </c>
      <c r="R3" s="75" t="s">
        <v>101</v>
      </c>
      <c r="S3" s="75" t="s">
        <v>107</v>
      </c>
      <c r="T3" s="75" t="s">
        <v>102</v>
      </c>
    </row>
    <row r="4">
      <c r="A4" s="77" t="s">
        <v>108</v>
      </c>
      <c r="B4" s="78">
        <f>'W1 Points'!H30</f>
        <v>0</v>
      </c>
      <c r="C4" s="78" t="str">
        <f>'W1 Points'!I86</f>
        <v/>
      </c>
      <c r="D4" s="78" t="str">
        <f>'W1 Points'!D16</f>
        <v/>
      </c>
      <c r="E4" s="78">
        <f>'W1 Points'!Q30</f>
        <v>0</v>
      </c>
      <c r="F4" s="78" t="s">
        <v>109</v>
      </c>
      <c r="H4" s="77" t="s">
        <v>108</v>
      </c>
      <c r="I4" s="78">
        <f>'W1 Points'!T58</f>
        <v>0</v>
      </c>
      <c r="J4" s="78" t="str">
        <f>'W1 Points'!I16</f>
        <v/>
      </c>
      <c r="K4" s="78" t="str">
        <f>'W1 Points'!D58</f>
        <v/>
      </c>
      <c r="L4" s="78">
        <f>'W1 Points'!W16</f>
        <v>0</v>
      </c>
      <c r="M4" s="78" t="s">
        <v>110</v>
      </c>
      <c r="O4" s="77" t="s">
        <v>108</v>
      </c>
      <c r="P4" s="78">
        <f>'W1 Points'!Z72</f>
        <v>45</v>
      </c>
      <c r="Q4" s="78" t="str">
        <f>'W1 Points'!O72</f>
        <v/>
      </c>
      <c r="R4" s="78" t="str">
        <f>'W1 Points'!D16</f>
        <v/>
      </c>
      <c r="S4" s="78">
        <f>'W1 Points'!E86</f>
        <v>0</v>
      </c>
      <c r="T4" s="78" t="s">
        <v>111</v>
      </c>
    </row>
    <row r="5">
      <c r="A5" s="77" t="s">
        <v>112</v>
      </c>
      <c r="B5" s="78" t="str">
        <f>'W1 Points'!H31</f>
        <v/>
      </c>
      <c r="C5" s="78" t="str">
        <f>'W1 Points'!I87</f>
        <v/>
      </c>
      <c r="D5" s="78">
        <f>'W1 Points'!D17</f>
        <v>0</v>
      </c>
      <c r="E5" s="78" t="str">
        <f>'W1 Points'!Q31</f>
        <v/>
      </c>
      <c r="F5" s="78"/>
      <c r="H5" s="77" t="s">
        <v>112</v>
      </c>
      <c r="I5" s="78" t="str">
        <f>'W1 Points'!T59</f>
        <v/>
      </c>
      <c r="J5" s="78" t="str">
        <f>'W1 Points'!I17</f>
        <v/>
      </c>
      <c r="K5" s="78">
        <f>'W1 Points'!D59</f>
        <v>0</v>
      </c>
      <c r="L5" s="78" t="str">
        <f>'W1 Points'!W17</f>
        <v/>
      </c>
      <c r="M5" s="78"/>
      <c r="O5" s="77" t="s">
        <v>112</v>
      </c>
      <c r="P5" s="78" t="str">
        <f>'W1 Points'!Z73</f>
        <v/>
      </c>
      <c r="Q5" s="78" t="str">
        <f>'W1 Points'!O73</f>
        <v/>
      </c>
      <c r="R5" s="78">
        <f>'W1 Points'!D17</f>
        <v>0</v>
      </c>
      <c r="S5" s="78" t="str">
        <f>'W1 Points'!E87</f>
        <v/>
      </c>
      <c r="T5" s="78"/>
    </row>
    <row r="6">
      <c r="A6" s="77" t="s">
        <v>113</v>
      </c>
      <c r="B6" s="78">
        <f>'W1 Points'!H32</f>
        <v>0</v>
      </c>
      <c r="C6" s="78" t="str">
        <f>'W1 Points'!I88</f>
        <v/>
      </c>
      <c r="D6" s="78" t="str">
        <f>'W1 Points'!D18</f>
        <v/>
      </c>
      <c r="E6" s="78" t="str">
        <f>'W1 Points'!Q32</f>
        <v/>
      </c>
      <c r="F6" s="78"/>
      <c r="H6" s="77" t="s">
        <v>113</v>
      </c>
      <c r="I6" s="78">
        <f>'W1 Points'!T60</f>
        <v>0</v>
      </c>
      <c r="J6" s="78" t="str">
        <f>'W1 Points'!I18</f>
        <v/>
      </c>
      <c r="K6" s="78" t="str">
        <f>'W1 Points'!D60</f>
        <v/>
      </c>
      <c r="L6" s="78" t="str">
        <f>'W1 Points'!W18</f>
        <v/>
      </c>
      <c r="M6" s="78"/>
      <c r="O6" s="77" t="s">
        <v>113</v>
      </c>
      <c r="P6" s="78">
        <f>'W1 Points'!Z74</f>
        <v>26</v>
      </c>
      <c r="Q6" s="78" t="str">
        <f>'W1 Points'!O74</f>
        <v/>
      </c>
      <c r="R6" s="78" t="str">
        <f>'W1 Points'!D18</f>
        <v/>
      </c>
      <c r="S6" s="78" t="str">
        <f>'W1 Points'!E88</f>
        <v/>
      </c>
      <c r="T6" s="78"/>
    </row>
    <row r="7">
      <c r="A7" s="77" t="s">
        <v>114</v>
      </c>
      <c r="B7" s="78" t="str">
        <f>'W1 Points'!H33</f>
        <v/>
      </c>
      <c r="C7" s="78">
        <f>'W1 Points'!I89</f>
        <v>0</v>
      </c>
      <c r="D7" s="78" t="str">
        <f>'W1 Points'!D19</f>
        <v/>
      </c>
      <c r="E7" s="78">
        <f>'W1 Points'!Q33</f>
        <v>0</v>
      </c>
      <c r="F7" s="78"/>
      <c r="H7" s="77" t="s">
        <v>114</v>
      </c>
      <c r="I7" s="78" t="str">
        <f>'W1 Points'!T61</f>
        <v/>
      </c>
      <c r="J7" s="78">
        <f>'W1 Points'!I19</f>
        <v>0</v>
      </c>
      <c r="K7" s="78" t="str">
        <f>'W1 Points'!D61</f>
        <v/>
      </c>
      <c r="L7" s="78">
        <f>'W1 Points'!W19</f>
        <v>0</v>
      </c>
      <c r="M7" s="78"/>
      <c r="O7" s="77" t="s">
        <v>114</v>
      </c>
      <c r="P7" s="78" t="str">
        <f>'W1 Points'!Z75</f>
        <v/>
      </c>
      <c r="Q7" s="78">
        <f>'W1 Points'!O75</f>
        <v>30</v>
      </c>
      <c r="R7" s="78" t="str">
        <f>'W1 Points'!D19</f>
        <v/>
      </c>
      <c r="S7" s="78">
        <f>'W1 Points'!E89</f>
        <v>0</v>
      </c>
      <c r="T7" s="78"/>
    </row>
    <row r="8">
      <c r="A8" s="77" t="s">
        <v>115</v>
      </c>
      <c r="B8" s="78" t="str">
        <f>'W1 Points'!H34</f>
        <v/>
      </c>
      <c r="C8" s="78">
        <f>'W1 Points'!I90</f>
        <v>0</v>
      </c>
      <c r="D8" s="78" t="str">
        <f>'W1 Points'!D20</f>
        <v/>
      </c>
      <c r="E8" s="78">
        <f>'W1 Points'!Q34</f>
        <v>0</v>
      </c>
      <c r="F8" s="78"/>
      <c r="H8" s="77" t="s">
        <v>115</v>
      </c>
      <c r="I8" s="78" t="str">
        <f>'W1 Points'!T62</f>
        <v/>
      </c>
      <c r="J8" s="78">
        <f>'W1 Points'!I20</f>
        <v>0</v>
      </c>
      <c r="K8" s="78" t="str">
        <f>'W1 Points'!D62</f>
        <v/>
      </c>
      <c r="L8" s="78">
        <f>'W1 Points'!W20</f>
        <v>0</v>
      </c>
      <c r="M8" s="78"/>
      <c r="O8" s="77" t="s">
        <v>115</v>
      </c>
      <c r="P8" s="78" t="str">
        <f>'W1 Points'!Z76</f>
        <v/>
      </c>
      <c r="Q8" s="78">
        <f>'W1 Points'!O76</f>
        <v>30</v>
      </c>
      <c r="R8" s="78" t="str">
        <f>'W1 Points'!D20</f>
        <v/>
      </c>
      <c r="S8" s="78">
        <f>'W1 Points'!E90</f>
        <v>0</v>
      </c>
      <c r="T8" s="78"/>
    </row>
    <row r="9">
      <c r="A9" s="77" t="s">
        <v>116</v>
      </c>
      <c r="B9" s="78">
        <f>'W1 Points'!H35</f>
        <v>0</v>
      </c>
      <c r="C9" s="78" t="str">
        <f>'W1 Points'!I91</f>
        <v/>
      </c>
      <c r="D9" s="78">
        <f>'W1 Points'!D21</f>
        <v>0</v>
      </c>
      <c r="E9" s="78" t="str">
        <f>'W1 Points'!Q35</f>
        <v/>
      </c>
      <c r="F9" s="78"/>
      <c r="H9" s="77" t="s">
        <v>116</v>
      </c>
      <c r="I9" s="78">
        <f>'W1 Points'!T63</f>
        <v>0</v>
      </c>
      <c r="J9" s="78" t="str">
        <f>'W1 Points'!I21</f>
        <v/>
      </c>
      <c r="K9" s="78">
        <f>'W1 Points'!D63</f>
        <v>0</v>
      </c>
      <c r="L9" s="78" t="str">
        <f>'W1 Points'!W21</f>
        <v/>
      </c>
      <c r="M9" s="78"/>
      <c r="O9" s="77" t="s">
        <v>116</v>
      </c>
      <c r="P9" s="78">
        <f>'W1 Points'!Z77</f>
        <v>30</v>
      </c>
      <c r="Q9" s="78" t="str">
        <f>'W1 Points'!O77</f>
        <v/>
      </c>
      <c r="R9" s="78">
        <f>'W1 Points'!D21</f>
        <v>0</v>
      </c>
      <c r="S9" s="78" t="str">
        <f>'W1 Points'!E91</f>
        <v/>
      </c>
      <c r="T9" s="78"/>
    </row>
    <row r="10">
      <c r="A10" s="77" t="s">
        <v>117</v>
      </c>
      <c r="B10" s="78" t="str">
        <f>'W1 Points'!H36</f>
        <v/>
      </c>
      <c r="C10" s="78">
        <f>'W1 Points'!I92</f>
        <v>0</v>
      </c>
      <c r="D10" s="78" t="str">
        <f>'W1 Points'!D22</f>
        <v/>
      </c>
      <c r="E10" s="78" t="str">
        <f>'W1 Points'!Q36</f>
        <v/>
      </c>
      <c r="F10" s="78"/>
      <c r="H10" s="77" t="s">
        <v>117</v>
      </c>
      <c r="I10" s="78" t="str">
        <f>'W1 Points'!T64</f>
        <v/>
      </c>
      <c r="J10" s="78">
        <f>'W1 Points'!I22</f>
        <v>0</v>
      </c>
      <c r="K10" s="78" t="str">
        <f>'W1 Points'!D64</f>
        <v/>
      </c>
      <c r="L10" s="78" t="str">
        <f>'W1 Points'!W22</f>
        <v/>
      </c>
      <c r="M10" s="78"/>
      <c r="O10" s="77" t="s">
        <v>117</v>
      </c>
      <c r="P10" s="78" t="str">
        <f>'W1 Points'!Z78</f>
        <v/>
      </c>
      <c r="Q10" s="78">
        <f>'W1 Points'!O78</f>
        <v>52</v>
      </c>
      <c r="R10" s="78" t="str">
        <f>'W1 Points'!D22</f>
        <v/>
      </c>
      <c r="S10" s="78" t="str">
        <f>'W1 Points'!E92</f>
        <v/>
      </c>
      <c r="T10" s="78"/>
    </row>
    <row r="11">
      <c r="A11" s="77" t="s">
        <v>118</v>
      </c>
      <c r="B11" s="78" t="str">
        <f>'W1 Points'!H37</f>
        <v/>
      </c>
      <c r="C11" s="78" t="str">
        <f>'W1 Points'!I93</f>
        <v/>
      </c>
      <c r="D11" s="78">
        <f>'W1 Points'!D23</f>
        <v>0</v>
      </c>
      <c r="E11" s="78">
        <f>'W1 Points'!Q37</f>
        <v>0</v>
      </c>
      <c r="F11" s="78"/>
      <c r="H11" s="77" t="s">
        <v>118</v>
      </c>
      <c r="I11" s="78" t="str">
        <f>'W1 Points'!T65</f>
        <v/>
      </c>
      <c r="J11" s="78" t="str">
        <f>'W1 Points'!I23</f>
        <v/>
      </c>
      <c r="K11" s="78">
        <f>'W1 Points'!D65</f>
        <v>0</v>
      </c>
      <c r="L11" s="78">
        <f>'W1 Points'!W23</f>
        <v>0</v>
      </c>
      <c r="M11" s="78"/>
      <c r="O11" s="77" t="s">
        <v>118</v>
      </c>
      <c r="P11" s="78" t="str">
        <f>'W1 Points'!Z79</f>
        <v/>
      </c>
      <c r="Q11" s="78" t="str">
        <f>'W1 Points'!O79</f>
        <v/>
      </c>
      <c r="R11" s="78">
        <f>'W1 Points'!D23</f>
        <v>0</v>
      </c>
      <c r="S11" s="78">
        <f>'W1 Points'!E93</f>
        <v>0</v>
      </c>
      <c r="T11" s="78"/>
    </row>
    <row r="12">
      <c r="A12" s="77" t="s">
        <v>119</v>
      </c>
      <c r="B12" s="78" t="str">
        <f>'W1 Points'!H38</f>
        <v/>
      </c>
      <c r="C12" s="78">
        <f>'W1 Points'!I94</f>
        <v>0</v>
      </c>
      <c r="D12" s="78" t="str">
        <f>'W1 Points'!D24</f>
        <v/>
      </c>
      <c r="E12" s="78">
        <f>'W1 Points'!Q38</f>
        <v>0</v>
      </c>
      <c r="F12" s="78"/>
      <c r="H12" s="77" t="s">
        <v>119</v>
      </c>
      <c r="I12" s="78" t="str">
        <f>'W1 Points'!T66</f>
        <v/>
      </c>
      <c r="J12" s="78">
        <f>'W1 Points'!I24</f>
        <v>0</v>
      </c>
      <c r="K12" s="78" t="str">
        <f>'W1 Points'!D66</f>
        <v/>
      </c>
      <c r="L12" s="78">
        <f>'W1 Points'!W24</f>
        <v>0</v>
      </c>
      <c r="M12" s="78"/>
      <c r="O12" s="77" t="s">
        <v>119</v>
      </c>
      <c r="P12" s="78" t="str">
        <f>'W1 Points'!Z80</f>
        <v/>
      </c>
      <c r="Q12" s="78">
        <f>'W1 Points'!O80</f>
        <v>21</v>
      </c>
      <c r="R12" s="78" t="str">
        <f>'W1 Points'!D24</f>
        <v/>
      </c>
      <c r="S12" s="78">
        <f>'W1 Points'!E94</f>
        <v>0</v>
      </c>
      <c r="T12" s="78"/>
    </row>
    <row r="13">
      <c r="A13" s="77" t="s">
        <v>120</v>
      </c>
      <c r="B13" s="78" t="str">
        <f>'W1 Points'!H39</f>
        <v/>
      </c>
      <c r="C13" s="78" t="str">
        <f>'W1 Points'!I95</f>
        <v/>
      </c>
      <c r="D13" s="78">
        <f>'W1 Points'!D25</f>
        <v>0</v>
      </c>
      <c r="E13" s="78">
        <f>'W1 Points'!Q39</f>
        <v>0</v>
      </c>
      <c r="F13" s="78"/>
      <c r="H13" s="77" t="s">
        <v>120</v>
      </c>
      <c r="I13" s="78" t="str">
        <f>'W1 Points'!T67</f>
        <v/>
      </c>
      <c r="J13" s="78" t="str">
        <f>'W1 Points'!I25</f>
        <v/>
      </c>
      <c r="K13" s="78">
        <f>'W1 Points'!D67</f>
        <v>0</v>
      </c>
      <c r="L13" s="78">
        <f>'W1 Points'!W25</f>
        <v>0</v>
      </c>
      <c r="M13" s="78"/>
      <c r="O13" s="77" t="s">
        <v>120</v>
      </c>
      <c r="P13" s="78" t="str">
        <f>'W1 Points'!Z81</f>
        <v/>
      </c>
      <c r="Q13" s="78" t="str">
        <f>'W1 Points'!O81</f>
        <v/>
      </c>
      <c r="R13" s="78">
        <f>'W1 Points'!D25</f>
        <v>0</v>
      </c>
      <c r="S13" s="78">
        <f>'W1 Points'!E95</f>
        <v>0</v>
      </c>
      <c r="T13" s="78"/>
    </row>
    <row r="14">
      <c r="A14" s="77" t="s">
        <v>121</v>
      </c>
      <c r="B14" s="78">
        <f>'W1 Points'!H40</f>
        <v>0</v>
      </c>
      <c r="C14" s="78">
        <f>'W1 Points'!I96</f>
        <v>0</v>
      </c>
      <c r="D14" s="78">
        <f>'W1 Points'!D26</f>
        <v>0</v>
      </c>
      <c r="E14" s="78">
        <f>'W1 Points'!Q40</f>
        <v>0</v>
      </c>
      <c r="F14" s="78"/>
      <c r="H14" s="77" t="s">
        <v>121</v>
      </c>
      <c r="I14" s="78">
        <f>'W1 Points'!T68</f>
        <v>0</v>
      </c>
      <c r="J14" s="78">
        <f>'W1 Points'!I26</f>
        <v>0</v>
      </c>
      <c r="K14" s="78">
        <f>'W1 Points'!D68</f>
        <v>0</v>
      </c>
      <c r="L14" s="78">
        <f>'W1 Points'!W26</f>
        <v>0</v>
      </c>
      <c r="M14" s="78"/>
      <c r="O14" s="77" t="s">
        <v>121</v>
      </c>
      <c r="P14" s="78">
        <f>'W1 Points'!Z82</f>
        <v>0</v>
      </c>
      <c r="Q14" s="78">
        <f>'W1 Points'!O82</f>
        <v>0</v>
      </c>
      <c r="R14" s="78">
        <f>'W1 Points'!D26</f>
        <v>0</v>
      </c>
      <c r="S14" s="78">
        <f>'W1 Points'!E96</f>
        <v>0</v>
      </c>
      <c r="T14" s="78"/>
    </row>
    <row r="15">
      <c r="A15" s="77" t="s">
        <v>122</v>
      </c>
      <c r="B15" s="79">
        <f t="shared" ref="B15:F15" si="1">SUM(B4:B14)</f>
        <v>0</v>
      </c>
      <c r="C15" s="79">
        <f t="shared" si="1"/>
        <v>0</v>
      </c>
      <c r="D15" s="79">
        <f t="shared" si="1"/>
        <v>0</v>
      </c>
      <c r="E15" s="79">
        <f t="shared" si="1"/>
        <v>0</v>
      </c>
      <c r="F15" s="79">
        <f t="shared" si="1"/>
        <v>0</v>
      </c>
      <c r="H15" s="77" t="s">
        <v>122</v>
      </c>
      <c r="I15" s="79">
        <f t="shared" ref="I15:M15" si="2">SUM(I4:I14)</f>
        <v>0</v>
      </c>
      <c r="J15" s="79">
        <f t="shared" si="2"/>
        <v>0</v>
      </c>
      <c r="K15" s="79">
        <f t="shared" si="2"/>
        <v>0</v>
      </c>
      <c r="L15" s="79">
        <f t="shared" si="2"/>
        <v>0</v>
      </c>
      <c r="M15" s="79">
        <f t="shared" si="2"/>
        <v>0</v>
      </c>
      <c r="O15" s="77" t="s">
        <v>122</v>
      </c>
      <c r="P15" s="80">
        <f t="shared" ref="P15:T15" si="3">SUM(P4:P14)</f>
        <v>101</v>
      </c>
      <c r="Q15" s="80">
        <f t="shared" si="3"/>
        <v>133</v>
      </c>
      <c r="R15" s="80">
        <f t="shared" si="3"/>
        <v>0</v>
      </c>
      <c r="S15" s="80">
        <f t="shared" si="3"/>
        <v>0</v>
      </c>
      <c r="T15" s="80">
        <f t="shared" si="3"/>
        <v>0</v>
      </c>
    </row>
    <row r="16">
      <c r="E16" s="81" t="s">
        <v>123</v>
      </c>
      <c r="F16" s="82">
        <f>SUM(B15:E15)</f>
        <v>0</v>
      </c>
      <c r="L16" s="81" t="s">
        <v>123</v>
      </c>
      <c r="M16" s="82">
        <f>SUM(I15:L15)</f>
        <v>0</v>
      </c>
      <c r="S16" s="81" t="s">
        <v>123</v>
      </c>
      <c r="T16" s="82">
        <f>SUM(P15:S15)</f>
        <v>234</v>
      </c>
    </row>
    <row r="17">
      <c r="A17" s="73" t="s">
        <v>27</v>
      </c>
      <c r="H17" s="73" t="s">
        <v>30</v>
      </c>
      <c r="O17" s="73" t="s">
        <v>33</v>
      </c>
    </row>
    <row r="18">
      <c r="A18" s="74" t="s">
        <v>7</v>
      </c>
      <c r="B18" s="74" t="s">
        <v>94</v>
      </c>
      <c r="C18" s="74" t="s">
        <v>95</v>
      </c>
      <c r="D18" s="74" t="s">
        <v>96</v>
      </c>
      <c r="E18" s="74" t="s">
        <v>97</v>
      </c>
      <c r="F18" s="74" t="s">
        <v>98</v>
      </c>
      <c r="H18" s="74" t="s">
        <v>7</v>
      </c>
      <c r="I18" s="74" t="s">
        <v>94</v>
      </c>
      <c r="J18" s="74" t="s">
        <v>95</v>
      </c>
      <c r="K18" s="74" t="s">
        <v>96</v>
      </c>
      <c r="L18" s="74" t="s">
        <v>97</v>
      </c>
      <c r="M18" s="74" t="s">
        <v>98</v>
      </c>
      <c r="O18" s="74" t="s">
        <v>7</v>
      </c>
      <c r="P18" s="74" t="s">
        <v>94</v>
      </c>
      <c r="Q18" s="74" t="s">
        <v>95</v>
      </c>
      <c r="R18" s="74" t="s">
        <v>96</v>
      </c>
      <c r="S18" s="74" t="s">
        <v>97</v>
      </c>
      <c r="T18" s="74" t="s">
        <v>98</v>
      </c>
    </row>
    <row r="19">
      <c r="A19" s="75" t="s">
        <v>28</v>
      </c>
      <c r="B19" s="75" t="s">
        <v>37</v>
      </c>
      <c r="C19" s="75" t="s">
        <v>124</v>
      </c>
      <c r="D19" s="75" t="s">
        <v>39</v>
      </c>
      <c r="E19" s="75" t="s">
        <v>106</v>
      </c>
      <c r="F19" s="75" t="s">
        <v>125</v>
      </c>
      <c r="H19" s="75" t="s">
        <v>31</v>
      </c>
      <c r="I19" s="75" t="s">
        <v>106</v>
      </c>
      <c r="J19" s="75" t="s">
        <v>124</v>
      </c>
      <c r="K19" s="75" t="s">
        <v>100</v>
      </c>
      <c r="L19" s="75" t="s">
        <v>126</v>
      </c>
      <c r="M19" s="75" t="s">
        <v>103</v>
      </c>
      <c r="O19" s="75" t="s">
        <v>34</v>
      </c>
      <c r="P19" s="75" t="s">
        <v>127</v>
      </c>
      <c r="Q19" s="75" t="s">
        <v>103</v>
      </c>
      <c r="R19" s="75" t="s">
        <v>37</v>
      </c>
      <c r="S19" s="75" t="s">
        <v>101</v>
      </c>
      <c r="T19" s="75" t="s">
        <v>128</v>
      </c>
    </row>
    <row r="20">
      <c r="A20" s="77" t="s">
        <v>108</v>
      </c>
      <c r="B20" s="78">
        <f>'W1 Points'!B58</f>
        <v>0</v>
      </c>
      <c r="C20" s="78" t="str">
        <f>'W1 Points'!I44</f>
        <v/>
      </c>
      <c r="D20" s="78" t="str">
        <f>'W1 Points'!V58</f>
        <v/>
      </c>
      <c r="E20" s="78">
        <f>'W1 Points'!AC72</f>
        <v>30</v>
      </c>
      <c r="F20" s="78" t="s">
        <v>129</v>
      </c>
      <c r="H20" s="77" t="s">
        <v>108</v>
      </c>
      <c r="I20" s="78">
        <f>'W1 Points'!Z30</f>
        <v>0</v>
      </c>
      <c r="J20" s="78" t="str">
        <f>'W1 Points'!I44</f>
        <v/>
      </c>
      <c r="K20" s="78" t="str">
        <f>'W1 Points'!J86</f>
        <v/>
      </c>
      <c r="L20" s="78">
        <f>'W1 Points'!W86</f>
        <v>0</v>
      </c>
      <c r="M20" s="78" t="s">
        <v>109</v>
      </c>
      <c r="O20" s="77" t="s">
        <v>108</v>
      </c>
      <c r="P20" s="78">
        <f>'W1 Points'!N16</f>
        <v>0</v>
      </c>
      <c r="Q20" s="78" t="str">
        <f>'W1 Points'!U30</f>
        <v/>
      </c>
      <c r="R20" s="78" t="str">
        <f>'W1 Points'!D58</f>
        <v/>
      </c>
      <c r="S20" s="78">
        <f>'W1 Points'!E16</f>
        <v>0</v>
      </c>
      <c r="T20" s="78" t="s">
        <v>130</v>
      </c>
    </row>
    <row r="21">
      <c r="A21" s="77" t="s">
        <v>112</v>
      </c>
      <c r="B21" s="78" t="str">
        <f>'W1 Points'!B59</f>
        <v/>
      </c>
      <c r="C21" s="78" t="str">
        <f>'W1 Points'!I45</f>
        <v/>
      </c>
      <c r="D21" s="78">
        <f>'W1 Points'!V59</f>
        <v>0</v>
      </c>
      <c r="E21" s="78" t="str">
        <f>'W1 Points'!AC73</f>
        <v/>
      </c>
      <c r="F21" s="78"/>
      <c r="H21" s="77" t="s">
        <v>112</v>
      </c>
      <c r="I21" s="78" t="str">
        <f>'W1 Points'!Z31</f>
        <v/>
      </c>
      <c r="J21" s="78" t="str">
        <f>'W1 Points'!I45</f>
        <v/>
      </c>
      <c r="K21" s="78">
        <f>'W1 Points'!J87</f>
        <v>0</v>
      </c>
      <c r="L21" s="78" t="str">
        <f>'W1 Points'!W87</f>
        <v/>
      </c>
      <c r="M21" s="78"/>
      <c r="O21" s="77" t="s">
        <v>112</v>
      </c>
      <c r="P21" s="78" t="str">
        <f>'W1 Points'!N17</f>
        <v/>
      </c>
      <c r="Q21" s="78" t="str">
        <f>'W1 Points'!U31</f>
        <v/>
      </c>
      <c r="R21" s="78">
        <f>'W1 Points'!D59</f>
        <v>0</v>
      </c>
      <c r="S21" s="78" t="str">
        <f>'W1 Points'!E17</f>
        <v/>
      </c>
      <c r="T21" s="78"/>
    </row>
    <row r="22">
      <c r="A22" s="77" t="s">
        <v>113</v>
      </c>
      <c r="B22" s="78">
        <f>'W1 Points'!B60</f>
        <v>0</v>
      </c>
      <c r="C22" s="78" t="str">
        <f>'W1 Points'!I46</f>
        <v/>
      </c>
      <c r="D22" s="78" t="str">
        <f>'W1 Points'!V60</f>
        <v/>
      </c>
      <c r="E22" s="78" t="str">
        <f>'W1 Points'!AC74</f>
        <v/>
      </c>
      <c r="F22" s="78"/>
      <c r="H22" s="77" t="s">
        <v>113</v>
      </c>
      <c r="I22" s="78">
        <f>'W1 Points'!Z32</f>
        <v>0</v>
      </c>
      <c r="J22" s="78" t="str">
        <f>'W1 Points'!I46</f>
        <v/>
      </c>
      <c r="K22" s="78" t="str">
        <f>'W1 Points'!J88</f>
        <v/>
      </c>
      <c r="L22" s="78" t="str">
        <f>'W1 Points'!W88</f>
        <v/>
      </c>
      <c r="M22" s="78"/>
      <c r="O22" s="77" t="s">
        <v>113</v>
      </c>
      <c r="P22" s="78">
        <f>'W1 Points'!N18</f>
        <v>0</v>
      </c>
      <c r="Q22" s="78" t="str">
        <f>'W1 Points'!U32</f>
        <v/>
      </c>
      <c r="R22" s="78" t="str">
        <f>'W1 Points'!D60</f>
        <v/>
      </c>
      <c r="S22" s="78" t="str">
        <f>'W1 Points'!E18</f>
        <v/>
      </c>
      <c r="T22" s="78"/>
    </row>
    <row r="23">
      <c r="A23" s="77" t="s">
        <v>114</v>
      </c>
      <c r="B23" s="78" t="str">
        <f>'W1 Points'!B61</f>
        <v/>
      </c>
      <c r="C23" s="78">
        <f>'W1 Points'!I47</f>
        <v>116</v>
      </c>
      <c r="D23" s="78" t="str">
        <f>'W1 Points'!V61</f>
        <v/>
      </c>
      <c r="E23" s="78">
        <f>'W1 Points'!AC75</f>
        <v>-32</v>
      </c>
      <c r="F23" s="78"/>
      <c r="H23" s="77" t="s">
        <v>114</v>
      </c>
      <c r="I23" s="78" t="str">
        <f>'W1 Points'!Z33</f>
        <v/>
      </c>
      <c r="J23" s="78">
        <f>'W1 Points'!I47</f>
        <v>116</v>
      </c>
      <c r="K23" s="78" t="str">
        <f>'W1 Points'!J89</f>
        <v/>
      </c>
      <c r="L23" s="78">
        <f>'W1 Points'!W89</f>
        <v>0</v>
      </c>
      <c r="M23" s="78"/>
      <c r="O23" s="77" t="s">
        <v>114</v>
      </c>
      <c r="P23" s="78" t="str">
        <f>'W1 Points'!N19</f>
        <v/>
      </c>
      <c r="Q23" s="78">
        <f>'W1 Points'!U33</f>
        <v>0</v>
      </c>
      <c r="R23" s="78" t="str">
        <f>'W1 Points'!D61</f>
        <v/>
      </c>
      <c r="S23" s="78">
        <f>'W1 Points'!E19</f>
        <v>0</v>
      </c>
      <c r="T23" s="78"/>
    </row>
    <row r="24">
      <c r="A24" s="77" t="s">
        <v>115</v>
      </c>
      <c r="B24" s="78" t="str">
        <f>'W1 Points'!B62</f>
        <v/>
      </c>
      <c r="C24" s="78">
        <f>'W1 Points'!I48</f>
        <v>0</v>
      </c>
      <c r="D24" s="78" t="str">
        <f>'W1 Points'!V62</f>
        <v/>
      </c>
      <c r="E24" s="78">
        <f>'W1 Points'!AC76</f>
        <v>0</v>
      </c>
      <c r="F24" s="78"/>
      <c r="H24" s="77" t="s">
        <v>115</v>
      </c>
      <c r="I24" s="78" t="str">
        <f>'W1 Points'!Z34</f>
        <v/>
      </c>
      <c r="J24" s="78">
        <f>'W1 Points'!I48</f>
        <v>0</v>
      </c>
      <c r="K24" s="78" t="str">
        <f>'W1 Points'!J90</f>
        <v/>
      </c>
      <c r="L24" s="78">
        <f>'W1 Points'!W90</f>
        <v>0</v>
      </c>
      <c r="M24" s="78"/>
      <c r="O24" s="77" t="s">
        <v>115</v>
      </c>
      <c r="P24" s="78" t="str">
        <f>'W1 Points'!N20</f>
        <v/>
      </c>
      <c r="Q24" s="78">
        <f>'W1 Points'!U34</f>
        <v>0</v>
      </c>
      <c r="R24" s="78" t="str">
        <f>'W1 Points'!D62</f>
        <v/>
      </c>
      <c r="S24" s="78">
        <f>'W1 Points'!E20</f>
        <v>0</v>
      </c>
      <c r="T24" s="78"/>
    </row>
    <row r="25">
      <c r="A25" s="77" t="s">
        <v>116</v>
      </c>
      <c r="B25" s="78">
        <f>'W1 Points'!B63</f>
        <v>0</v>
      </c>
      <c r="C25" s="78" t="str">
        <f>'W1 Points'!I49</f>
        <v/>
      </c>
      <c r="D25" s="78">
        <f>'W1 Points'!V63</f>
        <v>0</v>
      </c>
      <c r="E25" s="78" t="str">
        <f>'W1 Points'!AC77</f>
        <v/>
      </c>
      <c r="F25" s="78"/>
      <c r="H25" s="77" t="s">
        <v>116</v>
      </c>
      <c r="I25" s="78">
        <f>'W1 Points'!Z35</f>
        <v>0</v>
      </c>
      <c r="J25" s="78" t="str">
        <f>'W1 Points'!I49</f>
        <v/>
      </c>
      <c r="K25" s="78">
        <f>'W1 Points'!J91</f>
        <v>0</v>
      </c>
      <c r="L25" s="78" t="str">
        <f>'W1 Points'!W91</f>
        <v/>
      </c>
      <c r="M25" s="78"/>
      <c r="O25" s="77" t="s">
        <v>116</v>
      </c>
      <c r="P25" s="78">
        <f>'W1 Points'!N21</f>
        <v>0</v>
      </c>
      <c r="Q25" s="78" t="str">
        <f>'W1 Points'!U35</f>
        <v/>
      </c>
      <c r="R25" s="78">
        <f>'W1 Points'!D63</f>
        <v>0</v>
      </c>
      <c r="S25" s="78" t="str">
        <f>'W1 Points'!E21</f>
        <v/>
      </c>
      <c r="T25" s="78"/>
    </row>
    <row r="26">
      <c r="A26" s="77" t="s">
        <v>117</v>
      </c>
      <c r="B26" s="78" t="str">
        <f>'W1 Points'!B64</f>
        <v/>
      </c>
      <c r="C26" s="78">
        <f>'W1 Points'!I50</f>
        <v>61</v>
      </c>
      <c r="D26" s="78" t="str">
        <f>'W1 Points'!V64</f>
        <v/>
      </c>
      <c r="E26" s="78" t="str">
        <f>'W1 Points'!AC78</f>
        <v/>
      </c>
      <c r="F26" s="78"/>
      <c r="H26" s="77" t="s">
        <v>117</v>
      </c>
      <c r="I26" s="78" t="str">
        <f>'W1 Points'!Z36</f>
        <v/>
      </c>
      <c r="J26" s="78">
        <f>'W1 Points'!I50</f>
        <v>61</v>
      </c>
      <c r="K26" s="78" t="str">
        <f>'W1 Points'!J92</f>
        <v/>
      </c>
      <c r="L26" s="78" t="str">
        <f>'W1 Points'!W92</f>
        <v/>
      </c>
      <c r="M26" s="78"/>
      <c r="O26" s="77" t="s">
        <v>117</v>
      </c>
      <c r="P26" s="78" t="str">
        <f>'W1 Points'!N22</f>
        <v/>
      </c>
      <c r="Q26" s="78">
        <f>'W1 Points'!U36</f>
        <v>0</v>
      </c>
      <c r="R26" s="78" t="str">
        <f>'W1 Points'!D64</f>
        <v/>
      </c>
      <c r="S26" s="78" t="str">
        <f>'W1 Points'!E22</f>
        <v/>
      </c>
      <c r="T26" s="78"/>
    </row>
    <row r="27">
      <c r="A27" s="77" t="s">
        <v>118</v>
      </c>
      <c r="B27" s="78" t="str">
        <f>'W1 Points'!B65</f>
        <v/>
      </c>
      <c r="C27" s="78" t="str">
        <f>'W1 Points'!I51</f>
        <v/>
      </c>
      <c r="D27" s="78">
        <f>'W1 Points'!V65</f>
        <v>0</v>
      </c>
      <c r="E27" s="78">
        <f>'W1 Points'!AC79</f>
        <v>40</v>
      </c>
      <c r="F27" s="78"/>
      <c r="H27" s="77" t="s">
        <v>118</v>
      </c>
      <c r="I27" s="78" t="str">
        <f>'W1 Points'!Z37</f>
        <v/>
      </c>
      <c r="J27" s="78" t="str">
        <f>'W1 Points'!I51</f>
        <v/>
      </c>
      <c r="K27" s="78">
        <f>'W1 Points'!J93</f>
        <v>0</v>
      </c>
      <c r="L27" s="78">
        <f>'W1 Points'!W93</f>
        <v>0</v>
      </c>
      <c r="M27" s="78"/>
      <c r="O27" s="77" t="s">
        <v>118</v>
      </c>
      <c r="P27" s="78" t="str">
        <f>'W1 Points'!N23</f>
        <v/>
      </c>
      <c r="Q27" s="78" t="str">
        <f>'W1 Points'!U37</f>
        <v/>
      </c>
      <c r="R27" s="78">
        <f>'W1 Points'!D65</f>
        <v>0</v>
      </c>
      <c r="S27" s="78">
        <f>'W1 Points'!E23</f>
        <v>0</v>
      </c>
      <c r="T27" s="78"/>
    </row>
    <row r="28">
      <c r="A28" s="77" t="s">
        <v>119</v>
      </c>
      <c r="B28" s="78" t="str">
        <f>'W1 Points'!B66</f>
        <v/>
      </c>
      <c r="C28" s="78">
        <f>'W1 Points'!I52</f>
        <v>18</v>
      </c>
      <c r="D28" s="78" t="str">
        <f>'W1 Points'!V66</f>
        <v/>
      </c>
      <c r="E28" s="78">
        <f>'W1 Points'!AC80</f>
        <v>10</v>
      </c>
      <c r="F28" s="78"/>
      <c r="H28" s="77" t="s">
        <v>119</v>
      </c>
      <c r="I28" s="78" t="str">
        <f>'W1 Points'!Z38</f>
        <v/>
      </c>
      <c r="J28" s="78">
        <f>'W1 Points'!I52</f>
        <v>18</v>
      </c>
      <c r="K28" s="78" t="str">
        <f>'W1 Points'!J94</f>
        <v/>
      </c>
      <c r="L28" s="78">
        <f>'W1 Points'!W94</f>
        <v>0</v>
      </c>
      <c r="M28" s="78"/>
      <c r="O28" s="77" t="s">
        <v>119</v>
      </c>
      <c r="P28" s="78" t="str">
        <f>'W1 Points'!N24</f>
        <v/>
      </c>
      <c r="Q28" s="78">
        <f>'W1 Points'!U38</f>
        <v>0</v>
      </c>
      <c r="R28" s="78" t="str">
        <f>'W1 Points'!D66</f>
        <v/>
      </c>
      <c r="S28" s="78">
        <f>'W1 Points'!E24</f>
        <v>0</v>
      </c>
      <c r="T28" s="78"/>
    </row>
    <row r="29">
      <c r="A29" s="77" t="s">
        <v>120</v>
      </c>
      <c r="B29" s="78" t="str">
        <f>'W1 Points'!B67</f>
        <v/>
      </c>
      <c r="C29" s="78" t="str">
        <f>'W1 Points'!I53</f>
        <v/>
      </c>
      <c r="D29" s="78">
        <f>'W1 Points'!V67</f>
        <v>0</v>
      </c>
      <c r="E29" s="78">
        <f>'W1 Points'!AC81</f>
        <v>8</v>
      </c>
      <c r="F29" s="78"/>
      <c r="H29" s="77" t="s">
        <v>120</v>
      </c>
      <c r="I29" s="78" t="str">
        <f>'W1 Points'!Z39</f>
        <v/>
      </c>
      <c r="J29" s="78" t="str">
        <f>'W1 Points'!I53</f>
        <v/>
      </c>
      <c r="K29" s="78">
        <f>'W1 Points'!J95</f>
        <v>0</v>
      </c>
      <c r="L29" s="78">
        <f>'W1 Points'!W95</f>
        <v>0</v>
      </c>
      <c r="M29" s="78"/>
      <c r="O29" s="77" t="s">
        <v>120</v>
      </c>
      <c r="P29" s="78" t="str">
        <f>'W1 Points'!N25</f>
        <v/>
      </c>
      <c r="Q29" s="78" t="str">
        <f>'W1 Points'!U39</f>
        <v/>
      </c>
      <c r="R29" s="78">
        <f>'W1 Points'!D67</f>
        <v>0</v>
      </c>
      <c r="S29" s="78">
        <f>'W1 Points'!E25</f>
        <v>0</v>
      </c>
      <c r="T29" s="78"/>
    </row>
    <row r="30">
      <c r="A30" s="77" t="s">
        <v>121</v>
      </c>
      <c r="B30" s="78">
        <f>'W1 Points'!B68</f>
        <v>0</v>
      </c>
      <c r="C30" s="78">
        <f>'W1 Points'!I54</f>
        <v>20</v>
      </c>
      <c r="D30" s="78">
        <f>'W1 Points'!V68</f>
        <v>0</v>
      </c>
      <c r="E30" s="78">
        <f>'W1 Points'!AC82</f>
        <v>0</v>
      </c>
      <c r="F30" s="78"/>
      <c r="H30" s="77" t="s">
        <v>121</v>
      </c>
      <c r="I30" s="78">
        <f>'W1 Points'!Z40</f>
        <v>0</v>
      </c>
      <c r="J30" s="78">
        <f>'W1 Points'!I54</f>
        <v>20</v>
      </c>
      <c r="K30" s="78">
        <f>'W1 Points'!J96</f>
        <v>0</v>
      </c>
      <c r="L30" s="78">
        <f>'W1 Points'!W96</f>
        <v>0</v>
      </c>
      <c r="M30" s="78"/>
      <c r="O30" s="77" t="s">
        <v>121</v>
      </c>
      <c r="P30" s="78">
        <f>'W1 Points'!N26</f>
        <v>0</v>
      </c>
      <c r="Q30" s="78">
        <f>'W1 Points'!U40</f>
        <v>0</v>
      </c>
      <c r="R30" s="78">
        <f>'W1 Points'!D68</f>
        <v>0</v>
      </c>
      <c r="S30" s="78">
        <f>'W1 Points'!E26</f>
        <v>0</v>
      </c>
      <c r="T30" s="78"/>
    </row>
    <row r="31">
      <c r="A31" s="77" t="s">
        <v>122</v>
      </c>
      <c r="B31" s="79">
        <f t="shared" ref="B31:F31" si="4">SUM(B20:B30)</f>
        <v>0</v>
      </c>
      <c r="C31" s="79">
        <f t="shared" si="4"/>
        <v>215</v>
      </c>
      <c r="D31" s="79">
        <f t="shared" si="4"/>
        <v>0</v>
      </c>
      <c r="E31" s="79">
        <f t="shared" si="4"/>
        <v>56</v>
      </c>
      <c r="F31" s="79">
        <f t="shared" si="4"/>
        <v>0</v>
      </c>
      <c r="H31" s="77" t="s">
        <v>122</v>
      </c>
      <c r="I31" s="79">
        <f t="shared" ref="I31:M31" si="5">SUM(I20:I30)</f>
        <v>0</v>
      </c>
      <c r="J31" s="79">
        <f t="shared" si="5"/>
        <v>215</v>
      </c>
      <c r="K31" s="79">
        <f t="shared" si="5"/>
        <v>0</v>
      </c>
      <c r="L31" s="79">
        <f t="shared" si="5"/>
        <v>0</v>
      </c>
      <c r="M31" s="79">
        <f t="shared" si="5"/>
        <v>0</v>
      </c>
      <c r="O31" s="77" t="s">
        <v>122</v>
      </c>
      <c r="P31" s="80">
        <f t="shared" ref="P31:T31" si="6">SUM(P20:P30)</f>
        <v>0</v>
      </c>
      <c r="Q31" s="80">
        <f t="shared" si="6"/>
        <v>0</v>
      </c>
      <c r="R31" s="80">
        <f t="shared" si="6"/>
        <v>0</v>
      </c>
      <c r="S31" s="80">
        <f t="shared" si="6"/>
        <v>0</v>
      </c>
      <c r="T31" s="80">
        <f t="shared" si="6"/>
        <v>0</v>
      </c>
    </row>
    <row r="32">
      <c r="E32" s="81" t="s">
        <v>123</v>
      </c>
      <c r="F32" s="82">
        <f>SUM(B31:E31)</f>
        <v>271</v>
      </c>
      <c r="L32" s="81" t="s">
        <v>123</v>
      </c>
      <c r="M32" s="82">
        <f>SUM(I31:L31)</f>
        <v>215</v>
      </c>
      <c r="S32" s="81" t="s">
        <v>123</v>
      </c>
      <c r="T32" s="82">
        <f>SUM(P31:S31)</f>
        <v>0</v>
      </c>
    </row>
    <row r="33">
      <c r="A33" s="73" t="s">
        <v>36</v>
      </c>
      <c r="H33" s="73" t="s">
        <v>39</v>
      </c>
      <c r="O33" s="73" t="s">
        <v>41</v>
      </c>
    </row>
    <row r="34">
      <c r="A34" s="74" t="s">
        <v>7</v>
      </c>
      <c r="B34" s="74" t="s">
        <v>94</v>
      </c>
      <c r="C34" s="74" t="s">
        <v>95</v>
      </c>
      <c r="D34" s="74" t="s">
        <v>96</v>
      </c>
      <c r="E34" s="74" t="s">
        <v>97</v>
      </c>
      <c r="F34" s="74" t="s">
        <v>98</v>
      </c>
      <c r="H34" s="74" t="s">
        <v>7</v>
      </c>
      <c r="I34" s="74" t="s">
        <v>94</v>
      </c>
      <c r="J34" s="74" t="s">
        <v>95</v>
      </c>
      <c r="K34" s="74" t="s">
        <v>96</v>
      </c>
      <c r="L34" s="74" t="s">
        <v>97</v>
      </c>
      <c r="M34" s="74" t="s">
        <v>98</v>
      </c>
      <c r="O34" s="74" t="s">
        <v>7</v>
      </c>
      <c r="P34" s="74" t="s">
        <v>94</v>
      </c>
      <c r="Q34" s="74" t="s">
        <v>95</v>
      </c>
      <c r="R34" s="74" t="s">
        <v>96</v>
      </c>
      <c r="S34" s="74" t="s">
        <v>97</v>
      </c>
      <c r="T34" s="74" t="s">
        <v>98</v>
      </c>
    </row>
    <row r="35">
      <c r="A35" s="75" t="s">
        <v>37</v>
      </c>
      <c r="B35" s="75" t="s">
        <v>37</v>
      </c>
      <c r="C35" s="75" t="s">
        <v>131</v>
      </c>
      <c r="D35" s="75" t="s">
        <v>102</v>
      </c>
      <c r="E35" s="75" t="s">
        <v>107</v>
      </c>
      <c r="F35" s="75" t="s">
        <v>106</v>
      </c>
      <c r="G35" s="76"/>
      <c r="H35" s="75" t="s">
        <v>39</v>
      </c>
      <c r="I35" s="75" t="s">
        <v>106</v>
      </c>
      <c r="J35" s="75" t="s">
        <v>124</v>
      </c>
      <c r="K35" s="75" t="s">
        <v>39</v>
      </c>
      <c r="L35" s="75" t="s">
        <v>101</v>
      </c>
      <c r="M35" s="75" t="s">
        <v>107</v>
      </c>
      <c r="N35" s="76"/>
      <c r="O35" s="75" t="s">
        <v>42</v>
      </c>
      <c r="P35" s="75" t="s">
        <v>106</v>
      </c>
      <c r="Q35" s="75" t="s">
        <v>131</v>
      </c>
      <c r="R35" s="75" t="s">
        <v>132</v>
      </c>
      <c r="S35" s="75" t="s">
        <v>133</v>
      </c>
      <c r="T35" s="75" t="s">
        <v>104</v>
      </c>
    </row>
    <row r="36">
      <c r="A36" s="77" t="s">
        <v>108</v>
      </c>
      <c r="B36" s="78">
        <f>'W1 Points'!B58</f>
        <v>0</v>
      </c>
      <c r="C36" s="78" t="str">
        <f>'W1 Points'!O86</f>
        <v/>
      </c>
      <c r="D36" s="78" t="str">
        <f>'W1 Points'!P30</f>
        <v/>
      </c>
      <c r="E36" s="78">
        <f>'W1 Points'!E86</f>
        <v>0</v>
      </c>
      <c r="F36" s="78" t="s">
        <v>110</v>
      </c>
      <c r="H36" s="77" t="s">
        <v>108</v>
      </c>
      <c r="I36" s="78">
        <f>'W1 Points'!Z30</f>
        <v>0</v>
      </c>
      <c r="J36" s="78" t="str">
        <f>'W1 Points'!I44</f>
        <v/>
      </c>
      <c r="K36" s="78" t="str">
        <f>'W1 Points'!V58</f>
        <v/>
      </c>
      <c r="L36" s="78">
        <f>'W1 Points'!E16</f>
        <v>0</v>
      </c>
      <c r="M36" s="78" t="s">
        <v>134</v>
      </c>
      <c r="O36" s="77" t="s">
        <v>108</v>
      </c>
      <c r="P36" s="78">
        <f>'W1 Points'!Z30</f>
        <v>0</v>
      </c>
      <c r="Q36" s="78" t="str">
        <f>'W1 Points'!O86</f>
        <v/>
      </c>
      <c r="R36" s="78" t="str">
        <f>'W1 Points'!D44</f>
        <v/>
      </c>
      <c r="S36" s="78">
        <f>'W1 Points'!W72</f>
        <v>10</v>
      </c>
      <c r="T36" s="78" t="s">
        <v>135</v>
      </c>
    </row>
    <row r="37">
      <c r="A37" s="77" t="s">
        <v>112</v>
      </c>
      <c r="B37" s="78" t="str">
        <f>'W1 Points'!B59</f>
        <v/>
      </c>
      <c r="C37" s="78" t="str">
        <f>'W1 Points'!O87</f>
        <v/>
      </c>
      <c r="D37" s="78">
        <f>'W1 Points'!P31</f>
        <v>0</v>
      </c>
      <c r="E37" s="78" t="str">
        <f>'W1 Points'!E87</f>
        <v/>
      </c>
      <c r="F37" s="78"/>
      <c r="H37" s="77" t="s">
        <v>112</v>
      </c>
      <c r="I37" s="78" t="str">
        <f>'W1 Points'!Z31</f>
        <v/>
      </c>
      <c r="J37" s="78" t="str">
        <f>'W1 Points'!I45</f>
        <v/>
      </c>
      <c r="K37" s="78">
        <f>'W1 Points'!V59</f>
        <v>0</v>
      </c>
      <c r="L37" s="78" t="str">
        <f>'W1 Points'!E17</f>
        <v/>
      </c>
      <c r="M37" s="78"/>
      <c r="O37" s="77" t="s">
        <v>112</v>
      </c>
      <c r="P37" s="78" t="str">
        <f>'W1 Points'!Z31</f>
        <v/>
      </c>
      <c r="Q37" s="78" t="str">
        <f>'W1 Points'!O87</f>
        <v/>
      </c>
      <c r="R37" s="78">
        <f>'W1 Points'!D45</f>
        <v>3</v>
      </c>
      <c r="S37" s="78" t="str">
        <f>'W1 Points'!W73</f>
        <v/>
      </c>
      <c r="T37" s="78"/>
    </row>
    <row r="38">
      <c r="A38" s="77" t="s">
        <v>113</v>
      </c>
      <c r="B38" s="78">
        <f>'W1 Points'!B60</f>
        <v>0</v>
      </c>
      <c r="C38" s="78" t="str">
        <f>'W1 Points'!O88</f>
        <v/>
      </c>
      <c r="D38" s="78" t="str">
        <f>'W1 Points'!P32</f>
        <v/>
      </c>
      <c r="E38" s="78" t="str">
        <f>'W1 Points'!E88</f>
        <v/>
      </c>
      <c r="F38" s="78"/>
      <c r="H38" s="77" t="s">
        <v>113</v>
      </c>
      <c r="I38" s="78">
        <f>'W1 Points'!Z32</f>
        <v>0</v>
      </c>
      <c r="J38" s="78" t="str">
        <f>'W1 Points'!I46</f>
        <v/>
      </c>
      <c r="K38" s="78" t="str">
        <f>'W1 Points'!V60</f>
        <v/>
      </c>
      <c r="L38" s="78" t="str">
        <f>'W1 Points'!E18</f>
        <v/>
      </c>
      <c r="M38" s="78"/>
      <c r="O38" s="77" t="s">
        <v>113</v>
      </c>
      <c r="P38" s="78">
        <f>'W1 Points'!Z32</f>
        <v>0</v>
      </c>
      <c r="Q38" s="78" t="str">
        <f>'W1 Points'!O88</f>
        <v/>
      </c>
      <c r="R38" s="78" t="str">
        <f>'W1 Points'!D46</f>
        <v/>
      </c>
      <c r="S38" s="78" t="str">
        <f>'W1 Points'!W74</f>
        <v/>
      </c>
      <c r="T38" s="78"/>
    </row>
    <row r="39">
      <c r="A39" s="77" t="s">
        <v>114</v>
      </c>
      <c r="B39" s="78" t="str">
        <f>'W1 Points'!B61</f>
        <v/>
      </c>
      <c r="C39" s="78">
        <f>'W1 Points'!O89</f>
        <v>0</v>
      </c>
      <c r="D39" s="78" t="str">
        <f>'W1 Points'!P33</f>
        <v/>
      </c>
      <c r="E39" s="78">
        <f>'W1 Points'!E89</f>
        <v>0</v>
      </c>
      <c r="F39" s="78"/>
      <c r="H39" s="77" t="s">
        <v>114</v>
      </c>
      <c r="I39" s="78" t="str">
        <f>'W1 Points'!Z33</f>
        <v/>
      </c>
      <c r="J39" s="78">
        <f>'W1 Points'!I47</f>
        <v>116</v>
      </c>
      <c r="K39" s="78" t="str">
        <f>'W1 Points'!V61</f>
        <v/>
      </c>
      <c r="L39" s="78">
        <f>'W1 Points'!E19</f>
        <v>0</v>
      </c>
      <c r="M39" s="78"/>
      <c r="O39" s="77" t="s">
        <v>114</v>
      </c>
      <c r="P39" s="78" t="str">
        <f>'W1 Points'!Z33</f>
        <v/>
      </c>
      <c r="Q39" s="78">
        <f>'W1 Points'!O89</f>
        <v>0</v>
      </c>
      <c r="R39" s="78" t="str">
        <f>'W1 Points'!D47</f>
        <v/>
      </c>
      <c r="S39" s="78">
        <f>'W1 Points'!W75</f>
        <v>1</v>
      </c>
      <c r="T39" s="78"/>
    </row>
    <row r="40">
      <c r="A40" s="77" t="s">
        <v>115</v>
      </c>
      <c r="B40" s="78" t="str">
        <f>'W1 Points'!B62</f>
        <v/>
      </c>
      <c r="C40" s="78">
        <f>'W1 Points'!O90</f>
        <v>0</v>
      </c>
      <c r="D40" s="78" t="str">
        <f>'W1 Points'!P34</f>
        <v/>
      </c>
      <c r="E40" s="78">
        <f>'W1 Points'!E90</f>
        <v>0</v>
      </c>
      <c r="F40" s="78"/>
      <c r="H40" s="77" t="s">
        <v>115</v>
      </c>
      <c r="I40" s="78" t="str">
        <f>'W1 Points'!Z34</f>
        <v/>
      </c>
      <c r="J40" s="78">
        <f>'W1 Points'!I48</f>
        <v>0</v>
      </c>
      <c r="K40" s="78" t="str">
        <f>'W1 Points'!V62</f>
        <v/>
      </c>
      <c r="L40" s="78">
        <f>'W1 Points'!E20</f>
        <v>0</v>
      </c>
      <c r="M40" s="78"/>
      <c r="O40" s="77" t="s">
        <v>115</v>
      </c>
      <c r="P40" s="78" t="str">
        <f>'W1 Points'!Z34</f>
        <v/>
      </c>
      <c r="Q40" s="78">
        <f>'W1 Points'!O90</f>
        <v>0</v>
      </c>
      <c r="R40" s="78" t="str">
        <f>'W1 Points'!D48</f>
        <v/>
      </c>
      <c r="S40" s="78">
        <f>'W1 Points'!W76</f>
        <v>0</v>
      </c>
      <c r="T40" s="78"/>
    </row>
    <row r="41">
      <c r="A41" s="77" t="s">
        <v>116</v>
      </c>
      <c r="B41" s="78">
        <f>'W1 Points'!B63</f>
        <v>0</v>
      </c>
      <c r="C41" s="78" t="str">
        <f>'W1 Points'!O91</f>
        <v/>
      </c>
      <c r="D41" s="78">
        <f>'W1 Points'!P35</f>
        <v>0</v>
      </c>
      <c r="E41" s="78" t="str">
        <f>'W1 Points'!E91</f>
        <v/>
      </c>
      <c r="F41" s="78"/>
      <c r="H41" s="77" t="s">
        <v>116</v>
      </c>
      <c r="I41" s="78">
        <f>'W1 Points'!Z35</f>
        <v>0</v>
      </c>
      <c r="J41" s="78" t="str">
        <f>'W1 Points'!I49</f>
        <v/>
      </c>
      <c r="K41" s="78">
        <f>'W1 Points'!V63</f>
        <v>0</v>
      </c>
      <c r="L41" s="78" t="str">
        <f>'W1 Points'!E21</f>
        <v/>
      </c>
      <c r="M41" s="78"/>
      <c r="O41" s="77" t="s">
        <v>116</v>
      </c>
      <c r="P41" s="78">
        <f>'W1 Points'!Z35</f>
        <v>0</v>
      </c>
      <c r="Q41" s="78" t="str">
        <f>'W1 Points'!O91</f>
        <v/>
      </c>
      <c r="R41" s="78">
        <f>'W1 Points'!D49</f>
        <v>0</v>
      </c>
      <c r="S41" s="78" t="str">
        <f>'W1 Points'!W77</f>
        <v/>
      </c>
      <c r="T41" s="78"/>
    </row>
    <row r="42">
      <c r="A42" s="77" t="s">
        <v>117</v>
      </c>
      <c r="B42" s="78" t="str">
        <f>'W1 Points'!B64</f>
        <v/>
      </c>
      <c r="C42" s="78">
        <f>'W1 Points'!O92</f>
        <v>0</v>
      </c>
      <c r="D42" s="78" t="str">
        <f>'W1 Points'!P36</f>
        <v/>
      </c>
      <c r="E42" s="78" t="str">
        <f>'W1 Points'!E92</f>
        <v/>
      </c>
      <c r="F42" s="78"/>
      <c r="H42" s="77" t="s">
        <v>117</v>
      </c>
      <c r="I42" s="78" t="str">
        <f>'W1 Points'!Z36</f>
        <v/>
      </c>
      <c r="J42" s="78">
        <f>'W1 Points'!I50</f>
        <v>61</v>
      </c>
      <c r="K42" s="78" t="str">
        <f>'W1 Points'!V64</f>
        <v/>
      </c>
      <c r="L42" s="78" t="str">
        <f>'W1 Points'!E22</f>
        <v/>
      </c>
      <c r="M42" s="78"/>
      <c r="O42" s="77" t="s">
        <v>117</v>
      </c>
      <c r="P42" s="78" t="str">
        <f>'W1 Points'!Z36</f>
        <v/>
      </c>
      <c r="Q42" s="78">
        <f>'W1 Points'!O92</f>
        <v>0</v>
      </c>
      <c r="R42" s="78" t="str">
        <f>'W1 Points'!D50</f>
        <v/>
      </c>
      <c r="S42" s="78" t="str">
        <f>'W1 Points'!W78</f>
        <v/>
      </c>
      <c r="T42" s="78"/>
    </row>
    <row r="43">
      <c r="A43" s="77" t="s">
        <v>118</v>
      </c>
      <c r="B43" s="78" t="str">
        <f>'W1 Points'!B65</f>
        <v/>
      </c>
      <c r="C43" s="78" t="str">
        <f>'W1 Points'!O93</f>
        <v/>
      </c>
      <c r="D43" s="78">
        <f>'W1 Points'!P37</f>
        <v>0</v>
      </c>
      <c r="E43" s="78">
        <f>'W1 Points'!E93</f>
        <v>0</v>
      </c>
      <c r="F43" s="78"/>
      <c r="H43" s="77" t="s">
        <v>118</v>
      </c>
      <c r="I43" s="78" t="str">
        <f>'W1 Points'!Z37</f>
        <v/>
      </c>
      <c r="J43" s="78" t="str">
        <f>'W1 Points'!I51</f>
        <v/>
      </c>
      <c r="K43" s="78">
        <f>'W1 Points'!V65</f>
        <v>0</v>
      </c>
      <c r="L43" s="78">
        <f>'W1 Points'!E23</f>
        <v>0</v>
      </c>
      <c r="M43" s="78"/>
      <c r="O43" s="77" t="s">
        <v>118</v>
      </c>
      <c r="P43" s="78" t="str">
        <f>'W1 Points'!Z37</f>
        <v/>
      </c>
      <c r="Q43" s="78" t="str">
        <f>'W1 Points'!O93</f>
        <v/>
      </c>
      <c r="R43" s="78">
        <f>'W1 Points'!D51</f>
        <v>45</v>
      </c>
      <c r="S43" s="78">
        <f>'W1 Points'!W79</f>
        <v>10</v>
      </c>
      <c r="T43" s="78"/>
    </row>
    <row r="44">
      <c r="A44" s="77" t="s">
        <v>119</v>
      </c>
      <c r="B44" s="78" t="str">
        <f>'W1 Points'!B66</f>
        <v/>
      </c>
      <c r="C44" s="78">
        <f>'W1 Points'!O94</f>
        <v>0</v>
      </c>
      <c r="D44" s="78" t="str">
        <f>'W1 Points'!P38</f>
        <v/>
      </c>
      <c r="E44" s="78">
        <f>'W1 Points'!E94</f>
        <v>0</v>
      </c>
      <c r="F44" s="78"/>
      <c r="H44" s="77" t="s">
        <v>119</v>
      </c>
      <c r="I44" s="78" t="str">
        <f>'W1 Points'!Z38</f>
        <v/>
      </c>
      <c r="J44" s="78">
        <f>'W1 Points'!I52</f>
        <v>18</v>
      </c>
      <c r="K44" s="78" t="str">
        <f>'W1 Points'!V66</f>
        <v/>
      </c>
      <c r="L44" s="78">
        <f>'W1 Points'!E24</f>
        <v>0</v>
      </c>
      <c r="M44" s="78"/>
      <c r="O44" s="77" t="s">
        <v>119</v>
      </c>
      <c r="P44" s="78" t="str">
        <f>'W1 Points'!Z38</f>
        <v/>
      </c>
      <c r="Q44" s="78">
        <f>'W1 Points'!O94</f>
        <v>0</v>
      </c>
      <c r="R44" s="78" t="str">
        <f>'W1 Points'!D52</f>
        <v/>
      </c>
      <c r="S44" s="78">
        <f>'W1 Points'!W80</f>
        <v>30</v>
      </c>
      <c r="T44" s="78"/>
    </row>
    <row r="45">
      <c r="A45" s="77" t="s">
        <v>120</v>
      </c>
      <c r="B45" s="78" t="str">
        <f>'W1 Points'!B67</f>
        <v/>
      </c>
      <c r="C45" s="78" t="str">
        <f>'W1 Points'!O95</f>
        <v/>
      </c>
      <c r="D45" s="78">
        <f>'W1 Points'!P39</f>
        <v>0</v>
      </c>
      <c r="E45" s="78">
        <f>'W1 Points'!E95</f>
        <v>0</v>
      </c>
      <c r="F45" s="78"/>
      <c r="H45" s="77" t="s">
        <v>120</v>
      </c>
      <c r="I45" s="78" t="str">
        <f>'W1 Points'!Z39</f>
        <v/>
      </c>
      <c r="J45" s="78" t="str">
        <f>'W1 Points'!I53</f>
        <v/>
      </c>
      <c r="K45" s="78">
        <f>'W1 Points'!V67</f>
        <v>0</v>
      </c>
      <c r="L45" s="78">
        <f>'W1 Points'!E25</f>
        <v>0</v>
      </c>
      <c r="M45" s="78"/>
      <c r="O45" s="77" t="s">
        <v>120</v>
      </c>
      <c r="P45" s="78" t="str">
        <f>'W1 Points'!Z39</f>
        <v/>
      </c>
      <c r="Q45" s="78" t="str">
        <f>'W1 Points'!O95</f>
        <v/>
      </c>
      <c r="R45" s="78">
        <f>'W1 Points'!D53</f>
        <v>21</v>
      </c>
      <c r="S45" s="78">
        <f>'W1 Points'!W81</f>
        <v>6</v>
      </c>
      <c r="T45" s="78"/>
    </row>
    <row r="46">
      <c r="A46" s="77" t="s">
        <v>121</v>
      </c>
      <c r="B46" s="78">
        <f>'W1 Points'!B68</f>
        <v>0</v>
      </c>
      <c r="C46" s="78">
        <f>'W1 Points'!O96</f>
        <v>0</v>
      </c>
      <c r="D46" s="78">
        <f>'W1 Points'!P40</f>
        <v>0</v>
      </c>
      <c r="E46" s="78">
        <f>'W1 Points'!E96</f>
        <v>0</v>
      </c>
      <c r="F46" s="78"/>
      <c r="H46" s="77" t="s">
        <v>121</v>
      </c>
      <c r="I46" s="78">
        <f>'W1 Points'!Z40</f>
        <v>0</v>
      </c>
      <c r="J46" s="78">
        <f>'W1 Points'!I54</f>
        <v>20</v>
      </c>
      <c r="K46" s="78">
        <f>'W1 Points'!V68</f>
        <v>0</v>
      </c>
      <c r="L46" s="78">
        <f>'W1 Points'!E26</f>
        <v>0</v>
      </c>
      <c r="M46" s="78"/>
      <c r="O46" s="77" t="s">
        <v>121</v>
      </c>
      <c r="P46" s="78">
        <f>'W1 Points'!Z40</f>
        <v>0</v>
      </c>
      <c r="Q46" s="78">
        <f>'W1 Points'!O96</f>
        <v>0</v>
      </c>
      <c r="R46" s="78">
        <f>'W1 Points'!D54</f>
        <v>20</v>
      </c>
      <c r="S46" s="78">
        <f>'W1 Points'!W82</f>
        <v>0</v>
      </c>
      <c r="T46" s="78"/>
    </row>
    <row r="47">
      <c r="A47" s="77" t="s">
        <v>122</v>
      </c>
      <c r="B47" s="79">
        <f t="shared" ref="B47:F47" si="7">SUM(B36:B46)</f>
        <v>0</v>
      </c>
      <c r="C47" s="79">
        <f t="shared" si="7"/>
        <v>0</v>
      </c>
      <c r="D47" s="79">
        <f t="shared" si="7"/>
        <v>0</v>
      </c>
      <c r="E47" s="79">
        <f t="shared" si="7"/>
        <v>0</v>
      </c>
      <c r="F47" s="79">
        <f t="shared" si="7"/>
        <v>0</v>
      </c>
      <c r="H47" s="77" t="s">
        <v>122</v>
      </c>
      <c r="I47" s="79">
        <f t="shared" ref="I47:M47" si="8">SUM(I36:I46)</f>
        <v>0</v>
      </c>
      <c r="J47" s="79">
        <f t="shared" si="8"/>
        <v>215</v>
      </c>
      <c r="K47" s="79">
        <f t="shared" si="8"/>
        <v>0</v>
      </c>
      <c r="L47" s="79">
        <f t="shared" si="8"/>
        <v>0</v>
      </c>
      <c r="M47" s="79">
        <f t="shared" si="8"/>
        <v>0</v>
      </c>
      <c r="O47" s="77" t="s">
        <v>122</v>
      </c>
      <c r="P47" s="80">
        <f t="shared" ref="P47:T47" si="9">SUM(P36:P46)</f>
        <v>0</v>
      </c>
      <c r="Q47" s="80">
        <f t="shared" si="9"/>
        <v>0</v>
      </c>
      <c r="R47" s="80">
        <f t="shared" si="9"/>
        <v>89</v>
      </c>
      <c r="S47" s="80">
        <f t="shared" si="9"/>
        <v>57</v>
      </c>
      <c r="T47" s="80">
        <f t="shared" si="9"/>
        <v>0</v>
      </c>
    </row>
    <row r="48">
      <c r="E48" s="81" t="s">
        <v>123</v>
      </c>
      <c r="F48" s="82">
        <f>SUM(B47:E47)</f>
        <v>0</v>
      </c>
      <c r="L48" s="81" t="s">
        <v>123</v>
      </c>
      <c r="M48" s="82">
        <f>SUM(I47:L47)</f>
        <v>215</v>
      </c>
      <c r="S48" s="81" t="s">
        <v>123</v>
      </c>
      <c r="T48" s="82">
        <f>SUM(P47:S47)</f>
        <v>146</v>
      </c>
    </row>
    <row r="49">
      <c r="A49" s="73" t="s">
        <v>44</v>
      </c>
      <c r="H49" s="73" t="s">
        <v>47</v>
      </c>
      <c r="O49" s="73" t="s">
        <v>50</v>
      </c>
    </row>
    <row r="50">
      <c r="A50" s="74" t="s">
        <v>7</v>
      </c>
      <c r="B50" s="74" t="s">
        <v>94</v>
      </c>
      <c r="C50" s="74" t="s">
        <v>95</v>
      </c>
      <c r="D50" s="74" t="s">
        <v>96</v>
      </c>
      <c r="E50" s="74" t="s">
        <v>97</v>
      </c>
      <c r="F50" s="74" t="s">
        <v>98</v>
      </c>
      <c r="H50" s="74" t="s">
        <v>7</v>
      </c>
      <c r="I50" s="74" t="s">
        <v>94</v>
      </c>
      <c r="J50" s="74" t="s">
        <v>95</v>
      </c>
      <c r="K50" s="74" t="s">
        <v>96</v>
      </c>
      <c r="L50" s="74" t="s">
        <v>97</v>
      </c>
      <c r="M50" s="74" t="s">
        <v>98</v>
      </c>
      <c r="O50" s="74" t="s">
        <v>7</v>
      </c>
      <c r="P50" s="74" t="s">
        <v>94</v>
      </c>
      <c r="Q50" s="74" t="s">
        <v>95</v>
      </c>
      <c r="R50" s="74" t="s">
        <v>96</v>
      </c>
      <c r="S50" s="74" t="s">
        <v>97</v>
      </c>
      <c r="T50" s="74" t="s">
        <v>98</v>
      </c>
    </row>
    <row r="51">
      <c r="A51" s="75" t="s">
        <v>136</v>
      </c>
      <c r="B51" s="75" t="s">
        <v>106</v>
      </c>
      <c r="C51" s="75" t="s">
        <v>124</v>
      </c>
      <c r="D51" s="75" t="s">
        <v>102</v>
      </c>
      <c r="E51" s="75" t="s">
        <v>104</v>
      </c>
      <c r="F51" s="75" t="s">
        <v>125</v>
      </c>
      <c r="H51" s="75" t="s">
        <v>48</v>
      </c>
      <c r="I51" s="75" t="s">
        <v>39</v>
      </c>
      <c r="J51" s="75" t="s">
        <v>124</v>
      </c>
      <c r="K51" s="75" t="s">
        <v>102</v>
      </c>
      <c r="L51" s="75" t="s">
        <v>48</v>
      </c>
      <c r="M51" s="75" t="s">
        <v>106</v>
      </c>
      <c r="O51" s="75" t="s">
        <v>51</v>
      </c>
      <c r="P51" s="75" t="s">
        <v>105</v>
      </c>
      <c r="Q51" s="75" t="s">
        <v>137</v>
      </c>
      <c r="R51" s="75" t="s">
        <v>28</v>
      </c>
      <c r="S51" s="75" t="s">
        <v>138</v>
      </c>
      <c r="T51" s="75" t="s">
        <v>139</v>
      </c>
    </row>
    <row r="52">
      <c r="A52" s="77" t="s">
        <v>108</v>
      </c>
      <c r="B52" s="78">
        <f>'W1 Points'!Z30</f>
        <v>0</v>
      </c>
      <c r="C52" s="78" t="str">
        <f>'W1 Points'!I44</f>
        <v/>
      </c>
      <c r="D52" s="78" t="str">
        <f>'W1 Points'!P30</f>
        <v/>
      </c>
      <c r="E52" s="78">
        <f>'W1 Points'!K16</f>
        <v>0</v>
      </c>
      <c r="F52" s="78" t="s">
        <v>129</v>
      </c>
      <c r="H52" s="77" t="s">
        <v>108</v>
      </c>
      <c r="I52" s="78">
        <f>'W1 Points'!T58</f>
        <v>0</v>
      </c>
      <c r="J52" s="78" t="str">
        <f>'W1 Points'!I44</f>
        <v/>
      </c>
      <c r="K52" s="78" t="str">
        <f>'W1 Points'!P30</f>
        <v/>
      </c>
      <c r="L52" s="78">
        <f>'W1 Points'!W44</f>
        <v>0</v>
      </c>
      <c r="M52" s="78" t="s">
        <v>110</v>
      </c>
      <c r="O52" s="77" t="s">
        <v>108</v>
      </c>
      <c r="P52" s="78">
        <f>'W1 Points'!T16</f>
        <v>0</v>
      </c>
      <c r="Q52" s="78" t="str">
        <f>'W1 Points'!O58</f>
        <v/>
      </c>
      <c r="R52" s="78" t="str">
        <f>'W1 Points'!J58</f>
        <v/>
      </c>
      <c r="S52" s="78">
        <f>'W1 Points'!E72</f>
        <v>0</v>
      </c>
      <c r="T52" s="78" t="s">
        <v>140</v>
      </c>
    </row>
    <row r="53">
      <c r="A53" s="77" t="s">
        <v>112</v>
      </c>
      <c r="B53" s="78" t="str">
        <f>'W1 Points'!Z31</f>
        <v/>
      </c>
      <c r="C53" s="78" t="str">
        <f>'W1 Points'!I45</f>
        <v/>
      </c>
      <c r="D53" s="78">
        <f>'W1 Points'!P31</f>
        <v>0</v>
      </c>
      <c r="E53" s="78" t="str">
        <f>'W1 Points'!K17</f>
        <v/>
      </c>
      <c r="F53" s="78"/>
      <c r="H53" s="77" t="s">
        <v>112</v>
      </c>
      <c r="I53" s="78" t="str">
        <f>'W1 Points'!T59</f>
        <v/>
      </c>
      <c r="J53" s="78" t="str">
        <f>'W1 Points'!I45</f>
        <v/>
      </c>
      <c r="K53" s="78">
        <f>'W1 Points'!P31</f>
        <v>0</v>
      </c>
      <c r="L53" s="78" t="str">
        <f>'W1 Points'!W45</f>
        <v/>
      </c>
      <c r="M53" s="78"/>
      <c r="O53" s="77" t="s">
        <v>112</v>
      </c>
      <c r="P53" s="78" t="str">
        <f>'W1 Points'!T17</f>
        <v/>
      </c>
      <c r="Q53" s="78" t="str">
        <f>'W1 Points'!O59</f>
        <v/>
      </c>
      <c r="R53" s="78">
        <f>'W1 Points'!J59</f>
        <v>0</v>
      </c>
      <c r="S53" s="78" t="str">
        <f>'W1 Points'!E73</f>
        <v/>
      </c>
      <c r="T53" s="78"/>
    </row>
    <row r="54">
      <c r="A54" s="77" t="s">
        <v>113</v>
      </c>
      <c r="B54" s="78">
        <f>'W1 Points'!Z32</f>
        <v>0</v>
      </c>
      <c r="C54" s="78" t="str">
        <f>'W1 Points'!I46</f>
        <v/>
      </c>
      <c r="D54" s="78" t="str">
        <f>'W1 Points'!P32</f>
        <v/>
      </c>
      <c r="E54" s="78" t="str">
        <f>'W1 Points'!K18</f>
        <v/>
      </c>
      <c r="F54" s="78"/>
      <c r="H54" s="77" t="s">
        <v>113</v>
      </c>
      <c r="I54" s="78">
        <f>'W1 Points'!T60</f>
        <v>0</v>
      </c>
      <c r="J54" s="78" t="str">
        <f>'W1 Points'!I46</f>
        <v/>
      </c>
      <c r="K54" s="78" t="str">
        <f>'W1 Points'!P32</f>
        <v/>
      </c>
      <c r="L54" s="78" t="str">
        <f>'W1 Points'!W46</f>
        <v/>
      </c>
      <c r="M54" s="78"/>
      <c r="O54" s="77" t="s">
        <v>113</v>
      </c>
      <c r="P54" s="78">
        <f>'W1 Points'!T18</f>
        <v>0</v>
      </c>
      <c r="Q54" s="78" t="str">
        <f>'W1 Points'!O60</f>
        <v/>
      </c>
      <c r="R54" s="78" t="str">
        <f>'W1 Points'!J60</f>
        <v/>
      </c>
      <c r="S54" s="78" t="str">
        <f>'W1 Points'!E74</f>
        <v/>
      </c>
      <c r="T54" s="78"/>
    </row>
    <row r="55">
      <c r="A55" s="77" t="s">
        <v>114</v>
      </c>
      <c r="B55" s="78" t="str">
        <f>'W1 Points'!Z33</f>
        <v/>
      </c>
      <c r="C55" s="78">
        <f>'W1 Points'!I47</f>
        <v>116</v>
      </c>
      <c r="D55" s="78" t="str">
        <f>'W1 Points'!P33</f>
        <v/>
      </c>
      <c r="E55" s="78">
        <f>'W1 Points'!K19</f>
        <v>0</v>
      </c>
      <c r="F55" s="78"/>
      <c r="H55" s="77" t="s">
        <v>114</v>
      </c>
      <c r="I55" s="78" t="str">
        <f>'W1 Points'!T61</f>
        <v/>
      </c>
      <c r="J55" s="78">
        <f>'W1 Points'!I47</f>
        <v>116</v>
      </c>
      <c r="K55" s="78" t="str">
        <f>'W1 Points'!P33</f>
        <v/>
      </c>
      <c r="L55" s="78">
        <f>'W1 Points'!W47</f>
        <v>-13</v>
      </c>
      <c r="M55" s="78"/>
      <c r="O55" s="77" t="s">
        <v>114</v>
      </c>
      <c r="P55" s="78" t="str">
        <f>'W1 Points'!T19</f>
        <v/>
      </c>
      <c r="Q55" s="78">
        <f>'W1 Points'!O61</f>
        <v>0</v>
      </c>
      <c r="R55" s="78" t="str">
        <f>'W1 Points'!J61</f>
        <v/>
      </c>
      <c r="S55" s="78">
        <f>'W1 Points'!E75</f>
        <v>0</v>
      </c>
      <c r="T55" s="78"/>
    </row>
    <row r="56">
      <c r="A56" s="77" t="s">
        <v>115</v>
      </c>
      <c r="B56" s="78" t="str">
        <f>'W1 Points'!Z34</f>
        <v/>
      </c>
      <c r="C56" s="78">
        <f>'W1 Points'!I48</f>
        <v>0</v>
      </c>
      <c r="D56" s="78" t="str">
        <f>'W1 Points'!P34</f>
        <v/>
      </c>
      <c r="E56" s="78">
        <f>'W1 Points'!K20</f>
        <v>0</v>
      </c>
      <c r="F56" s="78"/>
      <c r="H56" s="77" t="s">
        <v>115</v>
      </c>
      <c r="I56" s="78" t="str">
        <f>'W1 Points'!T62</f>
        <v/>
      </c>
      <c r="J56" s="78">
        <f>'W1 Points'!I48</f>
        <v>0</v>
      </c>
      <c r="K56" s="78" t="str">
        <f>'W1 Points'!P34</f>
        <v/>
      </c>
      <c r="L56" s="78">
        <f>'W1 Points'!W48</f>
        <v>0</v>
      </c>
      <c r="M56" s="78"/>
      <c r="O56" s="77" t="s">
        <v>115</v>
      </c>
      <c r="P56" s="78" t="str">
        <f>'W1 Points'!T20</f>
        <v/>
      </c>
      <c r="Q56" s="78">
        <f>'W1 Points'!O62</f>
        <v>0</v>
      </c>
      <c r="R56" s="78" t="str">
        <f>'W1 Points'!J62</f>
        <v/>
      </c>
      <c r="S56" s="78">
        <f>'W1 Points'!E76</f>
        <v>0</v>
      </c>
      <c r="T56" s="78"/>
    </row>
    <row r="57">
      <c r="A57" s="77" t="s">
        <v>116</v>
      </c>
      <c r="B57" s="78">
        <f>'W1 Points'!Z35</f>
        <v>0</v>
      </c>
      <c r="C57" s="78" t="str">
        <f>'W1 Points'!I49</f>
        <v/>
      </c>
      <c r="D57" s="78">
        <f>'W1 Points'!P35</f>
        <v>0</v>
      </c>
      <c r="E57" s="78" t="str">
        <f>'W1 Points'!K21</f>
        <v/>
      </c>
      <c r="F57" s="78"/>
      <c r="H57" s="77" t="s">
        <v>116</v>
      </c>
      <c r="I57" s="78">
        <f>'W1 Points'!T63</f>
        <v>0</v>
      </c>
      <c r="J57" s="78" t="str">
        <f>'W1 Points'!I49</f>
        <v/>
      </c>
      <c r="K57" s="78">
        <f>'W1 Points'!P35</f>
        <v>0</v>
      </c>
      <c r="L57" s="78" t="str">
        <f>'W1 Points'!W49</f>
        <v/>
      </c>
      <c r="M57" s="78"/>
      <c r="O57" s="77" t="s">
        <v>116</v>
      </c>
      <c r="P57" s="78">
        <f>'W1 Points'!T21</f>
        <v>0</v>
      </c>
      <c r="Q57" s="78" t="str">
        <f>'W1 Points'!O63</f>
        <v/>
      </c>
      <c r="R57" s="78">
        <f>'W1 Points'!J63</f>
        <v>0</v>
      </c>
      <c r="S57" s="78" t="str">
        <f>'W1 Points'!E77</f>
        <v/>
      </c>
      <c r="T57" s="78"/>
    </row>
    <row r="58">
      <c r="A58" s="77" t="s">
        <v>117</v>
      </c>
      <c r="B58" s="78" t="str">
        <f>'W1 Points'!Z36</f>
        <v/>
      </c>
      <c r="C58" s="78">
        <f>'W1 Points'!I50</f>
        <v>61</v>
      </c>
      <c r="D58" s="78" t="str">
        <f>'W1 Points'!P36</f>
        <v/>
      </c>
      <c r="E58" s="78" t="str">
        <f>'W1 Points'!K22</f>
        <v/>
      </c>
      <c r="F58" s="78"/>
      <c r="H58" s="77" t="s">
        <v>117</v>
      </c>
      <c r="I58" s="78" t="str">
        <f>'W1 Points'!T64</f>
        <v/>
      </c>
      <c r="J58" s="78">
        <f>'W1 Points'!I50</f>
        <v>61</v>
      </c>
      <c r="K58" s="78" t="str">
        <f>'W1 Points'!P36</f>
        <v/>
      </c>
      <c r="L58" s="78" t="str">
        <f>'W1 Points'!W50</f>
        <v/>
      </c>
      <c r="M58" s="78"/>
      <c r="O58" s="77" t="s">
        <v>117</v>
      </c>
      <c r="P58" s="78" t="str">
        <f>'W1 Points'!T22</f>
        <v/>
      </c>
      <c r="Q58" s="78">
        <f>'W1 Points'!O64</f>
        <v>0</v>
      </c>
      <c r="R58" s="78" t="str">
        <f>'W1 Points'!J64</f>
        <v/>
      </c>
      <c r="S58" s="78" t="str">
        <f>'W1 Points'!E78</f>
        <v/>
      </c>
      <c r="T58" s="78"/>
    </row>
    <row r="59">
      <c r="A59" s="77" t="s">
        <v>118</v>
      </c>
      <c r="B59" s="78" t="str">
        <f>'W1 Points'!Z37</f>
        <v/>
      </c>
      <c r="C59" s="78" t="str">
        <f>'W1 Points'!I51</f>
        <v/>
      </c>
      <c r="D59" s="78">
        <f>'W1 Points'!P37</f>
        <v>0</v>
      </c>
      <c r="E59" s="78">
        <f>'W1 Points'!K23</f>
        <v>0</v>
      </c>
      <c r="F59" s="78"/>
      <c r="H59" s="77" t="s">
        <v>118</v>
      </c>
      <c r="I59" s="78" t="str">
        <f>'W1 Points'!T65</f>
        <v/>
      </c>
      <c r="J59" s="78" t="str">
        <f>'W1 Points'!I51</f>
        <v/>
      </c>
      <c r="K59" s="78">
        <f>'W1 Points'!P37</f>
        <v>0</v>
      </c>
      <c r="L59" s="78">
        <f>'W1 Points'!W51</f>
        <v>20</v>
      </c>
      <c r="M59" s="78"/>
      <c r="O59" s="77" t="s">
        <v>118</v>
      </c>
      <c r="P59" s="78" t="str">
        <f>'W1 Points'!T23</f>
        <v/>
      </c>
      <c r="Q59" s="78" t="str">
        <f>'W1 Points'!O65</f>
        <v/>
      </c>
      <c r="R59" s="78">
        <f>'W1 Points'!J65</f>
        <v>0</v>
      </c>
      <c r="S59" s="78">
        <f>'W1 Points'!E79</f>
        <v>0</v>
      </c>
      <c r="T59" s="78"/>
    </row>
    <row r="60">
      <c r="A60" s="77" t="s">
        <v>119</v>
      </c>
      <c r="B60" s="78" t="str">
        <f>'W1 Points'!Z38</f>
        <v/>
      </c>
      <c r="C60" s="78">
        <f>'W1 Points'!I52</f>
        <v>18</v>
      </c>
      <c r="D60" s="78" t="str">
        <f>'W1 Points'!P38</f>
        <v/>
      </c>
      <c r="E60" s="78">
        <f>'W1 Points'!K24</f>
        <v>0</v>
      </c>
      <c r="F60" s="78"/>
      <c r="H60" s="77" t="s">
        <v>119</v>
      </c>
      <c r="I60" s="78" t="str">
        <f>'W1 Points'!T66</f>
        <v/>
      </c>
      <c r="J60" s="78">
        <f>'W1 Points'!I52</f>
        <v>18</v>
      </c>
      <c r="K60" s="78" t="str">
        <f>'W1 Points'!P38</f>
        <v/>
      </c>
      <c r="L60" s="78">
        <f>'W1 Points'!W52</f>
        <v>12</v>
      </c>
      <c r="M60" s="78"/>
      <c r="O60" s="77" t="s">
        <v>119</v>
      </c>
      <c r="P60" s="78" t="str">
        <f>'W1 Points'!T24</f>
        <v/>
      </c>
      <c r="Q60" s="78">
        <f>'W1 Points'!O66</f>
        <v>0</v>
      </c>
      <c r="R60" s="78" t="str">
        <f>'W1 Points'!J66</f>
        <v/>
      </c>
      <c r="S60" s="78">
        <f>'W1 Points'!E80</f>
        <v>0</v>
      </c>
      <c r="T60" s="78"/>
    </row>
    <row r="61">
      <c r="A61" s="77" t="s">
        <v>120</v>
      </c>
      <c r="B61" s="78" t="str">
        <f>'W1 Points'!Z39</f>
        <v/>
      </c>
      <c r="C61" s="78" t="str">
        <f>'W1 Points'!I53</f>
        <v/>
      </c>
      <c r="D61" s="78">
        <f>'W1 Points'!P39</f>
        <v>0</v>
      </c>
      <c r="E61" s="78">
        <f>'W1 Points'!K25</f>
        <v>0</v>
      </c>
      <c r="F61" s="78"/>
      <c r="H61" s="77" t="s">
        <v>120</v>
      </c>
      <c r="I61" s="78" t="str">
        <f>'W1 Points'!T67</f>
        <v/>
      </c>
      <c r="J61" s="78" t="str">
        <f>'W1 Points'!I53</f>
        <v/>
      </c>
      <c r="K61" s="78">
        <f>'W1 Points'!P39</f>
        <v>0</v>
      </c>
      <c r="L61" s="78">
        <f>'W1 Points'!W53</f>
        <v>10</v>
      </c>
      <c r="M61" s="78"/>
      <c r="O61" s="77" t="s">
        <v>120</v>
      </c>
      <c r="P61" s="78" t="str">
        <f>'W1 Points'!T25</f>
        <v/>
      </c>
      <c r="Q61" s="78" t="str">
        <f>'W1 Points'!O67</f>
        <v/>
      </c>
      <c r="R61" s="78">
        <f>'W1 Points'!J67</f>
        <v>0</v>
      </c>
      <c r="S61" s="78">
        <f>'W1 Points'!E81</f>
        <v>0</v>
      </c>
      <c r="T61" s="78"/>
    </row>
    <row r="62">
      <c r="A62" s="77" t="s">
        <v>121</v>
      </c>
      <c r="B62" s="78">
        <f>'W1 Points'!Z40</f>
        <v>0</v>
      </c>
      <c r="C62" s="78">
        <f>'W1 Points'!I54</f>
        <v>20</v>
      </c>
      <c r="D62" s="78">
        <f>'W1 Points'!P40</f>
        <v>0</v>
      </c>
      <c r="E62" s="78">
        <f>'W1 Points'!K26</f>
        <v>0</v>
      </c>
      <c r="F62" s="78"/>
      <c r="H62" s="77" t="s">
        <v>121</v>
      </c>
      <c r="I62" s="78">
        <f>'W1 Points'!T68</f>
        <v>0</v>
      </c>
      <c r="J62" s="78">
        <f>'W1 Points'!I54</f>
        <v>20</v>
      </c>
      <c r="K62" s="78">
        <f>'W1 Points'!P40</f>
        <v>0</v>
      </c>
      <c r="L62" s="78">
        <f>'W1 Points'!W54</f>
        <v>20</v>
      </c>
      <c r="M62" s="78"/>
      <c r="O62" s="77" t="s">
        <v>121</v>
      </c>
      <c r="P62" s="78">
        <f>'W1 Points'!T26</f>
        <v>0</v>
      </c>
      <c r="Q62" s="78">
        <f>'W1 Points'!O68</f>
        <v>0</v>
      </c>
      <c r="R62" s="78">
        <f>'W1 Points'!J68</f>
        <v>0</v>
      </c>
      <c r="S62" s="78">
        <f>'W1 Points'!E82</f>
        <v>0</v>
      </c>
      <c r="T62" s="78"/>
    </row>
    <row r="63">
      <c r="A63" s="77" t="s">
        <v>122</v>
      </c>
      <c r="B63" s="79">
        <f t="shared" ref="B63:F63" si="10">SUM(B52:B62)</f>
        <v>0</v>
      </c>
      <c r="C63" s="79">
        <f t="shared" si="10"/>
        <v>215</v>
      </c>
      <c r="D63" s="79">
        <f t="shared" si="10"/>
        <v>0</v>
      </c>
      <c r="E63" s="79">
        <f t="shared" si="10"/>
        <v>0</v>
      </c>
      <c r="F63" s="79">
        <f t="shared" si="10"/>
        <v>0</v>
      </c>
      <c r="H63" s="77" t="s">
        <v>122</v>
      </c>
      <c r="I63" s="79">
        <f t="shared" ref="I63:M63" si="11">SUM(I52:I62)</f>
        <v>0</v>
      </c>
      <c r="J63" s="79">
        <f t="shared" si="11"/>
        <v>215</v>
      </c>
      <c r="K63" s="79">
        <f t="shared" si="11"/>
        <v>0</v>
      </c>
      <c r="L63" s="79">
        <f t="shared" si="11"/>
        <v>49</v>
      </c>
      <c r="M63" s="79">
        <f t="shared" si="11"/>
        <v>0</v>
      </c>
      <c r="O63" s="77" t="s">
        <v>122</v>
      </c>
      <c r="P63" s="79">
        <f t="shared" ref="P63:T63" si="12">SUM(P52:P62)</f>
        <v>0</v>
      </c>
      <c r="Q63" s="79">
        <f t="shared" si="12"/>
        <v>0</v>
      </c>
      <c r="R63" s="79">
        <f t="shared" si="12"/>
        <v>0</v>
      </c>
      <c r="S63" s="79">
        <f t="shared" si="12"/>
        <v>0</v>
      </c>
      <c r="T63" s="79">
        <f t="shared" si="12"/>
        <v>0</v>
      </c>
    </row>
    <row r="64">
      <c r="E64" s="81" t="s">
        <v>123</v>
      </c>
      <c r="F64" s="82">
        <f>SUM(B63:E63)</f>
        <v>215</v>
      </c>
      <c r="L64" s="81" t="s">
        <v>123</v>
      </c>
      <c r="M64" s="82">
        <f>SUM(I63:L63)</f>
        <v>264</v>
      </c>
      <c r="S64" s="81" t="s">
        <v>123</v>
      </c>
      <c r="T64" s="82">
        <f>SUM(P63:S63)</f>
        <v>0</v>
      </c>
    </row>
  </sheetData>
  <mergeCells count="12">
    <mergeCell ref="H33:M33"/>
    <mergeCell ref="O33:T33"/>
    <mergeCell ref="A49:F49"/>
    <mergeCell ref="H49:M49"/>
    <mergeCell ref="O49:T49"/>
    <mergeCell ref="A1:F1"/>
    <mergeCell ref="H1:M1"/>
    <mergeCell ref="O1:T1"/>
    <mergeCell ref="A17:F17"/>
    <mergeCell ref="H17:M17"/>
    <mergeCell ref="O17:T17"/>
    <mergeCell ref="A33:F3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0.5"/>
    <col customWidth="1" min="2" max="2" width="18.88"/>
    <col customWidth="1" min="3" max="17" width="8.25"/>
    <col customWidth="1" min="18" max="18" width="0.5"/>
    <col customWidth="1" min="19" max="23" width="8.25"/>
  </cols>
  <sheetData>
    <row r="1">
      <c r="A1" s="83" t="s">
        <v>141</v>
      </c>
      <c r="W1" s="83"/>
    </row>
    <row r="2">
      <c r="A2" s="84"/>
      <c r="B2" s="85" t="s">
        <v>142</v>
      </c>
      <c r="C2" s="86" t="s">
        <v>143</v>
      </c>
      <c r="D2" s="86" t="s">
        <v>108</v>
      </c>
      <c r="E2" s="86" t="s">
        <v>144</v>
      </c>
      <c r="F2" s="86" t="s">
        <v>145</v>
      </c>
      <c r="G2" s="86" t="s">
        <v>146</v>
      </c>
      <c r="H2" s="86" t="s">
        <v>112</v>
      </c>
      <c r="I2" s="86" t="s">
        <v>113</v>
      </c>
      <c r="J2" s="86" t="s">
        <v>147</v>
      </c>
      <c r="K2" s="86" t="s">
        <v>115</v>
      </c>
      <c r="L2" s="87" t="s">
        <v>116</v>
      </c>
      <c r="M2" s="87" t="s">
        <v>117</v>
      </c>
      <c r="N2" s="87" t="s">
        <v>118</v>
      </c>
      <c r="O2" s="87" t="s">
        <v>119</v>
      </c>
      <c r="P2" s="87" t="s">
        <v>120</v>
      </c>
      <c r="Q2" s="87" t="s">
        <v>121</v>
      </c>
      <c r="R2" s="88"/>
      <c r="S2" s="87" t="s">
        <v>94</v>
      </c>
      <c r="T2" s="87" t="s">
        <v>95</v>
      </c>
      <c r="U2" s="87" t="s">
        <v>96</v>
      </c>
      <c r="V2" s="87" t="s">
        <v>97</v>
      </c>
      <c r="W2" s="87" t="s">
        <v>148</v>
      </c>
    </row>
    <row r="3" ht="12.75" customHeight="1">
      <c r="A3" s="89"/>
      <c r="B3" s="90" t="s">
        <v>101</v>
      </c>
      <c r="C3" s="91">
        <f t="shared" ref="C3:D3" si="1">0</f>
        <v>0</v>
      </c>
      <c r="D3" s="91">
        <f t="shared" si="1"/>
        <v>0</v>
      </c>
      <c r="E3" s="91">
        <f t="shared" ref="E3:E33" si="5">G3+H3+I3</f>
        <v>0</v>
      </c>
      <c r="F3" s="91">
        <f t="shared" ref="F3:I3" si="2">0</f>
        <v>0</v>
      </c>
      <c r="G3" s="91">
        <f t="shared" si="2"/>
        <v>0</v>
      </c>
      <c r="H3" s="91">
        <f t="shared" si="2"/>
        <v>0</v>
      </c>
      <c r="I3" s="91">
        <f t="shared" si="2"/>
        <v>0</v>
      </c>
      <c r="J3" s="91">
        <f t="shared" ref="J3:J33" si="7">E3-F3</f>
        <v>0</v>
      </c>
      <c r="K3" s="91">
        <f t="shared" ref="K3:Q3" si="3">0</f>
        <v>0</v>
      </c>
      <c r="L3" s="91">
        <f t="shared" si="3"/>
        <v>0</v>
      </c>
      <c r="M3" s="91">
        <f t="shared" si="3"/>
        <v>0</v>
      </c>
      <c r="N3" s="91">
        <f t="shared" si="3"/>
        <v>0</v>
      </c>
      <c r="O3" s="91">
        <f t="shared" si="3"/>
        <v>0</v>
      </c>
      <c r="P3" s="91">
        <f t="shared" si="3"/>
        <v>0</v>
      </c>
      <c r="Q3" s="93">
        <f t="shared" si="3"/>
        <v>0</v>
      </c>
      <c r="R3" s="92"/>
      <c r="S3" s="93">
        <f>'W1 Points'!B27</f>
        <v>0</v>
      </c>
      <c r="T3" s="93">
        <f>'W1 Points'!C27</f>
        <v>0</v>
      </c>
      <c r="U3" s="93">
        <f>'W1 Points'!D27</f>
        <v>0</v>
      </c>
      <c r="V3" s="93">
        <f>'W1 Points'!E27</f>
        <v>0</v>
      </c>
      <c r="W3" s="93">
        <f t="shared" ref="W3:W23" si="9">SUM(S3:V3)</f>
        <v>0</v>
      </c>
    </row>
    <row r="4" ht="12.75" customHeight="1">
      <c r="A4" s="89"/>
      <c r="B4" s="90" t="s">
        <v>104</v>
      </c>
      <c r="C4" s="91">
        <f t="shared" ref="C4:D4" si="4">0</f>
        <v>0</v>
      </c>
      <c r="D4" s="91">
        <f t="shared" si="4"/>
        <v>0</v>
      </c>
      <c r="E4" s="91">
        <f t="shared" si="5"/>
        <v>0</v>
      </c>
      <c r="F4" s="91">
        <f t="shared" ref="F4:I4" si="6">0</f>
        <v>0</v>
      </c>
      <c r="G4" s="91">
        <f t="shared" si="6"/>
        <v>0</v>
      </c>
      <c r="H4" s="91">
        <f t="shared" si="6"/>
        <v>0</v>
      </c>
      <c r="I4" s="91">
        <f t="shared" si="6"/>
        <v>0</v>
      </c>
      <c r="J4" s="91">
        <f t="shared" si="7"/>
        <v>0</v>
      </c>
      <c r="K4" s="91">
        <f t="shared" ref="K4:Q4" si="8">0</f>
        <v>0</v>
      </c>
      <c r="L4" s="91">
        <f t="shared" si="8"/>
        <v>0</v>
      </c>
      <c r="M4" s="91">
        <f t="shared" si="8"/>
        <v>0</v>
      </c>
      <c r="N4" s="91">
        <f t="shared" si="8"/>
        <v>0</v>
      </c>
      <c r="O4" s="91">
        <f t="shared" si="8"/>
        <v>0</v>
      </c>
      <c r="P4" s="91">
        <f t="shared" si="8"/>
        <v>0</v>
      </c>
      <c r="Q4" s="93">
        <f t="shared" si="8"/>
        <v>0</v>
      </c>
      <c r="R4" s="92"/>
      <c r="S4" s="93">
        <f>'W1 Points'!H27</f>
        <v>0</v>
      </c>
      <c r="T4" s="93">
        <f>'W1 Points'!I27</f>
        <v>0</v>
      </c>
      <c r="U4" s="93">
        <f>'W1 Points'!J27</f>
        <v>0</v>
      </c>
      <c r="V4" s="93">
        <f>'W1 Points'!K27</f>
        <v>0</v>
      </c>
      <c r="W4" s="93">
        <f t="shared" si="9"/>
        <v>0</v>
      </c>
    </row>
    <row r="5" ht="12.75" customHeight="1">
      <c r="A5" s="89"/>
      <c r="B5" s="90" t="s">
        <v>127</v>
      </c>
      <c r="C5" s="91">
        <f t="shared" ref="C5:D5" si="10">0</f>
        <v>0</v>
      </c>
      <c r="D5" s="91">
        <f t="shared" si="10"/>
        <v>0</v>
      </c>
      <c r="E5" s="91">
        <f t="shared" si="5"/>
        <v>0</v>
      </c>
      <c r="F5" s="91">
        <f t="shared" ref="F5:I5" si="11">0</f>
        <v>0</v>
      </c>
      <c r="G5" s="91">
        <f t="shared" si="11"/>
        <v>0</v>
      </c>
      <c r="H5" s="91">
        <f t="shared" si="11"/>
        <v>0</v>
      </c>
      <c r="I5" s="91">
        <f t="shared" si="11"/>
        <v>0</v>
      </c>
      <c r="J5" s="91">
        <f t="shared" si="7"/>
        <v>0</v>
      </c>
      <c r="K5" s="91">
        <f t="shared" ref="K5:Q5" si="12">0</f>
        <v>0</v>
      </c>
      <c r="L5" s="91">
        <f t="shared" si="12"/>
        <v>0</v>
      </c>
      <c r="M5" s="91">
        <f t="shared" si="12"/>
        <v>0</v>
      </c>
      <c r="N5" s="91">
        <f t="shared" si="12"/>
        <v>0</v>
      </c>
      <c r="O5" s="91">
        <f t="shared" si="12"/>
        <v>0</v>
      </c>
      <c r="P5" s="91">
        <f t="shared" si="12"/>
        <v>0</v>
      </c>
      <c r="Q5" s="93">
        <f t="shared" si="12"/>
        <v>0</v>
      </c>
      <c r="R5" s="92"/>
      <c r="S5" s="93">
        <f>'W1 Points'!N27</f>
        <v>0</v>
      </c>
      <c r="T5" s="93">
        <f>'W1 Points'!O27</f>
        <v>0</v>
      </c>
      <c r="U5" s="93">
        <f>'W1 Points'!P27</f>
        <v>0</v>
      </c>
      <c r="V5" s="93">
        <f>'W1 Points'!Q27</f>
        <v>0</v>
      </c>
      <c r="W5" s="93">
        <f t="shared" si="9"/>
        <v>0</v>
      </c>
    </row>
    <row r="6" ht="12.75" customHeight="1">
      <c r="A6" s="89"/>
      <c r="B6" s="90" t="s">
        <v>105</v>
      </c>
      <c r="C6" s="91">
        <f t="shared" ref="C6:D6" si="13">0</f>
        <v>0</v>
      </c>
      <c r="D6" s="91">
        <f t="shared" si="13"/>
        <v>0</v>
      </c>
      <c r="E6" s="91">
        <f t="shared" si="5"/>
        <v>0</v>
      </c>
      <c r="F6" s="91">
        <f t="shared" ref="F6:I6" si="14">0</f>
        <v>0</v>
      </c>
      <c r="G6" s="91">
        <f t="shared" si="14"/>
        <v>0</v>
      </c>
      <c r="H6" s="91">
        <f t="shared" si="14"/>
        <v>0</v>
      </c>
      <c r="I6" s="91">
        <f t="shared" si="14"/>
        <v>0</v>
      </c>
      <c r="J6" s="91">
        <f t="shared" si="7"/>
        <v>0</v>
      </c>
      <c r="K6" s="91">
        <f t="shared" ref="K6:Q6" si="15">0</f>
        <v>0</v>
      </c>
      <c r="L6" s="91">
        <f t="shared" si="15"/>
        <v>0</v>
      </c>
      <c r="M6" s="91">
        <f t="shared" si="15"/>
        <v>0</v>
      </c>
      <c r="N6" s="91">
        <f t="shared" si="15"/>
        <v>0</v>
      </c>
      <c r="O6" s="91">
        <f t="shared" si="15"/>
        <v>0</v>
      </c>
      <c r="P6" s="91">
        <f t="shared" si="15"/>
        <v>0</v>
      </c>
      <c r="Q6" s="93">
        <f t="shared" si="15"/>
        <v>0</v>
      </c>
      <c r="R6" s="92"/>
      <c r="S6" s="93">
        <f>'W1 Points'!T27</f>
        <v>0</v>
      </c>
      <c r="T6" s="93">
        <f>'W1 Points'!U27</f>
        <v>0</v>
      </c>
      <c r="U6" s="93">
        <f>'W1 Points'!V27</f>
        <v>0</v>
      </c>
      <c r="V6" s="93">
        <f>'W1 Points'!W27</f>
        <v>0</v>
      </c>
      <c r="W6" s="93">
        <f t="shared" si="9"/>
        <v>0</v>
      </c>
    </row>
    <row r="7" ht="12.75" customHeight="1">
      <c r="A7" s="89"/>
      <c r="B7" s="90" t="s">
        <v>149</v>
      </c>
      <c r="C7" s="91">
        <f t="shared" ref="C7:D7" si="16">0</f>
        <v>0</v>
      </c>
      <c r="D7" s="91">
        <f t="shared" si="16"/>
        <v>0</v>
      </c>
      <c r="E7" s="91">
        <f t="shared" si="5"/>
        <v>0</v>
      </c>
      <c r="F7" s="91">
        <f t="shared" ref="F7:I7" si="17">0</f>
        <v>0</v>
      </c>
      <c r="G7" s="91">
        <f t="shared" si="17"/>
        <v>0</v>
      </c>
      <c r="H7" s="91">
        <f t="shared" si="17"/>
        <v>0</v>
      </c>
      <c r="I7" s="91">
        <f t="shared" si="17"/>
        <v>0</v>
      </c>
      <c r="J7" s="91">
        <f t="shared" si="7"/>
        <v>0</v>
      </c>
      <c r="K7" s="91">
        <f t="shared" ref="K7:Q7" si="18">0</f>
        <v>0</v>
      </c>
      <c r="L7" s="91">
        <f t="shared" si="18"/>
        <v>0</v>
      </c>
      <c r="M7" s="91">
        <f t="shared" si="18"/>
        <v>0</v>
      </c>
      <c r="N7" s="91">
        <f t="shared" si="18"/>
        <v>0</v>
      </c>
      <c r="O7" s="91">
        <f t="shared" si="18"/>
        <v>0</v>
      </c>
      <c r="P7" s="91">
        <f t="shared" si="18"/>
        <v>0</v>
      </c>
      <c r="Q7" s="93">
        <f t="shared" si="18"/>
        <v>0</v>
      </c>
      <c r="R7" s="92"/>
      <c r="S7" s="93">
        <f>'W1 Points'!Z27</f>
        <v>0</v>
      </c>
      <c r="T7" s="93">
        <f>'W1 Points'!AA27</f>
        <v>0</v>
      </c>
      <c r="U7" s="93">
        <f>'W1 Points'!AB27</f>
        <v>0</v>
      </c>
      <c r="V7" s="93">
        <f>'W1 Points'!AC27</f>
        <v>0</v>
      </c>
      <c r="W7" s="93">
        <f t="shared" si="9"/>
        <v>0</v>
      </c>
    </row>
    <row r="8" ht="12.75" customHeight="1">
      <c r="A8" s="89"/>
      <c r="B8" s="94" t="s">
        <v>150</v>
      </c>
      <c r="C8" s="100">
        <f t="shared" ref="C8:D8" si="19">0</f>
        <v>0</v>
      </c>
      <c r="D8" s="101">
        <f t="shared" si="19"/>
        <v>0</v>
      </c>
      <c r="E8" s="95">
        <f t="shared" si="5"/>
        <v>0</v>
      </c>
      <c r="F8" s="95">
        <f t="shared" ref="F8:I8" si="20">0</f>
        <v>0</v>
      </c>
      <c r="G8" s="95">
        <f t="shared" si="20"/>
        <v>0</v>
      </c>
      <c r="H8" s="101">
        <f t="shared" si="20"/>
        <v>0</v>
      </c>
      <c r="I8" s="102">
        <f t="shared" si="20"/>
        <v>0</v>
      </c>
      <c r="J8" s="95">
        <f t="shared" si="7"/>
        <v>0</v>
      </c>
      <c r="K8" s="102">
        <f t="shared" ref="K8:Q8" si="21">0</f>
        <v>0</v>
      </c>
      <c r="L8" s="102">
        <f t="shared" si="21"/>
        <v>0</v>
      </c>
      <c r="M8" s="102">
        <f t="shared" si="21"/>
        <v>0</v>
      </c>
      <c r="N8" s="102">
        <f t="shared" si="21"/>
        <v>0</v>
      </c>
      <c r="O8" s="101">
        <f t="shared" si="21"/>
        <v>0</v>
      </c>
      <c r="P8" s="102">
        <f t="shared" si="21"/>
        <v>0</v>
      </c>
      <c r="Q8" s="101">
        <f t="shared" si="21"/>
        <v>0</v>
      </c>
      <c r="R8" s="92"/>
      <c r="S8" s="96">
        <f>'W1 Points'!B41</f>
        <v>0</v>
      </c>
      <c r="T8" s="96">
        <f>'W1 Points'!C41</f>
        <v>0</v>
      </c>
      <c r="U8" s="96">
        <f>'W1 Points'!D41</f>
        <v>0</v>
      </c>
      <c r="V8" s="96">
        <f>'W1 Points'!E41</f>
        <v>0</v>
      </c>
      <c r="W8" s="96">
        <f t="shared" si="9"/>
        <v>0</v>
      </c>
    </row>
    <row r="9" ht="12.75" customHeight="1">
      <c r="A9" s="89"/>
      <c r="B9" s="94" t="s">
        <v>151</v>
      </c>
      <c r="C9" s="57">
        <f t="shared" ref="C9:D9" si="22">0</f>
        <v>0</v>
      </c>
      <c r="D9" s="103">
        <f t="shared" si="22"/>
        <v>0</v>
      </c>
      <c r="E9" s="95">
        <f t="shared" si="5"/>
        <v>0</v>
      </c>
      <c r="F9" s="95">
        <f t="shared" ref="F9:I9" si="23">0</f>
        <v>0</v>
      </c>
      <c r="G9" s="95">
        <f t="shared" si="23"/>
        <v>0</v>
      </c>
      <c r="H9" s="103">
        <f t="shared" si="23"/>
        <v>0</v>
      </c>
      <c r="I9" s="104">
        <f t="shared" si="23"/>
        <v>0</v>
      </c>
      <c r="J9" s="95">
        <f t="shared" si="7"/>
        <v>0</v>
      </c>
      <c r="K9" s="104">
        <f t="shared" ref="K9:Q9" si="24">0</f>
        <v>0</v>
      </c>
      <c r="L9" s="104">
        <f t="shared" si="24"/>
        <v>0</v>
      </c>
      <c r="M9" s="104">
        <f t="shared" si="24"/>
        <v>0</v>
      </c>
      <c r="N9" s="104">
        <f t="shared" si="24"/>
        <v>0</v>
      </c>
      <c r="O9" s="103">
        <f t="shared" si="24"/>
        <v>0</v>
      </c>
      <c r="P9" s="104">
        <f t="shared" si="24"/>
        <v>0</v>
      </c>
      <c r="Q9" s="105">
        <f t="shared" si="24"/>
        <v>0</v>
      </c>
      <c r="R9" s="92"/>
      <c r="S9" s="96">
        <f>'W1 Points'!H41</f>
        <v>0</v>
      </c>
      <c r="T9" s="96">
        <f>'W1 Points'!I41</f>
        <v>0</v>
      </c>
      <c r="U9" s="96">
        <f>'W1 Points'!J41</f>
        <v>0</v>
      </c>
      <c r="V9" s="96">
        <f>'W1 Points'!K41</f>
        <v>0</v>
      </c>
      <c r="W9" s="96">
        <f t="shared" si="9"/>
        <v>0</v>
      </c>
    </row>
    <row r="10" ht="12.75" customHeight="1">
      <c r="A10" s="89"/>
      <c r="B10" s="94" t="s">
        <v>102</v>
      </c>
      <c r="C10" s="57">
        <f t="shared" ref="C10:D10" si="25">0</f>
        <v>0</v>
      </c>
      <c r="D10" s="103">
        <f t="shared" si="25"/>
        <v>0</v>
      </c>
      <c r="E10" s="95">
        <f t="shared" si="5"/>
        <v>0</v>
      </c>
      <c r="F10" s="95">
        <f t="shared" ref="F10:I10" si="26">0</f>
        <v>0</v>
      </c>
      <c r="G10" s="95">
        <f t="shared" si="26"/>
        <v>0</v>
      </c>
      <c r="H10" s="103">
        <f t="shared" si="26"/>
        <v>0</v>
      </c>
      <c r="I10" s="104">
        <f t="shared" si="26"/>
        <v>0</v>
      </c>
      <c r="J10" s="95">
        <f t="shared" si="7"/>
        <v>0</v>
      </c>
      <c r="K10" s="104">
        <f t="shared" ref="K10:Q10" si="27">0</f>
        <v>0</v>
      </c>
      <c r="L10" s="104">
        <f t="shared" si="27"/>
        <v>0</v>
      </c>
      <c r="M10" s="104">
        <f t="shared" si="27"/>
        <v>0</v>
      </c>
      <c r="N10" s="104">
        <f t="shared" si="27"/>
        <v>0</v>
      </c>
      <c r="O10" s="103">
        <f t="shared" si="27"/>
        <v>0</v>
      </c>
      <c r="P10" s="104">
        <f t="shared" si="27"/>
        <v>0</v>
      </c>
      <c r="Q10" s="105">
        <f t="shared" si="27"/>
        <v>0</v>
      </c>
      <c r="R10" s="92"/>
      <c r="S10" s="96">
        <f>'W1 Points'!N41</f>
        <v>0</v>
      </c>
      <c r="T10" s="96">
        <f>'W1 Points'!O41</f>
        <v>0</v>
      </c>
      <c r="U10" s="96">
        <f>'W1 Points'!P41</f>
        <v>0</v>
      </c>
      <c r="V10" s="96">
        <f>'W1 Points'!Q41</f>
        <v>0</v>
      </c>
      <c r="W10" s="96">
        <f t="shared" si="9"/>
        <v>0</v>
      </c>
    </row>
    <row r="11" ht="12.75" customHeight="1">
      <c r="A11" s="89"/>
      <c r="B11" s="94" t="s">
        <v>103</v>
      </c>
      <c r="C11" s="57">
        <f t="shared" ref="C11:D11" si="28">0</f>
        <v>0</v>
      </c>
      <c r="D11" s="103">
        <f t="shared" si="28"/>
        <v>0</v>
      </c>
      <c r="E11" s="95">
        <f t="shared" si="5"/>
        <v>0</v>
      </c>
      <c r="F11" s="95">
        <f t="shared" ref="F11:I11" si="29">0</f>
        <v>0</v>
      </c>
      <c r="G11" s="95">
        <f t="shared" si="29"/>
        <v>0</v>
      </c>
      <c r="H11" s="103">
        <f t="shared" si="29"/>
        <v>0</v>
      </c>
      <c r="I11" s="104">
        <f t="shared" si="29"/>
        <v>0</v>
      </c>
      <c r="J11" s="95">
        <f t="shared" si="7"/>
        <v>0</v>
      </c>
      <c r="K11" s="104">
        <f t="shared" ref="K11:Q11" si="30">0</f>
        <v>0</v>
      </c>
      <c r="L11" s="104">
        <f t="shared" si="30"/>
        <v>0</v>
      </c>
      <c r="M11" s="104">
        <f t="shared" si="30"/>
        <v>0</v>
      </c>
      <c r="N11" s="104">
        <f t="shared" si="30"/>
        <v>0</v>
      </c>
      <c r="O11" s="103">
        <f t="shared" si="30"/>
        <v>0</v>
      </c>
      <c r="P11" s="103">
        <f t="shared" si="30"/>
        <v>0</v>
      </c>
      <c r="Q11" s="105">
        <f t="shared" si="30"/>
        <v>0</v>
      </c>
      <c r="R11" s="92"/>
      <c r="S11" s="96">
        <f>'W1 Points'!T41</f>
        <v>0</v>
      </c>
      <c r="T11" s="96">
        <f>'W1 Points'!U41</f>
        <v>0</v>
      </c>
      <c r="U11" s="96">
        <f>'W1 Points'!V41</f>
        <v>0</v>
      </c>
      <c r="V11" s="96">
        <f>'W1 Points'!W41</f>
        <v>0</v>
      </c>
      <c r="W11" s="96">
        <f t="shared" si="9"/>
        <v>0</v>
      </c>
    </row>
    <row r="12" ht="12.75" customHeight="1">
      <c r="A12" s="89"/>
      <c r="B12" s="94" t="s">
        <v>125</v>
      </c>
      <c r="C12" s="57">
        <f t="shared" ref="C12:D12" si="31">0</f>
        <v>0</v>
      </c>
      <c r="D12" s="103">
        <f t="shared" si="31"/>
        <v>0</v>
      </c>
      <c r="E12" s="95">
        <f t="shared" si="5"/>
        <v>0</v>
      </c>
      <c r="F12" s="95">
        <f t="shared" ref="F12:I12" si="32">0</f>
        <v>0</v>
      </c>
      <c r="G12" s="95">
        <f t="shared" si="32"/>
        <v>0</v>
      </c>
      <c r="H12" s="103">
        <f t="shared" si="32"/>
        <v>0</v>
      </c>
      <c r="I12" s="104">
        <f t="shared" si="32"/>
        <v>0</v>
      </c>
      <c r="J12" s="95">
        <f t="shared" si="7"/>
        <v>0</v>
      </c>
      <c r="K12" s="104">
        <f t="shared" ref="K12:Q12" si="33">0</f>
        <v>0</v>
      </c>
      <c r="L12" s="104">
        <f t="shared" si="33"/>
        <v>0</v>
      </c>
      <c r="M12" s="104">
        <f t="shared" si="33"/>
        <v>0</v>
      </c>
      <c r="N12" s="104">
        <f t="shared" si="33"/>
        <v>0</v>
      </c>
      <c r="O12" s="103">
        <f t="shared" si="33"/>
        <v>0</v>
      </c>
      <c r="P12" s="104">
        <f t="shared" si="33"/>
        <v>0</v>
      </c>
      <c r="Q12" s="105">
        <f t="shared" si="33"/>
        <v>0</v>
      </c>
      <c r="R12" s="92"/>
      <c r="S12" s="96">
        <f>'W1 Points'!Z41</f>
        <v>0</v>
      </c>
      <c r="T12" s="96">
        <f>'W1 Points'!AA41</f>
        <v>0</v>
      </c>
      <c r="U12" s="96">
        <f>'W1 Points'!AB41</f>
        <v>0</v>
      </c>
      <c r="V12" s="96">
        <f>'W1 Points'!AC41</f>
        <v>0</v>
      </c>
      <c r="W12" s="96">
        <f t="shared" si="9"/>
        <v>0</v>
      </c>
    </row>
    <row r="13" ht="12.75" customHeight="1">
      <c r="A13" s="89"/>
      <c r="B13" s="90" t="s">
        <v>132</v>
      </c>
      <c r="C13" s="91">
        <v>1.0</v>
      </c>
      <c r="D13" s="91">
        <f>1</f>
        <v>1</v>
      </c>
      <c r="E13" s="91">
        <f t="shared" si="5"/>
        <v>187</v>
      </c>
      <c r="F13" s="91">
        <f>217</f>
        <v>217</v>
      </c>
      <c r="G13" s="91">
        <f>183</f>
        <v>183</v>
      </c>
      <c r="H13" s="91">
        <f>3</f>
        <v>3</v>
      </c>
      <c r="I13" s="91">
        <f>1</f>
        <v>1</v>
      </c>
      <c r="J13" s="91">
        <f t="shared" si="7"/>
        <v>-30</v>
      </c>
      <c r="K13" s="91">
        <f>3</f>
        <v>3</v>
      </c>
      <c r="L13" s="91">
        <f>0</f>
        <v>0</v>
      </c>
      <c r="M13" s="91">
        <f>48</f>
        <v>48</v>
      </c>
      <c r="N13" s="91">
        <f>3</f>
        <v>3</v>
      </c>
      <c r="O13" s="91">
        <f>11</f>
        <v>11</v>
      </c>
      <c r="P13" s="91">
        <f>7</f>
        <v>7</v>
      </c>
      <c r="Q13" s="93">
        <f t="shared" ref="Q13:Q16" si="34">1</f>
        <v>1</v>
      </c>
      <c r="R13" s="92"/>
      <c r="S13" s="93">
        <f>'W1 Points'!B55</f>
        <v>37</v>
      </c>
      <c r="T13" s="93">
        <f>'W1 Points'!C55</f>
        <v>71</v>
      </c>
      <c r="U13" s="93">
        <f>'W1 Points'!D55</f>
        <v>89</v>
      </c>
      <c r="V13" s="93">
        <f>'W1 Points'!E55</f>
        <v>81</v>
      </c>
      <c r="W13" s="93">
        <f t="shared" si="9"/>
        <v>278</v>
      </c>
    </row>
    <row r="14" ht="12.75" customHeight="1">
      <c r="A14" s="89"/>
      <c r="B14" s="90" t="s">
        <v>124</v>
      </c>
      <c r="C14" s="91">
        <v>1.0</v>
      </c>
      <c r="D14" s="91">
        <f>0</f>
        <v>0</v>
      </c>
      <c r="E14" s="91">
        <f t="shared" si="5"/>
        <v>218</v>
      </c>
      <c r="F14" s="91">
        <f>160</f>
        <v>160</v>
      </c>
      <c r="G14" s="91">
        <f>195</f>
        <v>195</v>
      </c>
      <c r="H14" s="91">
        <f>15</f>
        <v>15</v>
      </c>
      <c r="I14" s="91">
        <f>8</f>
        <v>8</v>
      </c>
      <c r="J14" s="91">
        <f t="shared" si="7"/>
        <v>58</v>
      </c>
      <c r="K14" s="91">
        <f t="shared" ref="K14:K23" si="35">0</f>
        <v>0</v>
      </c>
      <c r="L14" s="91">
        <f t="shared" ref="L14:L15" si="36">3</f>
        <v>3</v>
      </c>
      <c r="M14" s="91">
        <f>61</f>
        <v>61</v>
      </c>
      <c r="N14" s="91">
        <f>8</f>
        <v>8</v>
      </c>
      <c r="O14" s="91">
        <f t="shared" ref="O14:O16" si="37">6</f>
        <v>6</v>
      </c>
      <c r="P14" s="91">
        <f>2</f>
        <v>2</v>
      </c>
      <c r="Q14" s="93">
        <f t="shared" si="34"/>
        <v>1</v>
      </c>
      <c r="R14" s="92"/>
      <c r="S14" s="93">
        <f>'W1 Points'!H55</f>
        <v>81</v>
      </c>
      <c r="T14" s="93">
        <f>'W1 Points'!I55</f>
        <v>215</v>
      </c>
      <c r="U14" s="93">
        <f>'W1 Points'!J55</f>
        <v>176</v>
      </c>
      <c r="V14" s="93">
        <f>'W1 Points'!K55</f>
        <v>174</v>
      </c>
      <c r="W14" s="93">
        <f t="shared" si="9"/>
        <v>646</v>
      </c>
    </row>
    <row r="15" ht="12.75" customHeight="1">
      <c r="A15" s="89"/>
      <c r="B15" s="90" t="s">
        <v>136</v>
      </c>
      <c r="C15" s="91">
        <v>1.0</v>
      </c>
      <c r="D15" s="91">
        <f>4</f>
        <v>4</v>
      </c>
      <c r="E15" s="91">
        <f t="shared" si="5"/>
        <v>120</v>
      </c>
      <c r="F15" s="91">
        <f>117</f>
        <v>117</v>
      </c>
      <c r="G15" s="91">
        <f>75</f>
        <v>75</v>
      </c>
      <c r="H15" s="91">
        <f>23</f>
        <v>23</v>
      </c>
      <c r="I15" s="91">
        <f>22</f>
        <v>22</v>
      </c>
      <c r="J15" s="91">
        <f t="shared" si="7"/>
        <v>3</v>
      </c>
      <c r="K15" s="91">
        <f t="shared" si="35"/>
        <v>0</v>
      </c>
      <c r="L15" s="91">
        <f t="shared" si="36"/>
        <v>3</v>
      </c>
      <c r="M15" s="91">
        <f>29</f>
        <v>29</v>
      </c>
      <c r="N15" s="91">
        <f>1</f>
        <v>1</v>
      </c>
      <c r="O15" s="91">
        <f t="shared" si="37"/>
        <v>6</v>
      </c>
      <c r="P15" s="91">
        <f>3</f>
        <v>3</v>
      </c>
      <c r="Q15" s="93">
        <f t="shared" si="34"/>
        <v>1</v>
      </c>
      <c r="R15" s="92"/>
      <c r="S15" s="93">
        <f>'W1 Points'!N55</f>
        <v>169</v>
      </c>
      <c r="T15" s="93">
        <f>'W1 Points'!O55</f>
        <v>73</v>
      </c>
      <c r="U15" s="93">
        <f>'W1 Points'!P55</f>
        <v>82</v>
      </c>
      <c r="V15" s="93">
        <f>'W1 Points'!Q55</f>
        <v>91</v>
      </c>
      <c r="W15" s="93">
        <f t="shared" si="9"/>
        <v>415</v>
      </c>
    </row>
    <row r="16" ht="12.75" customHeight="1">
      <c r="A16" s="89"/>
      <c r="B16" s="90" t="s">
        <v>48</v>
      </c>
      <c r="C16" s="91">
        <v>1.0</v>
      </c>
      <c r="D16" s="91">
        <f>0</f>
        <v>0</v>
      </c>
      <c r="E16" s="91">
        <f t="shared" si="5"/>
        <v>160</v>
      </c>
      <c r="F16" s="91">
        <f>173</f>
        <v>173</v>
      </c>
      <c r="G16" s="91">
        <f>156</f>
        <v>156</v>
      </c>
      <c r="H16" s="91">
        <f>4</f>
        <v>4</v>
      </c>
      <c r="I16" s="91">
        <f>0</f>
        <v>0</v>
      </c>
      <c r="J16" s="91">
        <f t="shared" si="7"/>
        <v>-13</v>
      </c>
      <c r="K16" s="91">
        <f t="shared" si="35"/>
        <v>0</v>
      </c>
      <c r="L16" s="91">
        <f t="shared" ref="L16:L24" si="40">0</f>
        <v>0</v>
      </c>
      <c r="M16" s="91">
        <f>33</f>
        <v>33</v>
      </c>
      <c r="N16" s="91">
        <f>2</f>
        <v>2</v>
      </c>
      <c r="O16" s="91">
        <f t="shared" si="37"/>
        <v>6</v>
      </c>
      <c r="P16" s="91">
        <f>5</f>
        <v>5</v>
      </c>
      <c r="Q16" s="93">
        <f t="shared" si="34"/>
        <v>1</v>
      </c>
      <c r="R16" s="92"/>
      <c r="S16" s="93">
        <f>'W1 Points'!T55</f>
        <v>20</v>
      </c>
      <c r="T16" s="93">
        <f>'W1 Points'!U55</f>
        <v>45</v>
      </c>
      <c r="U16" s="93">
        <f>'W1 Points'!V55</f>
        <v>69</v>
      </c>
      <c r="V16" s="93">
        <f>'W1 Points'!W55</f>
        <v>49</v>
      </c>
      <c r="W16" s="93">
        <f t="shared" si="9"/>
        <v>183</v>
      </c>
    </row>
    <row r="17" ht="12.75" customHeight="1">
      <c r="A17" s="89"/>
      <c r="B17" s="90" t="s">
        <v>139</v>
      </c>
      <c r="C17" s="91">
        <f t="shared" ref="C17:D17" si="38">0</f>
        <v>0</v>
      </c>
      <c r="D17" s="91">
        <f t="shared" si="38"/>
        <v>0</v>
      </c>
      <c r="E17" s="91">
        <f t="shared" si="5"/>
        <v>0</v>
      </c>
      <c r="F17" s="91">
        <f t="shared" ref="F17:I17" si="39">0</f>
        <v>0</v>
      </c>
      <c r="G17" s="91">
        <f t="shared" si="39"/>
        <v>0</v>
      </c>
      <c r="H17" s="91">
        <f t="shared" si="39"/>
        <v>0</v>
      </c>
      <c r="I17" s="91">
        <f t="shared" si="39"/>
        <v>0</v>
      </c>
      <c r="J17" s="91">
        <f t="shared" si="7"/>
        <v>0</v>
      </c>
      <c r="K17" s="91">
        <f t="shared" si="35"/>
        <v>0</v>
      </c>
      <c r="L17" s="91">
        <f t="shared" si="40"/>
        <v>0</v>
      </c>
      <c r="M17" s="91">
        <f t="shared" ref="M17:Q17" si="41">0</f>
        <v>0</v>
      </c>
      <c r="N17" s="91">
        <f t="shared" si="41"/>
        <v>0</v>
      </c>
      <c r="O17" s="91">
        <f t="shared" si="41"/>
        <v>0</v>
      </c>
      <c r="P17" s="91">
        <f t="shared" si="41"/>
        <v>0</v>
      </c>
      <c r="Q17" s="93">
        <f t="shared" si="41"/>
        <v>0</v>
      </c>
      <c r="R17" s="92"/>
      <c r="S17" s="93">
        <f>'W1 Points'!Z55</f>
        <v>0</v>
      </c>
      <c r="T17" s="93">
        <f>'W1 Points'!AA55</f>
        <v>0</v>
      </c>
      <c r="U17" s="93">
        <f>'W1 Points'!AB55</f>
        <v>0</v>
      </c>
      <c r="V17" s="93">
        <f>'W1 Points'!AC55</f>
        <v>0</v>
      </c>
      <c r="W17" s="93">
        <f t="shared" si="9"/>
        <v>0</v>
      </c>
    </row>
    <row r="18" ht="12.75" customHeight="1">
      <c r="A18" s="89"/>
      <c r="B18" s="94" t="s">
        <v>37</v>
      </c>
      <c r="C18" s="100">
        <f t="shared" ref="C18:D18" si="42">0</f>
        <v>0</v>
      </c>
      <c r="D18" s="101">
        <f t="shared" si="42"/>
        <v>0</v>
      </c>
      <c r="E18" s="95">
        <f t="shared" si="5"/>
        <v>0</v>
      </c>
      <c r="F18" s="95">
        <f t="shared" ref="F18:I18" si="43">0</f>
        <v>0</v>
      </c>
      <c r="G18" s="95">
        <f t="shared" si="43"/>
        <v>0</v>
      </c>
      <c r="H18" s="101">
        <f t="shared" si="43"/>
        <v>0</v>
      </c>
      <c r="I18" s="102">
        <f t="shared" si="43"/>
        <v>0</v>
      </c>
      <c r="J18" s="95">
        <f t="shared" si="7"/>
        <v>0</v>
      </c>
      <c r="K18" s="102">
        <f t="shared" si="35"/>
        <v>0</v>
      </c>
      <c r="L18" s="102">
        <f t="shared" si="40"/>
        <v>0</v>
      </c>
      <c r="M18" s="102">
        <f t="shared" ref="M18:Q18" si="44">0</f>
        <v>0</v>
      </c>
      <c r="N18" s="102">
        <f t="shared" si="44"/>
        <v>0</v>
      </c>
      <c r="O18" s="101">
        <f t="shared" si="44"/>
        <v>0</v>
      </c>
      <c r="P18" s="102">
        <f t="shared" si="44"/>
        <v>0</v>
      </c>
      <c r="Q18" s="101">
        <f t="shared" si="44"/>
        <v>0</v>
      </c>
      <c r="R18" s="92"/>
      <c r="S18" s="96">
        <f>'W1 Points'!B69</f>
        <v>0</v>
      </c>
      <c r="T18" s="96">
        <f>'W1 Points'!C69</f>
        <v>0</v>
      </c>
      <c r="U18" s="96">
        <f>'W1 Points'!D69</f>
        <v>0</v>
      </c>
      <c r="V18" s="96">
        <f>'W1 Points'!E69</f>
        <v>0</v>
      </c>
      <c r="W18" s="96">
        <f t="shared" si="9"/>
        <v>0</v>
      </c>
    </row>
    <row r="19" ht="12.75" customHeight="1">
      <c r="A19" s="89"/>
      <c r="B19" s="94" t="s">
        <v>28</v>
      </c>
      <c r="C19" s="57">
        <f t="shared" ref="C19:D19" si="45">0</f>
        <v>0</v>
      </c>
      <c r="D19" s="103">
        <f t="shared" si="45"/>
        <v>0</v>
      </c>
      <c r="E19" s="95">
        <f t="shared" si="5"/>
        <v>0</v>
      </c>
      <c r="F19" s="95">
        <f t="shared" ref="F19:I19" si="46">0</f>
        <v>0</v>
      </c>
      <c r="G19" s="95">
        <f t="shared" si="46"/>
        <v>0</v>
      </c>
      <c r="H19" s="103">
        <f t="shared" si="46"/>
        <v>0</v>
      </c>
      <c r="I19" s="104">
        <f t="shared" si="46"/>
        <v>0</v>
      </c>
      <c r="J19" s="95">
        <f t="shared" si="7"/>
        <v>0</v>
      </c>
      <c r="K19" s="104">
        <f t="shared" si="35"/>
        <v>0</v>
      </c>
      <c r="L19" s="104">
        <f t="shared" si="40"/>
        <v>0</v>
      </c>
      <c r="M19" s="104">
        <f t="shared" ref="M19:Q19" si="47">0</f>
        <v>0</v>
      </c>
      <c r="N19" s="104">
        <f t="shared" si="47"/>
        <v>0</v>
      </c>
      <c r="O19" s="103">
        <f t="shared" si="47"/>
        <v>0</v>
      </c>
      <c r="P19" s="104">
        <f t="shared" si="47"/>
        <v>0</v>
      </c>
      <c r="Q19" s="105">
        <f t="shared" si="47"/>
        <v>0</v>
      </c>
      <c r="R19" s="92"/>
      <c r="S19" s="96">
        <f>'W1 Points'!H69</f>
        <v>0</v>
      </c>
      <c r="T19" s="96">
        <f>'W1 Points'!I69</f>
        <v>0</v>
      </c>
      <c r="U19" s="96">
        <f>'W1 Points'!J69</f>
        <v>0</v>
      </c>
      <c r="V19" s="96">
        <f>'W1 Points'!K69</f>
        <v>0</v>
      </c>
      <c r="W19" s="96">
        <f t="shared" si="9"/>
        <v>0</v>
      </c>
    </row>
    <row r="20" ht="12.75" customHeight="1">
      <c r="A20" s="89"/>
      <c r="B20" s="94" t="s">
        <v>137</v>
      </c>
      <c r="C20" s="57">
        <f t="shared" ref="C20:D20" si="48">0</f>
        <v>0</v>
      </c>
      <c r="D20" s="103">
        <f t="shared" si="48"/>
        <v>0</v>
      </c>
      <c r="E20" s="95">
        <f t="shared" si="5"/>
        <v>0</v>
      </c>
      <c r="F20" s="95">
        <f t="shared" ref="F20:I20" si="49">0</f>
        <v>0</v>
      </c>
      <c r="G20" s="95">
        <f t="shared" si="49"/>
        <v>0</v>
      </c>
      <c r="H20" s="103">
        <f t="shared" si="49"/>
        <v>0</v>
      </c>
      <c r="I20" s="104">
        <f t="shared" si="49"/>
        <v>0</v>
      </c>
      <c r="J20" s="95">
        <f t="shared" si="7"/>
        <v>0</v>
      </c>
      <c r="K20" s="104">
        <f t="shared" si="35"/>
        <v>0</v>
      </c>
      <c r="L20" s="104">
        <f t="shared" si="40"/>
        <v>0</v>
      </c>
      <c r="M20" s="104">
        <f t="shared" ref="M20:Q20" si="50">0</f>
        <v>0</v>
      </c>
      <c r="N20" s="104">
        <f t="shared" si="50"/>
        <v>0</v>
      </c>
      <c r="O20" s="103">
        <f t="shared" si="50"/>
        <v>0</v>
      </c>
      <c r="P20" s="104">
        <f t="shared" si="50"/>
        <v>0</v>
      </c>
      <c r="Q20" s="105">
        <f t="shared" si="50"/>
        <v>0</v>
      </c>
      <c r="R20" s="92"/>
      <c r="S20" s="96">
        <f>'W1 Points'!N69</f>
        <v>0</v>
      </c>
      <c r="T20" s="96">
        <f>'W1 Points'!O69</f>
        <v>0</v>
      </c>
      <c r="U20" s="96">
        <f>'W1 Points'!P69</f>
        <v>0</v>
      </c>
      <c r="V20" s="96">
        <f>'W1 Points'!Q69</f>
        <v>0</v>
      </c>
      <c r="W20" s="96">
        <f t="shared" si="9"/>
        <v>0</v>
      </c>
    </row>
    <row r="21" ht="12.75" customHeight="1">
      <c r="A21" s="89"/>
      <c r="B21" s="94" t="s">
        <v>39</v>
      </c>
      <c r="C21" s="57">
        <f t="shared" ref="C21:D21" si="51">0</f>
        <v>0</v>
      </c>
      <c r="D21" s="103">
        <f t="shared" si="51"/>
        <v>0</v>
      </c>
      <c r="E21" s="95">
        <f t="shared" si="5"/>
        <v>0</v>
      </c>
      <c r="F21" s="95">
        <f t="shared" ref="F21:I21" si="52">0</f>
        <v>0</v>
      </c>
      <c r="G21" s="95">
        <f t="shared" si="52"/>
        <v>0</v>
      </c>
      <c r="H21" s="103">
        <f t="shared" si="52"/>
        <v>0</v>
      </c>
      <c r="I21" s="104">
        <f t="shared" si="52"/>
        <v>0</v>
      </c>
      <c r="J21" s="95">
        <f t="shared" si="7"/>
        <v>0</v>
      </c>
      <c r="K21" s="104">
        <f t="shared" si="35"/>
        <v>0</v>
      </c>
      <c r="L21" s="104">
        <f t="shared" si="40"/>
        <v>0</v>
      </c>
      <c r="M21" s="104">
        <f t="shared" ref="M21:Q21" si="53">0</f>
        <v>0</v>
      </c>
      <c r="N21" s="104">
        <f t="shared" si="53"/>
        <v>0</v>
      </c>
      <c r="O21" s="103">
        <f t="shared" si="53"/>
        <v>0</v>
      </c>
      <c r="P21" s="103">
        <f t="shared" si="53"/>
        <v>0</v>
      </c>
      <c r="Q21" s="105">
        <f t="shared" si="53"/>
        <v>0</v>
      </c>
      <c r="R21" s="92"/>
      <c r="S21" s="96">
        <f>'W1 Points'!T69</f>
        <v>0</v>
      </c>
      <c r="T21" s="96">
        <f>'W1 Points'!U69</f>
        <v>0</v>
      </c>
      <c r="U21" s="96">
        <f>'W1 Points'!V69</f>
        <v>0</v>
      </c>
      <c r="V21" s="96">
        <f>'W1 Points'!W69</f>
        <v>0</v>
      </c>
      <c r="W21" s="96">
        <f t="shared" si="9"/>
        <v>0</v>
      </c>
    </row>
    <row r="22" ht="12.75" customHeight="1">
      <c r="A22" s="89"/>
      <c r="B22" s="94" t="s">
        <v>152</v>
      </c>
      <c r="C22" s="57">
        <f t="shared" ref="C22:D22" si="54">0</f>
        <v>0</v>
      </c>
      <c r="D22" s="103">
        <f t="shared" si="54"/>
        <v>0</v>
      </c>
      <c r="E22" s="95">
        <f t="shared" si="5"/>
        <v>0</v>
      </c>
      <c r="F22" s="95">
        <f t="shared" ref="F22:I22" si="55">0</f>
        <v>0</v>
      </c>
      <c r="G22" s="95">
        <f t="shared" si="55"/>
        <v>0</v>
      </c>
      <c r="H22" s="103">
        <f t="shared" si="55"/>
        <v>0</v>
      </c>
      <c r="I22" s="104">
        <f t="shared" si="55"/>
        <v>0</v>
      </c>
      <c r="J22" s="95">
        <f t="shared" si="7"/>
        <v>0</v>
      </c>
      <c r="K22" s="104">
        <f t="shared" si="35"/>
        <v>0</v>
      </c>
      <c r="L22" s="104">
        <f t="shared" si="40"/>
        <v>0</v>
      </c>
      <c r="M22" s="104">
        <f t="shared" ref="M22:Q22" si="56">0</f>
        <v>0</v>
      </c>
      <c r="N22" s="104">
        <f t="shared" si="56"/>
        <v>0</v>
      </c>
      <c r="O22" s="103">
        <f t="shared" si="56"/>
        <v>0</v>
      </c>
      <c r="P22" s="104">
        <f t="shared" si="56"/>
        <v>0</v>
      </c>
      <c r="Q22" s="105">
        <f t="shared" si="56"/>
        <v>0</v>
      </c>
      <c r="R22" s="92"/>
      <c r="S22" s="96">
        <f>'W1 Points'!Z69</f>
        <v>0</v>
      </c>
      <c r="T22" s="96">
        <f>'W1 Points'!AA69</f>
        <v>0</v>
      </c>
      <c r="U22" s="96">
        <f>'W1 Points'!AB69</f>
        <v>0</v>
      </c>
      <c r="V22" s="96">
        <f>'W1 Points'!AC69</f>
        <v>0</v>
      </c>
      <c r="W22" s="96">
        <f t="shared" si="9"/>
        <v>0</v>
      </c>
    </row>
    <row r="23" ht="12.75" customHeight="1">
      <c r="A23" s="89"/>
      <c r="B23" s="90" t="s">
        <v>138</v>
      </c>
      <c r="C23" s="91">
        <v>0.0</v>
      </c>
      <c r="D23" s="91">
        <f t="shared" ref="D23:D24" si="59">0</f>
        <v>0</v>
      </c>
      <c r="E23" s="91">
        <f t="shared" si="5"/>
        <v>0</v>
      </c>
      <c r="F23" s="91">
        <f t="shared" ref="F23:I23" si="57">0</f>
        <v>0</v>
      </c>
      <c r="G23" s="91">
        <f t="shared" si="57"/>
        <v>0</v>
      </c>
      <c r="H23" s="91">
        <f t="shared" si="57"/>
        <v>0</v>
      </c>
      <c r="I23" s="91">
        <f t="shared" si="57"/>
        <v>0</v>
      </c>
      <c r="J23" s="91">
        <f t="shared" si="7"/>
        <v>0</v>
      </c>
      <c r="K23" s="91">
        <f t="shared" si="35"/>
        <v>0</v>
      </c>
      <c r="L23" s="91">
        <f t="shared" si="40"/>
        <v>0</v>
      </c>
      <c r="M23" s="91">
        <f t="shared" ref="M23:Q23" si="58">0</f>
        <v>0</v>
      </c>
      <c r="N23" s="91">
        <f t="shared" si="58"/>
        <v>0</v>
      </c>
      <c r="O23" s="91">
        <f t="shared" si="58"/>
        <v>0</v>
      </c>
      <c r="P23" s="91">
        <f t="shared" si="58"/>
        <v>0</v>
      </c>
      <c r="Q23" s="93">
        <f t="shared" si="58"/>
        <v>0</v>
      </c>
      <c r="R23" s="97"/>
      <c r="S23" s="93">
        <f>'W1 Points'!B83</f>
        <v>0</v>
      </c>
      <c r="T23" s="93">
        <f>'W1 Points'!C83</f>
        <v>0</v>
      </c>
      <c r="U23" s="93">
        <f>'W1 Points'!D83</f>
        <v>0</v>
      </c>
      <c r="V23" s="93">
        <f>'W1 Points'!E83</f>
        <v>0</v>
      </c>
      <c r="W23" s="93">
        <f t="shared" si="9"/>
        <v>0</v>
      </c>
    </row>
    <row r="24" ht="12.75" customHeight="1">
      <c r="A24" s="89"/>
      <c r="B24" s="90" t="s">
        <v>153</v>
      </c>
      <c r="C24" s="91">
        <v>1.0</v>
      </c>
      <c r="D24" s="91">
        <f t="shared" si="59"/>
        <v>0</v>
      </c>
      <c r="E24" s="91">
        <f t="shared" si="5"/>
        <v>168</v>
      </c>
      <c r="F24" s="91">
        <f>210</f>
        <v>210</v>
      </c>
      <c r="G24" s="91">
        <f>154</f>
        <v>154</v>
      </c>
      <c r="H24" s="91">
        <f>12</f>
        <v>12</v>
      </c>
      <c r="I24" s="91">
        <f>2</f>
        <v>2</v>
      </c>
      <c r="J24" s="91">
        <f t="shared" si="7"/>
        <v>-42</v>
      </c>
      <c r="K24" s="91">
        <f>3</f>
        <v>3</v>
      </c>
      <c r="L24" s="91">
        <f t="shared" si="40"/>
        <v>0</v>
      </c>
      <c r="M24" s="91">
        <f>32</f>
        <v>32</v>
      </c>
      <c r="N24" s="91">
        <f>4</f>
        <v>4</v>
      </c>
      <c r="O24" s="91">
        <f t="shared" ref="O24:P24" si="60">8</f>
        <v>8</v>
      </c>
      <c r="P24" s="91">
        <f t="shared" si="60"/>
        <v>8</v>
      </c>
      <c r="Q24" s="93">
        <f>0</f>
        <v>0</v>
      </c>
      <c r="R24" s="97"/>
      <c r="S24" s="93" t="s">
        <v>154</v>
      </c>
      <c r="T24" s="93" t="s">
        <v>154</v>
      </c>
      <c r="U24" s="93" t="s">
        <v>154</v>
      </c>
      <c r="V24" s="93" t="s">
        <v>154</v>
      </c>
      <c r="W24" s="93" t="s">
        <v>154</v>
      </c>
    </row>
    <row r="25" ht="12.75" customHeight="1">
      <c r="A25" s="89"/>
      <c r="B25" s="90" t="s">
        <v>155</v>
      </c>
      <c r="C25" s="91">
        <f t="shared" ref="C25:D25" si="61">0</f>
        <v>0</v>
      </c>
      <c r="D25" s="91">
        <f t="shared" si="61"/>
        <v>0</v>
      </c>
      <c r="E25" s="91">
        <f t="shared" si="5"/>
        <v>0</v>
      </c>
      <c r="F25" s="91">
        <f t="shared" ref="F25:I25" si="62">0</f>
        <v>0</v>
      </c>
      <c r="G25" s="91">
        <f t="shared" si="62"/>
        <v>0</v>
      </c>
      <c r="H25" s="91">
        <f t="shared" si="62"/>
        <v>0</v>
      </c>
      <c r="I25" s="91">
        <f t="shared" si="62"/>
        <v>0</v>
      </c>
      <c r="J25" s="91">
        <f t="shared" si="7"/>
        <v>0</v>
      </c>
      <c r="K25" s="91">
        <f t="shared" ref="K25:Q25" si="63">0</f>
        <v>0</v>
      </c>
      <c r="L25" s="91">
        <f t="shared" si="63"/>
        <v>0</v>
      </c>
      <c r="M25" s="91">
        <f t="shared" si="63"/>
        <v>0</v>
      </c>
      <c r="N25" s="91">
        <f t="shared" si="63"/>
        <v>0</v>
      </c>
      <c r="O25" s="91">
        <f t="shared" si="63"/>
        <v>0</v>
      </c>
      <c r="P25" s="91">
        <f t="shared" si="63"/>
        <v>0</v>
      </c>
      <c r="Q25" s="93">
        <f t="shared" si="63"/>
        <v>0</v>
      </c>
      <c r="R25" s="97"/>
      <c r="S25" s="93">
        <f>'W1 Points'!H83</f>
        <v>0</v>
      </c>
      <c r="T25" s="93">
        <f>'W1 Points'!I83</f>
        <v>0</v>
      </c>
      <c r="U25" s="93">
        <f>'W1 Points'!J83</f>
        <v>0</v>
      </c>
      <c r="V25" s="93">
        <f>'W1 Points'!K83</f>
        <v>0</v>
      </c>
      <c r="W25" s="93">
        <f t="shared" ref="W25:W33" si="64">SUM(S25:V25)</f>
        <v>0</v>
      </c>
    </row>
    <row r="26" ht="12.75" customHeight="1">
      <c r="A26" s="89"/>
      <c r="B26" s="90" t="s">
        <v>25</v>
      </c>
      <c r="C26" s="91">
        <v>1.0</v>
      </c>
      <c r="D26" s="91">
        <f>0</f>
        <v>0</v>
      </c>
      <c r="E26" s="91">
        <f t="shared" si="5"/>
        <v>199</v>
      </c>
      <c r="F26" s="91">
        <f>184</f>
        <v>184</v>
      </c>
      <c r="G26" s="91">
        <f>183</f>
        <v>183</v>
      </c>
      <c r="H26" s="91">
        <f>15</f>
        <v>15</v>
      </c>
      <c r="I26" s="91">
        <f>1</f>
        <v>1</v>
      </c>
      <c r="J26" s="91">
        <f t="shared" si="7"/>
        <v>15</v>
      </c>
      <c r="K26" s="91">
        <f>3</f>
        <v>3</v>
      </c>
      <c r="L26" s="91">
        <f>0</f>
        <v>0</v>
      </c>
      <c r="M26" s="91">
        <f>52</f>
        <v>52</v>
      </c>
      <c r="N26" s="91">
        <f>3</f>
        <v>3</v>
      </c>
      <c r="O26" s="91">
        <f>7</f>
        <v>7</v>
      </c>
      <c r="P26" s="91">
        <f>4</f>
        <v>4</v>
      </c>
      <c r="Q26" s="93">
        <f t="shared" ref="Q26:Q28" si="65">0</f>
        <v>0</v>
      </c>
      <c r="R26" s="97"/>
      <c r="S26" s="93">
        <f>'W1 Points'!N83</f>
        <v>2</v>
      </c>
      <c r="T26" s="93">
        <f>'W1 Points'!O83</f>
        <v>133</v>
      </c>
      <c r="U26" s="93">
        <f>'W1 Points'!P83</f>
        <v>72</v>
      </c>
      <c r="V26" s="93">
        <f>'W1 Points'!Q83</f>
        <v>82</v>
      </c>
      <c r="W26" s="93">
        <f t="shared" si="64"/>
        <v>289</v>
      </c>
    </row>
    <row r="27" ht="12.75" customHeight="1">
      <c r="A27" s="89"/>
      <c r="B27" s="90" t="s">
        <v>133</v>
      </c>
      <c r="C27" s="91">
        <v>1.0</v>
      </c>
      <c r="D27" s="91">
        <f>1</f>
        <v>1</v>
      </c>
      <c r="E27" s="91">
        <f t="shared" si="5"/>
        <v>167</v>
      </c>
      <c r="F27" s="91">
        <f>166</f>
        <v>166</v>
      </c>
      <c r="G27" s="91">
        <f>153</f>
        <v>153</v>
      </c>
      <c r="H27" s="91">
        <f>11</f>
        <v>11</v>
      </c>
      <c r="I27" s="91">
        <f>3</f>
        <v>3</v>
      </c>
      <c r="J27" s="91">
        <f t="shared" si="7"/>
        <v>1</v>
      </c>
      <c r="K27" s="91">
        <f t="shared" ref="K27:K33" si="66">0</f>
        <v>0</v>
      </c>
      <c r="L27" s="91">
        <f>1</f>
        <v>1</v>
      </c>
      <c r="M27" s="91">
        <f>37</f>
        <v>37</v>
      </c>
      <c r="N27" s="91">
        <f>1</f>
        <v>1</v>
      </c>
      <c r="O27" s="91">
        <f>15</f>
        <v>15</v>
      </c>
      <c r="P27" s="91">
        <f>3</f>
        <v>3</v>
      </c>
      <c r="Q27" s="93">
        <f t="shared" si="65"/>
        <v>0</v>
      </c>
      <c r="R27" s="97"/>
      <c r="S27" s="93">
        <f>'W1 Points'!T83</f>
        <v>36</v>
      </c>
      <c r="T27" s="93">
        <f>'W1 Points'!U83</f>
        <v>84</v>
      </c>
      <c r="U27" s="93">
        <f>'W1 Points'!V83</f>
        <v>40</v>
      </c>
      <c r="V27" s="93">
        <f>'W1 Points'!W83</f>
        <v>57</v>
      </c>
      <c r="W27" s="93">
        <f t="shared" si="64"/>
        <v>217</v>
      </c>
    </row>
    <row r="28" ht="12.75" customHeight="1">
      <c r="A28" s="89"/>
      <c r="B28" s="90" t="s">
        <v>106</v>
      </c>
      <c r="C28" s="91">
        <v>1.0</v>
      </c>
      <c r="D28" s="91">
        <f>3</f>
        <v>3</v>
      </c>
      <c r="E28" s="91">
        <f t="shared" si="5"/>
        <v>111</v>
      </c>
      <c r="F28" s="91">
        <f>143</f>
        <v>143</v>
      </c>
      <c r="G28" s="91">
        <f>83</f>
        <v>83</v>
      </c>
      <c r="H28" s="91">
        <f>15</f>
        <v>15</v>
      </c>
      <c r="I28" s="91">
        <f>13</f>
        <v>13</v>
      </c>
      <c r="J28" s="91">
        <f t="shared" si="7"/>
        <v>-32</v>
      </c>
      <c r="K28" s="91">
        <f t="shared" si="66"/>
        <v>0</v>
      </c>
      <c r="L28" s="91">
        <f>2</f>
        <v>2</v>
      </c>
      <c r="M28" s="91">
        <f>20</f>
        <v>20</v>
      </c>
      <c r="N28" s="91">
        <f>4</f>
        <v>4</v>
      </c>
      <c r="O28" s="91">
        <f>5</f>
        <v>5</v>
      </c>
      <c r="P28" s="91">
        <f>4</f>
        <v>4</v>
      </c>
      <c r="Q28" s="93">
        <f t="shared" si="65"/>
        <v>0</v>
      </c>
      <c r="R28" s="97"/>
      <c r="S28" s="93">
        <f>'W1 Points'!Z83</f>
        <v>101</v>
      </c>
      <c r="T28" s="93">
        <f>'W1 Points'!AA83</f>
        <v>-29</v>
      </c>
      <c r="U28" s="93">
        <f>'W1 Points'!AB83</f>
        <v>97</v>
      </c>
      <c r="V28" s="93">
        <f>'W1 Points'!AC83</f>
        <v>56</v>
      </c>
      <c r="W28" s="93">
        <f t="shared" si="64"/>
        <v>225</v>
      </c>
    </row>
    <row r="29" ht="12.75" customHeight="1">
      <c r="A29" s="89"/>
      <c r="B29" s="94" t="s">
        <v>107</v>
      </c>
      <c r="C29" s="100">
        <f t="shared" ref="C29:D29" si="67">0</f>
        <v>0</v>
      </c>
      <c r="D29" s="101">
        <f t="shared" si="67"/>
        <v>0</v>
      </c>
      <c r="E29" s="95">
        <f t="shared" si="5"/>
        <v>0</v>
      </c>
      <c r="F29" s="95">
        <f t="shared" ref="F29:I29" si="68">0</f>
        <v>0</v>
      </c>
      <c r="G29" s="95">
        <f t="shared" si="68"/>
        <v>0</v>
      </c>
      <c r="H29" s="101">
        <f t="shared" si="68"/>
        <v>0</v>
      </c>
      <c r="I29" s="102">
        <f t="shared" si="68"/>
        <v>0</v>
      </c>
      <c r="J29" s="95">
        <f t="shared" si="7"/>
        <v>0</v>
      </c>
      <c r="K29" s="102">
        <f t="shared" si="66"/>
        <v>0</v>
      </c>
      <c r="L29" s="102">
        <f t="shared" ref="L29:Q29" si="69">0</f>
        <v>0</v>
      </c>
      <c r="M29" s="102">
        <f t="shared" si="69"/>
        <v>0</v>
      </c>
      <c r="N29" s="102">
        <f t="shared" si="69"/>
        <v>0</v>
      </c>
      <c r="O29" s="101">
        <f t="shared" si="69"/>
        <v>0</v>
      </c>
      <c r="P29" s="102">
        <f t="shared" si="69"/>
        <v>0</v>
      </c>
      <c r="Q29" s="101">
        <f t="shared" si="69"/>
        <v>0</v>
      </c>
      <c r="R29" s="97"/>
      <c r="S29" s="96">
        <f>'W1 Points'!B97</f>
        <v>0</v>
      </c>
      <c r="T29" s="96">
        <f>'W1 Points'!C97</f>
        <v>0</v>
      </c>
      <c r="U29" s="96">
        <f>'W1 Points'!D97</f>
        <v>0</v>
      </c>
      <c r="V29" s="96">
        <f>'W1 Points'!E97</f>
        <v>0</v>
      </c>
      <c r="W29" s="96">
        <f t="shared" si="64"/>
        <v>0</v>
      </c>
    </row>
    <row r="30" ht="12.75" customHeight="1">
      <c r="A30" s="89"/>
      <c r="B30" s="94" t="s">
        <v>100</v>
      </c>
      <c r="C30" s="57">
        <f t="shared" ref="C30:D30" si="70">0</f>
        <v>0</v>
      </c>
      <c r="D30" s="103">
        <f t="shared" si="70"/>
        <v>0</v>
      </c>
      <c r="E30" s="95">
        <f t="shared" si="5"/>
        <v>0</v>
      </c>
      <c r="F30" s="95">
        <f t="shared" ref="F30:I30" si="71">0</f>
        <v>0</v>
      </c>
      <c r="G30" s="95">
        <f t="shared" si="71"/>
        <v>0</v>
      </c>
      <c r="H30" s="103">
        <f t="shared" si="71"/>
        <v>0</v>
      </c>
      <c r="I30" s="104">
        <f t="shared" si="71"/>
        <v>0</v>
      </c>
      <c r="J30" s="95">
        <f t="shared" si="7"/>
        <v>0</v>
      </c>
      <c r="K30" s="104">
        <f t="shared" si="66"/>
        <v>0</v>
      </c>
      <c r="L30" s="104">
        <f t="shared" ref="L30:Q30" si="72">0</f>
        <v>0</v>
      </c>
      <c r="M30" s="104">
        <f t="shared" si="72"/>
        <v>0</v>
      </c>
      <c r="N30" s="104">
        <f t="shared" si="72"/>
        <v>0</v>
      </c>
      <c r="O30" s="103">
        <f t="shared" si="72"/>
        <v>0</v>
      </c>
      <c r="P30" s="104">
        <f t="shared" si="72"/>
        <v>0</v>
      </c>
      <c r="Q30" s="105">
        <f t="shared" si="72"/>
        <v>0</v>
      </c>
      <c r="R30" s="92"/>
      <c r="S30" s="96">
        <f>'W1 Points'!H97</f>
        <v>0</v>
      </c>
      <c r="T30" s="96">
        <f>'W1 Points'!I97</f>
        <v>0</v>
      </c>
      <c r="U30" s="96">
        <f>'W1 Points'!J97</f>
        <v>0</v>
      </c>
      <c r="V30" s="96">
        <f>'W1 Points'!K97</f>
        <v>0</v>
      </c>
      <c r="W30" s="96">
        <f t="shared" si="64"/>
        <v>0</v>
      </c>
    </row>
    <row r="31" ht="12.75" customHeight="1">
      <c r="A31" s="89"/>
      <c r="B31" s="94" t="s">
        <v>131</v>
      </c>
      <c r="C31" s="57">
        <f t="shared" ref="C31:D31" si="73">0</f>
        <v>0</v>
      </c>
      <c r="D31" s="103">
        <f t="shared" si="73"/>
        <v>0</v>
      </c>
      <c r="E31" s="95">
        <f t="shared" si="5"/>
        <v>0</v>
      </c>
      <c r="F31" s="95">
        <f t="shared" ref="F31:I31" si="74">0</f>
        <v>0</v>
      </c>
      <c r="G31" s="95">
        <f t="shared" si="74"/>
        <v>0</v>
      </c>
      <c r="H31" s="103">
        <f t="shared" si="74"/>
        <v>0</v>
      </c>
      <c r="I31" s="104">
        <f t="shared" si="74"/>
        <v>0</v>
      </c>
      <c r="J31" s="95">
        <f t="shared" si="7"/>
        <v>0</v>
      </c>
      <c r="K31" s="104">
        <f t="shared" si="66"/>
        <v>0</v>
      </c>
      <c r="L31" s="104">
        <f t="shared" ref="L31:Q31" si="75">0</f>
        <v>0</v>
      </c>
      <c r="M31" s="104">
        <f t="shared" si="75"/>
        <v>0</v>
      </c>
      <c r="N31" s="104">
        <f t="shared" si="75"/>
        <v>0</v>
      </c>
      <c r="O31" s="103">
        <f t="shared" si="75"/>
        <v>0</v>
      </c>
      <c r="P31" s="104">
        <f t="shared" si="75"/>
        <v>0</v>
      </c>
      <c r="Q31" s="105">
        <f t="shared" si="75"/>
        <v>0</v>
      </c>
      <c r="R31" s="92"/>
      <c r="S31" s="96">
        <f>'W1 Points'!N97</f>
        <v>0</v>
      </c>
      <c r="T31" s="96">
        <f>'W1 Points'!O97</f>
        <v>0</v>
      </c>
      <c r="U31" s="96">
        <f>'W1 Points'!P97</f>
        <v>0</v>
      </c>
      <c r="V31" s="96">
        <f>'W1 Points'!Q97</f>
        <v>0</v>
      </c>
      <c r="W31" s="96">
        <f t="shared" si="64"/>
        <v>0</v>
      </c>
    </row>
    <row r="32" ht="12.75" customHeight="1">
      <c r="A32" s="89"/>
      <c r="B32" s="94" t="s">
        <v>126</v>
      </c>
      <c r="C32" s="57">
        <f t="shared" ref="C32:D32" si="76">0</f>
        <v>0</v>
      </c>
      <c r="D32" s="103">
        <f t="shared" si="76"/>
        <v>0</v>
      </c>
      <c r="E32" s="95">
        <f t="shared" si="5"/>
        <v>0</v>
      </c>
      <c r="F32" s="95">
        <f t="shared" ref="F32:I32" si="77">0</f>
        <v>0</v>
      </c>
      <c r="G32" s="95">
        <f t="shared" si="77"/>
        <v>0</v>
      </c>
      <c r="H32" s="103">
        <f t="shared" si="77"/>
        <v>0</v>
      </c>
      <c r="I32" s="104">
        <f t="shared" si="77"/>
        <v>0</v>
      </c>
      <c r="J32" s="95">
        <f t="shared" si="7"/>
        <v>0</v>
      </c>
      <c r="K32" s="104">
        <f t="shared" si="66"/>
        <v>0</v>
      </c>
      <c r="L32" s="104">
        <f t="shared" ref="L32:Q32" si="78">0</f>
        <v>0</v>
      </c>
      <c r="M32" s="104">
        <f t="shared" si="78"/>
        <v>0</v>
      </c>
      <c r="N32" s="104">
        <f t="shared" si="78"/>
        <v>0</v>
      </c>
      <c r="O32" s="103">
        <f t="shared" si="78"/>
        <v>0</v>
      </c>
      <c r="P32" s="103">
        <f t="shared" si="78"/>
        <v>0</v>
      </c>
      <c r="Q32" s="105">
        <f t="shared" si="78"/>
        <v>0</v>
      </c>
      <c r="R32" s="92"/>
      <c r="S32" s="96">
        <f>'W1 Points'!T97</f>
        <v>0</v>
      </c>
      <c r="T32" s="96">
        <f>'W1 Points'!U97</f>
        <v>0</v>
      </c>
      <c r="U32" s="96">
        <f>'W1 Points'!V97</f>
        <v>0</v>
      </c>
      <c r="V32" s="96">
        <f>'W1 Points'!W97</f>
        <v>0</v>
      </c>
      <c r="W32" s="96">
        <f t="shared" si="64"/>
        <v>0</v>
      </c>
    </row>
    <row r="33" ht="12.75" customHeight="1">
      <c r="A33" s="98"/>
      <c r="B33" s="94" t="s">
        <v>156</v>
      </c>
      <c r="C33" s="57">
        <f t="shared" ref="C33:D33" si="79">0</f>
        <v>0</v>
      </c>
      <c r="D33" s="103">
        <f t="shared" si="79"/>
        <v>0</v>
      </c>
      <c r="E33" s="95">
        <f t="shared" si="5"/>
        <v>0</v>
      </c>
      <c r="F33" s="95">
        <f t="shared" ref="F33:I33" si="80">0</f>
        <v>0</v>
      </c>
      <c r="G33" s="95">
        <f t="shared" si="80"/>
        <v>0</v>
      </c>
      <c r="H33" s="103">
        <f t="shared" si="80"/>
        <v>0</v>
      </c>
      <c r="I33" s="104">
        <f t="shared" si="80"/>
        <v>0</v>
      </c>
      <c r="J33" s="95">
        <f t="shared" si="7"/>
        <v>0</v>
      </c>
      <c r="K33" s="104">
        <f t="shared" si="66"/>
        <v>0</v>
      </c>
      <c r="L33" s="104">
        <f t="shared" ref="L33:Q33" si="81">0</f>
        <v>0</v>
      </c>
      <c r="M33" s="104">
        <f t="shared" si="81"/>
        <v>0</v>
      </c>
      <c r="N33" s="104">
        <f t="shared" si="81"/>
        <v>0</v>
      </c>
      <c r="O33" s="103">
        <f t="shared" si="81"/>
        <v>0</v>
      </c>
      <c r="P33" s="104">
        <f t="shared" si="81"/>
        <v>0</v>
      </c>
      <c r="Q33" s="105">
        <f t="shared" si="81"/>
        <v>0</v>
      </c>
      <c r="R33" s="92"/>
      <c r="S33" s="96">
        <f>'W1 Points'!Z97</f>
        <v>0</v>
      </c>
      <c r="T33" s="96">
        <f>'W1 Points'!AA97</f>
        <v>0</v>
      </c>
      <c r="U33" s="96">
        <f>'W1 Points'!AB97</f>
        <v>0</v>
      </c>
      <c r="V33" s="96">
        <f>'W1 Points'!AC97</f>
        <v>0</v>
      </c>
      <c r="W33" s="96">
        <f t="shared" si="64"/>
        <v>0</v>
      </c>
    </row>
  </sheetData>
  <mergeCells count="1">
    <mergeCell ref="A1:V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5" width="8.88"/>
    <col customWidth="1" min="6" max="6" width="2.0"/>
    <col customWidth="1" min="7" max="7" width="11.38"/>
    <col customWidth="1" min="8" max="11" width="8.88"/>
    <col customWidth="1" min="12" max="12" width="2.0"/>
    <col customWidth="1" min="13" max="13" width="11.38"/>
    <col customWidth="1" min="14" max="17" width="8.88"/>
    <col customWidth="1" min="18" max="18" width="2.0"/>
    <col customWidth="1" min="19" max="19" width="11.38"/>
    <col customWidth="1" min="20" max="23" width="8.88"/>
    <col customWidth="1" min="24" max="24" width="2.0"/>
    <col customWidth="1" min="25" max="25" width="11.38"/>
    <col customWidth="1" min="26" max="29" width="8.88"/>
  </cols>
  <sheetData>
    <row r="1">
      <c r="A1" s="77" t="s">
        <v>157</v>
      </c>
      <c r="B1" s="74" t="s">
        <v>94</v>
      </c>
      <c r="C1" s="74" t="s">
        <v>95</v>
      </c>
      <c r="D1" s="74" t="s">
        <v>96</v>
      </c>
      <c r="E1" s="74" t="s">
        <v>97</v>
      </c>
      <c r="G1" s="77" t="s">
        <v>157</v>
      </c>
      <c r="H1" s="74" t="s">
        <v>94</v>
      </c>
      <c r="I1" s="74" t="s">
        <v>95</v>
      </c>
      <c r="J1" s="74" t="s">
        <v>96</v>
      </c>
      <c r="K1" s="74" t="s">
        <v>97</v>
      </c>
      <c r="M1" s="77" t="s">
        <v>157</v>
      </c>
      <c r="N1" s="74" t="s">
        <v>94</v>
      </c>
      <c r="O1" s="74" t="s">
        <v>95</v>
      </c>
      <c r="P1" s="74" t="s">
        <v>96</v>
      </c>
      <c r="Q1" s="74" t="s">
        <v>97</v>
      </c>
      <c r="S1" s="77" t="s">
        <v>157</v>
      </c>
      <c r="T1" s="74" t="s">
        <v>94</v>
      </c>
      <c r="U1" s="74" t="s">
        <v>95</v>
      </c>
      <c r="V1" s="74" t="s">
        <v>96</v>
      </c>
      <c r="W1" s="74" t="s">
        <v>97</v>
      </c>
      <c r="Y1" s="77" t="s">
        <v>157</v>
      </c>
      <c r="Z1" s="74" t="s">
        <v>94</v>
      </c>
      <c r="AA1" s="74" t="s">
        <v>95</v>
      </c>
      <c r="AB1" s="74" t="s">
        <v>96</v>
      </c>
      <c r="AC1" s="74" t="s">
        <v>97</v>
      </c>
    </row>
    <row r="2">
      <c r="A2" s="77" t="s">
        <v>108</v>
      </c>
      <c r="B2" s="78">
        <v>15.0</v>
      </c>
      <c r="C2" s="99"/>
      <c r="D2" s="99"/>
      <c r="E2" s="78">
        <v>10.0</v>
      </c>
      <c r="G2" s="77" t="s">
        <v>108</v>
      </c>
      <c r="H2" s="78">
        <f t="shared" ref="H2:K2" si="1">B2</f>
        <v>15</v>
      </c>
      <c r="I2" s="78" t="str">
        <f t="shared" si="1"/>
        <v/>
      </c>
      <c r="J2" s="78" t="str">
        <f t="shared" si="1"/>
        <v/>
      </c>
      <c r="K2" s="78">
        <f t="shared" si="1"/>
        <v>10</v>
      </c>
      <c r="M2" s="77" t="s">
        <v>108</v>
      </c>
      <c r="N2" s="78">
        <f t="shared" ref="N2:Q2" si="2">H2</f>
        <v>15</v>
      </c>
      <c r="O2" s="78" t="str">
        <f t="shared" si="2"/>
        <v/>
      </c>
      <c r="P2" s="78" t="str">
        <f t="shared" si="2"/>
        <v/>
      </c>
      <c r="Q2" s="78">
        <f t="shared" si="2"/>
        <v>10</v>
      </c>
      <c r="S2" s="77" t="s">
        <v>108</v>
      </c>
      <c r="T2" s="78">
        <f t="shared" ref="T2:W2" si="3">N2</f>
        <v>15</v>
      </c>
      <c r="U2" s="78" t="str">
        <f t="shared" si="3"/>
        <v/>
      </c>
      <c r="V2" s="78" t="str">
        <f t="shared" si="3"/>
        <v/>
      </c>
      <c r="W2" s="78">
        <f t="shared" si="3"/>
        <v>10</v>
      </c>
      <c r="Y2" s="77" t="s">
        <v>108</v>
      </c>
      <c r="Z2" s="78">
        <f t="shared" ref="Z2:AC2" si="4">T2</f>
        <v>15</v>
      </c>
      <c r="AA2" s="78" t="str">
        <f t="shared" si="4"/>
        <v/>
      </c>
      <c r="AB2" s="78" t="str">
        <f t="shared" si="4"/>
        <v/>
      </c>
      <c r="AC2" s="78">
        <f t="shared" si="4"/>
        <v>10</v>
      </c>
    </row>
    <row r="3">
      <c r="A3" s="77" t="s">
        <v>112</v>
      </c>
      <c r="B3" s="99"/>
      <c r="C3" s="99"/>
      <c r="D3" s="78">
        <v>1.0</v>
      </c>
      <c r="E3" s="78"/>
      <c r="G3" s="77" t="s">
        <v>112</v>
      </c>
      <c r="H3" s="78" t="str">
        <f t="shared" ref="H3:K3" si="5">B3</f>
        <v/>
      </c>
      <c r="I3" s="78" t="str">
        <f t="shared" si="5"/>
        <v/>
      </c>
      <c r="J3" s="78">
        <f t="shared" si="5"/>
        <v>1</v>
      </c>
      <c r="K3" s="78" t="str">
        <f t="shared" si="5"/>
        <v/>
      </c>
      <c r="M3" s="77" t="s">
        <v>112</v>
      </c>
      <c r="N3" s="78" t="str">
        <f t="shared" ref="N3:Q3" si="6">H3</f>
        <v/>
      </c>
      <c r="O3" s="78" t="str">
        <f t="shared" si="6"/>
        <v/>
      </c>
      <c r="P3" s="78">
        <f t="shared" si="6"/>
        <v>1</v>
      </c>
      <c r="Q3" s="78" t="str">
        <f t="shared" si="6"/>
        <v/>
      </c>
      <c r="S3" s="77" t="s">
        <v>112</v>
      </c>
      <c r="T3" s="78" t="str">
        <f t="shared" ref="T3:W3" si="7">N3</f>
        <v/>
      </c>
      <c r="U3" s="78" t="str">
        <f t="shared" si="7"/>
        <v/>
      </c>
      <c r="V3" s="78">
        <f t="shared" si="7"/>
        <v>1</v>
      </c>
      <c r="W3" s="78" t="str">
        <f t="shared" si="7"/>
        <v/>
      </c>
      <c r="Y3" s="77" t="s">
        <v>112</v>
      </c>
      <c r="Z3" s="78" t="str">
        <f t="shared" ref="Z3:AC3" si="8">T3</f>
        <v/>
      </c>
      <c r="AA3" s="78" t="str">
        <f t="shared" si="8"/>
        <v/>
      </c>
      <c r="AB3" s="78">
        <f t="shared" si="8"/>
        <v>1</v>
      </c>
      <c r="AC3" s="78" t="str">
        <f t="shared" si="8"/>
        <v/>
      </c>
    </row>
    <row r="4">
      <c r="A4" s="77" t="s">
        <v>113</v>
      </c>
      <c r="B4" s="78">
        <v>2.0</v>
      </c>
      <c r="C4" s="99"/>
      <c r="D4" s="99"/>
      <c r="E4" s="78"/>
      <c r="G4" s="77" t="s">
        <v>113</v>
      </c>
      <c r="H4" s="78">
        <f t="shared" ref="H4:K4" si="9">B4</f>
        <v>2</v>
      </c>
      <c r="I4" s="78" t="str">
        <f t="shared" si="9"/>
        <v/>
      </c>
      <c r="J4" s="78" t="str">
        <f t="shared" si="9"/>
        <v/>
      </c>
      <c r="K4" s="78" t="str">
        <f t="shared" si="9"/>
        <v/>
      </c>
      <c r="M4" s="77" t="s">
        <v>113</v>
      </c>
      <c r="N4" s="78">
        <f t="shared" ref="N4:Q4" si="10">H4</f>
        <v>2</v>
      </c>
      <c r="O4" s="78" t="str">
        <f t="shared" si="10"/>
        <v/>
      </c>
      <c r="P4" s="78" t="str">
        <f t="shared" si="10"/>
        <v/>
      </c>
      <c r="Q4" s="78" t="str">
        <f t="shared" si="10"/>
        <v/>
      </c>
      <c r="S4" s="77" t="s">
        <v>113</v>
      </c>
      <c r="T4" s="78">
        <f t="shared" ref="T4:W4" si="11">N4</f>
        <v>2</v>
      </c>
      <c r="U4" s="78" t="str">
        <f t="shared" si="11"/>
        <v/>
      </c>
      <c r="V4" s="78" t="str">
        <f t="shared" si="11"/>
        <v/>
      </c>
      <c r="W4" s="78" t="str">
        <f t="shared" si="11"/>
        <v/>
      </c>
      <c r="Y4" s="77" t="s">
        <v>113</v>
      </c>
      <c r="Z4" s="78">
        <f t="shared" ref="Z4:AC4" si="12">T4</f>
        <v>2</v>
      </c>
      <c r="AA4" s="78" t="str">
        <f t="shared" si="12"/>
        <v/>
      </c>
      <c r="AB4" s="78" t="str">
        <f t="shared" si="12"/>
        <v/>
      </c>
      <c r="AC4" s="78" t="str">
        <f t="shared" si="12"/>
        <v/>
      </c>
    </row>
    <row r="5">
      <c r="A5" s="77" t="s">
        <v>114</v>
      </c>
      <c r="B5" s="99"/>
      <c r="C5" s="78">
        <v>2.0</v>
      </c>
      <c r="D5" s="99"/>
      <c r="E5" s="78">
        <v>1.0</v>
      </c>
      <c r="G5" s="77" t="s">
        <v>114</v>
      </c>
      <c r="H5" s="78" t="str">
        <f t="shared" ref="H5:K5" si="13">B5</f>
        <v/>
      </c>
      <c r="I5" s="78">
        <f t="shared" si="13"/>
        <v>2</v>
      </c>
      <c r="J5" s="78" t="str">
        <f t="shared" si="13"/>
        <v/>
      </c>
      <c r="K5" s="78">
        <f t="shared" si="13"/>
        <v>1</v>
      </c>
      <c r="M5" s="77" t="s">
        <v>114</v>
      </c>
      <c r="N5" s="78" t="str">
        <f t="shared" ref="N5:Q5" si="14">H5</f>
        <v/>
      </c>
      <c r="O5" s="78">
        <f t="shared" si="14"/>
        <v>2</v>
      </c>
      <c r="P5" s="78" t="str">
        <f t="shared" si="14"/>
        <v/>
      </c>
      <c r="Q5" s="78">
        <f t="shared" si="14"/>
        <v>1</v>
      </c>
      <c r="S5" s="77" t="s">
        <v>114</v>
      </c>
      <c r="T5" s="78" t="str">
        <f t="shared" ref="T5:W5" si="15">N5</f>
        <v/>
      </c>
      <c r="U5" s="78">
        <f t="shared" si="15"/>
        <v>2</v>
      </c>
      <c r="V5" s="78" t="str">
        <f t="shared" si="15"/>
        <v/>
      </c>
      <c r="W5" s="78">
        <f t="shared" si="15"/>
        <v>1</v>
      </c>
      <c r="Y5" s="77" t="s">
        <v>114</v>
      </c>
      <c r="Z5" s="78" t="str">
        <f t="shared" ref="Z5:AC5" si="16">T5</f>
        <v/>
      </c>
      <c r="AA5" s="78">
        <f t="shared" si="16"/>
        <v>2</v>
      </c>
      <c r="AB5" s="78" t="str">
        <f t="shared" si="16"/>
        <v/>
      </c>
      <c r="AC5" s="78">
        <f t="shared" si="16"/>
        <v>1</v>
      </c>
    </row>
    <row r="6">
      <c r="A6" s="77" t="s">
        <v>115</v>
      </c>
      <c r="B6" s="78"/>
      <c r="C6" s="78">
        <v>10.0</v>
      </c>
      <c r="D6" s="78"/>
      <c r="E6" s="78">
        <v>5.0</v>
      </c>
      <c r="G6" s="77" t="s">
        <v>115</v>
      </c>
      <c r="H6" s="78" t="str">
        <f t="shared" ref="H6:K6" si="17">B6</f>
        <v/>
      </c>
      <c r="I6" s="78">
        <f t="shared" si="17"/>
        <v>10</v>
      </c>
      <c r="J6" s="78" t="str">
        <f t="shared" si="17"/>
        <v/>
      </c>
      <c r="K6" s="78">
        <f t="shared" si="17"/>
        <v>5</v>
      </c>
      <c r="M6" s="77" t="s">
        <v>115</v>
      </c>
      <c r="N6" s="78" t="str">
        <f t="shared" ref="N6:Q6" si="18">H6</f>
        <v/>
      </c>
      <c r="O6" s="78">
        <f t="shared" si="18"/>
        <v>10</v>
      </c>
      <c r="P6" s="78" t="str">
        <f t="shared" si="18"/>
        <v/>
      </c>
      <c r="Q6" s="78">
        <f t="shared" si="18"/>
        <v>5</v>
      </c>
      <c r="S6" s="77" t="s">
        <v>115</v>
      </c>
      <c r="T6" s="78" t="str">
        <f t="shared" ref="T6:W6" si="19">N6</f>
        <v/>
      </c>
      <c r="U6" s="78">
        <f t="shared" si="19"/>
        <v>10</v>
      </c>
      <c r="V6" s="78" t="str">
        <f t="shared" si="19"/>
        <v/>
      </c>
      <c r="W6" s="78">
        <f t="shared" si="19"/>
        <v>5</v>
      </c>
      <c r="Y6" s="77" t="s">
        <v>115</v>
      </c>
      <c r="Z6" s="78" t="str">
        <f t="shared" ref="Z6:AC6" si="20">T6</f>
        <v/>
      </c>
      <c r="AA6" s="78">
        <f t="shared" si="20"/>
        <v>10</v>
      </c>
      <c r="AB6" s="78" t="str">
        <f t="shared" si="20"/>
        <v/>
      </c>
      <c r="AC6" s="78">
        <f t="shared" si="20"/>
        <v>5</v>
      </c>
    </row>
    <row r="7">
      <c r="A7" s="77" t="s">
        <v>116</v>
      </c>
      <c r="B7" s="78">
        <v>15.0</v>
      </c>
      <c r="C7" s="78"/>
      <c r="D7" s="78">
        <v>5.0</v>
      </c>
      <c r="E7" s="78"/>
      <c r="G7" s="77" t="s">
        <v>116</v>
      </c>
      <c r="H7" s="78">
        <f t="shared" ref="H7:K7" si="21">B7</f>
        <v>15</v>
      </c>
      <c r="I7" s="78" t="str">
        <f t="shared" si="21"/>
        <v/>
      </c>
      <c r="J7" s="78">
        <f t="shared" si="21"/>
        <v>5</v>
      </c>
      <c r="K7" s="78" t="str">
        <f t="shared" si="21"/>
        <v/>
      </c>
      <c r="M7" s="77" t="s">
        <v>116</v>
      </c>
      <c r="N7" s="78">
        <f t="shared" ref="N7:Q7" si="22">H7</f>
        <v>15</v>
      </c>
      <c r="O7" s="78" t="str">
        <f t="shared" si="22"/>
        <v/>
      </c>
      <c r="P7" s="78">
        <f t="shared" si="22"/>
        <v>5</v>
      </c>
      <c r="Q7" s="78" t="str">
        <f t="shared" si="22"/>
        <v/>
      </c>
      <c r="S7" s="77" t="s">
        <v>116</v>
      </c>
      <c r="T7" s="78">
        <f t="shared" ref="T7:W7" si="23">N7</f>
        <v>15</v>
      </c>
      <c r="U7" s="78" t="str">
        <f t="shared" si="23"/>
        <v/>
      </c>
      <c r="V7" s="78">
        <f t="shared" si="23"/>
        <v>5</v>
      </c>
      <c r="W7" s="78" t="str">
        <f t="shared" si="23"/>
        <v/>
      </c>
      <c r="Y7" s="77" t="s">
        <v>116</v>
      </c>
      <c r="Z7" s="78">
        <f t="shared" ref="Z7:AC7" si="24">T7</f>
        <v>15</v>
      </c>
      <c r="AA7" s="78" t="str">
        <f t="shared" si="24"/>
        <v/>
      </c>
      <c r="AB7" s="78">
        <f t="shared" si="24"/>
        <v>5</v>
      </c>
      <c r="AC7" s="78" t="str">
        <f t="shared" si="24"/>
        <v/>
      </c>
    </row>
    <row r="8">
      <c r="A8" s="77" t="s">
        <v>117</v>
      </c>
      <c r="B8" s="99"/>
      <c r="C8" s="78">
        <v>1.0</v>
      </c>
      <c r="D8" s="99"/>
      <c r="E8" s="78"/>
      <c r="G8" s="77" t="s">
        <v>117</v>
      </c>
      <c r="H8" s="78" t="str">
        <f t="shared" ref="H8:K8" si="25">B8</f>
        <v/>
      </c>
      <c r="I8" s="78">
        <f t="shared" si="25"/>
        <v>1</v>
      </c>
      <c r="J8" s="78" t="str">
        <f t="shared" si="25"/>
        <v/>
      </c>
      <c r="K8" s="78" t="str">
        <f t="shared" si="25"/>
        <v/>
      </c>
      <c r="M8" s="77" t="s">
        <v>117</v>
      </c>
      <c r="N8" s="78" t="str">
        <f t="shared" ref="N8:Q8" si="26">H8</f>
        <v/>
      </c>
      <c r="O8" s="78">
        <f t="shared" si="26"/>
        <v>1</v>
      </c>
      <c r="P8" s="78" t="str">
        <f t="shared" si="26"/>
        <v/>
      </c>
      <c r="Q8" s="78" t="str">
        <f t="shared" si="26"/>
        <v/>
      </c>
      <c r="S8" s="77" t="s">
        <v>117</v>
      </c>
      <c r="T8" s="78" t="str">
        <f t="shared" ref="T8:W8" si="27">N8</f>
        <v/>
      </c>
      <c r="U8" s="78">
        <f t="shared" si="27"/>
        <v>1</v>
      </c>
      <c r="V8" s="78" t="str">
        <f t="shared" si="27"/>
        <v/>
      </c>
      <c r="W8" s="78" t="str">
        <f t="shared" si="27"/>
        <v/>
      </c>
      <c r="Y8" s="77" t="s">
        <v>117</v>
      </c>
      <c r="Z8" s="78" t="str">
        <f t="shared" ref="Z8:AC8" si="28">T8</f>
        <v/>
      </c>
      <c r="AA8" s="78">
        <f t="shared" si="28"/>
        <v>1</v>
      </c>
      <c r="AB8" s="78" t="str">
        <f t="shared" si="28"/>
        <v/>
      </c>
      <c r="AC8" s="78" t="str">
        <f t="shared" si="28"/>
        <v/>
      </c>
    </row>
    <row r="9">
      <c r="A9" s="77" t="s">
        <v>118</v>
      </c>
      <c r="B9" s="99"/>
      <c r="C9" s="99"/>
      <c r="D9" s="78">
        <v>15.0</v>
      </c>
      <c r="E9" s="78">
        <v>10.0</v>
      </c>
      <c r="G9" s="77" t="s">
        <v>118</v>
      </c>
      <c r="H9" s="78" t="str">
        <f t="shared" ref="H9:K9" si="29">B9</f>
        <v/>
      </c>
      <c r="I9" s="78" t="str">
        <f t="shared" si="29"/>
        <v/>
      </c>
      <c r="J9" s="78">
        <f t="shared" si="29"/>
        <v>15</v>
      </c>
      <c r="K9" s="78">
        <f t="shared" si="29"/>
        <v>10</v>
      </c>
      <c r="M9" s="77" t="s">
        <v>118</v>
      </c>
      <c r="N9" s="78" t="str">
        <f t="shared" ref="N9:Q9" si="30">H9</f>
        <v/>
      </c>
      <c r="O9" s="78" t="str">
        <f t="shared" si="30"/>
        <v/>
      </c>
      <c r="P9" s="78">
        <f t="shared" si="30"/>
        <v>15</v>
      </c>
      <c r="Q9" s="78">
        <f t="shared" si="30"/>
        <v>10</v>
      </c>
      <c r="S9" s="77" t="s">
        <v>118</v>
      </c>
      <c r="T9" s="78" t="str">
        <f t="shared" ref="T9:W9" si="31">N9</f>
        <v/>
      </c>
      <c r="U9" s="78" t="str">
        <f t="shared" si="31"/>
        <v/>
      </c>
      <c r="V9" s="78">
        <f t="shared" si="31"/>
        <v>15</v>
      </c>
      <c r="W9" s="78">
        <f t="shared" si="31"/>
        <v>10</v>
      </c>
      <c r="Y9" s="77" t="s">
        <v>118</v>
      </c>
      <c r="Z9" s="78" t="str">
        <f t="shared" ref="Z9:AC9" si="32">T9</f>
        <v/>
      </c>
      <c r="AA9" s="78" t="str">
        <f t="shared" si="32"/>
        <v/>
      </c>
      <c r="AB9" s="78">
        <f t="shared" si="32"/>
        <v>15</v>
      </c>
      <c r="AC9" s="78">
        <f t="shared" si="32"/>
        <v>10</v>
      </c>
    </row>
    <row r="10">
      <c r="A10" s="77" t="s">
        <v>119</v>
      </c>
      <c r="B10" s="78"/>
      <c r="C10" s="78">
        <v>3.0</v>
      </c>
      <c r="D10" s="99"/>
      <c r="E10" s="78">
        <v>2.0</v>
      </c>
      <c r="G10" s="77" t="s">
        <v>119</v>
      </c>
      <c r="H10" s="78" t="str">
        <f t="shared" ref="H10:K10" si="33">B10</f>
        <v/>
      </c>
      <c r="I10" s="78">
        <f t="shared" si="33"/>
        <v>3</v>
      </c>
      <c r="J10" s="78" t="str">
        <f t="shared" si="33"/>
        <v/>
      </c>
      <c r="K10" s="78">
        <f t="shared" si="33"/>
        <v>2</v>
      </c>
      <c r="M10" s="77" t="s">
        <v>119</v>
      </c>
      <c r="N10" s="78" t="str">
        <f t="shared" ref="N10:Q10" si="34">H10</f>
        <v/>
      </c>
      <c r="O10" s="78">
        <f t="shared" si="34"/>
        <v>3</v>
      </c>
      <c r="P10" s="78" t="str">
        <f t="shared" si="34"/>
        <v/>
      </c>
      <c r="Q10" s="78">
        <f t="shared" si="34"/>
        <v>2</v>
      </c>
      <c r="S10" s="77" t="s">
        <v>119</v>
      </c>
      <c r="T10" s="78" t="str">
        <f t="shared" ref="T10:W10" si="35">N10</f>
        <v/>
      </c>
      <c r="U10" s="78">
        <f t="shared" si="35"/>
        <v>3</v>
      </c>
      <c r="V10" s="78" t="str">
        <f t="shared" si="35"/>
        <v/>
      </c>
      <c r="W10" s="78">
        <f t="shared" si="35"/>
        <v>2</v>
      </c>
      <c r="Y10" s="77" t="s">
        <v>119</v>
      </c>
      <c r="Z10" s="78" t="str">
        <f t="shared" ref="Z10:AC10" si="36">T10</f>
        <v/>
      </c>
      <c r="AA10" s="78">
        <f t="shared" si="36"/>
        <v>3</v>
      </c>
      <c r="AB10" s="78" t="str">
        <f t="shared" si="36"/>
        <v/>
      </c>
      <c r="AC10" s="78">
        <f t="shared" si="36"/>
        <v>2</v>
      </c>
    </row>
    <row r="11">
      <c r="A11" s="77" t="s">
        <v>120</v>
      </c>
      <c r="B11" s="99"/>
      <c r="C11" s="99"/>
      <c r="D11" s="78">
        <v>3.0</v>
      </c>
      <c r="E11" s="78">
        <v>2.0</v>
      </c>
      <c r="G11" s="77" t="s">
        <v>120</v>
      </c>
      <c r="H11" s="78" t="str">
        <f t="shared" ref="H11:K11" si="37">B11</f>
        <v/>
      </c>
      <c r="I11" s="78" t="str">
        <f t="shared" si="37"/>
        <v/>
      </c>
      <c r="J11" s="78">
        <f t="shared" si="37"/>
        <v>3</v>
      </c>
      <c r="K11" s="78">
        <f t="shared" si="37"/>
        <v>2</v>
      </c>
      <c r="M11" s="77" t="s">
        <v>120</v>
      </c>
      <c r="N11" s="78" t="str">
        <f t="shared" ref="N11:Q11" si="38">H11</f>
        <v/>
      </c>
      <c r="O11" s="78" t="str">
        <f t="shared" si="38"/>
        <v/>
      </c>
      <c r="P11" s="78">
        <f t="shared" si="38"/>
        <v>3</v>
      </c>
      <c r="Q11" s="78">
        <f t="shared" si="38"/>
        <v>2</v>
      </c>
      <c r="S11" s="77" t="s">
        <v>120</v>
      </c>
      <c r="T11" s="78" t="str">
        <f t="shared" ref="T11:W11" si="39">N11</f>
        <v/>
      </c>
      <c r="U11" s="78" t="str">
        <f t="shared" si="39"/>
        <v/>
      </c>
      <c r="V11" s="78">
        <f t="shared" si="39"/>
        <v>3</v>
      </c>
      <c r="W11" s="78">
        <f t="shared" si="39"/>
        <v>2</v>
      </c>
      <c r="Y11" s="77" t="s">
        <v>120</v>
      </c>
      <c r="Z11" s="78" t="str">
        <f t="shared" ref="Z11:AC11" si="40">T11</f>
        <v/>
      </c>
      <c r="AA11" s="78" t="str">
        <f t="shared" si="40"/>
        <v/>
      </c>
      <c r="AB11" s="78">
        <f t="shared" si="40"/>
        <v>3</v>
      </c>
      <c r="AC11" s="78">
        <f t="shared" si="40"/>
        <v>2</v>
      </c>
    </row>
    <row r="12">
      <c r="A12" s="77" t="s">
        <v>121</v>
      </c>
      <c r="B12" s="78">
        <v>20.0</v>
      </c>
      <c r="C12" s="78">
        <v>20.0</v>
      </c>
      <c r="D12" s="78">
        <v>20.0</v>
      </c>
      <c r="E12" s="78">
        <v>20.0</v>
      </c>
      <c r="G12" s="77" t="s">
        <v>121</v>
      </c>
      <c r="H12" s="78">
        <f t="shared" ref="H12:K12" si="41">B12</f>
        <v>20</v>
      </c>
      <c r="I12" s="78">
        <f t="shared" si="41"/>
        <v>20</v>
      </c>
      <c r="J12" s="78">
        <f t="shared" si="41"/>
        <v>20</v>
      </c>
      <c r="K12" s="78">
        <f t="shared" si="41"/>
        <v>20</v>
      </c>
      <c r="M12" s="77" t="s">
        <v>121</v>
      </c>
      <c r="N12" s="78">
        <f t="shared" ref="N12:Q12" si="42">H12</f>
        <v>20</v>
      </c>
      <c r="O12" s="78">
        <f t="shared" si="42"/>
        <v>20</v>
      </c>
      <c r="P12" s="78">
        <f t="shared" si="42"/>
        <v>20</v>
      </c>
      <c r="Q12" s="78">
        <f t="shared" si="42"/>
        <v>20</v>
      </c>
      <c r="S12" s="77" t="s">
        <v>121</v>
      </c>
      <c r="T12" s="78">
        <f t="shared" ref="T12:W12" si="43">N12</f>
        <v>20</v>
      </c>
      <c r="U12" s="78">
        <f t="shared" si="43"/>
        <v>20</v>
      </c>
      <c r="V12" s="78">
        <f t="shared" si="43"/>
        <v>20</v>
      </c>
      <c r="W12" s="78">
        <f t="shared" si="43"/>
        <v>20</v>
      </c>
      <c r="Y12" s="77" t="s">
        <v>121</v>
      </c>
      <c r="Z12" s="78">
        <f t="shared" ref="Z12:AC12" si="44">T12</f>
        <v>20</v>
      </c>
      <c r="AA12" s="78">
        <f t="shared" si="44"/>
        <v>20</v>
      </c>
      <c r="AB12" s="78">
        <f t="shared" si="44"/>
        <v>20</v>
      </c>
      <c r="AC12" s="78">
        <f t="shared" si="44"/>
        <v>20</v>
      </c>
    </row>
    <row r="13">
      <c r="A13" s="77" t="s">
        <v>122</v>
      </c>
      <c r="B13" s="78">
        <f t="shared" ref="B13:E13" si="45">SUM(B2:B12)</f>
        <v>52</v>
      </c>
      <c r="C13" s="78">
        <f t="shared" si="45"/>
        <v>36</v>
      </c>
      <c r="D13" s="78">
        <f t="shared" si="45"/>
        <v>44</v>
      </c>
      <c r="E13" s="78">
        <f t="shared" si="45"/>
        <v>50</v>
      </c>
      <c r="G13" s="77" t="s">
        <v>122</v>
      </c>
      <c r="H13" s="78">
        <f t="shared" ref="H13:K13" si="46">B13</f>
        <v>52</v>
      </c>
      <c r="I13" s="78">
        <f t="shared" si="46"/>
        <v>36</v>
      </c>
      <c r="J13" s="78">
        <f t="shared" si="46"/>
        <v>44</v>
      </c>
      <c r="K13" s="78">
        <f t="shared" si="46"/>
        <v>50</v>
      </c>
      <c r="M13" s="77" t="s">
        <v>122</v>
      </c>
      <c r="N13" s="78">
        <f t="shared" ref="N13:Q13" si="47">H13</f>
        <v>52</v>
      </c>
      <c r="O13" s="78">
        <f t="shared" si="47"/>
        <v>36</v>
      </c>
      <c r="P13" s="78">
        <f t="shared" si="47"/>
        <v>44</v>
      </c>
      <c r="Q13" s="78">
        <f t="shared" si="47"/>
        <v>50</v>
      </c>
      <c r="S13" s="77" t="s">
        <v>122</v>
      </c>
      <c r="T13" s="78">
        <f t="shared" ref="T13:W13" si="48">N13</f>
        <v>52</v>
      </c>
      <c r="U13" s="78">
        <f t="shared" si="48"/>
        <v>36</v>
      </c>
      <c r="V13" s="78">
        <f t="shared" si="48"/>
        <v>44</v>
      </c>
      <c r="W13" s="78">
        <f t="shared" si="48"/>
        <v>50</v>
      </c>
      <c r="Y13" s="77" t="s">
        <v>122</v>
      </c>
      <c r="Z13" s="78">
        <f t="shared" ref="Z13:AC13" si="49">T13</f>
        <v>52</v>
      </c>
      <c r="AA13" s="78">
        <f t="shared" si="49"/>
        <v>36</v>
      </c>
      <c r="AB13" s="78">
        <f t="shared" si="49"/>
        <v>44</v>
      </c>
      <c r="AC13" s="78">
        <f t="shared" si="49"/>
        <v>50</v>
      </c>
    </row>
    <row r="15">
      <c r="A15" s="77" t="str">
        <f>'W1 Stats'!B3</f>
        <v>Rage More Nerd</v>
      </c>
      <c r="B15" s="74" t="s">
        <v>94</v>
      </c>
      <c r="C15" s="74" t="s">
        <v>95</v>
      </c>
      <c r="D15" s="74" t="s">
        <v>96</v>
      </c>
      <c r="E15" s="74" t="s">
        <v>97</v>
      </c>
      <c r="F15" s="1"/>
      <c r="G15" s="77" t="str">
        <f>'W1 Stats'!B4</f>
        <v>BCN19</v>
      </c>
      <c r="H15" s="74" t="s">
        <v>94</v>
      </c>
      <c r="I15" s="74" t="s">
        <v>95</v>
      </c>
      <c r="J15" s="74" t="s">
        <v>96</v>
      </c>
      <c r="K15" s="74" t="s">
        <v>97</v>
      </c>
      <c r="M15" s="77" t="str">
        <f>'W1 Stats'!B5</f>
        <v>The Eastbrook</v>
      </c>
      <c r="N15" s="74" t="s">
        <v>94</v>
      </c>
      <c r="O15" s="74" t="s">
        <v>95</v>
      </c>
      <c r="P15" s="74" t="s">
        <v>96</v>
      </c>
      <c r="Q15" s="74" t="s">
        <v>97</v>
      </c>
      <c r="S15" s="77" t="str">
        <f>'W1 Stats'!B6</f>
        <v>ThumpingHawk</v>
      </c>
      <c r="T15" s="74" t="s">
        <v>94</v>
      </c>
      <c r="U15" s="74" t="s">
        <v>95</v>
      </c>
      <c r="V15" s="74" t="s">
        <v>96</v>
      </c>
      <c r="W15" s="74" t="s">
        <v>97</v>
      </c>
      <c r="Y15" s="77" t="str">
        <f>'W1 Stats'!B7</f>
        <v>Mr Ab0veAverage</v>
      </c>
      <c r="Z15" s="74" t="s">
        <v>94</v>
      </c>
      <c r="AA15" s="74" t="s">
        <v>95</v>
      </c>
      <c r="AB15" s="74" t="s">
        <v>96</v>
      </c>
      <c r="AC15" s="74" t="s">
        <v>97</v>
      </c>
    </row>
    <row r="16">
      <c r="A16" s="77" t="s">
        <v>108</v>
      </c>
      <c r="B16" s="78">
        <f>'W1 Stats'!D3*B2</f>
        <v>0</v>
      </c>
      <c r="C16" s="78"/>
      <c r="D16" s="78"/>
      <c r="E16" s="78">
        <f>'W1 Stats'!D3*E2</f>
        <v>0</v>
      </c>
      <c r="G16" s="77" t="s">
        <v>108</v>
      </c>
      <c r="H16" s="78">
        <f>'W1 Stats'!D4*H2</f>
        <v>0</v>
      </c>
      <c r="I16" s="78"/>
      <c r="J16" s="78"/>
      <c r="K16" s="78">
        <f>'W1 Stats'!D4*K2</f>
        <v>0</v>
      </c>
      <c r="M16" s="77" t="s">
        <v>108</v>
      </c>
      <c r="N16" s="78">
        <f>'W1 Stats'!D5*N2</f>
        <v>0</v>
      </c>
      <c r="O16" s="78"/>
      <c r="P16" s="78"/>
      <c r="Q16" s="78">
        <f>'W1 Stats'!D5*Q2</f>
        <v>0</v>
      </c>
      <c r="S16" s="77" t="s">
        <v>108</v>
      </c>
      <c r="T16" s="78">
        <f>'W1 Stats'!D6*T2</f>
        <v>0</v>
      </c>
      <c r="U16" s="78"/>
      <c r="V16" s="78"/>
      <c r="W16" s="78">
        <f>'W1 Stats'!D6*W2</f>
        <v>0</v>
      </c>
      <c r="Y16" s="77" t="s">
        <v>108</v>
      </c>
      <c r="Z16" s="78">
        <f>'W1 Stats'!D7*Z2</f>
        <v>0</v>
      </c>
      <c r="AA16" s="99"/>
      <c r="AB16" s="78"/>
      <c r="AC16" s="99">
        <f>'W1 Stats'!D7*AC2</f>
        <v>0</v>
      </c>
    </row>
    <row r="17">
      <c r="A17" s="77" t="s">
        <v>112</v>
      </c>
      <c r="B17" s="99"/>
      <c r="C17" s="99"/>
      <c r="D17" s="78">
        <f>'W1 Stats'!H3*D3</f>
        <v>0</v>
      </c>
      <c r="E17" s="78"/>
      <c r="G17" s="77" t="s">
        <v>112</v>
      </c>
      <c r="H17" s="99"/>
      <c r="I17" s="99"/>
      <c r="J17" s="78">
        <f>'W1 Stats'!H4*J4</f>
        <v>0</v>
      </c>
      <c r="K17" s="78"/>
      <c r="M17" s="77" t="s">
        <v>112</v>
      </c>
      <c r="N17" s="99"/>
      <c r="O17" s="99"/>
      <c r="P17" s="78">
        <f>'W1 Stats'!H5*P3</f>
        <v>0</v>
      </c>
      <c r="Q17" s="78"/>
      <c r="S17" s="77" t="s">
        <v>112</v>
      </c>
      <c r="T17" s="99"/>
      <c r="U17" s="99"/>
      <c r="V17" s="78">
        <f>'W1 Stats'!H6*V3</f>
        <v>0</v>
      </c>
      <c r="W17" s="78"/>
      <c r="Y17" s="77" t="s">
        <v>112</v>
      </c>
      <c r="Z17" s="78"/>
      <c r="AA17" s="99"/>
      <c r="AB17" s="99">
        <f>'W1 Stats'!H7*AB3</f>
        <v>0</v>
      </c>
      <c r="AC17" s="78"/>
    </row>
    <row r="18">
      <c r="A18" s="77" t="s">
        <v>113</v>
      </c>
      <c r="B18" s="78">
        <f>'W1 Stats'!I3*B4</f>
        <v>0</v>
      </c>
      <c r="C18" s="99"/>
      <c r="D18" s="99"/>
      <c r="E18" s="78"/>
      <c r="G18" s="77" t="s">
        <v>113</v>
      </c>
      <c r="H18" s="78">
        <f>'W1 Stats'!I4*H4</f>
        <v>0</v>
      </c>
      <c r="I18" s="99"/>
      <c r="J18" s="99"/>
      <c r="K18" s="78"/>
      <c r="M18" s="77" t="s">
        <v>113</v>
      </c>
      <c r="N18" s="78">
        <f>'W1 Stats'!I5*N4</f>
        <v>0</v>
      </c>
      <c r="O18" s="99"/>
      <c r="P18" s="99"/>
      <c r="Q18" s="78"/>
      <c r="S18" s="77" t="s">
        <v>113</v>
      </c>
      <c r="T18" s="78">
        <f>'W1 Stats'!I6*T4</f>
        <v>0</v>
      </c>
      <c r="U18" s="99"/>
      <c r="V18" s="99"/>
      <c r="W18" s="78"/>
      <c r="Y18" s="77" t="s">
        <v>113</v>
      </c>
      <c r="Z18" s="78">
        <f>'W1 Stats'!I7*Z4</f>
        <v>0</v>
      </c>
      <c r="AA18" s="78"/>
      <c r="AB18" s="99"/>
      <c r="AC18" s="99"/>
    </row>
    <row r="19">
      <c r="A19" s="77" t="s">
        <v>114</v>
      </c>
      <c r="B19" s="99"/>
      <c r="C19" s="78">
        <f>'W1 Stats'!J3*C5</f>
        <v>0</v>
      </c>
      <c r="D19" s="99"/>
      <c r="E19" s="78">
        <f>'W1 Stats'!J3*E5</f>
        <v>0</v>
      </c>
      <c r="G19" s="77" t="s">
        <v>114</v>
      </c>
      <c r="H19" s="99"/>
      <c r="I19" s="78">
        <f>'W1 Stats'!J4*I5</f>
        <v>0</v>
      </c>
      <c r="J19" s="99"/>
      <c r="K19" s="78">
        <f>'W1 Stats'!J4*K5</f>
        <v>0</v>
      </c>
      <c r="M19" s="77" t="s">
        <v>114</v>
      </c>
      <c r="N19" s="99"/>
      <c r="O19" s="78">
        <f>'W1 Stats'!J5*O5</f>
        <v>0</v>
      </c>
      <c r="P19" s="99"/>
      <c r="Q19" s="78">
        <f>'W1 Stats'!J5*Q5</f>
        <v>0</v>
      </c>
      <c r="S19" s="77" t="s">
        <v>114</v>
      </c>
      <c r="T19" s="99"/>
      <c r="U19" s="78">
        <f>'W1 Stats'!J6*U5</f>
        <v>0</v>
      </c>
      <c r="V19" s="99"/>
      <c r="W19" s="78">
        <f>'W1 Stats'!J6*W5</f>
        <v>0</v>
      </c>
      <c r="Y19" s="77" t="s">
        <v>114</v>
      </c>
      <c r="Z19" s="78"/>
      <c r="AA19" s="78">
        <f>'W1 Stats'!J7*AA5</f>
        <v>0</v>
      </c>
      <c r="AB19" s="78"/>
      <c r="AC19" s="78">
        <f>'W1 Stats'!J7*AC5</f>
        <v>0</v>
      </c>
    </row>
    <row r="20">
      <c r="A20" s="77" t="s">
        <v>115</v>
      </c>
      <c r="B20" s="78"/>
      <c r="C20" s="78">
        <f>'W1 Stats'!K3*C6</f>
        <v>0</v>
      </c>
      <c r="D20" s="78"/>
      <c r="E20" s="78">
        <f>'W1 Stats'!K3*E6</f>
        <v>0</v>
      </c>
      <c r="G20" s="77" t="s">
        <v>115</v>
      </c>
      <c r="H20" s="78"/>
      <c r="I20" s="78">
        <f>'W1 Stats'!K4*I6</f>
        <v>0</v>
      </c>
      <c r="J20" s="78"/>
      <c r="K20" s="78">
        <f>'W1 Stats'!K4*K6</f>
        <v>0</v>
      </c>
      <c r="M20" s="77" t="s">
        <v>115</v>
      </c>
      <c r="N20" s="78"/>
      <c r="O20" s="78">
        <f>'W1 Stats'!K5*O6</f>
        <v>0</v>
      </c>
      <c r="P20" s="78"/>
      <c r="Q20" s="78">
        <f>'W1 Stats'!K5*Q6</f>
        <v>0</v>
      </c>
      <c r="S20" s="77" t="s">
        <v>115</v>
      </c>
      <c r="T20" s="78"/>
      <c r="U20" s="78">
        <f>'W1 Stats'!K6*U6</f>
        <v>0</v>
      </c>
      <c r="V20" s="78"/>
      <c r="W20" s="78">
        <f>'W1 Stats'!K6*W6</f>
        <v>0</v>
      </c>
      <c r="Y20" s="77" t="s">
        <v>115</v>
      </c>
      <c r="Z20" s="78"/>
      <c r="AA20" s="99">
        <f>'W1 Stats'!K7*AA6</f>
        <v>0</v>
      </c>
      <c r="AB20" s="78"/>
      <c r="AC20" s="99">
        <f>'W1 Stats'!K7*AC6</f>
        <v>0</v>
      </c>
    </row>
    <row r="21">
      <c r="A21" s="77" t="s">
        <v>116</v>
      </c>
      <c r="B21" s="78">
        <f>'W1 Stats'!L3*B7</f>
        <v>0</v>
      </c>
      <c r="C21" s="78"/>
      <c r="D21" s="78">
        <f>'W1 Stats'!L3*D7</f>
        <v>0</v>
      </c>
      <c r="E21" s="78"/>
      <c r="G21" s="77" t="s">
        <v>116</v>
      </c>
      <c r="H21" s="78">
        <f>'W1 Stats'!L4*H7</f>
        <v>0</v>
      </c>
      <c r="I21" s="78"/>
      <c r="J21" s="78">
        <f>'W1 Stats'!L4*J7</f>
        <v>0</v>
      </c>
      <c r="K21" s="78"/>
      <c r="M21" s="77" t="s">
        <v>116</v>
      </c>
      <c r="N21" s="78">
        <f>'W1 Stats'!L5*N7</f>
        <v>0</v>
      </c>
      <c r="O21" s="78"/>
      <c r="P21" s="78">
        <f>'W1 Stats'!L5*P7</f>
        <v>0</v>
      </c>
      <c r="Q21" s="78"/>
      <c r="S21" s="77" t="s">
        <v>116</v>
      </c>
      <c r="T21" s="78">
        <f>'W1 Stats'!L6*T7</f>
        <v>0</v>
      </c>
      <c r="U21" s="78"/>
      <c r="V21" s="78">
        <f>'W1 Stats'!L6*V7</f>
        <v>0</v>
      </c>
      <c r="W21" s="78"/>
      <c r="Y21" s="77" t="s">
        <v>116</v>
      </c>
      <c r="Z21" s="78">
        <f>'W1 Stats'!L7*Z7</f>
        <v>0</v>
      </c>
      <c r="AA21" s="99"/>
      <c r="AB21" s="99">
        <f>'W1 Stats'!L7*AB7</f>
        <v>0</v>
      </c>
      <c r="AC21" s="78"/>
    </row>
    <row r="22">
      <c r="A22" s="77" t="s">
        <v>117</v>
      </c>
      <c r="B22" s="99"/>
      <c r="C22" s="78">
        <f>'W1 Stats'!M3*C8</f>
        <v>0</v>
      </c>
      <c r="D22" s="99"/>
      <c r="E22" s="78"/>
      <c r="G22" s="77" t="s">
        <v>117</v>
      </c>
      <c r="H22" s="99"/>
      <c r="I22" s="78">
        <f>'W1 Stats'!M4*I8</f>
        <v>0</v>
      </c>
      <c r="J22" s="99"/>
      <c r="K22" s="78"/>
      <c r="M22" s="77" t="s">
        <v>117</v>
      </c>
      <c r="N22" s="99"/>
      <c r="O22" s="78">
        <f>'W1 Stats'!M5*O8</f>
        <v>0</v>
      </c>
      <c r="P22" s="99"/>
      <c r="Q22" s="78"/>
      <c r="S22" s="77" t="s">
        <v>117</v>
      </c>
      <c r="T22" s="99"/>
      <c r="U22" s="78">
        <f>'W1 Stats'!M6*U8</f>
        <v>0</v>
      </c>
      <c r="V22" s="99"/>
      <c r="W22" s="78"/>
      <c r="Y22" s="77" t="s">
        <v>117</v>
      </c>
      <c r="Z22" s="78"/>
      <c r="AA22" s="78">
        <f>'W1 Stats'!M7*AA8</f>
        <v>0</v>
      </c>
      <c r="AB22" s="99"/>
      <c r="AC22" s="99"/>
    </row>
    <row r="23">
      <c r="A23" s="77" t="s">
        <v>118</v>
      </c>
      <c r="B23" s="99"/>
      <c r="C23" s="99"/>
      <c r="D23" s="78">
        <f>'W1 Stats'!N3*D9</f>
        <v>0</v>
      </c>
      <c r="E23" s="78">
        <f>'W1 Stats'!N3*E9</f>
        <v>0</v>
      </c>
      <c r="G23" s="77" t="s">
        <v>118</v>
      </c>
      <c r="H23" s="99"/>
      <c r="I23" s="99"/>
      <c r="J23" s="78">
        <f>'W1 Stats'!N4*J9</f>
        <v>0</v>
      </c>
      <c r="K23" s="78">
        <f>'W1 Stats'!N4*K9</f>
        <v>0</v>
      </c>
      <c r="M23" s="77" t="s">
        <v>118</v>
      </c>
      <c r="N23" s="99"/>
      <c r="O23" s="99"/>
      <c r="P23" s="78">
        <f>'W1 Stats'!N5*P9</f>
        <v>0</v>
      </c>
      <c r="Q23" s="78">
        <f>'W1 Stats'!N5*Q9</f>
        <v>0</v>
      </c>
      <c r="S23" s="77" t="s">
        <v>118</v>
      </c>
      <c r="T23" s="99"/>
      <c r="U23" s="99"/>
      <c r="V23" s="78">
        <f>'W1 Stats'!N6*V9</f>
        <v>0</v>
      </c>
      <c r="W23" s="78">
        <f>'W1 Stats'!N6*W9</f>
        <v>0</v>
      </c>
      <c r="Y23" s="77" t="s">
        <v>118</v>
      </c>
      <c r="Z23" s="78"/>
      <c r="AA23" s="78"/>
      <c r="AB23" s="78">
        <f>'W1 Stats'!N7*AB9</f>
        <v>0</v>
      </c>
      <c r="AC23" s="78">
        <f>'W1 Stats'!N7*AC9</f>
        <v>0</v>
      </c>
    </row>
    <row r="24">
      <c r="A24" s="77" t="s">
        <v>119</v>
      </c>
      <c r="B24" s="78"/>
      <c r="C24" s="78">
        <f>'W1 Stats'!O3*C10</f>
        <v>0</v>
      </c>
      <c r="D24" s="99"/>
      <c r="E24" s="78">
        <f>'W1 Stats'!O3*E10</f>
        <v>0</v>
      </c>
      <c r="G24" s="77" t="s">
        <v>119</v>
      </c>
      <c r="H24" s="78"/>
      <c r="I24" s="78">
        <f>'W1 Stats'!O4*I10</f>
        <v>0</v>
      </c>
      <c r="J24" s="99"/>
      <c r="K24" s="78">
        <f>'W1 Stats'!O4*K10</f>
        <v>0</v>
      </c>
      <c r="M24" s="77" t="s">
        <v>119</v>
      </c>
      <c r="N24" s="78"/>
      <c r="O24" s="78">
        <f>'W1 Stats'!O5*O10</f>
        <v>0</v>
      </c>
      <c r="P24" s="99"/>
      <c r="Q24" s="78">
        <f>'W1 Stats'!O5*Q10</f>
        <v>0</v>
      </c>
      <c r="S24" s="77" t="s">
        <v>119</v>
      </c>
      <c r="T24" s="78"/>
      <c r="U24" s="78">
        <f>'W1 Stats'!O6*U10</f>
        <v>0</v>
      </c>
      <c r="V24" s="99"/>
      <c r="W24" s="78">
        <f>'W1 Stats'!O6*W10</f>
        <v>0</v>
      </c>
      <c r="Y24" s="77" t="s">
        <v>119</v>
      </c>
      <c r="Z24" s="78"/>
      <c r="AA24" s="99">
        <f>'W1 Stats'!O7*AA10</f>
        <v>0</v>
      </c>
      <c r="AB24" s="78"/>
      <c r="AC24" s="99">
        <f>'W1 Stats'!O7*AC10</f>
        <v>0</v>
      </c>
    </row>
    <row r="25">
      <c r="A25" s="77" t="s">
        <v>120</v>
      </c>
      <c r="B25" s="99"/>
      <c r="C25" s="99"/>
      <c r="D25" s="78">
        <f>'W1 Stats'!P3*D11</f>
        <v>0</v>
      </c>
      <c r="E25" s="78">
        <f>'W1 Stats'!P3*E11</f>
        <v>0</v>
      </c>
      <c r="G25" s="77" t="s">
        <v>120</v>
      </c>
      <c r="H25" s="99"/>
      <c r="I25" s="99"/>
      <c r="J25" s="78">
        <f>'W1 Stats'!P4*J11</f>
        <v>0</v>
      </c>
      <c r="K25" s="78">
        <f>'W1 Stats'!P4*K11</f>
        <v>0</v>
      </c>
      <c r="M25" s="77" t="s">
        <v>120</v>
      </c>
      <c r="N25" s="99"/>
      <c r="O25" s="99"/>
      <c r="P25" s="78">
        <f>'W1 Stats'!P5*P11</f>
        <v>0</v>
      </c>
      <c r="Q25" s="78">
        <f>'W1 Stats'!P5*Q11</f>
        <v>0</v>
      </c>
      <c r="S25" s="77" t="s">
        <v>120</v>
      </c>
      <c r="T25" s="99"/>
      <c r="U25" s="99"/>
      <c r="V25" s="78">
        <f>'W1 Stats'!P6*V11</f>
        <v>0</v>
      </c>
      <c r="W25" s="78">
        <f>'W1 Stats'!P6*W11</f>
        <v>0</v>
      </c>
      <c r="Y25" s="77" t="s">
        <v>120</v>
      </c>
      <c r="Z25" s="78"/>
      <c r="AA25" s="99"/>
      <c r="AB25" s="99">
        <f>'W1 Stats'!P7*AB11</f>
        <v>0</v>
      </c>
      <c r="AC25" s="78">
        <f>'W1 Stats'!P7*AC11</f>
        <v>0</v>
      </c>
    </row>
    <row r="26">
      <c r="A26" s="77" t="s">
        <v>121</v>
      </c>
      <c r="B26" s="78">
        <f>'W1 Stats'!Q3*B12</f>
        <v>0</v>
      </c>
      <c r="C26" s="78">
        <f>'W1 Stats'!Q3*C12</f>
        <v>0</v>
      </c>
      <c r="D26" s="78">
        <f>'W1 Stats'!Q3*D12</f>
        <v>0</v>
      </c>
      <c r="E26" s="78">
        <f>'W1 Stats'!Q3*E12</f>
        <v>0</v>
      </c>
      <c r="G26" s="77" t="s">
        <v>121</v>
      </c>
      <c r="H26" s="78">
        <f>'W1 Stats'!Q4*H12</f>
        <v>0</v>
      </c>
      <c r="I26" s="78">
        <f>'W1 Stats'!Q4*I12</f>
        <v>0</v>
      </c>
      <c r="J26" s="78">
        <f>'W1 Stats'!Q4*J12</f>
        <v>0</v>
      </c>
      <c r="K26" s="78">
        <f>'W1 Stats'!Q4*K12</f>
        <v>0</v>
      </c>
      <c r="M26" s="77" t="s">
        <v>121</v>
      </c>
      <c r="N26" s="78">
        <f>'W1 Stats'!Q5*N12</f>
        <v>0</v>
      </c>
      <c r="O26" s="78">
        <f>'W1 Stats'!Q5*O12</f>
        <v>0</v>
      </c>
      <c r="P26" s="78">
        <f>'W1 Stats'!Q5*P12</f>
        <v>0</v>
      </c>
      <c r="Q26" s="78">
        <f>'W1 Stats'!Q5*Q12</f>
        <v>0</v>
      </c>
      <c r="S26" s="77" t="s">
        <v>121</v>
      </c>
      <c r="T26" s="78">
        <f>'W1 Stats'!Q6*T12</f>
        <v>0</v>
      </c>
      <c r="U26" s="78">
        <f>'W1 Stats'!Q6*U12</f>
        <v>0</v>
      </c>
      <c r="V26" s="78">
        <f>'W1 Stats'!Q6*V12</f>
        <v>0</v>
      </c>
      <c r="W26" s="78">
        <f>'W1 Stats'!Q6*W12</f>
        <v>0</v>
      </c>
      <c r="Y26" s="77" t="s">
        <v>121</v>
      </c>
      <c r="Z26" s="78">
        <f>'W1 Stats'!Q7*Z12</f>
        <v>0</v>
      </c>
      <c r="AA26" s="78">
        <f>'W1 Stats'!Q7*AA12</f>
        <v>0</v>
      </c>
      <c r="AB26" s="78">
        <f>'W1 Stats'!Q7*AB12</f>
        <v>0</v>
      </c>
      <c r="AC26" s="78">
        <f>'W1 Stats'!Q7*AC12</f>
        <v>0</v>
      </c>
    </row>
    <row r="27">
      <c r="A27" s="77" t="s">
        <v>122</v>
      </c>
      <c r="B27" s="78">
        <f t="shared" ref="B27:E27" si="50">SUM(B16:B26)</f>
        <v>0</v>
      </c>
      <c r="C27" s="78">
        <f t="shared" si="50"/>
        <v>0</v>
      </c>
      <c r="D27" s="78">
        <f t="shared" si="50"/>
        <v>0</v>
      </c>
      <c r="E27" s="78">
        <f t="shared" si="50"/>
        <v>0</v>
      </c>
      <c r="G27" s="77" t="s">
        <v>122</v>
      </c>
      <c r="H27" s="78">
        <f t="shared" ref="H27:K27" si="51">SUM(H16:H26)</f>
        <v>0</v>
      </c>
      <c r="I27" s="78">
        <f t="shared" si="51"/>
        <v>0</v>
      </c>
      <c r="J27" s="78">
        <f t="shared" si="51"/>
        <v>0</v>
      </c>
      <c r="K27" s="78">
        <f t="shared" si="51"/>
        <v>0</v>
      </c>
      <c r="M27" s="77" t="s">
        <v>122</v>
      </c>
      <c r="N27" s="78">
        <f t="shared" ref="N27:Q27" si="52">SUM(N16:N26)</f>
        <v>0</v>
      </c>
      <c r="O27" s="78">
        <f t="shared" si="52"/>
        <v>0</v>
      </c>
      <c r="P27" s="78">
        <f t="shared" si="52"/>
        <v>0</v>
      </c>
      <c r="Q27" s="78">
        <f t="shared" si="52"/>
        <v>0</v>
      </c>
      <c r="S27" s="77" t="s">
        <v>122</v>
      </c>
      <c r="T27" s="78">
        <f t="shared" ref="T27:W27" si="53">SUM(T16:T26)</f>
        <v>0</v>
      </c>
      <c r="U27" s="78">
        <f t="shared" si="53"/>
        <v>0</v>
      </c>
      <c r="V27" s="78">
        <f t="shared" si="53"/>
        <v>0</v>
      </c>
      <c r="W27" s="78">
        <f t="shared" si="53"/>
        <v>0</v>
      </c>
      <c r="Y27" s="77" t="s">
        <v>122</v>
      </c>
      <c r="Z27" s="78">
        <f t="shared" ref="Z27:AC27" si="54">SUM(Z16:Z26)</f>
        <v>0</v>
      </c>
      <c r="AA27" s="78">
        <f t="shared" si="54"/>
        <v>0</v>
      </c>
      <c r="AB27" s="78">
        <f t="shared" si="54"/>
        <v>0</v>
      </c>
      <c r="AC27" s="78">
        <f t="shared" si="54"/>
        <v>0</v>
      </c>
    </row>
    <row r="29">
      <c r="A29" s="77" t="str">
        <f>'W1 Stats'!B8</f>
        <v>InfiniteRainge</v>
      </c>
      <c r="B29" s="74" t="s">
        <v>94</v>
      </c>
      <c r="C29" s="74" t="s">
        <v>95</v>
      </c>
      <c r="D29" s="74" t="s">
        <v>96</v>
      </c>
      <c r="E29" s="74" t="s">
        <v>97</v>
      </c>
      <c r="G29" s="77" t="str">
        <f>'W1 Stats'!B9</f>
        <v>ACE B S1lentND1</v>
      </c>
      <c r="H29" s="74" t="s">
        <v>94</v>
      </c>
      <c r="I29" s="74" t="s">
        <v>95</v>
      </c>
      <c r="J29" s="74" t="s">
        <v>96</v>
      </c>
      <c r="K29" s="74" t="s">
        <v>97</v>
      </c>
      <c r="M29" s="77" t="str">
        <f>'W1 Stats'!B10</f>
        <v>DCleak</v>
      </c>
      <c r="N29" s="74" t="s">
        <v>94</v>
      </c>
      <c r="O29" s="74" t="s">
        <v>95</v>
      </c>
      <c r="P29" s="74" t="s">
        <v>96</v>
      </c>
      <c r="Q29" s="74" t="s">
        <v>97</v>
      </c>
      <c r="S29" s="77" t="str">
        <f>'W1 Stats'!B11</f>
        <v>ST0P K1LLING ME</v>
      </c>
      <c r="T29" s="74" t="s">
        <v>94</v>
      </c>
      <c r="U29" s="74" t="s">
        <v>95</v>
      </c>
      <c r="V29" s="74" t="s">
        <v>96</v>
      </c>
      <c r="W29" s="74" t="s">
        <v>97</v>
      </c>
      <c r="Y29" s="77" t="str">
        <f>'W1 Stats'!B12</f>
        <v>oUnique Rose</v>
      </c>
      <c r="Z29" s="74" t="s">
        <v>94</v>
      </c>
      <c r="AA29" s="74" t="s">
        <v>95</v>
      </c>
      <c r="AB29" s="74" t="s">
        <v>96</v>
      </c>
      <c r="AC29" s="74" t="s">
        <v>97</v>
      </c>
    </row>
    <row r="30">
      <c r="A30" s="77" t="s">
        <v>108</v>
      </c>
      <c r="B30" s="78">
        <f>'W1 Stats'!D8*B2</f>
        <v>0</v>
      </c>
      <c r="C30" s="78"/>
      <c r="D30" s="78"/>
      <c r="E30" s="78">
        <f>'W1 Stats'!D8*E2</f>
        <v>0</v>
      </c>
      <c r="G30" s="77" t="s">
        <v>108</v>
      </c>
      <c r="H30" s="78">
        <f>'W1 Stats'!D9*H2</f>
        <v>0</v>
      </c>
      <c r="I30" s="78"/>
      <c r="J30" s="78"/>
      <c r="K30" s="78">
        <f>'W1 Stats'!D9*K2</f>
        <v>0</v>
      </c>
      <c r="M30" s="77" t="s">
        <v>108</v>
      </c>
      <c r="N30" s="78">
        <f>'W1 Stats'!D10*N2</f>
        <v>0</v>
      </c>
      <c r="O30" s="78"/>
      <c r="P30" s="78"/>
      <c r="Q30" s="78">
        <f>'W1 Stats'!D10*Q2</f>
        <v>0</v>
      </c>
      <c r="S30" s="77" t="s">
        <v>108</v>
      </c>
      <c r="T30" s="78">
        <f>'W1 Stats'!D11*T2</f>
        <v>0</v>
      </c>
      <c r="U30" s="78"/>
      <c r="V30" s="78"/>
      <c r="W30" s="78">
        <f>'W1 Stats'!D11*W2</f>
        <v>0</v>
      </c>
      <c r="Y30" s="77" t="s">
        <v>108</v>
      </c>
      <c r="Z30" s="78">
        <f>'W1 Stats'!D12*Z2</f>
        <v>0</v>
      </c>
      <c r="AA30" s="78"/>
      <c r="AB30" s="78"/>
      <c r="AC30" s="78">
        <f>'W1 Stats'!D12*AC2</f>
        <v>0</v>
      </c>
    </row>
    <row r="31">
      <c r="A31" s="77" t="s">
        <v>112</v>
      </c>
      <c r="B31" s="78"/>
      <c r="C31" s="78"/>
      <c r="D31" s="78">
        <f>'W1 Stats'!H8*D3</f>
        <v>0</v>
      </c>
      <c r="E31" s="78"/>
      <c r="G31" s="77" t="s">
        <v>112</v>
      </c>
      <c r="H31" s="78"/>
      <c r="I31" s="78"/>
      <c r="J31" s="78">
        <f>'W1 Stats'!H9*J3</f>
        <v>0</v>
      </c>
      <c r="K31" s="78"/>
      <c r="M31" s="77" t="s">
        <v>112</v>
      </c>
      <c r="N31" s="78"/>
      <c r="O31" s="78"/>
      <c r="P31" s="78">
        <f>'W1 Stats'!H10*P3</f>
        <v>0</v>
      </c>
      <c r="Q31" s="78"/>
      <c r="S31" s="77" t="s">
        <v>112</v>
      </c>
      <c r="T31" s="78"/>
      <c r="U31" s="78"/>
      <c r="V31" s="78">
        <f>'W1 Stats'!H11*V3</f>
        <v>0</v>
      </c>
      <c r="W31" s="78"/>
      <c r="Y31" s="77" t="s">
        <v>112</v>
      </c>
      <c r="Z31" s="78"/>
      <c r="AA31" s="78"/>
      <c r="AB31" s="78">
        <f>'W1 Stats'!H12*AB3</f>
        <v>0</v>
      </c>
      <c r="AC31" s="78"/>
    </row>
    <row r="32">
      <c r="A32" s="77" t="s">
        <v>113</v>
      </c>
      <c r="B32" s="78">
        <f>'W1 Stats'!I8*B4</f>
        <v>0</v>
      </c>
      <c r="C32" s="78"/>
      <c r="D32" s="78"/>
      <c r="E32" s="78"/>
      <c r="G32" s="77" t="s">
        <v>113</v>
      </c>
      <c r="H32" s="78">
        <f>'W1 Stats'!I9*H4</f>
        <v>0</v>
      </c>
      <c r="I32" s="78"/>
      <c r="J32" s="78"/>
      <c r="K32" s="78"/>
      <c r="M32" s="77" t="s">
        <v>113</v>
      </c>
      <c r="N32" s="78">
        <f>'W1 Stats'!I10*N4</f>
        <v>0</v>
      </c>
      <c r="O32" s="78"/>
      <c r="P32" s="78"/>
      <c r="Q32" s="78"/>
      <c r="S32" s="77" t="s">
        <v>113</v>
      </c>
      <c r="T32" s="78">
        <f>'W1 Stats'!I11*T4</f>
        <v>0</v>
      </c>
      <c r="U32" s="78"/>
      <c r="V32" s="78"/>
      <c r="W32" s="78"/>
      <c r="Y32" s="77" t="s">
        <v>113</v>
      </c>
      <c r="Z32" s="78">
        <f>'W1 Stats'!I12*Z4</f>
        <v>0</v>
      </c>
      <c r="AA32" s="78"/>
      <c r="AB32" s="78"/>
      <c r="AC32" s="78"/>
    </row>
    <row r="33">
      <c r="A33" s="77" t="s">
        <v>114</v>
      </c>
      <c r="B33" s="78"/>
      <c r="C33" s="78">
        <f>'W1 Stats'!J8*C5</f>
        <v>0</v>
      </c>
      <c r="D33" s="78"/>
      <c r="E33" s="78">
        <f>'W1 Stats'!J8*E5</f>
        <v>0</v>
      </c>
      <c r="G33" s="77" t="s">
        <v>114</v>
      </c>
      <c r="H33" s="78"/>
      <c r="I33" s="78">
        <f>'W1 Stats'!J9*I5</f>
        <v>0</v>
      </c>
      <c r="J33" s="78"/>
      <c r="K33" s="78">
        <f>'W1 Stats'!J9*K5</f>
        <v>0</v>
      </c>
      <c r="M33" s="77" t="s">
        <v>114</v>
      </c>
      <c r="N33" s="78"/>
      <c r="O33" s="78">
        <f>'W1 Stats'!J10*O5</f>
        <v>0</v>
      </c>
      <c r="P33" s="78"/>
      <c r="Q33" s="78">
        <f>'W1 Stats'!J10*Q5</f>
        <v>0</v>
      </c>
      <c r="S33" s="77" t="s">
        <v>114</v>
      </c>
      <c r="T33" s="78"/>
      <c r="U33" s="78">
        <f>'W1 Stats'!J11*U5</f>
        <v>0</v>
      </c>
      <c r="V33" s="78"/>
      <c r="W33" s="78">
        <f>'W1 Stats'!J11*W5</f>
        <v>0</v>
      </c>
      <c r="Y33" s="77" t="s">
        <v>114</v>
      </c>
      <c r="Z33" s="78"/>
      <c r="AA33" s="78">
        <f>'W1 Stats'!J12*AA5</f>
        <v>0</v>
      </c>
      <c r="AB33" s="78"/>
      <c r="AC33" s="78">
        <f>'W1 Stats'!J12*AC5</f>
        <v>0</v>
      </c>
    </row>
    <row r="34">
      <c r="A34" s="77" t="s">
        <v>115</v>
      </c>
      <c r="B34" s="78"/>
      <c r="C34" s="78">
        <f>'W1 Stats'!K8*C6</f>
        <v>0</v>
      </c>
      <c r="D34" s="78"/>
      <c r="E34" s="78">
        <f>'W1 Stats'!K8*E6</f>
        <v>0</v>
      </c>
      <c r="G34" s="77" t="s">
        <v>115</v>
      </c>
      <c r="H34" s="78"/>
      <c r="I34" s="78">
        <f>'W1 Stats'!K9*I6</f>
        <v>0</v>
      </c>
      <c r="J34" s="78"/>
      <c r="K34" s="78">
        <f>'W1 Stats'!K9*K6</f>
        <v>0</v>
      </c>
      <c r="M34" s="77" t="s">
        <v>115</v>
      </c>
      <c r="N34" s="78"/>
      <c r="O34" s="78">
        <f>'W1 Stats'!K10*O6</f>
        <v>0</v>
      </c>
      <c r="P34" s="78"/>
      <c r="Q34" s="78">
        <f>'W1 Stats'!K10*Q6</f>
        <v>0</v>
      </c>
      <c r="S34" s="77" t="s">
        <v>115</v>
      </c>
      <c r="T34" s="78"/>
      <c r="U34" s="78">
        <f>'W1 Stats'!K11*U6</f>
        <v>0</v>
      </c>
      <c r="V34" s="78"/>
      <c r="W34" s="78">
        <f>'W1 Stats'!K11*W6</f>
        <v>0</v>
      </c>
      <c r="Y34" s="77" t="s">
        <v>115</v>
      </c>
      <c r="Z34" s="78"/>
      <c r="AA34" s="78">
        <f>'W1 Stats'!K12*AA6</f>
        <v>0</v>
      </c>
      <c r="AB34" s="78"/>
      <c r="AC34" s="78">
        <f>'W1 Stats'!K12*AC6</f>
        <v>0</v>
      </c>
    </row>
    <row r="35">
      <c r="A35" s="77" t="s">
        <v>116</v>
      </c>
      <c r="B35" s="78">
        <f>'W1 Stats'!L8*B7</f>
        <v>0</v>
      </c>
      <c r="C35" s="78"/>
      <c r="D35" s="78">
        <f>'W1 Stats'!L8*D7</f>
        <v>0</v>
      </c>
      <c r="E35" s="78"/>
      <c r="G35" s="77" t="s">
        <v>116</v>
      </c>
      <c r="H35" s="78">
        <f>'W1 Stats'!L9*H7</f>
        <v>0</v>
      </c>
      <c r="I35" s="78"/>
      <c r="J35" s="78">
        <f>'W1 Stats'!L9*J7</f>
        <v>0</v>
      </c>
      <c r="K35" s="78"/>
      <c r="M35" s="77" t="s">
        <v>116</v>
      </c>
      <c r="N35" s="78">
        <f>'W1 Stats'!L10*N7</f>
        <v>0</v>
      </c>
      <c r="O35" s="78"/>
      <c r="P35" s="78">
        <f>'W1 Stats'!L10*P7</f>
        <v>0</v>
      </c>
      <c r="Q35" s="78"/>
      <c r="S35" s="77" t="s">
        <v>116</v>
      </c>
      <c r="T35" s="78">
        <f>'W1 Stats'!L11*T7</f>
        <v>0</v>
      </c>
      <c r="U35" s="78"/>
      <c r="V35" s="78">
        <f>'W1 Stats'!L11*V7</f>
        <v>0</v>
      </c>
      <c r="W35" s="78"/>
      <c r="Y35" s="77" t="s">
        <v>116</v>
      </c>
      <c r="Z35" s="78">
        <f>'W1 Stats'!L12*Z7</f>
        <v>0</v>
      </c>
      <c r="AA35" s="78"/>
      <c r="AB35" s="78">
        <f>'W1 Stats'!L12*AB7</f>
        <v>0</v>
      </c>
      <c r="AC35" s="78"/>
    </row>
    <row r="36">
      <c r="A36" s="77" t="s">
        <v>117</v>
      </c>
      <c r="B36" s="78"/>
      <c r="C36" s="78">
        <f>'W1 Stats'!M8*C8</f>
        <v>0</v>
      </c>
      <c r="D36" s="78"/>
      <c r="E36" s="78"/>
      <c r="G36" s="77" t="s">
        <v>117</v>
      </c>
      <c r="H36" s="78"/>
      <c r="I36" s="78">
        <f>'W1 Stats'!M9*C9</f>
        <v>0</v>
      </c>
      <c r="J36" s="78"/>
      <c r="K36" s="78"/>
      <c r="M36" s="77" t="s">
        <v>117</v>
      </c>
      <c r="N36" s="78"/>
      <c r="O36" s="78">
        <f>'W1 Stats'!M10*O8</f>
        <v>0</v>
      </c>
      <c r="P36" s="78"/>
      <c r="Q36" s="78"/>
      <c r="S36" s="77" t="s">
        <v>117</v>
      </c>
      <c r="T36" s="78"/>
      <c r="U36" s="78">
        <f>'W1 Stats'!M11*U8</f>
        <v>0</v>
      </c>
      <c r="V36" s="78"/>
      <c r="W36" s="78"/>
      <c r="Y36" s="77" t="s">
        <v>117</v>
      </c>
      <c r="Z36" s="78"/>
      <c r="AA36" s="78">
        <f>'W1 Stats'!M12*AA8</f>
        <v>0</v>
      </c>
      <c r="AB36" s="78"/>
      <c r="AC36" s="78"/>
    </row>
    <row r="37">
      <c r="A37" s="77" t="s">
        <v>118</v>
      </c>
      <c r="B37" s="78"/>
      <c r="C37" s="78"/>
      <c r="D37" s="78">
        <f>'W1 Stats'!N8*D9</f>
        <v>0</v>
      </c>
      <c r="E37" s="78">
        <f>'W1 Stats'!N8*E9</f>
        <v>0</v>
      </c>
      <c r="G37" s="77" t="s">
        <v>118</v>
      </c>
      <c r="H37" s="78"/>
      <c r="I37" s="78"/>
      <c r="J37" s="78">
        <f>'W1 Stats'!N9*J9</f>
        <v>0</v>
      </c>
      <c r="K37" s="78">
        <f>'W1 Stats'!N9*K9</f>
        <v>0</v>
      </c>
      <c r="M37" s="77" t="s">
        <v>118</v>
      </c>
      <c r="N37" s="78"/>
      <c r="O37" s="78"/>
      <c r="P37" s="78">
        <f>'W1 Stats'!N10*P9</f>
        <v>0</v>
      </c>
      <c r="Q37" s="78">
        <f>'W1 Stats'!N10*Q9</f>
        <v>0</v>
      </c>
      <c r="S37" s="77" t="s">
        <v>118</v>
      </c>
      <c r="T37" s="78"/>
      <c r="U37" s="78"/>
      <c r="V37" s="78">
        <f>'W1 Stats'!N11*V9</f>
        <v>0</v>
      </c>
      <c r="W37" s="78">
        <f>'W1 Stats'!N11*W9</f>
        <v>0</v>
      </c>
      <c r="Y37" s="77" t="s">
        <v>118</v>
      </c>
      <c r="Z37" s="78"/>
      <c r="AA37" s="78"/>
      <c r="AB37" s="78">
        <f>'W1 Stats'!N12*AB9</f>
        <v>0</v>
      </c>
      <c r="AC37" s="78">
        <f>'W1 Stats'!N12*AC9</f>
        <v>0</v>
      </c>
    </row>
    <row r="38">
      <c r="A38" s="77" t="s">
        <v>119</v>
      </c>
      <c r="B38" s="78"/>
      <c r="C38" s="78">
        <f>'W1 Stats'!O8*C10</f>
        <v>0</v>
      </c>
      <c r="D38" s="78"/>
      <c r="E38" s="78">
        <f>'W1 Stats'!O8*E10</f>
        <v>0</v>
      </c>
      <c r="G38" s="77" t="s">
        <v>119</v>
      </c>
      <c r="H38" s="78"/>
      <c r="I38" s="78">
        <f>'W1 Stats'!O9*I10</f>
        <v>0</v>
      </c>
      <c r="J38" s="78"/>
      <c r="K38" s="78">
        <f>'W1 Stats'!O9*K10</f>
        <v>0</v>
      </c>
      <c r="M38" s="77" t="s">
        <v>119</v>
      </c>
      <c r="N38" s="78"/>
      <c r="O38" s="78">
        <f>'W1 Stats'!O10*O10</f>
        <v>0</v>
      </c>
      <c r="P38" s="78"/>
      <c r="Q38" s="78">
        <f>'W1 Stats'!O10*Q10</f>
        <v>0</v>
      </c>
      <c r="S38" s="77" t="s">
        <v>119</v>
      </c>
      <c r="T38" s="78"/>
      <c r="U38" s="78">
        <f>'W1 Stats'!O11*U10</f>
        <v>0</v>
      </c>
      <c r="V38" s="78"/>
      <c r="W38" s="78">
        <f>'W1 Stats'!O11*W10</f>
        <v>0</v>
      </c>
      <c r="Y38" s="77" t="s">
        <v>119</v>
      </c>
      <c r="Z38" s="78"/>
      <c r="AA38" s="78">
        <f>'W1 Stats'!O12*AA10</f>
        <v>0</v>
      </c>
      <c r="AB38" s="78"/>
      <c r="AC38" s="78">
        <f>'W1 Stats'!O12*AC10</f>
        <v>0</v>
      </c>
    </row>
    <row r="39">
      <c r="A39" s="77" t="s">
        <v>120</v>
      </c>
      <c r="B39" s="78"/>
      <c r="C39" s="78"/>
      <c r="D39" s="78">
        <f>'W1 Stats'!P8*D11</f>
        <v>0</v>
      </c>
      <c r="E39" s="78">
        <f>'W1 Stats'!P8*E11</f>
        <v>0</v>
      </c>
      <c r="G39" s="77" t="s">
        <v>120</v>
      </c>
      <c r="H39" s="78"/>
      <c r="I39" s="78"/>
      <c r="J39" s="78">
        <f>'W1 Stats'!P9*J11</f>
        <v>0</v>
      </c>
      <c r="K39" s="78">
        <f>'W1 Stats'!P9*K11</f>
        <v>0</v>
      </c>
      <c r="M39" s="77" t="s">
        <v>120</v>
      </c>
      <c r="N39" s="78"/>
      <c r="O39" s="78"/>
      <c r="P39" s="78">
        <f>'W1 Stats'!P10*P11</f>
        <v>0</v>
      </c>
      <c r="Q39" s="78">
        <f>'W1 Stats'!P10*Q11</f>
        <v>0</v>
      </c>
      <c r="S39" s="77" t="s">
        <v>120</v>
      </c>
      <c r="T39" s="78"/>
      <c r="U39" s="78"/>
      <c r="V39" s="78">
        <f>'W1 Stats'!P11*V11</f>
        <v>0</v>
      </c>
      <c r="W39" s="78">
        <f>'W1 Stats'!P11*W11</f>
        <v>0</v>
      </c>
      <c r="Y39" s="77" t="s">
        <v>120</v>
      </c>
      <c r="Z39" s="78"/>
      <c r="AA39" s="78"/>
      <c r="AB39" s="78">
        <f>'W1 Stats'!P12*AB11</f>
        <v>0</v>
      </c>
      <c r="AC39" s="78">
        <f>'W1 Stats'!P12*AC11</f>
        <v>0</v>
      </c>
    </row>
    <row r="40">
      <c r="A40" s="77" t="s">
        <v>121</v>
      </c>
      <c r="B40" s="78">
        <f>'W1 Stats'!Q8*B12</f>
        <v>0</v>
      </c>
      <c r="C40" s="78">
        <f>'W1 Stats'!Q8*C12</f>
        <v>0</v>
      </c>
      <c r="D40" s="78">
        <f>'W1 Stats'!Q8*D12</f>
        <v>0</v>
      </c>
      <c r="E40" s="78">
        <f>'W1 Stats'!Q8*E12</f>
        <v>0</v>
      </c>
      <c r="G40" s="77" t="s">
        <v>121</v>
      </c>
      <c r="H40" s="78">
        <f>'W1 Stats'!Q9*H12</f>
        <v>0</v>
      </c>
      <c r="I40" s="78">
        <f>'W1 Stats'!Q9*I12</f>
        <v>0</v>
      </c>
      <c r="J40" s="78">
        <f>'W1 Stats'!Q9*J12</f>
        <v>0</v>
      </c>
      <c r="K40" s="78">
        <f>'W1 Stats'!Q9*K12</f>
        <v>0</v>
      </c>
      <c r="M40" s="77" t="s">
        <v>121</v>
      </c>
      <c r="N40" s="78">
        <f>'W1 Stats'!Q10*N12</f>
        <v>0</v>
      </c>
      <c r="O40" s="78">
        <f>'W1 Stats'!Q10*O12</f>
        <v>0</v>
      </c>
      <c r="P40" s="78">
        <f>'W1 Stats'!Q10*P12</f>
        <v>0</v>
      </c>
      <c r="Q40" s="78">
        <f>'W1 Stats'!Q10*Q12</f>
        <v>0</v>
      </c>
      <c r="S40" s="77" t="s">
        <v>121</v>
      </c>
      <c r="T40" s="78">
        <f>'W1 Stats'!Q11*T12</f>
        <v>0</v>
      </c>
      <c r="U40" s="78">
        <f>'W1 Stats'!Q11*U12</f>
        <v>0</v>
      </c>
      <c r="V40" s="78">
        <f>'W1 Stats'!Q11*V12</f>
        <v>0</v>
      </c>
      <c r="W40" s="78">
        <f>'W1 Stats'!Q11*W12</f>
        <v>0</v>
      </c>
      <c r="Y40" s="77" t="s">
        <v>121</v>
      </c>
      <c r="Z40" s="78">
        <f>'W1 Stats'!Q12*Z12</f>
        <v>0</v>
      </c>
      <c r="AA40" s="78">
        <f>'W1 Stats'!Q12*AA12</f>
        <v>0</v>
      </c>
      <c r="AB40" s="78">
        <f>'W1 Stats'!Q12*AB12</f>
        <v>0</v>
      </c>
      <c r="AC40" s="78">
        <f>'W1 Stats'!Q12*AC12</f>
        <v>0</v>
      </c>
    </row>
    <row r="41">
      <c r="A41" s="77" t="s">
        <v>122</v>
      </c>
      <c r="B41" s="78">
        <f t="shared" ref="B41:E41" si="55">SUM(B30:B40)</f>
        <v>0</v>
      </c>
      <c r="C41" s="78">
        <f t="shared" si="55"/>
        <v>0</v>
      </c>
      <c r="D41" s="78">
        <f t="shared" si="55"/>
        <v>0</v>
      </c>
      <c r="E41" s="78">
        <f t="shared" si="55"/>
        <v>0</v>
      </c>
      <c r="G41" s="77" t="s">
        <v>122</v>
      </c>
      <c r="H41" s="78">
        <f t="shared" ref="H41:K41" si="56">SUM(H30:H40)</f>
        <v>0</v>
      </c>
      <c r="I41" s="78">
        <f t="shared" si="56"/>
        <v>0</v>
      </c>
      <c r="J41" s="78">
        <f t="shared" si="56"/>
        <v>0</v>
      </c>
      <c r="K41" s="78">
        <f t="shared" si="56"/>
        <v>0</v>
      </c>
      <c r="M41" s="77" t="s">
        <v>122</v>
      </c>
      <c r="N41" s="78">
        <f t="shared" ref="N41:Q41" si="57">SUM(N30:N40)</f>
        <v>0</v>
      </c>
      <c r="O41" s="78">
        <f t="shared" si="57"/>
        <v>0</v>
      </c>
      <c r="P41" s="78">
        <f t="shared" si="57"/>
        <v>0</v>
      </c>
      <c r="Q41" s="78">
        <f t="shared" si="57"/>
        <v>0</v>
      </c>
      <c r="S41" s="77" t="s">
        <v>122</v>
      </c>
      <c r="T41" s="78">
        <f t="shared" ref="T41:W41" si="58">SUM(T30:T40)</f>
        <v>0</v>
      </c>
      <c r="U41" s="78">
        <f t="shared" si="58"/>
        <v>0</v>
      </c>
      <c r="V41" s="78">
        <f t="shared" si="58"/>
        <v>0</v>
      </c>
      <c r="W41" s="78">
        <f t="shared" si="58"/>
        <v>0</v>
      </c>
      <c r="Y41" s="77" t="s">
        <v>122</v>
      </c>
      <c r="Z41" s="78">
        <f t="shared" ref="Z41:AC41" si="59">SUM(Z30:Z40)</f>
        <v>0</v>
      </c>
      <c r="AA41" s="78">
        <f t="shared" si="59"/>
        <v>0</v>
      </c>
      <c r="AB41" s="78">
        <f t="shared" si="59"/>
        <v>0</v>
      </c>
      <c r="AC41" s="78">
        <f t="shared" si="59"/>
        <v>0</v>
      </c>
    </row>
    <row r="43">
      <c r="A43" s="77" t="str">
        <f>'W1 Stats'!B13</f>
        <v>NetsPride15</v>
      </c>
      <c r="B43" s="74" t="s">
        <v>94</v>
      </c>
      <c r="C43" s="74" t="s">
        <v>95</v>
      </c>
      <c r="D43" s="74" t="s">
        <v>96</v>
      </c>
      <c r="E43" s="74" t="s">
        <v>97</v>
      </c>
      <c r="F43" s="1"/>
      <c r="G43" s="77" t="str">
        <f>'W1 Stats'!B14</f>
        <v>Saintz The God</v>
      </c>
      <c r="H43" s="74" t="s">
        <v>94</v>
      </c>
      <c r="I43" s="74" t="s">
        <v>95</v>
      </c>
      <c r="J43" s="74" t="s">
        <v>96</v>
      </c>
      <c r="K43" s="74" t="s">
        <v>97</v>
      </c>
      <c r="M43" s="77" t="str">
        <f>'W1 Stats'!B15</f>
        <v>Silva</v>
      </c>
      <c r="N43" s="74" t="s">
        <v>94</v>
      </c>
      <c r="O43" s="74" t="s">
        <v>95</v>
      </c>
      <c r="P43" s="74" t="s">
        <v>96</v>
      </c>
      <c r="Q43" s="74" t="s">
        <v>97</v>
      </c>
      <c r="S43" s="77" t="str">
        <f>'W1 Stats'!B16</f>
        <v>AJ DaJuiceMayne</v>
      </c>
      <c r="T43" s="74" t="s">
        <v>94</v>
      </c>
      <c r="U43" s="74" t="s">
        <v>95</v>
      </c>
      <c r="V43" s="74" t="s">
        <v>96</v>
      </c>
      <c r="W43" s="74" t="s">
        <v>97</v>
      </c>
      <c r="Y43" s="77" t="str">
        <f>'W1 Stats'!B17</f>
        <v>El Diablo X230X</v>
      </c>
      <c r="Z43" s="74" t="s">
        <v>94</v>
      </c>
      <c r="AA43" s="74" t="s">
        <v>95</v>
      </c>
      <c r="AB43" s="74" t="s">
        <v>96</v>
      </c>
      <c r="AC43" s="74" t="s">
        <v>97</v>
      </c>
    </row>
    <row r="44">
      <c r="A44" s="77" t="s">
        <v>108</v>
      </c>
      <c r="B44" s="78">
        <f>'W1 Stats'!D13*B2</f>
        <v>15</v>
      </c>
      <c r="C44" s="78"/>
      <c r="D44" s="78"/>
      <c r="E44" s="78">
        <f>'W1 Stats'!D13*E2</f>
        <v>10</v>
      </c>
      <c r="G44" s="77" t="s">
        <v>108</v>
      </c>
      <c r="H44" s="78">
        <f>'W1 Stats'!D14*H2</f>
        <v>0</v>
      </c>
      <c r="I44" s="78"/>
      <c r="J44" s="78"/>
      <c r="K44" s="78">
        <f>'W1 Stats'!D14*K2</f>
        <v>0</v>
      </c>
      <c r="M44" s="77" t="s">
        <v>108</v>
      </c>
      <c r="N44" s="78">
        <f>'W1 Stats'!D15*N2</f>
        <v>60</v>
      </c>
      <c r="O44" s="78"/>
      <c r="P44" s="78"/>
      <c r="Q44" s="78">
        <f>'W1 Stats'!D15*Q2</f>
        <v>40</v>
      </c>
      <c r="S44" s="77" t="s">
        <v>108</v>
      </c>
      <c r="T44" s="78">
        <f>'W1 Stats'!D16*T2</f>
        <v>0</v>
      </c>
      <c r="U44" s="78"/>
      <c r="V44" s="78"/>
      <c r="W44" s="78">
        <f>'W1 Stats'!D16*W2</f>
        <v>0</v>
      </c>
      <c r="Y44" s="77" t="s">
        <v>108</v>
      </c>
      <c r="Z44" s="78">
        <f>'W1 Stats'!D17*Z2</f>
        <v>0</v>
      </c>
      <c r="AA44" s="78"/>
      <c r="AB44" s="78"/>
      <c r="AC44" s="78">
        <f>'W1 Stats'!D17*AC2</f>
        <v>0</v>
      </c>
    </row>
    <row r="45">
      <c r="A45" s="77" t="s">
        <v>112</v>
      </c>
      <c r="B45" s="99"/>
      <c r="C45" s="99"/>
      <c r="D45" s="78">
        <f>'W1 Stats'!H13*D3</f>
        <v>3</v>
      </c>
      <c r="E45" s="78"/>
      <c r="G45" s="77" t="s">
        <v>112</v>
      </c>
      <c r="H45" s="99"/>
      <c r="I45" s="99"/>
      <c r="J45" s="78">
        <f>'W1 Stats'!H14*J3</f>
        <v>15</v>
      </c>
      <c r="K45" s="78"/>
      <c r="M45" s="77" t="s">
        <v>112</v>
      </c>
      <c r="N45" s="99"/>
      <c r="O45" s="99"/>
      <c r="P45" s="78">
        <f>'W1 Stats'!H15*J3</f>
        <v>23</v>
      </c>
      <c r="Q45" s="78"/>
      <c r="S45" s="77" t="s">
        <v>112</v>
      </c>
      <c r="T45" s="99"/>
      <c r="U45" s="99"/>
      <c r="V45" s="78">
        <f>'W1 Stats'!H16*J3</f>
        <v>4</v>
      </c>
      <c r="W45" s="78"/>
      <c r="Y45" s="77" t="s">
        <v>112</v>
      </c>
      <c r="Z45" s="99"/>
      <c r="AA45" s="99"/>
      <c r="AB45" s="78">
        <f>'W1 Stats'!H17*P3</f>
        <v>0</v>
      </c>
      <c r="AC45" s="78"/>
    </row>
    <row r="46">
      <c r="A46" s="77" t="s">
        <v>113</v>
      </c>
      <c r="B46" s="78">
        <f>'W1 Stats'!I13*B4</f>
        <v>2</v>
      </c>
      <c r="C46" s="99"/>
      <c r="D46" s="99"/>
      <c r="E46" s="78"/>
      <c r="G46" s="77" t="s">
        <v>113</v>
      </c>
      <c r="H46" s="78">
        <f>'W1 Stats'!I14*H4</f>
        <v>16</v>
      </c>
      <c r="I46" s="99"/>
      <c r="J46" s="99"/>
      <c r="K46" s="78"/>
      <c r="M46" s="77" t="s">
        <v>113</v>
      </c>
      <c r="N46" s="78">
        <f>'W1 Stats'!I15*H4</f>
        <v>44</v>
      </c>
      <c r="O46" s="99"/>
      <c r="P46" s="99"/>
      <c r="Q46" s="78"/>
      <c r="S46" s="77" t="s">
        <v>113</v>
      </c>
      <c r="T46" s="78">
        <f>'W1 Stats'!I16*H4</f>
        <v>0</v>
      </c>
      <c r="U46" s="99"/>
      <c r="V46" s="99"/>
      <c r="W46" s="78"/>
      <c r="Y46" s="77" t="s">
        <v>113</v>
      </c>
      <c r="Z46" s="78">
        <f>'W1 Stats'!I17*N4</f>
        <v>0</v>
      </c>
      <c r="AA46" s="99"/>
      <c r="AB46" s="99"/>
      <c r="AC46" s="78"/>
    </row>
    <row r="47">
      <c r="A47" s="77" t="s">
        <v>114</v>
      </c>
      <c r="B47" s="99"/>
      <c r="C47" s="78">
        <f>'W1 Stats'!J13*C5</f>
        <v>-60</v>
      </c>
      <c r="D47" s="99"/>
      <c r="E47" s="78">
        <f>'W1 Stats'!J13*E5</f>
        <v>-30</v>
      </c>
      <c r="G47" s="77" t="s">
        <v>114</v>
      </c>
      <c r="H47" s="99"/>
      <c r="I47" s="78">
        <f>'W1 Stats'!J14*I5</f>
        <v>116</v>
      </c>
      <c r="J47" s="99"/>
      <c r="K47" s="78">
        <f>'W1 Stats'!J14*K5</f>
        <v>58</v>
      </c>
      <c r="M47" s="77" t="s">
        <v>114</v>
      </c>
      <c r="N47" s="99"/>
      <c r="O47" s="78">
        <f>'W1 Stats'!J15*O5</f>
        <v>6</v>
      </c>
      <c r="P47" s="99"/>
      <c r="Q47" s="78">
        <f>'W1 Stats'!J15*Q5</f>
        <v>3</v>
      </c>
      <c r="S47" s="77" t="s">
        <v>114</v>
      </c>
      <c r="T47" s="99"/>
      <c r="U47" s="78">
        <f>'W1 Stats'!J16*U5</f>
        <v>-26</v>
      </c>
      <c r="V47" s="99"/>
      <c r="W47" s="78">
        <f>'W1 Stats'!J16*W5</f>
        <v>-13</v>
      </c>
      <c r="Y47" s="77" t="s">
        <v>114</v>
      </c>
      <c r="Z47" s="99"/>
      <c r="AA47" s="78">
        <f>'W1 Stats'!J17*AA5</f>
        <v>0</v>
      </c>
      <c r="AB47" s="99"/>
      <c r="AC47" s="78">
        <f>'W1 Stats'!J17*AC5</f>
        <v>0</v>
      </c>
    </row>
    <row r="48">
      <c r="A48" s="77" t="s">
        <v>115</v>
      </c>
      <c r="B48" s="78"/>
      <c r="C48" s="78">
        <f>'W1 Stats'!K13*C6</f>
        <v>30</v>
      </c>
      <c r="D48" s="78"/>
      <c r="E48" s="78">
        <f>'W1 Stats'!K13*E6</f>
        <v>15</v>
      </c>
      <c r="G48" s="77" t="s">
        <v>115</v>
      </c>
      <c r="H48" s="78"/>
      <c r="I48" s="78">
        <f>'W1 Stats'!K14*I6</f>
        <v>0</v>
      </c>
      <c r="J48" s="78"/>
      <c r="K48" s="78">
        <f>'W1 Stats'!K14*K6</f>
        <v>0</v>
      </c>
      <c r="M48" s="77" t="s">
        <v>115</v>
      </c>
      <c r="N48" s="78"/>
      <c r="O48" s="78">
        <f>'W1 Stats'!K15*O6</f>
        <v>0</v>
      </c>
      <c r="P48" s="78"/>
      <c r="Q48" s="78">
        <f>'W1 Stats'!K15*Q6</f>
        <v>0</v>
      </c>
      <c r="S48" s="77" t="s">
        <v>115</v>
      </c>
      <c r="T48" s="78"/>
      <c r="U48" s="78">
        <f>'W1 Stats'!K16*U6</f>
        <v>0</v>
      </c>
      <c r="V48" s="78"/>
      <c r="W48" s="78">
        <f>'W1 Stats'!K16*W6</f>
        <v>0</v>
      </c>
      <c r="Y48" s="77" t="s">
        <v>115</v>
      </c>
      <c r="Z48" s="78"/>
      <c r="AA48" s="78">
        <f>'W1 Stats'!K17*AA6</f>
        <v>0</v>
      </c>
      <c r="AB48" s="78"/>
      <c r="AC48" s="78">
        <f>'W1 Stats'!K17*AC6</f>
        <v>0</v>
      </c>
    </row>
    <row r="49">
      <c r="A49" s="77" t="s">
        <v>116</v>
      </c>
      <c r="B49" s="78">
        <f>'W1 Stats'!L13*B7</f>
        <v>0</v>
      </c>
      <c r="C49" s="78"/>
      <c r="D49" s="78">
        <f>'W1 Stats'!L13*D7</f>
        <v>0</v>
      </c>
      <c r="E49" s="78"/>
      <c r="G49" s="77" t="s">
        <v>116</v>
      </c>
      <c r="H49" s="78">
        <f>'W1 Stats'!L14*H7</f>
        <v>45</v>
      </c>
      <c r="I49" s="78"/>
      <c r="J49" s="78">
        <f>'W1 Stats'!L14*J7</f>
        <v>15</v>
      </c>
      <c r="K49" s="78"/>
      <c r="M49" s="77" t="s">
        <v>116</v>
      </c>
      <c r="N49" s="78">
        <f>'W1 Stats'!L15*N7</f>
        <v>45</v>
      </c>
      <c r="O49" s="78"/>
      <c r="P49" s="78">
        <f>'W1 Stats'!L15*P7</f>
        <v>15</v>
      </c>
      <c r="Q49" s="78"/>
      <c r="S49" s="77" t="s">
        <v>116</v>
      </c>
      <c r="T49" s="78">
        <f>'W1 Stats'!L16*T7</f>
        <v>0</v>
      </c>
      <c r="U49" s="78"/>
      <c r="V49" s="78">
        <f>'W1 Stats'!L16*V7</f>
        <v>0</v>
      </c>
      <c r="W49" s="78"/>
      <c r="Y49" s="77" t="s">
        <v>116</v>
      </c>
      <c r="Z49" s="78">
        <f>'W1 Stats'!L17*Z7</f>
        <v>0</v>
      </c>
      <c r="AA49" s="78"/>
      <c r="AB49" s="78">
        <f>'W1 Stats'!L17*AB7</f>
        <v>0</v>
      </c>
      <c r="AC49" s="78"/>
    </row>
    <row r="50">
      <c r="A50" s="77" t="s">
        <v>117</v>
      </c>
      <c r="B50" s="99"/>
      <c r="C50" s="78">
        <f>'W1 Stats'!M13*C8</f>
        <v>48</v>
      </c>
      <c r="D50" s="99"/>
      <c r="E50" s="78"/>
      <c r="G50" s="77" t="s">
        <v>117</v>
      </c>
      <c r="H50" s="99"/>
      <c r="I50" s="78">
        <f>'W1 Stats'!M14*I8</f>
        <v>61</v>
      </c>
      <c r="J50" s="99"/>
      <c r="K50" s="78"/>
      <c r="M50" s="77" t="s">
        <v>117</v>
      </c>
      <c r="N50" s="99"/>
      <c r="O50" s="78">
        <f>'W1 Stats'!M15*O8</f>
        <v>29</v>
      </c>
      <c r="P50" s="99"/>
      <c r="Q50" s="78"/>
      <c r="S50" s="77" t="s">
        <v>117</v>
      </c>
      <c r="T50" s="99"/>
      <c r="U50" s="78">
        <f>'W1 Stats'!M16*U8</f>
        <v>33</v>
      </c>
      <c r="V50" s="99"/>
      <c r="W50" s="78"/>
      <c r="Y50" s="77" t="s">
        <v>117</v>
      </c>
      <c r="Z50" s="99"/>
      <c r="AA50" s="78">
        <f>'W1 Stats'!M17*AA8</f>
        <v>0</v>
      </c>
      <c r="AB50" s="99"/>
      <c r="AC50" s="78"/>
    </row>
    <row r="51">
      <c r="A51" s="77" t="s">
        <v>118</v>
      </c>
      <c r="B51" s="99"/>
      <c r="C51" s="99"/>
      <c r="D51" s="78">
        <f>'W1 Stats'!N13*D9</f>
        <v>45</v>
      </c>
      <c r="E51" s="78">
        <f>'W1 Stats'!N13*E9</f>
        <v>30</v>
      </c>
      <c r="G51" s="77" t="s">
        <v>118</v>
      </c>
      <c r="H51" s="99"/>
      <c r="I51" s="99"/>
      <c r="J51" s="78">
        <f>'W1 Stats'!N14*J9</f>
        <v>120</v>
      </c>
      <c r="K51" s="78">
        <f>'W1 Stats'!N14*K9</f>
        <v>80</v>
      </c>
      <c r="M51" s="77" t="s">
        <v>118</v>
      </c>
      <c r="N51" s="99"/>
      <c r="O51" s="99"/>
      <c r="P51" s="78">
        <f>'W1 Stats'!N15*P9</f>
        <v>15</v>
      </c>
      <c r="Q51" s="78">
        <f>'W1 Stats'!N15*Q9</f>
        <v>10</v>
      </c>
      <c r="S51" s="77" t="s">
        <v>118</v>
      </c>
      <c r="T51" s="99"/>
      <c r="U51" s="99"/>
      <c r="V51" s="78">
        <f>'W1 Stats'!N16*V9</f>
        <v>30</v>
      </c>
      <c r="W51" s="78">
        <f>'W1 Stats'!N16*W9</f>
        <v>20</v>
      </c>
      <c r="Y51" s="77" t="s">
        <v>118</v>
      </c>
      <c r="Z51" s="99"/>
      <c r="AA51" s="99"/>
      <c r="AB51" s="78">
        <f>'W1 Stats'!N17*AB9</f>
        <v>0</v>
      </c>
      <c r="AC51" s="78">
        <f>'W1 Stats'!N17*AC9</f>
        <v>0</v>
      </c>
    </row>
    <row r="52">
      <c r="A52" s="77" t="s">
        <v>119</v>
      </c>
      <c r="B52" s="78"/>
      <c r="C52" s="78">
        <f>'W1 Stats'!O13*C10</f>
        <v>33</v>
      </c>
      <c r="D52" s="99"/>
      <c r="E52" s="78">
        <f>'W1 Stats'!O13*E10</f>
        <v>22</v>
      </c>
      <c r="G52" s="77" t="s">
        <v>119</v>
      </c>
      <c r="H52" s="78"/>
      <c r="I52" s="78">
        <f>'W1 Stats'!O14*I10</f>
        <v>18</v>
      </c>
      <c r="J52" s="99"/>
      <c r="K52" s="78">
        <f>'W1 Stats'!O14*K10</f>
        <v>12</v>
      </c>
      <c r="M52" s="77" t="s">
        <v>119</v>
      </c>
      <c r="N52" s="78"/>
      <c r="O52" s="78">
        <f>'W1 Stats'!O15*O10</f>
        <v>18</v>
      </c>
      <c r="P52" s="99"/>
      <c r="Q52" s="78">
        <f>'W1 Stats'!O15*Q10</f>
        <v>12</v>
      </c>
      <c r="S52" s="77" t="s">
        <v>119</v>
      </c>
      <c r="T52" s="78"/>
      <c r="U52" s="78">
        <f>'W1 Stats'!O16*U10</f>
        <v>18</v>
      </c>
      <c r="V52" s="99"/>
      <c r="W52" s="78">
        <f>'W1 Stats'!O16*W10</f>
        <v>12</v>
      </c>
      <c r="Y52" s="77" t="s">
        <v>119</v>
      </c>
      <c r="Z52" s="78"/>
      <c r="AA52" s="78">
        <f>'W1 Stats'!O17*AA10</f>
        <v>0</v>
      </c>
      <c r="AB52" s="99"/>
      <c r="AC52" s="78">
        <f>'W1 Stats'!O17*AC10</f>
        <v>0</v>
      </c>
    </row>
    <row r="53">
      <c r="A53" s="77" t="s">
        <v>120</v>
      </c>
      <c r="B53" s="99"/>
      <c r="C53" s="99"/>
      <c r="D53" s="78">
        <f>'W1 Stats'!P13*D11</f>
        <v>21</v>
      </c>
      <c r="E53" s="78">
        <f>'W1 Stats'!P13*E11</f>
        <v>14</v>
      </c>
      <c r="G53" s="77" t="s">
        <v>120</v>
      </c>
      <c r="H53" s="99"/>
      <c r="I53" s="99"/>
      <c r="J53" s="78">
        <f>'W1 Stats'!P14*J11</f>
        <v>6</v>
      </c>
      <c r="K53" s="78">
        <f>'W1 Stats'!P14*K11</f>
        <v>4</v>
      </c>
      <c r="M53" s="77" t="s">
        <v>120</v>
      </c>
      <c r="N53" s="99"/>
      <c r="O53" s="99"/>
      <c r="P53" s="78">
        <f>'W1 Stats'!P15*P11</f>
        <v>9</v>
      </c>
      <c r="Q53" s="78">
        <f>'W1 Stats'!P15*Q11</f>
        <v>6</v>
      </c>
      <c r="S53" s="77" t="s">
        <v>120</v>
      </c>
      <c r="T53" s="99"/>
      <c r="U53" s="99"/>
      <c r="V53" s="78">
        <f>'W1 Stats'!P16*V11</f>
        <v>15</v>
      </c>
      <c r="W53" s="78">
        <f>'W1 Stats'!P16*W11</f>
        <v>10</v>
      </c>
      <c r="Y53" s="77" t="s">
        <v>120</v>
      </c>
      <c r="Z53" s="99"/>
      <c r="AA53" s="99"/>
      <c r="AB53" s="78">
        <f>'W1 Stats'!P17*AB11</f>
        <v>0</v>
      </c>
      <c r="AC53" s="78">
        <f>'W1 Stats'!P17*AC11</f>
        <v>0</v>
      </c>
    </row>
    <row r="54">
      <c r="A54" s="77" t="s">
        <v>121</v>
      </c>
      <c r="B54" s="78">
        <f>'W1 Stats'!Q13*B12</f>
        <v>20</v>
      </c>
      <c r="C54" s="78">
        <f>'W1 Stats'!Q13*C12</f>
        <v>20</v>
      </c>
      <c r="D54" s="78">
        <f>'W1 Stats'!Q13*D12</f>
        <v>20</v>
      </c>
      <c r="E54" s="78">
        <f>'W1 Stats'!Q13*E12</f>
        <v>20</v>
      </c>
      <c r="G54" s="77" t="s">
        <v>121</v>
      </c>
      <c r="H54" s="78">
        <f>'W1 Stats'!Q14*H12</f>
        <v>20</v>
      </c>
      <c r="I54" s="78">
        <f>'W1 Stats'!Q14*I12</f>
        <v>20</v>
      </c>
      <c r="J54" s="78">
        <f>'W1 Stats'!Q14*J12</f>
        <v>20</v>
      </c>
      <c r="K54" s="78">
        <f>'W1 Stats'!Q14*K12</f>
        <v>20</v>
      </c>
      <c r="M54" s="77" t="s">
        <v>121</v>
      </c>
      <c r="N54" s="78">
        <f>'W1 Stats'!Q15*N12</f>
        <v>20</v>
      </c>
      <c r="O54" s="78">
        <f>'W1 Stats'!Q15*O12</f>
        <v>20</v>
      </c>
      <c r="P54" s="78">
        <f>'W1 Stats'!Q15*P12</f>
        <v>20</v>
      </c>
      <c r="Q54" s="78">
        <f>'W1 Stats'!Q15*Q12</f>
        <v>20</v>
      </c>
      <c r="S54" s="77" t="s">
        <v>121</v>
      </c>
      <c r="T54" s="78">
        <f>'W1 Stats'!Q16*T12</f>
        <v>20</v>
      </c>
      <c r="U54" s="78">
        <f>'W1 Stats'!Q16*U12</f>
        <v>20</v>
      </c>
      <c r="V54" s="78">
        <f>'W1 Stats'!Q16*V12</f>
        <v>20</v>
      </c>
      <c r="W54" s="78">
        <f>'W1 Stats'!Q16*W12</f>
        <v>20</v>
      </c>
      <c r="Y54" s="77" t="s">
        <v>121</v>
      </c>
      <c r="Z54" s="78">
        <f>'W1 Stats'!Q17*Z12</f>
        <v>0</v>
      </c>
      <c r="AA54" s="78">
        <f>'W1 Stats'!Q17*AA12</f>
        <v>0</v>
      </c>
      <c r="AB54" s="78">
        <f>'W1 Stats'!Q17*AB12</f>
        <v>0</v>
      </c>
      <c r="AC54" s="78">
        <f>'W1 Stats'!Q17*AC12</f>
        <v>0</v>
      </c>
    </row>
    <row r="55">
      <c r="A55" s="77" t="s">
        <v>122</v>
      </c>
      <c r="B55" s="78">
        <f t="shared" ref="B55:E55" si="60">SUM(B44:B54)</f>
        <v>37</v>
      </c>
      <c r="C55" s="78">
        <f t="shared" si="60"/>
        <v>71</v>
      </c>
      <c r="D55" s="78">
        <f t="shared" si="60"/>
        <v>89</v>
      </c>
      <c r="E55" s="78">
        <f t="shared" si="60"/>
        <v>81</v>
      </c>
      <c r="G55" s="77" t="s">
        <v>122</v>
      </c>
      <c r="H55" s="78">
        <f t="shared" ref="H55:K55" si="61">SUM(H44:H54)</f>
        <v>81</v>
      </c>
      <c r="I55" s="78">
        <f t="shared" si="61"/>
        <v>215</v>
      </c>
      <c r="J55" s="78">
        <f t="shared" si="61"/>
        <v>176</v>
      </c>
      <c r="K55" s="78">
        <f t="shared" si="61"/>
        <v>174</v>
      </c>
      <c r="M55" s="77" t="s">
        <v>122</v>
      </c>
      <c r="N55" s="78">
        <f t="shared" ref="N55:Q55" si="62">SUM(N44:N54)</f>
        <v>169</v>
      </c>
      <c r="O55" s="78">
        <f t="shared" si="62"/>
        <v>73</v>
      </c>
      <c r="P55" s="78">
        <f t="shared" si="62"/>
        <v>82</v>
      </c>
      <c r="Q55" s="78">
        <f t="shared" si="62"/>
        <v>91</v>
      </c>
      <c r="S55" s="77" t="s">
        <v>122</v>
      </c>
      <c r="T55" s="78">
        <f t="shared" ref="T55:W55" si="63">SUM(T44:T54)</f>
        <v>20</v>
      </c>
      <c r="U55" s="78">
        <f t="shared" si="63"/>
        <v>45</v>
      </c>
      <c r="V55" s="78">
        <f t="shared" si="63"/>
        <v>69</v>
      </c>
      <c r="W55" s="78">
        <f t="shared" si="63"/>
        <v>49</v>
      </c>
      <c r="Y55" s="77" t="s">
        <v>122</v>
      </c>
      <c r="Z55" s="78">
        <f t="shared" ref="Z55:AC55" si="64">SUM(Z44:Z54)</f>
        <v>0</v>
      </c>
      <c r="AA55" s="78">
        <f t="shared" si="64"/>
        <v>0</v>
      </c>
      <c r="AB55" s="78">
        <f t="shared" si="64"/>
        <v>0</v>
      </c>
      <c r="AC55" s="78">
        <f t="shared" si="64"/>
        <v>0</v>
      </c>
    </row>
    <row r="57">
      <c r="A57" s="77" t="str">
        <f>'W1 Stats'!B18</f>
        <v>Ming Crusader</v>
      </c>
      <c r="B57" s="74" t="s">
        <v>94</v>
      </c>
      <c r="C57" s="74" t="s">
        <v>95</v>
      </c>
      <c r="D57" s="74" t="s">
        <v>96</v>
      </c>
      <c r="E57" s="74" t="s">
        <v>97</v>
      </c>
      <c r="G57" s="77" t="str">
        <f>'W1 Stats'!B19</f>
        <v>Sabasauros Rex</v>
      </c>
      <c r="H57" s="74" t="s">
        <v>94</v>
      </c>
      <c r="I57" s="74" t="s">
        <v>95</v>
      </c>
      <c r="J57" s="74" t="s">
        <v>96</v>
      </c>
      <c r="K57" s="74" t="s">
        <v>97</v>
      </c>
      <c r="M57" s="77" t="str">
        <f>'W1 Stats'!B20</f>
        <v>Jeakilla85</v>
      </c>
      <c r="N57" s="74" t="s">
        <v>94</v>
      </c>
      <c r="O57" s="74" t="s">
        <v>95</v>
      </c>
      <c r="P57" s="74" t="s">
        <v>96</v>
      </c>
      <c r="Q57" s="74" t="s">
        <v>97</v>
      </c>
      <c r="S57" s="77" t="str">
        <f>'W1 Stats'!B21</f>
        <v>KDSkill</v>
      </c>
      <c r="T57" s="74" t="s">
        <v>94</v>
      </c>
      <c r="U57" s="74" t="s">
        <v>95</v>
      </c>
      <c r="V57" s="74" t="s">
        <v>96</v>
      </c>
      <c r="W57" s="74" t="s">
        <v>97</v>
      </c>
      <c r="Y57" s="77" t="str">
        <f>'W1 Stats'!B22</f>
        <v>Myst The Cold</v>
      </c>
      <c r="Z57" s="74" t="s">
        <v>94</v>
      </c>
      <c r="AA57" s="74" t="s">
        <v>95</v>
      </c>
      <c r="AB57" s="74" t="s">
        <v>96</v>
      </c>
      <c r="AC57" s="74" t="s">
        <v>97</v>
      </c>
    </row>
    <row r="58">
      <c r="A58" s="77" t="s">
        <v>108</v>
      </c>
      <c r="B58" s="78">
        <f>'W1 Stats'!D18*B2</f>
        <v>0</v>
      </c>
      <c r="C58" s="78"/>
      <c r="D58" s="78"/>
      <c r="E58" s="78">
        <f>'W1 Stats'!D18*E2</f>
        <v>0</v>
      </c>
      <c r="G58" s="77" t="s">
        <v>108</v>
      </c>
      <c r="H58" s="78">
        <f>'W1 Stats'!D19*H2</f>
        <v>0</v>
      </c>
      <c r="I58" s="78"/>
      <c r="J58" s="78"/>
      <c r="K58" s="78">
        <f>'W1 Stats'!D19*K2</f>
        <v>0</v>
      </c>
      <c r="M58" s="77" t="s">
        <v>108</v>
      </c>
      <c r="N58" s="78">
        <f>'W1 Stats'!D20*N2</f>
        <v>0</v>
      </c>
      <c r="O58" s="78"/>
      <c r="P58" s="78"/>
      <c r="Q58" s="78">
        <f>'W1 Stats'!D20*Q2</f>
        <v>0</v>
      </c>
      <c r="S58" s="77" t="s">
        <v>108</v>
      </c>
      <c r="T58" s="78">
        <f>'W1 Stats'!D21*T2</f>
        <v>0</v>
      </c>
      <c r="U58" s="78"/>
      <c r="V58" s="78"/>
      <c r="W58" s="78">
        <f>'W1 Stats'!D21*W2</f>
        <v>0</v>
      </c>
      <c r="Y58" s="77" t="s">
        <v>108</v>
      </c>
      <c r="Z58" s="78">
        <f>'W1 Stats'!D22*Z2</f>
        <v>0</v>
      </c>
      <c r="AA58" s="78"/>
      <c r="AB58" s="78"/>
      <c r="AC58" s="78">
        <f>'W1 Stats'!D22*AC2</f>
        <v>0</v>
      </c>
    </row>
    <row r="59">
      <c r="A59" s="77" t="s">
        <v>112</v>
      </c>
      <c r="B59" s="78"/>
      <c r="C59" s="78"/>
      <c r="D59" s="78">
        <f>'W1 Stats'!H18*D3</f>
        <v>0</v>
      </c>
      <c r="E59" s="78"/>
      <c r="G59" s="77" t="s">
        <v>112</v>
      </c>
      <c r="H59" s="78"/>
      <c r="I59" s="78"/>
      <c r="J59" s="78">
        <f>'W1 Stats'!H19*J3</f>
        <v>0</v>
      </c>
      <c r="K59" s="78"/>
      <c r="M59" s="77" t="s">
        <v>112</v>
      </c>
      <c r="N59" s="78"/>
      <c r="O59" s="78"/>
      <c r="P59" s="78">
        <f>'W1 Stats'!H20*P3</f>
        <v>0</v>
      </c>
      <c r="Q59" s="78"/>
      <c r="S59" s="77" t="s">
        <v>112</v>
      </c>
      <c r="T59" s="78"/>
      <c r="U59" s="78"/>
      <c r="V59" s="78">
        <f>'W1 Stats'!H21*V3</f>
        <v>0</v>
      </c>
      <c r="W59" s="78"/>
      <c r="Y59" s="77" t="s">
        <v>112</v>
      </c>
      <c r="Z59" s="78"/>
      <c r="AA59" s="78"/>
      <c r="AB59" s="78">
        <f>'W1 Stats'!H22*AB3</f>
        <v>0</v>
      </c>
      <c r="AC59" s="78"/>
    </row>
    <row r="60">
      <c r="A60" s="77" t="s">
        <v>113</v>
      </c>
      <c r="B60" s="78">
        <f>'W1 Stats'!I18*B4</f>
        <v>0</v>
      </c>
      <c r="C60" s="78"/>
      <c r="D60" s="78"/>
      <c r="E60" s="78"/>
      <c r="G60" s="77" t="s">
        <v>113</v>
      </c>
      <c r="H60" s="78">
        <f>'W1 Stats'!I19*H4</f>
        <v>0</v>
      </c>
      <c r="I60" s="78"/>
      <c r="J60" s="78"/>
      <c r="K60" s="78"/>
      <c r="M60" s="77" t="s">
        <v>113</v>
      </c>
      <c r="N60" s="78">
        <f>'W1 Stats'!I20*N4</f>
        <v>0</v>
      </c>
      <c r="O60" s="78"/>
      <c r="P60" s="78"/>
      <c r="Q60" s="78"/>
      <c r="S60" s="77" t="s">
        <v>113</v>
      </c>
      <c r="T60" s="78">
        <f>'W1 Stats'!I21*T4</f>
        <v>0</v>
      </c>
      <c r="U60" s="78"/>
      <c r="V60" s="78"/>
      <c r="W60" s="78"/>
      <c r="Y60" s="77" t="s">
        <v>113</v>
      </c>
      <c r="Z60" s="78">
        <f>'W1 Stats'!I22*Z4</f>
        <v>0</v>
      </c>
      <c r="AA60" s="78"/>
      <c r="AB60" s="78"/>
      <c r="AC60" s="78"/>
    </row>
    <row r="61">
      <c r="A61" s="77" t="s">
        <v>114</v>
      </c>
      <c r="B61" s="78"/>
      <c r="C61" s="78">
        <f>'W1 Stats'!J18*C5</f>
        <v>0</v>
      </c>
      <c r="D61" s="78"/>
      <c r="E61" s="78">
        <f>'W1 Stats'!J18*E5</f>
        <v>0</v>
      </c>
      <c r="G61" s="77" t="s">
        <v>114</v>
      </c>
      <c r="H61" s="78"/>
      <c r="I61" s="78">
        <f>'W1 Stats'!J19*I5</f>
        <v>0</v>
      </c>
      <c r="J61" s="78"/>
      <c r="K61" s="78">
        <f>'W1 Stats'!J19*K5</f>
        <v>0</v>
      </c>
      <c r="M61" s="77" t="s">
        <v>114</v>
      </c>
      <c r="N61" s="78"/>
      <c r="O61" s="78">
        <f>'W1 Stats'!J20*O5</f>
        <v>0</v>
      </c>
      <c r="P61" s="78"/>
      <c r="Q61" s="78">
        <f>'W1 Stats'!J20*Q5</f>
        <v>0</v>
      </c>
      <c r="S61" s="77" t="s">
        <v>114</v>
      </c>
      <c r="T61" s="78"/>
      <c r="U61" s="78">
        <f>'W1 Stats'!J21*U5</f>
        <v>0</v>
      </c>
      <c r="V61" s="78"/>
      <c r="W61" s="78">
        <f>'W1 Stats'!J21*W5</f>
        <v>0</v>
      </c>
      <c r="Y61" s="77" t="s">
        <v>114</v>
      </c>
      <c r="Z61" s="78"/>
      <c r="AA61" s="78">
        <f>'W1 Stats'!J22*AA5</f>
        <v>0</v>
      </c>
      <c r="AB61" s="78"/>
      <c r="AC61" s="78">
        <f>'W1 Stats'!J22*AC5</f>
        <v>0</v>
      </c>
    </row>
    <row r="62">
      <c r="A62" s="77" t="s">
        <v>115</v>
      </c>
      <c r="B62" s="78"/>
      <c r="C62" s="78">
        <f>'W1 Stats'!K18*C6</f>
        <v>0</v>
      </c>
      <c r="D62" s="78"/>
      <c r="E62" s="78">
        <f>'W1 Stats'!K18*E6</f>
        <v>0</v>
      </c>
      <c r="G62" s="77" t="s">
        <v>115</v>
      </c>
      <c r="H62" s="78"/>
      <c r="I62" s="78">
        <f>'W1 Stats'!K19*I6</f>
        <v>0</v>
      </c>
      <c r="J62" s="78"/>
      <c r="K62" s="78">
        <f>'W1 Stats'!K19*K6</f>
        <v>0</v>
      </c>
      <c r="M62" s="77" t="s">
        <v>115</v>
      </c>
      <c r="N62" s="78"/>
      <c r="O62" s="78">
        <f>'W1 Stats'!K20*O6</f>
        <v>0</v>
      </c>
      <c r="P62" s="78"/>
      <c r="Q62" s="78">
        <f>'W1 Stats'!K20*Q6</f>
        <v>0</v>
      </c>
      <c r="S62" s="77" t="s">
        <v>115</v>
      </c>
      <c r="T62" s="78"/>
      <c r="U62" s="78">
        <f>'W1 Stats'!K21*U6</f>
        <v>0</v>
      </c>
      <c r="V62" s="78"/>
      <c r="W62" s="78">
        <f>'W1 Stats'!K21*W6</f>
        <v>0</v>
      </c>
      <c r="Y62" s="77" t="s">
        <v>115</v>
      </c>
      <c r="Z62" s="78"/>
      <c r="AA62" s="78">
        <f>'W1 Stats'!K22*AA6</f>
        <v>0</v>
      </c>
      <c r="AB62" s="78"/>
      <c r="AC62" s="78">
        <f>'W1 Stats'!K22*AC6</f>
        <v>0</v>
      </c>
    </row>
    <row r="63">
      <c r="A63" s="77" t="s">
        <v>116</v>
      </c>
      <c r="B63" s="78">
        <f>'W1 Stats'!L18*B7</f>
        <v>0</v>
      </c>
      <c r="C63" s="78"/>
      <c r="D63" s="78">
        <f>'W1 Stats'!L18*D7</f>
        <v>0</v>
      </c>
      <c r="E63" s="78"/>
      <c r="G63" s="77" t="s">
        <v>116</v>
      </c>
      <c r="H63" s="78">
        <f>'W1 Stats'!L19*H7</f>
        <v>0</v>
      </c>
      <c r="I63" s="78"/>
      <c r="J63" s="78">
        <f>'W1 Stats'!L19*J7</f>
        <v>0</v>
      </c>
      <c r="K63" s="78"/>
      <c r="M63" s="77" t="s">
        <v>116</v>
      </c>
      <c r="N63" s="78">
        <f>'W1 Stats'!L20*N7</f>
        <v>0</v>
      </c>
      <c r="O63" s="78"/>
      <c r="P63" s="78">
        <f>'W1 Stats'!L20*P7</f>
        <v>0</v>
      </c>
      <c r="Q63" s="78"/>
      <c r="S63" s="77" t="s">
        <v>116</v>
      </c>
      <c r="T63" s="78">
        <f>'W1 Stats'!L21*T7</f>
        <v>0</v>
      </c>
      <c r="U63" s="78"/>
      <c r="V63" s="78">
        <f>'W1 Stats'!L21*V7</f>
        <v>0</v>
      </c>
      <c r="W63" s="78"/>
      <c r="Y63" s="77" t="s">
        <v>116</v>
      </c>
      <c r="Z63" s="78">
        <f>'W1 Stats'!L22*Z7</f>
        <v>0</v>
      </c>
      <c r="AA63" s="78"/>
      <c r="AB63" s="78">
        <f>'W1 Stats'!L22*AB7</f>
        <v>0</v>
      </c>
      <c r="AC63" s="78"/>
    </row>
    <row r="64">
      <c r="A64" s="77" t="s">
        <v>117</v>
      </c>
      <c r="B64" s="78"/>
      <c r="C64" s="78">
        <f>'W1 Stats'!M18*C8</f>
        <v>0</v>
      </c>
      <c r="D64" s="78"/>
      <c r="E64" s="78"/>
      <c r="G64" s="77" t="s">
        <v>117</v>
      </c>
      <c r="H64" s="78"/>
      <c r="I64" s="78">
        <f>'W1 Stats'!M19*C8</f>
        <v>0</v>
      </c>
      <c r="J64" s="78"/>
      <c r="K64" s="78"/>
      <c r="M64" s="77" t="s">
        <v>117</v>
      </c>
      <c r="N64" s="78"/>
      <c r="O64" s="78">
        <f>'W1 Stats'!M20*O8</f>
        <v>0</v>
      </c>
      <c r="P64" s="78"/>
      <c r="Q64" s="78"/>
      <c r="S64" s="77" t="s">
        <v>117</v>
      </c>
      <c r="T64" s="78"/>
      <c r="U64" s="78">
        <f>'W1 Stats'!M21*U8</f>
        <v>0</v>
      </c>
      <c r="V64" s="78"/>
      <c r="W64" s="78"/>
      <c r="Y64" s="77" t="s">
        <v>117</v>
      </c>
      <c r="Z64" s="78"/>
      <c r="AA64" s="78">
        <f>'W1 Stats'!M22*AA8</f>
        <v>0</v>
      </c>
      <c r="AB64" s="78"/>
      <c r="AC64" s="78"/>
    </row>
    <row r="65">
      <c r="A65" s="77" t="s">
        <v>118</v>
      </c>
      <c r="B65" s="78"/>
      <c r="C65" s="78"/>
      <c r="D65" s="78">
        <f>'W1 Stats'!N18*D9</f>
        <v>0</v>
      </c>
      <c r="E65" s="78">
        <f>'W1 Stats'!N18*E9</f>
        <v>0</v>
      </c>
      <c r="G65" s="77" t="s">
        <v>118</v>
      </c>
      <c r="H65" s="78"/>
      <c r="I65" s="78"/>
      <c r="J65" s="78">
        <f>'W1 Stats'!N19*J9</f>
        <v>0</v>
      </c>
      <c r="K65" s="78">
        <f>'W1 Stats'!N19*K9</f>
        <v>0</v>
      </c>
      <c r="M65" s="77" t="s">
        <v>118</v>
      </c>
      <c r="N65" s="78"/>
      <c r="O65" s="78"/>
      <c r="P65" s="78">
        <f>'W1 Stats'!N20*P9</f>
        <v>0</v>
      </c>
      <c r="Q65" s="78">
        <f>'W1 Stats'!N20*Q9</f>
        <v>0</v>
      </c>
      <c r="S65" s="77" t="s">
        <v>118</v>
      </c>
      <c r="T65" s="78"/>
      <c r="U65" s="78"/>
      <c r="V65" s="78">
        <f>'W1 Stats'!N21*V9</f>
        <v>0</v>
      </c>
      <c r="W65" s="78">
        <f>'W1 Stats'!N21*W9</f>
        <v>0</v>
      </c>
      <c r="Y65" s="77" t="s">
        <v>118</v>
      </c>
      <c r="Z65" s="78"/>
      <c r="AA65" s="78"/>
      <c r="AB65" s="78">
        <f>'W1 Stats'!N22*AB9</f>
        <v>0</v>
      </c>
      <c r="AC65" s="78">
        <f>'W1 Stats'!N22*AC9</f>
        <v>0</v>
      </c>
    </row>
    <row r="66">
      <c r="A66" s="77" t="s">
        <v>119</v>
      </c>
      <c r="B66" s="78"/>
      <c r="C66" s="78">
        <f>'W1 Stats'!O18*C10</f>
        <v>0</v>
      </c>
      <c r="D66" s="78"/>
      <c r="E66" s="78">
        <f>'W1 Stats'!O18*E10</f>
        <v>0</v>
      </c>
      <c r="G66" s="77" t="s">
        <v>119</v>
      </c>
      <c r="H66" s="78"/>
      <c r="I66" s="78">
        <f>'W1 Stats'!O19*I10</f>
        <v>0</v>
      </c>
      <c r="J66" s="78"/>
      <c r="K66" s="78">
        <f>'W1 Stats'!O19*K10</f>
        <v>0</v>
      </c>
      <c r="M66" s="77" t="s">
        <v>119</v>
      </c>
      <c r="N66" s="78"/>
      <c r="O66" s="78">
        <f>'W1 Stats'!O20*O10</f>
        <v>0</v>
      </c>
      <c r="P66" s="78"/>
      <c r="Q66" s="78">
        <f>'W1 Stats'!O20*Q10</f>
        <v>0</v>
      </c>
      <c r="S66" s="77" t="s">
        <v>119</v>
      </c>
      <c r="T66" s="78"/>
      <c r="U66" s="78">
        <f>'W1 Stats'!O21*U10</f>
        <v>0</v>
      </c>
      <c r="V66" s="78"/>
      <c r="W66" s="78">
        <f>'W1 Stats'!O21*W10</f>
        <v>0</v>
      </c>
      <c r="Y66" s="77" t="s">
        <v>119</v>
      </c>
      <c r="Z66" s="78"/>
      <c r="AA66" s="78">
        <f>'W1 Stats'!O22*AA10</f>
        <v>0</v>
      </c>
      <c r="AB66" s="78"/>
      <c r="AC66" s="78">
        <f>'W1 Stats'!O22*AC10</f>
        <v>0</v>
      </c>
    </row>
    <row r="67">
      <c r="A67" s="77" t="s">
        <v>120</v>
      </c>
      <c r="B67" s="78"/>
      <c r="C67" s="78"/>
      <c r="D67" s="78">
        <f>'W1 Stats'!P18*D11</f>
        <v>0</v>
      </c>
      <c r="E67" s="78">
        <f>'W1 Stats'!P18*E11</f>
        <v>0</v>
      </c>
      <c r="G67" s="77" t="s">
        <v>120</v>
      </c>
      <c r="H67" s="78"/>
      <c r="I67" s="78"/>
      <c r="J67" s="78">
        <f>'W1 Stats'!P19*J11</f>
        <v>0</v>
      </c>
      <c r="K67" s="78">
        <f>'W1 Stats'!P19*K11</f>
        <v>0</v>
      </c>
      <c r="M67" s="77" t="s">
        <v>120</v>
      </c>
      <c r="N67" s="78"/>
      <c r="O67" s="78"/>
      <c r="P67" s="78">
        <f>'W1 Stats'!P20*P11</f>
        <v>0</v>
      </c>
      <c r="Q67" s="78">
        <f>'W1 Stats'!P20*Q11</f>
        <v>0</v>
      </c>
      <c r="S67" s="77" t="s">
        <v>120</v>
      </c>
      <c r="T67" s="78"/>
      <c r="U67" s="78"/>
      <c r="V67" s="78">
        <f>'W1 Stats'!P21*V11</f>
        <v>0</v>
      </c>
      <c r="W67" s="78">
        <f>'W1 Stats'!P21*W11</f>
        <v>0</v>
      </c>
      <c r="Y67" s="77" t="s">
        <v>120</v>
      </c>
      <c r="Z67" s="78"/>
      <c r="AA67" s="78"/>
      <c r="AB67" s="78">
        <f>'W1 Stats'!P22*AB11</f>
        <v>0</v>
      </c>
      <c r="AC67" s="78">
        <f>'W1 Stats'!P22*AC11</f>
        <v>0</v>
      </c>
    </row>
    <row r="68">
      <c r="A68" s="77" t="s">
        <v>121</v>
      </c>
      <c r="B68" s="78">
        <f>'W1 Stats'!Q18*B12</f>
        <v>0</v>
      </c>
      <c r="C68" s="78">
        <f>'W1 Stats'!Q18*C12</f>
        <v>0</v>
      </c>
      <c r="D68" s="78">
        <f>'W1 Stats'!Q18*D12</f>
        <v>0</v>
      </c>
      <c r="E68" s="78">
        <f>'W1 Stats'!Q18*E12</f>
        <v>0</v>
      </c>
      <c r="G68" s="77" t="s">
        <v>121</v>
      </c>
      <c r="H68" s="78">
        <f>'W1 Stats'!Q19*H12</f>
        <v>0</v>
      </c>
      <c r="I68" s="78">
        <f>'W1 Stats'!Q19*I12</f>
        <v>0</v>
      </c>
      <c r="J68" s="78">
        <f>'W1 Stats'!Q19*J12</f>
        <v>0</v>
      </c>
      <c r="K68" s="78">
        <f>'W1 Stats'!Q19*K12</f>
        <v>0</v>
      </c>
      <c r="M68" s="77" t="s">
        <v>121</v>
      </c>
      <c r="N68" s="78">
        <f>'W1 Stats'!Q20*N12</f>
        <v>0</v>
      </c>
      <c r="O68" s="78">
        <f>'W1 Stats'!Q20*O12</f>
        <v>0</v>
      </c>
      <c r="P68" s="78">
        <f>'W1 Stats'!Q20*P12</f>
        <v>0</v>
      </c>
      <c r="Q68" s="78">
        <f>'W1 Stats'!Q20*Q12</f>
        <v>0</v>
      </c>
      <c r="S68" s="77" t="s">
        <v>121</v>
      </c>
      <c r="T68" s="78">
        <f>'W1 Stats'!Q21*T12</f>
        <v>0</v>
      </c>
      <c r="U68" s="78">
        <f>'W1 Stats'!Q21*U12</f>
        <v>0</v>
      </c>
      <c r="V68" s="78">
        <f>'W1 Stats'!Q21*V12</f>
        <v>0</v>
      </c>
      <c r="W68" s="78">
        <f>'W1 Stats'!Q21*W12</f>
        <v>0</v>
      </c>
      <c r="Y68" s="77" t="s">
        <v>121</v>
      </c>
      <c r="Z68" s="78">
        <f>'W1 Stats'!Q22*Z12</f>
        <v>0</v>
      </c>
      <c r="AA68" s="78">
        <f>'W1 Stats'!Q22*AA12</f>
        <v>0</v>
      </c>
      <c r="AB68" s="78">
        <f>'W1 Stats'!Q22*AB12</f>
        <v>0</v>
      </c>
      <c r="AC68" s="78">
        <f>'W1 Stats'!Q22*AC12</f>
        <v>0</v>
      </c>
    </row>
    <row r="69">
      <c r="A69" s="77" t="s">
        <v>122</v>
      </c>
      <c r="B69" s="78">
        <f t="shared" ref="B69:E69" si="65">SUM(B58:B68)</f>
        <v>0</v>
      </c>
      <c r="C69" s="78">
        <f t="shared" si="65"/>
        <v>0</v>
      </c>
      <c r="D69" s="78">
        <f t="shared" si="65"/>
        <v>0</v>
      </c>
      <c r="E69" s="78">
        <f t="shared" si="65"/>
        <v>0</v>
      </c>
      <c r="G69" s="77" t="s">
        <v>122</v>
      </c>
      <c r="H69" s="78">
        <f t="shared" ref="H69:K69" si="66">SUM(H58:H68)</f>
        <v>0</v>
      </c>
      <c r="I69" s="78">
        <f t="shared" si="66"/>
        <v>0</v>
      </c>
      <c r="J69" s="78">
        <f t="shared" si="66"/>
        <v>0</v>
      </c>
      <c r="K69" s="78">
        <f t="shared" si="66"/>
        <v>0</v>
      </c>
      <c r="M69" s="77" t="s">
        <v>122</v>
      </c>
      <c r="N69" s="78">
        <f t="shared" ref="N69:Q69" si="67">SUM(N58:N68)</f>
        <v>0</v>
      </c>
      <c r="O69" s="78">
        <f t="shared" si="67"/>
        <v>0</v>
      </c>
      <c r="P69" s="78">
        <f t="shared" si="67"/>
        <v>0</v>
      </c>
      <c r="Q69" s="78">
        <f t="shared" si="67"/>
        <v>0</v>
      </c>
      <c r="S69" s="77" t="s">
        <v>122</v>
      </c>
      <c r="T69" s="78">
        <f t="shared" ref="T69:W69" si="68">SUM(T58:T68)</f>
        <v>0</v>
      </c>
      <c r="U69" s="78">
        <f t="shared" si="68"/>
        <v>0</v>
      </c>
      <c r="V69" s="78">
        <f t="shared" si="68"/>
        <v>0</v>
      </c>
      <c r="W69" s="78">
        <f t="shared" si="68"/>
        <v>0</v>
      </c>
      <c r="Y69" s="77" t="s">
        <v>122</v>
      </c>
      <c r="Z69" s="78">
        <f t="shared" ref="Z69:AC69" si="69">SUM(Z58:Z68)</f>
        <v>0</v>
      </c>
      <c r="AA69" s="78">
        <f t="shared" si="69"/>
        <v>0</v>
      </c>
      <c r="AB69" s="78">
        <f t="shared" si="69"/>
        <v>0</v>
      </c>
      <c r="AC69" s="78">
        <f t="shared" si="69"/>
        <v>0</v>
      </c>
    </row>
    <row r="71">
      <c r="A71" s="77" t="str">
        <f>'W1 Stats'!B23</f>
        <v>KING RICKXL</v>
      </c>
      <c r="B71" s="74" t="s">
        <v>94</v>
      </c>
      <c r="C71" s="74" t="s">
        <v>95</v>
      </c>
      <c r="D71" s="74" t="s">
        <v>96</v>
      </c>
      <c r="E71" s="74" t="s">
        <v>97</v>
      </c>
      <c r="F71" s="1"/>
      <c r="G71" s="77" t="str">
        <f>'W1 Stats'!B25</f>
        <v>imShad</v>
      </c>
      <c r="H71" s="74" t="s">
        <v>94</v>
      </c>
      <c r="I71" s="74" t="s">
        <v>95</v>
      </c>
      <c r="J71" s="74" t="s">
        <v>96</v>
      </c>
      <c r="K71" s="74" t="s">
        <v>97</v>
      </c>
      <c r="M71" s="77" t="str">
        <f>'W1 Stats'!B26</f>
        <v>ixGingy</v>
      </c>
      <c r="N71" s="74" t="s">
        <v>94</v>
      </c>
      <c r="O71" s="74" t="s">
        <v>95</v>
      </c>
      <c r="P71" s="74" t="s">
        <v>96</v>
      </c>
      <c r="Q71" s="74" t="s">
        <v>97</v>
      </c>
      <c r="S71" s="77" t="str">
        <f>'W1 Stats'!B27</f>
        <v>Ezy08</v>
      </c>
      <c r="T71" s="74" t="s">
        <v>94</v>
      </c>
      <c r="U71" s="74" t="s">
        <v>95</v>
      </c>
      <c r="V71" s="74" t="s">
        <v>96</v>
      </c>
      <c r="W71" s="74" t="s">
        <v>97</v>
      </c>
      <c r="Y71" s="77" t="str">
        <f>'W1 Stats'!B28</f>
        <v>Almighty Tycoon</v>
      </c>
      <c r="Z71" s="74" t="s">
        <v>94</v>
      </c>
      <c r="AA71" s="74" t="s">
        <v>95</v>
      </c>
      <c r="AB71" s="74" t="s">
        <v>96</v>
      </c>
      <c r="AC71" s="74" t="s">
        <v>97</v>
      </c>
    </row>
    <row r="72">
      <c r="A72" s="77" t="s">
        <v>108</v>
      </c>
      <c r="B72" s="78">
        <f>'W1 Stats'!D23*B2</f>
        <v>0</v>
      </c>
      <c r="C72" s="78"/>
      <c r="D72" s="78"/>
      <c r="E72" s="78">
        <f>'W1 Stats'!D23*E2</f>
        <v>0</v>
      </c>
      <c r="G72" s="77" t="s">
        <v>108</v>
      </c>
      <c r="H72" s="78">
        <f>'W1 Stats'!D25*H2</f>
        <v>0</v>
      </c>
      <c r="I72" s="78"/>
      <c r="J72" s="78"/>
      <c r="K72" s="78">
        <f>'W1 Stats'!D25*K2</f>
        <v>0</v>
      </c>
      <c r="M72" s="77" t="s">
        <v>108</v>
      </c>
      <c r="N72" s="78">
        <f>'W1 Stats'!D26*N2</f>
        <v>0</v>
      </c>
      <c r="O72" s="78"/>
      <c r="P72" s="78"/>
      <c r="Q72" s="78">
        <f>'W1 Stats'!D26*Q2</f>
        <v>0</v>
      </c>
      <c r="S72" s="77" t="s">
        <v>108</v>
      </c>
      <c r="T72" s="78">
        <f>'W1 Stats'!D27*T2</f>
        <v>15</v>
      </c>
      <c r="U72" s="78"/>
      <c r="V72" s="78"/>
      <c r="W72" s="78">
        <f>'W1 Stats'!D27*W2</f>
        <v>10</v>
      </c>
      <c r="Y72" s="77" t="s">
        <v>108</v>
      </c>
      <c r="Z72" s="78">
        <f>'W1 Stats'!D28*Z2</f>
        <v>45</v>
      </c>
      <c r="AA72" s="78"/>
      <c r="AB72" s="78"/>
      <c r="AC72" s="78">
        <f>'W1 Stats'!D28*AC2</f>
        <v>30</v>
      </c>
    </row>
    <row r="73">
      <c r="A73" s="77" t="s">
        <v>112</v>
      </c>
      <c r="B73" s="99"/>
      <c r="C73" s="99"/>
      <c r="D73" s="78">
        <f>'W1 Stats'!H23*D3</f>
        <v>0</v>
      </c>
      <c r="E73" s="78"/>
      <c r="G73" s="77" t="s">
        <v>112</v>
      </c>
      <c r="H73" s="99"/>
      <c r="I73" s="99"/>
      <c r="J73" s="78">
        <f>'W1 Stats'!H25*J3</f>
        <v>0</v>
      </c>
      <c r="K73" s="78"/>
      <c r="M73" s="77" t="s">
        <v>112</v>
      </c>
      <c r="N73" s="99"/>
      <c r="O73" s="99"/>
      <c r="P73" s="78">
        <f>'W1 Stats'!H26*J3</f>
        <v>15</v>
      </c>
      <c r="Q73" s="78"/>
      <c r="S73" s="77" t="s">
        <v>112</v>
      </c>
      <c r="T73" s="99"/>
      <c r="U73" s="99"/>
      <c r="V73" s="78">
        <f>'W1 Stats'!H27*J3</f>
        <v>11</v>
      </c>
      <c r="W73" s="78"/>
      <c r="Y73" s="77" t="s">
        <v>112</v>
      </c>
      <c r="Z73" s="99"/>
      <c r="AA73" s="99"/>
      <c r="AB73" s="78">
        <f>'W1 Stats'!H28*P3</f>
        <v>15</v>
      </c>
      <c r="AC73" s="78"/>
    </row>
    <row r="74">
      <c r="A74" s="77" t="s">
        <v>113</v>
      </c>
      <c r="B74" s="78">
        <f>'W1 Stats'!I23*B4</f>
        <v>0</v>
      </c>
      <c r="C74" s="99"/>
      <c r="D74" s="99"/>
      <c r="E74" s="78"/>
      <c r="G74" s="77" t="s">
        <v>113</v>
      </c>
      <c r="H74" s="78">
        <f>'W1 Stats'!I25*H4</f>
        <v>0</v>
      </c>
      <c r="I74" s="99"/>
      <c r="J74" s="99"/>
      <c r="K74" s="78"/>
      <c r="M74" s="77" t="s">
        <v>113</v>
      </c>
      <c r="N74" s="78">
        <f>'W1 Stats'!I26*H4</f>
        <v>2</v>
      </c>
      <c r="O74" s="99"/>
      <c r="P74" s="99"/>
      <c r="Q74" s="78"/>
      <c r="S74" s="77" t="s">
        <v>113</v>
      </c>
      <c r="T74" s="78">
        <f>'W1 Stats'!I27*H4</f>
        <v>6</v>
      </c>
      <c r="U74" s="99"/>
      <c r="V74" s="99"/>
      <c r="W74" s="78"/>
      <c r="Y74" s="77" t="s">
        <v>113</v>
      </c>
      <c r="Z74" s="78">
        <f>'W1 Stats'!I28*N4</f>
        <v>26</v>
      </c>
      <c r="AA74" s="99"/>
      <c r="AB74" s="99"/>
      <c r="AC74" s="78"/>
    </row>
    <row r="75">
      <c r="A75" s="77" t="s">
        <v>114</v>
      </c>
      <c r="B75" s="99"/>
      <c r="C75" s="78">
        <f>'W1 Stats'!J23*C5</f>
        <v>0</v>
      </c>
      <c r="D75" s="99"/>
      <c r="E75" s="78">
        <f>'W1 Stats'!J23*E5</f>
        <v>0</v>
      </c>
      <c r="G75" s="77" t="s">
        <v>114</v>
      </c>
      <c r="H75" s="78"/>
      <c r="I75" s="78">
        <f>'W1 Stats'!J25*I5</f>
        <v>0</v>
      </c>
      <c r="J75" s="99"/>
      <c r="K75" s="78">
        <f>'W1 Stats'!J25*K5</f>
        <v>0</v>
      </c>
      <c r="M75" s="77" t="s">
        <v>114</v>
      </c>
      <c r="N75" s="99"/>
      <c r="O75" s="78">
        <f>'W1 Stats'!J26*O5</f>
        <v>30</v>
      </c>
      <c r="P75" s="99"/>
      <c r="Q75" s="78">
        <f>'W1 Stats'!J26*Q5</f>
        <v>15</v>
      </c>
      <c r="S75" s="77" t="s">
        <v>114</v>
      </c>
      <c r="T75" s="99"/>
      <c r="U75" s="78">
        <f>'W1 Stats'!J27*U5</f>
        <v>2</v>
      </c>
      <c r="V75" s="99"/>
      <c r="W75" s="78">
        <f>'W1 Stats'!J27*W5</f>
        <v>1</v>
      </c>
      <c r="Y75" s="77" t="s">
        <v>114</v>
      </c>
      <c r="Z75" s="99"/>
      <c r="AA75" s="78">
        <f>'W1 Stats'!J28*AA5</f>
        <v>-64</v>
      </c>
      <c r="AB75" s="99"/>
      <c r="AC75" s="78">
        <f>'W1 Stats'!J28*AC5</f>
        <v>-32</v>
      </c>
    </row>
    <row r="76">
      <c r="A76" s="77" t="s">
        <v>115</v>
      </c>
      <c r="B76" s="78"/>
      <c r="C76" s="78">
        <f>'W1 Stats'!K23*C6</f>
        <v>0</v>
      </c>
      <c r="D76" s="78"/>
      <c r="E76" s="78">
        <f>'W1 Stats'!K23*E6</f>
        <v>0</v>
      </c>
      <c r="G76" s="77" t="s">
        <v>115</v>
      </c>
      <c r="H76" s="78"/>
      <c r="I76" s="78">
        <f>'W1 Stats'!K25*I6</f>
        <v>0</v>
      </c>
      <c r="J76" s="78"/>
      <c r="K76" s="78">
        <f>'W1 Stats'!K25*K6</f>
        <v>0</v>
      </c>
      <c r="M76" s="77" t="s">
        <v>115</v>
      </c>
      <c r="N76" s="78"/>
      <c r="O76" s="78">
        <f>'W1 Stats'!K26*O6</f>
        <v>30</v>
      </c>
      <c r="P76" s="78"/>
      <c r="Q76" s="78">
        <f>'W1 Stats'!K26*Q6</f>
        <v>15</v>
      </c>
      <c r="S76" s="77" t="s">
        <v>115</v>
      </c>
      <c r="T76" s="78"/>
      <c r="U76" s="78">
        <f>'W1 Stats'!K27*U6</f>
        <v>0</v>
      </c>
      <c r="V76" s="78"/>
      <c r="W76" s="78">
        <f>'W1 Stats'!K27*W6</f>
        <v>0</v>
      </c>
      <c r="Y76" s="77" t="s">
        <v>115</v>
      </c>
      <c r="Z76" s="78"/>
      <c r="AA76" s="78">
        <f>'W1 Stats'!K28*AA6</f>
        <v>0</v>
      </c>
      <c r="AB76" s="78"/>
      <c r="AC76" s="78">
        <f>'W1 Stats'!K28*AC6</f>
        <v>0</v>
      </c>
    </row>
    <row r="77">
      <c r="A77" s="77" t="s">
        <v>116</v>
      </c>
      <c r="B77" s="78">
        <f>'W1 Stats'!L23*B7</f>
        <v>0</v>
      </c>
      <c r="C77" s="78"/>
      <c r="D77" s="78">
        <f>'W1 Stats'!L23*D7</f>
        <v>0</v>
      </c>
      <c r="E77" s="78"/>
      <c r="G77" s="77" t="s">
        <v>116</v>
      </c>
      <c r="H77" s="78">
        <f>'W1 Stats'!L25*H7</f>
        <v>0</v>
      </c>
      <c r="I77" s="78"/>
      <c r="J77" s="78">
        <f>'W1 Stats'!L25*J7</f>
        <v>0</v>
      </c>
      <c r="K77" s="78"/>
      <c r="M77" s="77" t="s">
        <v>116</v>
      </c>
      <c r="N77" s="78">
        <f>'W1 Stats'!L26*N7</f>
        <v>0</v>
      </c>
      <c r="O77" s="78"/>
      <c r="P77" s="78">
        <f>'W1 Stats'!L26*P7</f>
        <v>0</v>
      </c>
      <c r="Q77" s="78"/>
      <c r="S77" s="77" t="s">
        <v>116</v>
      </c>
      <c r="T77" s="78">
        <f>'W1 Stats'!L27*T7</f>
        <v>15</v>
      </c>
      <c r="U77" s="78"/>
      <c r="V77" s="78">
        <f>'W1 Stats'!L27*V7</f>
        <v>5</v>
      </c>
      <c r="W77" s="78"/>
      <c r="Y77" s="77" t="s">
        <v>116</v>
      </c>
      <c r="Z77" s="78">
        <f>'W1 Stats'!L28*Z7</f>
        <v>30</v>
      </c>
      <c r="AA77" s="78"/>
      <c r="AB77" s="78">
        <f>'W1 Stats'!L28*AB7</f>
        <v>10</v>
      </c>
      <c r="AC77" s="78"/>
    </row>
    <row r="78">
      <c r="A78" s="77" t="s">
        <v>117</v>
      </c>
      <c r="B78" s="99"/>
      <c r="C78" s="78">
        <f>'W1 Stats'!M23*C8</f>
        <v>0</v>
      </c>
      <c r="D78" s="99"/>
      <c r="E78" s="78"/>
      <c r="G78" s="77" t="s">
        <v>117</v>
      </c>
      <c r="H78" s="99"/>
      <c r="I78" s="78">
        <f>'W1 Stats'!M25*I8</f>
        <v>0</v>
      </c>
      <c r="J78" s="99"/>
      <c r="K78" s="78"/>
      <c r="M78" s="77" t="s">
        <v>117</v>
      </c>
      <c r="N78" s="99"/>
      <c r="O78" s="78">
        <f>'W1 Stats'!M26*O8</f>
        <v>52</v>
      </c>
      <c r="P78" s="99"/>
      <c r="Q78" s="78"/>
      <c r="S78" s="77" t="s">
        <v>117</v>
      </c>
      <c r="T78" s="99"/>
      <c r="U78" s="78">
        <f>'W1 Stats'!M27*U8</f>
        <v>37</v>
      </c>
      <c r="V78" s="99"/>
      <c r="W78" s="78"/>
      <c r="Y78" s="77" t="s">
        <v>117</v>
      </c>
      <c r="Z78" s="99"/>
      <c r="AA78" s="78">
        <f>'W1 Stats'!M28*AA8</f>
        <v>20</v>
      </c>
      <c r="AB78" s="99"/>
      <c r="AC78" s="78"/>
    </row>
    <row r="79">
      <c r="A79" s="77" t="s">
        <v>118</v>
      </c>
      <c r="B79" s="99"/>
      <c r="C79" s="99"/>
      <c r="D79" s="78">
        <f>'W1 Stats'!N23*D9</f>
        <v>0</v>
      </c>
      <c r="E79" s="78">
        <f>'W1 Stats'!N23*E9</f>
        <v>0</v>
      </c>
      <c r="G79" s="77" t="s">
        <v>118</v>
      </c>
      <c r="H79" s="99"/>
      <c r="I79" s="99"/>
      <c r="J79" s="78">
        <f>'W1 Stats'!N25*J9</f>
        <v>0</v>
      </c>
      <c r="K79" s="78">
        <f>'W1 Stats'!N25*K9</f>
        <v>0</v>
      </c>
      <c r="M79" s="77" t="s">
        <v>118</v>
      </c>
      <c r="N79" s="99"/>
      <c r="O79" s="99"/>
      <c r="P79" s="78">
        <f>'W1 Stats'!N26*P9</f>
        <v>45</v>
      </c>
      <c r="Q79" s="78">
        <f>'W1 Stats'!N26*Q9</f>
        <v>30</v>
      </c>
      <c r="S79" s="77" t="s">
        <v>118</v>
      </c>
      <c r="T79" s="99"/>
      <c r="U79" s="99"/>
      <c r="V79" s="78">
        <f>'W1 Stats'!N27*V9</f>
        <v>15</v>
      </c>
      <c r="W79" s="78">
        <f>'W1 Stats'!N27*W9</f>
        <v>10</v>
      </c>
      <c r="Y79" s="77" t="s">
        <v>118</v>
      </c>
      <c r="Z79" s="99"/>
      <c r="AA79" s="99"/>
      <c r="AB79" s="78">
        <f>'W1 Stats'!N28*AB9</f>
        <v>60</v>
      </c>
      <c r="AC79" s="78">
        <f>'W1 Stats'!N28*AC9</f>
        <v>40</v>
      </c>
    </row>
    <row r="80">
      <c r="A80" s="77" t="s">
        <v>119</v>
      </c>
      <c r="B80" s="78"/>
      <c r="C80" s="78">
        <f>'W1 Stats'!O23*C10</f>
        <v>0</v>
      </c>
      <c r="D80" s="99"/>
      <c r="E80" s="78">
        <f>'W1 Stats'!O23*E10</f>
        <v>0</v>
      </c>
      <c r="G80" s="77" t="s">
        <v>119</v>
      </c>
      <c r="H80" s="78"/>
      <c r="I80" s="78">
        <f>'W1 Stats'!O25*I10</f>
        <v>0</v>
      </c>
      <c r="J80" s="99"/>
      <c r="K80" s="78">
        <f>'W1 Stats'!O25*K10</f>
        <v>0</v>
      </c>
      <c r="M80" s="77" t="s">
        <v>119</v>
      </c>
      <c r="N80" s="78"/>
      <c r="O80" s="78">
        <f>'W1 Stats'!O26*O10</f>
        <v>21</v>
      </c>
      <c r="P80" s="99"/>
      <c r="Q80" s="78">
        <f>'W1 Stats'!O26*Q10</f>
        <v>14</v>
      </c>
      <c r="S80" s="77" t="s">
        <v>119</v>
      </c>
      <c r="T80" s="78"/>
      <c r="U80" s="78">
        <f>'W1 Stats'!O27*U10</f>
        <v>45</v>
      </c>
      <c r="V80" s="99"/>
      <c r="W80" s="78">
        <f>'W1 Stats'!O27*W10</f>
        <v>30</v>
      </c>
      <c r="Y80" s="77" t="s">
        <v>119</v>
      </c>
      <c r="Z80" s="78"/>
      <c r="AA80" s="78">
        <f>'W1 Stats'!O28*AA10</f>
        <v>15</v>
      </c>
      <c r="AB80" s="99"/>
      <c r="AC80" s="78">
        <f>'W1 Stats'!O28*AC10</f>
        <v>10</v>
      </c>
    </row>
    <row r="81">
      <c r="A81" s="77" t="s">
        <v>120</v>
      </c>
      <c r="B81" s="99"/>
      <c r="C81" s="99"/>
      <c r="D81" s="78">
        <f>'W1 Stats'!P23*D11</f>
        <v>0</v>
      </c>
      <c r="E81" s="78">
        <f>'W1 Stats'!P23*E11</f>
        <v>0</v>
      </c>
      <c r="G81" s="77" t="s">
        <v>120</v>
      </c>
      <c r="H81" s="99"/>
      <c r="I81" s="99"/>
      <c r="J81" s="78">
        <f>'W1 Stats'!P25*J11</f>
        <v>0</v>
      </c>
      <c r="K81" s="78">
        <f>'W1 Stats'!P25*K11</f>
        <v>0</v>
      </c>
      <c r="M81" s="77" t="s">
        <v>120</v>
      </c>
      <c r="N81" s="99"/>
      <c r="O81" s="99"/>
      <c r="P81" s="78">
        <f>'W1 Stats'!P26*P11</f>
        <v>12</v>
      </c>
      <c r="Q81" s="78">
        <f>'W1 Stats'!P26*Q11</f>
        <v>8</v>
      </c>
      <c r="S81" s="77" t="s">
        <v>120</v>
      </c>
      <c r="T81" s="99"/>
      <c r="U81" s="99"/>
      <c r="V81" s="78">
        <f>'W1 Stats'!P27*V11</f>
        <v>9</v>
      </c>
      <c r="W81" s="78">
        <f>'W1 Stats'!P27*W11</f>
        <v>6</v>
      </c>
      <c r="Y81" s="77" t="s">
        <v>120</v>
      </c>
      <c r="Z81" s="99"/>
      <c r="AA81" s="99"/>
      <c r="AB81" s="78">
        <f>'W1 Stats'!P28*AB11</f>
        <v>12</v>
      </c>
      <c r="AC81" s="78">
        <f>'W1 Stats'!P28*AC11</f>
        <v>8</v>
      </c>
    </row>
    <row r="82">
      <c r="A82" s="77" t="s">
        <v>121</v>
      </c>
      <c r="B82" s="78">
        <f>'W1 Stats'!Q23*B12</f>
        <v>0</v>
      </c>
      <c r="C82" s="78">
        <f>'W1 Stats'!Q23*C12</f>
        <v>0</v>
      </c>
      <c r="D82" s="78">
        <f>'W1 Stats'!Q23*D12</f>
        <v>0</v>
      </c>
      <c r="E82" s="78">
        <f>'W1 Stats'!Q23*E12</f>
        <v>0</v>
      </c>
      <c r="G82" s="77" t="s">
        <v>121</v>
      </c>
      <c r="H82" s="78">
        <f>'W1 Stats'!Q25*H12</f>
        <v>0</v>
      </c>
      <c r="I82" s="78">
        <f>'W1 Stats'!Q25*I12</f>
        <v>0</v>
      </c>
      <c r="J82" s="78">
        <f>'W1 Stats'!Q25*J12</f>
        <v>0</v>
      </c>
      <c r="K82" s="78">
        <f>'W1 Stats'!Q25*K12</f>
        <v>0</v>
      </c>
      <c r="M82" s="77" t="s">
        <v>121</v>
      </c>
      <c r="N82" s="78">
        <f>'W1 Stats'!Q26*N12</f>
        <v>0</v>
      </c>
      <c r="O82" s="78">
        <f>'W1 Stats'!Q26*O12</f>
        <v>0</v>
      </c>
      <c r="P82" s="78">
        <f>'W1 Stats'!Q26*P12</f>
        <v>0</v>
      </c>
      <c r="Q82" s="78">
        <f>'W1 Stats'!Q26*Q12</f>
        <v>0</v>
      </c>
      <c r="S82" s="77" t="s">
        <v>121</v>
      </c>
      <c r="T82" s="78">
        <f>'W1 Stats'!Q27*T12</f>
        <v>0</v>
      </c>
      <c r="U82" s="78">
        <f>'W1 Stats'!Q27*U12</f>
        <v>0</v>
      </c>
      <c r="V82" s="78">
        <f>'W1 Stats'!Q27*V12</f>
        <v>0</v>
      </c>
      <c r="W82" s="78">
        <f>'W1 Stats'!Q27*W12</f>
        <v>0</v>
      </c>
      <c r="Y82" s="77" t="s">
        <v>121</v>
      </c>
      <c r="Z82" s="78">
        <f>'W1 Stats'!Q28*Z12</f>
        <v>0</v>
      </c>
      <c r="AA82" s="78">
        <f>'W1 Stats'!Q28*AA12</f>
        <v>0</v>
      </c>
      <c r="AB82" s="78">
        <f>'W1 Stats'!Q28*AB12</f>
        <v>0</v>
      </c>
      <c r="AC82" s="78">
        <f>'W1 Stats'!Q28*AC12</f>
        <v>0</v>
      </c>
    </row>
    <row r="83">
      <c r="A83" s="77" t="s">
        <v>122</v>
      </c>
      <c r="B83" s="78">
        <f t="shared" ref="B83:E83" si="70">SUM(B72:B82)</f>
        <v>0</v>
      </c>
      <c r="C83" s="78">
        <f t="shared" si="70"/>
        <v>0</v>
      </c>
      <c r="D83" s="78">
        <f t="shared" si="70"/>
        <v>0</v>
      </c>
      <c r="E83" s="78">
        <f t="shared" si="70"/>
        <v>0</v>
      </c>
      <c r="G83" s="77" t="s">
        <v>122</v>
      </c>
      <c r="H83" s="78">
        <f t="shared" ref="H83:K83" si="71">SUM(H72:H82)</f>
        <v>0</v>
      </c>
      <c r="I83" s="78">
        <f t="shared" si="71"/>
        <v>0</v>
      </c>
      <c r="J83" s="78">
        <f t="shared" si="71"/>
        <v>0</v>
      </c>
      <c r="K83" s="78">
        <f t="shared" si="71"/>
        <v>0</v>
      </c>
      <c r="M83" s="77" t="s">
        <v>122</v>
      </c>
      <c r="N83" s="78">
        <f t="shared" ref="N83:Q83" si="72">SUM(N72:N82)</f>
        <v>2</v>
      </c>
      <c r="O83" s="78">
        <f t="shared" si="72"/>
        <v>133</v>
      </c>
      <c r="P83" s="78">
        <f t="shared" si="72"/>
        <v>72</v>
      </c>
      <c r="Q83" s="78">
        <f t="shared" si="72"/>
        <v>82</v>
      </c>
      <c r="S83" s="77" t="s">
        <v>122</v>
      </c>
      <c r="T83" s="78">
        <f t="shared" ref="T83:W83" si="73">SUM(T72:T82)</f>
        <v>36</v>
      </c>
      <c r="U83" s="78">
        <f t="shared" si="73"/>
        <v>84</v>
      </c>
      <c r="V83" s="78">
        <f t="shared" si="73"/>
        <v>40</v>
      </c>
      <c r="W83" s="78">
        <f t="shared" si="73"/>
        <v>57</v>
      </c>
      <c r="Y83" s="77" t="s">
        <v>122</v>
      </c>
      <c r="Z83" s="78">
        <f t="shared" ref="Z83:AC83" si="74">SUM(Z72:Z82)</f>
        <v>101</v>
      </c>
      <c r="AA83" s="78">
        <f t="shared" si="74"/>
        <v>-29</v>
      </c>
      <c r="AB83" s="78">
        <f t="shared" si="74"/>
        <v>97</v>
      </c>
      <c r="AC83" s="78">
        <f t="shared" si="74"/>
        <v>56</v>
      </c>
    </row>
    <row r="85">
      <c r="A85" s="77" t="str">
        <f>'W1 Stats'!B29</f>
        <v>The Piggies</v>
      </c>
      <c r="B85" s="74" t="s">
        <v>94</v>
      </c>
      <c r="C85" s="74" t="s">
        <v>95</v>
      </c>
      <c r="D85" s="74" t="s">
        <v>96</v>
      </c>
      <c r="E85" s="74" t="s">
        <v>97</v>
      </c>
      <c r="F85" s="1"/>
      <c r="G85" s="77" t="str">
        <f>'W1 Stats'!B30</f>
        <v>Invayda Zim</v>
      </c>
      <c r="H85" s="74" t="s">
        <v>94</v>
      </c>
      <c r="I85" s="74" t="s">
        <v>95</v>
      </c>
      <c r="J85" s="74" t="s">
        <v>96</v>
      </c>
      <c r="K85" s="74" t="s">
        <v>97</v>
      </c>
      <c r="M85" s="77" t="str">
        <f>'W1 Stats'!B31</f>
        <v>DlGITAL PAIN</v>
      </c>
      <c r="N85" s="74" t="s">
        <v>94</v>
      </c>
      <c r="O85" s="74" t="s">
        <v>95</v>
      </c>
      <c r="P85" s="74" t="s">
        <v>96</v>
      </c>
      <c r="Q85" s="74" t="s">
        <v>97</v>
      </c>
      <c r="S85" s="77" t="str">
        <f>'W1 Stats'!B32</f>
        <v>PoisonxPoptart</v>
      </c>
      <c r="T85" s="74" t="s">
        <v>94</v>
      </c>
      <c r="U85" s="74" t="s">
        <v>95</v>
      </c>
      <c r="V85" s="74" t="s">
        <v>96</v>
      </c>
      <c r="W85" s="74" t="s">
        <v>97</v>
      </c>
      <c r="Y85" s="77" t="str">
        <f>'W1 Stats'!B33</f>
        <v>Mang Canon</v>
      </c>
      <c r="Z85" s="74" t="s">
        <v>94</v>
      </c>
      <c r="AA85" s="74" t="s">
        <v>95</v>
      </c>
      <c r="AB85" s="74" t="s">
        <v>96</v>
      </c>
      <c r="AC85" s="74" t="s">
        <v>97</v>
      </c>
    </row>
    <row r="86">
      <c r="A86" s="77" t="s">
        <v>108</v>
      </c>
      <c r="B86" s="78">
        <f>'W1 Stats'!D29*B2</f>
        <v>0</v>
      </c>
      <c r="C86" s="78"/>
      <c r="D86" s="78"/>
      <c r="E86" s="78">
        <f>'W1 Stats'!D29*E2</f>
        <v>0</v>
      </c>
      <c r="G86" s="77" t="s">
        <v>108</v>
      </c>
      <c r="H86" s="78">
        <f>'W1 Stats'!D30*H2</f>
        <v>0</v>
      </c>
      <c r="I86" s="78"/>
      <c r="J86" s="78"/>
      <c r="K86" s="78">
        <f>'W1 Stats'!D30*K2</f>
        <v>0</v>
      </c>
      <c r="M86" s="77" t="s">
        <v>108</v>
      </c>
      <c r="N86" s="78">
        <f>'W1 Stats'!D31*N2</f>
        <v>0</v>
      </c>
      <c r="O86" s="78"/>
      <c r="P86" s="78"/>
      <c r="Q86" s="78">
        <f>'W1 Stats'!D31*Q2</f>
        <v>0</v>
      </c>
      <c r="S86" s="77" t="s">
        <v>108</v>
      </c>
      <c r="T86" s="78">
        <f>'W1 Stats'!D32*T2</f>
        <v>0</v>
      </c>
      <c r="U86" s="78"/>
      <c r="V86" s="78"/>
      <c r="W86" s="78">
        <f>'W1 Stats'!D32*W2</f>
        <v>0</v>
      </c>
      <c r="Y86" s="77" t="s">
        <v>108</v>
      </c>
      <c r="Z86" s="78">
        <f>'W1 Stats'!D33*Z2</f>
        <v>0</v>
      </c>
      <c r="AA86" s="78"/>
      <c r="AB86" s="78"/>
      <c r="AC86" s="78">
        <f>'W1 Stats'!D33*AC2</f>
        <v>0</v>
      </c>
    </row>
    <row r="87">
      <c r="A87" s="77" t="s">
        <v>112</v>
      </c>
      <c r="B87" s="78"/>
      <c r="C87" s="78"/>
      <c r="D87" s="78">
        <f>'W1 Stats'!H29*D3</f>
        <v>0</v>
      </c>
      <c r="E87" s="78"/>
      <c r="G87" s="77" t="s">
        <v>112</v>
      </c>
      <c r="H87" s="78"/>
      <c r="I87" s="78"/>
      <c r="J87" s="78">
        <f>'W1 Stats'!H30*J3</f>
        <v>0</v>
      </c>
      <c r="K87" s="78"/>
      <c r="M87" s="77" t="s">
        <v>112</v>
      </c>
      <c r="N87" s="78"/>
      <c r="O87" s="78"/>
      <c r="P87" s="78">
        <f>'W1 Stats'!H31*P3</f>
        <v>0</v>
      </c>
      <c r="Q87" s="78"/>
      <c r="S87" s="77" t="s">
        <v>112</v>
      </c>
      <c r="T87" s="78"/>
      <c r="U87" s="78"/>
      <c r="V87" s="78">
        <f>'W1 Stats'!H32*V3</f>
        <v>0</v>
      </c>
      <c r="W87" s="78"/>
      <c r="Y87" s="77" t="s">
        <v>112</v>
      </c>
      <c r="Z87" s="78"/>
      <c r="AA87" s="78"/>
      <c r="AB87" s="78">
        <f>'W1 Stats'!H33*AB3</f>
        <v>0</v>
      </c>
      <c r="AC87" s="78"/>
    </row>
    <row r="88">
      <c r="A88" s="77" t="s">
        <v>113</v>
      </c>
      <c r="B88" s="78">
        <f>'W1 Stats'!I29*B4</f>
        <v>0</v>
      </c>
      <c r="C88" s="78"/>
      <c r="D88" s="78"/>
      <c r="E88" s="78"/>
      <c r="G88" s="77" t="s">
        <v>113</v>
      </c>
      <c r="H88" s="78">
        <f>'W1 Stats'!I30*H4</f>
        <v>0</v>
      </c>
      <c r="I88" s="78"/>
      <c r="J88" s="78"/>
      <c r="K88" s="78"/>
      <c r="M88" s="77" t="s">
        <v>113</v>
      </c>
      <c r="N88" s="78">
        <f>'W1 Stats'!I31*N4</f>
        <v>0</v>
      </c>
      <c r="O88" s="78"/>
      <c r="P88" s="78"/>
      <c r="Q88" s="78"/>
      <c r="S88" s="77" t="s">
        <v>113</v>
      </c>
      <c r="T88" s="78">
        <f>'W1 Stats'!I32*T4</f>
        <v>0</v>
      </c>
      <c r="U88" s="78"/>
      <c r="V88" s="78"/>
      <c r="W88" s="78"/>
      <c r="Y88" s="77" t="s">
        <v>113</v>
      </c>
      <c r="Z88" s="78">
        <f>'W1 Stats'!I33*Z4</f>
        <v>0</v>
      </c>
      <c r="AA88" s="78"/>
      <c r="AB88" s="78"/>
      <c r="AC88" s="78"/>
    </row>
    <row r="89">
      <c r="A89" s="77" t="s">
        <v>114</v>
      </c>
      <c r="B89" s="78"/>
      <c r="C89" s="78">
        <f>'W1 Stats'!J29*C5</f>
        <v>0</v>
      </c>
      <c r="D89" s="78"/>
      <c r="E89" s="78">
        <f>'W1 Stats'!J29*E5</f>
        <v>0</v>
      </c>
      <c r="G89" s="77" t="s">
        <v>114</v>
      </c>
      <c r="H89" s="78"/>
      <c r="I89" s="78">
        <f>'W1 Stats'!J30*I5</f>
        <v>0</v>
      </c>
      <c r="J89" s="78"/>
      <c r="K89" s="78">
        <f>'W1 Stats'!J30*K5</f>
        <v>0</v>
      </c>
      <c r="M89" s="77" t="s">
        <v>114</v>
      </c>
      <c r="N89" s="78"/>
      <c r="O89" s="78">
        <f>'W1 Stats'!J31*O5</f>
        <v>0</v>
      </c>
      <c r="P89" s="78"/>
      <c r="Q89" s="78">
        <f>'W1 Stats'!J31*Q5</f>
        <v>0</v>
      </c>
      <c r="S89" s="77" t="s">
        <v>114</v>
      </c>
      <c r="T89" s="78"/>
      <c r="U89" s="78">
        <f>'W1 Stats'!J32*U5</f>
        <v>0</v>
      </c>
      <c r="V89" s="78"/>
      <c r="W89" s="78">
        <f>'W1 Stats'!J32*W5</f>
        <v>0</v>
      </c>
      <c r="Y89" s="77" t="s">
        <v>114</v>
      </c>
      <c r="Z89" s="78"/>
      <c r="AA89" s="78">
        <f>'W1 Stats'!J33*AA5</f>
        <v>0</v>
      </c>
      <c r="AB89" s="78"/>
      <c r="AC89" s="78">
        <f>'W1 Stats'!J33*AC5</f>
        <v>0</v>
      </c>
    </row>
    <row r="90">
      <c r="A90" s="77" t="s">
        <v>115</v>
      </c>
      <c r="B90" s="78"/>
      <c r="C90" s="78">
        <f>'W1 Stats'!K29*C6</f>
        <v>0</v>
      </c>
      <c r="D90" s="78"/>
      <c r="E90" s="78">
        <f>'W1 Stats'!K29*E6</f>
        <v>0</v>
      </c>
      <c r="G90" s="77" t="s">
        <v>115</v>
      </c>
      <c r="H90" s="78"/>
      <c r="I90" s="78">
        <f>'W1 Stats'!K30*I6</f>
        <v>0</v>
      </c>
      <c r="J90" s="78"/>
      <c r="K90" s="78">
        <f>'W1 Stats'!K30*K6</f>
        <v>0</v>
      </c>
      <c r="M90" s="77" t="s">
        <v>115</v>
      </c>
      <c r="N90" s="78"/>
      <c r="O90" s="78">
        <f>'W1 Stats'!K31*O6</f>
        <v>0</v>
      </c>
      <c r="P90" s="78"/>
      <c r="Q90" s="78">
        <f>'W1 Stats'!K31*Q6</f>
        <v>0</v>
      </c>
      <c r="S90" s="77" t="s">
        <v>115</v>
      </c>
      <c r="T90" s="78"/>
      <c r="U90" s="78">
        <f>'W1 Stats'!K32*U6</f>
        <v>0</v>
      </c>
      <c r="V90" s="78"/>
      <c r="W90" s="78">
        <f>'W1 Stats'!K32*W6</f>
        <v>0</v>
      </c>
      <c r="Y90" s="77" t="s">
        <v>115</v>
      </c>
      <c r="Z90" s="78"/>
      <c r="AA90" s="78">
        <f>'W1 Stats'!K33*AA6</f>
        <v>0</v>
      </c>
      <c r="AB90" s="78"/>
      <c r="AC90" s="78">
        <f>'W1 Stats'!K33*AC6</f>
        <v>0</v>
      </c>
    </row>
    <row r="91">
      <c r="A91" s="77" t="s">
        <v>116</v>
      </c>
      <c r="B91" s="78">
        <f>'W1 Stats'!L29*B7</f>
        <v>0</v>
      </c>
      <c r="C91" s="78"/>
      <c r="D91" s="78">
        <f>'W1 Stats'!L29*D7</f>
        <v>0</v>
      </c>
      <c r="E91" s="78"/>
      <c r="G91" s="77" t="s">
        <v>116</v>
      </c>
      <c r="H91" s="78">
        <f>'W1 Stats'!L30*H7</f>
        <v>0</v>
      </c>
      <c r="I91" s="78"/>
      <c r="J91" s="78">
        <f>'W1 Stats'!L30*J7</f>
        <v>0</v>
      </c>
      <c r="K91" s="78"/>
      <c r="M91" s="77" t="s">
        <v>116</v>
      </c>
      <c r="N91" s="78">
        <f>'W1 Stats'!L31*N7</f>
        <v>0</v>
      </c>
      <c r="O91" s="78"/>
      <c r="P91" s="78">
        <f>'W1 Stats'!L31*P7</f>
        <v>0</v>
      </c>
      <c r="Q91" s="78"/>
      <c r="S91" s="77" t="s">
        <v>116</v>
      </c>
      <c r="T91" s="78">
        <f>'W1 Stats'!L32*T7</f>
        <v>0</v>
      </c>
      <c r="U91" s="78"/>
      <c r="V91" s="78">
        <f>'W1 Stats'!L32*V7</f>
        <v>0</v>
      </c>
      <c r="W91" s="78"/>
      <c r="Y91" s="77" t="s">
        <v>116</v>
      </c>
      <c r="Z91" s="78">
        <f>'W1 Stats'!L33*Z7</f>
        <v>0</v>
      </c>
      <c r="AA91" s="78"/>
      <c r="AB91" s="78">
        <f>'W1 Stats'!L33*AB7</f>
        <v>0</v>
      </c>
      <c r="AC91" s="78"/>
    </row>
    <row r="92">
      <c r="A92" s="77" t="s">
        <v>117</v>
      </c>
      <c r="B92" s="78"/>
      <c r="C92" s="78">
        <f>'W1 Stats'!M29*C8</f>
        <v>0</v>
      </c>
      <c r="D92" s="78"/>
      <c r="E92" s="78"/>
      <c r="G92" s="77" t="s">
        <v>117</v>
      </c>
      <c r="H92" s="78"/>
      <c r="I92" s="78">
        <f>'W1 Stats'!M30*C8</f>
        <v>0</v>
      </c>
      <c r="J92" s="78"/>
      <c r="K92" s="78"/>
      <c r="M92" s="77" t="s">
        <v>117</v>
      </c>
      <c r="N92" s="78"/>
      <c r="O92" s="78">
        <f>'W1 Stats'!M31*O8</f>
        <v>0</v>
      </c>
      <c r="P92" s="78"/>
      <c r="Q92" s="78"/>
      <c r="S92" s="77" t="s">
        <v>117</v>
      </c>
      <c r="T92" s="78"/>
      <c r="U92" s="78">
        <f>'W1 Stats'!M32*U8</f>
        <v>0</v>
      </c>
      <c r="V92" s="78"/>
      <c r="W92" s="78"/>
      <c r="Y92" s="77" t="s">
        <v>117</v>
      </c>
      <c r="Z92" s="78"/>
      <c r="AA92" s="78">
        <f>'W1 Stats'!M33*AA8</f>
        <v>0</v>
      </c>
      <c r="AB92" s="78"/>
      <c r="AC92" s="78"/>
    </row>
    <row r="93">
      <c r="A93" s="77" t="s">
        <v>118</v>
      </c>
      <c r="B93" s="78"/>
      <c r="C93" s="78"/>
      <c r="D93" s="78">
        <f>'W1 Stats'!N29*D9</f>
        <v>0</v>
      </c>
      <c r="E93" s="78">
        <f>'W1 Stats'!N29*E9</f>
        <v>0</v>
      </c>
      <c r="G93" s="77" t="s">
        <v>118</v>
      </c>
      <c r="H93" s="78"/>
      <c r="I93" s="78"/>
      <c r="J93" s="78">
        <f>'W1 Stats'!N30*J9</f>
        <v>0</v>
      </c>
      <c r="K93" s="78">
        <f>'W1 Stats'!N30*K9</f>
        <v>0</v>
      </c>
      <c r="M93" s="77" t="s">
        <v>118</v>
      </c>
      <c r="N93" s="78"/>
      <c r="O93" s="78"/>
      <c r="P93" s="78">
        <f>'W1 Stats'!N31*P9</f>
        <v>0</v>
      </c>
      <c r="Q93" s="78">
        <f>'W1 Stats'!N31*Q9</f>
        <v>0</v>
      </c>
      <c r="S93" s="77" t="s">
        <v>118</v>
      </c>
      <c r="T93" s="78"/>
      <c r="U93" s="78"/>
      <c r="V93" s="78">
        <f>'W1 Stats'!N32*V9</f>
        <v>0</v>
      </c>
      <c r="W93" s="78">
        <f>'W1 Stats'!N32*W9</f>
        <v>0</v>
      </c>
      <c r="Y93" s="77" t="s">
        <v>118</v>
      </c>
      <c r="Z93" s="78"/>
      <c r="AA93" s="78"/>
      <c r="AB93" s="78">
        <f>'W1 Stats'!N33*AB9</f>
        <v>0</v>
      </c>
      <c r="AC93" s="78">
        <f>'W1 Stats'!N33*AC9</f>
        <v>0</v>
      </c>
    </row>
    <row r="94">
      <c r="A94" s="77" t="s">
        <v>119</v>
      </c>
      <c r="B94" s="78"/>
      <c r="C94" s="78">
        <f>'W1 Stats'!O29*C10</f>
        <v>0</v>
      </c>
      <c r="D94" s="78"/>
      <c r="E94" s="78">
        <f>'W1 Stats'!O29*E10</f>
        <v>0</v>
      </c>
      <c r="G94" s="77" t="s">
        <v>119</v>
      </c>
      <c r="H94" s="78"/>
      <c r="I94" s="78">
        <f>'W1 Stats'!O30*I10</f>
        <v>0</v>
      </c>
      <c r="J94" s="78"/>
      <c r="K94" s="78">
        <f>'W1 Stats'!O30*K10</f>
        <v>0</v>
      </c>
      <c r="M94" s="77" t="s">
        <v>119</v>
      </c>
      <c r="N94" s="78"/>
      <c r="O94" s="78">
        <f>'W1 Stats'!O31*O10</f>
        <v>0</v>
      </c>
      <c r="P94" s="78"/>
      <c r="Q94" s="78">
        <f>'W1 Stats'!O31*Q10</f>
        <v>0</v>
      </c>
      <c r="S94" s="77" t="s">
        <v>119</v>
      </c>
      <c r="T94" s="78"/>
      <c r="U94" s="78">
        <f>'W1 Stats'!O32*U10</f>
        <v>0</v>
      </c>
      <c r="V94" s="78"/>
      <c r="W94" s="78">
        <f>'W1 Stats'!O32*W10</f>
        <v>0</v>
      </c>
      <c r="Y94" s="77" t="s">
        <v>119</v>
      </c>
      <c r="Z94" s="78"/>
      <c r="AA94" s="78">
        <f>'W1 Stats'!O33*AA10</f>
        <v>0</v>
      </c>
      <c r="AB94" s="78"/>
      <c r="AC94" s="78">
        <f>'W1 Stats'!O33*AC10</f>
        <v>0</v>
      </c>
    </row>
    <row r="95">
      <c r="A95" s="77" t="s">
        <v>120</v>
      </c>
      <c r="B95" s="78"/>
      <c r="C95" s="78"/>
      <c r="D95" s="78">
        <f>'W1 Stats'!P29*D11</f>
        <v>0</v>
      </c>
      <c r="E95" s="78">
        <f>'W1 Stats'!P29*E11</f>
        <v>0</v>
      </c>
      <c r="G95" s="77" t="s">
        <v>120</v>
      </c>
      <c r="H95" s="78"/>
      <c r="I95" s="78"/>
      <c r="J95" s="78">
        <f>'W1 Stats'!P30*J11</f>
        <v>0</v>
      </c>
      <c r="K95" s="78">
        <f>'W1 Stats'!P30*K11</f>
        <v>0</v>
      </c>
      <c r="M95" s="77" t="s">
        <v>120</v>
      </c>
      <c r="N95" s="78"/>
      <c r="O95" s="78"/>
      <c r="P95" s="78">
        <f>'W1 Stats'!P31*P11</f>
        <v>0</v>
      </c>
      <c r="Q95" s="78">
        <f>'W1 Stats'!P31*Q11</f>
        <v>0</v>
      </c>
      <c r="S95" s="77" t="s">
        <v>120</v>
      </c>
      <c r="T95" s="78"/>
      <c r="U95" s="78"/>
      <c r="V95" s="78">
        <f>'W1 Stats'!P32*V11</f>
        <v>0</v>
      </c>
      <c r="W95" s="78">
        <f>'W1 Stats'!P32*W11</f>
        <v>0</v>
      </c>
      <c r="Y95" s="77" t="s">
        <v>120</v>
      </c>
      <c r="Z95" s="78"/>
      <c r="AA95" s="78"/>
      <c r="AB95" s="78">
        <f>'W1 Stats'!P33*AB11</f>
        <v>0</v>
      </c>
      <c r="AC95" s="78">
        <f>'W1 Stats'!P33*AC11</f>
        <v>0</v>
      </c>
    </row>
    <row r="96">
      <c r="A96" s="77" t="s">
        <v>121</v>
      </c>
      <c r="B96" s="78">
        <f>'W1 Stats'!Q29*B12</f>
        <v>0</v>
      </c>
      <c r="C96" s="78">
        <f>'W1 Stats'!Q29*C12</f>
        <v>0</v>
      </c>
      <c r="D96" s="78">
        <f>'W1 Stats'!Q29*D12</f>
        <v>0</v>
      </c>
      <c r="E96" s="78">
        <f>'W1 Stats'!Q29*E12</f>
        <v>0</v>
      </c>
      <c r="G96" s="77" t="s">
        <v>121</v>
      </c>
      <c r="H96" s="78">
        <f>'W1 Stats'!Q30*H12</f>
        <v>0</v>
      </c>
      <c r="I96" s="78">
        <f>'W1 Stats'!Q30*I12</f>
        <v>0</v>
      </c>
      <c r="J96" s="78">
        <f>'W1 Stats'!Q30*J12</f>
        <v>0</v>
      </c>
      <c r="K96" s="78">
        <f>'W1 Stats'!Q30*K12</f>
        <v>0</v>
      </c>
      <c r="M96" s="77" t="s">
        <v>121</v>
      </c>
      <c r="N96" s="78">
        <f>'W1 Stats'!Q31*N12</f>
        <v>0</v>
      </c>
      <c r="O96" s="78">
        <f>'W1 Stats'!Q31*O12</f>
        <v>0</v>
      </c>
      <c r="P96" s="78">
        <f>'W1 Stats'!Q31*P12</f>
        <v>0</v>
      </c>
      <c r="Q96" s="78">
        <f>'W1 Stats'!Q31*Q12</f>
        <v>0</v>
      </c>
      <c r="S96" s="77" t="s">
        <v>121</v>
      </c>
      <c r="T96" s="78">
        <f>'W1 Stats'!Q32*T12</f>
        <v>0</v>
      </c>
      <c r="U96" s="78">
        <f>'W1 Stats'!Q32*U12</f>
        <v>0</v>
      </c>
      <c r="V96" s="78">
        <f>'W1 Stats'!Q32*V12</f>
        <v>0</v>
      </c>
      <c r="W96" s="78">
        <f>'W1 Stats'!Q32*W12</f>
        <v>0</v>
      </c>
      <c r="Y96" s="77" t="s">
        <v>121</v>
      </c>
      <c r="Z96" s="78">
        <f>'W1 Stats'!Q33*Z12</f>
        <v>0</v>
      </c>
      <c r="AA96" s="78">
        <f>'W1 Stats'!Q33*AA12</f>
        <v>0</v>
      </c>
      <c r="AB96" s="78">
        <f>'W1 Stats'!Q33*AB12</f>
        <v>0</v>
      </c>
      <c r="AC96" s="78">
        <f>'W1 Stats'!Q33*AC12</f>
        <v>0</v>
      </c>
    </row>
    <row r="97">
      <c r="A97" s="77" t="s">
        <v>122</v>
      </c>
      <c r="B97" s="78">
        <f t="shared" ref="B97:E97" si="75">SUM(B86:B96)</f>
        <v>0</v>
      </c>
      <c r="C97" s="78">
        <f t="shared" si="75"/>
        <v>0</v>
      </c>
      <c r="D97" s="78">
        <f t="shared" si="75"/>
        <v>0</v>
      </c>
      <c r="E97" s="78">
        <f t="shared" si="75"/>
        <v>0</v>
      </c>
      <c r="G97" s="77" t="s">
        <v>122</v>
      </c>
      <c r="H97" s="78">
        <f t="shared" ref="H97:K97" si="76">SUM(H86:H96)</f>
        <v>0</v>
      </c>
      <c r="I97" s="78">
        <f t="shared" si="76"/>
        <v>0</v>
      </c>
      <c r="J97" s="78">
        <f t="shared" si="76"/>
        <v>0</v>
      </c>
      <c r="K97" s="78">
        <f t="shared" si="76"/>
        <v>0</v>
      </c>
      <c r="M97" s="77" t="s">
        <v>122</v>
      </c>
      <c r="N97" s="78">
        <f t="shared" ref="N97:Q97" si="77">SUM(N86:N96)</f>
        <v>0</v>
      </c>
      <c r="O97" s="78">
        <f t="shared" si="77"/>
        <v>0</v>
      </c>
      <c r="P97" s="78">
        <f t="shared" si="77"/>
        <v>0</v>
      </c>
      <c r="Q97" s="78">
        <f t="shared" si="77"/>
        <v>0</v>
      </c>
      <c r="S97" s="77" t="s">
        <v>122</v>
      </c>
      <c r="T97" s="78">
        <f t="shared" ref="T97:W97" si="78">SUM(T86:T96)</f>
        <v>0</v>
      </c>
      <c r="U97" s="78">
        <f t="shared" si="78"/>
        <v>0</v>
      </c>
      <c r="V97" s="78">
        <f t="shared" si="78"/>
        <v>0</v>
      </c>
      <c r="W97" s="78">
        <f t="shared" si="78"/>
        <v>0</v>
      </c>
      <c r="Y97" s="77" t="s">
        <v>122</v>
      </c>
      <c r="Z97" s="78">
        <f t="shared" ref="Z97:AC97" si="79">SUM(Z86:Z96)</f>
        <v>0</v>
      </c>
      <c r="AA97" s="78">
        <f t="shared" si="79"/>
        <v>0</v>
      </c>
      <c r="AB97" s="78">
        <f t="shared" si="79"/>
        <v>0</v>
      </c>
      <c r="AC97" s="78">
        <f t="shared" si="79"/>
        <v>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7" max="7" width="2.25"/>
    <col customWidth="1" min="8" max="8" width="11.88"/>
    <col customWidth="1" min="14" max="14" width="2.25"/>
    <col customWidth="1" min="15" max="15" width="11.88"/>
  </cols>
  <sheetData>
    <row r="1">
      <c r="A1" s="73" t="s">
        <v>18</v>
      </c>
      <c r="H1" s="73" t="s">
        <v>21</v>
      </c>
      <c r="O1" s="73" t="s">
        <v>25</v>
      </c>
    </row>
    <row r="2">
      <c r="A2" s="74" t="s">
        <v>7</v>
      </c>
      <c r="B2" s="74" t="s">
        <v>94</v>
      </c>
      <c r="C2" s="74" t="s">
        <v>95</v>
      </c>
      <c r="D2" s="74" t="s">
        <v>96</v>
      </c>
      <c r="E2" s="74" t="s">
        <v>97</v>
      </c>
      <c r="F2" s="74" t="s">
        <v>98</v>
      </c>
      <c r="H2" s="74" t="s">
        <v>7</v>
      </c>
      <c r="I2" s="74" t="s">
        <v>94</v>
      </c>
      <c r="J2" s="74" t="s">
        <v>95</v>
      </c>
      <c r="K2" s="74" t="s">
        <v>96</v>
      </c>
      <c r="L2" s="74" t="s">
        <v>97</v>
      </c>
      <c r="M2" s="74" t="s">
        <v>98</v>
      </c>
      <c r="O2" s="74" t="s">
        <v>7</v>
      </c>
      <c r="P2" s="74" t="s">
        <v>94</v>
      </c>
      <c r="Q2" s="74" t="s">
        <v>95</v>
      </c>
      <c r="R2" s="74" t="s">
        <v>96</v>
      </c>
      <c r="S2" s="74" t="s">
        <v>97</v>
      </c>
      <c r="T2" s="74" t="s">
        <v>98</v>
      </c>
    </row>
    <row r="3">
      <c r="A3" s="75" t="s">
        <v>19</v>
      </c>
      <c r="B3" s="75" t="s">
        <v>99</v>
      </c>
      <c r="C3" s="75" t="s">
        <v>100</v>
      </c>
      <c r="D3" s="75" t="s">
        <v>101</v>
      </c>
      <c r="E3" s="75" t="s">
        <v>102</v>
      </c>
      <c r="F3" s="75" t="s">
        <v>103</v>
      </c>
      <c r="G3" s="76"/>
      <c r="H3" s="75" t="s">
        <v>22</v>
      </c>
      <c r="I3" s="75" t="s">
        <v>39</v>
      </c>
      <c r="J3" s="75" t="s">
        <v>104</v>
      </c>
      <c r="K3" s="75" t="s">
        <v>37</v>
      </c>
      <c r="L3" s="75" t="s">
        <v>105</v>
      </c>
      <c r="M3" s="75" t="s">
        <v>106</v>
      </c>
      <c r="N3" s="76"/>
      <c r="O3" s="75" t="s">
        <v>25</v>
      </c>
      <c r="P3" s="75" t="s">
        <v>106</v>
      </c>
      <c r="Q3" s="75" t="s">
        <v>25</v>
      </c>
      <c r="R3" s="75" t="s">
        <v>101</v>
      </c>
      <c r="S3" s="75" t="s">
        <v>107</v>
      </c>
      <c r="T3" s="75" t="s">
        <v>102</v>
      </c>
    </row>
    <row r="4">
      <c r="A4" s="77" t="s">
        <v>108</v>
      </c>
      <c r="B4" s="78">
        <f>'W2 Points'!H30</f>
        <v>0</v>
      </c>
      <c r="C4" s="78" t="str">
        <f>'W2 Points'!I86</f>
        <v/>
      </c>
      <c r="D4" s="78" t="str">
        <f>'W2 Points'!D16</f>
        <v/>
      </c>
      <c r="E4" s="78">
        <f>'W2 Points'!Q30</f>
        <v>0</v>
      </c>
      <c r="F4" s="78" t="s">
        <v>109</v>
      </c>
      <c r="H4" s="77" t="s">
        <v>108</v>
      </c>
      <c r="I4" s="78">
        <f>'W2 Points'!T58</f>
        <v>0</v>
      </c>
      <c r="J4" s="78" t="str">
        <f>'W2 Points'!I16</f>
        <v/>
      </c>
      <c r="K4" s="78" t="str">
        <f>'W2 Points'!D58</f>
        <v/>
      </c>
      <c r="L4" s="78">
        <f>'W2 Points'!W16</f>
        <v>0</v>
      </c>
      <c r="M4" s="78" t="s">
        <v>110</v>
      </c>
      <c r="O4" s="77" t="s">
        <v>108</v>
      </c>
      <c r="P4" s="78">
        <f>'W2 Points'!Z72</f>
        <v>0</v>
      </c>
      <c r="Q4" s="78" t="str">
        <f>'W2 Points'!O72</f>
        <v/>
      </c>
      <c r="R4" s="78" t="str">
        <f>'W2 Points'!D16</f>
        <v/>
      </c>
      <c r="S4" s="78">
        <f>'W2 Points'!E86</f>
        <v>0</v>
      </c>
      <c r="T4" s="78" t="s">
        <v>111</v>
      </c>
    </row>
    <row r="5">
      <c r="A5" s="77" t="s">
        <v>112</v>
      </c>
      <c r="B5" s="78" t="str">
        <f>'W2 Points'!H31</f>
        <v/>
      </c>
      <c r="C5" s="78" t="str">
        <f>'W2 Points'!I87</f>
        <v/>
      </c>
      <c r="D5" s="78">
        <f>'W2 Points'!D17</f>
        <v>0</v>
      </c>
      <c r="E5" s="78" t="str">
        <f>'W2 Points'!Q31</f>
        <v/>
      </c>
      <c r="F5" s="78"/>
      <c r="H5" s="77" t="s">
        <v>112</v>
      </c>
      <c r="I5" s="78" t="str">
        <f>'W2 Points'!T59</f>
        <v/>
      </c>
      <c r="J5" s="78" t="str">
        <f>'W2 Points'!I17</f>
        <v/>
      </c>
      <c r="K5" s="78">
        <f>'W2 Points'!D59</f>
        <v>0</v>
      </c>
      <c r="L5" s="78" t="str">
        <f>'W2 Points'!W17</f>
        <v/>
      </c>
      <c r="M5" s="78"/>
      <c r="O5" s="77" t="s">
        <v>112</v>
      </c>
      <c r="P5" s="78" t="str">
        <f>'W2 Points'!Z73</f>
        <v/>
      </c>
      <c r="Q5" s="78" t="str">
        <f>'W2 Points'!O73</f>
        <v/>
      </c>
      <c r="R5" s="78">
        <f>'W2 Points'!D17</f>
        <v>0</v>
      </c>
      <c r="S5" s="78" t="str">
        <f>'W2 Points'!E87</f>
        <v/>
      </c>
      <c r="T5" s="78"/>
    </row>
    <row r="6">
      <c r="A6" s="77" t="s">
        <v>113</v>
      </c>
      <c r="B6" s="78">
        <f>'W2 Points'!H32</f>
        <v>0</v>
      </c>
      <c r="C6" s="78" t="str">
        <f>'W2 Points'!I88</f>
        <v/>
      </c>
      <c r="D6" s="78" t="str">
        <f>'W2 Points'!D18</f>
        <v/>
      </c>
      <c r="E6" s="78" t="str">
        <f>'W2 Points'!Q32</f>
        <v/>
      </c>
      <c r="F6" s="78"/>
      <c r="H6" s="77" t="s">
        <v>113</v>
      </c>
      <c r="I6" s="78">
        <f>'W2 Points'!T60</f>
        <v>0</v>
      </c>
      <c r="J6" s="78" t="str">
        <f>'W2 Points'!I18</f>
        <v/>
      </c>
      <c r="K6" s="78" t="str">
        <f>'W2 Points'!D60</f>
        <v/>
      </c>
      <c r="L6" s="78" t="str">
        <f>'W2 Points'!W18</f>
        <v/>
      </c>
      <c r="M6" s="78"/>
      <c r="O6" s="77" t="s">
        <v>113</v>
      </c>
      <c r="P6" s="78">
        <f>'W2 Points'!Z74</f>
        <v>0</v>
      </c>
      <c r="Q6" s="78" t="str">
        <f>'W2 Points'!O74</f>
        <v/>
      </c>
      <c r="R6" s="78" t="str">
        <f>'W2 Points'!D18</f>
        <v/>
      </c>
      <c r="S6" s="78" t="str">
        <f>'W2 Points'!E88</f>
        <v/>
      </c>
      <c r="T6" s="78"/>
    </row>
    <row r="7">
      <c r="A7" s="77" t="s">
        <v>114</v>
      </c>
      <c r="B7" s="78" t="str">
        <f>'W2 Points'!H33</f>
        <v/>
      </c>
      <c r="C7" s="78">
        <f>'W2 Points'!I89</f>
        <v>0</v>
      </c>
      <c r="D7" s="78" t="str">
        <f>'W2 Points'!D19</f>
        <v/>
      </c>
      <c r="E7" s="78">
        <f>'W2 Points'!Q33</f>
        <v>0</v>
      </c>
      <c r="F7" s="78"/>
      <c r="H7" s="77" t="s">
        <v>114</v>
      </c>
      <c r="I7" s="78" t="str">
        <f>'W2 Points'!T61</f>
        <v/>
      </c>
      <c r="J7" s="78">
        <f>'W2 Points'!I19</f>
        <v>0</v>
      </c>
      <c r="K7" s="78" t="str">
        <f>'W2 Points'!D61</f>
        <v/>
      </c>
      <c r="L7" s="78">
        <f>'W2 Points'!W19</f>
        <v>0</v>
      </c>
      <c r="M7" s="78"/>
      <c r="O7" s="77" t="s">
        <v>114</v>
      </c>
      <c r="P7" s="78" t="str">
        <f>'W2 Points'!Z75</f>
        <v/>
      </c>
      <c r="Q7" s="78">
        <f>'W2 Points'!O75</f>
        <v>0</v>
      </c>
      <c r="R7" s="78" t="str">
        <f>'W2 Points'!D19</f>
        <v/>
      </c>
      <c r="S7" s="78">
        <f>'W2 Points'!E89</f>
        <v>0</v>
      </c>
      <c r="T7" s="78"/>
    </row>
    <row r="8">
      <c r="A8" s="77" t="s">
        <v>115</v>
      </c>
      <c r="B8" s="78" t="str">
        <f>'W2 Points'!H34</f>
        <v/>
      </c>
      <c r="C8" s="78">
        <f>'W2 Points'!I90</f>
        <v>0</v>
      </c>
      <c r="D8" s="78" t="str">
        <f>'W2 Points'!D20</f>
        <v/>
      </c>
      <c r="E8" s="78">
        <f>'W2 Points'!Q34</f>
        <v>0</v>
      </c>
      <c r="F8" s="78"/>
      <c r="H8" s="77" t="s">
        <v>115</v>
      </c>
      <c r="I8" s="78" t="str">
        <f>'W2 Points'!T62</f>
        <v/>
      </c>
      <c r="J8" s="78">
        <f>'W2 Points'!I20</f>
        <v>0</v>
      </c>
      <c r="K8" s="78" t="str">
        <f>'W2 Points'!D62</f>
        <v/>
      </c>
      <c r="L8" s="78">
        <f>'W2 Points'!W20</f>
        <v>0</v>
      </c>
      <c r="M8" s="78"/>
      <c r="O8" s="77" t="s">
        <v>115</v>
      </c>
      <c r="P8" s="78" t="str">
        <f>'W2 Points'!Z76</f>
        <v/>
      </c>
      <c r="Q8" s="78">
        <f>'W2 Points'!O76</f>
        <v>0</v>
      </c>
      <c r="R8" s="78" t="str">
        <f>'W2 Points'!D20</f>
        <v/>
      </c>
      <c r="S8" s="78">
        <f>'W2 Points'!E90</f>
        <v>0</v>
      </c>
      <c r="T8" s="78"/>
    </row>
    <row r="9">
      <c r="A9" s="77" t="s">
        <v>116</v>
      </c>
      <c r="B9" s="78">
        <f>'W2 Points'!H35</f>
        <v>0</v>
      </c>
      <c r="C9" s="78" t="str">
        <f>'W2 Points'!I91</f>
        <v/>
      </c>
      <c r="D9" s="78">
        <f>'W2 Points'!D21</f>
        <v>0</v>
      </c>
      <c r="E9" s="78" t="str">
        <f>'W2 Points'!Q35</f>
        <v/>
      </c>
      <c r="F9" s="78"/>
      <c r="H9" s="77" t="s">
        <v>116</v>
      </c>
      <c r="I9" s="78">
        <f>'W2 Points'!T63</f>
        <v>0</v>
      </c>
      <c r="J9" s="78" t="str">
        <f>'W2 Points'!I21</f>
        <v/>
      </c>
      <c r="K9" s="78">
        <f>'W2 Points'!D63</f>
        <v>0</v>
      </c>
      <c r="L9" s="78" t="str">
        <f>'W2 Points'!W21</f>
        <v/>
      </c>
      <c r="M9" s="78"/>
      <c r="O9" s="77" t="s">
        <v>116</v>
      </c>
      <c r="P9" s="78">
        <f>'W2 Points'!Z77</f>
        <v>0</v>
      </c>
      <c r="Q9" s="78" t="str">
        <f>'W2 Points'!O77</f>
        <v/>
      </c>
      <c r="R9" s="78">
        <f>'W2 Points'!D21</f>
        <v>0</v>
      </c>
      <c r="S9" s="78" t="str">
        <f>'W2 Points'!E91</f>
        <v/>
      </c>
      <c r="T9" s="78"/>
    </row>
    <row r="10">
      <c r="A10" s="77" t="s">
        <v>117</v>
      </c>
      <c r="B10" s="78" t="str">
        <f>'W2 Points'!H36</f>
        <v/>
      </c>
      <c r="C10" s="78">
        <f>'W2 Points'!I92</f>
        <v>0</v>
      </c>
      <c r="D10" s="78" t="str">
        <f>'W2 Points'!D22</f>
        <v/>
      </c>
      <c r="E10" s="78" t="str">
        <f>'W2 Points'!Q36</f>
        <v/>
      </c>
      <c r="F10" s="78"/>
      <c r="H10" s="77" t="s">
        <v>117</v>
      </c>
      <c r="I10" s="78" t="str">
        <f>'W2 Points'!T64</f>
        <v/>
      </c>
      <c r="J10" s="78">
        <f>'W2 Points'!I22</f>
        <v>0</v>
      </c>
      <c r="K10" s="78" t="str">
        <f>'W2 Points'!D64</f>
        <v/>
      </c>
      <c r="L10" s="78" t="str">
        <f>'W2 Points'!W22</f>
        <v/>
      </c>
      <c r="M10" s="78"/>
      <c r="O10" s="77" t="s">
        <v>117</v>
      </c>
      <c r="P10" s="78" t="str">
        <f>'W2 Points'!Z78</f>
        <v/>
      </c>
      <c r="Q10" s="78">
        <f>'W2 Points'!O78</f>
        <v>0</v>
      </c>
      <c r="R10" s="78" t="str">
        <f>'W2 Points'!D22</f>
        <v/>
      </c>
      <c r="S10" s="78" t="str">
        <f>'W2 Points'!E92</f>
        <v/>
      </c>
      <c r="T10" s="78"/>
    </row>
    <row r="11">
      <c r="A11" s="77" t="s">
        <v>118</v>
      </c>
      <c r="B11" s="78" t="str">
        <f>'W2 Points'!H37</f>
        <v/>
      </c>
      <c r="C11" s="78" t="str">
        <f>'W2 Points'!I93</f>
        <v/>
      </c>
      <c r="D11" s="78">
        <f>'W2 Points'!D23</f>
        <v>0</v>
      </c>
      <c r="E11" s="78">
        <f>'W2 Points'!Q37</f>
        <v>0</v>
      </c>
      <c r="F11" s="78"/>
      <c r="H11" s="77" t="s">
        <v>118</v>
      </c>
      <c r="I11" s="78" t="str">
        <f>'W2 Points'!T65</f>
        <v/>
      </c>
      <c r="J11" s="78" t="str">
        <f>'W2 Points'!I23</f>
        <v/>
      </c>
      <c r="K11" s="78">
        <f>'W2 Points'!D65</f>
        <v>0</v>
      </c>
      <c r="L11" s="78">
        <f>'W2 Points'!W23</f>
        <v>0</v>
      </c>
      <c r="M11" s="78"/>
      <c r="O11" s="77" t="s">
        <v>118</v>
      </c>
      <c r="P11" s="78" t="str">
        <f>'W2 Points'!Z79</f>
        <v/>
      </c>
      <c r="Q11" s="78" t="str">
        <f>'W2 Points'!O79</f>
        <v/>
      </c>
      <c r="R11" s="78">
        <f>'W2 Points'!D23</f>
        <v>0</v>
      </c>
      <c r="S11" s="78">
        <f>'W2 Points'!E93</f>
        <v>0</v>
      </c>
      <c r="T11" s="78"/>
    </row>
    <row r="12">
      <c r="A12" s="77" t="s">
        <v>119</v>
      </c>
      <c r="B12" s="78" t="str">
        <f>'W2 Points'!H38</f>
        <v/>
      </c>
      <c r="C12" s="78">
        <f>'W2 Points'!I94</f>
        <v>0</v>
      </c>
      <c r="D12" s="78" t="str">
        <f>'W2 Points'!D24</f>
        <v/>
      </c>
      <c r="E12" s="78">
        <f>'W2 Points'!Q38</f>
        <v>0</v>
      </c>
      <c r="F12" s="78"/>
      <c r="H12" s="77" t="s">
        <v>119</v>
      </c>
      <c r="I12" s="78" t="str">
        <f>'W2 Points'!T66</f>
        <v/>
      </c>
      <c r="J12" s="78">
        <f>'W2 Points'!I24</f>
        <v>0</v>
      </c>
      <c r="K12" s="78" t="str">
        <f>'W2 Points'!D66</f>
        <v/>
      </c>
      <c r="L12" s="78">
        <f>'W2 Points'!W24</f>
        <v>0</v>
      </c>
      <c r="M12" s="78"/>
      <c r="O12" s="77" t="s">
        <v>119</v>
      </c>
      <c r="P12" s="78" t="str">
        <f>'W2 Points'!Z80</f>
        <v/>
      </c>
      <c r="Q12" s="78">
        <f>'W2 Points'!O80</f>
        <v>0</v>
      </c>
      <c r="R12" s="78" t="str">
        <f>'W2 Points'!D24</f>
        <v/>
      </c>
      <c r="S12" s="78">
        <f>'W2 Points'!E94</f>
        <v>0</v>
      </c>
      <c r="T12" s="78"/>
    </row>
    <row r="13">
      <c r="A13" s="77" t="s">
        <v>120</v>
      </c>
      <c r="B13" s="78" t="str">
        <f>'W2 Points'!H39</f>
        <v/>
      </c>
      <c r="C13" s="78" t="str">
        <f>'W2 Points'!I95</f>
        <v/>
      </c>
      <c r="D13" s="78">
        <f>'W2 Points'!D25</f>
        <v>0</v>
      </c>
      <c r="E13" s="78">
        <f>'W2 Points'!Q39</f>
        <v>0</v>
      </c>
      <c r="F13" s="78"/>
      <c r="H13" s="77" t="s">
        <v>120</v>
      </c>
      <c r="I13" s="78" t="str">
        <f>'W2 Points'!T67</f>
        <v/>
      </c>
      <c r="J13" s="78" t="str">
        <f>'W2 Points'!I25</f>
        <v/>
      </c>
      <c r="K13" s="78">
        <f>'W2 Points'!D67</f>
        <v>0</v>
      </c>
      <c r="L13" s="78">
        <f>'W2 Points'!W25</f>
        <v>0</v>
      </c>
      <c r="M13" s="78"/>
      <c r="O13" s="77" t="s">
        <v>120</v>
      </c>
      <c r="P13" s="78" t="str">
        <f>'W2 Points'!Z81</f>
        <v/>
      </c>
      <c r="Q13" s="78" t="str">
        <f>'W2 Points'!O81</f>
        <v/>
      </c>
      <c r="R13" s="78">
        <f>'W2 Points'!D25</f>
        <v>0</v>
      </c>
      <c r="S13" s="78">
        <f>'W2 Points'!E95</f>
        <v>0</v>
      </c>
      <c r="T13" s="78"/>
    </row>
    <row r="14">
      <c r="A14" s="77" t="s">
        <v>121</v>
      </c>
      <c r="B14" s="78">
        <f>'W2 Points'!H40</f>
        <v>0</v>
      </c>
      <c r="C14" s="78">
        <f>'W2 Points'!I96</f>
        <v>0</v>
      </c>
      <c r="D14" s="78">
        <f>'W2 Points'!D26</f>
        <v>0</v>
      </c>
      <c r="E14" s="78">
        <f>'W2 Points'!Q40</f>
        <v>0</v>
      </c>
      <c r="F14" s="78"/>
      <c r="H14" s="77" t="s">
        <v>121</v>
      </c>
      <c r="I14" s="78">
        <f>'W2 Points'!T68</f>
        <v>0</v>
      </c>
      <c r="J14" s="78">
        <f>'W2 Points'!I26</f>
        <v>0</v>
      </c>
      <c r="K14" s="78">
        <f>'W2 Points'!D68</f>
        <v>0</v>
      </c>
      <c r="L14" s="78">
        <f>'W2 Points'!W26</f>
        <v>0</v>
      </c>
      <c r="M14" s="78"/>
      <c r="O14" s="77" t="s">
        <v>121</v>
      </c>
      <c r="P14" s="78">
        <f>'W2 Points'!Z82</f>
        <v>0</v>
      </c>
      <c r="Q14" s="78">
        <f>'W2 Points'!O82</f>
        <v>0</v>
      </c>
      <c r="R14" s="78">
        <f>'W2 Points'!D26</f>
        <v>0</v>
      </c>
      <c r="S14" s="78">
        <f>'W2 Points'!E96</f>
        <v>0</v>
      </c>
      <c r="T14" s="78"/>
    </row>
    <row r="15">
      <c r="A15" s="77" t="s">
        <v>122</v>
      </c>
      <c r="B15" s="79">
        <f t="shared" ref="B15:F15" si="1">SUM(B4:B14)</f>
        <v>0</v>
      </c>
      <c r="C15" s="79">
        <f t="shared" si="1"/>
        <v>0</v>
      </c>
      <c r="D15" s="79">
        <f t="shared" si="1"/>
        <v>0</v>
      </c>
      <c r="E15" s="79">
        <f t="shared" si="1"/>
        <v>0</v>
      </c>
      <c r="F15" s="79">
        <f t="shared" si="1"/>
        <v>0</v>
      </c>
      <c r="H15" s="77" t="s">
        <v>122</v>
      </c>
      <c r="I15" s="79">
        <f t="shared" ref="I15:M15" si="2">SUM(I4:I14)</f>
        <v>0</v>
      </c>
      <c r="J15" s="79">
        <f t="shared" si="2"/>
        <v>0</v>
      </c>
      <c r="K15" s="79">
        <f t="shared" si="2"/>
        <v>0</v>
      </c>
      <c r="L15" s="79">
        <f t="shared" si="2"/>
        <v>0</v>
      </c>
      <c r="M15" s="79">
        <f t="shared" si="2"/>
        <v>0</v>
      </c>
      <c r="O15" s="77" t="s">
        <v>122</v>
      </c>
      <c r="P15" s="80">
        <f t="shared" ref="P15:T15" si="3">SUM(P4:P14)</f>
        <v>0</v>
      </c>
      <c r="Q15" s="80">
        <f t="shared" si="3"/>
        <v>0</v>
      </c>
      <c r="R15" s="80">
        <f t="shared" si="3"/>
        <v>0</v>
      </c>
      <c r="S15" s="80">
        <f t="shared" si="3"/>
        <v>0</v>
      </c>
      <c r="T15" s="80">
        <f t="shared" si="3"/>
        <v>0</v>
      </c>
    </row>
    <row r="16">
      <c r="E16" s="81" t="s">
        <v>123</v>
      </c>
      <c r="F16" s="82">
        <f>SUM(B15:E15)</f>
        <v>0</v>
      </c>
      <c r="L16" s="81" t="s">
        <v>123</v>
      </c>
      <c r="M16" s="82">
        <f>SUM(I15:L15)</f>
        <v>0</v>
      </c>
      <c r="S16" s="81" t="s">
        <v>123</v>
      </c>
      <c r="T16" s="82">
        <f>SUM(P15:S15)</f>
        <v>0</v>
      </c>
    </row>
    <row r="17">
      <c r="A17" s="73" t="s">
        <v>27</v>
      </c>
      <c r="H17" s="73" t="s">
        <v>30</v>
      </c>
      <c r="O17" s="73" t="s">
        <v>33</v>
      </c>
    </row>
    <row r="18">
      <c r="A18" s="74" t="s">
        <v>7</v>
      </c>
      <c r="B18" s="74" t="s">
        <v>94</v>
      </c>
      <c r="C18" s="74" t="s">
        <v>95</v>
      </c>
      <c r="D18" s="74" t="s">
        <v>96</v>
      </c>
      <c r="E18" s="74" t="s">
        <v>97</v>
      </c>
      <c r="F18" s="74" t="s">
        <v>98</v>
      </c>
      <c r="H18" s="74" t="s">
        <v>7</v>
      </c>
      <c r="I18" s="74" t="s">
        <v>94</v>
      </c>
      <c r="J18" s="74" t="s">
        <v>95</v>
      </c>
      <c r="K18" s="74" t="s">
        <v>96</v>
      </c>
      <c r="L18" s="74" t="s">
        <v>97</v>
      </c>
      <c r="M18" s="74" t="s">
        <v>98</v>
      </c>
      <c r="O18" s="74" t="s">
        <v>7</v>
      </c>
      <c r="P18" s="74" t="s">
        <v>94</v>
      </c>
      <c r="Q18" s="74" t="s">
        <v>95</v>
      </c>
      <c r="R18" s="74" t="s">
        <v>96</v>
      </c>
      <c r="S18" s="74" t="s">
        <v>97</v>
      </c>
      <c r="T18" s="74" t="s">
        <v>98</v>
      </c>
    </row>
    <row r="19">
      <c r="A19" s="75" t="s">
        <v>28</v>
      </c>
      <c r="B19" s="75" t="s">
        <v>37</v>
      </c>
      <c r="C19" s="75" t="s">
        <v>124</v>
      </c>
      <c r="D19" s="75" t="s">
        <v>39</v>
      </c>
      <c r="E19" s="75" t="s">
        <v>106</v>
      </c>
      <c r="F19" s="75" t="s">
        <v>125</v>
      </c>
      <c r="H19" s="75" t="s">
        <v>31</v>
      </c>
      <c r="I19" s="75" t="s">
        <v>106</v>
      </c>
      <c r="J19" s="75" t="s">
        <v>124</v>
      </c>
      <c r="K19" s="75" t="s">
        <v>100</v>
      </c>
      <c r="L19" s="75" t="s">
        <v>126</v>
      </c>
      <c r="M19" s="75" t="s">
        <v>103</v>
      </c>
      <c r="O19" s="75" t="s">
        <v>34</v>
      </c>
      <c r="P19" s="75" t="s">
        <v>127</v>
      </c>
      <c r="Q19" s="75" t="s">
        <v>103</v>
      </c>
      <c r="R19" s="75" t="s">
        <v>37</v>
      </c>
      <c r="S19" s="75" t="s">
        <v>101</v>
      </c>
      <c r="T19" s="75" t="s">
        <v>128</v>
      </c>
    </row>
    <row r="20">
      <c r="A20" s="77" t="s">
        <v>108</v>
      </c>
      <c r="B20" s="78">
        <f>'W2 Points'!B58</f>
        <v>0</v>
      </c>
      <c r="C20" s="78" t="str">
        <f>'W2 Points'!I44</f>
        <v/>
      </c>
      <c r="D20" s="78" t="str">
        <f>'W2 Points'!V58</f>
        <v/>
      </c>
      <c r="E20" s="78">
        <f>'W2 Points'!AC72</f>
        <v>0</v>
      </c>
      <c r="F20" s="78" t="s">
        <v>129</v>
      </c>
      <c r="H20" s="77" t="s">
        <v>108</v>
      </c>
      <c r="I20" s="78">
        <f>'W2 Points'!Z30</f>
        <v>0</v>
      </c>
      <c r="J20" s="78" t="str">
        <f>'W2 Points'!I44</f>
        <v/>
      </c>
      <c r="K20" s="78" t="str">
        <f>'W2 Points'!J86</f>
        <v/>
      </c>
      <c r="L20" s="78">
        <f>'W2 Points'!W86</f>
        <v>0</v>
      </c>
      <c r="M20" s="78" t="s">
        <v>109</v>
      </c>
      <c r="O20" s="77" t="s">
        <v>108</v>
      </c>
      <c r="P20" s="78">
        <f>'W2 Points'!N16</f>
        <v>0</v>
      </c>
      <c r="Q20" s="78" t="str">
        <f>'W2 Points'!U30</f>
        <v/>
      </c>
      <c r="R20" s="78" t="str">
        <f>'W2 Points'!D58</f>
        <v/>
      </c>
      <c r="S20" s="78">
        <f>'W2 Points'!E16</f>
        <v>0</v>
      </c>
      <c r="T20" s="78" t="s">
        <v>130</v>
      </c>
    </row>
    <row r="21">
      <c r="A21" s="77" t="s">
        <v>112</v>
      </c>
      <c r="B21" s="78" t="str">
        <f>'W2 Points'!B59</f>
        <v/>
      </c>
      <c r="C21" s="78" t="str">
        <f>'W2 Points'!I45</f>
        <v/>
      </c>
      <c r="D21" s="78">
        <f>'W2 Points'!V59</f>
        <v>0</v>
      </c>
      <c r="E21" s="78" t="str">
        <f>'W2 Points'!AC73</f>
        <v/>
      </c>
      <c r="F21" s="78"/>
      <c r="H21" s="77" t="s">
        <v>112</v>
      </c>
      <c r="I21" s="78" t="str">
        <f>'W2 Points'!Z31</f>
        <v/>
      </c>
      <c r="J21" s="78" t="str">
        <f>'W2 Points'!I45</f>
        <v/>
      </c>
      <c r="K21" s="78">
        <f>'W2 Points'!J87</f>
        <v>0</v>
      </c>
      <c r="L21" s="78" t="str">
        <f>'W2 Points'!W87</f>
        <v/>
      </c>
      <c r="M21" s="78"/>
      <c r="O21" s="77" t="s">
        <v>112</v>
      </c>
      <c r="P21" s="78" t="str">
        <f>'W2 Points'!N17</f>
        <v/>
      </c>
      <c r="Q21" s="78" t="str">
        <f>'W2 Points'!U31</f>
        <v/>
      </c>
      <c r="R21" s="78">
        <f>'W2 Points'!D59</f>
        <v>0</v>
      </c>
      <c r="S21" s="78" t="str">
        <f>'W2 Points'!E17</f>
        <v/>
      </c>
      <c r="T21" s="78"/>
    </row>
    <row r="22">
      <c r="A22" s="77" t="s">
        <v>113</v>
      </c>
      <c r="B22" s="78">
        <f>'W2 Points'!B60</f>
        <v>0</v>
      </c>
      <c r="C22" s="78" t="str">
        <f>'W2 Points'!I46</f>
        <v/>
      </c>
      <c r="D22" s="78" t="str">
        <f>'W2 Points'!V60</f>
        <v/>
      </c>
      <c r="E22" s="78" t="str">
        <f>'W2 Points'!AC74</f>
        <v/>
      </c>
      <c r="F22" s="78"/>
      <c r="H22" s="77" t="s">
        <v>113</v>
      </c>
      <c r="I22" s="78">
        <f>'W2 Points'!Z32</f>
        <v>0</v>
      </c>
      <c r="J22" s="78" t="str">
        <f>'W2 Points'!I46</f>
        <v/>
      </c>
      <c r="K22" s="78" t="str">
        <f>'W2 Points'!J88</f>
        <v/>
      </c>
      <c r="L22" s="78" t="str">
        <f>'W2 Points'!W88</f>
        <v/>
      </c>
      <c r="M22" s="78"/>
      <c r="O22" s="77" t="s">
        <v>113</v>
      </c>
      <c r="P22" s="78">
        <f>'W2 Points'!N18</f>
        <v>0</v>
      </c>
      <c r="Q22" s="78" t="str">
        <f>'W2 Points'!U32</f>
        <v/>
      </c>
      <c r="R22" s="78" t="str">
        <f>'W2 Points'!D60</f>
        <v/>
      </c>
      <c r="S22" s="78" t="str">
        <f>'W2 Points'!E18</f>
        <v/>
      </c>
      <c r="T22" s="78"/>
    </row>
    <row r="23">
      <c r="A23" s="77" t="s">
        <v>114</v>
      </c>
      <c r="B23" s="78" t="str">
        <f>'W2 Points'!B61</f>
        <v/>
      </c>
      <c r="C23" s="78">
        <f>'W2 Points'!I47</f>
        <v>0</v>
      </c>
      <c r="D23" s="78" t="str">
        <f>'W2 Points'!V61</f>
        <v/>
      </c>
      <c r="E23" s="78">
        <f>'W2 Points'!AC75</f>
        <v>0</v>
      </c>
      <c r="F23" s="78"/>
      <c r="H23" s="77" t="s">
        <v>114</v>
      </c>
      <c r="I23" s="78" t="str">
        <f>'W2 Points'!Z33</f>
        <v/>
      </c>
      <c r="J23" s="78">
        <f>'W2 Points'!I47</f>
        <v>0</v>
      </c>
      <c r="K23" s="78" t="str">
        <f>'W2 Points'!J89</f>
        <v/>
      </c>
      <c r="L23" s="78">
        <f>'W2 Points'!W89</f>
        <v>0</v>
      </c>
      <c r="M23" s="78"/>
      <c r="O23" s="77" t="s">
        <v>114</v>
      </c>
      <c r="P23" s="78" t="str">
        <f>'W2 Points'!N19</f>
        <v/>
      </c>
      <c r="Q23" s="78">
        <f>'W2 Points'!U33</f>
        <v>0</v>
      </c>
      <c r="R23" s="78" t="str">
        <f>'W2 Points'!D61</f>
        <v/>
      </c>
      <c r="S23" s="78">
        <f>'W2 Points'!E19</f>
        <v>0</v>
      </c>
      <c r="T23" s="78"/>
    </row>
    <row r="24">
      <c r="A24" s="77" t="s">
        <v>115</v>
      </c>
      <c r="B24" s="78" t="str">
        <f>'W2 Points'!B62</f>
        <v/>
      </c>
      <c r="C24" s="78">
        <f>'W2 Points'!I48</f>
        <v>0</v>
      </c>
      <c r="D24" s="78" t="str">
        <f>'W2 Points'!V62</f>
        <v/>
      </c>
      <c r="E24" s="78">
        <f>'W2 Points'!AC76</f>
        <v>0</v>
      </c>
      <c r="F24" s="78"/>
      <c r="H24" s="77" t="s">
        <v>115</v>
      </c>
      <c r="I24" s="78" t="str">
        <f>'W2 Points'!Z34</f>
        <v/>
      </c>
      <c r="J24" s="78">
        <f>'W2 Points'!I48</f>
        <v>0</v>
      </c>
      <c r="K24" s="78" t="str">
        <f>'W2 Points'!J90</f>
        <v/>
      </c>
      <c r="L24" s="78">
        <f>'W2 Points'!W90</f>
        <v>0</v>
      </c>
      <c r="M24" s="78"/>
      <c r="O24" s="77" t="s">
        <v>115</v>
      </c>
      <c r="P24" s="78" t="str">
        <f>'W2 Points'!N20</f>
        <v/>
      </c>
      <c r="Q24" s="78">
        <f>'W2 Points'!U34</f>
        <v>0</v>
      </c>
      <c r="R24" s="78" t="str">
        <f>'W2 Points'!D62</f>
        <v/>
      </c>
      <c r="S24" s="78">
        <f>'W2 Points'!E20</f>
        <v>0</v>
      </c>
      <c r="T24" s="78"/>
    </row>
    <row r="25">
      <c r="A25" s="77" t="s">
        <v>116</v>
      </c>
      <c r="B25" s="78">
        <f>'W2 Points'!B63</f>
        <v>0</v>
      </c>
      <c r="C25" s="78" t="str">
        <f>'W2 Points'!I49</f>
        <v/>
      </c>
      <c r="D25" s="78">
        <f>'W2 Points'!V63</f>
        <v>0</v>
      </c>
      <c r="E25" s="78" t="str">
        <f>'W2 Points'!AC77</f>
        <v/>
      </c>
      <c r="F25" s="78"/>
      <c r="H25" s="77" t="s">
        <v>116</v>
      </c>
      <c r="I25" s="78">
        <f>'W2 Points'!Z35</f>
        <v>0</v>
      </c>
      <c r="J25" s="78" t="str">
        <f>'W2 Points'!I49</f>
        <v/>
      </c>
      <c r="K25" s="78">
        <f>'W2 Points'!J91</f>
        <v>0</v>
      </c>
      <c r="L25" s="78" t="str">
        <f>'W2 Points'!W91</f>
        <v/>
      </c>
      <c r="M25" s="78"/>
      <c r="O25" s="77" t="s">
        <v>116</v>
      </c>
      <c r="P25" s="78">
        <f>'W2 Points'!N21</f>
        <v>0</v>
      </c>
      <c r="Q25" s="78" t="str">
        <f>'W2 Points'!U35</f>
        <v/>
      </c>
      <c r="R25" s="78">
        <f>'W2 Points'!D63</f>
        <v>0</v>
      </c>
      <c r="S25" s="78" t="str">
        <f>'W2 Points'!E21</f>
        <v/>
      </c>
      <c r="T25" s="78"/>
    </row>
    <row r="26">
      <c r="A26" s="77" t="s">
        <v>117</v>
      </c>
      <c r="B26" s="78" t="str">
        <f>'W2 Points'!B64</f>
        <v/>
      </c>
      <c r="C26" s="78">
        <f>'W2 Points'!I50</f>
        <v>0</v>
      </c>
      <c r="D26" s="78" t="str">
        <f>'W2 Points'!V64</f>
        <v/>
      </c>
      <c r="E26" s="78" t="str">
        <f>'W2 Points'!AC78</f>
        <v/>
      </c>
      <c r="F26" s="78"/>
      <c r="H26" s="77" t="s">
        <v>117</v>
      </c>
      <c r="I26" s="78" t="str">
        <f>'W2 Points'!Z36</f>
        <v/>
      </c>
      <c r="J26" s="78">
        <f>'W2 Points'!I50</f>
        <v>0</v>
      </c>
      <c r="K26" s="78" t="str">
        <f>'W2 Points'!J92</f>
        <v/>
      </c>
      <c r="L26" s="78" t="str">
        <f>'W2 Points'!W92</f>
        <v/>
      </c>
      <c r="M26" s="78"/>
      <c r="O26" s="77" t="s">
        <v>117</v>
      </c>
      <c r="P26" s="78" t="str">
        <f>'W2 Points'!N22</f>
        <v/>
      </c>
      <c r="Q26" s="78">
        <f>'W2 Points'!U36</f>
        <v>0</v>
      </c>
      <c r="R26" s="78" t="str">
        <f>'W2 Points'!D64</f>
        <v/>
      </c>
      <c r="S26" s="78" t="str">
        <f>'W2 Points'!E22</f>
        <v/>
      </c>
      <c r="T26" s="78"/>
    </row>
    <row r="27">
      <c r="A27" s="77" t="s">
        <v>118</v>
      </c>
      <c r="B27" s="78" t="str">
        <f>'W2 Points'!B65</f>
        <v/>
      </c>
      <c r="C27" s="78" t="str">
        <f>'W2 Points'!I51</f>
        <v/>
      </c>
      <c r="D27" s="78">
        <f>'W2 Points'!V65</f>
        <v>0</v>
      </c>
      <c r="E27" s="78">
        <f>'W2 Points'!AC79</f>
        <v>0</v>
      </c>
      <c r="F27" s="78"/>
      <c r="H27" s="77" t="s">
        <v>118</v>
      </c>
      <c r="I27" s="78" t="str">
        <f>'W2 Points'!Z37</f>
        <v/>
      </c>
      <c r="J27" s="78" t="str">
        <f>'W2 Points'!I51</f>
        <v/>
      </c>
      <c r="K27" s="78">
        <f>'W2 Points'!J93</f>
        <v>0</v>
      </c>
      <c r="L27" s="78">
        <f>'W2 Points'!W93</f>
        <v>0</v>
      </c>
      <c r="M27" s="78"/>
      <c r="O27" s="77" t="s">
        <v>118</v>
      </c>
      <c r="P27" s="78" t="str">
        <f>'W2 Points'!N23</f>
        <v/>
      </c>
      <c r="Q27" s="78" t="str">
        <f>'W2 Points'!U37</f>
        <v/>
      </c>
      <c r="R27" s="78">
        <f>'W2 Points'!D65</f>
        <v>0</v>
      </c>
      <c r="S27" s="78">
        <f>'W2 Points'!E23</f>
        <v>0</v>
      </c>
      <c r="T27" s="78"/>
    </row>
    <row r="28">
      <c r="A28" s="77" t="s">
        <v>119</v>
      </c>
      <c r="B28" s="78" t="str">
        <f>'W2 Points'!B66</f>
        <v/>
      </c>
      <c r="C28" s="78">
        <f>'W2 Points'!I52</f>
        <v>0</v>
      </c>
      <c r="D28" s="78" t="str">
        <f>'W2 Points'!V66</f>
        <v/>
      </c>
      <c r="E28" s="78">
        <f>'W2 Points'!AC80</f>
        <v>0</v>
      </c>
      <c r="F28" s="78"/>
      <c r="H28" s="77" t="s">
        <v>119</v>
      </c>
      <c r="I28" s="78" t="str">
        <f>'W2 Points'!Z38</f>
        <v/>
      </c>
      <c r="J28" s="78">
        <f>'W2 Points'!I52</f>
        <v>0</v>
      </c>
      <c r="K28" s="78" t="str">
        <f>'W2 Points'!J94</f>
        <v/>
      </c>
      <c r="L28" s="78">
        <f>'W2 Points'!W94</f>
        <v>0</v>
      </c>
      <c r="M28" s="78"/>
      <c r="O28" s="77" t="s">
        <v>119</v>
      </c>
      <c r="P28" s="78" t="str">
        <f>'W2 Points'!N24</f>
        <v/>
      </c>
      <c r="Q28" s="78">
        <f>'W2 Points'!U38</f>
        <v>0</v>
      </c>
      <c r="R28" s="78" t="str">
        <f>'W2 Points'!D66</f>
        <v/>
      </c>
      <c r="S28" s="78">
        <f>'W2 Points'!E24</f>
        <v>0</v>
      </c>
      <c r="T28" s="78"/>
    </row>
    <row r="29">
      <c r="A29" s="77" t="s">
        <v>120</v>
      </c>
      <c r="B29" s="78" t="str">
        <f>'W2 Points'!B67</f>
        <v/>
      </c>
      <c r="C29" s="78" t="str">
        <f>'W2 Points'!I53</f>
        <v/>
      </c>
      <c r="D29" s="78">
        <f>'W2 Points'!V67</f>
        <v>0</v>
      </c>
      <c r="E29" s="78">
        <f>'W2 Points'!AC81</f>
        <v>0</v>
      </c>
      <c r="F29" s="78"/>
      <c r="H29" s="77" t="s">
        <v>120</v>
      </c>
      <c r="I29" s="78" t="str">
        <f>'W2 Points'!Z39</f>
        <v/>
      </c>
      <c r="J29" s="78" t="str">
        <f>'W2 Points'!I53</f>
        <v/>
      </c>
      <c r="K29" s="78">
        <f>'W2 Points'!J95</f>
        <v>0</v>
      </c>
      <c r="L29" s="78">
        <f>'W2 Points'!W95</f>
        <v>0</v>
      </c>
      <c r="M29" s="78"/>
      <c r="O29" s="77" t="s">
        <v>120</v>
      </c>
      <c r="P29" s="78" t="str">
        <f>'W2 Points'!N25</f>
        <v/>
      </c>
      <c r="Q29" s="78" t="str">
        <f>'W2 Points'!U39</f>
        <v/>
      </c>
      <c r="R29" s="78">
        <f>'W2 Points'!D67</f>
        <v>0</v>
      </c>
      <c r="S29" s="78">
        <f>'W2 Points'!E25</f>
        <v>0</v>
      </c>
      <c r="T29" s="78"/>
    </row>
    <row r="30">
      <c r="A30" s="77" t="s">
        <v>121</v>
      </c>
      <c r="B30" s="78">
        <f>'W2 Points'!B68</f>
        <v>0</v>
      </c>
      <c r="C30" s="78">
        <f>'W2 Points'!I54</f>
        <v>0</v>
      </c>
      <c r="D30" s="78">
        <f>'W2 Points'!V68</f>
        <v>0</v>
      </c>
      <c r="E30" s="78">
        <f>'W2 Points'!AC82</f>
        <v>0</v>
      </c>
      <c r="F30" s="78"/>
      <c r="H30" s="77" t="s">
        <v>121</v>
      </c>
      <c r="I30" s="78">
        <f>'W2 Points'!Z40</f>
        <v>0</v>
      </c>
      <c r="J30" s="78">
        <f>'W2 Points'!I54</f>
        <v>0</v>
      </c>
      <c r="K30" s="78">
        <f>'W2 Points'!J96</f>
        <v>0</v>
      </c>
      <c r="L30" s="78">
        <f>'W2 Points'!W96</f>
        <v>0</v>
      </c>
      <c r="M30" s="78"/>
      <c r="O30" s="77" t="s">
        <v>121</v>
      </c>
      <c r="P30" s="78">
        <f>'W2 Points'!N26</f>
        <v>0</v>
      </c>
      <c r="Q30" s="78">
        <f>'W2 Points'!U40</f>
        <v>0</v>
      </c>
      <c r="R30" s="78">
        <f>'W2 Points'!D68</f>
        <v>0</v>
      </c>
      <c r="S30" s="78">
        <f>'W2 Points'!E26</f>
        <v>0</v>
      </c>
      <c r="T30" s="78"/>
    </row>
    <row r="31">
      <c r="A31" s="77" t="s">
        <v>122</v>
      </c>
      <c r="B31" s="79">
        <f t="shared" ref="B31:F31" si="4">SUM(B20:B30)</f>
        <v>0</v>
      </c>
      <c r="C31" s="79">
        <f t="shared" si="4"/>
        <v>0</v>
      </c>
      <c r="D31" s="79">
        <f t="shared" si="4"/>
        <v>0</v>
      </c>
      <c r="E31" s="79">
        <f t="shared" si="4"/>
        <v>0</v>
      </c>
      <c r="F31" s="79">
        <f t="shared" si="4"/>
        <v>0</v>
      </c>
      <c r="H31" s="77" t="s">
        <v>122</v>
      </c>
      <c r="I31" s="79">
        <f t="shared" ref="I31:M31" si="5">SUM(I20:I30)</f>
        <v>0</v>
      </c>
      <c r="J31" s="79">
        <f t="shared" si="5"/>
        <v>0</v>
      </c>
      <c r="K31" s="79">
        <f t="shared" si="5"/>
        <v>0</v>
      </c>
      <c r="L31" s="79">
        <f t="shared" si="5"/>
        <v>0</v>
      </c>
      <c r="M31" s="79">
        <f t="shared" si="5"/>
        <v>0</v>
      </c>
      <c r="O31" s="77" t="s">
        <v>122</v>
      </c>
      <c r="P31" s="80">
        <f t="shared" ref="P31:T31" si="6">SUM(P20:P30)</f>
        <v>0</v>
      </c>
      <c r="Q31" s="80">
        <f t="shared" si="6"/>
        <v>0</v>
      </c>
      <c r="R31" s="80">
        <f t="shared" si="6"/>
        <v>0</v>
      </c>
      <c r="S31" s="80">
        <f t="shared" si="6"/>
        <v>0</v>
      </c>
      <c r="T31" s="80">
        <f t="shared" si="6"/>
        <v>0</v>
      </c>
    </row>
    <row r="32">
      <c r="E32" s="81" t="s">
        <v>123</v>
      </c>
      <c r="F32" s="82">
        <f>SUM(B31:E31)</f>
        <v>0</v>
      </c>
      <c r="L32" s="81" t="s">
        <v>123</v>
      </c>
      <c r="M32" s="82">
        <f>SUM(I31:L31)</f>
        <v>0</v>
      </c>
      <c r="S32" s="81" t="s">
        <v>123</v>
      </c>
      <c r="T32" s="82">
        <f>SUM(P31:S31)</f>
        <v>0</v>
      </c>
    </row>
    <row r="33">
      <c r="A33" s="73" t="s">
        <v>36</v>
      </c>
      <c r="H33" s="73" t="s">
        <v>39</v>
      </c>
      <c r="O33" s="73" t="s">
        <v>41</v>
      </c>
    </row>
    <row r="34">
      <c r="A34" s="74" t="s">
        <v>7</v>
      </c>
      <c r="B34" s="74" t="s">
        <v>94</v>
      </c>
      <c r="C34" s="74" t="s">
        <v>95</v>
      </c>
      <c r="D34" s="74" t="s">
        <v>96</v>
      </c>
      <c r="E34" s="74" t="s">
        <v>97</v>
      </c>
      <c r="F34" s="74" t="s">
        <v>98</v>
      </c>
      <c r="H34" s="74" t="s">
        <v>7</v>
      </c>
      <c r="I34" s="74" t="s">
        <v>94</v>
      </c>
      <c r="J34" s="74" t="s">
        <v>95</v>
      </c>
      <c r="K34" s="74" t="s">
        <v>96</v>
      </c>
      <c r="L34" s="74" t="s">
        <v>97</v>
      </c>
      <c r="M34" s="74" t="s">
        <v>98</v>
      </c>
      <c r="O34" s="74" t="s">
        <v>7</v>
      </c>
      <c r="P34" s="74" t="s">
        <v>94</v>
      </c>
      <c r="Q34" s="74" t="s">
        <v>95</v>
      </c>
      <c r="R34" s="74" t="s">
        <v>96</v>
      </c>
      <c r="S34" s="74" t="s">
        <v>97</v>
      </c>
      <c r="T34" s="74" t="s">
        <v>98</v>
      </c>
    </row>
    <row r="35">
      <c r="A35" s="75" t="s">
        <v>37</v>
      </c>
      <c r="B35" s="75" t="s">
        <v>37</v>
      </c>
      <c r="C35" s="75" t="s">
        <v>131</v>
      </c>
      <c r="D35" s="75" t="s">
        <v>102</v>
      </c>
      <c r="E35" s="75" t="s">
        <v>107</v>
      </c>
      <c r="F35" s="75" t="s">
        <v>106</v>
      </c>
      <c r="G35" s="76"/>
      <c r="H35" s="75" t="s">
        <v>39</v>
      </c>
      <c r="I35" s="75" t="s">
        <v>106</v>
      </c>
      <c r="J35" s="75" t="s">
        <v>124</v>
      </c>
      <c r="K35" s="75" t="s">
        <v>39</v>
      </c>
      <c r="L35" s="75" t="s">
        <v>101</v>
      </c>
      <c r="M35" s="75" t="s">
        <v>107</v>
      </c>
      <c r="N35" s="76"/>
      <c r="O35" s="75" t="s">
        <v>42</v>
      </c>
      <c r="P35" s="75" t="s">
        <v>106</v>
      </c>
      <c r="Q35" s="75" t="s">
        <v>131</v>
      </c>
      <c r="R35" s="75" t="s">
        <v>132</v>
      </c>
      <c r="S35" s="75" t="s">
        <v>133</v>
      </c>
      <c r="T35" s="75" t="s">
        <v>104</v>
      </c>
    </row>
    <row r="36">
      <c r="A36" s="77" t="s">
        <v>108</v>
      </c>
      <c r="B36" s="78">
        <f>'W2 Points'!B58</f>
        <v>0</v>
      </c>
      <c r="C36" s="78" t="str">
        <f>'W2 Points'!O86</f>
        <v/>
      </c>
      <c r="D36" s="78" t="str">
        <f>'W2 Points'!P30</f>
        <v/>
      </c>
      <c r="E36" s="78">
        <f>'W2 Points'!E86</f>
        <v>0</v>
      </c>
      <c r="F36" s="78" t="s">
        <v>110</v>
      </c>
      <c r="H36" s="77" t="s">
        <v>108</v>
      </c>
      <c r="I36" s="78">
        <f>'W2 Points'!Z30</f>
        <v>0</v>
      </c>
      <c r="J36" s="78" t="str">
        <f>'W2 Points'!I44</f>
        <v/>
      </c>
      <c r="K36" s="78" t="str">
        <f>'W2 Points'!V58</f>
        <v/>
      </c>
      <c r="L36" s="78">
        <f>'W2 Points'!E16</f>
        <v>0</v>
      </c>
      <c r="M36" s="78" t="s">
        <v>134</v>
      </c>
      <c r="O36" s="77" t="s">
        <v>108</v>
      </c>
      <c r="P36" s="78">
        <f>'W2 Points'!Z30</f>
        <v>0</v>
      </c>
      <c r="Q36" s="78" t="str">
        <f>'W2 Points'!O86</f>
        <v/>
      </c>
      <c r="R36" s="78" t="str">
        <f>'W2 Points'!D44</f>
        <v/>
      </c>
      <c r="S36" s="78">
        <f>'W2 Points'!W72</f>
        <v>0</v>
      </c>
      <c r="T36" s="78" t="s">
        <v>135</v>
      </c>
    </row>
    <row r="37">
      <c r="A37" s="77" t="s">
        <v>112</v>
      </c>
      <c r="B37" s="78" t="str">
        <f>'W2 Points'!B59</f>
        <v/>
      </c>
      <c r="C37" s="78" t="str">
        <f>'W2 Points'!O87</f>
        <v/>
      </c>
      <c r="D37" s="78">
        <f>'W2 Points'!P31</f>
        <v>0</v>
      </c>
      <c r="E37" s="78" t="str">
        <f>'W2 Points'!E87</f>
        <v/>
      </c>
      <c r="F37" s="78"/>
      <c r="H37" s="77" t="s">
        <v>112</v>
      </c>
      <c r="I37" s="78" t="str">
        <f>'W2 Points'!Z31</f>
        <v/>
      </c>
      <c r="J37" s="78" t="str">
        <f>'W2 Points'!I45</f>
        <v/>
      </c>
      <c r="K37" s="78">
        <f>'W2 Points'!V59</f>
        <v>0</v>
      </c>
      <c r="L37" s="78" t="str">
        <f>'W2 Points'!E17</f>
        <v/>
      </c>
      <c r="M37" s="78"/>
      <c r="O37" s="77" t="s">
        <v>112</v>
      </c>
      <c r="P37" s="78" t="str">
        <f>'W2 Points'!Z31</f>
        <v/>
      </c>
      <c r="Q37" s="78" t="str">
        <f>'W2 Points'!O87</f>
        <v/>
      </c>
      <c r="R37" s="78">
        <f>'W2 Points'!D45</f>
        <v>0</v>
      </c>
      <c r="S37" s="78" t="str">
        <f>'W2 Points'!W73</f>
        <v/>
      </c>
      <c r="T37" s="78"/>
    </row>
    <row r="38">
      <c r="A38" s="77" t="s">
        <v>113</v>
      </c>
      <c r="B38" s="78">
        <f>'W2 Points'!B60</f>
        <v>0</v>
      </c>
      <c r="C38" s="78" t="str">
        <f>'W2 Points'!O88</f>
        <v/>
      </c>
      <c r="D38" s="78" t="str">
        <f>'W2 Points'!P32</f>
        <v/>
      </c>
      <c r="E38" s="78" t="str">
        <f>'W2 Points'!E88</f>
        <v/>
      </c>
      <c r="F38" s="78"/>
      <c r="H38" s="77" t="s">
        <v>113</v>
      </c>
      <c r="I38" s="78">
        <f>'W2 Points'!Z32</f>
        <v>0</v>
      </c>
      <c r="J38" s="78" t="str">
        <f>'W2 Points'!I46</f>
        <v/>
      </c>
      <c r="K38" s="78" t="str">
        <f>'W2 Points'!V60</f>
        <v/>
      </c>
      <c r="L38" s="78" t="str">
        <f>'W2 Points'!E18</f>
        <v/>
      </c>
      <c r="M38" s="78"/>
      <c r="O38" s="77" t="s">
        <v>113</v>
      </c>
      <c r="P38" s="78">
        <f>'W2 Points'!Z32</f>
        <v>0</v>
      </c>
      <c r="Q38" s="78" t="str">
        <f>'W2 Points'!O88</f>
        <v/>
      </c>
      <c r="R38" s="78" t="str">
        <f>'W2 Points'!D46</f>
        <v/>
      </c>
      <c r="S38" s="78" t="str">
        <f>'W2 Points'!W74</f>
        <v/>
      </c>
      <c r="T38" s="78"/>
    </row>
    <row r="39">
      <c r="A39" s="77" t="s">
        <v>114</v>
      </c>
      <c r="B39" s="78" t="str">
        <f>'W2 Points'!B61</f>
        <v/>
      </c>
      <c r="C39" s="78">
        <f>'W2 Points'!O89</f>
        <v>0</v>
      </c>
      <c r="D39" s="78" t="str">
        <f>'W2 Points'!P33</f>
        <v/>
      </c>
      <c r="E39" s="78">
        <f>'W2 Points'!E89</f>
        <v>0</v>
      </c>
      <c r="F39" s="78"/>
      <c r="H39" s="77" t="s">
        <v>114</v>
      </c>
      <c r="I39" s="78" t="str">
        <f>'W2 Points'!Z33</f>
        <v/>
      </c>
      <c r="J39" s="78">
        <f>'W2 Points'!I47</f>
        <v>0</v>
      </c>
      <c r="K39" s="78" t="str">
        <f>'W2 Points'!V61</f>
        <v/>
      </c>
      <c r="L39" s="78">
        <f>'W2 Points'!E19</f>
        <v>0</v>
      </c>
      <c r="M39" s="78"/>
      <c r="O39" s="77" t="s">
        <v>114</v>
      </c>
      <c r="P39" s="78" t="str">
        <f>'W2 Points'!Z33</f>
        <v/>
      </c>
      <c r="Q39" s="78">
        <f>'W2 Points'!O89</f>
        <v>0</v>
      </c>
      <c r="R39" s="78" t="str">
        <f>'W2 Points'!D47</f>
        <v/>
      </c>
      <c r="S39" s="78">
        <f>'W2 Points'!W75</f>
        <v>0</v>
      </c>
      <c r="T39" s="78"/>
    </row>
    <row r="40">
      <c r="A40" s="77" t="s">
        <v>115</v>
      </c>
      <c r="B40" s="78" t="str">
        <f>'W2 Points'!B62</f>
        <v/>
      </c>
      <c r="C40" s="78">
        <f>'W2 Points'!O90</f>
        <v>0</v>
      </c>
      <c r="D40" s="78" t="str">
        <f>'W2 Points'!P34</f>
        <v/>
      </c>
      <c r="E40" s="78">
        <f>'W2 Points'!E90</f>
        <v>0</v>
      </c>
      <c r="F40" s="78"/>
      <c r="H40" s="77" t="s">
        <v>115</v>
      </c>
      <c r="I40" s="78" t="str">
        <f>'W2 Points'!Z34</f>
        <v/>
      </c>
      <c r="J40" s="78">
        <f>'W2 Points'!I48</f>
        <v>0</v>
      </c>
      <c r="K40" s="78" t="str">
        <f>'W2 Points'!V62</f>
        <v/>
      </c>
      <c r="L40" s="78">
        <f>'W2 Points'!E20</f>
        <v>0</v>
      </c>
      <c r="M40" s="78"/>
      <c r="O40" s="77" t="s">
        <v>115</v>
      </c>
      <c r="P40" s="78" t="str">
        <f>'W2 Points'!Z34</f>
        <v/>
      </c>
      <c r="Q40" s="78">
        <f>'W2 Points'!O90</f>
        <v>0</v>
      </c>
      <c r="R40" s="78" t="str">
        <f>'W2 Points'!D48</f>
        <v/>
      </c>
      <c r="S40" s="78">
        <f>'W2 Points'!W76</f>
        <v>0</v>
      </c>
      <c r="T40" s="78"/>
    </row>
    <row r="41">
      <c r="A41" s="77" t="s">
        <v>116</v>
      </c>
      <c r="B41" s="78">
        <f>'W2 Points'!B63</f>
        <v>0</v>
      </c>
      <c r="C41" s="78" t="str">
        <f>'W2 Points'!O91</f>
        <v/>
      </c>
      <c r="D41" s="78">
        <f>'W2 Points'!P35</f>
        <v>0</v>
      </c>
      <c r="E41" s="78" t="str">
        <f>'W2 Points'!E91</f>
        <v/>
      </c>
      <c r="F41" s="78"/>
      <c r="H41" s="77" t="s">
        <v>116</v>
      </c>
      <c r="I41" s="78">
        <f>'W2 Points'!Z35</f>
        <v>0</v>
      </c>
      <c r="J41" s="78" t="str">
        <f>'W2 Points'!I49</f>
        <v/>
      </c>
      <c r="K41" s="78">
        <f>'W2 Points'!V63</f>
        <v>0</v>
      </c>
      <c r="L41" s="78" t="str">
        <f>'W2 Points'!E21</f>
        <v/>
      </c>
      <c r="M41" s="78"/>
      <c r="O41" s="77" t="s">
        <v>116</v>
      </c>
      <c r="P41" s="78">
        <f>'W2 Points'!Z35</f>
        <v>0</v>
      </c>
      <c r="Q41" s="78" t="str">
        <f>'W2 Points'!O91</f>
        <v/>
      </c>
      <c r="R41" s="78">
        <f>'W2 Points'!D49</f>
        <v>0</v>
      </c>
      <c r="S41" s="78" t="str">
        <f>'W2 Points'!W77</f>
        <v/>
      </c>
      <c r="T41" s="78"/>
    </row>
    <row r="42">
      <c r="A42" s="77" t="s">
        <v>117</v>
      </c>
      <c r="B42" s="78" t="str">
        <f>'W2 Points'!B64</f>
        <v/>
      </c>
      <c r="C42" s="78">
        <f>'W2 Points'!O92</f>
        <v>0</v>
      </c>
      <c r="D42" s="78" t="str">
        <f>'W2 Points'!P36</f>
        <v/>
      </c>
      <c r="E42" s="78" t="str">
        <f>'W2 Points'!E92</f>
        <v/>
      </c>
      <c r="F42" s="78"/>
      <c r="H42" s="77" t="s">
        <v>117</v>
      </c>
      <c r="I42" s="78" t="str">
        <f>'W2 Points'!Z36</f>
        <v/>
      </c>
      <c r="J42" s="78">
        <f>'W2 Points'!I50</f>
        <v>0</v>
      </c>
      <c r="K42" s="78" t="str">
        <f>'W2 Points'!V64</f>
        <v/>
      </c>
      <c r="L42" s="78" t="str">
        <f>'W2 Points'!E22</f>
        <v/>
      </c>
      <c r="M42" s="78"/>
      <c r="O42" s="77" t="s">
        <v>117</v>
      </c>
      <c r="P42" s="78" t="str">
        <f>'W2 Points'!Z36</f>
        <v/>
      </c>
      <c r="Q42" s="78">
        <f>'W2 Points'!O92</f>
        <v>0</v>
      </c>
      <c r="R42" s="78" t="str">
        <f>'W2 Points'!D50</f>
        <v/>
      </c>
      <c r="S42" s="78" t="str">
        <f>'W2 Points'!W78</f>
        <v/>
      </c>
      <c r="T42" s="78"/>
    </row>
    <row r="43">
      <c r="A43" s="77" t="s">
        <v>118</v>
      </c>
      <c r="B43" s="78" t="str">
        <f>'W2 Points'!B65</f>
        <v/>
      </c>
      <c r="C43" s="78" t="str">
        <f>'W2 Points'!O93</f>
        <v/>
      </c>
      <c r="D43" s="78">
        <f>'W2 Points'!P37</f>
        <v>0</v>
      </c>
      <c r="E43" s="78">
        <f>'W2 Points'!E93</f>
        <v>0</v>
      </c>
      <c r="F43" s="78"/>
      <c r="H43" s="77" t="s">
        <v>118</v>
      </c>
      <c r="I43" s="78" t="str">
        <f>'W2 Points'!Z37</f>
        <v/>
      </c>
      <c r="J43" s="78" t="str">
        <f>'W2 Points'!I51</f>
        <v/>
      </c>
      <c r="K43" s="78">
        <f>'W2 Points'!V65</f>
        <v>0</v>
      </c>
      <c r="L43" s="78">
        <f>'W2 Points'!E23</f>
        <v>0</v>
      </c>
      <c r="M43" s="78"/>
      <c r="O43" s="77" t="s">
        <v>118</v>
      </c>
      <c r="P43" s="78" t="str">
        <f>'W2 Points'!Z37</f>
        <v/>
      </c>
      <c r="Q43" s="78" t="str">
        <f>'W2 Points'!O93</f>
        <v/>
      </c>
      <c r="R43" s="78">
        <f>'W2 Points'!D51</f>
        <v>0</v>
      </c>
      <c r="S43" s="78">
        <f>'W2 Points'!W79</f>
        <v>0</v>
      </c>
      <c r="T43" s="78"/>
    </row>
    <row r="44">
      <c r="A44" s="77" t="s">
        <v>119</v>
      </c>
      <c r="B44" s="78" t="str">
        <f>'W2 Points'!B66</f>
        <v/>
      </c>
      <c r="C44" s="78">
        <f>'W2 Points'!O94</f>
        <v>0</v>
      </c>
      <c r="D44" s="78" t="str">
        <f>'W2 Points'!P38</f>
        <v/>
      </c>
      <c r="E44" s="78">
        <f>'W2 Points'!E94</f>
        <v>0</v>
      </c>
      <c r="F44" s="78"/>
      <c r="H44" s="77" t="s">
        <v>119</v>
      </c>
      <c r="I44" s="78" t="str">
        <f>'W2 Points'!Z38</f>
        <v/>
      </c>
      <c r="J44" s="78">
        <f>'W2 Points'!I52</f>
        <v>0</v>
      </c>
      <c r="K44" s="78" t="str">
        <f>'W2 Points'!V66</f>
        <v/>
      </c>
      <c r="L44" s="78">
        <f>'W2 Points'!E24</f>
        <v>0</v>
      </c>
      <c r="M44" s="78"/>
      <c r="O44" s="77" t="s">
        <v>119</v>
      </c>
      <c r="P44" s="78" t="str">
        <f>'W2 Points'!Z38</f>
        <v/>
      </c>
      <c r="Q44" s="78">
        <f>'W2 Points'!O94</f>
        <v>0</v>
      </c>
      <c r="R44" s="78" t="str">
        <f>'W2 Points'!D52</f>
        <v/>
      </c>
      <c r="S44" s="78">
        <f>'W2 Points'!W80</f>
        <v>0</v>
      </c>
      <c r="T44" s="78"/>
    </row>
    <row r="45">
      <c r="A45" s="77" t="s">
        <v>120</v>
      </c>
      <c r="B45" s="78" t="str">
        <f>'W2 Points'!B67</f>
        <v/>
      </c>
      <c r="C45" s="78" t="str">
        <f>'W2 Points'!O95</f>
        <v/>
      </c>
      <c r="D45" s="78">
        <f>'W2 Points'!P39</f>
        <v>0</v>
      </c>
      <c r="E45" s="78">
        <f>'W2 Points'!E95</f>
        <v>0</v>
      </c>
      <c r="F45" s="78"/>
      <c r="H45" s="77" t="s">
        <v>120</v>
      </c>
      <c r="I45" s="78" t="str">
        <f>'W2 Points'!Z39</f>
        <v/>
      </c>
      <c r="J45" s="78" t="str">
        <f>'W2 Points'!I53</f>
        <v/>
      </c>
      <c r="K45" s="78">
        <f>'W2 Points'!V67</f>
        <v>0</v>
      </c>
      <c r="L45" s="78">
        <f>'W2 Points'!E25</f>
        <v>0</v>
      </c>
      <c r="M45" s="78"/>
      <c r="O45" s="77" t="s">
        <v>120</v>
      </c>
      <c r="P45" s="78" t="str">
        <f>'W2 Points'!Z39</f>
        <v/>
      </c>
      <c r="Q45" s="78" t="str">
        <f>'W2 Points'!O95</f>
        <v/>
      </c>
      <c r="R45" s="78">
        <f>'W2 Points'!D53</f>
        <v>0</v>
      </c>
      <c r="S45" s="78">
        <f>'W2 Points'!W81</f>
        <v>0</v>
      </c>
      <c r="T45" s="78"/>
    </row>
    <row r="46">
      <c r="A46" s="77" t="s">
        <v>121</v>
      </c>
      <c r="B46" s="78">
        <f>'W2 Points'!B68</f>
        <v>0</v>
      </c>
      <c r="C46" s="78">
        <f>'W2 Points'!O96</f>
        <v>0</v>
      </c>
      <c r="D46" s="78">
        <f>'W2 Points'!P40</f>
        <v>0</v>
      </c>
      <c r="E46" s="78">
        <f>'W2 Points'!E96</f>
        <v>0</v>
      </c>
      <c r="F46" s="78"/>
      <c r="H46" s="77" t="s">
        <v>121</v>
      </c>
      <c r="I46" s="78">
        <f>'W2 Points'!Z40</f>
        <v>0</v>
      </c>
      <c r="J46" s="78">
        <f>'W2 Points'!I54</f>
        <v>0</v>
      </c>
      <c r="K46" s="78">
        <f>'W2 Points'!V68</f>
        <v>0</v>
      </c>
      <c r="L46" s="78">
        <f>'W2 Points'!E26</f>
        <v>0</v>
      </c>
      <c r="M46" s="78"/>
      <c r="O46" s="77" t="s">
        <v>121</v>
      </c>
      <c r="P46" s="78">
        <f>'W2 Points'!Z40</f>
        <v>0</v>
      </c>
      <c r="Q46" s="78">
        <f>'W2 Points'!O96</f>
        <v>0</v>
      </c>
      <c r="R46" s="78">
        <f>'W2 Points'!D54</f>
        <v>0</v>
      </c>
      <c r="S46" s="78">
        <f>'W2 Points'!W82</f>
        <v>0</v>
      </c>
      <c r="T46" s="78"/>
    </row>
    <row r="47">
      <c r="A47" s="77" t="s">
        <v>122</v>
      </c>
      <c r="B47" s="79">
        <f t="shared" ref="B47:F47" si="7">SUM(B36:B46)</f>
        <v>0</v>
      </c>
      <c r="C47" s="79">
        <f t="shared" si="7"/>
        <v>0</v>
      </c>
      <c r="D47" s="79">
        <f t="shared" si="7"/>
        <v>0</v>
      </c>
      <c r="E47" s="79">
        <f t="shared" si="7"/>
        <v>0</v>
      </c>
      <c r="F47" s="79">
        <f t="shared" si="7"/>
        <v>0</v>
      </c>
      <c r="H47" s="77" t="s">
        <v>122</v>
      </c>
      <c r="I47" s="79">
        <f t="shared" ref="I47:M47" si="8">SUM(I36:I46)</f>
        <v>0</v>
      </c>
      <c r="J47" s="79">
        <f t="shared" si="8"/>
        <v>0</v>
      </c>
      <c r="K47" s="79">
        <f t="shared" si="8"/>
        <v>0</v>
      </c>
      <c r="L47" s="79">
        <f t="shared" si="8"/>
        <v>0</v>
      </c>
      <c r="M47" s="79">
        <f t="shared" si="8"/>
        <v>0</v>
      </c>
      <c r="O47" s="77" t="s">
        <v>122</v>
      </c>
      <c r="P47" s="80">
        <f t="shared" ref="P47:T47" si="9">SUM(P36:P46)</f>
        <v>0</v>
      </c>
      <c r="Q47" s="80">
        <f t="shared" si="9"/>
        <v>0</v>
      </c>
      <c r="R47" s="80">
        <f t="shared" si="9"/>
        <v>0</v>
      </c>
      <c r="S47" s="80">
        <f t="shared" si="9"/>
        <v>0</v>
      </c>
      <c r="T47" s="80">
        <f t="shared" si="9"/>
        <v>0</v>
      </c>
    </row>
    <row r="48">
      <c r="E48" s="81" t="s">
        <v>123</v>
      </c>
      <c r="F48" s="82">
        <f>SUM(B47:E47)</f>
        <v>0</v>
      </c>
      <c r="L48" s="81" t="s">
        <v>123</v>
      </c>
      <c r="M48" s="82">
        <f>SUM(I47:L47)</f>
        <v>0</v>
      </c>
      <c r="S48" s="81" t="s">
        <v>123</v>
      </c>
      <c r="T48" s="82">
        <f>SUM(P47:S47)</f>
        <v>0</v>
      </c>
    </row>
    <row r="49">
      <c r="A49" s="73" t="s">
        <v>44</v>
      </c>
      <c r="H49" s="73" t="s">
        <v>47</v>
      </c>
      <c r="O49" s="73" t="s">
        <v>50</v>
      </c>
    </row>
    <row r="50">
      <c r="A50" s="74" t="s">
        <v>7</v>
      </c>
      <c r="B50" s="74" t="s">
        <v>94</v>
      </c>
      <c r="C50" s="74" t="s">
        <v>95</v>
      </c>
      <c r="D50" s="74" t="s">
        <v>96</v>
      </c>
      <c r="E50" s="74" t="s">
        <v>97</v>
      </c>
      <c r="F50" s="74" t="s">
        <v>98</v>
      </c>
      <c r="H50" s="74" t="s">
        <v>7</v>
      </c>
      <c r="I50" s="74" t="s">
        <v>94</v>
      </c>
      <c r="J50" s="74" t="s">
        <v>95</v>
      </c>
      <c r="K50" s="74" t="s">
        <v>96</v>
      </c>
      <c r="L50" s="74" t="s">
        <v>97</v>
      </c>
      <c r="M50" s="74" t="s">
        <v>98</v>
      </c>
      <c r="O50" s="74" t="s">
        <v>7</v>
      </c>
      <c r="P50" s="74" t="s">
        <v>94</v>
      </c>
      <c r="Q50" s="74" t="s">
        <v>95</v>
      </c>
      <c r="R50" s="74" t="s">
        <v>96</v>
      </c>
      <c r="S50" s="74" t="s">
        <v>97</v>
      </c>
      <c r="T50" s="74" t="s">
        <v>98</v>
      </c>
    </row>
    <row r="51">
      <c r="A51" s="75" t="s">
        <v>136</v>
      </c>
      <c r="B51" s="75" t="s">
        <v>106</v>
      </c>
      <c r="C51" s="75" t="s">
        <v>124</v>
      </c>
      <c r="D51" s="75" t="s">
        <v>102</v>
      </c>
      <c r="E51" s="75" t="s">
        <v>104</v>
      </c>
      <c r="F51" s="75" t="s">
        <v>125</v>
      </c>
      <c r="H51" s="75" t="s">
        <v>48</v>
      </c>
      <c r="I51" s="75" t="s">
        <v>39</v>
      </c>
      <c r="J51" s="75" t="s">
        <v>124</v>
      </c>
      <c r="K51" s="75" t="s">
        <v>102</v>
      </c>
      <c r="L51" s="75" t="s">
        <v>48</v>
      </c>
      <c r="M51" s="75" t="s">
        <v>106</v>
      </c>
      <c r="O51" s="75" t="s">
        <v>51</v>
      </c>
      <c r="P51" s="75" t="s">
        <v>105</v>
      </c>
      <c r="Q51" s="75" t="s">
        <v>137</v>
      </c>
      <c r="R51" s="75" t="s">
        <v>28</v>
      </c>
      <c r="S51" s="75" t="s">
        <v>138</v>
      </c>
      <c r="T51" s="75" t="s">
        <v>139</v>
      </c>
    </row>
    <row r="52">
      <c r="A52" s="77" t="s">
        <v>108</v>
      </c>
      <c r="B52" s="78">
        <f>'W2 Points'!Z30</f>
        <v>0</v>
      </c>
      <c r="C52" s="78" t="str">
        <f>'W2 Points'!I44</f>
        <v/>
      </c>
      <c r="D52" s="78" t="str">
        <f>'W2 Points'!P30</f>
        <v/>
      </c>
      <c r="E52" s="78">
        <f>'W2 Points'!K16</f>
        <v>0</v>
      </c>
      <c r="F52" s="78" t="s">
        <v>129</v>
      </c>
      <c r="H52" s="77" t="s">
        <v>108</v>
      </c>
      <c r="I52" s="78">
        <f>'W2 Points'!T58</f>
        <v>0</v>
      </c>
      <c r="J52" s="78" t="str">
        <f>'W2 Points'!I44</f>
        <v/>
      </c>
      <c r="K52" s="78" t="str">
        <f>'W2 Points'!P30</f>
        <v/>
      </c>
      <c r="L52" s="78">
        <f>'W2 Points'!W44</f>
        <v>0</v>
      </c>
      <c r="M52" s="78" t="s">
        <v>110</v>
      </c>
      <c r="O52" s="77" t="s">
        <v>108</v>
      </c>
      <c r="P52" s="78">
        <f>'W2 Points'!T16</f>
        <v>0</v>
      </c>
      <c r="Q52" s="78" t="str">
        <f>'W2 Points'!O58</f>
        <v/>
      </c>
      <c r="R52" s="78" t="str">
        <f>'W2 Points'!J58</f>
        <v/>
      </c>
      <c r="S52" s="78">
        <f>'W2 Points'!E72</f>
        <v>0</v>
      </c>
      <c r="T52" s="78" t="s">
        <v>140</v>
      </c>
    </row>
    <row r="53">
      <c r="A53" s="77" t="s">
        <v>112</v>
      </c>
      <c r="B53" s="78" t="str">
        <f>'W2 Points'!Z31</f>
        <v/>
      </c>
      <c r="C53" s="78" t="str">
        <f>'W2 Points'!I45</f>
        <v/>
      </c>
      <c r="D53" s="78">
        <f>'W2 Points'!P31</f>
        <v>0</v>
      </c>
      <c r="E53" s="78" t="str">
        <f>'W2 Points'!K17</f>
        <v/>
      </c>
      <c r="F53" s="78"/>
      <c r="H53" s="77" t="s">
        <v>112</v>
      </c>
      <c r="I53" s="78" t="str">
        <f>'W2 Points'!T59</f>
        <v/>
      </c>
      <c r="J53" s="78" t="str">
        <f>'W2 Points'!I45</f>
        <v/>
      </c>
      <c r="K53" s="78">
        <f>'W2 Points'!P31</f>
        <v>0</v>
      </c>
      <c r="L53" s="78" t="str">
        <f>'W2 Points'!W45</f>
        <v/>
      </c>
      <c r="M53" s="78"/>
      <c r="O53" s="77" t="s">
        <v>112</v>
      </c>
      <c r="P53" s="78" t="str">
        <f>'W2 Points'!T17</f>
        <v/>
      </c>
      <c r="Q53" s="78" t="str">
        <f>'W2 Points'!O59</f>
        <v/>
      </c>
      <c r="R53" s="78">
        <f>'W2 Points'!J59</f>
        <v>0</v>
      </c>
      <c r="S53" s="78" t="str">
        <f>'W2 Points'!E73</f>
        <v/>
      </c>
      <c r="T53" s="78"/>
    </row>
    <row r="54">
      <c r="A54" s="77" t="s">
        <v>113</v>
      </c>
      <c r="B54" s="78">
        <f>'W2 Points'!Z32</f>
        <v>0</v>
      </c>
      <c r="C54" s="78" t="str">
        <f>'W2 Points'!I46</f>
        <v/>
      </c>
      <c r="D54" s="78" t="str">
        <f>'W2 Points'!P32</f>
        <v/>
      </c>
      <c r="E54" s="78" t="str">
        <f>'W2 Points'!K18</f>
        <v/>
      </c>
      <c r="F54" s="78"/>
      <c r="H54" s="77" t="s">
        <v>113</v>
      </c>
      <c r="I54" s="78">
        <f>'W2 Points'!T60</f>
        <v>0</v>
      </c>
      <c r="J54" s="78" t="str">
        <f>'W2 Points'!I46</f>
        <v/>
      </c>
      <c r="K54" s="78" t="str">
        <f>'W2 Points'!P32</f>
        <v/>
      </c>
      <c r="L54" s="78" t="str">
        <f>'W2 Points'!W46</f>
        <v/>
      </c>
      <c r="M54" s="78"/>
      <c r="O54" s="77" t="s">
        <v>113</v>
      </c>
      <c r="P54" s="78">
        <f>'W2 Points'!T18</f>
        <v>0</v>
      </c>
      <c r="Q54" s="78" t="str">
        <f>'W2 Points'!O60</f>
        <v/>
      </c>
      <c r="R54" s="78" t="str">
        <f>'W2 Points'!J60</f>
        <v/>
      </c>
      <c r="S54" s="78" t="str">
        <f>'W2 Points'!E74</f>
        <v/>
      </c>
      <c r="T54" s="78"/>
    </row>
    <row r="55">
      <c r="A55" s="77" t="s">
        <v>114</v>
      </c>
      <c r="B55" s="78" t="str">
        <f>'W2 Points'!Z33</f>
        <v/>
      </c>
      <c r="C55" s="78">
        <f>'W2 Points'!I47</f>
        <v>0</v>
      </c>
      <c r="D55" s="78" t="str">
        <f>'W2 Points'!P33</f>
        <v/>
      </c>
      <c r="E55" s="78">
        <f>'W2 Points'!K19</f>
        <v>0</v>
      </c>
      <c r="F55" s="78"/>
      <c r="H55" s="77" t="s">
        <v>114</v>
      </c>
      <c r="I55" s="78" t="str">
        <f>'W2 Points'!T61</f>
        <v/>
      </c>
      <c r="J55" s="78">
        <f>'W2 Points'!I47</f>
        <v>0</v>
      </c>
      <c r="K55" s="78" t="str">
        <f>'W2 Points'!P33</f>
        <v/>
      </c>
      <c r="L55" s="78">
        <f>'W2 Points'!W47</f>
        <v>0</v>
      </c>
      <c r="M55" s="78"/>
      <c r="O55" s="77" t="s">
        <v>114</v>
      </c>
      <c r="P55" s="78" t="str">
        <f>'W2 Points'!T19</f>
        <v/>
      </c>
      <c r="Q55" s="78">
        <f>'W2 Points'!O61</f>
        <v>0</v>
      </c>
      <c r="R55" s="78" t="str">
        <f>'W2 Points'!J61</f>
        <v/>
      </c>
      <c r="S55" s="78">
        <f>'W2 Points'!E75</f>
        <v>0</v>
      </c>
      <c r="T55" s="78"/>
    </row>
    <row r="56">
      <c r="A56" s="77" t="s">
        <v>115</v>
      </c>
      <c r="B56" s="78" t="str">
        <f>'W2 Points'!Z34</f>
        <v/>
      </c>
      <c r="C56" s="78">
        <f>'W2 Points'!I48</f>
        <v>0</v>
      </c>
      <c r="D56" s="78" t="str">
        <f>'W2 Points'!P34</f>
        <v/>
      </c>
      <c r="E56" s="78">
        <f>'W2 Points'!K20</f>
        <v>0</v>
      </c>
      <c r="F56" s="78"/>
      <c r="H56" s="77" t="s">
        <v>115</v>
      </c>
      <c r="I56" s="78" t="str">
        <f>'W2 Points'!T62</f>
        <v/>
      </c>
      <c r="J56" s="78">
        <f>'W2 Points'!I48</f>
        <v>0</v>
      </c>
      <c r="K56" s="78" t="str">
        <f>'W2 Points'!P34</f>
        <v/>
      </c>
      <c r="L56" s="78">
        <f>'W2 Points'!W48</f>
        <v>0</v>
      </c>
      <c r="M56" s="78"/>
      <c r="O56" s="77" t="s">
        <v>115</v>
      </c>
      <c r="P56" s="78" t="str">
        <f>'W2 Points'!T20</f>
        <v/>
      </c>
      <c r="Q56" s="78">
        <f>'W2 Points'!O62</f>
        <v>0</v>
      </c>
      <c r="R56" s="78" t="str">
        <f>'W2 Points'!J62</f>
        <v/>
      </c>
      <c r="S56" s="78">
        <f>'W2 Points'!E76</f>
        <v>0</v>
      </c>
      <c r="T56" s="78"/>
    </row>
    <row r="57">
      <c r="A57" s="77" t="s">
        <v>116</v>
      </c>
      <c r="B57" s="78">
        <f>'W2 Points'!Z35</f>
        <v>0</v>
      </c>
      <c r="C57" s="78" t="str">
        <f>'W2 Points'!I49</f>
        <v/>
      </c>
      <c r="D57" s="78">
        <f>'W2 Points'!P35</f>
        <v>0</v>
      </c>
      <c r="E57" s="78" t="str">
        <f>'W2 Points'!K21</f>
        <v/>
      </c>
      <c r="F57" s="78"/>
      <c r="H57" s="77" t="s">
        <v>116</v>
      </c>
      <c r="I57" s="78">
        <f>'W2 Points'!T63</f>
        <v>0</v>
      </c>
      <c r="J57" s="78" t="str">
        <f>'W2 Points'!I49</f>
        <v/>
      </c>
      <c r="K57" s="78">
        <f>'W2 Points'!P35</f>
        <v>0</v>
      </c>
      <c r="L57" s="78" t="str">
        <f>'W2 Points'!W49</f>
        <v/>
      </c>
      <c r="M57" s="78"/>
      <c r="O57" s="77" t="s">
        <v>116</v>
      </c>
      <c r="P57" s="78">
        <f>'W2 Points'!T21</f>
        <v>0</v>
      </c>
      <c r="Q57" s="78" t="str">
        <f>'W2 Points'!O63</f>
        <v/>
      </c>
      <c r="R57" s="78">
        <f>'W2 Points'!J63</f>
        <v>0</v>
      </c>
      <c r="S57" s="78" t="str">
        <f>'W2 Points'!E77</f>
        <v/>
      </c>
      <c r="T57" s="78"/>
    </row>
    <row r="58">
      <c r="A58" s="77" t="s">
        <v>117</v>
      </c>
      <c r="B58" s="78" t="str">
        <f>'W2 Points'!Z36</f>
        <v/>
      </c>
      <c r="C58" s="78">
        <f>'W2 Points'!I50</f>
        <v>0</v>
      </c>
      <c r="D58" s="78" t="str">
        <f>'W2 Points'!P36</f>
        <v/>
      </c>
      <c r="E58" s="78" t="str">
        <f>'W2 Points'!K22</f>
        <v/>
      </c>
      <c r="F58" s="78"/>
      <c r="H58" s="77" t="s">
        <v>117</v>
      </c>
      <c r="I58" s="78" t="str">
        <f>'W2 Points'!T64</f>
        <v/>
      </c>
      <c r="J58" s="78">
        <f>'W2 Points'!I50</f>
        <v>0</v>
      </c>
      <c r="K58" s="78" t="str">
        <f>'W2 Points'!P36</f>
        <v/>
      </c>
      <c r="L58" s="78" t="str">
        <f>'W2 Points'!W50</f>
        <v/>
      </c>
      <c r="M58" s="78"/>
      <c r="O58" s="77" t="s">
        <v>117</v>
      </c>
      <c r="P58" s="78" t="str">
        <f>'W2 Points'!T22</f>
        <v/>
      </c>
      <c r="Q58" s="78">
        <f>'W2 Points'!O64</f>
        <v>0</v>
      </c>
      <c r="R58" s="78" t="str">
        <f>'W2 Points'!J64</f>
        <v/>
      </c>
      <c r="S58" s="78" t="str">
        <f>'W2 Points'!E78</f>
        <v/>
      </c>
      <c r="T58" s="78"/>
    </row>
    <row r="59">
      <c r="A59" s="77" t="s">
        <v>118</v>
      </c>
      <c r="B59" s="78" t="str">
        <f>'W2 Points'!Z37</f>
        <v/>
      </c>
      <c r="C59" s="78" t="str">
        <f>'W2 Points'!I51</f>
        <v/>
      </c>
      <c r="D59" s="78">
        <f>'W2 Points'!P37</f>
        <v>0</v>
      </c>
      <c r="E59" s="78">
        <f>'W2 Points'!K23</f>
        <v>0</v>
      </c>
      <c r="F59" s="78"/>
      <c r="H59" s="77" t="s">
        <v>118</v>
      </c>
      <c r="I59" s="78" t="str">
        <f>'W2 Points'!T65</f>
        <v/>
      </c>
      <c r="J59" s="78" t="str">
        <f>'W2 Points'!I51</f>
        <v/>
      </c>
      <c r="K59" s="78">
        <f>'W2 Points'!P37</f>
        <v>0</v>
      </c>
      <c r="L59" s="78">
        <f>'W2 Points'!W51</f>
        <v>0</v>
      </c>
      <c r="M59" s="78"/>
      <c r="O59" s="77" t="s">
        <v>118</v>
      </c>
      <c r="P59" s="78" t="str">
        <f>'W2 Points'!T23</f>
        <v/>
      </c>
      <c r="Q59" s="78" t="str">
        <f>'W2 Points'!O65</f>
        <v/>
      </c>
      <c r="R59" s="78">
        <f>'W2 Points'!J65</f>
        <v>0</v>
      </c>
      <c r="S59" s="78">
        <f>'W2 Points'!E79</f>
        <v>0</v>
      </c>
      <c r="T59" s="78"/>
    </row>
    <row r="60">
      <c r="A60" s="77" t="s">
        <v>119</v>
      </c>
      <c r="B60" s="78" t="str">
        <f>'W2 Points'!Z38</f>
        <v/>
      </c>
      <c r="C60" s="78">
        <f>'W2 Points'!I52</f>
        <v>0</v>
      </c>
      <c r="D60" s="78" t="str">
        <f>'W2 Points'!P38</f>
        <v/>
      </c>
      <c r="E60" s="78">
        <f>'W2 Points'!K24</f>
        <v>0</v>
      </c>
      <c r="F60" s="78"/>
      <c r="H60" s="77" t="s">
        <v>119</v>
      </c>
      <c r="I60" s="78" t="str">
        <f>'W2 Points'!T66</f>
        <v/>
      </c>
      <c r="J60" s="78">
        <f>'W2 Points'!I52</f>
        <v>0</v>
      </c>
      <c r="K60" s="78" t="str">
        <f>'W2 Points'!P38</f>
        <v/>
      </c>
      <c r="L60" s="78">
        <f>'W2 Points'!W52</f>
        <v>0</v>
      </c>
      <c r="M60" s="78"/>
      <c r="O60" s="77" t="s">
        <v>119</v>
      </c>
      <c r="P60" s="78" t="str">
        <f>'W2 Points'!T24</f>
        <v/>
      </c>
      <c r="Q60" s="78">
        <f>'W2 Points'!O66</f>
        <v>0</v>
      </c>
      <c r="R60" s="78" t="str">
        <f>'W2 Points'!J66</f>
        <v/>
      </c>
      <c r="S60" s="78">
        <f>'W2 Points'!E80</f>
        <v>0</v>
      </c>
      <c r="T60" s="78"/>
    </row>
    <row r="61">
      <c r="A61" s="77" t="s">
        <v>120</v>
      </c>
      <c r="B61" s="78" t="str">
        <f>'W2 Points'!Z39</f>
        <v/>
      </c>
      <c r="C61" s="78" t="str">
        <f>'W2 Points'!I53</f>
        <v/>
      </c>
      <c r="D61" s="78">
        <f>'W2 Points'!P39</f>
        <v>0</v>
      </c>
      <c r="E61" s="78">
        <f>'W2 Points'!K25</f>
        <v>0</v>
      </c>
      <c r="F61" s="78"/>
      <c r="H61" s="77" t="s">
        <v>120</v>
      </c>
      <c r="I61" s="78" t="str">
        <f>'W2 Points'!T67</f>
        <v/>
      </c>
      <c r="J61" s="78" t="str">
        <f>'W2 Points'!I53</f>
        <v/>
      </c>
      <c r="K61" s="78">
        <f>'W2 Points'!P39</f>
        <v>0</v>
      </c>
      <c r="L61" s="78">
        <f>'W2 Points'!W53</f>
        <v>0</v>
      </c>
      <c r="M61" s="78"/>
      <c r="O61" s="77" t="s">
        <v>120</v>
      </c>
      <c r="P61" s="78" t="str">
        <f>'W2 Points'!T25</f>
        <v/>
      </c>
      <c r="Q61" s="78" t="str">
        <f>'W2 Points'!O67</f>
        <v/>
      </c>
      <c r="R61" s="78">
        <f>'W2 Points'!J67</f>
        <v>0</v>
      </c>
      <c r="S61" s="78">
        <f>'W2 Points'!E81</f>
        <v>0</v>
      </c>
      <c r="T61" s="78"/>
    </row>
    <row r="62">
      <c r="A62" s="77" t="s">
        <v>121</v>
      </c>
      <c r="B62" s="78">
        <f>'W2 Points'!Z40</f>
        <v>0</v>
      </c>
      <c r="C62" s="78">
        <f>'W2 Points'!I54</f>
        <v>0</v>
      </c>
      <c r="D62" s="78">
        <f>'W2 Points'!P40</f>
        <v>0</v>
      </c>
      <c r="E62" s="78">
        <f>'W2 Points'!K26</f>
        <v>0</v>
      </c>
      <c r="F62" s="78"/>
      <c r="H62" s="77" t="s">
        <v>121</v>
      </c>
      <c r="I62" s="78">
        <f>'W2 Points'!T68</f>
        <v>0</v>
      </c>
      <c r="J62" s="78">
        <f>'W2 Points'!I54</f>
        <v>0</v>
      </c>
      <c r="K62" s="78">
        <f>'W2 Points'!P40</f>
        <v>0</v>
      </c>
      <c r="L62" s="78">
        <f>'W2 Points'!W54</f>
        <v>0</v>
      </c>
      <c r="M62" s="78"/>
      <c r="O62" s="77" t="s">
        <v>121</v>
      </c>
      <c r="P62" s="78">
        <f>'W2 Points'!T26</f>
        <v>0</v>
      </c>
      <c r="Q62" s="78">
        <f>'W2 Points'!O68</f>
        <v>0</v>
      </c>
      <c r="R62" s="78">
        <f>'W2 Points'!J68</f>
        <v>0</v>
      </c>
      <c r="S62" s="78">
        <f>'W2 Points'!E82</f>
        <v>0</v>
      </c>
      <c r="T62" s="78"/>
    </row>
    <row r="63">
      <c r="A63" s="77" t="s">
        <v>122</v>
      </c>
      <c r="B63" s="79">
        <f t="shared" ref="B63:F63" si="10">SUM(B52:B62)</f>
        <v>0</v>
      </c>
      <c r="C63" s="79">
        <f t="shared" si="10"/>
        <v>0</v>
      </c>
      <c r="D63" s="79">
        <f t="shared" si="10"/>
        <v>0</v>
      </c>
      <c r="E63" s="79">
        <f t="shared" si="10"/>
        <v>0</v>
      </c>
      <c r="F63" s="79">
        <f t="shared" si="10"/>
        <v>0</v>
      </c>
      <c r="H63" s="77" t="s">
        <v>122</v>
      </c>
      <c r="I63" s="79">
        <f t="shared" ref="I63:M63" si="11">SUM(I52:I62)</f>
        <v>0</v>
      </c>
      <c r="J63" s="79">
        <f t="shared" si="11"/>
        <v>0</v>
      </c>
      <c r="K63" s="79">
        <f t="shared" si="11"/>
        <v>0</v>
      </c>
      <c r="L63" s="79">
        <f t="shared" si="11"/>
        <v>0</v>
      </c>
      <c r="M63" s="79">
        <f t="shared" si="11"/>
        <v>0</v>
      </c>
      <c r="O63" s="77" t="s">
        <v>122</v>
      </c>
      <c r="P63" s="79">
        <f t="shared" ref="P63:T63" si="12">SUM(P52:P62)</f>
        <v>0</v>
      </c>
      <c r="Q63" s="79">
        <f t="shared" si="12"/>
        <v>0</v>
      </c>
      <c r="R63" s="79">
        <f t="shared" si="12"/>
        <v>0</v>
      </c>
      <c r="S63" s="79">
        <f t="shared" si="12"/>
        <v>0</v>
      </c>
      <c r="T63" s="79">
        <f t="shared" si="12"/>
        <v>0</v>
      </c>
    </row>
    <row r="64">
      <c r="E64" s="81" t="s">
        <v>123</v>
      </c>
      <c r="F64" s="82">
        <f>SUM(B63:E63)</f>
        <v>0</v>
      </c>
      <c r="L64" s="81" t="s">
        <v>123</v>
      </c>
      <c r="M64" s="82">
        <f>SUM(I63:L63)</f>
        <v>0</v>
      </c>
      <c r="S64" s="81" t="s">
        <v>123</v>
      </c>
      <c r="T64" s="82">
        <f>SUM(P63:S63)</f>
        <v>0</v>
      </c>
    </row>
  </sheetData>
  <mergeCells count="12">
    <mergeCell ref="H33:M33"/>
    <mergeCell ref="O33:T33"/>
    <mergeCell ref="A49:F49"/>
    <mergeCell ref="H49:M49"/>
    <mergeCell ref="O49:T49"/>
    <mergeCell ref="A1:F1"/>
    <mergeCell ref="H1:M1"/>
    <mergeCell ref="O1:T1"/>
    <mergeCell ref="A17:F17"/>
    <mergeCell ref="H17:M17"/>
    <mergeCell ref="O17:T17"/>
    <mergeCell ref="A33:F3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0.5"/>
    <col customWidth="1" min="2" max="2" width="18.88"/>
    <col customWidth="1" min="3" max="17" width="8.25"/>
    <col customWidth="1" min="18" max="18" width="0.5"/>
    <col customWidth="1" min="19" max="23" width="8.25"/>
  </cols>
  <sheetData>
    <row r="1">
      <c r="A1" s="83" t="s">
        <v>141</v>
      </c>
      <c r="W1" s="106"/>
    </row>
    <row r="2">
      <c r="A2" s="84"/>
      <c r="B2" s="85" t="s">
        <v>142</v>
      </c>
      <c r="C2" s="86" t="s">
        <v>143</v>
      </c>
      <c r="D2" s="86" t="s">
        <v>108</v>
      </c>
      <c r="E2" s="86" t="s">
        <v>144</v>
      </c>
      <c r="F2" s="86" t="s">
        <v>145</v>
      </c>
      <c r="G2" s="86" t="s">
        <v>146</v>
      </c>
      <c r="H2" s="86" t="s">
        <v>112</v>
      </c>
      <c r="I2" s="86" t="s">
        <v>113</v>
      </c>
      <c r="J2" s="86" t="s">
        <v>147</v>
      </c>
      <c r="K2" s="86" t="s">
        <v>115</v>
      </c>
      <c r="L2" s="87" t="s">
        <v>116</v>
      </c>
      <c r="M2" s="87" t="s">
        <v>117</v>
      </c>
      <c r="N2" s="87" t="s">
        <v>118</v>
      </c>
      <c r="O2" s="87" t="s">
        <v>119</v>
      </c>
      <c r="P2" s="87" t="s">
        <v>120</v>
      </c>
      <c r="Q2" s="87" t="s">
        <v>121</v>
      </c>
      <c r="R2" s="88"/>
      <c r="S2" s="87" t="s">
        <v>94</v>
      </c>
      <c r="T2" s="87" t="s">
        <v>95</v>
      </c>
      <c r="U2" s="87" t="s">
        <v>96</v>
      </c>
      <c r="V2" s="87" t="s">
        <v>97</v>
      </c>
      <c r="W2" s="107" t="s">
        <v>148</v>
      </c>
    </row>
    <row r="3" ht="12.75" customHeight="1">
      <c r="A3" s="89"/>
      <c r="B3" s="90" t="s">
        <v>101</v>
      </c>
      <c r="C3" s="91">
        <f t="shared" ref="C3:D3" si="1">0</f>
        <v>0</v>
      </c>
      <c r="D3" s="91">
        <f t="shared" si="1"/>
        <v>0</v>
      </c>
      <c r="E3" s="91">
        <f t="shared" ref="E3:E33" si="5">G3+H3+I3</f>
        <v>0</v>
      </c>
      <c r="F3" s="91">
        <f t="shared" ref="F3:I3" si="2">0</f>
        <v>0</v>
      </c>
      <c r="G3" s="91">
        <f t="shared" si="2"/>
        <v>0</v>
      </c>
      <c r="H3" s="91">
        <f t="shared" si="2"/>
        <v>0</v>
      </c>
      <c r="I3" s="91">
        <f t="shared" si="2"/>
        <v>0</v>
      </c>
      <c r="J3" s="91">
        <f t="shared" ref="J3:J33" si="7">E3-F3</f>
        <v>0</v>
      </c>
      <c r="K3" s="91">
        <f t="shared" ref="K3:Q3" si="3">0</f>
        <v>0</v>
      </c>
      <c r="L3" s="91">
        <f t="shared" si="3"/>
        <v>0</v>
      </c>
      <c r="M3" s="91">
        <f t="shared" si="3"/>
        <v>0</v>
      </c>
      <c r="N3" s="91">
        <f t="shared" si="3"/>
        <v>0</v>
      </c>
      <c r="O3" s="91">
        <f t="shared" si="3"/>
        <v>0</v>
      </c>
      <c r="P3" s="91">
        <f t="shared" si="3"/>
        <v>0</v>
      </c>
      <c r="Q3" s="93">
        <f t="shared" si="3"/>
        <v>0</v>
      </c>
      <c r="R3" s="92"/>
      <c r="S3" s="93">
        <f>'W2 Points'!B27</f>
        <v>0</v>
      </c>
      <c r="T3" s="93">
        <f>'W2 Points'!C27</f>
        <v>0</v>
      </c>
      <c r="U3" s="93">
        <f>'W2 Points'!D27</f>
        <v>0</v>
      </c>
      <c r="V3" s="93">
        <f>'W2 Points'!E27</f>
        <v>0</v>
      </c>
      <c r="W3" s="108">
        <f t="shared" ref="W3:W23" si="9">SUM(S3:V3)</f>
        <v>0</v>
      </c>
    </row>
    <row r="4" ht="12.75" customHeight="1">
      <c r="A4" s="89"/>
      <c r="B4" s="90" t="s">
        <v>104</v>
      </c>
      <c r="C4" s="91">
        <f t="shared" ref="C4:D4" si="4">0</f>
        <v>0</v>
      </c>
      <c r="D4" s="91">
        <f t="shared" si="4"/>
        <v>0</v>
      </c>
      <c r="E4" s="91">
        <f t="shared" si="5"/>
        <v>0</v>
      </c>
      <c r="F4" s="91">
        <f t="shared" ref="F4:I4" si="6">0</f>
        <v>0</v>
      </c>
      <c r="G4" s="91">
        <f t="shared" si="6"/>
        <v>0</v>
      </c>
      <c r="H4" s="91">
        <f t="shared" si="6"/>
        <v>0</v>
      </c>
      <c r="I4" s="91">
        <f t="shared" si="6"/>
        <v>0</v>
      </c>
      <c r="J4" s="91">
        <f t="shared" si="7"/>
        <v>0</v>
      </c>
      <c r="K4" s="91">
        <f t="shared" ref="K4:Q4" si="8">0</f>
        <v>0</v>
      </c>
      <c r="L4" s="91">
        <f t="shared" si="8"/>
        <v>0</v>
      </c>
      <c r="M4" s="91">
        <f t="shared" si="8"/>
        <v>0</v>
      </c>
      <c r="N4" s="91">
        <f t="shared" si="8"/>
        <v>0</v>
      </c>
      <c r="O4" s="91">
        <f t="shared" si="8"/>
        <v>0</v>
      </c>
      <c r="P4" s="91">
        <f t="shared" si="8"/>
        <v>0</v>
      </c>
      <c r="Q4" s="93">
        <f t="shared" si="8"/>
        <v>0</v>
      </c>
      <c r="R4" s="92"/>
      <c r="S4" s="93">
        <f>'W2 Points'!H27</f>
        <v>0</v>
      </c>
      <c r="T4" s="93">
        <f>'W2 Points'!I27</f>
        <v>0</v>
      </c>
      <c r="U4" s="93">
        <f>'W2 Points'!J27</f>
        <v>0</v>
      </c>
      <c r="V4" s="93">
        <f>'W2 Points'!K27</f>
        <v>0</v>
      </c>
      <c r="W4" s="108">
        <f t="shared" si="9"/>
        <v>0</v>
      </c>
    </row>
    <row r="5" ht="12.75" customHeight="1">
      <c r="A5" s="89"/>
      <c r="B5" s="90" t="s">
        <v>127</v>
      </c>
      <c r="C5" s="91">
        <f t="shared" ref="C5:D5" si="10">0</f>
        <v>0</v>
      </c>
      <c r="D5" s="91">
        <f t="shared" si="10"/>
        <v>0</v>
      </c>
      <c r="E5" s="91">
        <f t="shared" si="5"/>
        <v>0</v>
      </c>
      <c r="F5" s="91">
        <f t="shared" ref="F5:I5" si="11">0</f>
        <v>0</v>
      </c>
      <c r="G5" s="91">
        <f t="shared" si="11"/>
        <v>0</v>
      </c>
      <c r="H5" s="91">
        <f t="shared" si="11"/>
        <v>0</v>
      </c>
      <c r="I5" s="91">
        <f t="shared" si="11"/>
        <v>0</v>
      </c>
      <c r="J5" s="91">
        <f t="shared" si="7"/>
        <v>0</v>
      </c>
      <c r="K5" s="91">
        <f t="shared" ref="K5:Q5" si="12">0</f>
        <v>0</v>
      </c>
      <c r="L5" s="91">
        <f t="shared" si="12"/>
        <v>0</v>
      </c>
      <c r="M5" s="91">
        <f t="shared" si="12"/>
        <v>0</v>
      </c>
      <c r="N5" s="91">
        <f t="shared" si="12"/>
        <v>0</v>
      </c>
      <c r="O5" s="91">
        <f t="shared" si="12"/>
        <v>0</v>
      </c>
      <c r="P5" s="91">
        <f t="shared" si="12"/>
        <v>0</v>
      </c>
      <c r="Q5" s="93">
        <f t="shared" si="12"/>
        <v>0</v>
      </c>
      <c r="R5" s="92"/>
      <c r="S5" s="93">
        <f>'W2 Points'!N27</f>
        <v>0</v>
      </c>
      <c r="T5" s="93">
        <f>'W2 Points'!O27</f>
        <v>0</v>
      </c>
      <c r="U5" s="93">
        <f>'W2 Points'!P27</f>
        <v>0</v>
      </c>
      <c r="V5" s="93">
        <f>'W2 Points'!Q27</f>
        <v>0</v>
      </c>
      <c r="W5" s="108">
        <f t="shared" si="9"/>
        <v>0</v>
      </c>
    </row>
    <row r="6" ht="12.75" customHeight="1">
      <c r="A6" s="89"/>
      <c r="B6" s="90" t="s">
        <v>105</v>
      </c>
      <c r="C6" s="91">
        <f t="shared" ref="C6:D6" si="13">0</f>
        <v>0</v>
      </c>
      <c r="D6" s="91">
        <f t="shared" si="13"/>
        <v>0</v>
      </c>
      <c r="E6" s="91">
        <f t="shared" si="5"/>
        <v>0</v>
      </c>
      <c r="F6" s="91">
        <f t="shared" ref="F6:I6" si="14">0</f>
        <v>0</v>
      </c>
      <c r="G6" s="91">
        <f t="shared" si="14"/>
        <v>0</v>
      </c>
      <c r="H6" s="91">
        <f t="shared" si="14"/>
        <v>0</v>
      </c>
      <c r="I6" s="91">
        <f t="shared" si="14"/>
        <v>0</v>
      </c>
      <c r="J6" s="91">
        <f t="shared" si="7"/>
        <v>0</v>
      </c>
      <c r="K6" s="91">
        <f t="shared" ref="K6:Q6" si="15">0</f>
        <v>0</v>
      </c>
      <c r="L6" s="91">
        <f t="shared" si="15"/>
        <v>0</v>
      </c>
      <c r="M6" s="91">
        <f t="shared" si="15"/>
        <v>0</v>
      </c>
      <c r="N6" s="91">
        <f t="shared" si="15"/>
        <v>0</v>
      </c>
      <c r="O6" s="91">
        <f t="shared" si="15"/>
        <v>0</v>
      </c>
      <c r="P6" s="91">
        <f t="shared" si="15"/>
        <v>0</v>
      </c>
      <c r="Q6" s="93">
        <f t="shared" si="15"/>
        <v>0</v>
      </c>
      <c r="R6" s="92"/>
      <c r="S6" s="93">
        <f>'W2 Points'!T27</f>
        <v>0</v>
      </c>
      <c r="T6" s="93">
        <f>'W2 Points'!U27</f>
        <v>0</v>
      </c>
      <c r="U6" s="93">
        <f>'W2 Points'!V27</f>
        <v>0</v>
      </c>
      <c r="V6" s="93">
        <f>'W2 Points'!W27</f>
        <v>0</v>
      </c>
      <c r="W6" s="108">
        <f t="shared" si="9"/>
        <v>0</v>
      </c>
    </row>
    <row r="7" ht="12.75" customHeight="1">
      <c r="A7" s="89"/>
      <c r="B7" s="90" t="s">
        <v>149</v>
      </c>
      <c r="C7" s="91">
        <f t="shared" ref="C7:D7" si="16">0</f>
        <v>0</v>
      </c>
      <c r="D7" s="91">
        <f t="shared" si="16"/>
        <v>0</v>
      </c>
      <c r="E7" s="91">
        <f t="shared" si="5"/>
        <v>0</v>
      </c>
      <c r="F7" s="91">
        <f t="shared" ref="F7:I7" si="17">0</f>
        <v>0</v>
      </c>
      <c r="G7" s="91">
        <f t="shared" si="17"/>
        <v>0</v>
      </c>
      <c r="H7" s="91">
        <f t="shared" si="17"/>
        <v>0</v>
      </c>
      <c r="I7" s="91">
        <f t="shared" si="17"/>
        <v>0</v>
      </c>
      <c r="J7" s="91">
        <f t="shared" si="7"/>
        <v>0</v>
      </c>
      <c r="K7" s="91">
        <f t="shared" ref="K7:Q7" si="18">0</f>
        <v>0</v>
      </c>
      <c r="L7" s="91">
        <f t="shared" si="18"/>
        <v>0</v>
      </c>
      <c r="M7" s="91">
        <f t="shared" si="18"/>
        <v>0</v>
      </c>
      <c r="N7" s="91">
        <f t="shared" si="18"/>
        <v>0</v>
      </c>
      <c r="O7" s="91">
        <f t="shared" si="18"/>
        <v>0</v>
      </c>
      <c r="P7" s="91">
        <f t="shared" si="18"/>
        <v>0</v>
      </c>
      <c r="Q7" s="93">
        <f t="shared" si="18"/>
        <v>0</v>
      </c>
      <c r="R7" s="92"/>
      <c r="S7" s="93">
        <f>'W2 Points'!Z27</f>
        <v>0</v>
      </c>
      <c r="T7" s="93">
        <f>'W2 Points'!AA27</f>
        <v>0</v>
      </c>
      <c r="U7" s="93">
        <f>'W2 Points'!AB27</f>
        <v>0</v>
      </c>
      <c r="V7" s="93">
        <f>'W2 Points'!AC27</f>
        <v>0</v>
      </c>
      <c r="W7" s="108">
        <f t="shared" si="9"/>
        <v>0</v>
      </c>
    </row>
    <row r="8" ht="12.75" customHeight="1">
      <c r="A8" s="89"/>
      <c r="B8" s="94" t="s">
        <v>150</v>
      </c>
      <c r="C8" s="100">
        <f t="shared" ref="C8:D8" si="19">0</f>
        <v>0</v>
      </c>
      <c r="D8" s="101">
        <f t="shared" si="19"/>
        <v>0</v>
      </c>
      <c r="E8" s="95">
        <f t="shared" si="5"/>
        <v>0</v>
      </c>
      <c r="F8" s="95">
        <f t="shared" ref="F8:I8" si="20">0</f>
        <v>0</v>
      </c>
      <c r="G8" s="95">
        <f t="shared" si="20"/>
        <v>0</v>
      </c>
      <c r="H8" s="101">
        <f t="shared" si="20"/>
        <v>0</v>
      </c>
      <c r="I8" s="102">
        <f t="shared" si="20"/>
        <v>0</v>
      </c>
      <c r="J8" s="95">
        <f t="shared" si="7"/>
        <v>0</v>
      </c>
      <c r="K8" s="102">
        <f t="shared" ref="K8:Q8" si="21">0</f>
        <v>0</v>
      </c>
      <c r="L8" s="102">
        <f t="shared" si="21"/>
        <v>0</v>
      </c>
      <c r="M8" s="102">
        <f t="shared" si="21"/>
        <v>0</v>
      </c>
      <c r="N8" s="102">
        <f t="shared" si="21"/>
        <v>0</v>
      </c>
      <c r="O8" s="101">
        <f t="shared" si="21"/>
        <v>0</v>
      </c>
      <c r="P8" s="102">
        <f t="shared" si="21"/>
        <v>0</v>
      </c>
      <c r="Q8" s="101">
        <f t="shared" si="21"/>
        <v>0</v>
      </c>
      <c r="R8" s="92"/>
      <c r="S8" s="96">
        <f>'W2 Points'!B41</f>
        <v>0</v>
      </c>
      <c r="T8" s="96">
        <f>'W2 Points'!C41</f>
        <v>0</v>
      </c>
      <c r="U8" s="96">
        <f>'W2 Points'!D41</f>
        <v>0</v>
      </c>
      <c r="V8" s="96">
        <f>'W2 Points'!E41</f>
        <v>0</v>
      </c>
      <c r="W8" s="109">
        <f t="shared" si="9"/>
        <v>0</v>
      </c>
    </row>
    <row r="9" ht="12.75" customHeight="1">
      <c r="A9" s="89"/>
      <c r="B9" s="94" t="s">
        <v>151</v>
      </c>
      <c r="C9" s="57">
        <f t="shared" ref="C9:D9" si="22">0</f>
        <v>0</v>
      </c>
      <c r="D9" s="103">
        <f t="shared" si="22"/>
        <v>0</v>
      </c>
      <c r="E9" s="95">
        <f t="shared" si="5"/>
        <v>0</v>
      </c>
      <c r="F9" s="95">
        <f t="shared" ref="F9:I9" si="23">0</f>
        <v>0</v>
      </c>
      <c r="G9" s="95">
        <f t="shared" si="23"/>
        <v>0</v>
      </c>
      <c r="H9" s="103">
        <f t="shared" si="23"/>
        <v>0</v>
      </c>
      <c r="I9" s="104">
        <f t="shared" si="23"/>
        <v>0</v>
      </c>
      <c r="J9" s="95">
        <f t="shared" si="7"/>
        <v>0</v>
      </c>
      <c r="K9" s="104">
        <f t="shared" ref="K9:Q9" si="24">0</f>
        <v>0</v>
      </c>
      <c r="L9" s="104">
        <f t="shared" si="24"/>
        <v>0</v>
      </c>
      <c r="M9" s="104">
        <f t="shared" si="24"/>
        <v>0</v>
      </c>
      <c r="N9" s="104">
        <f t="shared" si="24"/>
        <v>0</v>
      </c>
      <c r="O9" s="103">
        <f t="shared" si="24"/>
        <v>0</v>
      </c>
      <c r="P9" s="104">
        <f t="shared" si="24"/>
        <v>0</v>
      </c>
      <c r="Q9" s="105">
        <f t="shared" si="24"/>
        <v>0</v>
      </c>
      <c r="R9" s="92"/>
      <c r="S9" s="96">
        <f>'W2 Points'!H41</f>
        <v>0</v>
      </c>
      <c r="T9" s="96">
        <f>'W2 Points'!I41</f>
        <v>0</v>
      </c>
      <c r="U9" s="96">
        <f>'W2 Points'!J41</f>
        <v>0</v>
      </c>
      <c r="V9" s="96">
        <f>'W2 Points'!K41</f>
        <v>0</v>
      </c>
      <c r="W9" s="109">
        <f t="shared" si="9"/>
        <v>0</v>
      </c>
    </row>
    <row r="10" ht="12.75" customHeight="1">
      <c r="A10" s="89"/>
      <c r="B10" s="94" t="s">
        <v>102</v>
      </c>
      <c r="C10" s="57">
        <f t="shared" ref="C10:D10" si="25">0</f>
        <v>0</v>
      </c>
      <c r="D10" s="103">
        <f t="shared" si="25"/>
        <v>0</v>
      </c>
      <c r="E10" s="95">
        <f t="shared" si="5"/>
        <v>0</v>
      </c>
      <c r="F10" s="95">
        <f t="shared" ref="F10:I10" si="26">0</f>
        <v>0</v>
      </c>
      <c r="G10" s="95">
        <f t="shared" si="26"/>
        <v>0</v>
      </c>
      <c r="H10" s="103">
        <f t="shared" si="26"/>
        <v>0</v>
      </c>
      <c r="I10" s="104">
        <f t="shared" si="26"/>
        <v>0</v>
      </c>
      <c r="J10" s="95">
        <f t="shared" si="7"/>
        <v>0</v>
      </c>
      <c r="K10" s="104">
        <f t="shared" ref="K10:Q10" si="27">0</f>
        <v>0</v>
      </c>
      <c r="L10" s="104">
        <f t="shared" si="27"/>
        <v>0</v>
      </c>
      <c r="M10" s="104">
        <f t="shared" si="27"/>
        <v>0</v>
      </c>
      <c r="N10" s="104">
        <f t="shared" si="27"/>
        <v>0</v>
      </c>
      <c r="O10" s="103">
        <f t="shared" si="27"/>
        <v>0</v>
      </c>
      <c r="P10" s="104">
        <f t="shared" si="27"/>
        <v>0</v>
      </c>
      <c r="Q10" s="105">
        <f t="shared" si="27"/>
        <v>0</v>
      </c>
      <c r="R10" s="92"/>
      <c r="S10" s="96">
        <f>'W2 Points'!N41</f>
        <v>0</v>
      </c>
      <c r="T10" s="96">
        <f>'W2 Points'!O41</f>
        <v>0</v>
      </c>
      <c r="U10" s="96">
        <f>'W2 Points'!P41</f>
        <v>0</v>
      </c>
      <c r="V10" s="96">
        <f>'W2 Points'!Q41</f>
        <v>0</v>
      </c>
      <c r="W10" s="109">
        <f t="shared" si="9"/>
        <v>0</v>
      </c>
    </row>
    <row r="11" ht="12.75" customHeight="1">
      <c r="A11" s="89"/>
      <c r="B11" s="94" t="s">
        <v>103</v>
      </c>
      <c r="C11" s="57">
        <f t="shared" ref="C11:D11" si="28">0</f>
        <v>0</v>
      </c>
      <c r="D11" s="103">
        <f t="shared" si="28"/>
        <v>0</v>
      </c>
      <c r="E11" s="95">
        <f t="shared" si="5"/>
        <v>0</v>
      </c>
      <c r="F11" s="95">
        <f t="shared" ref="F11:I11" si="29">0</f>
        <v>0</v>
      </c>
      <c r="G11" s="95">
        <f t="shared" si="29"/>
        <v>0</v>
      </c>
      <c r="H11" s="103">
        <f t="shared" si="29"/>
        <v>0</v>
      </c>
      <c r="I11" s="104">
        <f t="shared" si="29"/>
        <v>0</v>
      </c>
      <c r="J11" s="95">
        <f t="shared" si="7"/>
        <v>0</v>
      </c>
      <c r="K11" s="104">
        <f t="shared" ref="K11:Q11" si="30">0</f>
        <v>0</v>
      </c>
      <c r="L11" s="104">
        <f t="shared" si="30"/>
        <v>0</v>
      </c>
      <c r="M11" s="104">
        <f t="shared" si="30"/>
        <v>0</v>
      </c>
      <c r="N11" s="104">
        <f t="shared" si="30"/>
        <v>0</v>
      </c>
      <c r="O11" s="103">
        <f t="shared" si="30"/>
        <v>0</v>
      </c>
      <c r="P11" s="103">
        <f t="shared" si="30"/>
        <v>0</v>
      </c>
      <c r="Q11" s="105">
        <f t="shared" si="30"/>
        <v>0</v>
      </c>
      <c r="R11" s="92"/>
      <c r="S11" s="96">
        <f>'W2 Points'!T41</f>
        <v>0</v>
      </c>
      <c r="T11" s="96">
        <f>'W2 Points'!U41</f>
        <v>0</v>
      </c>
      <c r="U11" s="96">
        <f>'W2 Points'!V41</f>
        <v>0</v>
      </c>
      <c r="V11" s="96">
        <f>'W2 Points'!W41</f>
        <v>0</v>
      </c>
      <c r="W11" s="109">
        <f t="shared" si="9"/>
        <v>0</v>
      </c>
    </row>
    <row r="12" ht="12.75" customHeight="1">
      <c r="A12" s="89"/>
      <c r="B12" s="94" t="s">
        <v>125</v>
      </c>
      <c r="C12" s="57">
        <f t="shared" ref="C12:D12" si="31">0</f>
        <v>0</v>
      </c>
      <c r="D12" s="103">
        <f t="shared" si="31"/>
        <v>0</v>
      </c>
      <c r="E12" s="95">
        <f t="shared" si="5"/>
        <v>0</v>
      </c>
      <c r="F12" s="95">
        <f t="shared" ref="F12:I12" si="32">0</f>
        <v>0</v>
      </c>
      <c r="G12" s="95">
        <f t="shared" si="32"/>
        <v>0</v>
      </c>
      <c r="H12" s="103">
        <f t="shared" si="32"/>
        <v>0</v>
      </c>
      <c r="I12" s="104">
        <f t="shared" si="32"/>
        <v>0</v>
      </c>
      <c r="J12" s="95">
        <f t="shared" si="7"/>
        <v>0</v>
      </c>
      <c r="K12" s="104">
        <f t="shared" ref="K12:Q12" si="33">0</f>
        <v>0</v>
      </c>
      <c r="L12" s="104">
        <f t="shared" si="33"/>
        <v>0</v>
      </c>
      <c r="M12" s="104">
        <f t="shared" si="33"/>
        <v>0</v>
      </c>
      <c r="N12" s="104">
        <f t="shared" si="33"/>
        <v>0</v>
      </c>
      <c r="O12" s="103">
        <f t="shared" si="33"/>
        <v>0</v>
      </c>
      <c r="P12" s="104">
        <f t="shared" si="33"/>
        <v>0</v>
      </c>
      <c r="Q12" s="105">
        <f t="shared" si="33"/>
        <v>0</v>
      </c>
      <c r="R12" s="92"/>
      <c r="S12" s="96">
        <f>'W2 Points'!Z41</f>
        <v>0</v>
      </c>
      <c r="T12" s="96">
        <f>'W2 Points'!AA41</f>
        <v>0</v>
      </c>
      <c r="U12" s="96">
        <f>'W2 Points'!AB41</f>
        <v>0</v>
      </c>
      <c r="V12" s="96">
        <f>'W2 Points'!AC41</f>
        <v>0</v>
      </c>
      <c r="W12" s="109">
        <f t="shared" si="9"/>
        <v>0</v>
      </c>
    </row>
    <row r="13" ht="12.75" customHeight="1">
      <c r="A13" s="89"/>
      <c r="B13" s="90" t="s">
        <v>132</v>
      </c>
      <c r="C13" s="91">
        <f t="shared" ref="C13:D13" si="34">0</f>
        <v>0</v>
      </c>
      <c r="D13" s="91">
        <f t="shared" si="34"/>
        <v>0</v>
      </c>
      <c r="E13" s="91">
        <f t="shared" si="5"/>
        <v>0</v>
      </c>
      <c r="F13" s="91">
        <f t="shared" ref="F13:I13" si="35">0</f>
        <v>0</v>
      </c>
      <c r="G13" s="91">
        <f t="shared" si="35"/>
        <v>0</v>
      </c>
      <c r="H13" s="91">
        <f t="shared" si="35"/>
        <v>0</v>
      </c>
      <c r="I13" s="91">
        <f t="shared" si="35"/>
        <v>0</v>
      </c>
      <c r="J13" s="91">
        <f t="shared" si="7"/>
        <v>0</v>
      </c>
      <c r="K13" s="91">
        <f t="shared" ref="K13:Q13" si="36">0</f>
        <v>0</v>
      </c>
      <c r="L13" s="91">
        <f t="shared" si="36"/>
        <v>0</v>
      </c>
      <c r="M13" s="91">
        <f t="shared" si="36"/>
        <v>0</v>
      </c>
      <c r="N13" s="91">
        <f t="shared" si="36"/>
        <v>0</v>
      </c>
      <c r="O13" s="91">
        <f t="shared" si="36"/>
        <v>0</v>
      </c>
      <c r="P13" s="91">
        <f t="shared" si="36"/>
        <v>0</v>
      </c>
      <c r="Q13" s="93">
        <f t="shared" si="36"/>
        <v>0</v>
      </c>
      <c r="R13" s="92"/>
      <c r="S13" s="93">
        <f>'W2 Points'!B55</f>
        <v>0</v>
      </c>
      <c r="T13" s="93">
        <f>'W2 Points'!C55</f>
        <v>0</v>
      </c>
      <c r="U13" s="93">
        <f>'W2 Points'!D55</f>
        <v>0</v>
      </c>
      <c r="V13" s="93">
        <f>'W2 Points'!E55</f>
        <v>0</v>
      </c>
      <c r="W13" s="108">
        <f t="shared" si="9"/>
        <v>0</v>
      </c>
    </row>
    <row r="14" ht="12.75" customHeight="1">
      <c r="A14" s="89"/>
      <c r="B14" s="90" t="s">
        <v>124</v>
      </c>
      <c r="C14" s="91">
        <f t="shared" ref="C14:D14" si="37">0</f>
        <v>0</v>
      </c>
      <c r="D14" s="91">
        <f t="shared" si="37"/>
        <v>0</v>
      </c>
      <c r="E14" s="91">
        <f t="shared" si="5"/>
        <v>0</v>
      </c>
      <c r="F14" s="91">
        <f t="shared" ref="F14:I14" si="38">0</f>
        <v>0</v>
      </c>
      <c r="G14" s="91">
        <f t="shared" si="38"/>
        <v>0</v>
      </c>
      <c r="H14" s="91">
        <f t="shared" si="38"/>
        <v>0</v>
      </c>
      <c r="I14" s="91">
        <f t="shared" si="38"/>
        <v>0</v>
      </c>
      <c r="J14" s="91">
        <f t="shared" si="7"/>
        <v>0</v>
      </c>
      <c r="K14" s="91">
        <f t="shared" ref="K14:Q14" si="39">0</f>
        <v>0</v>
      </c>
      <c r="L14" s="91">
        <f t="shared" si="39"/>
        <v>0</v>
      </c>
      <c r="M14" s="91">
        <f t="shared" si="39"/>
        <v>0</v>
      </c>
      <c r="N14" s="91">
        <f t="shared" si="39"/>
        <v>0</v>
      </c>
      <c r="O14" s="91">
        <f t="shared" si="39"/>
        <v>0</v>
      </c>
      <c r="P14" s="91">
        <f t="shared" si="39"/>
        <v>0</v>
      </c>
      <c r="Q14" s="93">
        <f t="shared" si="39"/>
        <v>0</v>
      </c>
      <c r="R14" s="92"/>
      <c r="S14" s="93">
        <f>'W2 Points'!H55</f>
        <v>0</v>
      </c>
      <c r="T14" s="93">
        <f>'W2 Points'!I55</f>
        <v>0</v>
      </c>
      <c r="U14" s="93">
        <f>'W2 Points'!J55</f>
        <v>0</v>
      </c>
      <c r="V14" s="93">
        <f>'W2 Points'!K55</f>
        <v>0</v>
      </c>
      <c r="W14" s="108">
        <f t="shared" si="9"/>
        <v>0</v>
      </c>
    </row>
    <row r="15" ht="12.75" customHeight="1">
      <c r="A15" s="89"/>
      <c r="B15" s="90" t="s">
        <v>136</v>
      </c>
      <c r="C15" s="91">
        <f t="shared" ref="C15:D15" si="40">0</f>
        <v>0</v>
      </c>
      <c r="D15" s="91">
        <f t="shared" si="40"/>
        <v>0</v>
      </c>
      <c r="E15" s="91">
        <f t="shared" si="5"/>
        <v>0</v>
      </c>
      <c r="F15" s="91">
        <f t="shared" ref="F15:I15" si="41">0</f>
        <v>0</v>
      </c>
      <c r="G15" s="91">
        <f t="shared" si="41"/>
        <v>0</v>
      </c>
      <c r="H15" s="91">
        <f t="shared" si="41"/>
        <v>0</v>
      </c>
      <c r="I15" s="91">
        <f t="shared" si="41"/>
        <v>0</v>
      </c>
      <c r="J15" s="91">
        <f t="shared" si="7"/>
        <v>0</v>
      </c>
      <c r="K15" s="91">
        <f t="shared" ref="K15:Q15" si="42">0</f>
        <v>0</v>
      </c>
      <c r="L15" s="91">
        <f t="shared" si="42"/>
        <v>0</v>
      </c>
      <c r="M15" s="91">
        <f t="shared" si="42"/>
        <v>0</v>
      </c>
      <c r="N15" s="91">
        <f t="shared" si="42"/>
        <v>0</v>
      </c>
      <c r="O15" s="91">
        <f t="shared" si="42"/>
        <v>0</v>
      </c>
      <c r="P15" s="91">
        <f t="shared" si="42"/>
        <v>0</v>
      </c>
      <c r="Q15" s="93">
        <f t="shared" si="42"/>
        <v>0</v>
      </c>
      <c r="R15" s="92"/>
      <c r="S15" s="93">
        <f>'W2 Points'!N55</f>
        <v>0</v>
      </c>
      <c r="T15" s="93">
        <f>'W2 Points'!O55</f>
        <v>0</v>
      </c>
      <c r="U15" s="93">
        <f>'W2 Points'!P55</f>
        <v>0</v>
      </c>
      <c r="V15" s="93">
        <f>'W2 Points'!Q55</f>
        <v>0</v>
      </c>
      <c r="W15" s="108">
        <f t="shared" si="9"/>
        <v>0</v>
      </c>
    </row>
    <row r="16" ht="12.75" customHeight="1">
      <c r="A16" s="89"/>
      <c r="B16" s="90" t="s">
        <v>48</v>
      </c>
      <c r="C16" s="91">
        <f t="shared" ref="C16:D16" si="43">0</f>
        <v>0</v>
      </c>
      <c r="D16" s="91">
        <f t="shared" si="43"/>
        <v>0</v>
      </c>
      <c r="E16" s="91">
        <f t="shared" si="5"/>
        <v>0</v>
      </c>
      <c r="F16" s="91">
        <f t="shared" ref="F16:I16" si="44">0</f>
        <v>0</v>
      </c>
      <c r="G16" s="91">
        <f t="shared" si="44"/>
        <v>0</v>
      </c>
      <c r="H16" s="91">
        <f t="shared" si="44"/>
        <v>0</v>
      </c>
      <c r="I16" s="91">
        <f t="shared" si="44"/>
        <v>0</v>
      </c>
      <c r="J16" s="91">
        <f t="shared" si="7"/>
        <v>0</v>
      </c>
      <c r="K16" s="91">
        <f t="shared" ref="K16:Q16" si="45">0</f>
        <v>0</v>
      </c>
      <c r="L16" s="91">
        <f t="shared" si="45"/>
        <v>0</v>
      </c>
      <c r="M16" s="91">
        <f t="shared" si="45"/>
        <v>0</v>
      </c>
      <c r="N16" s="91">
        <f t="shared" si="45"/>
        <v>0</v>
      </c>
      <c r="O16" s="91">
        <f t="shared" si="45"/>
        <v>0</v>
      </c>
      <c r="P16" s="91">
        <f t="shared" si="45"/>
        <v>0</v>
      </c>
      <c r="Q16" s="93">
        <f t="shared" si="45"/>
        <v>0</v>
      </c>
      <c r="R16" s="92"/>
      <c r="S16" s="93">
        <f>'W2 Points'!T55</f>
        <v>0</v>
      </c>
      <c r="T16" s="93">
        <f>'W2 Points'!U55</f>
        <v>0</v>
      </c>
      <c r="U16" s="93">
        <f>'W2 Points'!V55</f>
        <v>0</v>
      </c>
      <c r="V16" s="93">
        <f>'W2 Points'!W55</f>
        <v>0</v>
      </c>
      <c r="W16" s="108">
        <f t="shared" si="9"/>
        <v>0</v>
      </c>
    </row>
    <row r="17" ht="12.75" customHeight="1">
      <c r="A17" s="89"/>
      <c r="B17" s="90" t="s">
        <v>139</v>
      </c>
      <c r="C17" s="91">
        <f t="shared" ref="C17:D17" si="46">0</f>
        <v>0</v>
      </c>
      <c r="D17" s="91">
        <f t="shared" si="46"/>
        <v>0</v>
      </c>
      <c r="E17" s="91">
        <f t="shared" si="5"/>
        <v>0</v>
      </c>
      <c r="F17" s="91">
        <f t="shared" ref="F17:I17" si="47">0</f>
        <v>0</v>
      </c>
      <c r="G17" s="91">
        <f t="shared" si="47"/>
        <v>0</v>
      </c>
      <c r="H17" s="91">
        <f t="shared" si="47"/>
        <v>0</v>
      </c>
      <c r="I17" s="91">
        <f t="shared" si="47"/>
        <v>0</v>
      </c>
      <c r="J17" s="91">
        <f t="shared" si="7"/>
        <v>0</v>
      </c>
      <c r="K17" s="91">
        <f t="shared" ref="K17:Q17" si="48">0</f>
        <v>0</v>
      </c>
      <c r="L17" s="91">
        <f t="shared" si="48"/>
        <v>0</v>
      </c>
      <c r="M17" s="91">
        <f t="shared" si="48"/>
        <v>0</v>
      </c>
      <c r="N17" s="91">
        <f t="shared" si="48"/>
        <v>0</v>
      </c>
      <c r="O17" s="91">
        <f t="shared" si="48"/>
        <v>0</v>
      </c>
      <c r="P17" s="91">
        <f t="shared" si="48"/>
        <v>0</v>
      </c>
      <c r="Q17" s="93">
        <f t="shared" si="48"/>
        <v>0</v>
      </c>
      <c r="R17" s="92"/>
      <c r="S17" s="93">
        <f>'W2 Points'!Z55</f>
        <v>0</v>
      </c>
      <c r="T17" s="93">
        <f>'W2 Points'!AA55</f>
        <v>0</v>
      </c>
      <c r="U17" s="93">
        <f>'W2 Points'!AB55</f>
        <v>0</v>
      </c>
      <c r="V17" s="93">
        <f>'W2 Points'!AC55</f>
        <v>0</v>
      </c>
      <c r="W17" s="108">
        <f t="shared" si="9"/>
        <v>0</v>
      </c>
    </row>
    <row r="18" ht="12.75" customHeight="1">
      <c r="A18" s="89"/>
      <c r="B18" s="94" t="s">
        <v>37</v>
      </c>
      <c r="C18" s="100">
        <f t="shared" ref="C18:D18" si="49">0</f>
        <v>0</v>
      </c>
      <c r="D18" s="101">
        <f t="shared" si="49"/>
        <v>0</v>
      </c>
      <c r="E18" s="95">
        <f t="shared" si="5"/>
        <v>0</v>
      </c>
      <c r="F18" s="95">
        <f t="shared" ref="F18:I18" si="50">0</f>
        <v>0</v>
      </c>
      <c r="G18" s="95">
        <f t="shared" si="50"/>
        <v>0</v>
      </c>
      <c r="H18" s="101">
        <f t="shared" si="50"/>
        <v>0</v>
      </c>
      <c r="I18" s="102">
        <f t="shared" si="50"/>
        <v>0</v>
      </c>
      <c r="J18" s="95">
        <f t="shared" si="7"/>
        <v>0</v>
      </c>
      <c r="K18" s="102">
        <f t="shared" ref="K18:Q18" si="51">0</f>
        <v>0</v>
      </c>
      <c r="L18" s="102">
        <f t="shared" si="51"/>
        <v>0</v>
      </c>
      <c r="M18" s="102">
        <f t="shared" si="51"/>
        <v>0</v>
      </c>
      <c r="N18" s="102">
        <f t="shared" si="51"/>
        <v>0</v>
      </c>
      <c r="O18" s="101">
        <f t="shared" si="51"/>
        <v>0</v>
      </c>
      <c r="P18" s="102">
        <f t="shared" si="51"/>
        <v>0</v>
      </c>
      <c r="Q18" s="101">
        <f t="shared" si="51"/>
        <v>0</v>
      </c>
      <c r="R18" s="92"/>
      <c r="S18" s="96">
        <f>'W2 Points'!B69</f>
        <v>0</v>
      </c>
      <c r="T18" s="96">
        <f>'W2 Points'!C69</f>
        <v>0</v>
      </c>
      <c r="U18" s="96">
        <f>'W2 Points'!D69</f>
        <v>0</v>
      </c>
      <c r="V18" s="96">
        <f>'W2 Points'!E69</f>
        <v>0</v>
      </c>
      <c r="W18" s="109">
        <f t="shared" si="9"/>
        <v>0</v>
      </c>
    </row>
    <row r="19" ht="12.75" customHeight="1">
      <c r="A19" s="89"/>
      <c r="B19" s="94" t="s">
        <v>28</v>
      </c>
      <c r="C19" s="57">
        <f t="shared" ref="C19:D19" si="52">0</f>
        <v>0</v>
      </c>
      <c r="D19" s="103">
        <f t="shared" si="52"/>
        <v>0</v>
      </c>
      <c r="E19" s="95">
        <f t="shared" si="5"/>
        <v>0</v>
      </c>
      <c r="F19" s="95">
        <f t="shared" ref="F19:I19" si="53">0</f>
        <v>0</v>
      </c>
      <c r="G19" s="95">
        <f t="shared" si="53"/>
        <v>0</v>
      </c>
      <c r="H19" s="103">
        <f t="shared" si="53"/>
        <v>0</v>
      </c>
      <c r="I19" s="104">
        <f t="shared" si="53"/>
        <v>0</v>
      </c>
      <c r="J19" s="95">
        <f t="shared" si="7"/>
        <v>0</v>
      </c>
      <c r="K19" s="104">
        <f t="shared" ref="K19:Q19" si="54">0</f>
        <v>0</v>
      </c>
      <c r="L19" s="104">
        <f t="shared" si="54"/>
        <v>0</v>
      </c>
      <c r="M19" s="104">
        <f t="shared" si="54"/>
        <v>0</v>
      </c>
      <c r="N19" s="104">
        <f t="shared" si="54"/>
        <v>0</v>
      </c>
      <c r="O19" s="103">
        <f t="shared" si="54"/>
        <v>0</v>
      </c>
      <c r="P19" s="104">
        <f t="shared" si="54"/>
        <v>0</v>
      </c>
      <c r="Q19" s="105">
        <f t="shared" si="54"/>
        <v>0</v>
      </c>
      <c r="R19" s="92"/>
      <c r="S19" s="96">
        <f>'W2 Points'!H69</f>
        <v>0</v>
      </c>
      <c r="T19" s="96">
        <f>'W2 Points'!I69</f>
        <v>0</v>
      </c>
      <c r="U19" s="96">
        <f>'W2 Points'!J69</f>
        <v>0</v>
      </c>
      <c r="V19" s="96">
        <f>'W2 Points'!K69</f>
        <v>0</v>
      </c>
      <c r="W19" s="109">
        <f t="shared" si="9"/>
        <v>0</v>
      </c>
    </row>
    <row r="20" ht="12.75" customHeight="1">
      <c r="A20" s="89"/>
      <c r="B20" s="94" t="s">
        <v>137</v>
      </c>
      <c r="C20" s="57">
        <f t="shared" ref="C20:D20" si="55">0</f>
        <v>0</v>
      </c>
      <c r="D20" s="103">
        <f t="shared" si="55"/>
        <v>0</v>
      </c>
      <c r="E20" s="95">
        <f t="shared" si="5"/>
        <v>0</v>
      </c>
      <c r="F20" s="95">
        <f t="shared" ref="F20:I20" si="56">0</f>
        <v>0</v>
      </c>
      <c r="G20" s="95">
        <f t="shared" si="56"/>
        <v>0</v>
      </c>
      <c r="H20" s="103">
        <f t="shared" si="56"/>
        <v>0</v>
      </c>
      <c r="I20" s="104">
        <f t="shared" si="56"/>
        <v>0</v>
      </c>
      <c r="J20" s="95">
        <f t="shared" si="7"/>
        <v>0</v>
      </c>
      <c r="K20" s="104">
        <f t="shared" ref="K20:Q20" si="57">0</f>
        <v>0</v>
      </c>
      <c r="L20" s="104">
        <f t="shared" si="57"/>
        <v>0</v>
      </c>
      <c r="M20" s="104">
        <f t="shared" si="57"/>
        <v>0</v>
      </c>
      <c r="N20" s="104">
        <f t="shared" si="57"/>
        <v>0</v>
      </c>
      <c r="O20" s="103">
        <f t="shared" si="57"/>
        <v>0</v>
      </c>
      <c r="P20" s="104">
        <f t="shared" si="57"/>
        <v>0</v>
      </c>
      <c r="Q20" s="105">
        <f t="shared" si="57"/>
        <v>0</v>
      </c>
      <c r="R20" s="92"/>
      <c r="S20" s="96">
        <f>'W2 Points'!N69</f>
        <v>0</v>
      </c>
      <c r="T20" s="96">
        <f>'W2 Points'!O69</f>
        <v>0</v>
      </c>
      <c r="U20" s="96">
        <f>'W2 Points'!P69</f>
        <v>0</v>
      </c>
      <c r="V20" s="96">
        <f>'W2 Points'!Q69</f>
        <v>0</v>
      </c>
      <c r="W20" s="109">
        <f t="shared" si="9"/>
        <v>0</v>
      </c>
    </row>
    <row r="21" ht="12.75" customHeight="1">
      <c r="A21" s="89"/>
      <c r="B21" s="94" t="s">
        <v>39</v>
      </c>
      <c r="C21" s="57">
        <f t="shared" ref="C21:D21" si="58">0</f>
        <v>0</v>
      </c>
      <c r="D21" s="103">
        <f t="shared" si="58"/>
        <v>0</v>
      </c>
      <c r="E21" s="95">
        <f t="shared" si="5"/>
        <v>0</v>
      </c>
      <c r="F21" s="95">
        <f t="shared" ref="F21:I21" si="59">0</f>
        <v>0</v>
      </c>
      <c r="G21" s="95">
        <f t="shared" si="59"/>
        <v>0</v>
      </c>
      <c r="H21" s="103">
        <f t="shared" si="59"/>
        <v>0</v>
      </c>
      <c r="I21" s="104">
        <f t="shared" si="59"/>
        <v>0</v>
      </c>
      <c r="J21" s="95">
        <f t="shared" si="7"/>
        <v>0</v>
      </c>
      <c r="K21" s="104">
        <f t="shared" ref="K21:Q21" si="60">0</f>
        <v>0</v>
      </c>
      <c r="L21" s="104">
        <f t="shared" si="60"/>
        <v>0</v>
      </c>
      <c r="M21" s="104">
        <f t="shared" si="60"/>
        <v>0</v>
      </c>
      <c r="N21" s="104">
        <f t="shared" si="60"/>
        <v>0</v>
      </c>
      <c r="O21" s="103">
        <f t="shared" si="60"/>
        <v>0</v>
      </c>
      <c r="P21" s="103">
        <f t="shared" si="60"/>
        <v>0</v>
      </c>
      <c r="Q21" s="105">
        <f t="shared" si="60"/>
        <v>0</v>
      </c>
      <c r="R21" s="92"/>
      <c r="S21" s="96">
        <f>'W2 Points'!T69</f>
        <v>0</v>
      </c>
      <c r="T21" s="96">
        <f>'W2 Points'!U69</f>
        <v>0</v>
      </c>
      <c r="U21" s="96">
        <f>'W2 Points'!V69</f>
        <v>0</v>
      </c>
      <c r="V21" s="96">
        <f>'W2 Points'!W69</f>
        <v>0</v>
      </c>
      <c r="W21" s="109">
        <f t="shared" si="9"/>
        <v>0</v>
      </c>
    </row>
    <row r="22" ht="12.75" customHeight="1">
      <c r="A22" s="89"/>
      <c r="B22" s="94" t="s">
        <v>152</v>
      </c>
      <c r="C22" s="57">
        <f t="shared" ref="C22:D22" si="61">0</f>
        <v>0</v>
      </c>
      <c r="D22" s="103">
        <f t="shared" si="61"/>
        <v>0</v>
      </c>
      <c r="E22" s="95">
        <f t="shared" si="5"/>
        <v>0</v>
      </c>
      <c r="F22" s="95">
        <f t="shared" ref="F22:I22" si="62">0</f>
        <v>0</v>
      </c>
      <c r="G22" s="95">
        <f t="shared" si="62"/>
        <v>0</v>
      </c>
      <c r="H22" s="103">
        <f t="shared" si="62"/>
        <v>0</v>
      </c>
      <c r="I22" s="104">
        <f t="shared" si="62"/>
        <v>0</v>
      </c>
      <c r="J22" s="95">
        <f t="shared" si="7"/>
        <v>0</v>
      </c>
      <c r="K22" s="104">
        <f t="shared" ref="K22:Q22" si="63">0</f>
        <v>0</v>
      </c>
      <c r="L22" s="104">
        <f t="shared" si="63"/>
        <v>0</v>
      </c>
      <c r="M22" s="104">
        <f t="shared" si="63"/>
        <v>0</v>
      </c>
      <c r="N22" s="104">
        <f t="shared" si="63"/>
        <v>0</v>
      </c>
      <c r="O22" s="103">
        <f t="shared" si="63"/>
        <v>0</v>
      </c>
      <c r="P22" s="104">
        <f t="shared" si="63"/>
        <v>0</v>
      </c>
      <c r="Q22" s="105">
        <f t="shared" si="63"/>
        <v>0</v>
      </c>
      <c r="R22" s="92"/>
      <c r="S22" s="96">
        <f>'W2 Points'!Z69</f>
        <v>0</v>
      </c>
      <c r="T22" s="96">
        <f>'W2 Points'!AA69</f>
        <v>0</v>
      </c>
      <c r="U22" s="96">
        <f>'W2 Points'!AB69</f>
        <v>0</v>
      </c>
      <c r="V22" s="96">
        <f>'W2 Points'!AC69</f>
        <v>0</v>
      </c>
      <c r="W22" s="109">
        <f t="shared" si="9"/>
        <v>0</v>
      </c>
    </row>
    <row r="23" ht="12.75" customHeight="1">
      <c r="A23" s="89"/>
      <c r="B23" s="90" t="s">
        <v>138</v>
      </c>
      <c r="C23" s="91">
        <f t="shared" ref="C23:D23" si="64">0</f>
        <v>0</v>
      </c>
      <c r="D23" s="91">
        <f t="shared" si="64"/>
        <v>0</v>
      </c>
      <c r="E23" s="91">
        <f t="shared" si="5"/>
        <v>0</v>
      </c>
      <c r="F23" s="91">
        <f t="shared" ref="F23:I23" si="65">0</f>
        <v>0</v>
      </c>
      <c r="G23" s="91">
        <f t="shared" si="65"/>
        <v>0</v>
      </c>
      <c r="H23" s="91">
        <f t="shared" si="65"/>
        <v>0</v>
      </c>
      <c r="I23" s="91">
        <f t="shared" si="65"/>
        <v>0</v>
      </c>
      <c r="J23" s="91">
        <f t="shared" si="7"/>
        <v>0</v>
      </c>
      <c r="K23" s="91">
        <f t="shared" ref="K23:Q23" si="66">0</f>
        <v>0</v>
      </c>
      <c r="L23" s="91">
        <f t="shared" si="66"/>
        <v>0</v>
      </c>
      <c r="M23" s="91">
        <f t="shared" si="66"/>
        <v>0</v>
      </c>
      <c r="N23" s="91">
        <f t="shared" si="66"/>
        <v>0</v>
      </c>
      <c r="O23" s="91">
        <f t="shared" si="66"/>
        <v>0</v>
      </c>
      <c r="P23" s="91">
        <f t="shared" si="66"/>
        <v>0</v>
      </c>
      <c r="Q23" s="93">
        <f t="shared" si="66"/>
        <v>0</v>
      </c>
      <c r="R23" s="97"/>
      <c r="S23" s="93">
        <f>'W2 Points'!B83</f>
        <v>0</v>
      </c>
      <c r="T23" s="93">
        <f>'W2 Points'!C83</f>
        <v>0</v>
      </c>
      <c r="U23" s="93">
        <f>'W2 Points'!D83</f>
        <v>0</v>
      </c>
      <c r="V23" s="93">
        <f>'W2 Points'!E83</f>
        <v>0</v>
      </c>
      <c r="W23" s="108">
        <f t="shared" si="9"/>
        <v>0</v>
      </c>
    </row>
    <row r="24" ht="12.75" customHeight="1">
      <c r="A24" s="89"/>
      <c r="B24" s="90" t="s">
        <v>153</v>
      </c>
      <c r="C24" s="91">
        <f t="shared" ref="C24:D24" si="67">0</f>
        <v>0</v>
      </c>
      <c r="D24" s="91">
        <f t="shared" si="67"/>
        <v>0</v>
      </c>
      <c r="E24" s="91">
        <f t="shared" si="5"/>
        <v>0</v>
      </c>
      <c r="F24" s="91">
        <f t="shared" ref="F24:I24" si="68">0</f>
        <v>0</v>
      </c>
      <c r="G24" s="91">
        <f t="shared" si="68"/>
        <v>0</v>
      </c>
      <c r="H24" s="91">
        <f t="shared" si="68"/>
        <v>0</v>
      </c>
      <c r="I24" s="91">
        <f t="shared" si="68"/>
        <v>0</v>
      </c>
      <c r="J24" s="91">
        <f t="shared" si="7"/>
        <v>0</v>
      </c>
      <c r="K24" s="91">
        <f t="shared" ref="K24:Q24" si="69">0</f>
        <v>0</v>
      </c>
      <c r="L24" s="91">
        <f t="shared" si="69"/>
        <v>0</v>
      </c>
      <c r="M24" s="91">
        <f t="shared" si="69"/>
        <v>0</v>
      </c>
      <c r="N24" s="91">
        <f t="shared" si="69"/>
        <v>0</v>
      </c>
      <c r="O24" s="91">
        <f t="shared" si="69"/>
        <v>0</v>
      </c>
      <c r="P24" s="91">
        <f t="shared" si="69"/>
        <v>0</v>
      </c>
      <c r="Q24" s="93">
        <f t="shared" si="69"/>
        <v>0</v>
      </c>
      <c r="R24" s="97"/>
      <c r="S24" s="93" t="s">
        <v>154</v>
      </c>
      <c r="T24" s="93" t="s">
        <v>154</v>
      </c>
      <c r="U24" s="93" t="s">
        <v>154</v>
      </c>
      <c r="V24" s="93" t="s">
        <v>154</v>
      </c>
      <c r="W24" s="93" t="s">
        <v>154</v>
      </c>
    </row>
    <row r="25" ht="12.75" customHeight="1">
      <c r="A25" s="89"/>
      <c r="B25" s="90" t="s">
        <v>155</v>
      </c>
      <c r="C25" s="91">
        <f t="shared" ref="C25:D25" si="70">0</f>
        <v>0</v>
      </c>
      <c r="D25" s="91">
        <f t="shared" si="70"/>
        <v>0</v>
      </c>
      <c r="E25" s="91">
        <f t="shared" si="5"/>
        <v>0</v>
      </c>
      <c r="F25" s="91">
        <f t="shared" ref="F25:I25" si="71">0</f>
        <v>0</v>
      </c>
      <c r="G25" s="91">
        <f t="shared" si="71"/>
        <v>0</v>
      </c>
      <c r="H25" s="91">
        <f t="shared" si="71"/>
        <v>0</v>
      </c>
      <c r="I25" s="91">
        <f t="shared" si="71"/>
        <v>0</v>
      </c>
      <c r="J25" s="91">
        <f t="shared" si="7"/>
        <v>0</v>
      </c>
      <c r="K25" s="91">
        <f t="shared" ref="K25:Q25" si="72">0</f>
        <v>0</v>
      </c>
      <c r="L25" s="91">
        <f t="shared" si="72"/>
        <v>0</v>
      </c>
      <c r="M25" s="91">
        <f t="shared" si="72"/>
        <v>0</v>
      </c>
      <c r="N25" s="91">
        <f t="shared" si="72"/>
        <v>0</v>
      </c>
      <c r="O25" s="91">
        <f t="shared" si="72"/>
        <v>0</v>
      </c>
      <c r="P25" s="91">
        <f t="shared" si="72"/>
        <v>0</v>
      </c>
      <c r="Q25" s="93">
        <f t="shared" si="72"/>
        <v>0</v>
      </c>
      <c r="R25" s="97"/>
      <c r="S25" s="93">
        <f>'W2 Points'!H83</f>
        <v>0</v>
      </c>
      <c r="T25" s="93">
        <f>'W2 Points'!I83</f>
        <v>0</v>
      </c>
      <c r="U25" s="93">
        <f>'W2 Points'!J83</f>
        <v>0</v>
      </c>
      <c r="V25" s="93">
        <f>'W2 Points'!K83</f>
        <v>0</v>
      </c>
      <c r="W25" s="108">
        <f t="shared" ref="W25:W33" si="76">SUM(S25:V25)</f>
        <v>0</v>
      </c>
    </row>
    <row r="26" ht="12.75" customHeight="1">
      <c r="A26" s="89"/>
      <c r="B26" s="90" t="s">
        <v>25</v>
      </c>
      <c r="C26" s="91">
        <f t="shared" ref="C26:D26" si="73">0</f>
        <v>0</v>
      </c>
      <c r="D26" s="91">
        <f t="shared" si="73"/>
        <v>0</v>
      </c>
      <c r="E26" s="91">
        <f t="shared" si="5"/>
        <v>0</v>
      </c>
      <c r="F26" s="91">
        <f t="shared" ref="F26:I26" si="74">0</f>
        <v>0</v>
      </c>
      <c r="G26" s="91">
        <f t="shared" si="74"/>
        <v>0</v>
      </c>
      <c r="H26" s="91">
        <f t="shared" si="74"/>
        <v>0</v>
      </c>
      <c r="I26" s="91">
        <f t="shared" si="74"/>
        <v>0</v>
      </c>
      <c r="J26" s="91">
        <f t="shared" si="7"/>
        <v>0</v>
      </c>
      <c r="K26" s="91">
        <f t="shared" ref="K26:Q26" si="75">0</f>
        <v>0</v>
      </c>
      <c r="L26" s="91">
        <f t="shared" si="75"/>
        <v>0</v>
      </c>
      <c r="M26" s="91">
        <f t="shared" si="75"/>
        <v>0</v>
      </c>
      <c r="N26" s="91">
        <f t="shared" si="75"/>
        <v>0</v>
      </c>
      <c r="O26" s="91">
        <f t="shared" si="75"/>
        <v>0</v>
      </c>
      <c r="P26" s="91">
        <f t="shared" si="75"/>
        <v>0</v>
      </c>
      <c r="Q26" s="93">
        <f t="shared" si="75"/>
        <v>0</v>
      </c>
      <c r="R26" s="97"/>
      <c r="S26" s="93">
        <f>'W2 Points'!N83</f>
        <v>0</v>
      </c>
      <c r="T26" s="93">
        <f>'W2 Points'!O83</f>
        <v>0</v>
      </c>
      <c r="U26" s="93">
        <f>'W2 Points'!P83</f>
        <v>0</v>
      </c>
      <c r="V26" s="93">
        <f>'W2 Points'!Q83</f>
        <v>0</v>
      </c>
      <c r="W26" s="108">
        <f t="shared" si="76"/>
        <v>0</v>
      </c>
    </row>
    <row r="27" ht="12.75" customHeight="1">
      <c r="A27" s="89"/>
      <c r="B27" s="90" t="s">
        <v>133</v>
      </c>
      <c r="C27" s="91">
        <f t="shared" ref="C27:D27" si="77">0</f>
        <v>0</v>
      </c>
      <c r="D27" s="91">
        <f t="shared" si="77"/>
        <v>0</v>
      </c>
      <c r="E27" s="91">
        <f t="shared" si="5"/>
        <v>0</v>
      </c>
      <c r="F27" s="91">
        <f t="shared" ref="F27:I27" si="78">0</f>
        <v>0</v>
      </c>
      <c r="G27" s="91">
        <f t="shared" si="78"/>
        <v>0</v>
      </c>
      <c r="H27" s="91">
        <f t="shared" si="78"/>
        <v>0</v>
      </c>
      <c r="I27" s="91">
        <f t="shared" si="78"/>
        <v>0</v>
      </c>
      <c r="J27" s="91">
        <f t="shared" si="7"/>
        <v>0</v>
      </c>
      <c r="K27" s="91">
        <f t="shared" ref="K27:Q27" si="79">0</f>
        <v>0</v>
      </c>
      <c r="L27" s="91">
        <f t="shared" si="79"/>
        <v>0</v>
      </c>
      <c r="M27" s="91">
        <f t="shared" si="79"/>
        <v>0</v>
      </c>
      <c r="N27" s="91">
        <f t="shared" si="79"/>
        <v>0</v>
      </c>
      <c r="O27" s="91">
        <f t="shared" si="79"/>
        <v>0</v>
      </c>
      <c r="P27" s="91">
        <f t="shared" si="79"/>
        <v>0</v>
      </c>
      <c r="Q27" s="93">
        <f t="shared" si="79"/>
        <v>0</v>
      </c>
      <c r="R27" s="97"/>
      <c r="S27" s="93">
        <f>'W2 Points'!T83</f>
        <v>0</v>
      </c>
      <c r="T27" s="93">
        <f>'W2 Points'!U83</f>
        <v>0</v>
      </c>
      <c r="U27" s="93">
        <f>'W2 Points'!V83</f>
        <v>0</v>
      </c>
      <c r="V27" s="93">
        <f>'W2 Points'!W83</f>
        <v>0</v>
      </c>
      <c r="W27" s="108">
        <f t="shared" si="76"/>
        <v>0</v>
      </c>
    </row>
    <row r="28" ht="12.75" customHeight="1">
      <c r="A28" s="89"/>
      <c r="B28" s="90" t="s">
        <v>106</v>
      </c>
      <c r="C28" s="91">
        <f t="shared" ref="C28:D28" si="80">0</f>
        <v>0</v>
      </c>
      <c r="D28" s="91">
        <f t="shared" si="80"/>
        <v>0</v>
      </c>
      <c r="E28" s="91">
        <f t="shared" si="5"/>
        <v>0</v>
      </c>
      <c r="F28" s="91">
        <f t="shared" ref="F28:I28" si="81">0</f>
        <v>0</v>
      </c>
      <c r="G28" s="91">
        <f t="shared" si="81"/>
        <v>0</v>
      </c>
      <c r="H28" s="91">
        <f t="shared" si="81"/>
        <v>0</v>
      </c>
      <c r="I28" s="91">
        <f t="shared" si="81"/>
        <v>0</v>
      </c>
      <c r="J28" s="91">
        <f t="shared" si="7"/>
        <v>0</v>
      </c>
      <c r="K28" s="91">
        <f t="shared" ref="K28:Q28" si="82">0</f>
        <v>0</v>
      </c>
      <c r="L28" s="91">
        <f t="shared" si="82"/>
        <v>0</v>
      </c>
      <c r="M28" s="91">
        <f t="shared" si="82"/>
        <v>0</v>
      </c>
      <c r="N28" s="91">
        <f t="shared" si="82"/>
        <v>0</v>
      </c>
      <c r="O28" s="91">
        <f t="shared" si="82"/>
        <v>0</v>
      </c>
      <c r="P28" s="91">
        <f t="shared" si="82"/>
        <v>0</v>
      </c>
      <c r="Q28" s="93">
        <f t="shared" si="82"/>
        <v>0</v>
      </c>
      <c r="R28" s="97"/>
      <c r="S28" s="93">
        <f>'W2 Points'!Z83</f>
        <v>0</v>
      </c>
      <c r="T28" s="93">
        <f>'W2 Points'!AA83</f>
        <v>0</v>
      </c>
      <c r="U28" s="93">
        <f>'W2 Points'!AB83</f>
        <v>0</v>
      </c>
      <c r="V28" s="93">
        <f>'W2 Points'!AC83</f>
        <v>0</v>
      </c>
      <c r="W28" s="108">
        <f t="shared" si="76"/>
        <v>0</v>
      </c>
    </row>
    <row r="29" ht="12.75" customHeight="1">
      <c r="A29" s="89"/>
      <c r="B29" s="94" t="s">
        <v>107</v>
      </c>
      <c r="C29" s="100">
        <f t="shared" ref="C29:D29" si="83">0</f>
        <v>0</v>
      </c>
      <c r="D29" s="101">
        <f t="shared" si="83"/>
        <v>0</v>
      </c>
      <c r="E29" s="95">
        <f t="shared" si="5"/>
        <v>0</v>
      </c>
      <c r="F29" s="95">
        <f t="shared" ref="F29:I29" si="84">0</f>
        <v>0</v>
      </c>
      <c r="G29" s="95">
        <f t="shared" si="84"/>
        <v>0</v>
      </c>
      <c r="H29" s="101">
        <f t="shared" si="84"/>
        <v>0</v>
      </c>
      <c r="I29" s="102">
        <f t="shared" si="84"/>
        <v>0</v>
      </c>
      <c r="J29" s="95">
        <f t="shared" si="7"/>
        <v>0</v>
      </c>
      <c r="K29" s="102">
        <f t="shared" ref="K29:Q29" si="85">0</f>
        <v>0</v>
      </c>
      <c r="L29" s="102">
        <f t="shared" si="85"/>
        <v>0</v>
      </c>
      <c r="M29" s="102">
        <f t="shared" si="85"/>
        <v>0</v>
      </c>
      <c r="N29" s="102">
        <f t="shared" si="85"/>
        <v>0</v>
      </c>
      <c r="O29" s="101">
        <f t="shared" si="85"/>
        <v>0</v>
      </c>
      <c r="P29" s="102">
        <f t="shared" si="85"/>
        <v>0</v>
      </c>
      <c r="Q29" s="101">
        <f t="shared" si="85"/>
        <v>0</v>
      </c>
      <c r="R29" s="97"/>
      <c r="S29" s="96">
        <f>'W2 Points'!B97</f>
        <v>0</v>
      </c>
      <c r="T29" s="96">
        <f>'W2 Points'!C97</f>
        <v>0</v>
      </c>
      <c r="U29" s="96">
        <f>'W2 Points'!D97</f>
        <v>0</v>
      </c>
      <c r="V29" s="96">
        <f>'W2 Points'!E97</f>
        <v>0</v>
      </c>
      <c r="W29" s="109">
        <f t="shared" si="76"/>
        <v>0</v>
      </c>
    </row>
    <row r="30" ht="12.75" customHeight="1">
      <c r="A30" s="89"/>
      <c r="B30" s="94" t="s">
        <v>100</v>
      </c>
      <c r="C30" s="57">
        <f t="shared" ref="C30:D30" si="86">0</f>
        <v>0</v>
      </c>
      <c r="D30" s="103">
        <f t="shared" si="86"/>
        <v>0</v>
      </c>
      <c r="E30" s="95">
        <f t="shared" si="5"/>
        <v>0</v>
      </c>
      <c r="F30" s="95">
        <f t="shared" ref="F30:I30" si="87">0</f>
        <v>0</v>
      </c>
      <c r="G30" s="95">
        <f t="shared" si="87"/>
        <v>0</v>
      </c>
      <c r="H30" s="103">
        <f t="shared" si="87"/>
        <v>0</v>
      </c>
      <c r="I30" s="104">
        <f t="shared" si="87"/>
        <v>0</v>
      </c>
      <c r="J30" s="95">
        <f t="shared" si="7"/>
        <v>0</v>
      </c>
      <c r="K30" s="104">
        <f t="shared" ref="K30:Q30" si="88">0</f>
        <v>0</v>
      </c>
      <c r="L30" s="104">
        <f t="shared" si="88"/>
        <v>0</v>
      </c>
      <c r="M30" s="104">
        <f t="shared" si="88"/>
        <v>0</v>
      </c>
      <c r="N30" s="104">
        <f t="shared" si="88"/>
        <v>0</v>
      </c>
      <c r="O30" s="103">
        <f t="shared" si="88"/>
        <v>0</v>
      </c>
      <c r="P30" s="104">
        <f t="shared" si="88"/>
        <v>0</v>
      </c>
      <c r="Q30" s="105">
        <f t="shared" si="88"/>
        <v>0</v>
      </c>
      <c r="R30" s="92"/>
      <c r="S30" s="96">
        <f>'W2 Points'!H97</f>
        <v>0</v>
      </c>
      <c r="T30" s="96">
        <f>'W2 Points'!I97</f>
        <v>0</v>
      </c>
      <c r="U30" s="96">
        <f>'W2 Points'!J97</f>
        <v>0</v>
      </c>
      <c r="V30" s="96">
        <f>'W2 Points'!K97</f>
        <v>0</v>
      </c>
      <c r="W30" s="109">
        <f t="shared" si="76"/>
        <v>0</v>
      </c>
    </row>
    <row r="31" ht="12.75" customHeight="1">
      <c r="A31" s="89"/>
      <c r="B31" s="94" t="s">
        <v>131</v>
      </c>
      <c r="C31" s="57">
        <f t="shared" ref="C31:D31" si="89">0</f>
        <v>0</v>
      </c>
      <c r="D31" s="103">
        <f t="shared" si="89"/>
        <v>0</v>
      </c>
      <c r="E31" s="95">
        <f t="shared" si="5"/>
        <v>0</v>
      </c>
      <c r="F31" s="95">
        <f t="shared" ref="F31:I31" si="90">0</f>
        <v>0</v>
      </c>
      <c r="G31" s="95">
        <f t="shared" si="90"/>
        <v>0</v>
      </c>
      <c r="H31" s="103">
        <f t="shared" si="90"/>
        <v>0</v>
      </c>
      <c r="I31" s="104">
        <f t="shared" si="90"/>
        <v>0</v>
      </c>
      <c r="J31" s="95">
        <f t="shared" si="7"/>
        <v>0</v>
      </c>
      <c r="K31" s="104">
        <f t="shared" ref="K31:Q31" si="91">0</f>
        <v>0</v>
      </c>
      <c r="L31" s="104">
        <f t="shared" si="91"/>
        <v>0</v>
      </c>
      <c r="M31" s="104">
        <f t="shared" si="91"/>
        <v>0</v>
      </c>
      <c r="N31" s="104">
        <f t="shared" si="91"/>
        <v>0</v>
      </c>
      <c r="O31" s="103">
        <f t="shared" si="91"/>
        <v>0</v>
      </c>
      <c r="P31" s="104">
        <f t="shared" si="91"/>
        <v>0</v>
      </c>
      <c r="Q31" s="105">
        <f t="shared" si="91"/>
        <v>0</v>
      </c>
      <c r="R31" s="92"/>
      <c r="S31" s="96">
        <f>'W2 Points'!N97</f>
        <v>0</v>
      </c>
      <c r="T31" s="96">
        <f>'W2 Points'!O97</f>
        <v>0</v>
      </c>
      <c r="U31" s="96">
        <f>'W2 Points'!P97</f>
        <v>0</v>
      </c>
      <c r="V31" s="96">
        <f>'W2 Points'!Q97</f>
        <v>0</v>
      </c>
      <c r="W31" s="109">
        <f t="shared" si="76"/>
        <v>0</v>
      </c>
    </row>
    <row r="32" ht="12.75" customHeight="1">
      <c r="A32" s="89"/>
      <c r="B32" s="94" t="s">
        <v>126</v>
      </c>
      <c r="C32" s="57">
        <f t="shared" ref="C32:D32" si="92">0</f>
        <v>0</v>
      </c>
      <c r="D32" s="103">
        <f t="shared" si="92"/>
        <v>0</v>
      </c>
      <c r="E32" s="95">
        <f t="shared" si="5"/>
        <v>0</v>
      </c>
      <c r="F32" s="95">
        <f t="shared" ref="F32:I32" si="93">0</f>
        <v>0</v>
      </c>
      <c r="G32" s="95">
        <f t="shared" si="93"/>
        <v>0</v>
      </c>
      <c r="H32" s="103">
        <f t="shared" si="93"/>
        <v>0</v>
      </c>
      <c r="I32" s="104">
        <f t="shared" si="93"/>
        <v>0</v>
      </c>
      <c r="J32" s="95">
        <f t="shared" si="7"/>
        <v>0</v>
      </c>
      <c r="K32" s="104">
        <f t="shared" ref="K32:Q32" si="94">0</f>
        <v>0</v>
      </c>
      <c r="L32" s="104">
        <f t="shared" si="94"/>
        <v>0</v>
      </c>
      <c r="M32" s="104">
        <f t="shared" si="94"/>
        <v>0</v>
      </c>
      <c r="N32" s="104">
        <f t="shared" si="94"/>
        <v>0</v>
      </c>
      <c r="O32" s="103">
        <f t="shared" si="94"/>
        <v>0</v>
      </c>
      <c r="P32" s="103">
        <f t="shared" si="94"/>
        <v>0</v>
      </c>
      <c r="Q32" s="105">
        <f t="shared" si="94"/>
        <v>0</v>
      </c>
      <c r="R32" s="92"/>
      <c r="S32" s="96">
        <f>'W2 Points'!T97</f>
        <v>0</v>
      </c>
      <c r="T32" s="96">
        <f>'W2 Points'!U97</f>
        <v>0</v>
      </c>
      <c r="U32" s="96">
        <f>'W2 Points'!V97</f>
        <v>0</v>
      </c>
      <c r="V32" s="96">
        <f>'W2 Points'!W97</f>
        <v>0</v>
      </c>
      <c r="W32" s="109">
        <f t="shared" si="76"/>
        <v>0</v>
      </c>
    </row>
    <row r="33" ht="12.75" customHeight="1">
      <c r="A33" s="98"/>
      <c r="B33" s="94" t="s">
        <v>156</v>
      </c>
      <c r="C33" s="57">
        <f t="shared" ref="C33:D33" si="95">0</f>
        <v>0</v>
      </c>
      <c r="D33" s="103">
        <f t="shared" si="95"/>
        <v>0</v>
      </c>
      <c r="E33" s="95">
        <f t="shared" si="5"/>
        <v>0</v>
      </c>
      <c r="F33" s="95">
        <f t="shared" ref="F33:I33" si="96">0</f>
        <v>0</v>
      </c>
      <c r="G33" s="95">
        <f t="shared" si="96"/>
        <v>0</v>
      </c>
      <c r="H33" s="103">
        <f t="shared" si="96"/>
        <v>0</v>
      </c>
      <c r="I33" s="104">
        <f t="shared" si="96"/>
        <v>0</v>
      </c>
      <c r="J33" s="95">
        <f t="shared" si="7"/>
        <v>0</v>
      </c>
      <c r="K33" s="104">
        <f t="shared" ref="K33:Q33" si="97">0</f>
        <v>0</v>
      </c>
      <c r="L33" s="104">
        <f t="shared" si="97"/>
        <v>0</v>
      </c>
      <c r="M33" s="104">
        <f t="shared" si="97"/>
        <v>0</v>
      </c>
      <c r="N33" s="104">
        <f t="shared" si="97"/>
        <v>0</v>
      </c>
      <c r="O33" s="103">
        <f t="shared" si="97"/>
        <v>0</v>
      </c>
      <c r="P33" s="104">
        <f t="shared" si="97"/>
        <v>0</v>
      </c>
      <c r="Q33" s="105">
        <f t="shared" si="97"/>
        <v>0</v>
      </c>
      <c r="R33" s="92"/>
      <c r="S33" s="96">
        <f>'W2 Points'!Z97</f>
        <v>0</v>
      </c>
      <c r="T33" s="96">
        <f>'W2 Points'!AA97</f>
        <v>0</v>
      </c>
      <c r="U33" s="96">
        <f>'W2 Points'!AB97</f>
        <v>0</v>
      </c>
      <c r="V33" s="96">
        <f>'W2 Points'!AC97</f>
        <v>0</v>
      </c>
      <c r="W33" s="109">
        <f t="shared" si="76"/>
        <v>0</v>
      </c>
    </row>
  </sheetData>
  <mergeCells count="1">
    <mergeCell ref="A1:V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5" width="8.88"/>
    <col customWidth="1" min="6" max="6" width="2.0"/>
    <col customWidth="1" min="7" max="7" width="11.38"/>
    <col customWidth="1" min="8" max="11" width="8.88"/>
    <col customWidth="1" min="12" max="12" width="2.0"/>
    <col customWidth="1" min="13" max="13" width="11.38"/>
    <col customWidth="1" min="14" max="17" width="8.88"/>
    <col customWidth="1" min="18" max="18" width="2.0"/>
    <col customWidth="1" min="19" max="19" width="11.38"/>
    <col customWidth="1" min="20" max="23" width="8.88"/>
    <col customWidth="1" min="24" max="24" width="2.0"/>
    <col customWidth="1" min="25" max="25" width="11.38"/>
    <col customWidth="1" min="26" max="29" width="8.88"/>
  </cols>
  <sheetData>
    <row r="1">
      <c r="A1" s="77" t="s">
        <v>157</v>
      </c>
      <c r="B1" s="74" t="s">
        <v>94</v>
      </c>
      <c r="C1" s="74" t="s">
        <v>95</v>
      </c>
      <c r="D1" s="74" t="s">
        <v>96</v>
      </c>
      <c r="E1" s="74" t="s">
        <v>97</v>
      </c>
      <c r="G1" s="77" t="s">
        <v>157</v>
      </c>
      <c r="H1" s="74" t="s">
        <v>94</v>
      </c>
      <c r="I1" s="74" t="s">
        <v>95</v>
      </c>
      <c r="J1" s="74" t="s">
        <v>96</v>
      </c>
      <c r="K1" s="74" t="s">
        <v>97</v>
      </c>
      <c r="M1" s="77" t="s">
        <v>157</v>
      </c>
      <c r="N1" s="74" t="s">
        <v>94</v>
      </c>
      <c r="O1" s="74" t="s">
        <v>95</v>
      </c>
      <c r="P1" s="74" t="s">
        <v>96</v>
      </c>
      <c r="Q1" s="74" t="s">
        <v>97</v>
      </c>
      <c r="S1" s="77" t="s">
        <v>157</v>
      </c>
      <c r="T1" s="74" t="s">
        <v>94</v>
      </c>
      <c r="U1" s="74" t="s">
        <v>95</v>
      </c>
      <c r="V1" s="74" t="s">
        <v>96</v>
      </c>
      <c r="W1" s="74" t="s">
        <v>97</v>
      </c>
      <c r="Y1" s="77" t="s">
        <v>157</v>
      </c>
      <c r="Z1" s="74" t="s">
        <v>94</v>
      </c>
      <c r="AA1" s="74" t="s">
        <v>95</v>
      </c>
      <c r="AB1" s="74" t="s">
        <v>96</v>
      </c>
      <c r="AC1" s="74" t="s">
        <v>97</v>
      </c>
    </row>
    <row r="2">
      <c r="A2" s="77" t="s">
        <v>108</v>
      </c>
      <c r="B2" s="78">
        <v>15.0</v>
      </c>
      <c r="C2" s="99"/>
      <c r="D2" s="99"/>
      <c r="E2" s="78">
        <v>10.0</v>
      </c>
      <c r="G2" s="77" t="s">
        <v>108</v>
      </c>
      <c r="H2" s="78">
        <f t="shared" ref="H2:K2" si="1">B2</f>
        <v>15</v>
      </c>
      <c r="I2" s="78" t="str">
        <f t="shared" si="1"/>
        <v/>
      </c>
      <c r="J2" s="78" t="str">
        <f t="shared" si="1"/>
        <v/>
      </c>
      <c r="K2" s="78">
        <f t="shared" si="1"/>
        <v>10</v>
      </c>
      <c r="M2" s="77" t="s">
        <v>108</v>
      </c>
      <c r="N2" s="78">
        <f t="shared" ref="N2:Q2" si="2">H2</f>
        <v>15</v>
      </c>
      <c r="O2" s="78" t="str">
        <f t="shared" si="2"/>
        <v/>
      </c>
      <c r="P2" s="78" t="str">
        <f t="shared" si="2"/>
        <v/>
      </c>
      <c r="Q2" s="78">
        <f t="shared" si="2"/>
        <v>10</v>
      </c>
      <c r="S2" s="77" t="s">
        <v>108</v>
      </c>
      <c r="T2" s="78">
        <f t="shared" ref="T2:W2" si="3">N2</f>
        <v>15</v>
      </c>
      <c r="U2" s="78" t="str">
        <f t="shared" si="3"/>
        <v/>
      </c>
      <c r="V2" s="78" t="str">
        <f t="shared" si="3"/>
        <v/>
      </c>
      <c r="W2" s="78">
        <f t="shared" si="3"/>
        <v>10</v>
      </c>
      <c r="Y2" s="77" t="s">
        <v>108</v>
      </c>
      <c r="Z2" s="78">
        <f t="shared" ref="Z2:AC2" si="4">T2</f>
        <v>15</v>
      </c>
      <c r="AA2" s="78" t="str">
        <f t="shared" si="4"/>
        <v/>
      </c>
      <c r="AB2" s="78" t="str">
        <f t="shared" si="4"/>
        <v/>
      </c>
      <c r="AC2" s="78">
        <f t="shared" si="4"/>
        <v>10</v>
      </c>
    </row>
    <row r="3">
      <c r="A3" s="77" t="s">
        <v>112</v>
      </c>
      <c r="B3" s="99"/>
      <c r="C3" s="99"/>
      <c r="D3" s="78">
        <v>1.0</v>
      </c>
      <c r="E3" s="78"/>
      <c r="G3" s="77" t="s">
        <v>112</v>
      </c>
      <c r="H3" s="78" t="str">
        <f t="shared" ref="H3:K3" si="5">B3</f>
        <v/>
      </c>
      <c r="I3" s="78" t="str">
        <f t="shared" si="5"/>
        <v/>
      </c>
      <c r="J3" s="78">
        <f t="shared" si="5"/>
        <v>1</v>
      </c>
      <c r="K3" s="78" t="str">
        <f t="shared" si="5"/>
        <v/>
      </c>
      <c r="M3" s="77" t="s">
        <v>112</v>
      </c>
      <c r="N3" s="78" t="str">
        <f t="shared" ref="N3:Q3" si="6">H3</f>
        <v/>
      </c>
      <c r="O3" s="78" t="str">
        <f t="shared" si="6"/>
        <v/>
      </c>
      <c r="P3" s="78">
        <f t="shared" si="6"/>
        <v>1</v>
      </c>
      <c r="Q3" s="78" t="str">
        <f t="shared" si="6"/>
        <v/>
      </c>
      <c r="S3" s="77" t="s">
        <v>112</v>
      </c>
      <c r="T3" s="78" t="str">
        <f t="shared" ref="T3:W3" si="7">N3</f>
        <v/>
      </c>
      <c r="U3" s="78" t="str">
        <f t="shared" si="7"/>
        <v/>
      </c>
      <c r="V3" s="78">
        <f t="shared" si="7"/>
        <v>1</v>
      </c>
      <c r="W3" s="78" t="str">
        <f t="shared" si="7"/>
        <v/>
      </c>
      <c r="Y3" s="77" t="s">
        <v>112</v>
      </c>
      <c r="Z3" s="78" t="str">
        <f t="shared" ref="Z3:AC3" si="8">T3</f>
        <v/>
      </c>
      <c r="AA3" s="78" t="str">
        <f t="shared" si="8"/>
        <v/>
      </c>
      <c r="AB3" s="78">
        <f t="shared" si="8"/>
        <v>1</v>
      </c>
      <c r="AC3" s="78" t="str">
        <f t="shared" si="8"/>
        <v/>
      </c>
    </row>
    <row r="4">
      <c r="A4" s="77" t="s">
        <v>113</v>
      </c>
      <c r="B4" s="78">
        <v>2.0</v>
      </c>
      <c r="C4" s="99"/>
      <c r="D4" s="99"/>
      <c r="E4" s="78"/>
      <c r="G4" s="77" t="s">
        <v>113</v>
      </c>
      <c r="H4" s="78">
        <f t="shared" ref="H4:K4" si="9">B4</f>
        <v>2</v>
      </c>
      <c r="I4" s="78" t="str">
        <f t="shared" si="9"/>
        <v/>
      </c>
      <c r="J4" s="78" t="str">
        <f t="shared" si="9"/>
        <v/>
      </c>
      <c r="K4" s="78" t="str">
        <f t="shared" si="9"/>
        <v/>
      </c>
      <c r="M4" s="77" t="s">
        <v>113</v>
      </c>
      <c r="N4" s="78">
        <f t="shared" ref="N4:Q4" si="10">H4</f>
        <v>2</v>
      </c>
      <c r="O4" s="78" t="str">
        <f t="shared" si="10"/>
        <v/>
      </c>
      <c r="P4" s="78" t="str">
        <f t="shared" si="10"/>
        <v/>
      </c>
      <c r="Q4" s="78" t="str">
        <f t="shared" si="10"/>
        <v/>
      </c>
      <c r="S4" s="77" t="s">
        <v>113</v>
      </c>
      <c r="T4" s="78">
        <f t="shared" ref="T4:W4" si="11">N4</f>
        <v>2</v>
      </c>
      <c r="U4" s="78" t="str">
        <f t="shared" si="11"/>
        <v/>
      </c>
      <c r="V4" s="78" t="str">
        <f t="shared" si="11"/>
        <v/>
      </c>
      <c r="W4" s="78" t="str">
        <f t="shared" si="11"/>
        <v/>
      </c>
      <c r="Y4" s="77" t="s">
        <v>113</v>
      </c>
      <c r="Z4" s="78">
        <f t="shared" ref="Z4:AC4" si="12">T4</f>
        <v>2</v>
      </c>
      <c r="AA4" s="78" t="str">
        <f t="shared" si="12"/>
        <v/>
      </c>
      <c r="AB4" s="78" t="str">
        <f t="shared" si="12"/>
        <v/>
      </c>
      <c r="AC4" s="78" t="str">
        <f t="shared" si="12"/>
        <v/>
      </c>
    </row>
    <row r="5">
      <c r="A5" s="77" t="s">
        <v>114</v>
      </c>
      <c r="B5" s="99"/>
      <c r="C5" s="78">
        <v>2.0</v>
      </c>
      <c r="D5" s="99"/>
      <c r="E5" s="78">
        <v>1.0</v>
      </c>
      <c r="G5" s="77" t="s">
        <v>114</v>
      </c>
      <c r="H5" s="78" t="str">
        <f t="shared" ref="H5:K5" si="13">B5</f>
        <v/>
      </c>
      <c r="I5" s="78">
        <f t="shared" si="13"/>
        <v>2</v>
      </c>
      <c r="J5" s="78" t="str">
        <f t="shared" si="13"/>
        <v/>
      </c>
      <c r="K5" s="78">
        <f t="shared" si="13"/>
        <v>1</v>
      </c>
      <c r="M5" s="77" t="s">
        <v>114</v>
      </c>
      <c r="N5" s="78" t="str">
        <f t="shared" ref="N5:Q5" si="14">H5</f>
        <v/>
      </c>
      <c r="O5" s="78">
        <f t="shared" si="14"/>
        <v>2</v>
      </c>
      <c r="P5" s="78" t="str">
        <f t="shared" si="14"/>
        <v/>
      </c>
      <c r="Q5" s="78">
        <f t="shared" si="14"/>
        <v>1</v>
      </c>
      <c r="S5" s="77" t="s">
        <v>114</v>
      </c>
      <c r="T5" s="78" t="str">
        <f t="shared" ref="T5:W5" si="15">N5</f>
        <v/>
      </c>
      <c r="U5" s="78">
        <f t="shared" si="15"/>
        <v>2</v>
      </c>
      <c r="V5" s="78" t="str">
        <f t="shared" si="15"/>
        <v/>
      </c>
      <c r="W5" s="78">
        <f t="shared" si="15"/>
        <v>1</v>
      </c>
      <c r="Y5" s="77" t="s">
        <v>114</v>
      </c>
      <c r="Z5" s="78" t="str">
        <f t="shared" ref="Z5:AC5" si="16">T5</f>
        <v/>
      </c>
      <c r="AA5" s="78">
        <f t="shared" si="16"/>
        <v>2</v>
      </c>
      <c r="AB5" s="78" t="str">
        <f t="shared" si="16"/>
        <v/>
      </c>
      <c r="AC5" s="78">
        <f t="shared" si="16"/>
        <v>1</v>
      </c>
    </row>
    <row r="6">
      <c r="A6" s="77" t="s">
        <v>115</v>
      </c>
      <c r="B6" s="78"/>
      <c r="C6" s="78">
        <v>10.0</v>
      </c>
      <c r="D6" s="78"/>
      <c r="E6" s="78">
        <v>5.0</v>
      </c>
      <c r="G6" s="77" t="s">
        <v>115</v>
      </c>
      <c r="H6" s="78" t="str">
        <f t="shared" ref="H6:K6" si="17">B6</f>
        <v/>
      </c>
      <c r="I6" s="78">
        <f t="shared" si="17"/>
        <v>10</v>
      </c>
      <c r="J6" s="78" t="str">
        <f t="shared" si="17"/>
        <v/>
      </c>
      <c r="K6" s="78">
        <f t="shared" si="17"/>
        <v>5</v>
      </c>
      <c r="M6" s="77" t="s">
        <v>115</v>
      </c>
      <c r="N6" s="78" t="str">
        <f t="shared" ref="N6:Q6" si="18">H6</f>
        <v/>
      </c>
      <c r="O6" s="78">
        <f t="shared" si="18"/>
        <v>10</v>
      </c>
      <c r="P6" s="78" t="str">
        <f t="shared" si="18"/>
        <v/>
      </c>
      <c r="Q6" s="78">
        <f t="shared" si="18"/>
        <v>5</v>
      </c>
      <c r="S6" s="77" t="s">
        <v>115</v>
      </c>
      <c r="T6" s="78" t="str">
        <f t="shared" ref="T6:W6" si="19">N6</f>
        <v/>
      </c>
      <c r="U6" s="78">
        <f t="shared" si="19"/>
        <v>10</v>
      </c>
      <c r="V6" s="78" t="str">
        <f t="shared" si="19"/>
        <v/>
      </c>
      <c r="W6" s="78">
        <f t="shared" si="19"/>
        <v>5</v>
      </c>
      <c r="Y6" s="77" t="s">
        <v>115</v>
      </c>
      <c r="Z6" s="78" t="str">
        <f t="shared" ref="Z6:AC6" si="20">T6</f>
        <v/>
      </c>
      <c r="AA6" s="78">
        <f t="shared" si="20"/>
        <v>10</v>
      </c>
      <c r="AB6" s="78" t="str">
        <f t="shared" si="20"/>
        <v/>
      </c>
      <c r="AC6" s="78">
        <f t="shared" si="20"/>
        <v>5</v>
      </c>
    </row>
    <row r="7">
      <c r="A7" s="77" t="s">
        <v>116</v>
      </c>
      <c r="B7" s="78">
        <v>15.0</v>
      </c>
      <c r="C7" s="78"/>
      <c r="D7" s="78">
        <v>5.0</v>
      </c>
      <c r="E7" s="78"/>
      <c r="G7" s="77" t="s">
        <v>116</v>
      </c>
      <c r="H7" s="78">
        <f t="shared" ref="H7:K7" si="21">B7</f>
        <v>15</v>
      </c>
      <c r="I7" s="78" t="str">
        <f t="shared" si="21"/>
        <v/>
      </c>
      <c r="J7" s="78">
        <f t="shared" si="21"/>
        <v>5</v>
      </c>
      <c r="K7" s="78" t="str">
        <f t="shared" si="21"/>
        <v/>
      </c>
      <c r="M7" s="77" t="s">
        <v>116</v>
      </c>
      <c r="N7" s="78">
        <f t="shared" ref="N7:Q7" si="22">H7</f>
        <v>15</v>
      </c>
      <c r="O7" s="78" t="str">
        <f t="shared" si="22"/>
        <v/>
      </c>
      <c r="P7" s="78">
        <f t="shared" si="22"/>
        <v>5</v>
      </c>
      <c r="Q7" s="78" t="str">
        <f t="shared" si="22"/>
        <v/>
      </c>
      <c r="S7" s="77" t="s">
        <v>116</v>
      </c>
      <c r="T7" s="78">
        <f t="shared" ref="T7:W7" si="23">N7</f>
        <v>15</v>
      </c>
      <c r="U7" s="78" t="str">
        <f t="shared" si="23"/>
        <v/>
      </c>
      <c r="V7" s="78">
        <f t="shared" si="23"/>
        <v>5</v>
      </c>
      <c r="W7" s="78" t="str">
        <f t="shared" si="23"/>
        <v/>
      </c>
      <c r="Y7" s="77" t="s">
        <v>116</v>
      </c>
      <c r="Z7" s="78">
        <f t="shared" ref="Z7:AC7" si="24">T7</f>
        <v>15</v>
      </c>
      <c r="AA7" s="78" t="str">
        <f t="shared" si="24"/>
        <v/>
      </c>
      <c r="AB7" s="78">
        <f t="shared" si="24"/>
        <v>5</v>
      </c>
      <c r="AC7" s="78" t="str">
        <f t="shared" si="24"/>
        <v/>
      </c>
    </row>
    <row r="8">
      <c r="A8" s="77" t="s">
        <v>117</v>
      </c>
      <c r="B8" s="99"/>
      <c r="C8" s="78">
        <v>1.0</v>
      </c>
      <c r="D8" s="99"/>
      <c r="E8" s="78"/>
      <c r="G8" s="77" t="s">
        <v>117</v>
      </c>
      <c r="H8" s="78" t="str">
        <f t="shared" ref="H8:K8" si="25">B8</f>
        <v/>
      </c>
      <c r="I8" s="78">
        <f t="shared" si="25"/>
        <v>1</v>
      </c>
      <c r="J8" s="78" t="str">
        <f t="shared" si="25"/>
        <v/>
      </c>
      <c r="K8" s="78" t="str">
        <f t="shared" si="25"/>
        <v/>
      </c>
      <c r="M8" s="77" t="s">
        <v>117</v>
      </c>
      <c r="N8" s="78" t="str">
        <f t="shared" ref="N8:Q8" si="26">H8</f>
        <v/>
      </c>
      <c r="O8" s="78">
        <f t="shared" si="26"/>
        <v>1</v>
      </c>
      <c r="P8" s="78" t="str">
        <f t="shared" si="26"/>
        <v/>
      </c>
      <c r="Q8" s="78" t="str">
        <f t="shared" si="26"/>
        <v/>
      </c>
      <c r="S8" s="77" t="s">
        <v>117</v>
      </c>
      <c r="T8" s="78" t="str">
        <f t="shared" ref="T8:W8" si="27">N8</f>
        <v/>
      </c>
      <c r="U8" s="78">
        <f t="shared" si="27"/>
        <v>1</v>
      </c>
      <c r="V8" s="78" t="str">
        <f t="shared" si="27"/>
        <v/>
      </c>
      <c r="W8" s="78" t="str">
        <f t="shared" si="27"/>
        <v/>
      </c>
      <c r="Y8" s="77" t="s">
        <v>117</v>
      </c>
      <c r="Z8" s="78" t="str">
        <f t="shared" ref="Z8:AC8" si="28">T8</f>
        <v/>
      </c>
      <c r="AA8" s="78">
        <f t="shared" si="28"/>
        <v>1</v>
      </c>
      <c r="AB8" s="78" t="str">
        <f t="shared" si="28"/>
        <v/>
      </c>
      <c r="AC8" s="78" t="str">
        <f t="shared" si="28"/>
        <v/>
      </c>
    </row>
    <row r="9">
      <c r="A9" s="77" t="s">
        <v>118</v>
      </c>
      <c r="B9" s="99"/>
      <c r="C9" s="99"/>
      <c r="D9" s="78">
        <v>15.0</v>
      </c>
      <c r="E9" s="78">
        <v>10.0</v>
      </c>
      <c r="G9" s="77" t="s">
        <v>118</v>
      </c>
      <c r="H9" s="78" t="str">
        <f t="shared" ref="H9:K9" si="29">B9</f>
        <v/>
      </c>
      <c r="I9" s="78" t="str">
        <f t="shared" si="29"/>
        <v/>
      </c>
      <c r="J9" s="78">
        <f t="shared" si="29"/>
        <v>15</v>
      </c>
      <c r="K9" s="78">
        <f t="shared" si="29"/>
        <v>10</v>
      </c>
      <c r="M9" s="77" t="s">
        <v>118</v>
      </c>
      <c r="N9" s="78" t="str">
        <f t="shared" ref="N9:Q9" si="30">H9</f>
        <v/>
      </c>
      <c r="O9" s="78" t="str">
        <f t="shared" si="30"/>
        <v/>
      </c>
      <c r="P9" s="78">
        <f t="shared" si="30"/>
        <v>15</v>
      </c>
      <c r="Q9" s="78">
        <f t="shared" si="30"/>
        <v>10</v>
      </c>
      <c r="S9" s="77" t="s">
        <v>118</v>
      </c>
      <c r="T9" s="78" t="str">
        <f t="shared" ref="T9:W9" si="31">N9</f>
        <v/>
      </c>
      <c r="U9" s="78" t="str">
        <f t="shared" si="31"/>
        <v/>
      </c>
      <c r="V9" s="78">
        <f t="shared" si="31"/>
        <v>15</v>
      </c>
      <c r="W9" s="78">
        <f t="shared" si="31"/>
        <v>10</v>
      </c>
      <c r="Y9" s="77" t="s">
        <v>118</v>
      </c>
      <c r="Z9" s="78" t="str">
        <f t="shared" ref="Z9:AC9" si="32">T9</f>
        <v/>
      </c>
      <c r="AA9" s="78" t="str">
        <f t="shared" si="32"/>
        <v/>
      </c>
      <c r="AB9" s="78">
        <f t="shared" si="32"/>
        <v>15</v>
      </c>
      <c r="AC9" s="78">
        <f t="shared" si="32"/>
        <v>10</v>
      </c>
    </row>
    <row r="10">
      <c r="A10" s="77" t="s">
        <v>119</v>
      </c>
      <c r="B10" s="78"/>
      <c r="C10" s="78">
        <v>3.0</v>
      </c>
      <c r="D10" s="99"/>
      <c r="E10" s="78">
        <v>2.0</v>
      </c>
      <c r="G10" s="77" t="s">
        <v>119</v>
      </c>
      <c r="H10" s="78" t="str">
        <f t="shared" ref="H10:K10" si="33">B10</f>
        <v/>
      </c>
      <c r="I10" s="78">
        <f t="shared" si="33"/>
        <v>3</v>
      </c>
      <c r="J10" s="78" t="str">
        <f t="shared" si="33"/>
        <v/>
      </c>
      <c r="K10" s="78">
        <f t="shared" si="33"/>
        <v>2</v>
      </c>
      <c r="M10" s="77" t="s">
        <v>119</v>
      </c>
      <c r="N10" s="78" t="str">
        <f t="shared" ref="N10:Q10" si="34">H10</f>
        <v/>
      </c>
      <c r="O10" s="78">
        <f t="shared" si="34"/>
        <v>3</v>
      </c>
      <c r="P10" s="78" t="str">
        <f t="shared" si="34"/>
        <v/>
      </c>
      <c r="Q10" s="78">
        <f t="shared" si="34"/>
        <v>2</v>
      </c>
      <c r="S10" s="77" t="s">
        <v>119</v>
      </c>
      <c r="T10" s="78" t="str">
        <f t="shared" ref="T10:W10" si="35">N10</f>
        <v/>
      </c>
      <c r="U10" s="78">
        <f t="shared" si="35"/>
        <v>3</v>
      </c>
      <c r="V10" s="78" t="str">
        <f t="shared" si="35"/>
        <v/>
      </c>
      <c r="W10" s="78">
        <f t="shared" si="35"/>
        <v>2</v>
      </c>
      <c r="Y10" s="77" t="s">
        <v>119</v>
      </c>
      <c r="Z10" s="78" t="str">
        <f t="shared" ref="Z10:AC10" si="36">T10</f>
        <v/>
      </c>
      <c r="AA10" s="78">
        <f t="shared" si="36"/>
        <v>3</v>
      </c>
      <c r="AB10" s="78" t="str">
        <f t="shared" si="36"/>
        <v/>
      </c>
      <c r="AC10" s="78">
        <f t="shared" si="36"/>
        <v>2</v>
      </c>
    </row>
    <row r="11">
      <c r="A11" s="77" t="s">
        <v>120</v>
      </c>
      <c r="B11" s="99"/>
      <c r="C11" s="99"/>
      <c r="D11" s="78">
        <v>3.0</v>
      </c>
      <c r="E11" s="78">
        <v>2.0</v>
      </c>
      <c r="G11" s="77" t="s">
        <v>120</v>
      </c>
      <c r="H11" s="78" t="str">
        <f t="shared" ref="H11:K11" si="37">B11</f>
        <v/>
      </c>
      <c r="I11" s="78" t="str">
        <f t="shared" si="37"/>
        <v/>
      </c>
      <c r="J11" s="78">
        <f t="shared" si="37"/>
        <v>3</v>
      </c>
      <c r="K11" s="78">
        <f t="shared" si="37"/>
        <v>2</v>
      </c>
      <c r="M11" s="77" t="s">
        <v>120</v>
      </c>
      <c r="N11" s="78" t="str">
        <f t="shared" ref="N11:Q11" si="38">H11</f>
        <v/>
      </c>
      <c r="O11" s="78" t="str">
        <f t="shared" si="38"/>
        <v/>
      </c>
      <c r="P11" s="78">
        <f t="shared" si="38"/>
        <v>3</v>
      </c>
      <c r="Q11" s="78">
        <f t="shared" si="38"/>
        <v>2</v>
      </c>
      <c r="S11" s="77" t="s">
        <v>120</v>
      </c>
      <c r="T11" s="78" t="str">
        <f t="shared" ref="T11:W11" si="39">N11</f>
        <v/>
      </c>
      <c r="U11" s="78" t="str">
        <f t="shared" si="39"/>
        <v/>
      </c>
      <c r="V11" s="78">
        <f t="shared" si="39"/>
        <v>3</v>
      </c>
      <c r="W11" s="78">
        <f t="shared" si="39"/>
        <v>2</v>
      </c>
      <c r="Y11" s="77" t="s">
        <v>120</v>
      </c>
      <c r="Z11" s="78" t="str">
        <f t="shared" ref="Z11:AC11" si="40">T11</f>
        <v/>
      </c>
      <c r="AA11" s="78" t="str">
        <f t="shared" si="40"/>
        <v/>
      </c>
      <c r="AB11" s="78">
        <f t="shared" si="40"/>
        <v>3</v>
      </c>
      <c r="AC11" s="78">
        <f t="shared" si="40"/>
        <v>2</v>
      </c>
    </row>
    <row r="12">
      <c r="A12" s="77" t="s">
        <v>121</v>
      </c>
      <c r="B12" s="78">
        <v>20.0</v>
      </c>
      <c r="C12" s="78">
        <v>20.0</v>
      </c>
      <c r="D12" s="78">
        <v>20.0</v>
      </c>
      <c r="E12" s="78">
        <v>20.0</v>
      </c>
      <c r="G12" s="77" t="s">
        <v>121</v>
      </c>
      <c r="H12" s="78">
        <f t="shared" ref="H12:K12" si="41">B12</f>
        <v>20</v>
      </c>
      <c r="I12" s="78">
        <f t="shared" si="41"/>
        <v>20</v>
      </c>
      <c r="J12" s="78">
        <f t="shared" si="41"/>
        <v>20</v>
      </c>
      <c r="K12" s="78">
        <f t="shared" si="41"/>
        <v>20</v>
      </c>
      <c r="M12" s="77" t="s">
        <v>121</v>
      </c>
      <c r="N12" s="78">
        <f t="shared" ref="N12:Q12" si="42">H12</f>
        <v>20</v>
      </c>
      <c r="O12" s="78">
        <f t="shared" si="42"/>
        <v>20</v>
      </c>
      <c r="P12" s="78">
        <f t="shared" si="42"/>
        <v>20</v>
      </c>
      <c r="Q12" s="78">
        <f t="shared" si="42"/>
        <v>20</v>
      </c>
      <c r="S12" s="77" t="s">
        <v>121</v>
      </c>
      <c r="T12" s="78">
        <f t="shared" ref="T12:W12" si="43">N12</f>
        <v>20</v>
      </c>
      <c r="U12" s="78">
        <f t="shared" si="43"/>
        <v>20</v>
      </c>
      <c r="V12" s="78">
        <f t="shared" si="43"/>
        <v>20</v>
      </c>
      <c r="W12" s="78">
        <f t="shared" si="43"/>
        <v>20</v>
      </c>
      <c r="Y12" s="77" t="s">
        <v>121</v>
      </c>
      <c r="Z12" s="78">
        <f t="shared" ref="Z12:AC12" si="44">T12</f>
        <v>20</v>
      </c>
      <c r="AA12" s="78">
        <f t="shared" si="44"/>
        <v>20</v>
      </c>
      <c r="AB12" s="78">
        <f t="shared" si="44"/>
        <v>20</v>
      </c>
      <c r="AC12" s="78">
        <f t="shared" si="44"/>
        <v>20</v>
      </c>
    </row>
    <row r="13">
      <c r="A13" s="77" t="s">
        <v>122</v>
      </c>
      <c r="B13" s="78">
        <f t="shared" ref="B13:E13" si="45">SUM(B2:B12)</f>
        <v>52</v>
      </c>
      <c r="C13" s="78">
        <f t="shared" si="45"/>
        <v>36</v>
      </c>
      <c r="D13" s="78">
        <f t="shared" si="45"/>
        <v>44</v>
      </c>
      <c r="E13" s="78">
        <f t="shared" si="45"/>
        <v>50</v>
      </c>
      <c r="G13" s="77" t="s">
        <v>122</v>
      </c>
      <c r="H13" s="78">
        <f t="shared" ref="H13:K13" si="46">B13</f>
        <v>52</v>
      </c>
      <c r="I13" s="78">
        <f t="shared" si="46"/>
        <v>36</v>
      </c>
      <c r="J13" s="78">
        <f t="shared" si="46"/>
        <v>44</v>
      </c>
      <c r="K13" s="78">
        <f t="shared" si="46"/>
        <v>50</v>
      </c>
      <c r="M13" s="77" t="s">
        <v>122</v>
      </c>
      <c r="N13" s="78">
        <f t="shared" ref="N13:Q13" si="47">H13</f>
        <v>52</v>
      </c>
      <c r="O13" s="78">
        <f t="shared" si="47"/>
        <v>36</v>
      </c>
      <c r="P13" s="78">
        <f t="shared" si="47"/>
        <v>44</v>
      </c>
      <c r="Q13" s="78">
        <f t="shared" si="47"/>
        <v>50</v>
      </c>
      <c r="S13" s="77" t="s">
        <v>122</v>
      </c>
      <c r="T13" s="78">
        <f t="shared" ref="T13:W13" si="48">N13</f>
        <v>52</v>
      </c>
      <c r="U13" s="78">
        <f t="shared" si="48"/>
        <v>36</v>
      </c>
      <c r="V13" s="78">
        <f t="shared" si="48"/>
        <v>44</v>
      </c>
      <c r="W13" s="78">
        <f t="shared" si="48"/>
        <v>50</v>
      </c>
      <c r="Y13" s="77" t="s">
        <v>122</v>
      </c>
      <c r="Z13" s="78">
        <f t="shared" ref="Z13:AC13" si="49">T13</f>
        <v>52</v>
      </c>
      <c r="AA13" s="78">
        <f t="shared" si="49"/>
        <v>36</v>
      </c>
      <c r="AB13" s="78">
        <f t="shared" si="49"/>
        <v>44</v>
      </c>
      <c r="AC13" s="78">
        <f t="shared" si="49"/>
        <v>50</v>
      </c>
    </row>
    <row r="15">
      <c r="A15" s="77" t="str">
        <f>'W2 Stats'!B3</f>
        <v>Rage More Nerd</v>
      </c>
      <c r="B15" s="74" t="s">
        <v>94</v>
      </c>
      <c r="C15" s="74" t="s">
        <v>95</v>
      </c>
      <c r="D15" s="74" t="s">
        <v>96</v>
      </c>
      <c r="E15" s="74" t="s">
        <v>97</v>
      </c>
      <c r="F15" s="1"/>
      <c r="G15" s="77" t="str">
        <f>'W2 Stats'!B4</f>
        <v>BCN19</v>
      </c>
      <c r="H15" s="74" t="s">
        <v>94</v>
      </c>
      <c r="I15" s="74" t="s">
        <v>95</v>
      </c>
      <c r="J15" s="74" t="s">
        <v>96</v>
      </c>
      <c r="K15" s="74" t="s">
        <v>97</v>
      </c>
      <c r="M15" s="77" t="str">
        <f>'W2 Stats'!B5</f>
        <v>The Eastbrook</v>
      </c>
      <c r="N15" s="74" t="s">
        <v>94</v>
      </c>
      <c r="O15" s="74" t="s">
        <v>95</v>
      </c>
      <c r="P15" s="74" t="s">
        <v>96</v>
      </c>
      <c r="Q15" s="74" t="s">
        <v>97</v>
      </c>
      <c r="S15" s="77" t="str">
        <f>'W2 Stats'!B6</f>
        <v>ThumpingHawk</v>
      </c>
      <c r="T15" s="74" t="s">
        <v>94</v>
      </c>
      <c r="U15" s="74" t="s">
        <v>95</v>
      </c>
      <c r="V15" s="74" t="s">
        <v>96</v>
      </c>
      <c r="W15" s="74" t="s">
        <v>97</v>
      </c>
      <c r="Y15" s="77" t="str">
        <f>'W2 Stats'!B7</f>
        <v>Mr Ab0veAverage</v>
      </c>
      <c r="Z15" s="74" t="s">
        <v>94</v>
      </c>
      <c r="AA15" s="74" t="s">
        <v>95</v>
      </c>
      <c r="AB15" s="74" t="s">
        <v>96</v>
      </c>
      <c r="AC15" s="74" t="s">
        <v>97</v>
      </c>
    </row>
    <row r="16">
      <c r="A16" s="77" t="s">
        <v>108</v>
      </c>
      <c r="B16" s="78">
        <f>'W2 Stats'!D3*B2</f>
        <v>0</v>
      </c>
      <c r="C16" s="78"/>
      <c r="D16" s="78"/>
      <c r="E16" s="78">
        <f>'W2 Stats'!D3*E2</f>
        <v>0</v>
      </c>
      <c r="G16" s="77" t="s">
        <v>108</v>
      </c>
      <c r="H16" s="78">
        <f>'W2 Stats'!D4*H2</f>
        <v>0</v>
      </c>
      <c r="I16" s="78"/>
      <c r="J16" s="78"/>
      <c r="K16" s="78">
        <f>'W2 Stats'!D4*K2</f>
        <v>0</v>
      </c>
      <c r="M16" s="77" t="s">
        <v>108</v>
      </c>
      <c r="N16" s="78">
        <f>'W2 Stats'!D5*N2</f>
        <v>0</v>
      </c>
      <c r="O16" s="78"/>
      <c r="P16" s="78"/>
      <c r="Q16" s="78">
        <f>'W2 Stats'!D5*Q2</f>
        <v>0</v>
      </c>
      <c r="S16" s="77" t="s">
        <v>108</v>
      </c>
      <c r="T16" s="78">
        <f>'W2 Stats'!D6*T2</f>
        <v>0</v>
      </c>
      <c r="U16" s="78"/>
      <c r="V16" s="78"/>
      <c r="W16" s="78">
        <f>'W2 Stats'!D6*W2</f>
        <v>0</v>
      </c>
      <c r="Y16" s="77" t="s">
        <v>108</v>
      </c>
      <c r="Z16" s="78">
        <f>'W2 Stats'!D7*Z2</f>
        <v>0</v>
      </c>
      <c r="AA16" s="99"/>
      <c r="AB16" s="78"/>
      <c r="AC16" s="99">
        <f>'W2 Stats'!D7*AC2</f>
        <v>0</v>
      </c>
    </row>
    <row r="17">
      <c r="A17" s="77" t="s">
        <v>112</v>
      </c>
      <c r="B17" s="99"/>
      <c r="C17" s="99"/>
      <c r="D17" s="78">
        <f>'W2 Stats'!H3*D3</f>
        <v>0</v>
      </c>
      <c r="E17" s="78"/>
      <c r="G17" s="77" t="s">
        <v>112</v>
      </c>
      <c r="H17" s="99"/>
      <c r="I17" s="99"/>
      <c r="J17" s="78">
        <f>'W2 Stats'!H4*J4</f>
        <v>0</v>
      </c>
      <c r="K17" s="78"/>
      <c r="M17" s="77" t="s">
        <v>112</v>
      </c>
      <c r="N17" s="99"/>
      <c r="O17" s="99"/>
      <c r="P17" s="78">
        <f>'W2 Stats'!H5*P3</f>
        <v>0</v>
      </c>
      <c r="Q17" s="78"/>
      <c r="S17" s="77" t="s">
        <v>112</v>
      </c>
      <c r="T17" s="99"/>
      <c r="U17" s="99"/>
      <c r="V17" s="78">
        <f>'W2 Stats'!H6*V3</f>
        <v>0</v>
      </c>
      <c r="W17" s="78"/>
      <c r="Y17" s="77" t="s">
        <v>112</v>
      </c>
      <c r="Z17" s="78"/>
      <c r="AA17" s="99"/>
      <c r="AB17" s="99">
        <f>'W2 Stats'!H7*AB3</f>
        <v>0</v>
      </c>
      <c r="AC17" s="78"/>
    </row>
    <row r="18">
      <c r="A18" s="77" t="s">
        <v>113</v>
      </c>
      <c r="B18" s="78">
        <f>'W2 Stats'!I3*B4</f>
        <v>0</v>
      </c>
      <c r="C18" s="99"/>
      <c r="D18" s="99"/>
      <c r="E18" s="78"/>
      <c r="G18" s="77" t="s">
        <v>113</v>
      </c>
      <c r="H18" s="78">
        <f>'W2 Stats'!I4*H4</f>
        <v>0</v>
      </c>
      <c r="I18" s="99"/>
      <c r="J18" s="99"/>
      <c r="K18" s="78"/>
      <c r="M18" s="77" t="s">
        <v>113</v>
      </c>
      <c r="N18" s="78">
        <f>'W2 Stats'!I5*N4</f>
        <v>0</v>
      </c>
      <c r="O18" s="99"/>
      <c r="P18" s="99"/>
      <c r="Q18" s="78"/>
      <c r="S18" s="77" t="s">
        <v>113</v>
      </c>
      <c r="T18" s="78">
        <f>'W2 Stats'!I6*T4</f>
        <v>0</v>
      </c>
      <c r="U18" s="99"/>
      <c r="V18" s="99"/>
      <c r="W18" s="78"/>
      <c r="Y18" s="77" t="s">
        <v>113</v>
      </c>
      <c r="Z18" s="78">
        <f>'W2 Stats'!I7*Z4</f>
        <v>0</v>
      </c>
      <c r="AA18" s="78"/>
      <c r="AB18" s="99"/>
      <c r="AC18" s="99"/>
    </row>
    <row r="19">
      <c r="A19" s="77" t="s">
        <v>114</v>
      </c>
      <c r="B19" s="99"/>
      <c r="C19" s="78">
        <f>'W2 Stats'!J3*C5</f>
        <v>0</v>
      </c>
      <c r="D19" s="99"/>
      <c r="E19" s="78">
        <f>'W2 Stats'!J3*E5</f>
        <v>0</v>
      </c>
      <c r="G19" s="77" t="s">
        <v>114</v>
      </c>
      <c r="H19" s="99"/>
      <c r="I19" s="78">
        <f>'W2 Stats'!J4*I5</f>
        <v>0</v>
      </c>
      <c r="J19" s="99"/>
      <c r="K19" s="78">
        <f>'W2 Stats'!J4*K5</f>
        <v>0</v>
      </c>
      <c r="M19" s="77" t="s">
        <v>114</v>
      </c>
      <c r="N19" s="99"/>
      <c r="O19" s="78">
        <f>'W2 Stats'!J5*O5</f>
        <v>0</v>
      </c>
      <c r="P19" s="99"/>
      <c r="Q19" s="78">
        <f>'W2 Stats'!J5*Q5</f>
        <v>0</v>
      </c>
      <c r="S19" s="77" t="s">
        <v>114</v>
      </c>
      <c r="T19" s="99"/>
      <c r="U19" s="78">
        <f>'W2 Stats'!J6*U5</f>
        <v>0</v>
      </c>
      <c r="V19" s="99"/>
      <c r="W19" s="78">
        <f>'W2 Stats'!J6*W5</f>
        <v>0</v>
      </c>
      <c r="Y19" s="77" t="s">
        <v>114</v>
      </c>
      <c r="Z19" s="78"/>
      <c r="AA19" s="78">
        <f>'W2 Stats'!J7*AA5</f>
        <v>0</v>
      </c>
      <c r="AB19" s="78"/>
      <c r="AC19" s="78">
        <f>'W2 Stats'!J7*AC5</f>
        <v>0</v>
      </c>
    </row>
    <row r="20">
      <c r="A20" s="77" t="s">
        <v>115</v>
      </c>
      <c r="B20" s="78"/>
      <c r="C20" s="78">
        <f>'W2 Stats'!K3*C6</f>
        <v>0</v>
      </c>
      <c r="D20" s="78"/>
      <c r="E20" s="78">
        <f>'W2 Stats'!K3*E6</f>
        <v>0</v>
      </c>
      <c r="G20" s="77" t="s">
        <v>115</v>
      </c>
      <c r="H20" s="78"/>
      <c r="I20" s="78">
        <f>'W2 Stats'!K4*I6</f>
        <v>0</v>
      </c>
      <c r="J20" s="78"/>
      <c r="K20" s="78">
        <f>'W2 Stats'!K4*K6</f>
        <v>0</v>
      </c>
      <c r="M20" s="77" t="s">
        <v>115</v>
      </c>
      <c r="N20" s="78"/>
      <c r="O20" s="78">
        <f>'W2 Stats'!K5*O6</f>
        <v>0</v>
      </c>
      <c r="P20" s="78"/>
      <c r="Q20" s="78">
        <f>'W2 Stats'!K5*Q6</f>
        <v>0</v>
      </c>
      <c r="S20" s="77" t="s">
        <v>115</v>
      </c>
      <c r="T20" s="78"/>
      <c r="U20" s="78">
        <f>'W2 Stats'!K6*U6</f>
        <v>0</v>
      </c>
      <c r="V20" s="78"/>
      <c r="W20" s="78">
        <f>'W2 Stats'!K6*W6</f>
        <v>0</v>
      </c>
      <c r="Y20" s="77" t="s">
        <v>115</v>
      </c>
      <c r="Z20" s="78"/>
      <c r="AA20" s="99">
        <f>'W2 Stats'!K7*AA6</f>
        <v>0</v>
      </c>
      <c r="AB20" s="78"/>
      <c r="AC20" s="99">
        <f>'W2 Stats'!K7*AC6</f>
        <v>0</v>
      </c>
    </row>
    <row r="21">
      <c r="A21" s="77" t="s">
        <v>116</v>
      </c>
      <c r="B21" s="78">
        <f>'W2 Stats'!L3*B7</f>
        <v>0</v>
      </c>
      <c r="C21" s="78"/>
      <c r="D21" s="78">
        <f>'W2 Stats'!L3*D7</f>
        <v>0</v>
      </c>
      <c r="E21" s="78"/>
      <c r="G21" s="77" t="s">
        <v>116</v>
      </c>
      <c r="H21" s="78">
        <f>'W2 Stats'!L4*H7</f>
        <v>0</v>
      </c>
      <c r="I21" s="78"/>
      <c r="J21" s="78">
        <f>'W2 Stats'!L4*J7</f>
        <v>0</v>
      </c>
      <c r="K21" s="78"/>
      <c r="M21" s="77" t="s">
        <v>116</v>
      </c>
      <c r="N21" s="78">
        <f>'W2 Stats'!L5*N7</f>
        <v>0</v>
      </c>
      <c r="O21" s="78"/>
      <c r="P21" s="78">
        <f>'W2 Stats'!L5*P7</f>
        <v>0</v>
      </c>
      <c r="Q21" s="78"/>
      <c r="S21" s="77" t="s">
        <v>116</v>
      </c>
      <c r="T21" s="78">
        <f>'W2 Stats'!L6*T7</f>
        <v>0</v>
      </c>
      <c r="U21" s="78"/>
      <c r="V21" s="78">
        <f>'W2 Stats'!L6*V7</f>
        <v>0</v>
      </c>
      <c r="W21" s="78"/>
      <c r="Y21" s="77" t="s">
        <v>116</v>
      </c>
      <c r="Z21" s="78">
        <f>'W2 Stats'!L7*Z7</f>
        <v>0</v>
      </c>
      <c r="AA21" s="99"/>
      <c r="AB21" s="99">
        <f>'W2 Stats'!L7*AB7</f>
        <v>0</v>
      </c>
      <c r="AC21" s="78"/>
    </row>
    <row r="22">
      <c r="A22" s="77" t="s">
        <v>117</v>
      </c>
      <c r="B22" s="99"/>
      <c r="C22" s="78">
        <f>'W2 Stats'!M3*C8</f>
        <v>0</v>
      </c>
      <c r="D22" s="99"/>
      <c r="E22" s="78"/>
      <c r="G22" s="77" t="s">
        <v>117</v>
      </c>
      <c r="H22" s="99"/>
      <c r="I22" s="78">
        <f>'W2 Stats'!M4*I8</f>
        <v>0</v>
      </c>
      <c r="J22" s="99"/>
      <c r="K22" s="78"/>
      <c r="M22" s="77" t="s">
        <v>117</v>
      </c>
      <c r="N22" s="99"/>
      <c r="O22" s="78">
        <f>'W2 Stats'!M5*O8</f>
        <v>0</v>
      </c>
      <c r="P22" s="99"/>
      <c r="Q22" s="78"/>
      <c r="S22" s="77" t="s">
        <v>117</v>
      </c>
      <c r="T22" s="99"/>
      <c r="U22" s="78">
        <f>'W2 Stats'!M6*U8</f>
        <v>0</v>
      </c>
      <c r="V22" s="99"/>
      <c r="W22" s="78"/>
      <c r="Y22" s="77" t="s">
        <v>117</v>
      </c>
      <c r="Z22" s="78"/>
      <c r="AA22" s="78">
        <f>'W2 Stats'!M7*AA8</f>
        <v>0</v>
      </c>
      <c r="AB22" s="99"/>
      <c r="AC22" s="99"/>
    </row>
    <row r="23">
      <c r="A23" s="77" t="s">
        <v>118</v>
      </c>
      <c r="B23" s="99"/>
      <c r="C23" s="99"/>
      <c r="D23" s="78">
        <f>'W2 Stats'!N3*D9</f>
        <v>0</v>
      </c>
      <c r="E23" s="78">
        <f>'W2 Stats'!N3*E9</f>
        <v>0</v>
      </c>
      <c r="G23" s="77" t="s">
        <v>118</v>
      </c>
      <c r="H23" s="99"/>
      <c r="I23" s="99"/>
      <c r="J23" s="78">
        <f>'W2 Stats'!N4*J9</f>
        <v>0</v>
      </c>
      <c r="K23" s="78">
        <f>'W2 Stats'!N4*K9</f>
        <v>0</v>
      </c>
      <c r="M23" s="77" t="s">
        <v>118</v>
      </c>
      <c r="N23" s="99"/>
      <c r="O23" s="99"/>
      <c r="P23" s="78">
        <f>'W2 Stats'!N5*P9</f>
        <v>0</v>
      </c>
      <c r="Q23" s="78">
        <f>'W2 Stats'!N5*Q9</f>
        <v>0</v>
      </c>
      <c r="S23" s="77" t="s">
        <v>118</v>
      </c>
      <c r="T23" s="99"/>
      <c r="U23" s="99"/>
      <c r="V23" s="78">
        <f>'W2 Stats'!N6*V9</f>
        <v>0</v>
      </c>
      <c r="W23" s="78">
        <f>'W2 Stats'!N6*W9</f>
        <v>0</v>
      </c>
      <c r="Y23" s="77" t="s">
        <v>118</v>
      </c>
      <c r="Z23" s="78"/>
      <c r="AA23" s="78"/>
      <c r="AB23" s="78">
        <f>'W2 Stats'!N7*AB9</f>
        <v>0</v>
      </c>
      <c r="AC23" s="78">
        <f>'W2 Stats'!N7*AC9</f>
        <v>0</v>
      </c>
    </row>
    <row r="24">
      <c r="A24" s="77" t="s">
        <v>119</v>
      </c>
      <c r="B24" s="78"/>
      <c r="C24" s="78">
        <f>'W2 Stats'!O3*C10</f>
        <v>0</v>
      </c>
      <c r="D24" s="99"/>
      <c r="E24" s="78">
        <f>'W2 Stats'!O3*E10</f>
        <v>0</v>
      </c>
      <c r="G24" s="77" t="s">
        <v>119</v>
      </c>
      <c r="H24" s="78"/>
      <c r="I24" s="78">
        <f>'W2 Stats'!O4*I10</f>
        <v>0</v>
      </c>
      <c r="J24" s="99"/>
      <c r="K24" s="78">
        <f>'W2 Stats'!O4*K10</f>
        <v>0</v>
      </c>
      <c r="M24" s="77" t="s">
        <v>119</v>
      </c>
      <c r="N24" s="78"/>
      <c r="O24" s="78">
        <f>'W2 Stats'!O5*O10</f>
        <v>0</v>
      </c>
      <c r="P24" s="99"/>
      <c r="Q24" s="78">
        <f>'W2 Stats'!O5*Q10</f>
        <v>0</v>
      </c>
      <c r="S24" s="77" t="s">
        <v>119</v>
      </c>
      <c r="T24" s="78"/>
      <c r="U24" s="78">
        <f>'W2 Stats'!O6*U10</f>
        <v>0</v>
      </c>
      <c r="V24" s="99"/>
      <c r="W24" s="78">
        <f>'W2 Stats'!O6*W10</f>
        <v>0</v>
      </c>
      <c r="Y24" s="77" t="s">
        <v>119</v>
      </c>
      <c r="Z24" s="78"/>
      <c r="AA24" s="99">
        <f>'W2 Stats'!O7*AA10</f>
        <v>0</v>
      </c>
      <c r="AB24" s="78"/>
      <c r="AC24" s="99">
        <f>'W2 Stats'!O7*AC10</f>
        <v>0</v>
      </c>
    </row>
    <row r="25">
      <c r="A25" s="77" t="s">
        <v>120</v>
      </c>
      <c r="B25" s="99"/>
      <c r="C25" s="99"/>
      <c r="D25" s="78">
        <f>'W2 Stats'!P3*D11</f>
        <v>0</v>
      </c>
      <c r="E25" s="78">
        <f>'W2 Stats'!P3*E11</f>
        <v>0</v>
      </c>
      <c r="G25" s="77" t="s">
        <v>120</v>
      </c>
      <c r="H25" s="99"/>
      <c r="I25" s="99"/>
      <c r="J25" s="78">
        <f>'W2 Stats'!P4*J11</f>
        <v>0</v>
      </c>
      <c r="K25" s="78">
        <f>'W2 Stats'!P4*K11</f>
        <v>0</v>
      </c>
      <c r="M25" s="77" t="s">
        <v>120</v>
      </c>
      <c r="N25" s="99"/>
      <c r="O25" s="99"/>
      <c r="P25" s="78">
        <f>'W2 Stats'!P5*P11</f>
        <v>0</v>
      </c>
      <c r="Q25" s="78">
        <f>'W2 Stats'!P5*Q11</f>
        <v>0</v>
      </c>
      <c r="S25" s="77" t="s">
        <v>120</v>
      </c>
      <c r="T25" s="99"/>
      <c r="U25" s="99"/>
      <c r="V25" s="78">
        <f>'W2 Stats'!P6*V11</f>
        <v>0</v>
      </c>
      <c r="W25" s="78">
        <f>'W2 Stats'!P6*W11</f>
        <v>0</v>
      </c>
      <c r="Y25" s="77" t="s">
        <v>120</v>
      </c>
      <c r="Z25" s="78"/>
      <c r="AA25" s="99"/>
      <c r="AB25" s="99">
        <f>'W2 Stats'!P7*AB11</f>
        <v>0</v>
      </c>
      <c r="AC25" s="78">
        <f>'W2 Stats'!P7*AC11</f>
        <v>0</v>
      </c>
    </row>
    <row r="26">
      <c r="A26" s="77" t="s">
        <v>121</v>
      </c>
      <c r="B26" s="78">
        <f>'W2 Stats'!Q3*B12</f>
        <v>0</v>
      </c>
      <c r="C26" s="78">
        <f>'W2 Stats'!Q3*C12</f>
        <v>0</v>
      </c>
      <c r="D26" s="78">
        <f>'W2 Stats'!Q3*D12</f>
        <v>0</v>
      </c>
      <c r="E26" s="78">
        <f>'W2 Stats'!Q3*E12</f>
        <v>0</v>
      </c>
      <c r="G26" s="77" t="s">
        <v>121</v>
      </c>
      <c r="H26" s="78">
        <f>'W2 Stats'!Q4*H12</f>
        <v>0</v>
      </c>
      <c r="I26" s="78">
        <f>'W2 Stats'!Q4*I12</f>
        <v>0</v>
      </c>
      <c r="J26" s="78">
        <f>'W2 Stats'!Q4*J12</f>
        <v>0</v>
      </c>
      <c r="K26" s="78">
        <f>'W2 Stats'!Q4*K12</f>
        <v>0</v>
      </c>
      <c r="M26" s="77" t="s">
        <v>121</v>
      </c>
      <c r="N26" s="78">
        <f>'W2 Stats'!Q5*N12</f>
        <v>0</v>
      </c>
      <c r="O26" s="78">
        <f>'W2 Stats'!Q5*O12</f>
        <v>0</v>
      </c>
      <c r="P26" s="78">
        <f>'W2 Stats'!Q5*P12</f>
        <v>0</v>
      </c>
      <c r="Q26" s="78">
        <f>'W2 Stats'!Q5*Q12</f>
        <v>0</v>
      </c>
      <c r="S26" s="77" t="s">
        <v>121</v>
      </c>
      <c r="T26" s="78">
        <f>'W2 Stats'!Q6*T12</f>
        <v>0</v>
      </c>
      <c r="U26" s="78">
        <f>'W2 Stats'!Q6*U12</f>
        <v>0</v>
      </c>
      <c r="V26" s="78">
        <f>'W2 Stats'!Q6*V12</f>
        <v>0</v>
      </c>
      <c r="W26" s="78">
        <f>'W2 Stats'!Q6*W12</f>
        <v>0</v>
      </c>
      <c r="Y26" s="77" t="s">
        <v>121</v>
      </c>
      <c r="Z26" s="78">
        <f>'W2 Stats'!Q7*Z12</f>
        <v>0</v>
      </c>
      <c r="AA26" s="78">
        <f>'W2 Stats'!Q7*AA12</f>
        <v>0</v>
      </c>
      <c r="AB26" s="78">
        <f>'W2 Stats'!Q7*AB12</f>
        <v>0</v>
      </c>
      <c r="AC26" s="78">
        <f>'W2 Stats'!Q7*AC12</f>
        <v>0</v>
      </c>
    </row>
    <row r="27">
      <c r="A27" s="77" t="s">
        <v>122</v>
      </c>
      <c r="B27" s="78">
        <f t="shared" ref="B27:E27" si="50">SUM(B16:B26)</f>
        <v>0</v>
      </c>
      <c r="C27" s="78">
        <f t="shared" si="50"/>
        <v>0</v>
      </c>
      <c r="D27" s="78">
        <f t="shared" si="50"/>
        <v>0</v>
      </c>
      <c r="E27" s="78">
        <f t="shared" si="50"/>
        <v>0</v>
      </c>
      <c r="G27" s="77" t="s">
        <v>122</v>
      </c>
      <c r="H27" s="78">
        <f t="shared" ref="H27:K27" si="51">SUM(H16:H26)</f>
        <v>0</v>
      </c>
      <c r="I27" s="78">
        <f t="shared" si="51"/>
        <v>0</v>
      </c>
      <c r="J27" s="78">
        <f t="shared" si="51"/>
        <v>0</v>
      </c>
      <c r="K27" s="78">
        <f t="shared" si="51"/>
        <v>0</v>
      </c>
      <c r="M27" s="77" t="s">
        <v>122</v>
      </c>
      <c r="N27" s="78">
        <f t="shared" ref="N27:Q27" si="52">SUM(N16:N26)</f>
        <v>0</v>
      </c>
      <c r="O27" s="78">
        <f t="shared" si="52"/>
        <v>0</v>
      </c>
      <c r="P27" s="78">
        <f t="shared" si="52"/>
        <v>0</v>
      </c>
      <c r="Q27" s="78">
        <f t="shared" si="52"/>
        <v>0</v>
      </c>
      <c r="S27" s="77" t="s">
        <v>122</v>
      </c>
      <c r="T27" s="78">
        <f t="shared" ref="T27:W27" si="53">SUM(T16:T26)</f>
        <v>0</v>
      </c>
      <c r="U27" s="78">
        <f t="shared" si="53"/>
        <v>0</v>
      </c>
      <c r="V27" s="78">
        <f t="shared" si="53"/>
        <v>0</v>
      </c>
      <c r="W27" s="78">
        <f t="shared" si="53"/>
        <v>0</v>
      </c>
      <c r="Y27" s="77" t="s">
        <v>122</v>
      </c>
      <c r="Z27" s="78">
        <f t="shared" ref="Z27:AC27" si="54">SUM(Z16:Z26)</f>
        <v>0</v>
      </c>
      <c r="AA27" s="78">
        <f t="shared" si="54"/>
        <v>0</v>
      </c>
      <c r="AB27" s="78">
        <f t="shared" si="54"/>
        <v>0</v>
      </c>
      <c r="AC27" s="78">
        <f t="shared" si="54"/>
        <v>0</v>
      </c>
    </row>
    <row r="29">
      <c r="A29" s="77" t="str">
        <f>'W2 Stats'!B8</f>
        <v>InfiniteRainge</v>
      </c>
      <c r="B29" s="74" t="s">
        <v>94</v>
      </c>
      <c r="C29" s="74" t="s">
        <v>95</v>
      </c>
      <c r="D29" s="74" t="s">
        <v>96</v>
      </c>
      <c r="E29" s="74" t="s">
        <v>97</v>
      </c>
      <c r="G29" s="77" t="str">
        <f>'W2 Stats'!B9</f>
        <v>ACE B S1lentND1</v>
      </c>
      <c r="H29" s="74" t="s">
        <v>94</v>
      </c>
      <c r="I29" s="74" t="s">
        <v>95</v>
      </c>
      <c r="J29" s="74" t="s">
        <v>96</v>
      </c>
      <c r="K29" s="74" t="s">
        <v>97</v>
      </c>
      <c r="M29" s="77" t="str">
        <f>'W2 Stats'!B10</f>
        <v>DCleak</v>
      </c>
      <c r="N29" s="74" t="s">
        <v>94</v>
      </c>
      <c r="O29" s="74" t="s">
        <v>95</v>
      </c>
      <c r="P29" s="74" t="s">
        <v>96</v>
      </c>
      <c r="Q29" s="74" t="s">
        <v>97</v>
      </c>
      <c r="S29" s="77" t="str">
        <f>'W2 Stats'!B11</f>
        <v>ST0P K1LLING ME</v>
      </c>
      <c r="T29" s="74" t="s">
        <v>94</v>
      </c>
      <c r="U29" s="74" t="s">
        <v>95</v>
      </c>
      <c r="V29" s="74" t="s">
        <v>96</v>
      </c>
      <c r="W29" s="74" t="s">
        <v>97</v>
      </c>
      <c r="Y29" s="77" t="str">
        <f>'W2 Stats'!B12</f>
        <v>oUnique Rose</v>
      </c>
      <c r="Z29" s="74" t="s">
        <v>94</v>
      </c>
      <c r="AA29" s="74" t="s">
        <v>95</v>
      </c>
      <c r="AB29" s="74" t="s">
        <v>96</v>
      </c>
      <c r="AC29" s="74" t="s">
        <v>97</v>
      </c>
    </row>
    <row r="30">
      <c r="A30" s="77" t="s">
        <v>108</v>
      </c>
      <c r="B30" s="78">
        <f>'W2 Stats'!D8*B2</f>
        <v>0</v>
      </c>
      <c r="C30" s="78"/>
      <c r="D30" s="78"/>
      <c r="E30" s="78">
        <f>'W2 Stats'!D8*E2</f>
        <v>0</v>
      </c>
      <c r="G30" s="77" t="s">
        <v>108</v>
      </c>
      <c r="H30" s="78">
        <f>'W2 Stats'!D9*H2</f>
        <v>0</v>
      </c>
      <c r="I30" s="78"/>
      <c r="J30" s="78"/>
      <c r="K30" s="78">
        <f>'W2 Stats'!D9*K2</f>
        <v>0</v>
      </c>
      <c r="M30" s="77" t="s">
        <v>108</v>
      </c>
      <c r="N30" s="78">
        <f>'W2 Stats'!D10*N2</f>
        <v>0</v>
      </c>
      <c r="O30" s="78"/>
      <c r="P30" s="78"/>
      <c r="Q30" s="78">
        <f>'W2 Stats'!D10*Q2</f>
        <v>0</v>
      </c>
      <c r="S30" s="77" t="s">
        <v>108</v>
      </c>
      <c r="T30" s="78">
        <f>'W2 Stats'!D11*T2</f>
        <v>0</v>
      </c>
      <c r="U30" s="78"/>
      <c r="V30" s="78"/>
      <c r="W30" s="78">
        <f>'W2 Stats'!D11*W2</f>
        <v>0</v>
      </c>
      <c r="Y30" s="77" t="s">
        <v>108</v>
      </c>
      <c r="Z30" s="78">
        <f>'W2 Stats'!D12*Z2</f>
        <v>0</v>
      </c>
      <c r="AA30" s="78"/>
      <c r="AB30" s="78"/>
      <c r="AC30" s="78">
        <f>'W2 Stats'!D12*AC2</f>
        <v>0</v>
      </c>
    </row>
    <row r="31">
      <c r="A31" s="77" t="s">
        <v>112</v>
      </c>
      <c r="B31" s="78"/>
      <c r="C31" s="78"/>
      <c r="D31" s="78">
        <f>'W2 Stats'!H8*D3</f>
        <v>0</v>
      </c>
      <c r="E31" s="78"/>
      <c r="G31" s="77" t="s">
        <v>112</v>
      </c>
      <c r="H31" s="78"/>
      <c r="I31" s="78"/>
      <c r="J31" s="78">
        <f>'W2 Stats'!H9*J3</f>
        <v>0</v>
      </c>
      <c r="K31" s="78"/>
      <c r="M31" s="77" t="s">
        <v>112</v>
      </c>
      <c r="N31" s="78"/>
      <c r="O31" s="78"/>
      <c r="P31" s="78">
        <f>'W2 Stats'!H10*P3</f>
        <v>0</v>
      </c>
      <c r="Q31" s="78"/>
      <c r="S31" s="77" t="s">
        <v>112</v>
      </c>
      <c r="T31" s="78"/>
      <c r="U31" s="78"/>
      <c r="V31" s="78">
        <f>'W2 Stats'!H11*V3</f>
        <v>0</v>
      </c>
      <c r="W31" s="78"/>
      <c r="Y31" s="77" t="s">
        <v>112</v>
      </c>
      <c r="Z31" s="78"/>
      <c r="AA31" s="78"/>
      <c r="AB31" s="78">
        <f>'W2 Stats'!H12*AB3</f>
        <v>0</v>
      </c>
      <c r="AC31" s="78"/>
    </row>
    <row r="32">
      <c r="A32" s="77" t="s">
        <v>113</v>
      </c>
      <c r="B32" s="78">
        <f>'W2 Stats'!I8*B4</f>
        <v>0</v>
      </c>
      <c r="C32" s="78"/>
      <c r="D32" s="78"/>
      <c r="E32" s="78"/>
      <c r="G32" s="77" t="s">
        <v>113</v>
      </c>
      <c r="H32" s="78">
        <f>'W2 Stats'!I9*H4</f>
        <v>0</v>
      </c>
      <c r="I32" s="78"/>
      <c r="J32" s="78"/>
      <c r="K32" s="78"/>
      <c r="M32" s="77" t="s">
        <v>113</v>
      </c>
      <c r="N32" s="78">
        <f>'W2 Stats'!I10*N4</f>
        <v>0</v>
      </c>
      <c r="O32" s="78"/>
      <c r="P32" s="78"/>
      <c r="Q32" s="78"/>
      <c r="S32" s="77" t="s">
        <v>113</v>
      </c>
      <c r="T32" s="78">
        <f>'W2 Stats'!I11*T4</f>
        <v>0</v>
      </c>
      <c r="U32" s="78"/>
      <c r="V32" s="78"/>
      <c r="W32" s="78"/>
      <c r="Y32" s="77" t="s">
        <v>113</v>
      </c>
      <c r="Z32" s="78">
        <f>'W2 Stats'!I12*Z4</f>
        <v>0</v>
      </c>
      <c r="AA32" s="78"/>
      <c r="AB32" s="78"/>
      <c r="AC32" s="78"/>
    </row>
    <row r="33">
      <c r="A33" s="77" t="s">
        <v>114</v>
      </c>
      <c r="B33" s="78"/>
      <c r="C33" s="78">
        <f>'W2 Stats'!J8*C5</f>
        <v>0</v>
      </c>
      <c r="D33" s="78"/>
      <c r="E33" s="78">
        <f>'W2 Stats'!J8*E5</f>
        <v>0</v>
      </c>
      <c r="G33" s="77" t="s">
        <v>114</v>
      </c>
      <c r="H33" s="78"/>
      <c r="I33" s="78">
        <f>'W2 Stats'!J9*I5</f>
        <v>0</v>
      </c>
      <c r="J33" s="78"/>
      <c r="K33" s="78">
        <f>'W2 Stats'!J9*K5</f>
        <v>0</v>
      </c>
      <c r="M33" s="77" t="s">
        <v>114</v>
      </c>
      <c r="N33" s="78"/>
      <c r="O33" s="78">
        <f>'W2 Stats'!J10*O5</f>
        <v>0</v>
      </c>
      <c r="P33" s="78"/>
      <c r="Q33" s="78">
        <f>'W2 Stats'!J10*Q5</f>
        <v>0</v>
      </c>
      <c r="S33" s="77" t="s">
        <v>114</v>
      </c>
      <c r="T33" s="78"/>
      <c r="U33" s="78">
        <f>'W2 Stats'!J11*U5</f>
        <v>0</v>
      </c>
      <c r="V33" s="78"/>
      <c r="W33" s="78">
        <f>'W2 Stats'!J11*W5</f>
        <v>0</v>
      </c>
      <c r="Y33" s="77" t="s">
        <v>114</v>
      </c>
      <c r="Z33" s="78"/>
      <c r="AA33" s="78">
        <f>'W2 Stats'!J12*AA5</f>
        <v>0</v>
      </c>
      <c r="AB33" s="78"/>
      <c r="AC33" s="78">
        <f>'W2 Stats'!J12*AC5</f>
        <v>0</v>
      </c>
    </row>
    <row r="34">
      <c r="A34" s="77" t="s">
        <v>115</v>
      </c>
      <c r="B34" s="78"/>
      <c r="C34" s="78">
        <f>'W2 Stats'!K8*C6</f>
        <v>0</v>
      </c>
      <c r="D34" s="78"/>
      <c r="E34" s="78">
        <f>'W2 Stats'!K8*E6</f>
        <v>0</v>
      </c>
      <c r="G34" s="77" t="s">
        <v>115</v>
      </c>
      <c r="H34" s="78"/>
      <c r="I34" s="78">
        <f>'W2 Stats'!K9*I6</f>
        <v>0</v>
      </c>
      <c r="J34" s="78"/>
      <c r="K34" s="78">
        <f>'W2 Stats'!K9*K6</f>
        <v>0</v>
      </c>
      <c r="M34" s="77" t="s">
        <v>115</v>
      </c>
      <c r="N34" s="78"/>
      <c r="O34" s="78">
        <f>'W2 Stats'!K10*O6</f>
        <v>0</v>
      </c>
      <c r="P34" s="78"/>
      <c r="Q34" s="78">
        <f>'W2 Stats'!K10*Q6</f>
        <v>0</v>
      </c>
      <c r="S34" s="77" t="s">
        <v>115</v>
      </c>
      <c r="T34" s="78"/>
      <c r="U34" s="78">
        <f>'W2 Stats'!K11*U6</f>
        <v>0</v>
      </c>
      <c r="V34" s="78"/>
      <c r="W34" s="78">
        <f>'W2 Stats'!K11*W6</f>
        <v>0</v>
      </c>
      <c r="Y34" s="77" t="s">
        <v>115</v>
      </c>
      <c r="Z34" s="78"/>
      <c r="AA34" s="78">
        <f>'W2 Stats'!K12*AA6</f>
        <v>0</v>
      </c>
      <c r="AB34" s="78"/>
      <c r="AC34" s="78">
        <f>'W2 Stats'!K12*AC6</f>
        <v>0</v>
      </c>
    </row>
    <row r="35">
      <c r="A35" s="77" t="s">
        <v>116</v>
      </c>
      <c r="B35" s="78">
        <f>'W2 Stats'!L8*B7</f>
        <v>0</v>
      </c>
      <c r="C35" s="78"/>
      <c r="D35" s="78">
        <f>'W2 Stats'!L8*D7</f>
        <v>0</v>
      </c>
      <c r="E35" s="78"/>
      <c r="G35" s="77" t="s">
        <v>116</v>
      </c>
      <c r="H35" s="78">
        <f>'W2 Stats'!L9*H7</f>
        <v>0</v>
      </c>
      <c r="I35" s="78"/>
      <c r="J35" s="78">
        <f>'W2 Stats'!L9*J7</f>
        <v>0</v>
      </c>
      <c r="K35" s="78"/>
      <c r="M35" s="77" t="s">
        <v>116</v>
      </c>
      <c r="N35" s="78">
        <f>'W2 Stats'!L10*N7</f>
        <v>0</v>
      </c>
      <c r="O35" s="78"/>
      <c r="P35" s="78">
        <f>'W2 Stats'!L10*P7</f>
        <v>0</v>
      </c>
      <c r="Q35" s="78"/>
      <c r="S35" s="77" t="s">
        <v>116</v>
      </c>
      <c r="T35" s="78">
        <f>'W2 Stats'!L11*T7</f>
        <v>0</v>
      </c>
      <c r="U35" s="78"/>
      <c r="V35" s="78">
        <f>'W2 Stats'!L11*V7</f>
        <v>0</v>
      </c>
      <c r="W35" s="78"/>
      <c r="Y35" s="77" t="s">
        <v>116</v>
      </c>
      <c r="Z35" s="78">
        <f>'W2 Stats'!L12*Z7</f>
        <v>0</v>
      </c>
      <c r="AA35" s="78"/>
      <c r="AB35" s="78">
        <f>'W2 Stats'!L12*AB7</f>
        <v>0</v>
      </c>
      <c r="AC35" s="78"/>
    </row>
    <row r="36">
      <c r="A36" s="77" t="s">
        <v>117</v>
      </c>
      <c r="B36" s="78"/>
      <c r="C36" s="78">
        <f>'W2 Stats'!M8*C8</f>
        <v>0</v>
      </c>
      <c r="D36" s="78"/>
      <c r="E36" s="78"/>
      <c r="G36" s="77" t="s">
        <v>117</v>
      </c>
      <c r="H36" s="78"/>
      <c r="I36" s="78">
        <f>'W2 Stats'!M9*C9</f>
        <v>0</v>
      </c>
      <c r="J36" s="78"/>
      <c r="K36" s="78"/>
      <c r="M36" s="77" t="s">
        <v>117</v>
      </c>
      <c r="N36" s="78"/>
      <c r="O36" s="78">
        <f>'W2 Stats'!M10*O8</f>
        <v>0</v>
      </c>
      <c r="P36" s="78"/>
      <c r="Q36" s="78"/>
      <c r="S36" s="77" t="s">
        <v>117</v>
      </c>
      <c r="T36" s="78"/>
      <c r="U36" s="78">
        <f>'W2 Stats'!M11*U8</f>
        <v>0</v>
      </c>
      <c r="V36" s="78"/>
      <c r="W36" s="78"/>
      <c r="Y36" s="77" t="s">
        <v>117</v>
      </c>
      <c r="Z36" s="78"/>
      <c r="AA36" s="78">
        <f>'W2 Stats'!M12*AA8</f>
        <v>0</v>
      </c>
      <c r="AB36" s="78"/>
      <c r="AC36" s="78"/>
    </row>
    <row r="37">
      <c r="A37" s="77" t="s">
        <v>118</v>
      </c>
      <c r="B37" s="78"/>
      <c r="C37" s="78"/>
      <c r="D37" s="78">
        <f>'W2 Stats'!N8*D9</f>
        <v>0</v>
      </c>
      <c r="E37" s="78">
        <f>'W2 Stats'!N8*E9</f>
        <v>0</v>
      </c>
      <c r="G37" s="77" t="s">
        <v>118</v>
      </c>
      <c r="H37" s="78"/>
      <c r="I37" s="78"/>
      <c r="J37" s="78">
        <f>'W2 Stats'!N9*J9</f>
        <v>0</v>
      </c>
      <c r="K37" s="78">
        <f>'W2 Stats'!N9*K9</f>
        <v>0</v>
      </c>
      <c r="M37" s="77" t="s">
        <v>118</v>
      </c>
      <c r="N37" s="78"/>
      <c r="O37" s="78"/>
      <c r="P37" s="78">
        <f>'W2 Stats'!N10*P9</f>
        <v>0</v>
      </c>
      <c r="Q37" s="78">
        <f>'W2 Stats'!N10*Q9</f>
        <v>0</v>
      </c>
      <c r="S37" s="77" t="s">
        <v>118</v>
      </c>
      <c r="T37" s="78"/>
      <c r="U37" s="78"/>
      <c r="V37" s="78">
        <f>'W2 Stats'!N11*V9</f>
        <v>0</v>
      </c>
      <c r="W37" s="78">
        <f>'W2 Stats'!N11*W9</f>
        <v>0</v>
      </c>
      <c r="Y37" s="77" t="s">
        <v>118</v>
      </c>
      <c r="Z37" s="78"/>
      <c r="AA37" s="78"/>
      <c r="AB37" s="78">
        <f>'W2 Stats'!N12*AB9</f>
        <v>0</v>
      </c>
      <c r="AC37" s="78">
        <f>'W2 Stats'!N12*AC9</f>
        <v>0</v>
      </c>
    </row>
    <row r="38">
      <c r="A38" s="77" t="s">
        <v>119</v>
      </c>
      <c r="B38" s="78"/>
      <c r="C38" s="78">
        <f>'W2 Stats'!O8*C10</f>
        <v>0</v>
      </c>
      <c r="D38" s="78"/>
      <c r="E38" s="78">
        <f>'W2 Stats'!O8*E10</f>
        <v>0</v>
      </c>
      <c r="G38" s="77" t="s">
        <v>119</v>
      </c>
      <c r="H38" s="78"/>
      <c r="I38" s="78">
        <f>'W2 Stats'!O9*I10</f>
        <v>0</v>
      </c>
      <c r="J38" s="78"/>
      <c r="K38" s="78">
        <f>'W2 Stats'!O9*K10</f>
        <v>0</v>
      </c>
      <c r="M38" s="77" t="s">
        <v>119</v>
      </c>
      <c r="N38" s="78"/>
      <c r="O38" s="78">
        <f>'W2 Stats'!O10*O10</f>
        <v>0</v>
      </c>
      <c r="P38" s="78"/>
      <c r="Q38" s="78">
        <f>'W2 Stats'!O10*Q10</f>
        <v>0</v>
      </c>
      <c r="S38" s="77" t="s">
        <v>119</v>
      </c>
      <c r="T38" s="78"/>
      <c r="U38" s="78">
        <f>'W2 Stats'!O11*U10</f>
        <v>0</v>
      </c>
      <c r="V38" s="78"/>
      <c r="W38" s="78">
        <f>'W2 Stats'!O11*W10</f>
        <v>0</v>
      </c>
      <c r="Y38" s="77" t="s">
        <v>119</v>
      </c>
      <c r="Z38" s="78"/>
      <c r="AA38" s="78">
        <f>'W2 Stats'!O12*AA10</f>
        <v>0</v>
      </c>
      <c r="AB38" s="78"/>
      <c r="AC38" s="78">
        <f>'W2 Stats'!O12*AC10</f>
        <v>0</v>
      </c>
    </row>
    <row r="39">
      <c r="A39" s="77" t="s">
        <v>120</v>
      </c>
      <c r="B39" s="78"/>
      <c r="C39" s="78"/>
      <c r="D39" s="78">
        <f>'W2 Stats'!P8*D11</f>
        <v>0</v>
      </c>
      <c r="E39" s="78">
        <f>'W2 Stats'!P8*E11</f>
        <v>0</v>
      </c>
      <c r="G39" s="77" t="s">
        <v>120</v>
      </c>
      <c r="H39" s="78"/>
      <c r="I39" s="78"/>
      <c r="J39" s="78">
        <f>'W2 Stats'!P9*J11</f>
        <v>0</v>
      </c>
      <c r="K39" s="78">
        <f>'W2 Stats'!P9*K11</f>
        <v>0</v>
      </c>
      <c r="M39" s="77" t="s">
        <v>120</v>
      </c>
      <c r="N39" s="78"/>
      <c r="O39" s="78"/>
      <c r="P39" s="78">
        <f>'W2 Stats'!P10*P11</f>
        <v>0</v>
      </c>
      <c r="Q39" s="78">
        <f>'W2 Stats'!P10*Q11</f>
        <v>0</v>
      </c>
      <c r="S39" s="77" t="s">
        <v>120</v>
      </c>
      <c r="T39" s="78"/>
      <c r="U39" s="78"/>
      <c r="V39" s="78">
        <f>'W2 Stats'!P11*V11</f>
        <v>0</v>
      </c>
      <c r="W39" s="78">
        <f>'W2 Stats'!P11*W11</f>
        <v>0</v>
      </c>
      <c r="Y39" s="77" t="s">
        <v>120</v>
      </c>
      <c r="Z39" s="78"/>
      <c r="AA39" s="78"/>
      <c r="AB39" s="78">
        <f>'W2 Stats'!P12*AB11</f>
        <v>0</v>
      </c>
      <c r="AC39" s="78">
        <f>'W2 Stats'!P12*AC11</f>
        <v>0</v>
      </c>
    </row>
    <row r="40">
      <c r="A40" s="77" t="s">
        <v>121</v>
      </c>
      <c r="B40" s="78">
        <f>'W2 Stats'!Q8*B12</f>
        <v>0</v>
      </c>
      <c r="C40" s="78">
        <f>'W2 Stats'!Q8*C12</f>
        <v>0</v>
      </c>
      <c r="D40" s="78">
        <f>'W2 Stats'!Q8*D12</f>
        <v>0</v>
      </c>
      <c r="E40" s="78">
        <f>'W2 Stats'!Q8*E12</f>
        <v>0</v>
      </c>
      <c r="G40" s="77" t="s">
        <v>121</v>
      </c>
      <c r="H40" s="78">
        <f>'W2 Stats'!Q9*H12</f>
        <v>0</v>
      </c>
      <c r="I40" s="78">
        <f>'W2 Stats'!Q9*I12</f>
        <v>0</v>
      </c>
      <c r="J40" s="78">
        <f>'W2 Stats'!Q9*J12</f>
        <v>0</v>
      </c>
      <c r="K40" s="78">
        <f>'W2 Stats'!Q9*K12</f>
        <v>0</v>
      </c>
      <c r="M40" s="77" t="s">
        <v>121</v>
      </c>
      <c r="N40" s="78">
        <f>'W2 Stats'!Q10*N12</f>
        <v>0</v>
      </c>
      <c r="O40" s="78">
        <f>'W2 Stats'!Q10*O12</f>
        <v>0</v>
      </c>
      <c r="P40" s="78">
        <f>'W2 Stats'!Q10*P12</f>
        <v>0</v>
      </c>
      <c r="Q40" s="78">
        <f>'W2 Stats'!Q10*Q12</f>
        <v>0</v>
      </c>
      <c r="S40" s="77" t="s">
        <v>121</v>
      </c>
      <c r="T40" s="78">
        <f>'W2 Stats'!Q11*T12</f>
        <v>0</v>
      </c>
      <c r="U40" s="78">
        <f>'W2 Stats'!Q11*U12</f>
        <v>0</v>
      </c>
      <c r="V40" s="78">
        <f>'W2 Stats'!Q11*V12</f>
        <v>0</v>
      </c>
      <c r="W40" s="78">
        <f>'W2 Stats'!Q11*W12</f>
        <v>0</v>
      </c>
      <c r="Y40" s="77" t="s">
        <v>121</v>
      </c>
      <c r="Z40" s="78">
        <f>'W2 Stats'!Q12*Z12</f>
        <v>0</v>
      </c>
      <c r="AA40" s="78">
        <f>'W2 Stats'!Q12*AA12</f>
        <v>0</v>
      </c>
      <c r="AB40" s="78">
        <f>'W2 Stats'!Q12*AB12</f>
        <v>0</v>
      </c>
      <c r="AC40" s="78">
        <f>'W2 Stats'!Q12*AC12</f>
        <v>0</v>
      </c>
    </row>
    <row r="41">
      <c r="A41" s="77" t="s">
        <v>122</v>
      </c>
      <c r="B41" s="78">
        <f t="shared" ref="B41:E41" si="55">SUM(B30:B40)</f>
        <v>0</v>
      </c>
      <c r="C41" s="78">
        <f t="shared" si="55"/>
        <v>0</v>
      </c>
      <c r="D41" s="78">
        <f t="shared" si="55"/>
        <v>0</v>
      </c>
      <c r="E41" s="78">
        <f t="shared" si="55"/>
        <v>0</v>
      </c>
      <c r="G41" s="77" t="s">
        <v>122</v>
      </c>
      <c r="H41" s="78">
        <f t="shared" ref="H41:K41" si="56">SUM(H30:H40)</f>
        <v>0</v>
      </c>
      <c r="I41" s="78">
        <f t="shared" si="56"/>
        <v>0</v>
      </c>
      <c r="J41" s="78">
        <f t="shared" si="56"/>
        <v>0</v>
      </c>
      <c r="K41" s="78">
        <f t="shared" si="56"/>
        <v>0</v>
      </c>
      <c r="M41" s="77" t="s">
        <v>122</v>
      </c>
      <c r="N41" s="78">
        <f t="shared" ref="N41:Q41" si="57">SUM(N30:N40)</f>
        <v>0</v>
      </c>
      <c r="O41" s="78">
        <f t="shared" si="57"/>
        <v>0</v>
      </c>
      <c r="P41" s="78">
        <f t="shared" si="57"/>
        <v>0</v>
      </c>
      <c r="Q41" s="78">
        <f t="shared" si="57"/>
        <v>0</v>
      </c>
      <c r="S41" s="77" t="s">
        <v>122</v>
      </c>
      <c r="T41" s="78">
        <f t="shared" ref="T41:W41" si="58">SUM(T30:T40)</f>
        <v>0</v>
      </c>
      <c r="U41" s="78">
        <f t="shared" si="58"/>
        <v>0</v>
      </c>
      <c r="V41" s="78">
        <f t="shared" si="58"/>
        <v>0</v>
      </c>
      <c r="W41" s="78">
        <f t="shared" si="58"/>
        <v>0</v>
      </c>
      <c r="Y41" s="77" t="s">
        <v>122</v>
      </c>
      <c r="Z41" s="78">
        <f t="shared" ref="Z41:AC41" si="59">SUM(Z30:Z40)</f>
        <v>0</v>
      </c>
      <c r="AA41" s="78">
        <f t="shared" si="59"/>
        <v>0</v>
      </c>
      <c r="AB41" s="78">
        <f t="shared" si="59"/>
        <v>0</v>
      </c>
      <c r="AC41" s="78">
        <f t="shared" si="59"/>
        <v>0</v>
      </c>
    </row>
    <row r="43">
      <c r="A43" s="77" t="str">
        <f>'W2 Stats'!B13</f>
        <v>NetsPride15</v>
      </c>
      <c r="B43" s="74" t="s">
        <v>94</v>
      </c>
      <c r="C43" s="74" t="s">
        <v>95</v>
      </c>
      <c r="D43" s="74" t="s">
        <v>96</v>
      </c>
      <c r="E43" s="74" t="s">
        <v>97</v>
      </c>
      <c r="F43" s="1"/>
      <c r="G43" s="77" t="str">
        <f>'W2 Stats'!B14</f>
        <v>Saintz The God</v>
      </c>
      <c r="H43" s="74" t="s">
        <v>94</v>
      </c>
      <c r="I43" s="74" t="s">
        <v>95</v>
      </c>
      <c r="J43" s="74" t="s">
        <v>96</v>
      </c>
      <c r="K43" s="74" t="s">
        <v>97</v>
      </c>
      <c r="M43" s="77" t="str">
        <f>'W2 Stats'!B15</f>
        <v>Silva</v>
      </c>
      <c r="N43" s="74" t="s">
        <v>94</v>
      </c>
      <c r="O43" s="74" t="s">
        <v>95</v>
      </c>
      <c r="P43" s="74" t="s">
        <v>96</v>
      </c>
      <c r="Q43" s="74" t="s">
        <v>97</v>
      </c>
      <c r="S43" s="77" t="str">
        <f>'W2 Stats'!B16</f>
        <v>AJ DaJuiceMayne</v>
      </c>
      <c r="T43" s="74" t="s">
        <v>94</v>
      </c>
      <c r="U43" s="74" t="s">
        <v>95</v>
      </c>
      <c r="V43" s="74" t="s">
        <v>96</v>
      </c>
      <c r="W43" s="74" t="s">
        <v>97</v>
      </c>
      <c r="Y43" s="77" t="str">
        <f>'W2 Stats'!B17</f>
        <v>El Diablo X230X</v>
      </c>
      <c r="Z43" s="74" t="s">
        <v>94</v>
      </c>
      <c r="AA43" s="74" t="s">
        <v>95</v>
      </c>
      <c r="AB43" s="74" t="s">
        <v>96</v>
      </c>
      <c r="AC43" s="74" t="s">
        <v>97</v>
      </c>
    </row>
    <row r="44">
      <c r="A44" s="77" t="s">
        <v>108</v>
      </c>
      <c r="B44" s="78">
        <f>'W2 Stats'!D13*B2</f>
        <v>0</v>
      </c>
      <c r="C44" s="78"/>
      <c r="D44" s="78"/>
      <c r="E44" s="78">
        <f>'W2 Stats'!D13*E2</f>
        <v>0</v>
      </c>
      <c r="G44" s="77" t="s">
        <v>108</v>
      </c>
      <c r="H44" s="78">
        <f>'W2 Stats'!D14*H2</f>
        <v>0</v>
      </c>
      <c r="I44" s="78"/>
      <c r="J44" s="78"/>
      <c r="K44" s="78">
        <f>'W2 Stats'!D14*K2</f>
        <v>0</v>
      </c>
      <c r="M44" s="77" t="s">
        <v>108</v>
      </c>
      <c r="N44" s="78">
        <f>'W2 Stats'!D15*N2</f>
        <v>0</v>
      </c>
      <c r="O44" s="78"/>
      <c r="P44" s="78"/>
      <c r="Q44" s="78">
        <f>'W2 Stats'!D15*Q2</f>
        <v>0</v>
      </c>
      <c r="S44" s="77" t="s">
        <v>108</v>
      </c>
      <c r="T44" s="78">
        <f>'W2 Stats'!D16*T2</f>
        <v>0</v>
      </c>
      <c r="U44" s="78"/>
      <c r="V44" s="78"/>
      <c r="W44" s="78">
        <f>'W2 Stats'!D16*W2</f>
        <v>0</v>
      </c>
      <c r="Y44" s="77" t="s">
        <v>108</v>
      </c>
      <c r="Z44" s="78">
        <f>'W2 Stats'!D17*Z2</f>
        <v>0</v>
      </c>
      <c r="AA44" s="78"/>
      <c r="AB44" s="78"/>
      <c r="AC44" s="78">
        <f>'W2 Stats'!D17*AC2</f>
        <v>0</v>
      </c>
    </row>
    <row r="45">
      <c r="A45" s="77" t="s">
        <v>112</v>
      </c>
      <c r="B45" s="99"/>
      <c r="C45" s="99"/>
      <c r="D45" s="78">
        <f>'W2 Stats'!H13*D3</f>
        <v>0</v>
      </c>
      <c r="E45" s="78"/>
      <c r="G45" s="77" t="s">
        <v>112</v>
      </c>
      <c r="H45" s="99"/>
      <c r="I45" s="99"/>
      <c r="J45" s="78">
        <f>'W2 Stats'!H14*J3</f>
        <v>0</v>
      </c>
      <c r="K45" s="78"/>
      <c r="M45" s="77" t="s">
        <v>112</v>
      </c>
      <c r="N45" s="99"/>
      <c r="O45" s="99"/>
      <c r="P45" s="78">
        <f>'W2 Stats'!H15*J3</f>
        <v>0</v>
      </c>
      <c r="Q45" s="78"/>
      <c r="S45" s="77" t="s">
        <v>112</v>
      </c>
      <c r="T45" s="99"/>
      <c r="U45" s="99"/>
      <c r="V45" s="78">
        <f>'W2 Stats'!H16*J3</f>
        <v>0</v>
      </c>
      <c r="W45" s="78"/>
      <c r="Y45" s="77" t="s">
        <v>112</v>
      </c>
      <c r="Z45" s="99"/>
      <c r="AA45" s="99"/>
      <c r="AB45" s="78">
        <f>'W2 Stats'!H17*P3</f>
        <v>0</v>
      </c>
      <c r="AC45" s="78"/>
    </row>
    <row r="46">
      <c r="A46" s="77" t="s">
        <v>113</v>
      </c>
      <c r="B46" s="78">
        <f>'W2 Stats'!I13*B4</f>
        <v>0</v>
      </c>
      <c r="C46" s="99"/>
      <c r="D46" s="99"/>
      <c r="E46" s="78"/>
      <c r="G46" s="77" t="s">
        <v>113</v>
      </c>
      <c r="H46" s="78">
        <f>'W2 Stats'!I14*H4</f>
        <v>0</v>
      </c>
      <c r="I46" s="99"/>
      <c r="J46" s="99"/>
      <c r="K46" s="78"/>
      <c r="M46" s="77" t="s">
        <v>113</v>
      </c>
      <c r="N46" s="78">
        <f>'W2 Stats'!I15*H4</f>
        <v>0</v>
      </c>
      <c r="O46" s="99"/>
      <c r="P46" s="99"/>
      <c r="Q46" s="78"/>
      <c r="S46" s="77" t="s">
        <v>113</v>
      </c>
      <c r="T46" s="78">
        <f>'W2 Stats'!I16*H4</f>
        <v>0</v>
      </c>
      <c r="U46" s="99"/>
      <c r="V46" s="99"/>
      <c r="W46" s="78"/>
      <c r="Y46" s="77" t="s">
        <v>113</v>
      </c>
      <c r="Z46" s="78">
        <f>'W2 Stats'!I17*N4</f>
        <v>0</v>
      </c>
      <c r="AA46" s="99"/>
      <c r="AB46" s="99"/>
      <c r="AC46" s="78"/>
    </row>
    <row r="47">
      <c r="A47" s="77" t="s">
        <v>114</v>
      </c>
      <c r="B47" s="99"/>
      <c r="C47" s="78">
        <f>'W2 Stats'!J13*C5</f>
        <v>0</v>
      </c>
      <c r="D47" s="99"/>
      <c r="E47" s="78">
        <f>'W2 Stats'!J13*E5</f>
        <v>0</v>
      </c>
      <c r="G47" s="77" t="s">
        <v>114</v>
      </c>
      <c r="H47" s="99"/>
      <c r="I47" s="78">
        <f>'W2 Stats'!J14*I5</f>
        <v>0</v>
      </c>
      <c r="J47" s="99"/>
      <c r="K47" s="78">
        <f>'W2 Stats'!J14*K5</f>
        <v>0</v>
      </c>
      <c r="M47" s="77" t="s">
        <v>114</v>
      </c>
      <c r="N47" s="99"/>
      <c r="O47" s="78">
        <f>'W2 Stats'!J15*O5</f>
        <v>0</v>
      </c>
      <c r="P47" s="99"/>
      <c r="Q47" s="78">
        <f>'W2 Stats'!J15*Q5</f>
        <v>0</v>
      </c>
      <c r="S47" s="77" t="s">
        <v>114</v>
      </c>
      <c r="T47" s="99"/>
      <c r="U47" s="78">
        <f>'W2 Stats'!J16*U5</f>
        <v>0</v>
      </c>
      <c r="V47" s="99"/>
      <c r="W47" s="78">
        <f>'W2 Stats'!J16*W5</f>
        <v>0</v>
      </c>
      <c r="Y47" s="77" t="s">
        <v>114</v>
      </c>
      <c r="Z47" s="99"/>
      <c r="AA47" s="78">
        <f>'W2 Stats'!J17*AA5</f>
        <v>0</v>
      </c>
      <c r="AB47" s="99"/>
      <c r="AC47" s="78">
        <f>'W2 Stats'!J17*AC5</f>
        <v>0</v>
      </c>
    </row>
    <row r="48">
      <c r="A48" s="77" t="s">
        <v>115</v>
      </c>
      <c r="B48" s="78"/>
      <c r="C48" s="78">
        <f>'W2 Stats'!K13*C6</f>
        <v>0</v>
      </c>
      <c r="D48" s="78"/>
      <c r="E48" s="78">
        <f>'W2 Stats'!K13*E6</f>
        <v>0</v>
      </c>
      <c r="G48" s="77" t="s">
        <v>115</v>
      </c>
      <c r="H48" s="78"/>
      <c r="I48" s="78">
        <f>'W2 Stats'!K14*I6</f>
        <v>0</v>
      </c>
      <c r="J48" s="78"/>
      <c r="K48" s="78">
        <f>'W2 Stats'!K14*K6</f>
        <v>0</v>
      </c>
      <c r="M48" s="77" t="s">
        <v>115</v>
      </c>
      <c r="N48" s="78"/>
      <c r="O48" s="78">
        <f>'W2 Stats'!K15*O6</f>
        <v>0</v>
      </c>
      <c r="P48" s="78"/>
      <c r="Q48" s="78">
        <f>'W2 Stats'!K15*Q6</f>
        <v>0</v>
      </c>
      <c r="S48" s="77" t="s">
        <v>115</v>
      </c>
      <c r="T48" s="78"/>
      <c r="U48" s="78">
        <f>'W2 Stats'!K16*U6</f>
        <v>0</v>
      </c>
      <c r="V48" s="78"/>
      <c r="W48" s="78">
        <f>'W2 Stats'!K16*W6</f>
        <v>0</v>
      </c>
      <c r="Y48" s="77" t="s">
        <v>115</v>
      </c>
      <c r="Z48" s="78"/>
      <c r="AA48" s="78">
        <f>'W2 Stats'!K17*AA6</f>
        <v>0</v>
      </c>
      <c r="AB48" s="78"/>
      <c r="AC48" s="78">
        <f>'W2 Stats'!K17*AC6</f>
        <v>0</v>
      </c>
    </row>
    <row r="49">
      <c r="A49" s="77" t="s">
        <v>116</v>
      </c>
      <c r="B49" s="78">
        <f>'W2 Stats'!L13*B7</f>
        <v>0</v>
      </c>
      <c r="C49" s="78"/>
      <c r="D49" s="78">
        <f>'W2 Stats'!L13*D7</f>
        <v>0</v>
      </c>
      <c r="E49" s="78"/>
      <c r="G49" s="77" t="s">
        <v>116</v>
      </c>
      <c r="H49" s="78">
        <f>'W2 Stats'!L14*H7</f>
        <v>0</v>
      </c>
      <c r="I49" s="78"/>
      <c r="J49" s="78">
        <f>'W2 Stats'!L14*J7</f>
        <v>0</v>
      </c>
      <c r="K49" s="78"/>
      <c r="M49" s="77" t="s">
        <v>116</v>
      </c>
      <c r="N49" s="78">
        <f>'W2 Stats'!L15*N7</f>
        <v>0</v>
      </c>
      <c r="O49" s="78"/>
      <c r="P49" s="78">
        <f>'W2 Stats'!L15*P7</f>
        <v>0</v>
      </c>
      <c r="Q49" s="78"/>
      <c r="S49" s="77" t="s">
        <v>116</v>
      </c>
      <c r="T49" s="78">
        <f>'W2 Stats'!L16*T7</f>
        <v>0</v>
      </c>
      <c r="U49" s="78"/>
      <c r="V49" s="78">
        <f>'W2 Stats'!L16*V7</f>
        <v>0</v>
      </c>
      <c r="W49" s="78"/>
      <c r="Y49" s="77" t="s">
        <v>116</v>
      </c>
      <c r="Z49" s="78">
        <f>'W2 Stats'!L17*Z7</f>
        <v>0</v>
      </c>
      <c r="AA49" s="78"/>
      <c r="AB49" s="78">
        <f>'W2 Stats'!L17*AB7</f>
        <v>0</v>
      </c>
      <c r="AC49" s="78"/>
    </row>
    <row r="50">
      <c r="A50" s="77" t="s">
        <v>117</v>
      </c>
      <c r="B50" s="99"/>
      <c r="C50" s="78">
        <f>'W2 Stats'!M13*C8</f>
        <v>0</v>
      </c>
      <c r="D50" s="99"/>
      <c r="E50" s="78"/>
      <c r="G50" s="77" t="s">
        <v>117</v>
      </c>
      <c r="H50" s="99"/>
      <c r="I50" s="78">
        <f>'W2 Stats'!M14*I8</f>
        <v>0</v>
      </c>
      <c r="J50" s="99"/>
      <c r="K50" s="78"/>
      <c r="M50" s="77" t="s">
        <v>117</v>
      </c>
      <c r="N50" s="99"/>
      <c r="O50" s="78">
        <f>'W2 Stats'!M15*O8</f>
        <v>0</v>
      </c>
      <c r="P50" s="99"/>
      <c r="Q50" s="78"/>
      <c r="S50" s="77" t="s">
        <v>117</v>
      </c>
      <c r="T50" s="99"/>
      <c r="U50" s="78">
        <f>'W2 Stats'!M16*U8</f>
        <v>0</v>
      </c>
      <c r="V50" s="99"/>
      <c r="W50" s="78"/>
      <c r="Y50" s="77" t="s">
        <v>117</v>
      </c>
      <c r="Z50" s="99"/>
      <c r="AA50" s="78">
        <f>'W2 Stats'!M17*AA8</f>
        <v>0</v>
      </c>
      <c r="AB50" s="99"/>
      <c r="AC50" s="78"/>
    </row>
    <row r="51">
      <c r="A51" s="77" t="s">
        <v>118</v>
      </c>
      <c r="B51" s="99"/>
      <c r="C51" s="99"/>
      <c r="D51" s="78">
        <f>'W2 Stats'!N13*D9</f>
        <v>0</v>
      </c>
      <c r="E51" s="78">
        <f>'W2 Stats'!N13*E9</f>
        <v>0</v>
      </c>
      <c r="G51" s="77" t="s">
        <v>118</v>
      </c>
      <c r="H51" s="99"/>
      <c r="I51" s="99"/>
      <c r="J51" s="78">
        <f>'W2 Stats'!N14*J9</f>
        <v>0</v>
      </c>
      <c r="K51" s="78">
        <f>'W2 Stats'!N14*K9</f>
        <v>0</v>
      </c>
      <c r="M51" s="77" t="s">
        <v>118</v>
      </c>
      <c r="N51" s="99"/>
      <c r="O51" s="99"/>
      <c r="P51" s="78">
        <f>'W2 Stats'!N15*P9</f>
        <v>0</v>
      </c>
      <c r="Q51" s="78">
        <f>'W2 Stats'!N15*Q9</f>
        <v>0</v>
      </c>
      <c r="S51" s="77" t="s">
        <v>118</v>
      </c>
      <c r="T51" s="99"/>
      <c r="U51" s="99"/>
      <c r="V51" s="78">
        <f>'W2 Stats'!N16*V9</f>
        <v>0</v>
      </c>
      <c r="W51" s="78">
        <f>'W2 Stats'!N16*W9</f>
        <v>0</v>
      </c>
      <c r="Y51" s="77" t="s">
        <v>118</v>
      </c>
      <c r="Z51" s="99"/>
      <c r="AA51" s="99"/>
      <c r="AB51" s="78">
        <f>'W2 Stats'!N17*AB9</f>
        <v>0</v>
      </c>
      <c r="AC51" s="78">
        <f>'W2 Stats'!N17*AC9</f>
        <v>0</v>
      </c>
    </row>
    <row r="52">
      <c r="A52" s="77" t="s">
        <v>119</v>
      </c>
      <c r="B52" s="78"/>
      <c r="C52" s="78">
        <f>'W2 Stats'!O13*C10</f>
        <v>0</v>
      </c>
      <c r="D52" s="99"/>
      <c r="E52" s="78">
        <f>'W2 Stats'!O13*E10</f>
        <v>0</v>
      </c>
      <c r="G52" s="77" t="s">
        <v>119</v>
      </c>
      <c r="H52" s="78"/>
      <c r="I52" s="78">
        <f>'W2 Stats'!O14*I10</f>
        <v>0</v>
      </c>
      <c r="J52" s="99"/>
      <c r="K52" s="78">
        <f>'W2 Stats'!O14*K10</f>
        <v>0</v>
      </c>
      <c r="M52" s="77" t="s">
        <v>119</v>
      </c>
      <c r="N52" s="78"/>
      <c r="O52" s="78">
        <f>'W2 Stats'!O15*O10</f>
        <v>0</v>
      </c>
      <c r="P52" s="99"/>
      <c r="Q52" s="78">
        <f>'W2 Stats'!O15*Q10</f>
        <v>0</v>
      </c>
      <c r="S52" s="77" t="s">
        <v>119</v>
      </c>
      <c r="T52" s="78"/>
      <c r="U52" s="78">
        <f>'W2 Stats'!O16*U10</f>
        <v>0</v>
      </c>
      <c r="V52" s="99"/>
      <c r="W52" s="78">
        <f>'W2 Stats'!O16*W10</f>
        <v>0</v>
      </c>
      <c r="Y52" s="77" t="s">
        <v>119</v>
      </c>
      <c r="Z52" s="78"/>
      <c r="AA52" s="78">
        <f>'W2 Stats'!O17*AA10</f>
        <v>0</v>
      </c>
      <c r="AB52" s="99"/>
      <c r="AC52" s="78">
        <f>'W2 Stats'!O17*AC10</f>
        <v>0</v>
      </c>
    </row>
    <row r="53">
      <c r="A53" s="77" t="s">
        <v>120</v>
      </c>
      <c r="B53" s="99"/>
      <c r="C53" s="99"/>
      <c r="D53" s="78">
        <f>'W2 Stats'!P13*D11</f>
        <v>0</v>
      </c>
      <c r="E53" s="78">
        <f>'W2 Stats'!P13*E11</f>
        <v>0</v>
      </c>
      <c r="G53" s="77" t="s">
        <v>120</v>
      </c>
      <c r="H53" s="99"/>
      <c r="I53" s="99"/>
      <c r="J53" s="78">
        <f>'W2 Stats'!P14*J11</f>
        <v>0</v>
      </c>
      <c r="K53" s="78">
        <f>'W2 Stats'!P14*K11</f>
        <v>0</v>
      </c>
      <c r="M53" s="77" t="s">
        <v>120</v>
      </c>
      <c r="N53" s="99"/>
      <c r="O53" s="99"/>
      <c r="P53" s="78">
        <f>'W2 Stats'!P15*P11</f>
        <v>0</v>
      </c>
      <c r="Q53" s="78">
        <f>'W2 Stats'!P15*Q11</f>
        <v>0</v>
      </c>
      <c r="S53" s="77" t="s">
        <v>120</v>
      </c>
      <c r="T53" s="99"/>
      <c r="U53" s="99"/>
      <c r="V53" s="78">
        <f>'W2 Stats'!P16*V11</f>
        <v>0</v>
      </c>
      <c r="W53" s="78">
        <f>'W2 Stats'!P16*W11</f>
        <v>0</v>
      </c>
      <c r="Y53" s="77" t="s">
        <v>120</v>
      </c>
      <c r="Z53" s="99"/>
      <c r="AA53" s="99"/>
      <c r="AB53" s="78">
        <f>'W2 Stats'!P17*AB11</f>
        <v>0</v>
      </c>
      <c r="AC53" s="78">
        <f>'W2 Stats'!P17*AC11</f>
        <v>0</v>
      </c>
    </row>
    <row r="54">
      <c r="A54" s="77" t="s">
        <v>121</v>
      </c>
      <c r="B54" s="78">
        <f>'W2 Stats'!Q13*B12</f>
        <v>0</v>
      </c>
      <c r="C54" s="78">
        <f>'W2 Stats'!Q13*C12</f>
        <v>0</v>
      </c>
      <c r="D54" s="78">
        <f>'W2 Stats'!Q13*D12</f>
        <v>0</v>
      </c>
      <c r="E54" s="78">
        <f>'W2 Stats'!Q13*E12</f>
        <v>0</v>
      </c>
      <c r="G54" s="77" t="s">
        <v>121</v>
      </c>
      <c r="H54" s="78">
        <f>'W2 Stats'!Q14*H12</f>
        <v>0</v>
      </c>
      <c r="I54" s="78">
        <f>'W2 Stats'!Q14*I12</f>
        <v>0</v>
      </c>
      <c r="J54" s="78">
        <f>'W2 Stats'!Q14*J12</f>
        <v>0</v>
      </c>
      <c r="K54" s="78">
        <f>'W2 Stats'!Q14*K12</f>
        <v>0</v>
      </c>
      <c r="M54" s="77" t="s">
        <v>121</v>
      </c>
      <c r="N54" s="78">
        <f>'W2 Stats'!Q15*N12</f>
        <v>0</v>
      </c>
      <c r="O54" s="78">
        <f>'W2 Stats'!Q15*O12</f>
        <v>0</v>
      </c>
      <c r="P54" s="78">
        <f>'W2 Stats'!Q15*P12</f>
        <v>0</v>
      </c>
      <c r="Q54" s="78">
        <f>'W2 Stats'!Q15*Q12</f>
        <v>0</v>
      </c>
      <c r="S54" s="77" t="s">
        <v>121</v>
      </c>
      <c r="T54" s="78">
        <f>'W2 Stats'!Q16*T12</f>
        <v>0</v>
      </c>
      <c r="U54" s="78">
        <f>'W2 Stats'!Q16*U12</f>
        <v>0</v>
      </c>
      <c r="V54" s="78">
        <f>'W2 Stats'!Q16*V12</f>
        <v>0</v>
      </c>
      <c r="W54" s="78">
        <f>'W2 Stats'!Q16*W12</f>
        <v>0</v>
      </c>
      <c r="Y54" s="77" t="s">
        <v>121</v>
      </c>
      <c r="Z54" s="78">
        <f>'W2 Stats'!Q17*Z12</f>
        <v>0</v>
      </c>
      <c r="AA54" s="78">
        <f>'W2 Stats'!Q17*AA12</f>
        <v>0</v>
      </c>
      <c r="AB54" s="78">
        <f>'W2 Stats'!Q17*AB12</f>
        <v>0</v>
      </c>
      <c r="AC54" s="78">
        <f>'W2 Stats'!Q17*AC12</f>
        <v>0</v>
      </c>
    </row>
    <row r="55">
      <c r="A55" s="77" t="s">
        <v>122</v>
      </c>
      <c r="B55" s="78">
        <f t="shared" ref="B55:E55" si="60">SUM(B44:B54)</f>
        <v>0</v>
      </c>
      <c r="C55" s="78">
        <f t="shared" si="60"/>
        <v>0</v>
      </c>
      <c r="D55" s="78">
        <f t="shared" si="60"/>
        <v>0</v>
      </c>
      <c r="E55" s="78">
        <f t="shared" si="60"/>
        <v>0</v>
      </c>
      <c r="G55" s="77" t="s">
        <v>122</v>
      </c>
      <c r="H55" s="78">
        <f t="shared" ref="H55:K55" si="61">SUM(H44:H54)</f>
        <v>0</v>
      </c>
      <c r="I55" s="78">
        <f t="shared" si="61"/>
        <v>0</v>
      </c>
      <c r="J55" s="78">
        <f t="shared" si="61"/>
        <v>0</v>
      </c>
      <c r="K55" s="78">
        <f t="shared" si="61"/>
        <v>0</v>
      </c>
      <c r="M55" s="77" t="s">
        <v>122</v>
      </c>
      <c r="N55" s="78">
        <f t="shared" ref="N55:Q55" si="62">SUM(N44:N54)</f>
        <v>0</v>
      </c>
      <c r="O55" s="78">
        <f t="shared" si="62"/>
        <v>0</v>
      </c>
      <c r="P55" s="78">
        <f t="shared" si="62"/>
        <v>0</v>
      </c>
      <c r="Q55" s="78">
        <f t="shared" si="62"/>
        <v>0</v>
      </c>
      <c r="S55" s="77" t="s">
        <v>122</v>
      </c>
      <c r="T55" s="78">
        <f t="shared" ref="T55:W55" si="63">SUM(T44:T54)</f>
        <v>0</v>
      </c>
      <c r="U55" s="78">
        <f t="shared" si="63"/>
        <v>0</v>
      </c>
      <c r="V55" s="78">
        <f t="shared" si="63"/>
        <v>0</v>
      </c>
      <c r="W55" s="78">
        <f t="shared" si="63"/>
        <v>0</v>
      </c>
      <c r="Y55" s="77" t="s">
        <v>122</v>
      </c>
      <c r="Z55" s="78">
        <f t="shared" ref="Z55:AC55" si="64">SUM(Z44:Z54)</f>
        <v>0</v>
      </c>
      <c r="AA55" s="78">
        <f t="shared" si="64"/>
        <v>0</v>
      </c>
      <c r="AB55" s="78">
        <f t="shared" si="64"/>
        <v>0</v>
      </c>
      <c r="AC55" s="78">
        <f t="shared" si="64"/>
        <v>0</v>
      </c>
    </row>
    <row r="57">
      <c r="A57" s="77" t="str">
        <f>'W2 Stats'!B18</f>
        <v>Ming Crusader</v>
      </c>
      <c r="B57" s="74" t="s">
        <v>94</v>
      </c>
      <c r="C57" s="74" t="s">
        <v>95</v>
      </c>
      <c r="D57" s="74" t="s">
        <v>96</v>
      </c>
      <c r="E57" s="74" t="s">
        <v>97</v>
      </c>
      <c r="G57" s="77" t="str">
        <f>'W2 Stats'!B19</f>
        <v>Sabasauros Rex</v>
      </c>
      <c r="H57" s="74" t="s">
        <v>94</v>
      </c>
      <c r="I57" s="74" t="s">
        <v>95</v>
      </c>
      <c r="J57" s="74" t="s">
        <v>96</v>
      </c>
      <c r="K57" s="74" t="s">
        <v>97</v>
      </c>
      <c r="M57" s="77" t="str">
        <f>'W2 Stats'!B20</f>
        <v>Jeakilla85</v>
      </c>
      <c r="N57" s="74" t="s">
        <v>94</v>
      </c>
      <c r="O57" s="74" t="s">
        <v>95</v>
      </c>
      <c r="P57" s="74" t="s">
        <v>96</v>
      </c>
      <c r="Q57" s="74" t="s">
        <v>97</v>
      </c>
      <c r="S57" s="77" t="str">
        <f>'W2 Stats'!B21</f>
        <v>KDSkill</v>
      </c>
      <c r="T57" s="74" t="s">
        <v>94</v>
      </c>
      <c r="U57" s="74" t="s">
        <v>95</v>
      </c>
      <c r="V57" s="74" t="s">
        <v>96</v>
      </c>
      <c r="W57" s="74" t="s">
        <v>97</v>
      </c>
      <c r="Y57" s="77" t="str">
        <f>'W2 Stats'!B22</f>
        <v>Myst The Cold</v>
      </c>
      <c r="Z57" s="74" t="s">
        <v>94</v>
      </c>
      <c r="AA57" s="74" t="s">
        <v>95</v>
      </c>
      <c r="AB57" s="74" t="s">
        <v>96</v>
      </c>
      <c r="AC57" s="74" t="s">
        <v>97</v>
      </c>
    </row>
    <row r="58">
      <c r="A58" s="77" t="s">
        <v>108</v>
      </c>
      <c r="B58" s="78">
        <f>'W2 Stats'!D18*B2</f>
        <v>0</v>
      </c>
      <c r="C58" s="78"/>
      <c r="D58" s="78"/>
      <c r="E58" s="78">
        <f>'W2 Stats'!D18*E2</f>
        <v>0</v>
      </c>
      <c r="G58" s="77" t="s">
        <v>108</v>
      </c>
      <c r="H58" s="78">
        <f>'W2 Stats'!D19*H2</f>
        <v>0</v>
      </c>
      <c r="I58" s="78"/>
      <c r="J58" s="78"/>
      <c r="K58" s="78">
        <f>'W2 Stats'!D19*K2</f>
        <v>0</v>
      </c>
      <c r="M58" s="77" t="s">
        <v>108</v>
      </c>
      <c r="N58" s="78">
        <f>'W2 Stats'!D20*N2</f>
        <v>0</v>
      </c>
      <c r="O58" s="78"/>
      <c r="P58" s="78"/>
      <c r="Q58" s="78">
        <f>'W2 Stats'!D20*Q2</f>
        <v>0</v>
      </c>
      <c r="S58" s="77" t="s">
        <v>108</v>
      </c>
      <c r="T58" s="78">
        <f>'W2 Stats'!D21*T2</f>
        <v>0</v>
      </c>
      <c r="U58" s="78"/>
      <c r="V58" s="78"/>
      <c r="W58" s="78">
        <f>'W2 Stats'!D21*W2</f>
        <v>0</v>
      </c>
      <c r="Y58" s="77" t="s">
        <v>108</v>
      </c>
      <c r="Z58" s="78">
        <f>'W2 Stats'!D22*Z2</f>
        <v>0</v>
      </c>
      <c r="AA58" s="78"/>
      <c r="AB58" s="78"/>
      <c r="AC58" s="78">
        <f>'W2 Stats'!D22*AC2</f>
        <v>0</v>
      </c>
    </row>
    <row r="59">
      <c r="A59" s="77" t="s">
        <v>112</v>
      </c>
      <c r="B59" s="78"/>
      <c r="C59" s="78"/>
      <c r="D59" s="78">
        <f>'W2 Stats'!H18*D3</f>
        <v>0</v>
      </c>
      <c r="E59" s="78"/>
      <c r="G59" s="77" t="s">
        <v>112</v>
      </c>
      <c r="H59" s="78"/>
      <c r="I59" s="78"/>
      <c r="J59" s="78">
        <f>'W2 Stats'!H19*J3</f>
        <v>0</v>
      </c>
      <c r="K59" s="78"/>
      <c r="M59" s="77" t="s">
        <v>112</v>
      </c>
      <c r="N59" s="78"/>
      <c r="O59" s="78"/>
      <c r="P59" s="78">
        <f>'W2 Stats'!H20*P3</f>
        <v>0</v>
      </c>
      <c r="Q59" s="78"/>
      <c r="S59" s="77" t="s">
        <v>112</v>
      </c>
      <c r="T59" s="78"/>
      <c r="U59" s="78"/>
      <c r="V59" s="78">
        <f>'W2 Stats'!H21*V3</f>
        <v>0</v>
      </c>
      <c r="W59" s="78"/>
      <c r="Y59" s="77" t="s">
        <v>112</v>
      </c>
      <c r="Z59" s="78"/>
      <c r="AA59" s="78"/>
      <c r="AB59" s="78">
        <f>'W2 Stats'!H22*AB3</f>
        <v>0</v>
      </c>
      <c r="AC59" s="78"/>
    </row>
    <row r="60">
      <c r="A60" s="77" t="s">
        <v>113</v>
      </c>
      <c r="B60" s="78">
        <f>'W2 Stats'!I18*B4</f>
        <v>0</v>
      </c>
      <c r="C60" s="78"/>
      <c r="D60" s="78"/>
      <c r="E60" s="78"/>
      <c r="G60" s="77" t="s">
        <v>113</v>
      </c>
      <c r="H60" s="78">
        <f>'W2 Stats'!I19*H4</f>
        <v>0</v>
      </c>
      <c r="I60" s="78"/>
      <c r="J60" s="78"/>
      <c r="K60" s="78"/>
      <c r="M60" s="77" t="s">
        <v>113</v>
      </c>
      <c r="N60" s="78">
        <f>'W2 Stats'!I20*N4</f>
        <v>0</v>
      </c>
      <c r="O60" s="78"/>
      <c r="P60" s="78"/>
      <c r="Q60" s="78"/>
      <c r="S60" s="77" t="s">
        <v>113</v>
      </c>
      <c r="T60" s="78">
        <f>'W2 Stats'!I21*T4</f>
        <v>0</v>
      </c>
      <c r="U60" s="78"/>
      <c r="V60" s="78"/>
      <c r="W60" s="78"/>
      <c r="Y60" s="77" t="s">
        <v>113</v>
      </c>
      <c r="Z60" s="78">
        <f>'W2 Stats'!I22*Z4</f>
        <v>0</v>
      </c>
      <c r="AA60" s="78"/>
      <c r="AB60" s="78"/>
      <c r="AC60" s="78"/>
    </row>
    <row r="61">
      <c r="A61" s="77" t="s">
        <v>114</v>
      </c>
      <c r="B61" s="78"/>
      <c r="C61" s="78">
        <f>'W2 Stats'!J18*C5</f>
        <v>0</v>
      </c>
      <c r="D61" s="78"/>
      <c r="E61" s="78">
        <f>'W2 Stats'!J18*E5</f>
        <v>0</v>
      </c>
      <c r="G61" s="77" t="s">
        <v>114</v>
      </c>
      <c r="H61" s="78"/>
      <c r="I61" s="78">
        <f>'W2 Stats'!J19*I5</f>
        <v>0</v>
      </c>
      <c r="J61" s="78"/>
      <c r="K61" s="78">
        <f>'W2 Stats'!J19*K5</f>
        <v>0</v>
      </c>
      <c r="M61" s="77" t="s">
        <v>114</v>
      </c>
      <c r="N61" s="78"/>
      <c r="O61" s="78">
        <f>'W2 Stats'!J20*O5</f>
        <v>0</v>
      </c>
      <c r="P61" s="78"/>
      <c r="Q61" s="78">
        <f>'W2 Stats'!J20*Q5</f>
        <v>0</v>
      </c>
      <c r="S61" s="77" t="s">
        <v>114</v>
      </c>
      <c r="T61" s="78"/>
      <c r="U61" s="78">
        <f>'W2 Stats'!J21*U5</f>
        <v>0</v>
      </c>
      <c r="V61" s="78"/>
      <c r="W61" s="78">
        <f>'W2 Stats'!J21*W5</f>
        <v>0</v>
      </c>
      <c r="Y61" s="77" t="s">
        <v>114</v>
      </c>
      <c r="Z61" s="78"/>
      <c r="AA61" s="78">
        <f>'W2 Stats'!J22*AA5</f>
        <v>0</v>
      </c>
      <c r="AB61" s="78"/>
      <c r="AC61" s="78">
        <f>'W2 Stats'!J22*AC5</f>
        <v>0</v>
      </c>
    </row>
    <row r="62">
      <c r="A62" s="77" t="s">
        <v>115</v>
      </c>
      <c r="B62" s="78"/>
      <c r="C62" s="78">
        <f>'W2 Stats'!K18*C6</f>
        <v>0</v>
      </c>
      <c r="D62" s="78"/>
      <c r="E62" s="78">
        <f>'W2 Stats'!K18*E6</f>
        <v>0</v>
      </c>
      <c r="G62" s="77" t="s">
        <v>115</v>
      </c>
      <c r="H62" s="78"/>
      <c r="I62" s="78">
        <f>'W2 Stats'!K19*I6</f>
        <v>0</v>
      </c>
      <c r="J62" s="78"/>
      <c r="K62" s="78">
        <f>'W2 Stats'!K19*K6</f>
        <v>0</v>
      </c>
      <c r="M62" s="77" t="s">
        <v>115</v>
      </c>
      <c r="N62" s="78"/>
      <c r="O62" s="78">
        <f>'W2 Stats'!K20*O6</f>
        <v>0</v>
      </c>
      <c r="P62" s="78"/>
      <c r="Q62" s="78">
        <f>'W2 Stats'!K20*Q6</f>
        <v>0</v>
      </c>
      <c r="S62" s="77" t="s">
        <v>115</v>
      </c>
      <c r="T62" s="78"/>
      <c r="U62" s="78">
        <f>'W2 Stats'!K21*U6</f>
        <v>0</v>
      </c>
      <c r="V62" s="78"/>
      <c r="W62" s="78">
        <f>'W2 Stats'!K21*W6</f>
        <v>0</v>
      </c>
      <c r="Y62" s="77" t="s">
        <v>115</v>
      </c>
      <c r="Z62" s="78"/>
      <c r="AA62" s="78">
        <f>'W2 Stats'!K22*AA6</f>
        <v>0</v>
      </c>
      <c r="AB62" s="78"/>
      <c r="AC62" s="78">
        <f>'W2 Stats'!K22*AC6</f>
        <v>0</v>
      </c>
    </row>
    <row r="63">
      <c r="A63" s="77" t="s">
        <v>116</v>
      </c>
      <c r="B63" s="78">
        <f>'W2 Stats'!L18*B7</f>
        <v>0</v>
      </c>
      <c r="C63" s="78"/>
      <c r="D63" s="78">
        <f>'W2 Stats'!L18*D7</f>
        <v>0</v>
      </c>
      <c r="E63" s="78"/>
      <c r="G63" s="77" t="s">
        <v>116</v>
      </c>
      <c r="H63" s="78">
        <f>'W2 Stats'!L19*H7</f>
        <v>0</v>
      </c>
      <c r="I63" s="78"/>
      <c r="J63" s="78">
        <f>'W2 Stats'!L19*J7</f>
        <v>0</v>
      </c>
      <c r="K63" s="78"/>
      <c r="M63" s="77" t="s">
        <v>116</v>
      </c>
      <c r="N63" s="78">
        <f>'W2 Stats'!L20*N7</f>
        <v>0</v>
      </c>
      <c r="O63" s="78"/>
      <c r="P63" s="78">
        <f>'W2 Stats'!L20*P7</f>
        <v>0</v>
      </c>
      <c r="Q63" s="78"/>
      <c r="S63" s="77" t="s">
        <v>116</v>
      </c>
      <c r="T63" s="78">
        <f>'W2 Stats'!L21*T7</f>
        <v>0</v>
      </c>
      <c r="U63" s="78"/>
      <c r="V63" s="78">
        <f>'W2 Stats'!L21*V7</f>
        <v>0</v>
      </c>
      <c r="W63" s="78"/>
      <c r="Y63" s="77" t="s">
        <v>116</v>
      </c>
      <c r="Z63" s="78">
        <f>'W2 Stats'!L22*Z7</f>
        <v>0</v>
      </c>
      <c r="AA63" s="78"/>
      <c r="AB63" s="78">
        <f>'W2 Stats'!L22*AB7</f>
        <v>0</v>
      </c>
      <c r="AC63" s="78"/>
    </row>
    <row r="64">
      <c r="A64" s="77" t="s">
        <v>117</v>
      </c>
      <c r="B64" s="78"/>
      <c r="C64" s="78">
        <f>'W2 Stats'!M18*C8</f>
        <v>0</v>
      </c>
      <c r="D64" s="78"/>
      <c r="E64" s="78"/>
      <c r="G64" s="77" t="s">
        <v>117</v>
      </c>
      <c r="H64" s="78"/>
      <c r="I64" s="78">
        <f>'W2 Stats'!M19*C8</f>
        <v>0</v>
      </c>
      <c r="J64" s="78"/>
      <c r="K64" s="78"/>
      <c r="M64" s="77" t="s">
        <v>117</v>
      </c>
      <c r="N64" s="78"/>
      <c r="O64" s="78">
        <f>'W2 Stats'!M20*O8</f>
        <v>0</v>
      </c>
      <c r="P64" s="78"/>
      <c r="Q64" s="78"/>
      <c r="S64" s="77" t="s">
        <v>117</v>
      </c>
      <c r="T64" s="78"/>
      <c r="U64" s="78">
        <f>'W2 Stats'!M21*U8</f>
        <v>0</v>
      </c>
      <c r="V64" s="78"/>
      <c r="W64" s="78"/>
      <c r="Y64" s="77" t="s">
        <v>117</v>
      </c>
      <c r="Z64" s="78"/>
      <c r="AA64" s="78">
        <f>'W2 Stats'!M22*AA8</f>
        <v>0</v>
      </c>
      <c r="AB64" s="78"/>
      <c r="AC64" s="78"/>
    </row>
    <row r="65">
      <c r="A65" s="77" t="s">
        <v>118</v>
      </c>
      <c r="B65" s="78"/>
      <c r="C65" s="78"/>
      <c r="D65" s="78">
        <f>'W2 Stats'!N18*D9</f>
        <v>0</v>
      </c>
      <c r="E65" s="78">
        <f>'W2 Stats'!N18*E9</f>
        <v>0</v>
      </c>
      <c r="G65" s="77" t="s">
        <v>118</v>
      </c>
      <c r="H65" s="78"/>
      <c r="I65" s="78"/>
      <c r="J65" s="78">
        <f>'W2 Stats'!N19*J9</f>
        <v>0</v>
      </c>
      <c r="K65" s="78">
        <f>'W2 Stats'!N19*K9</f>
        <v>0</v>
      </c>
      <c r="M65" s="77" t="s">
        <v>118</v>
      </c>
      <c r="N65" s="78"/>
      <c r="O65" s="78"/>
      <c r="P65" s="78">
        <f>'W2 Stats'!N20*P9</f>
        <v>0</v>
      </c>
      <c r="Q65" s="78">
        <f>'W2 Stats'!N20*Q9</f>
        <v>0</v>
      </c>
      <c r="S65" s="77" t="s">
        <v>118</v>
      </c>
      <c r="T65" s="78"/>
      <c r="U65" s="78"/>
      <c r="V65" s="78">
        <f>'W2 Stats'!N21*V9</f>
        <v>0</v>
      </c>
      <c r="W65" s="78">
        <f>'W2 Stats'!N21*W9</f>
        <v>0</v>
      </c>
      <c r="Y65" s="77" t="s">
        <v>118</v>
      </c>
      <c r="Z65" s="78"/>
      <c r="AA65" s="78"/>
      <c r="AB65" s="78">
        <f>'W2 Stats'!N22*AB9</f>
        <v>0</v>
      </c>
      <c r="AC65" s="78">
        <f>'W2 Stats'!N22*AC9</f>
        <v>0</v>
      </c>
    </row>
    <row r="66">
      <c r="A66" s="77" t="s">
        <v>119</v>
      </c>
      <c r="B66" s="78"/>
      <c r="C66" s="78">
        <f>'W2 Stats'!O18*C10</f>
        <v>0</v>
      </c>
      <c r="D66" s="78"/>
      <c r="E66" s="78">
        <f>'W2 Stats'!O18*E10</f>
        <v>0</v>
      </c>
      <c r="G66" s="77" t="s">
        <v>119</v>
      </c>
      <c r="H66" s="78"/>
      <c r="I66" s="78">
        <f>'W2 Stats'!O19*I10</f>
        <v>0</v>
      </c>
      <c r="J66" s="78"/>
      <c r="K66" s="78">
        <f>'W2 Stats'!O19*K10</f>
        <v>0</v>
      </c>
      <c r="M66" s="77" t="s">
        <v>119</v>
      </c>
      <c r="N66" s="78"/>
      <c r="O66" s="78">
        <f>'W2 Stats'!O20*O10</f>
        <v>0</v>
      </c>
      <c r="P66" s="78"/>
      <c r="Q66" s="78">
        <f>'W2 Stats'!O20*Q10</f>
        <v>0</v>
      </c>
      <c r="S66" s="77" t="s">
        <v>119</v>
      </c>
      <c r="T66" s="78"/>
      <c r="U66" s="78">
        <f>'W2 Stats'!O21*U10</f>
        <v>0</v>
      </c>
      <c r="V66" s="78"/>
      <c r="W66" s="78">
        <f>'W2 Stats'!O21*W10</f>
        <v>0</v>
      </c>
      <c r="Y66" s="77" t="s">
        <v>119</v>
      </c>
      <c r="Z66" s="78"/>
      <c r="AA66" s="78">
        <f>'W2 Stats'!O22*AA10</f>
        <v>0</v>
      </c>
      <c r="AB66" s="78"/>
      <c r="AC66" s="78">
        <f>'W2 Stats'!O22*AC10</f>
        <v>0</v>
      </c>
    </row>
    <row r="67">
      <c r="A67" s="77" t="s">
        <v>120</v>
      </c>
      <c r="B67" s="78"/>
      <c r="C67" s="78"/>
      <c r="D67" s="78">
        <f>'W2 Stats'!P18*D11</f>
        <v>0</v>
      </c>
      <c r="E67" s="78">
        <f>'W2 Stats'!P18*E11</f>
        <v>0</v>
      </c>
      <c r="G67" s="77" t="s">
        <v>120</v>
      </c>
      <c r="H67" s="78"/>
      <c r="I67" s="78"/>
      <c r="J67" s="78">
        <f>'W2 Stats'!P19*J11</f>
        <v>0</v>
      </c>
      <c r="K67" s="78">
        <f>'W2 Stats'!P19*K11</f>
        <v>0</v>
      </c>
      <c r="M67" s="77" t="s">
        <v>120</v>
      </c>
      <c r="N67" s="78"/>
      <c r="O67" s="78"/>
      <c r="P67" s="78">
        <f>'W2 Stats'!P20*P11</f>
        <v>0</v>
      </c>
      <c r="Q67" s="78">
        <f>'W2 Stats'!P20*Q11</f>
        <v>0</v>
      </c>
      <c r="S67" s="77" t="s">
        <v>120</v>
      </c>
      <c r="T67" s="78"/>
      <c r="U67" s="78"/>
      <c r="V67" s="78">
        <f>'W2 Stats'!P21*V11</f>
        <v>0</v>
      </c>
      <c r="W67" s="78">
        <f>'W2 Stats'!P21*W11</f>
        <v>0</v>
      </c>
      <c r="Y67" s="77" t="s">
        <v>120</v>
      </c>
      <c r="Z67" s="78"/>
      <c r="AA67" s="78"/>
      <c r="AB67" s="78">
        <f>'W2 Stats'!P22*AB11</f>
        <v>0</v>
      </c>
      <c r="AC67" s="78">
        <f>'W2 Stats'!P22*AC11</f>
        <v>0</v>
      </c>
    </row>
    <row r="68">
      <c r="A68" s="77" t="s">
        <v>121</v>
      </c>
      <c r="B68" s="78">
        <f>'W2 Stats'!Q18*B12</f>
        <v>0</v>
      </c>
      <c r="C68" s="78">
        <f>'W2 Stats'!Q18*C12</f>
        <v>0</v>
      </c>
      <c r="D68" s="78">
        <f>'W2 Stats'!Q18*D12</f>
        <v>0</v>
      </c>
      <c r="E68" s="78">
        <f>'W2 Stats'!Q18*E12</f>
        <v>0</v>
      </c>
      <c r="G68" s="77" t="s">
        <v>121</v>
      </c>
      <c r="H68" s="78">
        <f>'W2 Stats'!Q19*H12</f>
        <v>0</v>
      </c>
      <c r="I68" s="78">
        <f>'W2 Stats'!Q19*I12</f>
        <v>0</v>
      </c>
      <c r="J68" s="78">
        <f>'W2 Stats'!Q19*J12</f>
        <v>0</v>
      </c>
      <c r="K68" s="78">
        <f>'W2 Stats'!Q19*K12</f>
        <v>0</v>
      </c>
      <c r="M68" s="77" t="s">
        <v>121</v>
      </c>
      <c r="N68" s="78">
        <f>'W2 Stats'!Q20*N12</f>
        <v>0</v>
      </c>
      <c r="O68" s="78">
        <f>'W2 Stats'!Q20*O12</f>
        <v>0</v>
      </c>
      <c r="P68" s="78">
        <f>'W2 Stats'!Q20*P12</f>
        <v>0</v>
      </c>
      <c r="Q68" s="78">
        <f>'W2 Stats'!Q20*Q12</f>
        <v>0</v>
      </c>
      <c r="S68" s="77" t="s">
        <v>121</v>
      </c>
      <c r="T68" s="78">
        <f>'W2 Stats'!Q21*T12</f>
        <v>0</v>
      </c>
      <c r="U68" s="78">
        <f>'W2 Stats'!Q21*U12</f>
        <v>0</v>
      </c>
      <c r="V68" s="78">
        <f>'W2 Stats'!Q21*V12</f>
        <v>0</v>
      </c>
      <c r="W68" s="78">
        <f>'W2 Stats'!Q21*W12</f>
        <v>0</v>
      </c>
      <c r="Y68" s="77" t="s">
        <v>121</v>
      </c>
      <c r="Z68" s="78">
        <f>'W2 Stats'!Q22*Z12</f>
        <v>0</v>
      </c>
      <c r="AA68" s="78">
        <f>'W2 Stats'!Q22*AA12</f>
        <v>0</v>
      </c>
      <c r="AB68" s="78">
        <f>'W2 Stats'!Q22*AB12</f>
        <v>0</v>
      </c>
      <c r="AC68" s="78">
        <f>'W2 Stats'!Q22*AC12</f>
        <v>0</v>
      </c>
    </row>
    <row r="69">
      <c r="A69" s="77" t="s">
        <v>122</v>
      </c>
      <c r="B69" s="78">
        <f t="shared" ref="B69:E69" si="65">SUM(B58:B68)</f>
        <v>0</v>
      </c>
      <c r="C69" s="78">
        <f t="shared" si="65"/>
        <v>0</v>
      </c>
      <c r="D69" s="78">
        <f t="shared" si="65"/>
        <v>0</v>
      </c>
      <c r="E69" s="78">
        <f t="shared" si="65"/>
        <v>0</v>
      </c>
      <c r="G69" s="77" t="s">
        <v>122</v>
      </c>
      <c r="H69" s="78">
        <f t="shared" ref="H69:K69" si="66">SUM(H58:H68)</f>
        <v>0</v>
      </c>
      <c r="I69" s="78">
        <f t="shared" si="66"/>
        <v>0</v>
      </c>
      <c r="J69" s="78">
        <f t="shared" si="66"/>
        <v>0</v>
      </c>
      <c r="K69" s="78">
        <f t="shared" si="66"/>
        <v>0</v>
      </c>
      <c r="M69" s="77" t="s">
        <v>122</v>
      </c>
      <c r="N69" s="78">
        <f t="shared" ref="N69:Q69" si="67">SUM(N58:N68)</f>
        <v>0</v>
      </c>
      <c r="O69" s="78">
        <f t="shared" si="67"/>
        <v>0</v>
      </c>
      <c r="P69" s="78">
        <f t="shared" si="67"/>
        <v>0</v>
      </c>
      <c r="Q69" s="78">
        <f t="shared" si="67"/>
        <v>0</v>
      </c>
      <c r="S69" s="77" t="s">
        <v>122</v>
      </c>
      <c r="T69" s="78">
        <f t="shared" ref="T69:W69" si="68">SUM(T58:T68)</f>
        <v>0</v>
      </c>
      <c r="U69" s="78">
        <f t="shared" si="68"/>
        <v>0</v>
      </c>
      <c r="V69" s="78">
        <f t="shared" si="68"/>
        <v>0</v>
      </c>
      <c r="W69" s="78">
        <f t="shared" si="68"/>
        <v>0</v>
      </c>
      <c r="Y69" s="77" t="s">
        <v>122</v>
      </c>
      <c r="Z69" s="78">
        <f t="shared" ref="Z69:AC69" si="69">SUM(Z58:Z68)</f>
        <v>0</v>
      </c>
      <c r="AA69" s="78">
        <f t="shared" si="69"/>
        <v>0</v>
      </c>
      <c r="AB69" s="78">
        <f t="shared" si="69"/>
        <v>0</v>
      </c>
      <c r="AC69" s="78">
        <f t="shared" si="69"/>
        <v>0</v>
      </c>
    </row>
    <row r="71">
      <c r="A71" s="77" t="str">
        <f>'W2 Stats'!B23</f>
        <v>KING RICKXL</v>
      </c>
      <c r="B71" s="74" t="s">
        <v>94</v>
      </c>
      <c r="C71" s="74" t="s">
        <v>95</v>
      </c>
      <c r="D71" s="74" t="s">
        <v>96</v>
      </c>
      <c r="E71" s="74" t="s">
        <v>97</v>
      </c>
      <c r="F71" s="1"/>
      <c r="G71" s="77" t="str">
        <f>'W2 Stats'!B25</f>
        <v>imShad</v>
      </c>
      <c r="H71" s="74" t="s">
        <v>94</v>
      </c>
      <c r="I71" s="74" t="s">
        <v>95</v>
      </c>
      <c r="J71" s="74" t="s">
        <v>96</v>
      </c>
      <c r="K71" s="74" t="s">
        <v>97</v>
      </c>
      <c r="M71" s="77" t="str">
        <f>'W2 Stats'!B26</f>
        <v>ixGingy</v>
      </c>
      <c r="N71" s="74" t="s">
        <v>94</v>
      </c>
      <c r="O71" s="74" t="s">
        <v>95</v>
      </c>
      <c r="P71" s="74" t="s">
        <v>96</v>
      </c>
      <c r="Q71" s="74" t="s">
        <v>97</v>
      </c>
      <c r="S71" s="77" t="str">
        <f>'W2 Stats'!B27</f>
        <v>Ezy08</v>
      </c>
      <c r="T71" s="74" t="s">
        <v>94</v>
      </c>
      <c r="U71" s="74" t="s">
        <v>95</v>
      </c>
      <c r="V71" s="74" t="s">
        <v>96</v>
      </c>
      <c r="W71" s="74" t="s">
        <v>97</v>
      </c>
      <c r="Y71" s="77" t="str">
        <f>'W2 Stats'!B28</f>
        <v>Almighty Tycoon</v>
      </c>
      <c r="Z71" s="74" t="s">
        <v>94</v>
      </c>
      <c r="AA71" s="74" t="s">
        <v>95</v>
      </c>
      <c r="AB71" s="74" t="s">
        <v>96</v>
      </c>
      <c r="AC71" s="74" t="s">
        <v>97</v>
      </c>
    </row>
    <row r="72">
      <c r="A72" s="77" t="s">
        <v>108</v>
      </c>
      <c r="B72" s="78">
        <f>'W2 Stats'!D23*B2</f>
        <v>0</v>
      </c>
      <c r="C72" s="78"/>
      <c r="D72" s="78"/>
      <c r="E72" s="78">
        <f>'W2 Stats'!D23*E2</f>
        <v>0</v>
      </c>
      <c r="G72" s="77" t="s">
        <v>108</v>
      </c>
      <c r="H72" s="78">
        <f>'W2 Stats'!D25*H2</f>
        <v>0</v>
      </c>
      <c r="I72" s="78"/>
      <c r="J72" s="78"/>
      <c r="K72" s="78">
        <f>'W2 Stats'!D25*K2</f>
        <v>0</v>
      </c>
      <c r="M72" s="77" t="s">
        <v>108</v>
      </c>
      <c r="N72" s="78">
        <f>'W2 Stats'!D26*N2</f>
        <v>0</v>
      </c>
      <c r="O72" s="78"/>
      <c r="P72" s="78"/>
      <c r="Q72" s="78">
        <f>'W2 Stats'!D26*Q2</f>
        <v>0</v>
      </c>
      <c r="S72" s="77" t="s">
        <v>108</v>
      </c>
      <c r="T72" s="78">
        <f>'W2 Stats'!D27*T2</f>
        <v>0</v>
      </c>
      <c r="U72" s="78"/>
      <c r="V72" s="78"/>
      <c r="W72" s="78">
        <f>'W2 Stats'!D27*W2</f>
        <v>0</v>
      </c>
      <c r="Y72" s="77" t="s">
        <v>108</v>
      </c>
      <c r="Z72" s="78">
        <f>'W2 Stats'!D28*Z2</f>
        <v>0</v>
      </c>
      <c r="AA72" s="78"/>
      <c r="AB72" s="78"/>
      <c r="AC72" s="78">
        <f>'W2 Stats'!D28*AC2</f>
        <v>0</v>
      </c>
    </row>
    <row r="73">
      <c r="A73" s="77" t="s">
        <v>112</v>
      </c>
      <c r="B73" s="99"/>
      <c r="C73" s="99"/>
      <c r="D73" s="78">
        <f>'W2 Stats'!H23*D3</f>
        <v>0</v>
      </c>
      <c r="E73" s="78"/>
      <c r="G73" s="77" t="s">
        <v>112</v>
      </c>
      <c r="H73" s="99"/>
      <c r="I73" s="99"/>
      <c r="J73" s="78">
        <f>'W2 Stats'!H25*J3</f>
        <v>0</v>
      </c>
      <c r="K73" s="78"/>
      <c r="M73" s="77" t="s">
        <v>112</v>
      </c>
      <c r="N73" s="99"/>
      <c r="O73" s="99"/>
      <c r="P73" s="78">
        <f>'W2 Stats'!H26*J3</f>
        <v>0</v>
      </c>
      <c r="Q73" s="78"/>
      <c r="S73" s="77" t="s">
        <v>112</v>
      </c>
      <c r="T73" s="99"/>
      <c r="U73" s="99"/>
      <c r="V73" s="78">
        <f>'W2 Stats'!H27*J3</f>
        <v>0</v>
      </c>
      <c r="W73" s="78"/>
      <c r="Y73" s="77" t="s">
        <v>112</v>
      </c>
      <c r="Z73" s="99"/>
      <c r="AA73" s="99"/>
      <c r="AB73" s="78">
        <f>'W2 Stats'!H28*P3</f>
        <v>0</v>
      </c>
      <c r="AC73" s="78"/>
    </row>
    <row r="74">
      <c r="A74" s="77" t="s">
        <v>113</v>
      </c>
      <c r="B74" s="78">
        <f>'W2 Stats'!I23*B4</f>
        <v>0</v>
      </c>
      <c r="C74" s="99"/>
      <c r="D74" s="99"/>
      <c r="E74" s="78"/>
      <c r="G74" s="77" t="s">
        <v>113</v>
      </c>
      <c r="H74" s="78">
        <f>'W2 Stats'!I25*H4</f>
        <v>0</v>
      </c>
      <c r="I74" s="99"/>
      <c r="J74" s="99"/>
      <c r="K74" s="78"/>
      <c r="M74" s="77" t="s">
        <v>113</v>
      </c>
      <c r="N74" s="78">
        <f>'W2 Stats'!I26*H4</f>
        <v>0</v>
      </c>
      <c r="O74" s="99"/>
      <c r="P74" s="99"/>
      <c r="Q74" s="78"/>
      <c r="S74" s="77" t="s">
        <v>113</v>
      </c>
      <c r="T74" s="78">
        <f>'W2 Stats'!I27*H4</f>
        <v>0</v>
      </c>
      <c r="U74" s="99"/>
      <c r="V74" s="99"/>
      <c r="W74" s="78"/>
      <c r="Y74" s="77" t="s">
        <v>113</v>
      </c>
      <c r="Z74" s="78">
        <f>'W2 Stats'!I28*N4</f>
        <v>0</v>
      </c>
      <c r="AA74" s="99"/>
      <c r="AB74" s="99"/>
      <c r="AC74" s="78"/>
    </row>
    <row r="75">
      <c r="A75" s="77" t="s">
        <v>114</v>
      </c>
      <c r="B75" s="99"/>
      <c r="C75" s="78">
        <f>'W2 Stats'!J23*C5</f>
        <v>0</v>
      </c>
      <c r="D75" s="99"/>
      <c r="E75" s="78">
        <f>'W2 Stats'!J23*E5</f>
        <v>0</v>
      </c>
      <c r="G75" s="77" t="s">
        <v>114</v>
      </c>
      <c r="H75" s="78"/>
      <c r="I75" s="78">
        <f>'W2 Stats'!J25*I5</f>
        <v>0</v>
      </c>
      <c r="J75" s="99"/>
      <c r="K75" s="78">
        <f>'W2 Stats'!J25*K5</f>
        <v>0</v>
      </c>
      <c r="M75" s="77" t="s">
        <v>114</v>
      </c>
      <c r="N75" s="99"/>
      <c r="O75" s="78">
        <f>'W2 Stats'!J26*O5</f>
        <v>0</v>
      </c>
      <c r="P75" s="99"/>
      <c r="Q75" s="78">
        <f>'W2 Stats'!J26*Q5</f>
        <v>0</v>
      </c>
      <c r="S75" s="77" t="s">
        <v>114</v>
      </c>
      <c r="T75" s="99"/>
      <c r="U75" s="78">
        <f>'W2 Stats'!J27*U5</f>
        <v>0</v>
      </c>
      <c r="V75" s="99"/>
      <c r="W75" s="78">
        <f>'W2 Stats'!J27*W5</f>
        <v>0</v>
      </c>
      <c r="Y75" s="77" t="s">
        <v>114</v>
      </c>
      <c r="Z75" s="99"/>
      <c r="AA75" s="78">
        <f>'W2 Stats'!J28*AA5</f>
        <v>0</v>
      </c>
      <c r="AB75" s="99"/>
      <c r="AC75" s="78">
        <f>'W2 Stats'!J28*AC5</f>
        <v>0</v>
      </c>
    </row>
    <row r="76">
      <c r="A76" s="77" t="s">
        <v>115</v>
      </c>
      <c r="B76" s="78"/>
      <c r="C76" s="78">
        <f>'W2 Stats'!K23*C6</f>
        <v>0</v>
      </c>
      <c r="D76" s="78"/>
      <c r="E76" s="78">
        <f>'W2 Stats'!K23*E6</f>
        <v>0</v>
      </c>
      <c r="G76" s="77" t="s">
        <v>115</v>
      </c>
      <c r="H76" s="78"/>
      <c r="I76" s="78">
        <f>'W2 Stats'!K25*I6</f>
        <v>0</v>
      </c>
      <c r="J76" s="78"/>
      <c r="K76" s="78">
        <f>'W2 Stats'!K25*K6</f>
        <v>0</v>
      </c>
      <c r="M76" s="77" t="s">
        <v>115</v>
      </c>
      <c r="N76" s="78"/>
      <c r="O76" s="78">
        <f>'W2 Stats'!K26*O6</f>
        <v>0</v>
      </c>
      <c r="P76" s="78"/>
      <c r="Q76" s="78">
        <f>'W2 Stats'!K26*Q6</f>
        <v>0</v>
      </c>
      <c r="S76" s="77" t="s">
        <v>115</v>
      </c>
      <c r="T76" s="78"/>
      <c r="U76" s="78">
        <f>'W2 Stats'!K27*U6</f>
        <v>0</v>
      </c>
      <c r="V76" s="78"/>
      <c r="W76" s="78">
        <f>'W2 Stats'!K27*W6</f>
        <v>0</v>
      </c>
      <c r="Y76" s="77" t="s">
        <v>115</v>
      </c>
      <c r="Z76" s="78"/>
      <c r="AA76" s="78">
        <f>'W2 Stats'!K28*AA6</f>
        <v>0</v>
      </c>
      <c r="AB76" s="78"/>
      <c r="AC76" s="78">
        <f>'W2 Stats'!K28*AC6</f>
        <v>0</v>
      </c>
    </row>
    <row r="77">
      <c r="A77" s="77" t="s">
        <v>116</v>
      </c>
      <c r="B77" s="78">
        <f>'W2 Stats'!L23*B7</f>
        <v>0</v>
      </c>
      <c r="C77" s="78"/>
      <c r="D77" s="78">
        <f>'W2 Stats'!L23*D7</f>
        <v>0</v>
      </c>
      <c r="E77" s="78"/>
      <c r="G77" s="77" t="s">
        <v>116</v>
      </c>
      <c r="H77" s="78">
        <f>'W2 Stats'!L25*H7</f>
        <v>0</v>
      </c>
      <c r="I77" s="78"/>
      <c r="J77" s="78">
        <f>'W2 Stats'!L25*J7</f>
        <v>0</v>
      </c>
      <c r="K77" s="78"/>
      <c r="M77" s="77" t="s">
        <v>116</v>
      </c>
      <c r="N77" s="78">
        <f>'W2 Stats'!L26*N7</f>
        <v>0</v>
      </c>
      <c r="O77" s="78"/>
      <c r="P77" s="78">
        <f>'W2 Stats'!L26*P7</f>
        <v>0</v>
      </c>
      <c r="Q77" s="78"/>
      <c r="S77" s="77" t="s">
        <v>116</v>
      </c>
      <c r="T77" s="78">
        <f>'W2 Stats'!L27*T7</f>
        <v>0</v>
      </c>
      <c r="U77" s="78"/>
      <c r="V77" s="78">
        <f>'W2 Stats'!L27*V7</f>
        <v>0</v>
      </c>
      <c r="W77" s="78"/>
      <c r="Y77" s="77" t="s">
        <v>116</v>
      </c>
      <c r="Z77" s="78">
        <f>'W2 Stats'!L28*Z7</f>
        <v>0</v>
      </c>
      <c r="AA77" s="78"/>
      <c r="AB77" s="78">
        <f>'W2 Stats'!L28*AB7</f>
        <v>0</v>
      </c>
      <c r="AC77" s="78"/>
    </row>
    <row r="78">
      <c r="A78" s="77" t="s">
        <v>117</v>
      </c>
      <c r="B78" s="99"/>
      <c r="C78" s="78">
        <f>'W2 Stats'!M23*C8</f>
        <v>0</v>
      </c>
      <c r="D78" s="99"/>
      <c r="E78" s="78"/>
      <c r="G78" s="77" t="s">
        <v>117</v>
      </c>
      <c r="H78" s="99"/>
      <c r="I78" s="78">
        <f>'W2 Stats'!M25*I8</f>
        <v>0</v>
      </c>
      <c r="J78" s="99"/>
      <c r="K78" s="78"/>
      <c r="M78" s="77" t="s">
        <v>117</v>
      </c>
      <c r="N78" s="99"/>
      <c r="O78" s="78">
        <f>'W2 Stats'!M26*O8</f>
        <v>0</v>
      </c>
      <c r="P78" s="99"/>
      <c r="Q78" s="78"/>
      <c r="S78" s="77" t="s">
        <v>117</v>
      </c>
      <c r="T78" s="99"/>
      <c r="U78" s="78">
        <f>'W2 Stats'!M27*U8</f>
        <v>0</v>
      </c>
      <c r="V78" s="99"/>
      <c r="W78" s="78"/>
      <c r="Y78" s="77" t="s">
        <v>117</v>
      </c>
      <c r="Z78" s="99"/>
      <c r="AA78" s="78">
        <f>'W2 Stats'!M28*AA8</f>
        <v>0</v>
      </c>
      <c r="AB78" s="99"/>
      <c r="AC78" s="78"/>
    </row>
    <row r="79">
      <c r="A79" s="77" t="s">
        <v>118</v>
      </c>
      <c r="B79" s="99"/>
      <c r="C79" s="99"/>
      <c r="D79" s="78">
        <f>'W2 Stats'!N23*D9</f>
        <v>0</v>
      </c>
      <c r="E79" s="78">
        <f>'W2 Stats'!N23*E9</f>
        <v>0</v>
      </c>
      <c r="G79" s="77" t="s">
        <v>118</v>
      </c>
      <c r="H79" s="99"/>
      <c r="I79" s="99"/>
      <c r="J79" s="78">
        <f>'W2 Stats'!N25*J9</f>
        <v>0</v>
      </c>
      <c r="K79" s="78">
        <f>'W2 Stats'!N25*K9</f>
        <v>0</v>
      </c>
      <c r="M79" s="77" t="s">
        <v>118</v>
      </c>
      <c r="N79" s="99"/>
      <c r="O79" s="99"/>
      <c r="P79" s="78">
        <f>'W2 Stats'!N26*P9</f>
        <v>0</v>
      </c>
      <c r="Q79" s="78">
        <f>'W2 Stats'!N26*Q9</f>
        <v>0</v>
      </c>
      <c r="S79" s="77" t="s">
        <v>118</v>
      </c>
      <c r="T79" s="99"/>
      <c r="U79" s="99"/>
      <c r="V79" s="78">
        <f>'W2 Stats'!N27*V9</f>
        <v>0</v>
      </c>
      <c r="W79" s="78">
        <f>'W2 Stats'!N27*W9</f>
        <v>0</v>
      </c>
      <c r="Y79" s="77" t="s">
        <v>118</v>
      </c>
      <c r="Z79" s="99"/>
      <c r="AA79" s="99"/>
      <c r="AB79" s="78">
        <f>'W2 Stats'!N28*AB9</f>
        <v>0</v>
      </c>
      <c r="AC79" s="78">
        <f>'W2 Stats'!N28*AC9</f>
        <v>0</v>
      </c>
    </row>
    <row r="80">
      <c r="A80" s="77" t="s">
        <v>119</v>
      </c>
      <c r="B80" s="78"/>
      <c r="C80" s="78">
        <f>'W2 Stats'!O23*C10</f>
        <v>0</v>
      </c>
      <c r="D80" s="99"/>
      <c r="E80" s="78">
        <f>'W2 Stats'!O23*E10</f>
        <v>0</v>
      </c>
      <c r="G80" s="77" t="s">
        <v>119</v>
      </c>
      <c r="H80" s="78"/>
      <c r="I80" s="78">
        <f>'W2 Stats'!O25*I10</f>
        <v>0</v>
      </c>
      <c r="J80" s="99"/>
      <c r="K80" s="78">
        <f>'W2 Stats'!O25*K10</f>
        <v>0</v>
      </c>
      <c r="M80" s="77" t="s">
        <v>119</v>
      </c>
      <c r="N80" s="78"/>
      <c r="O80" s="78">
        <f>'W2 Stats'!O26*O10</f>
        <v>0</v>
      </c>
      <c r="P80" s="99"/>
      <c r="Q80" s="78">
        <f>'W2 Stats'!O26*Q10</f>
        <v>0</v>
      </c>
      <c r="S80" s="77" t="s">
        <v>119</v>
      </c>
      <c r="T80" s="78"/>
      <c r="U80" s="78">
        <f>'W2 Stats'!O27*U10</f>
        <v>0</v>
      </c>
      <c r="V80" s="99"/>
      <c r="W80" s="78">
        <f>'W2 Stats'!O27*W10</f>
        <v>0</v>
      </c>
      <c r="Y80" s="77" t="s">
        <v>119</v>
      </c>
      <c r="Z80" s="78"/>
      <c r="AA80" s="78">
        <f>'W2 Stats'!O28*AA10</f>
        <v>0</v>
      </c>
      <c r="AB80" s="99"/>
      <c r="AC80" s="78">
        <f>'W2 Stats'!O28*AC10</f>
        <v>0</v>
      </c>
    </row>
    <row r="81">
      <c r="A81" s="77" t="s">
        <v>120</v>
      </c>
      <c r="B81" s="99"/>
      <c r="C81" s="99"/>
      <c r="D81" s="78">
        <f>'W2 Stats'!P23*D11</f>
        <v>0</v>
      </c>
      <c r="E81" s="78">
        <f>'W2 Stats'!P23*E11</f>
        <v>0</v>
      </c>
      <c r="G81" s="77" t="s">
        <v>120</v>
      </c>
      <c r="H81" s="99"/>
      <c r="I81" s="99"/>
      <c r="J81" s="78">
        <f>'W2 Stats'!P25*J11</f>
        <v>0</v>
      </c>
      <c r="K81" s="78">
        <f>'W2 Stats'!P25*K11</f>
        <v>0</v>
      </c>
      <c r="M81" s="77" t="s">
        <v>120</v>
      </c>
      <c r="N81" s="99"/>
      <c r="O81" s="99"/>
      <c r="P81" s="78">
        <f>'W2 Stats'!P26*P11</f>
        <v>0</v>
      </c>
      <c r="Q81" s="78">
        <f>'W2 Stats'!P26*Q11</f>
        <v>0</v>
      </c>
      <c r="S81" s="77" t="s">
        <v>120</v>
      </c>
      <c r="T81" s="99"/>
      <c r="U81" s="99"/>
      <c r="V81" s="78">
        <f>'W2 Stats'!P27*V11</f>
        <v>0</v>
      </c>
      <c r="W81" s="78">
        <f>'W2 Stats'!P27*W11</f>
        <v>0</v>
      </c>
      <c r="Y81" s="77" t="s">
        <v>120</v>
      </c>
      <c r="Z81" s="99"/>
      <c r="AA81" s="99"/>
      <c r="AB81" s="78">
        <f>'W2 Stats'!P28*AB11</f>
        <v>0</v>
      </c>
      <c r="AC81" s="78">
        <f>'W2 Stats'!P28*AC11</f>
        <v>0</v>
      </c>
    </row>
    <row r="82">
      <c r="A82" s="77" t="s">
        <v>121</v>
      </c>
      <c r="B82" s="78">
        <f>'W2 Stats'!Q23*B12</f>
        <v>0</v>
      </c>
      <c r="C82" s="78">
        <f>'W2 Stats'!Q23*C12</f>
        <v>0</v>
      </c>
      <c r="D82" s="78">
        <f>'W2 Stats'!Q23*D12</f>
        <v>0</v>
      </c>
      <c r="E82" s="78">
        <f>'W2 Stats'!Q23*E12</f>
        <v>0</v>
      </c>
      <c r="G82" s="77" t="s">
        <v>121</v>
      </c>
      <c r="H82" s="78">
        <f>'W2 Stats'!Q25*H12</f>
        <v>0</v>
      </c>
      <c r="I82" s="78">
        <f>'W2 Stats'!Q25*I12</f>
        <v>0</v>
      </c>
      <c r="J82" s="78">
        <f>'W2 Stats'!Q25*J12</f>
        <v>0</v>
      </c>
      <c r="K82" s="78">
        <f>'W2 Stats'!Q25*K12</f>
        <v>0</v>
      </c>
      <c r="M82" s="77" t="s">
        <v>121</v>
      </c>
      <c r="N82" s="78">
        <f>'W2 Stats'!Q26*N12</f>
        <v>0</v>
      </c>
      <c r="O82" s="78">
        <f>'W2 Stats'!Q26*O12</f>
        <v>0</v>
      </c>
      <c r="P82" s="78">
        <f>'W2 Stats'!Q26*P12</f>
        <v>0</v>
      </c>
      <c r="Q82" s="78">
        <f>'W2 Stats'!Q26*Q12</f>
        <v>0</v>
      </c>
      <c r="S82" s="77" t="s">
        <v>121</v>
      </c>
      <c r="T82" s="78">
        <f>'W2 Stats'!Q27*T12</f>
        <v>0</v>
      </c>
      <c r="U82" s="78">
        <f>'W2 Stats'!Q27*U12</f>
        <v>0</v>
      </c>
      <c r="V82" s="78">
        <f>'W2 Stats'!Q27*V12</f>
        <v>0</v>
      </c>
      <c r="W82" s="78">
        <f>'W2 Stats'!Q27*W12</f>
        <v>0</v>
      </c>
      <c r="Y82" s="77" t="s">
        <v>121</v>
      </c>
      <c r="Z82" s="78">
        <f>'W2 Stats'!Q28*Z12</f>
        <v>0</v>
      </c>
      <c r="AA82" s="78">
        <f>'W2 Stats'!Q28*AA12</f>
        <v>0</v>
      </c>
      <c r="AB82" s="78">
        <f>'W2 Stats'!Q28*AB12</f>
        <v>0</v>
      </c>
      <c r="AC82" s="78">
        <f>'W2 Stats'!Q28*AC12</f>
        <v>0</v>
      </c>
    </row>
    <row r="83">
      <c r="A83" s="77" t="s">
        <v>122</v>
      </c>
      <c r="B83" s="78">
        <f t="shared" ref="B83:E83" si="70">SUM(B72:B82)</f>
        <v>0</v>
      </c>
      <c r="C83" s="78">
        <f t="shared" si="70"/>
        <v>0</v>
      </c>
      <c r="D83" s="78">
        <f t="shared" si="70"/>
        <v>0</v>
      </c>
      <c r="E83" s="78">
        <f t="shared" si="70"/>
        <v>0</v>
      </c>
      <c r="G83" s="77" t="s">
        <v>122</v>
      </c>
      <c r="H83" s="78">
        <f t="shared" ref="H83:K83" si="71">SUM(H72:H82)</f>
        <v>0</v>
      </c>
      <c r="I83" s="78">
        <f t="shared" si="71"/>
        <v>0</v>
      </c>
      <c r="J83" s="78">
        <f t="shared" si="71"/>
        <v>0</v>
      </c>
      <c r="K83" s="78">
        <f t="shared" si="71"/>
        <v>0</v>
      </c>
      <c r="M83" s="77" t="s">
        <v>122</v>
      </c>
      <c r="N83" s="78">
        <f t="shared" ref="N83:Q83" si="72">SUM(N72:N82)</f>
        <v>0</v>
      </c>
      <c r="O83" s="78">
        <f t="shared" si="72"/>
        <v>0</v>
      </c>
      <c r="P83" s="78">
        <f t="shared" si="72"/>
        <v>0</v>
      </c>
      <c r="Q83" s="78">
        <f t="shared" si="72"/>
        <v>0</v>
      </c>
      <c r="S83" s="77" t="s">
        <v>122</v>
      </c>
      <c r="T83" s="78">
        <f t="shared" ref="T83:W83" si="73">SUM(T72:T82)</f>
        <v>0</v>
      </c>
      <c r="U83" s="78">
        <f t="shared" si="73"/>
        <v>0</v>
      </c>
      <c r="V83" s="78">
        <f t="shared" si="73"/>
        <v>0</v>
      </c>
      <c r="W83" s="78">
        <f t="shared" si="73"/>
        <v>0</v>
      </c>
      <c r="Y83" s="77" t="s">
        <v>122</v>
      </c>
      <c r="Z83" s="78">
        <f t="shared" ref="Z83:AC83" si="74">SUM(Z72:Z82)</f>
        <v>0</v>
      </c>
      <c r="AA83" s="78">
        <f t="shared" si="74"/>
        <v>0</v>
      </c>
      <c r="AB83" s="78">
        <f t="shared" si="74"/>
        <v>0</v>
      </c>
      <c r="AC83" s="78">
        <f t="shared" si="74"/>
        <v>0</v>
      </c>
    </row>
    <row r="85">
      <c r="A85" s="77" t="str">
        <f>'W2 Stats'!B29</f>
        <v>The Piggies</v>
      </c>
      <c r="B85" s="74" t="s">
        <v>94</v>
      </c>
      <c r="C85" s="74" t="s">
        <v>95</v>
      </c>
      <c r="D85" s="74" t="s">
        <v>96</v>
      </c>
      <c r="E85" s="74" t="s">
        <v>97</v>
      </c>
      <c r="F85" s="1"/>
      <c r="G85" s="77" t="str">
        <f>'W2 Stats'!B30</f>
        <v>Invayda Zim</v>
      </c>
      <c r="H85" s="74" t="s">
        <v>94</v>
      </c>
      <c r="I85" s="74" t="s">
        <v>95</v>
      </c>
      <c r="J85" s="74" t="s">
        <v>96</v>
      </c>
      <c r="K85" s="74" t="s">
        <v>97</v>
      </c>
      <c r="M85" s="77" t="str">
        <f>'W2 Stats'!B31</f>
        <v>DlGITAL PAIN</v>
      </c>
      <c r="N85" s="74" t="s">
        <v>94</v>
      </c>
      <c r="O85" s="74" t="s">
        <v>95</v>
      </c>
      <c r="P85" s="74" t="s">
        <v>96</v>
      </c>
      <c r="Q85" s="74" t="s">
        <v>97</v>
      </c>
      <c r="S85" s="77" t="str">
        <f>'W2 Stats'!B32</f>
        <v>PoisonxPoptart</v>
      </c>
      <c r="T85" s="74" t="s">
        <v>94</v>
      </c>
      <c r="U85" s="74" t="s">
        <v>95</v>
      </c>
      <c r="V85" s="74" t="s">
        <v>96</v>
      </c>
      <c r="W85" s="74" t="s">
        <v>97</v>
      </c>
      <c r="Y85" s="77" t="str">
        <f>'W2 Stats'!B33</f>
        <v>Mang Canon</v>
      </c>
      <c r="Z85" s="74" t="s">
        <v>94</v>
      </c>
      <c r="AA85" s="74" t="s">
        <v>95</v>
      </c>
      <c r="AB85" s="74" t="s">
        <v>96</v>
      </c>
      <c r="AC85" s="74" t="s">
        <v>97</v>
      </c>
    </row>
    <row r="86">
      <c r="A86" s="77" t="s">
        <v>108</v>
      </c>
      <c r="B86" s="78">
        <f>'W2 Stats'!D29*B2</f>
        <v>0</v>
      </c>
      <c r="C86" s="78"/>
      <c r="D86" s="78"/>
      <c r="E86" s="78">
        <f>'W2 Stats'!D29*E2</f>
        <v>0</v>
      </c>
      <c r="G86" s="77" t="s">
        <v>108</v>
      </c>
      <c r="H86" s="78">
        <f>'W2 Stats'!D30*H2</f>
        <v>0</v>
      </c>
      <c r="I86" s="78"/>
      <c r="J86" s="78"/>
      <c r="K86" s="78">
        <f>'W2 Stats'!D30*K2</f>
        <v>0</v>
      </c>
      <c r="M86" s="77" t="s">
        <v>108</v>
      </c>
      <c r="N86" s="78">
        <f>'W2 Stats'!D31*N2</f>
        <v>0</v>
      </c>
      <c r="O86" s="78"/>
      <c r="P86" s="78"/>
      <c r="Q86" s="78">
        <f>'W2 Stats'!D31*Q2</f>
        <v>0</v>
      </c>
      <c r="S86" s="77" t="s">
        <v>108</v>
      </c>
      <c r="T86" s="78">
        <f>'W2 Stats'!D32*T2</f>
        <v>0</v>
      </c>
      <c r="U86" s="78"/>
      <c r="V86" s="78"/>
      <c r="W86" s="78">
        <f>'W2 Stats'!D32*W2</f>
        <v>0</v>
      </c>
      <c r="Y86" s="77" t="s">
        <v>108</v>
      </c>
      <c r="Z86" s="78">
        <f>'W2 Stats'!D33*Z2</f>
        <v>0</v>
      </c>
      <c r="AA86" s="78"/>
      <c r="AB86" s="78"/>
      <c r="AC86" s="78">
        <f>'W2 Stats'!D33*AC2</f>
        <v>0</v>
      </c>
    </row>
    <row r="87">
      <c r="A87" s="77" t="s">
        <v>112</v>
      </c>
      <c r="B87" s="78"/>
      <c r="C87" s="78"/>
      <c r="D87" s="78">
        <f>'W2 Stats'!H29*D3</f>
        <v>0</v>
      </c>
      <c r="E87" s="78"/>
      <c r="G87" s="77" t="s">
        <v>112</v>
      </c>
      <c r="H87" s="78"/>
      <c r="I87" s="78"/>
      <c r="J87" s="78">
        <f>'W2 Stats'!H30*J3</f>
        <v>0</v>
      </c>
      <c r="K87" s="78"/>
      <c r="M87" s="77" t="s">
        <v>112</v>
      </c>
      <c r="N87" s="78"/>
      <c r="O87" s="78"/>
      <c r="P87" s="78">
        <f>'W2 Stats'!H31*P3</f>
        <v>0</v>
      </c>
      <c r="Q87" s="78"/>
      <c r="S87" s="77" t="s">
        <v>112</v>
      </c>
      <c r="T87" s="78"/>
      <c r="U87" s="78"/>
      <c r="V87" s="78">
        <f>'W2 Stats'!H32*V3</f>
        <v>0</v>
      </c>
      <c r="W87" s="78"/>
      <c r="Y87" s="77" t="s">
        <v>112</v>
      </c>
      <c r="Z87" s="78"/>
      <c r="AA87" s="78"/>
      <c r="AB87" s="78">
        <f>'W2 Stats'!H33*AB3</f>
        <v>0</v>
      </c>
      <c r="AC87" s="78"/>
    </row>
    <row r="88">
      <c r="A88" s="77" t="s">
        <v>113</v>
      </c>
      <c r="B88" s="78">
        <f>'W2 Stats'!I29*B4</f>
        <v>0</v>
      </c>
      <c r="C88" s="78"/>
      <c r="D88" s="78"/>
      <c r="E88" s="78"/>
      <c r="G88" s="77" t="s">
        <v>113</v>
      </c>
      <c r="H88" s="78">
        <f>'W2 Stats'!I30*H4</f>
        <v>0</v>
      </c>
      <c r="I88" s="78"/>
      <c r="J88" s="78"/>
      <c r="K88" s="78"/>
      <c r="M88" s="77" t="s">
        <v>113</v>
      </c>
      <c r="N88" s="78">
        <f>'W2 Stats'!I31*N4</f>
        <v>0</v>
      </c>
      <c r="O88" s="78"/>
      <c r="P88" s="78"/>
      <c r="Q88" s="78"/>
      <c r="S88" s="77" t="s">
        <v>113</v>
      </c>
      <c r="T88" s="78">
        <f>'W2 Stats'!I32*T4</f>
        <v>0</v>
      </c>
      <c r="U88" s="78"/>
      <c r="V88" s="78"/>
      <c r="W88" s="78"/>
      <c r="Y88" s="77" t="s">
        <v>113</v>
      </c>
      <c r="Z88" s="78">
        <f>'W2 Stats'!I33*Z4</f>
        <v>0</v>
      </c>
      <c r="AA88" s="78"/>
      <c r="AB88" s="78"/>
      <c r="AC88" s="78"/>
    </row>
    <row r="89">
      <c r="A89" s="77" t="s">
        <v>114</v>
      </c>
      <c r="B89" s="78"/>
      <c r="C89" s="78">
        <f>'W2 Stats'!J29*C5</f>
        <v>0</v>
      </c>
      <c r="D89" s="78"/>
      <c r="E89" s="78">
        <f>'W2 Stats'!J29*E5</f>
        <v>0</v>
      </c>
      <c r="G89" s="77" t="s">
        <v>114</v>
      </c>
      <c r="H89" s="78"/>
      <c r="I89" s="78">
        <f>'W2 Stats'!J30*I5</f>
        <v>0</v>
      </c>
      <c r="J89" s="78"/>
      <c r="K89" s="78">
        <f>'W2 Stats'!J30*K5</f>
        <v>0</v>
      </c>
      <c r="M89" s="77" t="s">
        <v>114</v>
      </c>
      <c r="N89" s="78"/>
      <c r="O89" s="78">
        <f>'W2 Stats'!J31*O5</f>
        <v>0</v>
      </c>
      <c r="P89" s="78"/>
      <c r="Q89" s="78">
        <f>'W2 Stats'!J31*Q5</f>
        <v>0</v>
      </c>
      <c r="S89" s="77" t="s">
        <v>114</v>
      </c>
      <c r="T89" s="78"/>
      <c r="U89" s="78">
        <f>'W2 Stats'!J32*U5</f>
        <v>0</v>
      </c>
      <c r="V89" s="78"/>
      <c r="W89" s="78">
        <f>'W2 Stats'!J32*W5</f>
        <v>0</v>
      </c>
      <c r="Y89" s="77" t="s">
        <v>114</v>
      </c>
      <c r="Z89" s="78"/>
      <c r="AA89" s="78">
        <f>'W2 Stats'!J33*AA5</f>
        <v>0</v>
      </c>
      <c r="AB89" s="78"/>
      <c r="AC89" s="78">
        <f>'W2 Stats'!J33*AC5</f>
        <v>0</v>
      </c>
    </row>
    <row r="90">
      <c r="A90" s="77" t="s">
        <v>115</v>
      </c>
      <c r="B90" s="78"/>
      <c r="C90" s="78">
        <f>'W2 Stats'!K29*C6</f>
        <v>0</v>
      </c>
      <c r="D90" s="78"/>
      <c r="E90" s="78">
        <f>'W2 Stats'!K29*E6</f>
        <v>0</v>
      </c>
      <c r="G90" s="77" t="s">
        <v>115</v>
      </c>
      <c r="H90" s="78"/>
      <c r="I90" s="78">
        <f>'W2 Stats'!K30*I6</f>
        <v>0</v>
      </c>
      <c r="J90" s="78"/>
      <c r="K90" s="78">
        <f>'W2 Stats'!K30*K6</f>
        <v>0</v>
      </c>
      <c r="M90" s="77" t="s">
        <v>115</v>
      </c>
      <c r="N90" s="78"/>
      <c r="O90" s="78">
        <f>'W2 Stats'!K31*O6</f>
        <v>0</v>
      </c>
      <c r="P90" s="78"/>
      <c r="Q90" s="78">
        <f>'W2 Stats'!K31*Q6</f>
        <v>0</v>
      </c>
      <c r="S90" s="77" t="s">
        <v>115</v>
      </c>
      <c r="T90" s="78"/>
      <c r="U90" s="78">
        <f>'W2 Stats'!K32*U6</f>
        <v>0</v>
      </c>
      <c r="V90" s="78"/>
      <c r="W90" s="78">
        <f>'W2 Stats'!K32*W6</f>
        <v>0</v>
      </c>
      <c r="Y90" s="77" t="s">
        <v>115</v>
      </c>
      <c r="Z90" s="78"/>
      <c r="AA90" s="78">
        <f>'W2 Stats'!K33*AA6</f>
        <v>0</v>
      </c>
      <c r="AB90" s="78"/>
      <c r="AC90" s="78">
        <f>'W2 Stats'!K33*AC6</f>
        <v>0</v>
      </c>
    </row>
    <row r="91">
      <c r="A91" s="77" t="s">
        <v>116</v>
      </c>
      <c r="B91" s="78">
        <f>'W2 Stats'!L29*B7</f>
        <v>0</v>
      </c>
      <c r="C91" s="78"/>
      <c r="D91" s="78">
        <f>'W2 Stats'!L29*D7</f>
        <v>0</v>
      </c>
      <c r="E91" s="78"/>
      <c r="G91" s="77" t="s">
        <v>116</v>
      </c>
      <c r="H91" s="78">
        <f>'W2 Stats'!L30*H7</f>
        <v>0</v>
      </c>
      <c r="I91" s="78"/>
      <c r="J91" s="78">
        <f>'W2 Stats'!L30*J7</f>
        <v>0</v>
      </c>
      <c r="K91" s="78"/>
      <c r="M91" s="77" t="s">
        <v>116</v>
      </c>
      <c r="N91" s="78">
        <f>'W2 Stats'!L31*N7</f>
        <v>0</v>
      </c>
      <c r="O91" s="78"/>
      <c r="P91" s="78">
        <f>'W2 Stats'!L31*P7</f>
        <v>0</v>
      </c>
      <c r="Q91" s="78"/>
      <c r="S91" s="77" t="s">
        <v>116</v>
      </c>
      <c r="T91" s="78">
        <f>'W2 Stats'!L32*T7</f>
        <v>0</v>
      </c>
      <c r="U91" s="78"/>
      <c r="V91" s="78">
        <f>'W2 Stats'!L32*V7</f>
        <v>0</v>
      </c>
      <c r="W91" s="78"/>
      <c r="Y91" s="77" t="s">
        <v>116</v>
      </c>
      <c r="Z91" s="78">
        <f>'W2 Stats'!L33*Z7</f>
        <v>0</v>
      </c>
      <c r="AA91" s="78"/>
      <c r="AB91" s="78">
        <f>'W2 Stats'!L33*AB7</f>
        <v>0</v>
      </c>
      <c r="AC91" s="78"/>
    </row>
    <row r="92">
      <c r="A92" s="77" t="s">
        <v>117</v>
      </c>
      <c r="B92" s="78"/>
      <c r="C92" s="78">
        <f>'W2 Stats'!M29*C8</f>
        <v>0</v>
      </c>
      <c r="D92" s="78"/>
      <c r="E92" s="78"/>
      <c r="G92" s="77" t="s">
        <v>117</v>
      </c>
      <c r="H92" s="78"/>
      <c r="I92" s="78">
        <f>'W2 Stats'!M30*C8</f>
        <v>0</v>
      </c>
      <c r="J92" s="78"/>
      <c r="K92" s="78"/>
      <c r="M92" s="77" t="s">
        <v>117</v>
      </c>
      <c r="N92" s="78"/>
      <c r="O92" s="78">
        <f>'W2 Stats'!M31*O8</f>
        <v>0</v>
      </c>
      <c r="P92" s="78"/>
      <c r="Q92" s="78"/>
      <c r="S92" s="77" t="s">
        <v>117</v>
      </c>
      <c r="T92" s="78"/>
      <c r="U92" s="78">
        <f>'W2 Stats'!M32*U8</f>
        <v>0</v>
      </c>
      <c r="V92" s="78"/>
      <c r="W92" s="78"/>
      <c r="Y92" s="77" t="s">
        <v>117</v>
      </c>
      <c r="Z92" s="78"/>
      <c r="AA92" s="78">
        <f>'W2 Stats'!M33*AA8</f>
        <v>0</v>
      </c>
      <c r="AB92" s="78"/>
      <c r="AC92" s="78"/>
    </row>
    <row r="93">
      <c r="A93" s="77" t="s">
        <v>118</v>
      </c>
      <c r="B93" s="78"/>
      <c r="C93" s="78"/>
      <c r="D93" s="78">
        <f>'W2 Stats'!N29*D9</f>
        <v>0</v>
      </c>
      <c r="E93" s="78">
        <f>'W2 Stats'!N29*E9</f>
        <v>0</v>
      </c>
      <c r="G93" s="77" t="s">
        <v>118</v>
      </c>
      <c r="H93" s="78"/>
      <c r="I93" s="78"/>
      <c r="J93" s="78">
        <f>'W2 Stats'!N30*J9</f>
        <v>0</v>
      </c>
      <c r="K93" s="78">
        <f>'W2 Stats'!N30*K9</f>
        <v>0</v>
      </c>
      <c r="M93" s="77" t="s">
        <v>118</v>
      </c>
      <c r="N93" s="78"/>
      <c r="O93" s="78"/>
      <c r="P93" s="78">
        <f>'W2 Stats'!N31*P9</f>
        <v>0</v>
      </c>
      <c r="Q93" s="78">
        <f>'W2 Stats'!N31*Q9</f>
        <v>0</v>
      </c>
      <c r="S93" s="77" t="s">
        <v>118</v>
      </c>
      <c r="T93" s="78"/>
      <c r="U93" s="78"/>
      <c r="V93" s="78">
        <f>'W2 Stats'!N32*V9</f>
        <v>0</v>
      </c>
      <c r="W93" s="78">
        <f>'W2 Stats'!N32*W9</f>
        <v>0</v>
      </c>
      <c r="Y93" s="77" t="s">
        <v>118</v>
      </c>
      <c r="Z93" s="78"/>
      <c r="AA93" s="78"/>
      <c r="AB93" s="78">
        <f>'W2 Stats'!N33*AB9</f>
        <v>0</v>
      </c>
      <c r="AC93" s="78">
        <f>'W2 Stats'!N33*AC9</f>
        <v>0</v>
      </c>
    </row>
    <row r="94">
      <c r="A94" s="77" t="s">
        <v>119</v>
      </c>
      <c r="B94" s="78"/>
      <c r="C94" s="78">
        <f>'W2 Stats'!O29*C10</f>
        <v>0</v>
      </c>
      <c r="D94" s="78"/>
      <c r="E94" s="78">
        <f>'W2 Stats'!O29*E10</f>
        <v>0</v>
      </c>
      <c r="G94" s="77" t="s">
        <v>119</v>
      </c>
      <c r="H94" s="78"/>
      <c r="I94" s="78">
        <f>'W2 Stats'!O30*I10</f>
        <v>0</v>
      </c>
      <c r="J94" s="78"/>
      <c r="K94" s="78">
        <f>'W2 Stats'!O30*K10</f>
        <v>0</v>
      </c>
      <c r="M94" s="77" t="s">
        <v>119</v>
      </c>
      <c r="N94" s="78"/>
      <c r="O94" s="78">
        <f>'W2 Stats'!O31*O10</f>
        <v>0</v>
      </c>
      <c r="P94" s="78"/>
      <c r="Q94" s="78">
        <f>'W2 Stats'!O31*Q10</f>
        <v>0</v>
      </c>
      <c r="S94" s="77" t="s">
        <v>119</v>
      </c>
      <c r="T94" s="78"/>
      <c r="U94" s="78">
        <f>'W2 Stats'!O32*U10</f>
        <v>0</v>
      </c>
      <c r="V94" s="78"/>
      <c r="W94" s="78">
        <f>'W2 Stats'!O32*W10</f>
        <v>0</v>
      </c>
      <c r="Y94" s="77" t="s">
        <v>119</v>
      </c>
      <c r="Z94" s="78"/>
      <c r="AA94" s="78">
        <f>'W2 Stats'!O33*AA10</f>
        <v>0</v>
      </c>
      <c r="AB94" s="78"/>
      <c r="AC94" s="78">
        <f>'W2 Stats'!O33*AC10</f>
        <v>0</v>
      </c>
    </row>
    <row r="95">
      <c r="A95" s="77" t="s">
        <v>120</v>
      </c>
      <c r="B95" s="78"/>
      <c r="C95" s="78"/>
      <c r="D95" s="78">
        <f>'W2 Stats'!P29*D11</f>
        <v>0</v>
      </c>
      <c r="E95" s="78">
        <f>'W2 Stats'!P29*E11</f>
        <v>0</v>
      </c>
      <c r="G95" s="77" t="s">
        <v>120</v>
      </c>
      <c r="H95" s="78"/>
      <c r="I95" s="78"/>
      <c r="J95" s="78">
        <f>'W2 Stats'!P30*J11</f>
        <v>0</v>
      </c>
      <c r="K95" s="78">
        <f>'W2 Stats'!P30*K11</f>
        <v>0</v>
      </c>
      <c r="M95" s="77" t="s">
        <v>120</v>
      </c>
      <c r="N95" s="78"/>
      <c r="O95" s="78"/>
      <c r="P95" s="78">
        <f>'W2 Stats'!P31*P11</f>
        <v>0</v>
      </c>
      <c r="Q95" s="78">
        <f>'W2 Stats'!P31*Q11</f>
        <v>0</v>
      </c>
      <c r="S95" s="77" t="s">
        <v>120</v>
      </c>
      <c r="T95" s="78"/>
      <c r="U95" s="78"/>
      <c r="V95" s="78">
        <f>'W2 Stats'!P32*V11</f>
        <v>0</v>
      </c>
      <c r="W95" s="78">
        <f>'W2 Stats'!P32*W11</f>
        <v>0</v>
      </c>
      <c r="Y95" s="77" t="s">
        <v>120</v>
      </c>
      <c r="Z95" s="78"/>
      <c r="AA95" s="78"/>
      <c r="AB95" s="78">
        <f>'W2 Stats'!P33*AB11</f>
        <v>0</v>
      </c>
      <c r="AC95" s="78">
        <f>'W2 Stats'!P33*AC11</f>
        <v>0</v>
      </c>
    </row>
    <row r="96">
      <c r="A96" s="77" t="s">
        <v>121</v>
      </c>
      <c r="B96" s="78">
        <f>'W2 Stats'!Q29*B12</f>
        <v>0</v>
      </c>
      <c r="C96" s="78">
        <f>'W2 Stats'!Q29*C12</f>
        <v>0</v>
      </c>
      <c r="D96" s="78">
        <f>'W2 Stats'!Q29*D12</f>
        <v>0</v>
      </c>
      <c r="E96" s="78">
        <f>'W2 Stats'!Q29*E12</f>
        <v>0</v>
      </c>
      <c r="G96" s="77" t="s">
        <v>121</v>
      </c>
      <c r="H96" s="78">
        <f>'W2 Stats'!Q30*H12</f>
        <v>0</v>
      </c>
      <c r="I96" s="78">
        <f>'W2 Stats'!Q30*I12</f>
        <v>0</v>
      </c>
      <c r="J96" s="78">
        <f>'W2 Stats'!Q30*J12</f>
        <v>0</v>
      </c>
      <c r="K96" s="78">
        <f>'W2 Stats'!Q30*K12</f>
        <v>0</v>
      </c>
      <c r="M96" s="77" t="s">
        <v>121</v>
      </c>
      <c r="N96" s="78">
        <f>'W2 Stats'!Q31*N12</f>
        <v>0</v>
      </c>
      <c r="O96" s="78">
        <f>'W2 Stats'!Q31*O12</f>
        <v>0</v>
      </c>
      <c r="P96" s="78">
        <f>'W2 Stats'!Q31*P12</f>
        <v>0</v>
      </c>
      <c r="Q96" s="78">
        <f>'W2 Stats'!Q31*Q12</f>
        <v>0</v>
      </c>
      <c r="S96" s="77" t="s">
        <v>121</v>
      </c>
      <c r="T96" s="78">
        <f>'W2 Stats'!Q32*T12</f>
        <v>0</v>
      </c>
      <c r="U96" s="78">
        <f>'W2 Stats'!Q32*U12</f>
        <v>0</v>
      </c>
      <c r="V96" s="78">
        <f>'W2 Stats'!Q32*V12</f>
        <v>0</v>
      </c>
      <c r="W96" s="78">
        <f>'W2 Stats'!Q32*W12</f>
        <v>0</v>
      </c>
      <c r="Y96" s="77" t="s">
        <v>121</v>
      </c>
      <c r="Z96" s="78">
        <f>'W2 Stats'!Q33*Z12</f>
        <v>0</v>
      </c>
      <c r="AA96" s="78">
        <f>'W2 Stats'!Q33*AA12</f>
        <v>0</v>
      </c>
      <c r="AB96" s="78">
        <f>'W2 Stats'!Q33*AB12</f>
        <v>0</v>
      </c>
      <c r="AC96" s="78">
        <f>'W2 Stats'!Q33*AC12</f>
        <v>0</v>
      </c>
    </row>
    <row r="97">
      <c r="A97" s="77" t="s">
        <v>122</v>
      </c>
      <c r="B97" s="78">
        <f t="shared" ref="B97:E97" si="75">SUM(B86:B96)</f>
        <v>0</v>
      </c>
      <c r="C97" s="78">
        <f t="shared" si="75"/>
        <v>0</v>
      </c>
      <c r="D97" s="78">
        <f t="shared" si="75"/>
        <v>0</v>
      </c>
      <c r="E97" s="78">
        <f t="shared" si="75"/>
        <v>0</v>
      </c>
      <c r="G97" s="77" t="s">
        <v>122</v>
      </c>
      <c r="H97" s="78">
        <f t="shared" ref="H97:K97" si="76">SUM(H86:H96)</f>
        <v>0</v>
      </c>
      <c r="I97" s="78">
        <f t="shared" si="76"/>
        <v>0</v>
      </c>
      <c r="J97" s="78">
        <f t="shared" si="76"/>
        <v>0</v>
      </c>
      <c r="K97" s="78">
        <f t="shared" si="76"/>
        <v>0</v>
      </c>
      <c r="M97" s="77" t="s">
        <v>122</v>
      </c>
      <c r="N97" s="78">
        <f t="shared" ref="N97:Q97" si="77">SUM(N86:N96)</f>
        <v>0</v>
      </c>
      <c r="O97" s="78">
        <f t="shared" si="77"/>
        <v>0</v>
      </c>
      <c r="P97" s="78">
        <f t="shared" si="77"/>
        <v>0</v>
      </c>
      <c r="Q97" s="78">
        <f t="shared" si="77"/>
        <v>0</v>
      </c>
      <c r="S97" s="77" t="s">
        <v>122</v>
      </c>
      <c r="T97" s="78">
        <f t="shared" ref="T97:W97" si="78">SUM(T86:T96)</f>
        <v>0</v>
      </c>
      <c r="U97" s="78">
        <f t="shared" si="78"/>
        <v>0</v>
      </c>
      <c r="V97" s="78">
        <f t="shared" si="78"/>
        <v>0</v>
      </c>
      <c r="W97" s="78">
        <f t="shared" si="78"/>
        <v>0</v>
      </c>
      <c r="Y97" s="77" t="s">
        <v>122</v>
      </c>
      <c r="Z97" s="78">
        <f t="shared" ref="Z97:AC97" si="79">SUM(Z86:Z96)</f>
        <v>0</v>
      </c>
      <c r="AA97" s="78">
        <f t="shared" si="79"/>
        <v>0</v>
      </c>
      <c r="AB97" s="78">
        <f t="shared" si="79"/>
        <v>0</v>
      </c>
      <c r="AC97" s="78">
        <f t="shared" si="79"/>
        <v>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7" max="7" width="2.25"/>
    <col customWidth="1" min="8" max="8" width="11.88"/>
    <col customWidth="1" min="14" max="14" width="2.25"/>
    <col customWidth="1" min="15" max="15" width="11.88"/>
  </cols>
  <sheetData>
    <row r="1">
      <c r="A1" s="73" t="s">
        <v>18</v>
      </c>
      <c r="H1" s="73" t="s">
        <v>21</v>
      </c>
      <c r="O1" s="73" t="s">
        <v>25</v>
      </c>
    </row>
    <row r="2">
      <c r="A2" s="74" t="s">
        <v>7</v>
      </c>
      <c r="B2" s="74" t="s">
        <v>94</v>
      </c>
      <c r="C2" s="74" t="s">
        <v>95</v>
      </c>
      <c r="D2" s="74" t="s">
        <v>96</v>
      </c>
      <c r="E2" s="74" t="s">
        <v>97</v>
      </c>
      <c r="F2" s="74" t="s">
        <v>98</v>
      </c>
      <c r="H2" s="74" t="s">
        <v>7</v>
      </c>
      <c r="I2" s="74" t="s">
        <v>94</v>
      </c>
      <c r="J2" s="74" t="s">
        <v>95</v>
      </c>
      <c r="K2" s="74" t="s">
        <v>96</v>
      </c>
      <c r="L2" s="74" t="s">
        <v>97</v>
      </c>
      <c r="M2" s="74" t="s">
        <v>98</v>
      </c>
      <c r="O2" s="74" t="s">
        <v>7</v>
      </c>
      <c r="P2" s="74" t="s">
        <v>94</v>
      </c>
      <c r="Q2" s="74" t="s">
        <v>95</v>
      </c>
      <c r="R2" s="74" t="s">
        <v>96</v>
      </c>
      <c r="S2" s="74" t="s">
        <v>97</v>
      </c>
      <c r="T2" s="74" t="s">
        <v>98</v>
      </c>
    </row>
    <row r="3">
      <c r="A3" s="75" t="s">
        <v>19</v>
      </c>
      <c r="B3" s="75" t="s">
        <v>99</v>
      </c>
      <c r="C3" s="75" t="s">
        <v>100</v>
      </c>
      <c r="D3" s="75" t="s">
        <v>101</v>
      </c>
      <c r="E3" s="75" t="s">
        <v>102</v>
      </c>
      <c r="F3" s="75" t="s">
        <v>103</v>
      </c>
      <c r="G3" s="76"/>
      <c r="H3" s="75" t="s">
        <v>22</v>
      </c>
      <c r="I3" s="75" t="s">
        <v>39</v>
      </c>
      <c r="J3" s="75" t="s">
        <v>104</v>
      </c>
      <c r="K3" s="75" t="s">
        <v>37</v>
      </c>
      <c r="L3" s="75" t="s">
        <v>105</v>
      </c>
      <c r="M3" s="75" t="s">
        <v>106</v>
      </c>
      <c r="N3" s="76"/>
      <c r="O3" s="75" t="s">
        <v>25</v>
      </c>
      <c r="P3" s="75" t="s">
        <v>106</v>
      </c>
      <c r="Q3" s="75" t="s">
        <v>25</v>
      </c>
      <c r="R3" s="75" t="s">
        <v>101</v>
      </c>
      <c r="S3" s="75" t="s">
        <v>107</v>
      </c>
      <c r="T3" s="75" t="s">
        <v>102</v>
      </c>
    </row>
    <row r="4">
      <c r="A4" s="77" t="s">
        <v>108</v>
      </c>
      <c r="B4" s="78">
        <f>'W3 Points'!H30</f>
        <v>0</v>
      </c>
      <c r="C4" s="78" t="str">
        <f>'W3 Points'!I86</f>
        <v/>
      </c>
      <c r="D4" s="78" t="str">
        <f>'W3 Points'!D16</f>
        <v/>
      </c>
      <c r="E4" s="78">
        <f>'W3 Points'!Q30</f>
        <v>0</v>
      </c>
      <c r="F4" s="78" t="s">
        <v>109</v>
      </c>
      <c r="H4" s="77" t="s">
        <v>108</v>
      </c>
      <c r="I4" s="78">
        <f>'W3 Points'!T58</f>
        <v>0</v>
      </c>
      <c r="J4" s="78" t="str">
        <f>'W3 Points'!I16</f>
        <v/>
      </c>
      <c r="K4" s="78" t="str">
        <f>'W3 Points'!D58</f>
        <v/>
      </c>
      <c r="L4" s="78">
        <f>'W3 Points'!W16</f>
        <v>0</v>
      </c>
      <c r="M4" s="78" t="s">
        <v>110</v>
      </c>
      <c r="O4" s="77" t="s">
        <v>108</v>
      </c>
      <c r="P4" s="78">
        <f>'W3 Points'!Z72</f>
        <v>0</v>
      </c>
      <c r="Q4" s="78" t="str">
        <f>'W3 Points'!O72</f>
        <v/>
      </c>
      <c r="R4" s="78" t="str">
        <f>'W3 Points'!D16</f>
        <v/>
      </c>
      <c r="S4" s="78">
        <f>'W3 Points'!E86</f>
        <v>0</v>
      </c>
      <c r="T4" s="78" t="s">
        <v>111</v>
      </c>
    </row>
    <row r="5">
      <c r="A5" s="77" t="s">
        <v>112</v>
      </c>
      <c r="B5" s="78" t="str">
        <f>'W3 Points'!H31</f>
        <v/>
      </c>
      <c r="C5" s="78" t="str">
        <f>'W3 Points'!I87</f>
        <v/>
      </c>
      <c r="D5" s="78">
        <f>'W3 Points'!D17</f>
        <v>0</v>
      </c>
      <c r="E5" s="78" t="str">
        <f>'W3 Points'!Q31</f>
        <v/>
      </c>
      <c r="F5" s="78"/>
      <c r="H5" s="77" t="s">
        <v>112</v>
      </c>
      <c r="I5" s="78" t="str">
        <f>'W3 Points'!T59</f>
        <v/>
      </c>
      <c r="J5" s="78" t="str">
        <f>'W3 Points'!I17</f>
        <v/>
      </c>
      <c r="K5" s="78">
        <f>'W3 Points'!D59</f>
        <v>0</v>
      </c>
      <c r="L5" s="78" t="str">
        <f>'W3 Points'!W17</f>
        <v/>
      </c>
      <c r="M5" s="78"/>
      <c r="O5" s="77" t="s">
        <v>112</v>
      </c>
      <c r="P5" s="78" t="str">
        <f>'W3 Points'!Z73</f>
        <v/>
      </c>
      <c r="Q5" s="78" t="str">
        <f>'W3 Points'!O73</f>
        <v/>
      </c>
      <c r="R5" s="78">
        <f>'W3 Points'!D17</f>
        <v>0</v>
      </c>
      <c r="S5" s="78" t="str">
        <f>'W3 Points'!E87</f>
        <v/>
      </c>
      <c r="T5" s="78"/>
    </row>
    <row r="6">
      <c r="A6" s="77" t="s">
        <v>113</v>
      </c>
      <c r="B6" s="78">
        <f>'W3 Points'!H32</f>
        <v>0</v>
      </c>
      <c r="C6" s="78" t="str">
        <f>'W3 Points'!I88</f>
        <v/>
      </c>
      <c r="D6" s="78" t="str">
        <f>'W3 Points'!D18</f>
        <v/>
      </c>
      <c r="E6" s="78" t="str">
        <f>'W3 Points'!Q32</f>
        <v/>
      </c>
      <c r="F6" s="78"/>
      <c r="H6" s="77" t="s">
        <v>113</v>
      </c>
      <c r="I6" s="78">
        <f>'W3 Points'!T60</f>
        <v>0</v>
      </c>
      <c r="J6" s="78" t="str">
        <f>'W3 Points'!I18</f>
        <v/>
      </c>
      <c r="K6" s="78" t="str">
        <f>'W3 Points'!D60</f>
        <v/>
      </c>
      <c r="L6" s="78" t="str">
        <f>'W3 Points'!W18</f>
        <v/>
      </c>
      <c r="M6" s="78"/>
      <c r="O6" s="77" t="s">
        <v>113</v>
      </c>
      <c r="P6" s="78">
        <f>'W3 Points'!Z74</f>
        <v>0</v>
      </c>
      <c r="Q6" s="78" t="str">
        <f>'W3 Points'!O74</f>
        <v/>
      </c>
      <c r="R6" s="78" t="str">
        <f>'W3 Points'!D18</f>
        <v/>
      </c>
      <c r="S6" s="78" t="str">
        <f>'W3 Points'!E88</f>
        <v/>
      </c>
      <c r="T6" s="78"/>
    </row>
    <row r="7">
      <c r="A7" s="77" t="s">
        <v>114</v>
      </c>
      <c r="B7" s="78" t="str">
        <f>'W3 Points'!H33</f>
        <v/>
      </c>
      <c r="C7" s="78">
        <f>'W3 Points'!I89</f>
        <v>0</v>
      </c>
      <c r="D7" s="78" t="str">
        <f>'W3 Points'!D19</f>
        <v/>
      </c>
      <c r="E7" s="78">
        <f>'W3 Points'!Q33</f>
        <v>0</v>
      </c>
      <c r="F7" s="78"/>
      <c r="H7" s="77" t="s">
        <v>114</v>
      </c>
      <c r="I7" s="78" t="str">
        <f>'W3 Points'!T61</f>
        <v/>
      </c>
      <c r="J7" s="78">
        <f>'W3 Points'!I19</f>
        <v>0</v>
      </c>
      <c r="K7" s="78" t="str">
        <f>'W3 Points'!D61</f>
        <v/>
      </c>
      <c r="L7" s="78">
        <f>'W3 Points'!W19</f>
        <v>0</v>
      </c>
      <c r="M7" s="78"/>
      <c r="O7" s="77" t="s">
        <v>114</v>
      </c>
      <c r="P7" s="78" t="str">
        <f>'W3 Points'!Z75</f>
        <v/>
      </c>
      <c r="Q7" s="78">
        <f>'W3 Points'!O75</f>
        <v>0</v>
      </c>
      <c r="R7" s="78" t="str">
        <f>'W3 Points'!D19</f>
        <v/>
      </c>
      <c r="S7" s="78">
        <f>'W3 Points'!E89</f>
        <v>0</v>
      </c>
      <c r="T7" s="78"/>
    </row>
    <row r="8">
      <c r="A8" s="77" t="s">
        <v>115</v>
      </c>
      <c r="B8" s="78" t="str">
        <f>'W3 Points'!H34</f>
        <v/>
      </c>
      <c r="C8" s="78">
        <f>'W3 Points'!I90</f>
        <v>0</v>
      </c>
      <c r="D8" s="78" t="str">
        <f>'W3 Points'!D20</f>
        <v/>
      </c>
      <c r="E8" s="78">
        <f>'W3 Points'!Q34</f>
        <v>0</v>
      </c>
      <c r="F8" s="78"/>
      <c r="H8" s="77" t="s">
        <v>115</v>
      </c>
      <c r="I8" s="78" t="str">
        <f>'W3 Points'!T62</f>
        <v/>
      </c>
      <c r="J8" s="78">
        <f>'W3 Points'!I20</f>
        <v>0</v>
      </c>
      <c r="K8" s="78" t="str">
        <f>'W3 Points'!D62</f>
        <v/>
      </c>
      <c r="L8" s="78">
        <f>'W3 Points'!W20</f>
        <v>0</v>
      </c>
      <c r="M8" s="78"/>
      <c r="O8" s="77" t="s">
        <v>115</v>
      </c>
      <c r="P8" s="78" t="str">
        <f>'W3 Points'!Z76</f>
        <v/>
      </c>
      <c r="Q8" s="78">
        <f>'W3 Points'!O76</f>
        <v>0</v>
      </c>
      <c r="R8" s="78" t="str">
        <f>'W3 Points'!D20</f>
        <v/>
      </c>
      <c r="S8" s="78">
        <f>'W3 Points'!E90</f>
        <v>0</v>
      </c>
      <c r="T8" s="78"/>
    </row>
    <row r="9">
      <c r="A9" s="77" t="s">
        <v>116</v>
      </c>
      <c r="B9" s="78">
        <f>'W3 Points'!H35</f>
        <v>0</v>
      </c>
      <c r="C9" s="78" t="str">
        <f>'W3 Points'!I91</f>
        <v/>
      </c>
      <c r="D9" s="78">
        <f>'W3 Points'!D21</f>
        <v>0</v>
      </c>
      <c r="E9" s="78" t="str">
        <f>'W3 Points'!Q35</f>
        <v/>
      </c>
      <c r="F9" s="78"/>
      <c r="H9" s="77" t="s">
        <v>116</v>
      </c>
      <c r="I9" s="78">
        <f>'W3 Points'!T63</f>
        <v>0</v>
      </c>
      <c r="J9" s="78" t="str">
        <f>'W3 Points'!I21</f>
        <v/>
      </c>
      <c r="K9" s="78">
        <f>'W3 Points'!D63</f>
        <v>0</v>
      </c>
      <c r="L9" s="78" t="str">
        <f>'W3 Points'!W21</f>
        <v/>
      </c>
      <c r="M9" s="78"/>
      <c r="O9" s="77" t="s">
        <v>116</v>
      </c>
      <c r="P9" s="78">
        <f>'W3 Points'!Z77</f>
        <v>0</v>
      </c>
      <c r="Q9" s="78" t="str">
        <f>'W3 Points'!O77</f>
        <v/>
      </c>
      <c r="R9" s="78">
        <f>'W3 Points'!D21</f>
        <v>0</v>
      </c>
      <c r="S9" s="78" t="str">
        <f>'W3 Points'!E91</f>
        <v/>
      </c>
      <c r="T9" s="78"/>
    </row>
    <row r="10">
      <c r="A10" s="77" t="s">
        <v>117</v>
      </c>
      <c r="B10" s="78" t="str">
        <f>'W3 Points'!H36</f>
        <v/>
      </c>
      <c r="C10" s="78">
        <f>'W3 Points'!I92</f>
        <v>0</v>
      </c>
      <c r="D10" s="78" t="str">
        <f>'W3 Points'!D22</f>
        <v/>
      </c>
      <c r="E10" s="78" t="str">
        <f>'W3 Points'!Q36</f>
        <v/>
      </c>
      <c r="F10" s="78"/>
      <c r="H10" s="77" t="s">
        <v>117</v>
      </c>
      <c r="I10" s="78" t="str">
        <f>'W3 Points'!T64</f>
        <v/>
      </c>
      <c r="J10" s="78">
        <f>'W3 Points'!I22</f>
        <v>0</v>
      </c>
      <c r="K10" s="78" t="str">
        <f>'W3 Points'!D64</f>
        <v/>
      </c>
      <c r="L10" s="78" t="str">
        <f>'W3 Points'!W22</f>
        <v/>
      </c>
      <c r="M10" s="78"/>
      <c r="O10" s="77" t="s">
        <v>117</v>
      </c>
      <c r="P10" s="78" t="str">
        <f>'W3 Points'!Z78</f>
        <v/>
      </c>
      <c r="Q10" s="78">
        <f>'W3 Points'!O78</f>
        <v>0</v>
      </c>
      <c r="R10" s="78" t="str">
        <f>'W3 Points'!D22</f>
        <v/>
      </c>
      <c r="S10" s="78" t="str">
        <f>'W3 Points'!E92</f>
        <v/>
      </c>
      <c r="T10" s="78"/>
    </row>
    <row r="11">
      <c r="A11" s="77" t="s">
        <v>118</v>
      </c>
      <c r="B11" s="78" t="str">
        <f>'W3 Points'!H37</f>
        <v/>
      </c>
      <c r="C11" s="78" t="str">
        <f>'W3 Points'!I93</f>
        <v/>
      </c>
      <c r="D11" s="78">
        <f>'W3 Points'!D23</f>
        <v>0</v>
      </c>
      <c r="E11" s="78">
        <f>'W3 Points'!Q37</f>
        <v>0</v>
      </c>
      <c r="F11" s="78"/>
      <c r="H11" s="77" t="s">
        <v>118</v>
      </c>
      <c r="I11" s="78" t="str">
        <f>'W3 Points'!T65</f>
        <v/>
      </c>
      <c r="J11" s="78" t="str">
        <f>'W3 Points'!I23</f>
        <v/>
      </c>
      <c r="K11" s="78">
        <f>'W3 Points'!D65</f>
        <v>0</v>
      </c>
      <c r="L11" s="78">
        <f>'W3 Points'!W23</f>
        <v>0</v>
      </c>
      <c r="M11" s="78"/>
      <c r="O11" s="77" t="s">
        <v>118</v>
      </c>
      <c r="P11" s="78" t="str">
        <f>'W3 Points'!Z79</f>
        <v/>
      </c>
      <c r="Q11" s="78" t="str">
        <f>'W3 Points'!O79</f>
        <v/>
      </c>
      <c r="R11" s="78">
        <f>'W3 Points'!D23</f>
        <v>0</v>
      </c>
      <c r="S11" s="78">
        <f>'W3 Points'!E93</f>
        <v>0</v>
      </c>
      <c r="T11" s="78"/>
    </row>
    <row r="12">
      <c r="A12" s="77" t="s">
        <v>119</v>
      </c>
      <c r="B12" s="78" t="str">
        <f>'W3 Points'!H38</f>
        <v/>
      </c>
      <c r="C12" s="78">
        <f>'W3 Points'!I94</f>
        <v>0</v>
      </c>
      <c r="D12" s="78" t="str">
        <f>'W3 Points'!D24</f>
        <v/>
      </c>
      <c r="E12" s="78">
        <f>'W3 Points'!Q38</f>
        <v>0</v>
      </c>
      <c r="F12" s="78"/>
      <c r="H12" s="77" t="s">
        <v>119</v>
      </c>
      <c r="I12" s="78" t="str">
        <f>'W3 Points'!T66</f>
        <v/>
      </c>
      <c r="J12" s="78">
        <f>'W3 Points'!I24</f>
        <v>0</v>
      </c>
      <c r="K12" s="78" t="str">
        <f>'W3 Points'!D66</f>
        <v/>
      </c>
      <c r="L12" s="78">
        <f>'W3 Points'!W24</f>
        <v>0</v>
      </c>
      <c r="M12" s="78"/>
      <c r="O12" s="77" t="s">
        <v>119</v>
      </c>
      <c r="P12" s="78" t="str">
        <f>'W3 Points'!Z80</f>
        <v/>
      </c>
      <c r="Q12" s="78">
        <f>'W3 Points'!O80</f>
        <v>0</v>
      </c>
      <c r="R12" s="78" t="str">
        <f>'W3 Points'!D24</f>
        <v/>
      </c>
      <c r="S12" s="78">
        <f>'W3 Points'!E94</f>
        <v>0</v>
      </c>
      <c r="T12" s="78"/>
    </row>
    <row r="13">
      <c r="A13" s="77" t="s">
        <v>120</v>
      </c>
      <c r="B13" s="78" t="str">
        <f>'W3 Points'!H39</f>
        <v/>
      </c>
      <c r="C13" s="78" t="str">
        <f>'W3 Points'!I95</f>
        <v/>
      </c>
      <c r="D13" s="78">
        <f>'W3 Points'!D25</f>
        <v>0</v>
      </c>
      <c r="E13" s="78">
        <f>'W3 Points'!Q39</f>
        <v>0</v>
      </c>
      <c r="F13" s="78"/>
      <c r="H13" s="77" t="s">
        <v>120</v>
      </c>
      <c r="I13" s="78" t="str">
        <f>'W3 Points'!T67</f>
        <v/>
      </c>
      <c r="J13" s="78" t="str">
        <f>'W3 Points'!I25</f>
        <v/>
      </c>
      <c r="K13" s="78">
        <f>'W3 Points'!D67</f>
        <v>0</v>
      </c>
      <c r="L13" s="78">
        <f>'W3 Points'!W25</f>
        <v>0</v>
      </c>
      <c r="M13" s="78"/>
      <c r="O13" s="77" t="s">
        <v>120</v>
      </c>
      <c r="P13" s="78" t="str">
        <f>'W3 Points'!Z81</f>
        <v/>
      </c>
      <c r="Q13" s="78" t="str">
        <f>'W3 Points'!O81</f>
        <v/>
      </c>
      <c r="R13" s="78">
        <f>'W3 Points'!D25</f>
        <v>0</v>
      </c>
      <c r="S13" s="78">
        <f>'W3 Points'!E95</f>
        <v>0</v>
      </c>
      <c r="T13" s="78"/>
    </row>
    <row r="14">
      <c r="A14" s="77" t="s">
        <v>121</v>
      </c>
      <c r="B14" s="78">
        <f>'W3 Points'!H40</f>
        <v>0</v>
      </c>
      <c r="C14" s="78">
        <f>'W3 Points'!I96</f>
        <v>0</v>
      </c>
      <c r="D14" s="78">
        <f>'W3 Points'!D26</f>
        <v>0</v>
      </c>
      <c r="E14" s="78">
        <f>'W3 Points'!Q40</f>
        <v>0</v>
      </c>
      <c r="F14" s="78"/>
      <c r="H14" s="77" t="s">
        <v>121</v>
      </c>
      <c r="I14" s="78">
        <f>'W3 Points'!T68</f>
        <v>0</v>
      </c>
      <c r="J14" s="78">
        <f>'W3 Points'!I26</f>
        <v>0</v>
      </c>
      <c r="K14" s="78">
        <f>'W3 Points'!D68</f>
        <v>0</v>
      </c>
      <c r="L14" s="78">
        <f>'W3 Points'!W26</f>
        <v>0</v>
      </c>
      <c r="M14" s="78"/>
      <c r="O14" s="77" t="s">
        <v>121</v>
      </c>
      <c r="P14" s="78">
        <f>'W3 Points'!Z82</f>
        <v>0</v>
      </c>
      <c r="Q14" s="78">
        <f>'W3 Points'!O82</f>
        <v>0</v>
      </c>
      <c r="R14" s="78">
        <f>'W3 Points'!D26</f>
        <v>0</v>
      </c>
      <c r="S14" s="78">
        <f>'W3 Points'!E96</f>
        <v>0</v>
      </c>
      <c r="T14" s="78"/>
    </row>
    <row r="15">
      <c r="A15" s="77" t="s">
        <v>122</v>
      </c>
      <c r="B15" s="79">
        <f t="shared" ref="B15:F15" si="1">SUM(B4:B14)</f>
        <v>0</v>
      </c>
      <c r="C15" s="79">
        <f t="shared" si="1"/>
        <v>0</v>
      </c>
      <c r="D15" s="79">
        <f t="shared" si="1"/>
        <v>0</v>
      </c>
      <c r="E15" s="79">
        <f t="shared" si="1"/>
        <v>0</v>
      </c>
      <c r="F15" s="79">
        <f t="shared" si="1"/>
        <v>0</v>
      </c>
      <c r="H15" s="77" t="s">
        <v>122</v>
      </c>
      <c r="I15" s="79">
        <f t="shared" ref="I15:M15" si="2">SUM(I4:I14)</f>
        <v>0</v>
      </c>
      <c r="J15" s="79">
        <f t="shared" si="2"/>
        <v>0</v>
      </c>
      <c r="K15" s="79">
        <f t="shared" si="2"/>
        <v>0</v>
      </c>
      <c r="L15" s="79">
        <f t="shared" si="2"/>
        <v>0</v>
      </c>
      <c r="M15" s="79">
        <f t="shared" si="2"/>
        <v>0</v>
      </c>
      <c r="O15" s="77" t="s">
        <v>122</v>
      </c>
      <c r="P15" s="80">
        <f t="shared" ref="P15:T15" si="3">SUM(P4:P14)</f>
        <v>0</v>
      </c>
      <c r="Q15" s="80">
        <f t="shared" si="3"/>
        <v>0</v>
      </c>
      <c r="R15" s="80">
        <f t="shared" si="3"/>
        <v>0</v>
      </c>
      <c r="S15" s="80">
        <f t="shared" si="3"/>
        <v>0</v>
      </c>
      <c r="T15" s="80">
        <f t="shared" si="3"/>
        <v>0</v>
      </c>
    </row>
    <row r="16">
      <c r="E16" s="81" t="s">
        <v>123</v>
      </c>
      <c r="F16" s="82">
        <f>SUM(B15:E15)</f>
        <v>0</v>
      </c>
      <c r="L16" s="81" t="s">
        <v>123</v>
      </c>
      <c r="M16" s="82">
        <f>SUM(I15:L15)</f>
        <v>0</v>
      </c>
      <c r="S16" s="81" t="s">
        <v>123</v>
      </c>
      <c r="T16" s="82">
        <f>SUM(P15:S15)</f>
        <v>0</v>
      </c>
    </row>
    <row r="17">
      <c r="A17" s="73" t="s">
        <v>27</v>
      </c>
      <c r="H17" s="73" t="s">
        <v>30</v>
      </c>
      <c r="O17" s="73" t="s">
        <v>33</v>
      </c>
    </row>
    <row r="18">
      <c r="A18" s="74" t="s">
        <v>7</v>
      </c>
      <c r="B18" s="74" t="s">
        <v>94</v>
      </c>
      <c r="C18" s="74" t="s">
        <v>95</v>
      </c>
      <c r="D18" s="74" t="s">
        <v>96</v>
      </c>
      <c r="E18" s="74" t="s">
        <v>97</v>
      </c>
      <c r="F18" s="74" t="s">
        <v>98</v>
      </c>
      <c r="H18" s="74" t="s">
        <v>7</v>
      </c>
      <c r="I18" s="74" t="s">
        <v>94</v>
      </c>
      <c r="J18" s="74" t="s">
        <v>95</v>
      </c>
      <c r="K18" s="74" t="s">
        <v>96</v>
      </c>
      <c r="L18" s="74" t="s">
        <v>97</v>
      </c>
      <c r="M18" s="74" t="s">
        <v>98</v>
      </c>
      <c r="O18" s="74" t="s">
        <v>7</v>
      </c>
      <c r="P18" s="74" t="s">
        <v>94</v>
      </c>
      <c r="Q18" s="74" t="s">
        <v>95</v>
      </c>
      <c r="R18" s="74" t="s">
        <v>96</v>
      </c>
      <c r="S18" s="74" t="s">
        <v>97</v>
      </c>
      <c r="T18" s="74" t="s">
        <v>98</v>
      </c>
    </row>
    <row r="19">
      <c r="A19" s="75" t="s">
        <v>28</v>
      </c>
      <c r="B19" s="75" t="s">
        <v>37</v>
      </c>
      <c r="C19" s="75" t="s">
        <v>124</v>
      </c>
      <c r="D19" s="75" t="s">
        <v>39</v>
      </c>
      <c r="E19" s="75" t="s">
        <v>106</v>
      </c>
      <c r="F19" s="75" t="s">
        <v>125</v>
      </c>
      <c r="H19" s="75" t="s">
        <v>31</v>
      </c>
      <c r="I19" s="75" t="s">
        <v>106</v>
      </c>
      <c r="J19" s="75" t="s">
        <v>124</v>
      </c>
      <c r="K19" s="75" t="s">
        <v>100</v>
      </c>
      <c r="L19" s="75" t="s">
        <v>126</v>
      </c>
      <c r="M19" s="75" t="s">
        <v>103</v>
      </c>
      <c r="O19" s="75" t="s">
        <v>34</v>
      </c>
      <c r="P19" s="75" t="s">
        <v>127</v>
      </c>
      <c r="Q19" s="75" t="s">
        <v>103</v>
      </c>
      <c r="R19" s="75" t="s">
        <v>37</v>
      </c>
      <c r="S19" s="75" t="s">
        <v>101</v>
      </c>
      <c r="T19" s="75" t="s">
        <v>128</v>
      </c>
    </row>
    <row r="20">
      <c r="A20" s="77" t="s">
        <v>108</v>
      </c>
      <c r="B20" s="78">
        <f>'W3 Points'!B58</f>
        <v>0</v>
      </c>
      <c r="C20" s="78" t="str">
        <f>'W3 Points'!I44</f>
        <v/>
      </c>
      <c r="D20" s="78" t="str">
        <f>'W3 Points'!V58</f>
        <v/>
      </c>
      <c r="E20" s="78">
        <f>'W3 Points'!AC72</f>
        <v>0</v>
      </c>
      <c r="F20" s="78" t="s">
        <v>129</v>
      </c>
      <c r="H20" s="77" t="s">
        <v>108</v>
      </c>
      <c r="I20" s="78">
        <f>'W3 Points'!Z30</f>
        <v>0</v>
      </c>
      <c r="J20" s="78" t="str">
        <f>'W3 Points'!I44</f>
        <v/>
      </c>
      <c r="K20" s="78" t="str">
        <f>'W3 Points'!J86</f>
        <v/>
      </c>
      <c r="L20" s="78">
        <f>'W3 Points'!W86</f>
        <v>0</v>
      </c>
      <c r="M20" s="78" t="s">
        <v>109</v>
      </c>
      <c r="O20" s="77" t="s">
        <v>108</v>
      </c>
      <c r="P20" s="78">
        <f>'W3 Points'!N16</f>
        <v>0</v>
      </c>
      <c r="Q20" s="78" t="str">
        <f>'W3 Points'!U30</f>
        <v/>
      </c>
      <c r="R20" s="78" t="str">
        <f>'W3 Points'!D58</f>
        <v/>
      </c>
      <c r="S20" s="78">
        <f>'W3 Points'!E16</f>
        <v>0</v>
      </c>
      <c r="T20" s="78" t="s">
        <v>130</v>
      </c>
    </row>
    <row r="21">
      <c r="A21" s="77" t="s">
        <v>112</v>
      </c>
      <c r="B21" s="78" t="str">
        <f>'W3 Points'!B59</f>
        <v/>
      </c>
      <c r="C21" s="78" t="str">
        <f>'W3 Points'!I45</f>
        <v/>
      </c>
      <c r="D21" s="78">
        <f>'W3 Points'!V59</f>
        <v>0</v>
      </c>
      <c r="E21" s="78" t="str">
        <f>'W3 Points'!AC73</f>
        <v/>
      </c>
      <c r="F21" s="78"/>
      <c r="H21" s="77" t="s">
        <v>112</v>
      </c>
      <c r="I21" s="78" t="str">
        <f>'W3 Points'!Z31</f>
        <v/>
      </c>
      <c r="J21" s="78" t="str">
        <f>'W3 Points'!I45</f>
        <v/>
      </c>
      <c r="K21" s="78">
        <f>'W3 Points'!J87</f>
        <v>0</v>
      </c>
      <c r="L21" s="78" t="str">
        <f>'W3 Points'!W87</f>
        <v/>
      </c>
      <c r="M21" s="78"/>
      <c r="O21" s="77" t="s">
        <v>112</v>
      </c>
      <c r="P21" s="78" t="str">
        <f>'W3 Points'!N17</f>
        <v/>
      </c>
      <c r="Q21" s="78" t="str">
        <f>'W3 Points'!U31</f>
        <v/>
      </c>
      <c r="R21" s="78">
        <f>'W3 Points'!D59</f>
        <v>0</v>
      </c>
      <c r="S21" s="78" t="str">
        <f>'W3 Points'!E17</f>
        <v/>
      </c>
      <c r="T21" s="78"/>
    </row>
    <row r="22">
      <c r="A22" s="77" t="s">
        <v>113</v>
      </c>
      <c r="B22" s="78">
        <f>'W3 Points'!B60</f>
        <v>0</v>
      </c>
      <c r="C22" s="78" t="str">
        <f>'W3 Points'!I46</f>
        <v/>
      </c>
      <c r="D22" s="78" t="str">
        <f>'W3 Points'!V60</f>
        <v/>
      </c>
      <c r="E22" s="78" t="str">
        <f>'W3 Points'!AC74</f>
        <v/>
      </c>
      <c r="F22" s="78"/>
      <c r="H22" s="77" t="s">
        <v>113</v>
      </c>
      <c r="I22" s="78">
        <f>'W3 Points'!Z32</f>
        <v>0</v>
      </c>
      <c r="J22" s="78" t="str">
        <f>'W3 Points'!I46</f>
        <v/>
      </c>
      <c r="K22" s="78" t="str">
        <f>'W3 Points'!J88</f>
        <v/>
      </c>
      <c r="L22" s="78" t="str">
        <f>'W3 Points'!W88</f>
        <v/>
      </c>
      <c r="M22" s="78"/>
      <c r="O22" s="77" t="s">
        <v>113</v>
      </c>
      <c r="P22" s="78">
        <f>'W3 Points'!N18</f>
        <v>0</v>
      </c>
      <c r="Q22" s="78" t="str">
        <f>'W3 Points'!U32</f>
        <v/>
      </c>
      <c r="R22" s="78" t="str">
        <f>'W3 Points'!D60</f>
        <v/>
      </c>
      <c r="S22" s="78" t="str">
        <f>'W3 Points'!E18</f>
        <v/>
      </c>
      <c r="T22" s="78"/>
    </row>
    <row r="23">
      <c r="A23" s="77" t="s">
        <v>114</v>
      </c>
      <c r="B23" s="78" t="str">
        <f>'W3 Points'!B61</f>
        <v/>
      </c>
      <c r="C23" s="78">
        <f>'W3 Points'!I47</f>
        <v>0</v>
      </c>
      <c r="D23" s="78" t="str">
        <f>'W3 Points'!V61</f>
        <v/>
      </c>
      <c r="E23" s="78">
        <f>'W3 Points'!AC75</f>
        <v>0</v>
      </c>
      <c r="F23" s="78"/>
      <c r="H23" s="77" t="s">
        <v>114</v>
      </c>
      <c r="I23" s="78" t="str">
        <f>'W3 Points'!Z33</f>
        <v/>
      </c>
      <c r="J23" s="78">
        <f>'W3 Points'!I47</f>
        <v>0</v>
      </c>
      <c r="K23" s="78" t="str">
        <f>'W3 Points'!J89</f>
        <v/>
      </c>
      <c r="L23" s="78">
        <f>'W3 Points'!W89</f>
        <v>0</v>
      </c>
      <c r="M23" s="78"/>
      <c r="O23" s="77" t="s">
        <v>114</v>
      </c>
      <c r="P23" s="78" t="str">
        <f>'W3 Points'!N19</f>
        <v/>
      </c>
      <c r="Q23" s="78">
        <f>'W3 Points'!U33</f>
        <v>0</v>
      </c>
      <c r="R23" s="78" t="str">
        <f>'W3 Points'!D61</f>
        <v/>
      </c>
      <c r="S23" s="78">
        <f>'W3 Points'!E19</f>
        <v>0</v>
      </c>
      <c r="T23" s="78"/>
    </row>
    <row r="24">
      <c r="A24" s="77" t="s">
        <v>115</v>
      </c>
      <c r="B24" s="78" t="str">
        <f>'W3 Points'!B62</f>
        <v/>
      </c>
      <c r="C24" s="78">
        <f>'W3 Points'!I48</f>
        <v>0</v>
      </c>
      <c r="D24" s="78" t="str">
        <f>'W3 Points'!V62</f>
        <v/>
      </c>
      <c r="E24" s="78">
        <f>'W3 Points'!AC76</f>
        <v>0</v>
      </c>
      <c r="F24" s="78"/>
      <c r="H24" s="77" t="s">
        <v>115</v>
      </c>
      <c r="I24" s="78" t="str">
        <f>'W3 Points'!Z34</f>
        <v/>
      </c>
      <c r="J24" s="78">
        <f>'W3 Points'!I48</f>
        <v>0</v>
      </c>
      <c r="K24" s="78" t="str">
        <f>'W3 Points'!J90</f>
        <v/>
      </c>
      <c r="L24" s="78">
        <f>'W3 Points'!W90</f>
        <v>0</v>
      </c>
      <c r="M24" s="78"/>
      <c r="O24" s="77" t="s">
        <v>115</v>
      </c>
      <c r="P24" s="78" t="str">
        <f>'W3 Points'!N20</f>
        <v/>
      </c>
      <c r="Q24" s="78">
        <f>'W3 Points'!U34</f>
        <v>0</v>
      </c>
      <c r="R24" s="78" t="str">
        <f>'W3 Points'!D62</f>
        <v/>
      </c>
      <c r="S24" s="78">
        <f>'W3 Points'!E20</f>
        <v>0</v>
      </c>
      <c r="T24" s="78"/>
    </row>
    <row r="25">
      <c r="A25" s="77" t="s">
        <v>116</v>
      </c>
      <c r="B25" s="78">
        <f>'W3 Points'!B63</f>
        <v>0</v>
      </c>
      <c r="C25" s="78" t="str">
        <f>'W3 Points'!I49</f>
        <v/>
      </c>
      <c r="D25" s="78">
        <f>'W3 Points'!V63</f>
        <v>0</v>
      </c>
      <c r="E25" s="78" t="str">
        <f>'W3 Points'!AC77</f>
        <v/>
      </c>
      <c r="F25" s="78"/>
      <c r="H25" s="77" t="s">
        <v>116</v>
      </c>
      <c r="I25" s="78">
        <f>'W3 Points'!Z35</f>
        <v>0</v>
      </c>
      <c r="J25" s="78" t="str">
        <f>'W3 Points'!I49</f>
        <v/>
      </c>
      <c r="K25" s="78">
        <f>'W3 Points'!J91</f>
        <v>0</v>
      </c>
      <c r="L25" s="78" t="str">
        <f>'W3 Points'!W91</f>
        <v/>
      </c>
      <c r="M25" s="78"/>
      <c r="O25" s="77" t="s">
        <v>116</v>
      </c>
      <c r="P25" s="78">
        <f>'W3 Points'!N21</f>
        <v>0</v>
      </c>
      <c r="Q25" s="78" t="str">
        <f>'W3 Points'!U35</f>
        <v/>
      </c>
      <c r="R25" s="78">
        <f>'W3 Points'!D63</f>
        <v>0</v>
      </c>
      <c r="S25" s="78" t="str">
        <f>'W3 Points'!E21</f>
        <v/>
      </c>
      <c r="T25" s="78"/>
    </row>
    <row r="26">
      <c r="A26" s="77" t="s">
        <v>117</v>
      </c>
      <c r="B26" s="78" t="str">
        <f>'W3 Points'!B64</f>
        <v/>
      </c>
      <c r="C26" s="78">
        <f>'W3 Points'!I50</f>
        <v>0</v>
      </c>
      <c r="D26" s="78" t="str">
        <f>'W3 Points'!V64</f>
        <v/>
      </c>
      <c r="E26" s="78" t="str">
        <f>'W3 Points'!AC78</f>
        <v/>
      </c>
      <c r="F26" s="78"/>
      <c r="H26" s="77" t="s">
        <v>117</v>
      </c>
      <c r="I26" s="78" t="str">
        <f>'W3 Points'!Z36</f>
        <v/>
      </c>
      <c r="J26" s="78">
        <f>'W3 Points'!I50</f>
        <v>0</v>
      </c>
      <c r="K26" s="78" t="str">
        <f>'W3 Points'!J92</f>
        <v/>
      </c>
      <c r="L26" s="78" t="str">
        <f>'W3 Points'!W92</f>
        <v/>
      </c>
      <c r="M26" s="78"/>
      <c r="O26" s="77" t="s">
        <v>117</v>
      </c>
      <c r="P26" s="78" t="str">
        <f>'W3 Points'!N22</f>
        <v/>
      </c>
      <c r="Q26" s="78">
        <f>'W3 Points'!U36</f>
        <v>0</v>
      </c>
      <c r="R26" s="78" t="str">
        <f>'W3 Points'!D64</f>
        <v/>
      </c>
      <c r="S26" s="78" t="str">
        <f>'W3 Points'!E22</f>
        <v/>
      </c>
      <c r="T26" s="78"/>
    </row>
    <row r="27">
      <c r="A27" s="77" t="s">
        <v>118</v>
      </c>
      <c r="B27" s="78" t="str">
        <f>'W3 Points'!B65</f>
        <v/>
      </c>
      <c r="C27" s="78" t="str">
        <f>'W3 Points'!I51</f>
        <v/>
      </c>
      <c r="D27" s="78">
        <f>'W3 Points'!V65</f>
        <v>0</v>
      </c>
      <c r="E27" s="78">
        <f>'W3 Points'!AC79</f>
        <v>0</v>
      </c>
      <c r="F27" s="78"/>
      <c r="H27" s="77" t="s">
        <v>118</v>
      </c>
      <c r="I27" s="78" t="str">
        <f>'W3 Points'!Z37</f>
        <v/>
      </c>
      <c r="J27" s="78" t="str">
        <f>'W3 Points'!I51</f>
        <v/>
      </c>
      <c r="K27" s="78">
        <f>'W3 Points'!J93</f>
        <v>0</v>
      </c>
      <c r="L27" s="78">
        <f>'W3 Points'!W93</f>
        <v>0</v>
      </c>
      <c r="M27" s="78"/>
      <c r="O27" s="77" t="s">
        <v>118</v>
      </c>
      <c r="P27" s="78" t="str">
        <f>'W3 Points'!N23</f>
        <v/>
      </c>
      <c r="Q27" s="78" t="str">
        <f>'W3 Points'!U37</f>
        <v/>
      </c>
      <c r="R27" s="78">
        <f>'W3 Points'!D65</f>
        <v>0</v>
      </c>
      <c r="S27" s="78">
        <f>'W3 Points'!E23</f>
        <v>0</v>
      </c>
      <c r="T27" s="78"/>
    </row>
    <row r="28">
      <c r="A28" s="77" t="s">
        <v>119</v>
      </c>
      <c r="B28" s="78" t="str">
        <f>'W3 Points'!B66</f>
        <v/>
      </c>
      <c r="C28" s="78">
        <f>'W3 Points'!I52</f>
        <v>0</v>
      </c>
      <c r="D28" s="78" t="str">
        <f>'W3 Points'!V66</f>
        <v/>
      </c>
      <c r="E28" s="78">
        <f>'W3 Points'!AC80</f>
        <v>0</v>
      </c>
      <c r="F28" s="78"/>
      <c r="H28" s="77" t="s">
        <v>119</v>
      </c>
      <c r="I28" s="78" t="str">
        <f>'W3 Points'!Z38</f>
        <v/>
      </c>
      <c r="J28" s="78">
        <f>'W3 Points'!I52</f>
        <v>0</v>
      </c>
      <c r="K28" s="78" t="str">
        <f>'W3 Points'!J94</f>
        <v/>
      </c>
      <c r="L28" s="78">
        <f>'W3 Points'!W94</f>
        <v>0</v>
      </c>
      <c r="M28" s="78"/>
      <c r="O28" s="77" t="s">
        <v>119</v>
      </c>
      <c r="P28" s="78" t="str">
        <f>'W3 Points'!N24</f>
        <v/>
      </c>
      <c r="Q28" s="78">
        <f>'W3 Points'!U38</f>
        <v>0</v>
      </c>
      <c r="R28" s="78" t="str">
        <f>'W3 Points'!D66</f>
        <v/>
      </c>
      <c r="S28" s="78">
        <f>'W3 Points'!E24</f>
        <v>0</v>
      </c>
      <c r="T28" s="78"/>
    </row>
    <row r="29">
      <c r="A29" s="77" t="s">
        <v>120</v>
      </c>
      <c r="B29" s="78" t="str">
        <f>'W3 Points'!B67</f>
        <v/>
      </c>
      <c r="C29" s="78" t="str">
        <f>'W3 Points'!I53</f>
        <v/>
      </c>
      <c r="D29" s="78">
        <f>'W3 Points'!V67</f>
        <v>0</v>
      </c>
      <c r="E29" s="78">
        <f>'W3 Points'!AC81</f>
        <v>0</v>
      </c>
      <c r="F29" s="78"/>
      <c r="H29" s="77" t="s">
        <v>120</v>
      </c>
      <c r="I29" s="78" t="str">
        <f>'W3 Points'!Z39</f>
        <v/>
      </c>
      <c r="J29" s="78" t="str">
        <f>'W3 Points'!I53</f>
        <v/>
      </c>
      <c r="K29" s="78">
        <f>'W3 Points'!J95</f>
        <v>0</v>
      </c>
      <c r="L29" s="78">
        <f>'W3 Points'!W95</f>
        <v>0</v>
      </c>
      <c r="M29" s="78"/>
      <c r="O29" s="77" t="s">
        <v>120</v>
      </c>
      <c r="P29" s="78" t="str">
        <f>'W3 Points'!N25</f>
        <v/>
      </c>
      <c r="Q29" s="78" t="str">
        <f>'W3 Points'!U39</f>
        <v/>
      </c>
      <c r="R29" s="78">
        <f>'W3 Points'!D67</f>
        <v>0</v>
      </c>
      <c r="S29" s="78">
        <f>'W3 Points'!E25</f>
        <v>0</v>
      </c>
      <c r="T29" s="78"/>
    </row>
    <row r="30">
      <c r="A30" s="77" t="s">
        <v>121</v>
      </c>
      <c r="B30" s="78">
        <f>'W3 Points'!B68</f>
        <v>0</v>
      </c>
      <c r="C30" s="78">
        <f>'W3 Points'!I54</f>
        <v>0</v>
      </c>
      <c r="D30" s="78">
        <f>'W3 Points'!V68</f>
        <v>0</v>
      </c>
      <c r="E30" s="78">
        <f>'W3 Points'!AC82</f>
        <v>0</v>
      </c>
      <c r="F30" s="78"/>
      <c r="H30" s="77" t="s">
        <v>121</v>
      </c>
      <c r="I30" s="78">
        <f>'W3 Points'!Z40</f>
        <v>0</v>
      </c>
      <c r="J30" s="78">
        <f>'W3 Points'!I54</f>
        <v>0</v>
      </c>
      <c r="K30" s="78">
        <f>'W3 Points'!J96</f>
        <v>0</v>
      </c>
      <c r="L30" s="78">
        <f>'W3 Points'!W96</f>
        <v>0</v>
      </c>
      <c r="M30" s="78"/>
      <c r="O30" s="77" t="s">
        <v>121</v>
      </c>
      <c r="P30" s="78">
        <f>'W3 Points'!N26</f>
        <v>0</v>
      </c>
      <c r="Q30" s="78">
        <f>'W3 Points'!U40</f>
        <v>0</v>
      </c>
      <c r="R30" s="78">
        <f>'W3 Points'!D68</f>
        <v>0</v>
      </c>
      <c r="S30" s="78">
        <f>'W3 Points'!E26</f>
        <v>0</v>
      </c>
      <c r="T30" s="78"/>
    </row>
    <row r="31">
      <c r="A31" s="77" t="s">
        <v>122</v>
      </c>
      <c r="B31" s="79">
        <f t="shared" ref="B31:F31" si="4">SUM(B20:B30)</f>
        <v>0</v>
      </c>
      <c r="C31" s="79">
        <f t="shared" si="4"/>
        <v>0</v>
      </c>
      <c r="D31" s="79">
        <f t="shared" si="4"/>
        <v>0</v>
      </c>
      <c r="E31" s="79">
        <f t="shared" si="4"/>
        <v>0</v>
      </c>
      <c r="F31" s="79">
        <f t="shared" si="4"/>
        <v>0</v>
      </c>
      <c r="H31" s="77" t="s">
        <v>122</v>
      </c>
      <c r="I31" s="79">
        <f t="shared" ref="I31:M31" si="5">SUM(I20:I30)</f>
        <v>0</v>
      </c>
      <c r="J31" s="79">
        <f t="shared" si="5"/>
        <v>0</v>
      </c>
      <c r="K31" s="79">
        <f t="shared" si="5"/>
        <v>0</v>
      </c>
      <c r="L31" s="79">
        <f t="shared" si="5"/>
        <v>0</v>
      </c>
      <c r="M31" s="79">
        <f t="shared" si="5"/>
        <v>0</v>
      </c>
      <c r="O31" s="77" t="s">
        <v>122</v>
      </c>
      <c r="P31" s="80">
        <f t="shared" ref="P31:T31" si="6">SUM(P20:P30)</f>
        <v>0</v>
      </c>
      <c r="Q31" s="80">
        <f t="shared" si="6"/>
        <v>0</v>
      </c>
      <c r="R31" s="80">
        <f t="shared" si="6"/>
        <v>0</v>
      </c>
      <c r="S31" s="80">
        <f t="shared" si="6"/>
        <v>0</v>
      </c>
      <c r="T31" s="80">
        <f t="shared" si="6"/>
        <v>0</v>
      </c>
    </row>
    <row r="32">
      <c r="E32" s="81" t="s">
        <v>123</v>
      </c>
      <c r="F32" s="82">
        <f>SUM(B31:E31)</f>
        <v>0</v>
      </c>
      <c r="L32" s="81" t="s">
        <v>123</v>
      </c>
      <c r="M32" s="82">
        <f>SUM(I31:L31)</f>
        <v>0</v>
      </c>
      <c r="S32" s="81" t="s">
        <v>123</v>
      </c>
      <c r="T32" s="82">
        <f>SUM(P31:S31)</f>
        <v>0</v>
      </c>
    </row>
    <row r="33">
      <c r="A33" s="73" t="s">
        <v>36</v>
      </c>
      <c r="H33" s="73" t="s">
        <v>39</v>
      </c>
      <c r="O33" s="73" t="s">
        <v>41</v>
      </c>
    </row>
    <row r="34">
      <c r="A34" s="74" t="s">
        <v>7</v>
      </c>
      <c r="B34" s="74" t="s">
        <v>94</v>
      </c>
      <c r="C34" s="74" t="s">
        <v>95</v>
      </c>
      <c r="D34" s="74" t="s">
        <v>96</v>
      </c>
      <c r="E34" s="74" t="s">
        <v>97</v>
      </c>
      <c r="F34" s="74" t="s">
        <v>98</v>
      </c>
      <c r="H34" s="74" t="s">
        <v>7</v>
      </c>
      <c r="I34" s="74" t="s">
        <v>94</v>
      </c>
      <c r="J34" s="74" t="s">
        <v>95</v>
      </c>
      <c r="K34" s="74" t="s">
        <v>96</v>
      </c>
      <c r="L34" s="74" t="s">
        <v>97</v>
      </c>
      <c r="M34" s="74" t="s">
        <v>98</v>
      </c>
      <c r="O34" s="74" t="s">
        <v>7</v>
      </c>
      <c r="P34" s="74" t="s">
        <v>94</v>
      </c>
      <c r="Q34" s="74" t="s">
        <v>95</v>
      </c>
      <c r="R34" s="74" t="s">
        <v>96</v>
      </c>
      <c r="S34" s="74" t="s">
        <v>97</v>
      </c>
      <c r="T34" s="74" t="s">
        <v>98</v>
      </c>
    </row>
    <row r="35">
      <c r="A35" s="75" t="s">
        <v>37</v>
      </c>
      <c r="B35" s="75" t="s">
        <v>37</v>
      </c>
      <c r="C35" s="75" t="s">
        <v>131</v>
      </c>
      <c r="D35" s="75" t="s">
        <v>102</v>
      </c>
      <c r="E35" s="75" t="s">
        <v>107</v>
      </c>
      <c r="F35" s="75" t="s">
        <v>106</v>
      </c>
      <c r="G35" s="76"/>
      <c r="H35" s="75" t="s">
        <v>39</v>
      </c>
      <c r="I35" s="75" t="s">
        <v>106</v>
      </c>
      <c r="J35" s="75" t="s">
        <v>124</v>
      </c>
      <c r="K35" s="75" t="s">
        <v>39</v>
      </c>
      <c r="L35" s="75" t="s">
        <v>101</v>
      </c>
      <c r="M35" s="75" t="s">
        <v>107</v>
      </c>
      <c r="N35" s="76"/>
      <c r="O35" s="75" t="s">
        <v>42</v>
      </c>
      <c r="P35" s="75" t="s">
        <v>106</v>
      </c>
      <c r="Q35" s="75" t="s">
        <v>131</v>
      </c>
      <c r="R35" s="75" t="s">
        <v>132</v>
      </c>
      <c r="S35" s="75" t="s">
        <v>133</v>
      </c>
      <c r="T35" s="75" t="s">
        <v>104</v>
      </c>
    </row>
    <row r="36">
      <c r="A36" s="77" t="s">
        <v>108</v>
      </c>
      <c r="B36" s="78">
        <f>'W3 Points'!B58</f>
        <v>0</v>
      </c>
      <c r="C36" s="78" t="str">
        <f>'W3 Points'!O86</f>
        <v/>
      </c>
      <c r="D36" s="78" t="str">
        <f>'W3 Points'!P30</f>
        <v/>
      </c>
      <c r="E36" s="78">
        <f>'W3 Points'!E86</f>
        <v>0</v>
      </c>
      <c r="F36" s="78" t="s">
        <v>110</v>
      </c>
      <c r="H36" s="77" t="s">
        <v>108</v>
      </c>
      <c r="I36" s="78">
        <f>'W3 Points'!Z30</f>
        <v>0</v>
      </c>
      <c r="J36" s="78" t="str">
        <f>'W3 Points'!I44</f>
        <v/>
      </c>
      <c r="K36" s="78" t="str">
        <f>'W3 Points'!V58</f>
        <v/>
      </c>
      <c r="L36" s="78">
        <f>'W3 Points'!E16</f>
        <v>0</v>
      </c>
      <c r="M36" s="78" t="s">
        <v>134</v>
      </c>
      <c r="O36" s="77" t="s">
        <v>108</v>
      </c>
      <c r="P36" s="78">
        <f>'W3 Points'!Z30</f>
        <v>0</v>
      </c>
      <c r="Q36" s="78" t="str">
        <f>'W3 Points'!O86</f>
        <v/>
      </c>
      <c r="R36" s="78" t="str">
        <f>'W3 Points'!D44</f>
        <v/>
      </c>
      <c r="S36" s="78">
        <f>'W3 Points'!W72</f>
        <v>0</v>
      </c>
      <c r="T36" s="78" t="s">
        <v>135</v>
      </c>
    </row>
    <row r="37">
      <c r="A37" s="77" t="s">
        <v>112</v>
      </c>
      <c r="B37" s="78" t="str">
        <f>'W3 Points'!B59</f>
        <v/>
      </c>
      <c r="C37" s="78" t="str">
        <f>'W3 Points'!O87</f>
        <v/>
      </c>
      <c r="D37" s="78">
        <f>'W3 Points'!P31</f>
        <v>0</v>
      </c>
      <c r="E37" s="78" t="str">
        <f>'W3 Points'!E87</f>
        <v/>
      </c>
      <c r="F37" s="78"/>
      <c r="H37" s="77" t="s">
        <v>112</v>
      </c>
      <c r="I37" s="78" t="str">
        <f>'W3 Points'!Z31</f>
        <v/>
      </c>
      <c r="J37" s="78" t="str">
        <f>'W3 Points'!I45</f>
        <v/>
      </c>
      <c r="K37" s="78">
        <f>'W3 Points'!V59</f>
        <v>0</v>
      </c>
      <c r="L37" s="78" t="str">
        <f>'W3 Points'!E17</f>
        <v/>
      </c>
      <c r="M37" s="78"/>
      <c r="O37" s="77" t="s">
        <v>112</v>
      </c>
      <c r="P37" s="78" t="str">
        <f>'W3 Points'!Z31</f>
        <v/>
      </c>
      <c r="Q37" s="78" t="str">
        <f>'W3 Points'!O87</f>
        <v/>
      </c>
      <c r="R37" s="78">
        <f>'W3 Points'!D45</f>
        <v>0</v>
      </c>
      <c r="S37" s="78" t="str">
        <f>'W3 Points'!W73</f>
        <v/>
      </c>
      <c r="T37" s="78"/>
    </row>
    <row r="38">
      <c r="A38" s="77" t="s">
        <v>113</v>
      </c>
      <c r="B38" s="78">
        <f>'W3 Points'!B60</f>
        <v>0</v>
      </c>
      <c r="C38" s="78" t="str">
        <f>'W3 Points'!O88</f>
        <v/>
      </c>
      <c r="D38" s="78" t="str">
        <f>'W3 Points'!P32</f>
        <v/>
      </c>
      <c r="E38" s="78" t="str">
        <f>'W3 Points'!E88</f>
        <v/>
      </c>
      <c r="F38" s="78"/>
      <c r="H38" s="77" t="s">
        <v>113</v>
      </c>
      <c r="I38" s="78">
        <f>'W3 Points'!Z32</f>
        <v>0</v>
      </c>
      <c r="J38" s="78" t="str">
        <f>'W3 Points'!I46</f>
        <v/>
      </c>
      <c r="K38" s="78" t="str">
        <f>'W3 Points'!V60</f>
        <v/>
      </c>
      <c r="L38" s="78" t="str">
        <f>'W3 Points'!E18</f>
        <v/>
      </c>
      <c r="M38" s="78"/>
      <c r="O38" s="77" t="s">
        <v>113</v>
      </c>
      <c r="P38" s="78">
        <f>'W3 Points'!Z32</f>
        <v>0</v>
      </c>
      <c r="Q38" s="78" t="str">
        <f>'W3 Points'!O88</f>
        <v/>
      </c>
      <c r="R38" s="78" t="str">
        <f>'W3 Points'!D46</f>
        <v/>
      </c>
      <c r="S38" s="78" t="str">
        <f>'W3 Points'!W74</f>
        <v/>
      </c>
      <c r="T38" s="78"/>
    </row>
    <row r="39">
      <c r="A39" s="77" t="s">
        <v>114</v>
      </c>
      <c r="B39" s="78" t="str">
        <f>'W3 Points'!B61</f>
        <v/>
      </c>
      <c r="C39" s="78">
        <f>'W3 Points'!O89</f>
        <v>0</v>
      </c>
      <c r="D39" s="78" t="str">
        <f>'W3 Points'!P33</f>
        <v/>
      </c>
      <c r="E39" s="78">
        <f>'W3 Points'!E89</f>
        <v>0</v>
      </c>
      <c r="F39" s="78"/>
      <c r="H39" s="77" t="s">
        <v>114</v>
      </c>
      <c r="I39" s="78" t="str">
        <f>'W3 Points'!Z33</f>
        <v/>
      </c>
      <c r="J39" s="78">
        <f>'W3 Points'!I47</f>
        <v>0</v>
      </c>
      <c r="K39" s="78" t="str">
        <f>'W3 Points'!V61</f>
        <v/>
      </c>
      <c r="L39" s="78">
        <f>'W3 Points'!E19</f>
        <v>0</v>
      </c>
      <c r="M39" s="78"/>
      <c r="O39" s="77" t="s">
        <v>114</v>
      </c>
      <c r="P39" s="78" t="str">
        <f>'W3 Points'!Z33</f>
        <v/>
      </c>
      <c r="Q39" s="78">
        <f>'W3 Points'!O89</f>
        <v>0</v>
      </c>
      <c r="R39" s="78" t="str">
        <f>'W3 Points'!D47</f>
        <v/>
      </c>
      <c r="S39" s="78">
        <f>'W3 Points'!W75</f>
        <v>0</v>
      </c>
      <c r="T39" s="78"/>
    </row>
    <row r="40">
      <c r="A40" s="77" t="s">
        <v>115</v>
      </c>
      <c r="B40" s="78" t="str">
        <f>'W3 Points'!B62</f>
        <v/>
      </c>
      <c r="C40" s="78">
        <f>'W3 Points'!O90</f>
        <v>0</v>
      </c>
      <c r="D40" s="78" t="str">
        <f>'W3 Points'!P34</f>
        <v/>
      </c>
      <c r="E40" s="78">
        <f>'W3 Points'!E90</f>
        <v>0</v>
      </c>
      <c r="F40" s="78"/>
      <c r="H40" s="77" t="s">
        <v>115</v>
      </c>
      <c r="I40" s="78" t="str">
        <f>'W3 Points'!Z34</f>
        <v/>
      </c>
      <c r="J40" s="78">
        <f>'W3 Points'!I48</f>
        <v>0</v>
      </c>
      <c r="K40" s="78" t="str">
        <f>'W3 Points'!V62</f>
        <v/>
      </c>
      <c r="L40" s="78">
        <f>'W3 Points'!E20</f>
        <v>0</v>
      </c>
      <c r="M40" s="78"/>
      <c r="O40" s="77" t="s">
        <v>115</v>
      </c>
      <c r="P40" s="78" t="str">
        <f>'W3 Points'!Z34</f>
        <v/>
      </c>
      <c r="Q40" s="78">
        <f>'W3 Points'!O90</f>
        <v>0</v>
      </c>
      <c r="R40" s="78" t="str">
        <f>'W3 Points'!D48</f>
        <v/>
      </c>
      <c r="S40" s="78">
        <f>'W3 Points'!W76</f>
        <v>0</v>
      </c>
      <c r="T40" s="78"/>
    </row>
    <row r="41">
      <c r="A41" s="77" t="s">
        <v>116</v>
      </c>
      <c r="B41" s="78">
        <f>'W3 Points'!B63</f>
        <v>0</v>
      </c>
      <c r="C41" s="78" t="str">
        <f>'W3 Points'!O91</f>
        <v/>
      </c>
      <c r="D41" s="78">
        <f>'W3 Points'!P35</f>
        <v>0</v>
      </c>
      <c r="E41" s="78" t="str">
        <f>'W3 Points'!E91</f>
        <v/>
      </c>
      <c r="F41" s="78"/>
      <c r="H41" s="77" t="s">
        <v>116</v>
      </c>
      <c r="I41" s="78">
        <f>'W3 Points'!Z35</f>
        <v>0</v>
      </c>
      <c r="J41" s="78" t="str">
        <f>'W3 Points'!I49</f>
        <v/>
      </c>
      <c r="K41" s="78">
        <f>'W3 Points'!V63</f>
        <v>0</v>
      </c>
      <c r="L41" s="78" t="str">
        <f>'W3 Points'!E21</f>
        <v/>
      </c>
      <c r="M41" s="78"/>
      <c r="O41" s="77" t="s">
        <v>116</v>
      </c>
      <c r="P41" s="78">
        <f>'W3 Points'!Z35</f>
        <v>0</v>
      </c>
      <c r="Q41" s="78" t="str">
        <f>'W3 Points'!O91</f>
        <v/>
      </c>
      <c r="R41" s="78">
        <f>'W3 Points'!D49</f>
        <v>0</v>
      </c>
      <c r="S41" s="78" t="str">
        <f>'W3 Points'!W77</f>
        <v/>
      </c>
      <c r="T41" s="78"/>
    </row>
    <row r="42">
      <c r="A42" s="77" t="s">
        <v>117</v>
      </c>
      <c r="B42" s="78" t="str">
        <f>'W3 Points'!B64</f>
        <v/>
      </c>
      <c r="C42" s="78">
        <f>'W3 Points'!O92</f>
        <v>0</v>
      </c>
      <c r="D42" s="78" t="str">
        <f>'W3 Points'!P36</f>
        <v/>
      </c>
      <c r="E42" s="78" t="str">
        <f>'W3 Points'!E92</f>
        <v/>
      </c>
      <c r="F42" s="78"/>
      <c r="H42" s="77" t="s">
        <v>117</v>
      </c>
      <c r="I42" s="78" t="str">
        <f>'W3 Points'!Z36</f>
        <v/>
      </c>
      <c r="J42" s="78">
        <f>'W3 Points'!I50</f>
        <v>0</v>
      </c>
      <c r="K42" s="78" t="str">
        <f>'W3 Points'!V64</f>
        <v/>
      </c>
      <c r="L42" s="78" t="str">
        <f>'W3 Points'!E22</f>
        <v/>
      </c>
      <c r="M42" s="78"/>
      <c r="O42" s="77" t="s">
        <v>117</v>
      </c>
      <c r="P42" s="78" t="str">
        <f>'W3 Points'!Z36</f>
        <v/>
      </c>
      <c r="Q42" s="78">
        <f>'W3 Points'!O92</f>
        <v>0</v>
      </c>
      <c r="R42" s="78" t="str">
        <f>'W3 Points'!D50</f>
        <v/>
      </c>
      <c r="S42" s="78" t="str">
        <f>'W3 Points'!W78</f>
        <v/>
      </c>
      <c r="T42" s="78"/>
    </row>
    <row r="43">
      <c r="A43" s="77" t="s">
        <v>118</v>
      </c>
      <c r="B43" s="78" t="str">
        <f>'W3 Points'!B65</f>
        <v/>
      </c>
      <c r="C43" s="78" t="str">
        <f>'W3 Points'!O93</f>
        <v/>
      </c>
      <c r="D43" s="78">
        <f>'W3 Points'!P37</f>
        <v>0</v>
      </c>
      <c r="E43" s="78">
        <f>'W3 Points'!E93</f>
        <v>0</v>
      </c>
      <c r="F43" s="78"/>
      <c r="H43" s="77" t="s">
        <v>118</v>
      </c>
      <c r="I43" s="78" t="str">
        <f>'W3 Points'!Z37</f>
        <v/>
      </c>
      <c r="J43" s="78" t="str">
        <f>'W3 Points'!I51</f>
        <v/>
      </c>
      <c r="K43" s="78">
        <f>'W3 Points'!V65</f>
        <v>0</v>
      </c>
      <c r="L43" s="78">
        <f>'W3 Points'!E23</f>
        <v>0</v>
      </c>
      <c r="M43" s="78"/>
      <c r="O43" s="77" t="s">
        <v>118</v>
      </c>
      <c r="P43" s="78" t="str">
        <f>'W3 Points'!Z37</f>
        <v/>
      </c>
      <c r="Q43" s="78" t="str">
        <f>'W3 Points'!O93</f>
        <v/>
      </c>
      <c r="R43" s="78">
        <f>'W3 Points'!D51</f>
        <v>0</v>
      </c>
      <c r="S43" s="78">
        <f>'W3 Points'!W79</f>
        <v>0</v>
      </c>
      <c r="T43" s="78"/>
    </row>
    <row r="44">
      <c r="A44" s="77" t="s">
        <v>119</v>
      </c>
      <c r="B44" s="78" t="str">
        <f>'W3 Points'!B66</f>
        <v/>
      </c>
      <c r="C44" s="78">
        <f>'W3 Points'!O94</f>
        <v>0</v>
      </c>
      <c r="D44" s="78" t="str">
        <f>'W3 Points'!P38</f>
        <v/>
      </c>
      <c r="E44" s="78">
        <f>'W3 Points'!E94</f>
        <v>0</v>
      </c>
      <c r="F44" s="78"/>
      <c r="H44" s="77" t="s">
        <v>119</v>
      </c>
      <c r="I44" s="78" t="str">
        <f>'W3 Points'!Z38</f>
        <v/>
      </c>
      <c r="J44" s="78">
        <f>'W3 Points'!I52</f>
        <v>0</v>
      </c>
      <c r="K44" s="78" t="str">
        <f>'W3 Points'!V66</f>
        <v/>
      </c>
      <c r="L44" s="78">
        <f>'W3 Points'!E24</f>
        <v>0</v>
      </c>
      <c r="M44" s="78"/>
      <c r="O44" s="77" t="s">
        <v>119</v>
      </c>
      <c r="P44" s="78" t="str">
        <f>'W3 Points'!Z38</f>
        <v/>
      </c>
      <c r="Q44" s="78">
        <f>'W3 Points'!O94</f>
        <v>0</v>
      </c>
      <c r="R44" s="78" t="str">
        <f>'W3 Points'!D52</f>
        <v/>
      </c>
      <c r="S44" s="78">
        <f>'W3 Points'!W80</f>
        <v>0</v>
      </c>
      <c r="T44" s="78"/>
    </row>
    <row r="45">
      <c r="A45" s="77" t="s">
        <v>120</v>
      </c>
      <c r="B45" s="78" t="str">
        <f>'W3 Points'!B67</f>
        <v/>
      </c>
      <c r="C45" s="78" t="str">
        <f>'W3 Points'!O95</f>
        <v/>
      </c>
      <c r="D45" s="78">
        <f>'W3 Points'!P39</f>
        <v>0</v>
      </c>
      <c r="E45" s="78">
        <f>'W3 Points'!E95</f>
        <v>0</v>
      </c>
      <c r="F45" s="78"/>
      <c r="H45" s="77" t="s">
        <v>120</v>
      </c>
      <c r="I45" s="78" t="str">
        <f>'W3 Points'!Z39</f>
        <v/>
      </c>
      <c r="J45" s="78" t="str">
        <f>'W3 Points'!I53</f>
        <v/>
      </c>
      <c r="K45" s="78">
        <f>'W3 Points'!V67</f>
        <v>0</v>
      </c>
      <c r="L45" s="78">
        <f>'W3 Points'!E25</f>
        <v>0</v>
      </c>
      <c r="M45" s="78"/>
      <c r="O45" s="77" t="s">
        <v>120</v>
      </c>
      <c r="P45" s="78" t="str">
        <f>'W3 Points'!Z39</f>
        <v/>
      </c>
      <c r="Q45" s="78" t="str">
        <f>'W3 Points'!O95</f>
        <v/>
      </c>
      <c r="R45" s="78">
        <f>'W3 Points'!D53</f>
        <v>0</v>
      </c>
      <c r="S45" s="78">
        <f>'W3 Points'!W81</f>
        <v>0</v>
      </c>
      <c r="T45" s="78"/>
    </row>
    <row r="46">
      <c r="A46" s="77" t="s">
        <v>121</v>
      </c>
      <c r="B46" s="78">
        <f>'W3 Points'!B68</f>
        <v>0</v>
      </c>
      <c r="C46" s="78">
        <f>'W3 Points'!O96</f>
        <v>0</v>
      </c>
      <c r="D46" s="78">
        <f>'W3 Points'!P40</f>
        <v>0</v>
      </c>
      <c r="E46" s="78">
        <f>'W3 Points'!E96</f>
        <v>0</v>
      </c>
      <c r="F46" s="78"/>
      <c r="H46" s="77" t="s">
        <v>121</v>
      </c>
      <c r="I46" s="78">
        <f>'W3 Points'!Z40</f>
        <v>0</v>
      </c>
      <c r="J46" s="78">
        <f>'W3 Points'!I54</f>
        <v>0</v>
      </c>
      <c r="K46" s="78">
        <f>'W3 Points'!V68</f>
        <v>0</v>
      </c>
      <c r="L46" s="78">
        <f>'W3 Points'!E26</f>
        <v>0</v>
      </c>
      <c r="M46" s="78"/>
      <c r="O46" s="77" t="s">
        <v>121</v>
      </c>
      <c r="P46" s="78">
        <f>'W3 Points'!Z40</f>
        <v>0</v>
      </c>
      <c r="Q46" s="78">
        <f>'W3 Points'!O96</f>
        <v>0</v>
      </c>
      <c r="R46" s="78">
        <f>'W3 Points'!D54</f>
        <v>0</v>
      </c>
      <c r="S46" s="78">
        <f>'W3 Points'!W82</f>
        <v>0</v>
      </c>
      <c r="T46" s="78"/>
    </row>
    <row r="47">
      <c r="A47" s="77" t="s">
        <v>122</v>
      </c>
      <c r="B47" s="79">
        <f t="shared" ref="B47:F47" si="7">SUM(B36:B46)</f>
        <v>0</v>
      </c>
      <c r="C47" s="79">
        <f t="shared" si="7"/>
        <v>0</v>
      </c>
      <c r="D47" s="79">
        <f t="shared" si="7"/>
        <v>0</v>
      </c>
      <c r="E47" s="79">
        <f t="shared" si="7"/>
        <v>0</v>
      </c>
      <c r="F47" s="79">
        <f t="shared" si="7"/>
        <v>0</v>
      </c>
      <c r="H47" s="77" t="s">
        <v>122</v>
      </c>
      <c r="I47" s="79">
        <f t="shared" ref="I47:M47" si="8">SUM(I36:I46)</f>
        <v>0</v>
      </c>
      <c r="J47" s="79">
        <f t="shared" si="8"/>
        <v>0</v>
      </c>
      <c r="K47" s="79">
        <f t="shared" si="8"/>
        <v>0</v>
      </c>
      <c r="L47" s="79">
        <f t="shared" si="8"/>
        <v>0</v>
      </c>
      <c r="M47" s="79">
        <f t="shared" si="8"/>
        <v>0</v>
      </c>
      <c r="O47" s="77" t="s">
        <v>122</v>
      </c>
      <c r="P47" s="80">
        <f t="shared" ref="P47:T47" si="9">SUM(P36:P46)</f>
        <v>0</v>
      </c>
      <c r="Q47" s="80">
        <f t="shared" si="9"/>
        <v>0</v>
      </c>
      <c r="R47" s="80">
        <f t="shared" si="9"/>
        <v>0</v>
      </c>
      <c r="S47" s="80">
        <f t="shared" si="9"/>
        <v>0</v>
      </c>
      <c r="T47" s="80">
        <f t="shared" si="9"/>
        <v>0</v>
      </c>
    </row>
    <row r="48">
      <c r="E48" s="81" t="s">
        <v>123</v>
      </c>
      <c r="F48" s="82">
        <f>SUM(B47:E47)</f>
        <v>0</v>
      </c>
      <c r="L48" s="81" t="s">
        <v>123</v>
      </c>
      <c r="M48" s="82">
        <f>SUM(I47:L47)</f>
        <v>0</v>
      </c>
      <c r="S48" s="81" t="s">
        <v>123</v>
      </c>
      <c r="T48" s="82">
        <f>SUM(P47:S47)</f>
        <v>0</v>
      </c>
    </row>
    <row r="49">
      <c r="A49" s="73" t="s">
        <v>44</v>
      </c>
      <c r="H49" s="73" t="s">
        <v>47</v>
      </c>
      <c r="O49" s="73" t="s">
        <v>50</v>
      </c>
    </row>
    <row r="50">
      <c r="A50" s="74" t="s">
        <v>7</v>
      </c>
      <c r="B50" s="74" t="s">
        <v>94</v>
      </c>
      <c r="C50" s="74" t="s">
        <v>95</v>
      </c>
      <c r="D50" s="74" t="s">
        <v>96</v>
      </c>
      <c r="E50" s="74" t="s">
        <v>97</v>
      </c>
      <c r="F50" s="74" t="s">
        <v>98</v>
      </c>
      <c r="H50" s="74" t="s">
        <v>7</v>
      </c>
      <c r="I50" s="74" t="s">
        <v>94</v>
      </c>
      <c r="J50" s="74" t="s">
        <v>95</v>
      </c>
      <c r="K50" s="74" t="s">
        <v>96</v>
      </c>
      <c r="L50" s="74" t="s">
        <v>97</v>
      </c>
      <c r="M50" s="74" t="s">
        <v>98</v>
      </c>
      <c r="O50" s="74" t="s">
        <v>7</v>
      </c>
      <c r="P50" s="74" t="s">
        <v>94</v>
      </c>
      <c r="Q50" s="74" t="s">
        <v>95</v>
      </c>
      <c r="R50" s="74" t="s">
        <v>96</v>
      </c>
      <c r="S50" s="74" t="s">
        <v>97</v>
      </c>
      <c r="T50" s="74" t="s">
        <v>98</v>
      </c>
    </row>
    <row r="51">
      <c r="A51" s="75" t="s">
        <v>136</v>
      </c>
      <c r="B51" s="75" t="s">
        <v>106</v>
      </c>
      <c r="C51" s="75" t="s">
        <v>124</v>
      </c>
      <c r="D51" s="75" t="s">
        <v>102</v>
      </c>
      <c r="E51" s="75" t="s">
        <v>104</v>
      </c>
      <c r="F51" s="75" t="s">
        <v>125</v>
      </c>
      <c r="H51" s="75" t="s">
        <v>48</v>
      </c>
      <c r="I51" s="75" t="s">
        <v>39</v>
      </c>
      <c r="J51" s="75" t="s">
        <v>124</v>
      </c>
      <c r="K51" s="75" t="s">
        <v>102</v>
      </c>
      <c r="L51" s="75" t="s">
        <v>48</v>
      </c>
      <c r="M51" s="75" t="s">
        <v>106</v>
      </c>
      <c r="O51" s="75" t="s">
        <v>51</v>
      </c>
      <c r="P51" s="75" t="s">
        <v>105</v>
      </c>
      <c r="Q51" s="75" t="s">
        <v>137</v>
      </c>
      <c r="R51" s="75" t="s">
        <v>28</v>
      </c>
      <c r="S51" s="75" t="s">
        <v>138</v>
      </c>
      <c r="T51" s="75" t="s">
        <v>139</v>
      </c>
    </row>
    <row r="52">
      <c r="A52" s="77" t="s">
        <v>108</v>
      </c>
      <c r="B52" s="78">
        <f>'W3 Points'!Z30</f>
        <v>0</v>
      </c>
      <c r="C52" s="78" t="str">
        <f>'W3 Points'!I44</f>
        <v/>
      </c>
      <c r="D52" s="78" t="str">
        <f>'W3 Points'!P30</f>
        <v/>
      </c>
      <c r="E52" s="78">
        <f>'W3 Points'!K16</f>
        <v>0</v>
      </c>
      <c r="F52" s="78" t="s">
        <v>129</v>
      </c>
      <c r="H52" s="77" t="s">
        <v>108</v>
      </c>
      <c r="I52" s="78">
        <f>'W3 Points'!T58</f>
        <v>0</v>
      </c>
      <c r="J52" s="78" t="str">
        <f>'W3 Points'!I44</f>
        <v/>
      </c>
      <c r="K52" s="78" t="str">
        <f>'W3 Points'!P30</f>
        <v/>
      </c>
      <c r="L52" s="78">
        <f>'W3 Points'!W44</f>
        <v>0</v>
      </c>
      <c r="M52" s="78" t="s">
        <v>110</v>
      </c>
      <c r="O52" s="77" t="s">
        <v>108</v>
      </c>
      <c r="P52" s="78">
        <f>'W3 Points'!T16</f>
        <v>0</v>
      </c>
      <c r="Q52" s="78" t="str">
        <f>'W3 Points'!O58</f>
        <v/>
      </c>
      <c r="R52" s="78" t="str">
        <f>'W3 Points'!J58</f>
        <v/>
      </c>
      <c r="S52" s="78">
        <f>'W3 Points'!E72</f>
        <v>0</v>
      </c>
      <c r="T52" s="78" t="s">
        <v>140</v>
      </c>
    </row>
    <row r="53">
      <c r="A53" s="77" t="s">
        <v>112</v>
      </c>
      <c r="B53" s="78" t="str">
        <f>'W3 Points'!Z31</f>
        <v/>
      </c>
      <c r="C53" s="78" t="str">
        <f>'W3 Points'!I45</f>
        <v/>
      </c>
      <c r="D53" s="78">
        <f>'W3 Points'!P31</f>
        <v>0</v>
      </c>
      <c r="E53" s="78" t="str">
        <f>'W3 Points'!K17</f>
        <v/>
      </c>
      <c r="F53" s="78"/>
      <c r="H53" s="77" t="s">
        <v>112</v>
      </c>
      <c r="I53" s="78" t="str">
        <f>'W3 Points'!T59</f>
        <v/>
      </c>
      <c r="J53" s="78" t="str">
        <f>'W3 Points'!I45</f>
        <v/>
      </c>
      <c r="K53" s="78">
        <f>'W3 Points'!P31</f>
        <v>0</v>
      </c>
      <c r="L53" s="78" t="str">
        <f>'W3 Points'!W45</f>
        <v/>
      </c>
      <c r="M53" s="78"/>
      <c r="O53" s="77" t="s">
        <v>112</v>
      </c>
      <c r="P53" s="78" t="str">
        <f>'W3 Points'!T17</f>
        <v/>
      </c>
      <c r="Q53" s="78" t="str">
        <f>'W3 Points'!O59</f>
        <v/>
      </c>
      <c r="R53" s="78">
        <f>'W3 Points'!J59</f>
        <v>0</v>
      </c>
      <c r="S53" s="78" t="str">
        <f>'W3 Points'!E73</f>
        <v/>
      </c>
      <c r="T53" s="78"/>
    </row>
    <row r="54">
      <c r="A54" s="77" t="s">
        <v>113</v>
      </c>
      <c r="B54" s="78">
        <f>'W3 Points'!Z32</f>
        <v>0</v>
      </c>
      <c r="C54" s="78" t="str">
        <f>'W3 Points'!I46</f>
        <v/>
      </c>
      <c r="D54" s="78" t="str">
        <f>'W3 Points'!P32</f>
        <v/>
      </c>
      <c r="E54" s="78" t="str">
        <f>'W3 Points'!K18</f>
        <v/>
      </c>
      <c r="F54" s="78"/>
      <c r="H54" s="77" t="s">
        <v>113</v>
      </c>
      <c r="I54" s="78">
        <f>'W3 Points'!T60</f>
        <v>0</v>
      </c>
      <c r="J54" s="78" t="str">
        <f>'W3 Points'!I46</f>
        <v/>
      </c>
      <c r="K54" s="78" t="str">
        <f>'W3 Points'!P32</f>
        <v/>
      </c>
      <c r="L54" s="78" t="str">
        <f>'W3 Points'!W46</f>
        <v/>
      </c>
      <c r="M54" s="78"/>
      <c r="O54" s="77" t="s">
        <v>113</v>
      </c>
      <c r="P54" s="78">
        <f>'W3 Points'!T18</f>
        <v>0</v>
      </c>
      <c r="Q54" s="78" t="str">
        <f>'W3 Points'!O60</f>
        <v/>
      </c>
      <c r="R54" s="78" t="str">
        <f>'W3 Points'!J60</f>
        <v/>
      </c>
      <c r="S54" s="78" t="str">
        <f>'W3 Points'!E74</f>
        <v/>
      </c>
      <c r="T54" s="78"/>
    </row>
    <row r="55">
      <c r="A55" s="77" t="s">
        <v>114</v>
      </c>
      <c r="B55" s="78" t="str">
        <f>'W3 Points'!Z33</f>
        <v/>
      </c>
      <c r="C55" s="78">
        <f>'W3 Points'!I47</f>
        <v>0</v>
      </c>
      <c r="D55" s="78" t="str">
        <f>'W3 Points'!P33</f>
        <v/>
      </c>
      <c r="E55" s="78">
        <f>'W3 Points'!K19</f>
        <v>0</v>
      </c>
      <c r="F55" s="78"/>
      <c r="H55" s="77" t="s">
        <v>114</v>
      </c>
      <c r="I55" s="78" t="str">
        <f>'W3 Points'!T61</f>
        <v/>
      </c>
      <c r="J55" s="78">
        <f>'W3 Points'!I47</f>
        <v>0</v>
      </c>
      <c r="K55" s="78" t="str">
        <f>'W3 Points'!P33</f>
        <v/>
      </c>
      <c r="L55" s="78">
        <f>'W3 Points'!W47</f>
        <v>0</v>
      </c>
      <c r="M55" s="78"/>
      <c r="O55" s="77" t="s">
        <v>114</v>
      </c>
      <c r="P55" s="78" t="str">
        <f>'W3 Points'!T19</f>
        <v/>
      </c>
      <c r="Q55" s="78">
        <f>'W3 Points'!O61</f>
        <v>0</v>
      </c>
      <c r="R55" s="78" t="str">
        <f>'W3 Points'!J61</f>
        <v/>
      </c>
      <c r="S55" s="78">
        <f>'W3 Points'!E75</f>
        <v>0</v>
      </c>
      <c r="T55" s="78"/>
    </row>
    <row r="56">
      <c r="A56" s="77" t="s">
        <v>115</v>
      </c>
      <c r="B56" s="78" t="str">
        <f>'W3 Points'!Z34</f>
        <v/>
      </c>
      <c r="C56" s="78">
        <f>'W3 Points'!I48</f>
        <v>0</v>
      </c>
      <c r="D56" s="78" t="str">
        <f>'W3 Points'!P34</f>
        <v/>
      </c>
      <c r="E56" s="78">
        <f>'W3 Points'!K20</f>
        <v>0</v>
      </c>
      <c r="F56" s="78"/>
      <c r="H56" s="77" t="s">
        <v>115</v>
      </c>
      <c r="I56" s="78" t="str">
        <f>'W3 Points'!T62</f>
        <v/>
      </c>
      <c r="J56" s="78">
        <f>'W3 Points'!I48</f>
        <v>0</v>
      </c>
      <c r="K56" s="78" t="str">
        <f>'W3 Points'!P34</f>
        <v/>
      </c>
      <c r="L56" s="78">
        <f>'W3 Points'!W48</f>
        <v>0</v>
      </c>
      <c r="M56" s="78"/>
      <c r="O56" s="77" t="s">
        <v>115</v>
      </c>
      <c r="P56" s="78" t="str">
        <f>'W3 Points'!T20</f>
        <v/>
      </c>
      <c r="Q56" s="78">
        <f>'W3 Points'!O62</f>
        <v>0</v>
      </c>
      <c r="R56" s="78" t="str">
        <f>'W3 Points'!J62</f>
        <v/>
      </c>
      <c r="S56" s="78">
        <f>'W3 Points'!E76</f>
        <v>0</v>
      </c>
      <c r="T56" s="78"/>
    </row>
    <row r="57">
      <c r="A57" s="77" t="s">
        <v>116</v>
      </c>
      <c r="B57" s="78">
        <f>'W3 Points'!Z35</f>
        <v>0</v>
      </c>
      <c r="C57" s="78" t="str">
        <f>'W3 Points'!I49</f>
        <v/>
      </c>
      <c r="D57" s="78">
        <f>'W3 Points'!P35</f>
        <v>0</v>
      </c>
      <c r="E57" s="78" t="str">
        <f>'W3 Points'!K21</f>
        <v/>
      </c>
      <c r="F57" s="78"/>
      <c r="H57" s="77" t="s">
        <v>116</v>
      </c>
      <c r="I57" s="78">
        <f>'W3 Points'!T63</f>
        <v>0</v>
      </c>
      <c r="J57" s="78" t="str">
        <f>'W3 Points'!I49</f>
        <v/>
      </c>
      <c r="K57" s="78">
        <f>'W3 Points'!P35</f>
        <v>0</v>
      </c>
      <c r="L57" s="78" t="str">
        <f>'W3 Points'!W49</f>
        <v/>
      </c>
      <c r="M57" s="78"/>
      <c r="O57" s="77" t="s">
        <v>116</v>
      </c>
      <c r="P57" s="78">
        <f>'W3 Points'!T21</f>
        <v>0</v>
      </c>
      <c r="Q57" s="78" t="str">
        <f>'W3 Points'!O63</f>
        <v/>
      </c>
      <c r="R57" s="78">
        <f>'W3 Points'!J63</f>
        <v>0</v>
      </c>
      <c r="S57" s="78" t="str">
        <f>'W3 Points'!E77</f>
        <v/>
      </c>
      <c r="T57" s="78"/>
    </row>
    <row r="58">
      <c r="A58" s="77" t="s">
        <v>117</v>
      </c>
      <c r="B58" s="78" t="str">
        <f>'W3 Points'!Z36</f>
        <v/>
      </c>
      <c r="C58" s="78">
        <f>'W3 Points'!I50</f>
        <v>0</v>
      </c>
      <c r="D58" s="78" t="str">
        <f>'W3 Points'!P36</f>
        <v/>
      </c>
      <c r="E58" s="78" t="str">
        <f>'W3 Points'!K22</f>
        <v/>
      </c>
      <c r="F58" s="78"/>
      <c r="H58" s="77" t="s">
        <v>117</v>
      </c>
      <c r="I58" s="78" t="str">
        <f>'W3 Points'!T64</f>
        <v/>
      </c>
      <c r="J58" s="78">
        <f>'W3 Points'!I50</f>
        <v>0</v>
      </c>
      <c r="K58" s="78" t="str">
        <f>'W3 Points'!P36</f>
        <v/>
      </c>
      <c r="L58" s="78" t="str">
        <f>'W3 Points'!W50</f>
        <v/>
      </c>
      <c r="M58" s="78"/>
      <c r="O58" s="77" t="s">
        <v>117</v>
      </c>
      <c r="P58" s="78" t="str">
        <f>'W3 Points'!T22</f>
        <v/>
      </c>
      <c r="Q58" s="78">
        <f>'W3 Points'!O64</f>
        <v>0</v>
      </c>
      <c r="R58" s="78" t="str">
        <f>'W3 Points'!J64</f>
        <v/>
      </c>
      <c r="S58" s="78" t="str">
        <f>'W3 Points'!E78</f>
        <v/>
      </c>
      <c r="T58" s="78"/>
    </row>
    <row r="59">
      <c r="A59" s="77" t="s">
        <v>118</v>
      </c>
      <c r="B59" s="78" t="str">
        <f>'W3 Points'!Z37</f>
        <v/>
      </c>
      <c r="C59" s="78" t="str">
        <f>'W3 Points'!I51</f>
        <v/>
      </c>
      <c r="D59" s="78">
        <f>'W3 Points'!P37</f>
        <v>0</v>
      </c>
      <c r="E59" s="78">
        <f>'W3 Points'!K23</f>
        <v>0</v>
      </c>
      <c r="F59" s="78"/>
      <c r="H59" s="77" t="s">
        <v>118</v>
      </c>
      <c r="I59" s="78" t="str">
        <f>'W3 Points'!T65</f>
        <v/>
      </c>
      <c r="J59" s="78" t="str">
        <f>'W3 Points'!I51</f>
        <v/>
      </c>
      <c r="K59" s="78">
        <f>'W3 Points'!P37</f>
        <v>0</v>
      </c>
      <c r="L59" s="78">
        <f>'W3 Points'!W51</f>
        <v>0</v>
      </c>
      <c r="M59" s="78"/>
      <c r="O59" s="77" t="s">
        <v>118</v>
      </c>
      <c r="P59" s="78" t="str">
        <f>'W3 Points'!T23</f>
        <v/>
      </c>
      <c r="Q59" s="78" t="str">
        <f>'W3 Points'!O65</f>
        <v/>
      </c>
      <c r="R59" s="78">
        <f>'W3 Points'!J65</f>
        <v>0</v>
      </c>
      <c r="S59" s="78">
        <f>'W3 Points'!E79</f>
        <v>0</v>
      </c>
      <c r="T59" s="78"/>
    </row>
    <row r="60">
      <c r="A60" s="77" t="s">
        <v>119</v>
      </c>
      <c r="B60" s="78" t="str">
        <f>'W3 Points'!Z38</f>
        <v/>
      </c>
      <c r="C60" s="78">
        <f>'W3 Points'!I52</f>
        <v>0</v>
      </c>
      <c r="D60" s="78" t="str">
        <f>'W3 Points'!P38</f>
        <v/>
      </c>
      <c r="E60" s="78">
        <f>'W3 Points'!K24</f>
        <v>0</v>
      </c>
      <c r="F60" s="78"/>
      <c r="H60" s="77" t="s">
        <v>119</v>
      </c>
      <c r="I60" s="78" t="str">
        <f>'W3 Points'!T66</f>
        <v/>
      </c>
      <c r="J60" s="78">
        <f>'W3 Points'!I52</f>
        <v>0</v>
      </c>
      <c r="K60" s="78" t="str">
        <f>'W3 Points'!P38</f>
        <v/>
      </c>
      <c r="L60" s="78">
        <f>'W3 Points'!W52</f>
        <v>0</v>
      </c>
      <c r="M60" s="78"/>
      <c r="O60" s="77" t="s">
        <v>119</v>
      </c>
      <c r="P60" s="78" t="str">
        <f>'W3 Points'!T24</f>
        <v/>
      </c>
      <c r="Q60" s="78">
        <f>'W3 Points'!O66</f>
        <v>0</v>
      </c>
      <c r="R60" s="78" t="str">
        <f>'W3 Points'!J66</f>
        <v/>
      </c>
      <c r="S60" s="78">
        <f>'W3 Points'!E80</f>
        <v>0</v>
      </c>
      <c r="T60" s="78"/>
    </row>
    <row r="61">
      <c r="A61" s="77" t="s">
        <v>120</v>
      </c>
      <c r="B61" s="78" t="str">
        <f>'W3 Points'!Z39</f>
        <v/>
      </c>
      <c r="C61" s="78" t="str">
        <f>'W3 Points'!I53</f>
        <v/>
      </c>
      <c r="D61" s="78">
        <f>'W3 Points'!P39</f>
        <v>0</v>
      </c>
      <c r="E61" s="78">
        <f>'W3 Points'!K25</f>
        <v>0</v>
      </c>
      <c r="F61" s="78"/>
      <c r="H61" s="77" t="s">
        <v>120</v>
      </c>
      <c r="I61" s="78" t="str">
        <f>'W3 Points'!T67</f>
        <v/>
      </c>
      <c r="J61" s="78" t="str">
        <f>'W3 Points'!I53</f>
        <v/>
      </c>
      <c r="K61" s="78">
        <f>'W3 Points'!P39</f>
        <v>0</v>
      </c>
      <c r="L61" s="78">
        <f>'W3 Points'!W53</f>
        <v>0</v>
      </c>
      <c r="M61" s="78"/>
      <c r="O61" s="77" t="s">
        <v>120</v>
      </c>
      <c r="P61" s="78" t="str">
        <f>'W3 Points'!T25</f>
        <v/>
      </c>
      <c r="Q61" s="78" t="str">
        <f>'W3 Points'!O67</f>
        <v/>
      </c>
      <c r="R61" s="78">
        <f>'W3 Points'!J67</f>
        <v>0</v>
      </c>
      <c r="S61" s="78">
        <f>'W3 Points'!E81</f>
        <v>0</v>
      </c>
      <c r="T61" s="78"/>
    </row>
    <row r="62">
      <c r="A62" s="77" t="s">
        <v>121</v>
      </c>
      <c r="B62" s="78">
        <f>'W3 Points'!Z40</f>
        <v>0</v>
      </c>
      <c r="C62" s="78">
        <f>'W3 Points'!I54</f>
        <v>0</v>
      </c>
      <c r="D62" s="78">
        <f>'W3 Points'!P40</f>
        <v>0</v>
      </c>
      <c r="E62" s="78">
        <f>'W3 Points'!K26</f>
        <v>0</v>
      </c>
      <c r="F62" s="78"/>
      <c r="H62" s="77" t="s">
        <v>121</v>
      </c>
      <c r="I62" s="78">
        <f>'W3 Points'!T68</f>
        <v>0</v>
      </c>
      <c r="J62" s="78">
        <f>'W3 Points'!I54</f>
        <v>0</v>
      </c>
      <c r="K62" s="78">
        <f>'W3 Points'!P40</f>
        <v>0</v>
      </c>
      <c r="L62" s="78">
        <f>'W3 Points'!W54</f>
        <v>0</v>
      </c>
      <c r="M62" s="78"/>
      <c r="O62" s="77" t="s">
        <v>121</v>
      </c>
      <c r="P62" s="78">
        <f>'W3 Points'!T26</f>
        <v>0</v>
      </c>
      <c r="Q62" s="78">
        <f>'W3 Points'!O68</f>
        <v>0</v>
      </c>
      <c r="R62" s="78">
        <f>'W3 Points'!J68</f>
        <v>0</v>
      </c>
      <c r="S62" s="78">
        <f>'W3 Points'!E82</f>
        <v>0</v>
      </c>
      <c r="T62" s="78"/>
    </row>
    <row r="63">
      <c r="A63" s="77" t="s">
        <v>122</v>
      </c>
      <c r="B63" s="79">
        <f t="shared" ref="B63:F63" si="10">SUM(B52:B62)</f>
        <v>0</v>
      </c>
      <c r="C63" s="79">
        <f t="shared" si="10"/>
        <v>0</v>
      </c>
      <c r="D63" s="79">
        <f t="shared" si="10"/>
        <v>0</v>
      </c>
      <c r="E63" s="79">
        <f t="shared" si="10"/>
        <v>0</v>
      </c>
      <c r="F63" s="79">
        <f t="shared" si="10"/>
        <v>0</v>
      </c>
      <c r="H63" s="77" t="s">
        <v>122</v>
      </c>
      <c r="I63" s="79">
        <f t="shared" ref="I63:M63" si="11">SUM(I52:I62)</f>
        <v>0</v>
      </c>
      <c r="J63" s="79">
        <f t="shared" si="11"/>
        <v>0</v>
      </c>
      <c r="K63" s="79">
        <f t="shared" si="11"/>
        <v>0</v>
      </c>
      <c r="L63" s="79">
        <f t="shared" si="11"/>
        <v>0</v>
      </c>
      <c r="M63" s="79">
        <f t="shared" si="11"/>
        <v>0</v>
      </c>
      <c r="O63" s="77" t="s">
        <v>122</v>
      </c>
      <c r="P63" s="79">
        <f t="shared" ref="P63:T63" si="12">SUM(P52:P62)</f>
        <v>0</v>
      </c>
      <c r="Q63" s="79">
        <f t="shared" si="12"/>
        <v>0</v>
      </c>
      <c r="R63" s="79">
        <f t="shared" si="12"/>
        <v>0</v>
      </c>
      <c r="S63" s="79">
        <f t="shared" si="12"/>
        <v>0</v>
      </c>
      <c r="T63" s="79">
        <f t="shared" si="12"/>
        <v>0</v>
      </c>
    </row>
    <row r="64">
      <c r="E64" s="81" t="s">
        <v>123</v>
      </c>
      <c r="F64" s="82">
        <f>SUM(B63:E63)</f>
        <v>0</v>
      </c>
      <c r="L64" s="81" t="s">
        <v>123</v>
      </c>
      <c r="M64" s="82">
        <f>SUM(I63:L63)</f>
        <v>0</v>
      </c>
      <c r="S64" s="81" t="s">
        <v>123</v>
      </c>
      <c r="T64" s="82">
        <f>SUM(P63:S63)</f>
        <v>0</v>
      </c>
    </row>
  </sheetData>
  <mergeCells count="12">
    <mergeCell ref="H33:M33"/>
    <mergeCell ref="O33:T33"/>
    <mergeCell ref="A49:F49"/>
    <mergeCell ref="H49:M49"/>
    <mergeCell ref="O49:T49"/>
    <mergeCell ref="A1:F1"/>
    <mergeCell ref="H1:M1"/>
    <mergeCell ref="O1:T1"/>
    <mergeCell ref="A17:F17"/>
    <mergeCell ref="H17:M17"/>
    <mergeCell ref="O17:T17"/>
    <mergeCell ref="A33:F3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0.5"/>
    <col customWidth="1" min="2" max="2" width="18.88"/>
    <col customWidth="1" min="3" max="17" width="8.25"/>
    <col customWidth="1" min="18" max="18" width="0.5"/>
    <col customWidth="1" min="19" max="23" width="8.25"/>
  </cols>
  <sheetData>
    <row r="1">
      <c r="A1" s="83" t="s">
        <v>141</v>
      </c>
      <c r="W1" s="106"/>
    </row>
    <row r="2">
      <c r="A2" s="84"/>
      <c r="B2" s="85" t="s">
        <v>142</v>
      </c>
      <c r="C2" s="86" t="s">
        <v>143</v>
      </c>
      <c r="D2" s="86" t="s">
        <v>108</v>
      </c>
      <c r="E2" s="86" t="s">
        <v>144</v>
      </c>
      <c r="F2" s="86" t="s">
        <v>145</v>
      </c>
      <c r="G2" s="86" t="s">
        <v>146</v>
      </c>
      <c r="H2" s="86" t="s">
        <v>112</v>
      </c>
      <c r="I2" s="86" t="s">
        <v>113</v>
      </c>
      <c r="J2" s="86" t="s">
        <v>147</v>
      </c>
      <c r="K2" s="86" t="s">
        <v>115</v>
      </c>
      <c r="L2" s="87" t="s">
        <v>116</v>
      </c>
      <c r="M2" s="87" t="s">
        <v>117</v>
      </c>
      <c r="N2" s="87" t="s">
        <v>118</v>
      </c>
      <c r="O2" s="87" t="s">
        <v>119</v>
      </c>
      <c r="P2" s="87" t="s">
        <v>120</v>
      </c>
      <c r="Q2" s="87" t="s">
        <v>121</v>
      </c>
      <c r="R2" s="88"/>
      <c r="S2" s="87" t="s">
        <v>94</v>
      </c>
      <c r="T2" s="87" t="s">
        <v>95</v>
      </c>
      <c r="U2" s="87" t="s">
        <v>96</v>
      </c>
      <c r="V2" s="87" t="s">
        <v>97</v>
      </c>
      <c r="W2" s="107" t="s">
        <v>148</v>
      </c>
    </row>
    <row r="3" ht="12.75" customHeight="1">
      <c r="A3" s="89"/>
      <c r="B3" s="90" t="s">
        <v>101</v>
      </c>
      <c r="C3" s="91">
        <f t="shared" ref="C3:D3" si="1">0</f>
        <v>0</v>
      </c>
      <c r="D3" s="91">
        <f t="shared" si="1"/>
        <v>0</v>
      </c>
      <c r="E3" s="91">
        <f t="shared" ref="E3:E33" si="5">G3+H3+I3</f>
        <v>0</v>
      </c>
      <c r="F3" s="91">
        <f t="shared" ref="F3:I3" si="2">0</f>
        <v>0</v>
      </c>
      <c r="G3" s="91">
        <f t="shared" si="2"/>
        <v>0</v>
      </c>
      <c r="H3" s="91">
        <f t="shared" si="2"/>
        <v>0</v>
      </c>
      <c r="I3" s="91">
        <f t="shared" si="2"/>
        <v>0</v>
      </c>
      <c r="J3" s="91">
        <f t="shared" ref="J3:J33" si="7">E3-F3</f>
        <v>0</v>
      </c>
      <c r="K3" s="91">
        <f t="shared" ref="K3:Q3" si="3">0</f>
        <v>0</v>
      </c>
      <c r="L3" s="91">
        <f t="shared" si="3"/>
        <v>0</v>
      </c>
      <c r="M3" s="91">
        <f t="shared" si="3"/>
        <v>0</v>
      </c>
      <c r="N3" s="91">
        <f t="shared" si="3"/>
        <v>0</v>
      </c>
      <c r="O3" s="91">
        <f t="shared" si="3"/>
        <v>0</v>
      </c>
      <c r="P3" s="91">
        <f t="shared" si="3"/>
        <v>0</v>
      </c>
      <c r="Q3" s="93">
        <f t="shared" si="3"/>
        <v>0</v>
      </c>
      <c r="R3" s="92"/>
      <c r="S3" s="93">
        <f>'W3 Points'!B27</f>
        <v>0</v>
      </c>
      <c r="T3" s="93">
        <f>'W3 Points'!C27</f>
        <v>0</v>
      </c>
      <c r="U3" s="93">
        <f>'W3 Points'!D27</f>
        <v>0</v>
      </c>
      <c r="V3" s="93">
        <f>'W3 Points'!E27</f>
        <v>0</v>
      </c>
      <c r="W3" s="108">
        <f t="shared" ref="W3:W23" si="9">SUM(S3:V3)</f>
        <v>0</v>
      </c>
    </row>
    <row r="4" ht="12.75" customHeight="1">
      <c r="A4" s="89"/>
      <c r="B4" s="90" t="s">
        <v>104</v>
      </c>
      <c r="C4" s="91">
        <f t="shared" ref="C4:D4" si="4">0</f>
        <v>0</v>
      </c>
      <c r="D4" s="91">
        <f t="shared" si="4"/>
        <v>0</v>
      </c>
      <c r="E4" s="91">
        <f t="shared" si="5"/>
        <v>0</v>
      </c>
      <c r="F4" s="91">
        <f t="shared" ref="F4:I4" si="6">0</f>
        <v>0</v>
      </c>
      <c r="G4" s="91">
        <f t="shared" si="6"/>
        <v>0</v>
      </c>
      <c r="H4" s="91">
        <f t="shared" si="6"/>
        <v>0</v>
      </c>
      <c r="I4" s="91">
        <f t="shared" si="6"/>
        <v>0</v>
      </c>
      <c r="J4" s="91">
        <f t="shared" si="7"/>
        <v>0</v>
      </c>
      <c r="K4" s="91">
        <f t="shared" ref="K4:Q4" si="8">0</f>
        <v>0</v>
      </c>
      <c r="L4" s="91">
        <f t="shared" si="8"/>
        <v>0</v>
      </c>
      <c r="M4" s="91">
        <f t="shared" si="8"/>
        <v>0</v>
      </c>
      <c r="N4" s="91">
        <f t="shared" si="8"/>
        <v>0</v>
      </c>
      <c r="O4" s="91">
        <f t="shared" si="8"/>
        <v>0</v>
      </c>
      <c r="P4" s="91">
        <f t="shared" si="8"/>
        <v>0</v>
      </c>
      <c r="Q4" s="93">
        <f t="shared" si="8"/>
        <v>0</v>
      </c>
      <c r="R4" s="92"/>
      <c r="S4" s="93">
        <f>'W3 Points'!H27</f>
        <v>0</v>
      </c>
      <c r="T4" s="93">
        <f>'W3 Points'!I27</f>
        <v>0</v>
      </c>
      <c r="U4" s="93">
        <f>'W3 Points'!J27</f>
        <v>0</v>
      </c>
      <c r="V4" s="93">
        <f>'W3 Points'!K27</f>
        <v>0</v>
      </c>
      <c r="W4" s="108">
        <f t="shared" si="9"/>
        <v>0</v>
      </c>
    </row>
    <row r="5" ht="12.75" customHeight="1">
      <c r="A5" s="89"/>
      <c r="B5" s="90" t="s">
        <v>127</v>
      </c>
      <c r="C5" s="91">
        <f t="shared" ref="C5:D5" si="10">0</f>
        <v>0</v>
      </c>
      <c r="D5" s="91">
        <f t="shared" si="10"/>
        <v>0</v>
      </c>
      <c r="E5" s="91">
        <f t="shared" si="5"/>
        <v>0</v>
      </c>
      <c r="F5" s="91">
        <f t="shared" ref="F5:I5" si="11">0</f>
        <v>0</v>
      </c>
      <c r="G5" s="91">
        <f t="shared" si="11"/>
        <v>0</v>
      </c>
      <c r="H5" s="91">
        <f t="shared" si="11"/>
        <v>0</v>
      </c>
      <c r="I5" s="91">
        <f t="shared" si="11"/>
        <v>0</v>
      </c>
      <c r="J5" s="91">
        <f t="shared" si="7"/>
        <v>0</v>
      </c>
      <c r="K5" s="91">
        <f t="shared" ref="K5:Q5" si="12">0</f>
        <v>0</v>
      </c>
      <c r="L5" s="91">
        <f t="shared" si="12"/>
        <v>0</v>
      </c>
      <c r="M5" s="91">
        <f t="shared" si="12"/>
        <v>0</v>
      </c>
      <c r="N5" s="91">
        <f t="shared" si="12"/>
        <v>0</v>
      </c>
      <c r="O5" s="91">
        <f t="shared" si="12"/>
        <v>0</v>
      </c>
      <c r="P5" s="91">
        <f t="shared" si="12"/>
        <v>0</v>
      </c>
      <c r="Q5" s="93">
        <f t="shared" si="12"/>
        <v>0</v>
      </c>
      <c r="R5" s="92"/>
      <c r="S5" s="93">
        <f>'W3 Points'!N27</f>
        <v>0</v>
      </c>
      <c r="T5" s="93">
        <f>'W3 Points'!O27</f>
        <v>0</v>
      </c>
      <c r="U5" s="93">
        <f>'W3 Points'!P27</f>
        <v>0</v>
      </c>
      <c r="V5" s="93">
        <f>'W3 Points'!Q27</f>
        <v>0</v>
      </c>
      <c r="W5" s="108">
        <f t="shared" si="9"/>
        <v>0</v>
      </c>
    </row>
    <row r="6" ht="12.75" customHeight="1">
      <c r="A6" s="89"/>
      <c r="B6" s="90" t="s">
        <v>105</v>
      </c>
      <c r="C6" s="91">
        <f t="shared" ref="C6:D6" si="13">0</f>
        <v>0</v>
      </c>
      <c r="D6" s="91">
        <f t="shared" si="13"/>
        <v>0</v>
      </c>
      <c r="E6" s="91">
        <f t="shared" si="5"/>
        <v>0</v>
      </c>
      <c r="F6" s="91">
        <f t="shared" ref="F6:I6" si="14">0</f>
        <v>0</v>
      </c>
      <c r="G6" s="91">
        <f t="shared" si="14"/>
        <v>0</v>
      </c>
      <c r="H6" s="91">
        <f t="shared" si="14"/>
        <v>0</v>
      </c>
      <c r="I6" s="91">
        <f t="shared" si="14"/>
        <v>0</v>
      </c>
      <c r="J6" s="91">
        <f t="shared" si="7"/>
        <v>0</v>
      </c>
      <c r="K6" s="91">
        <f t="shared" ref="K6:Q6" si="15">0</f>
        <v>0</v>
      </c>
      <c r="L6" s="91">
        <f t="shared" si="15"/>
        <v>0</v>
      </c>
      <c r="M6" s="91">
        <f t="shared" si="15"/>
        <v>0</v>
      </c>
      <c r="N6" s="91">
        <f t="shared" si="15"/>
        <v>0</v>
      </c>
      <c r="O6" s="91">
        <f t="shared" si="15"/>
        <v>0</v>
      </c>
      <c r="P6" s="91">
        <f t="shared" si="15"/>
        <v>0</v>
      </c>
      <c r="Q6" s="93">
        <f t="shared" si="15"/>
        <v>0</v>
      </c>
      <c r="R6" s="92"/>
      <c r="S6" s="93">
        <f>'W3 Points'!T27</f>
        <v>0</v>
      </c>
      <c r="T6" s="93">
        <f>'W3 Points'!U27</f>
        <v>0</v>
      </c>
      <c r="U6" s="93">
        <f>'W3 Points'!V27</f>
        <v>0</v>
      </c>
      <c r="V6" s="93">
        <f>'W3 Points'!W27</f>
        <v>0</v>
      </c>
      <c r="W6" s="108">
        <f t="shared" si="9"/>
        <v>0</v>
      </c>
    </row>
    <row r="7" ht="12.75" customHeight="1">
      <c r="A7" s="89"/>
      <c r="B7" s="90" t="s">
        <v>149</v>
      </c>
      <c r="C7" s="91">
        <f t="shared" ref="C7:D7" si="16">0</f>
        <v>0</v>
      </c>
      <c r="D7" s="91">
        <f t="shared" si="16"/>
        <v>0</v>
      </c>
      <c r="E7" s="91">
        <f t="shared" si="5"/>
        <v>0</v>
      </c>
      <c r="F7" s="91">
        <f t="shared" ref="F7:I7" si="17">0</f>
        <v>0</v>
      </c>
      <c r="G7" s="91">
        <f t="shared" si="17"/>
        <v>0</v>
      </c>
      <c r="H7" s="91">
        <f t="shared" si="17"/>
        <v>0</v>
      </c>
      <c r="I7" s="91">
        <f t="shared" si="17"/>
        <v>0</v>
      </c>
      <c r="J7" s="91">
        <f t="shared" si="7"/>
        <v>0</v>
      </c>
      <c r="K7" s="91">
        <f t="shared" ref="K7:Q7" si="18">0</f>
        <v>0</v>
      </c>
      <c r="L7" s="91">
        <f t="shared" si="18"/>
        <v>0</v>
      </c>
      <c r="M7" s="91">
        <f t="shared" si="18"/>
        <v>0</v>
      </c>
      <c r="N7" s="91">
        <f t="shared" si="18"/>
        <v>0</v>
      </c>
      <c r="O7" s="91">
        <f t="shared" si="18"/>
        <v>0</v>
      </c>
      <c r="P7" s="91">
        <f t="shared" si="18"/>
        <v>0</v>
      </c>
      <c r="Q7" s="93">
        <f t="shared" si="18"/>
        <v>0</v>
      </c>
      <c r="R7" s="92"/>
      <c r="S7" s="93">
        <f>'W3 Points'!Z27</f>
        <v>0</v>
      </c>
      <c r="T7" s="93">
        <f>'W3 Points'!AA27</f>
        <v>0</v>
      </c>
      <c r="U7" s="93">
        <f>'W3 Points'!AB27</f>
        <v>0</v>
      </c>
      <c r="V7" s="93">
        <f>'W3 Points'!AC27</f>
        <v>0</v>
      </c>
      <c r="W7" s="108">
        <f t="shared" si="9"/>
        <v>0</v>
      </c>
    </row>
    <row r="8" ht="12.75" customHeight="1">
      <c r="A8" s="89"/>
      <c r="B8" s="94" t="s">
        <v>150</v>
      </c>
      <c r="C8" s="100">
        <f t="shared" ref="C8:D8" si="19">0</f>
        <v>0</v>
      </c>
      <c r="D8" s="101">
        <f t="shared" si="19"/>
        <v>0</v>
      </c>
      <c r="E8" s="95">
        <f t="shared" si="5"/>
        <v>0</v>
      </c>
      <c r="F8" s="95">
        <f t="shared" ref="F8:I8" si="20">0</f>
        <v>0</v>
      </c>
      <c r="G8" s="95">
        <f t="shared" si="20"/>
        <v>0</v>
      </c>
      <c r="H8" s="101">
        <f t="shared" si="20"/>
        <v>0</v>
      </c>
      <c r="I8" s="102">
        <f t="shared" si="20"/>
        <v>0</v>
      </c>
      <c r="J8" s="95">
        <f t="shared" si="7"/>
        <v>0</v>
      </c>
      <c r="K8" s="102">
        <f t="shared" ref="K8:Q8" si="21">0</f>
        <v>0</v>
      </c>
      <c r="L8" s="102">
        <f t="shared" si="21"/>
        <v>0</v>
      </c>
      <c r="M8" s="102">
        <f t="shared" si="21"/>
        <v>0</v>
      </c>
      <c r="N8" s="102">
        <f t="shared" si="21"/>
        <v>0</v>
      </c>
      <c r="O8" s="101">
        <f t="shared" si="21"/>
        <v>0</v>
      </c>
      <c r="P8" s="102">
        <f t="shared" si="21"/>
        <v>0</v>
      </c>
      <c r="Q8" s="101">
        <f t="shared" si="21"/>
        <v>0</v>
      </c>
      <c r="R8" s="92"/>
      <c r="S8" s="96">
        <f>'W3 Points'!B41</f>
        <v>0</v>
      </c>
      <c r="T8" s="96">
        <f>'W3 Points'!C41</f>
        <v>0</v>
      </c>
      <c r="U8" s="96">
        <f>'W3 Points'!D41</f>
        <v>0</v>
      </c>
      <c r="V8" s="96">
        <f>'W3 Points'!E41</f>
        <v>0</v>
      </c>
      <c r="W8" s="109">
        <f t="shared" si="9"/>
        <v>0</v>
      </c>
    </row>
    <row r="9" ht="12.75" customHeight="1">
      <c r="A9" s="89"/>
      <c r="B9" s="94" t="s">
        <v>151</v>
      </c>
      <c r="C9" s="57">
        <f t="shared" ref="C9:D9" si="22">0</f>
        <v>0</v>
      </c>
      <c r="D9" s="103">
        <f t="shared" si="22"/>
        <v>0</v>
      </c>
      <c r="E9" s="95">
        <f t="shared" si="5"/>
        <v>0</v>
      </c>
      <c r="F9" s="95">
        <f t="shared" ref="F9:I9" si="23">0</f>
        <v>0</v>
      </c>
      <c r="G9" s="95">
        <f t="shared" si="23"/>
        <v>0</v>
      </c>
      <c r="H9" s="103">
        <f t="shared" si="23"/>
        <v>0</v>
      </c>
      <c r="I9" s="104">
        <f t="shared" si="23"/>
        <v>0</v>
      </c>
      <c r="J9" s="95">
        <f t="shared" si="7"/>
        <v>0</v>
      </c>
      <c r="K9" s="104">
        <f t="shared" ref="K9:Q9" si="24">0</f>
        <v>0</v>
      </c>
      <c r="L9" s="104">
        <f t="shared" si="24"/>
        <v>0</v>
      </c>
      <c r="M9" s="104">
        <f t="shared" si="24"/>
        <v>0</v>
      </c>
      <c r="N9" s="104">
        <f t="shared" si="24"/>
        <v>0</v>
      </c>
      <c r="O9" s="103">
        <f t="shared" si="24"/>
        <v>0</v>
      </c>
      <c r="P9" s="104">
        <f t="shared" si="24"/>
        <v>0</v>
      </c>
      <c r="Q9" s="105">
        <f t="shared" si="24"/>
        <v>0</v>
      </c>
      <c r="R9" s="92"/>
      <c r="S9" s="96">
        <f>'W3 Points'!H41</f>
        <v>0</v>
      </c>
      <c r="T9" s="96">
        <f>'W3 Points'!I41</f>
        <v>0</v>
      </c>
      <c r="U9" s="96">
        <f>'W3 Points'!J41</f>
        <v>0</v>
      </c>
      <c r="V9" s="96">
        <f>'W3 Points'!K41</f>
        <v>0</v>
      </c>
      <c r="W9" s="109">
        <f t="shared" si="9"/>
        <v>0</v>
      </c>
    </row>
    <row r="10" ht="12.75" customHeight="1">
      <c r="A10" s="89"/>
      <c r="B10" s="94" t="s">
        <v>102</v>
      </c>
      <c r="C10" s="57">
        <f t="shared" ref="C10:D10" si="25">0</f>
        <v>0</v>
      </c>
      <c r="D10" s="103">
        <f t="shared" si="25"/>
        <v>0</v>
      </c>
      <c r="E10" s="95">
        <f t="shared" si="5"/>
        <v>0</v>
      </c>
      <c r="F10" s="95">
        <f t="shared" ref="F10:I10" si="26">0</f>
        <v>0</v>
      </c>
      <c r="G10" s="95">
        <f t="shared" si="26"/>
        <v>0</v>
      </c>
      <c r="H10" s="103">
        <f t="shared" si="26"/>
        <v>0</v>
      </c>
      <c r="I10" s="104">
        <f t="shared" si="26"/>
        <v>0</v>
      </c>
      <c r="J10" s="95">
        <f t="shared" si="7"/>
        <v>0</v>
      </c>
      <c r="K10" s="104">
        <f t="shared" ref="K10:Q10" si="27">0</f>
        <v>0</v>
      </c>
      <c r="L10" s="104">
        <f t="shared" si="27"/>
        <v>0</v>
      </c>
      <c r="M10" s="104">
        <f t="shared" si="27"/>
        <v>0</v>
      </c>
      <c r="N10" s="104">
        <f t="shared" si="27"/>
        <v>0</v>
      </c>
      <c r="O10" s="103">
        <f t="shared" si="27"/>
        <v>0</v>
      </c>
      <c r="P10" s="104">
        <f t="shared" si="27"/>
        <v>0</v>
      </c>
      <c r="Q10" s="105">
        <f t="shared" si="27"/>
        <v>0</v>
      </c>
      <c r="R10" s="92"/>
      <c r="S10" s="96">
        <f>'W3 Points'!N41</f>
        <v>0</v>
      </c>
      <c r="T10" s="96">
        <f>'W3 Points'!O41</f>
        <v>0</v>
      </c>
      <c r="U10" s="96">
        <f>'W3 Points'!P41</f>
        <v>0</v>
      </c>
      <c r="V10" s="96">
        <f>'W3 Points'!Q41</f>
        <v>0</v>
      </c>
      <c r="W10" s="109">
        <f t="shared" si="9"/>
        <v>0</v>
      </c>
    </row>
    <row r="11" ht="12.75" customHeight="1">
      <c r="A11" s="89"/>
      <c r="B11" s="94" t="s">
        <v>103</v>
      </c>
      <c r="C11" s="57">
        <f t="shared" ref="C11:D11" si="28">0</f>
        <v>0</v>
      </c>
      <c r="D11" s="103">
        <f t="shared" si="28"/>
        <v>0</v>
      </c>
      <c r="E11" s="95">
        <f t="shared" si="5"/>
        <v>0</v>
      </c>
      <c r="F11" s="95">
        <f t="shared" ref="F11:I11" si="29">0</f>
        <v>0</v>
      </c>
      <c r="G11" s="95">
        <f t="shared" si="29"/>
        <v>0</v>
      </c>
      <c r="H11" s="103">
        <f t="shared" si="29"/>
        <v>0</v>
      </c>
      <c r="I11" s="104">
        <f t="shared" si="29"/>
        <v>0</v>
      </c>
      <c r="J11" s="95">
        <f t="shared" si="7"/>
        <v>0</v>
      </c>
      <c r="K11" s="104">
        <f t="shared" ref="K11:Q11" si="30">0</f>
        <v>0</v>
      </c>
      <c r="L11" s="104">
        <f t="shared" si="30"/>
        <v>0</v>
      </c>
      <c r="M11" s="104">
        <f t="shared" si="30"/>
        <v>0</v>
      </c>
      <c r="N11" s="104">
        <f t="shared" si="30"/>
        <v>0</v>
      </c>
      <c r="O11" s="103">
        <f t="shared" si="30"/>
        <v>0</v>
      </c>
      <c r="P11" s="103">
        <f t="shared" si="30"/>
        <v>0</v>
      </c>
      <c r="Q11" s="105">
        <f t="shared" si="30"/>
        <v>0</v>
      </c>
      <c r="R11" s="92"/>
      <c r="S11" s="96">
        <f>'W3 Points'!T41</f>
        <v>0</v>
      </c>
      <c r="T11" s="96">
        <f>'W3 Points'!U41</f>
        <v>0</v>
      </c>
      <c r="U11" s="96">
        <f>'W3 Points'!V41</f>
        <v>0</v>
      </c>
      <c r="V11" s="96">
        <f>'W3 Points'!W41</f>
        <v>0</v>
      </c>
      <c r="W11" s="109">
        <f t="shared" si="9"/>
        <v>0</v>
      </c>
    </row>
    <row r="12" ht="12.75" customHeight="1">
      <c r="A12" s="89"/>
      <c r="B12" s="94" t="s">
        <v>125</v>
      </c>
      <c r="C12" s="57">
        <f t="shared" ref="C12:D12" si="31">0</f>
        <v>0</v>
      </c>
      <c r="D12" s="103">
        <f t="shared" si="31"/>
        <v>0</v>
      </c>
      <c r="E12" s="95">
        <f t="shared" si="5"/>
        <v>0</v>
      </c>
      <c r="F12" s="95">
        <f t="shared" ref="F12:I12" si="32">0</f>
        <v>0</v>
      </c>
      <c r="G12" s="95">
        <f t="shared" si="32"/>
        <v>0</v>
      </c>
      <c r="H12" s="103">
        <f t="shared" si="32"/>
        <v>0</v>
      </c>
      <c r="I12" s="104">
        <f t="shared" si="32"/>
        <v>0</v>
      </c>
      <c r="J12" s="95">
        <f t="shared" si="7"/>
        <v>0</v>
      </c>
      <c r="K12" s="104">
        <f t="shared" ref="K12:Q12" si="33">0</f>
        <v>0</v>
      </c>
      <c r="L12" s="104">
        <f t="shared" si="33"/>
        <v>0</v>
      </c>
      <c r="M12" s="104">
        <f t="shared" si="33"/>
        <v>0</v>
      </c>
      <c r="N12" s="104">
        <f t="shared" si="33"/>
        <v>0</v>
      </c>
      <c r="O12" s="103">
        <f t="shared" si="33"/>
        <v>0</v>
      </c>
      <c r="P12" s="104">
        <f t="shared" si="33"/>
        <v>0</v>
      </c>
      <c r="Q12" s="105">
        <f t="shared" si="33"/>
        <v>0</v>
      </c>
      <c r="R12" s="92"/>
      <c r="S12" s="96">
        <f>'W3 Points'!Z41</f>
        <v>0</v>
      </c>
      <c r="T12" s="96">
        <f>'W3 Points'!AA41</f>
        <v>0</v>
      </c>
      <c r="U12" s="96">
        <f>'W3 Points'!AB41</f>
        <v>0</v>
      </c>
      <c r="V12" s="96">
        <f>'W3 Points'!AC41</f>
        <v>0</v>
      </c>
      <c r="W12" s="109">
        <f t="shared" si="9"/>
        <v>0</v>
      </c>
    </row>
    <row r="13" ht="12.75" customHeight="1">
      <c r="A13" s="89"/>
      <c r="B13" s="90" t="s">
        <v>132</v>
      </c>
      <c r="C13" s="91">
        <f t="shared" ref="C13:D13" si="34">0</f>
        <v>0</v>
      </c>
      <c r="D13" s="91">
        <f t="shared" si="34"/>
        <v>0</v>
      </c>
      <c r="E13" s="91">
        <f t="shared" si="5"/>
        <v>0</v>
      </c>
      <c r="F13" s="91">
        <f t="shared" ref="F13:I13" si="35">0</f>
        <v>0</v>
      </c>
      <c r="G13" s="91">
        <f t="shared" si="35"/>
        <v>0</v>
      </c>
      <c r="H13" s="91">
        <f t="shared" si="35"/>
        <v>0</v>
      </c>
      <c r="I13" s="91">
        <f t="shared" si="35"/>
        <v>0</v>
      </c>
      <c r="J13" s="91">
        <f t="shared" si="7"/>
        <v>0</v>
      </c>
      <c r="K13" s="91">
        <f t="shared" ref="K13:Q13" si="36">0</f>
        <v>0</v>
      </c>
      <c r="L13" s="91">
        <f t="shared" si="36"/>
        <v>0</v>
      </c>
      <c r="M13" s="91">
        <f t="shared" si="36"/>
        <v>0</v>
      </c>
      <c r="N13" s="91">
        <f t="shared" si="36"/>
        <v>0</v>
      </c>
      <c r="O13" s="91">
        <f t="shared" si="36"/>
        <v>0</v>
      </c>
      <c r="P13" s="91">
        <f t="shared" si="36"/>
        <v>0</v>
      </c>
      <c r="Q13" s="93">
        <f t="shared" si="36"/>
        <v>0</v>
      </c>
      <c r="R13" s="92"/>
      <c r="S13" s="93">
        <f>'W3 Points'!B55</f>
        <v>0</v>
      </c>
      <c r="T13" s="93">
        <f>'W3 Points'!C55</f>
        <v>0</v>
      </c>
      <c r="U13" s="93">
        <f>'W3 Points'!D55</f>
        <v>0</v>
      </c>
      <c r="V13" s="93">
        <f>'W3 Points'!E55</f>
        <v>0</v>
      </c>
      <c r="W13" s="108">
        <f t="shared" si="9"/>
        <v>0</v>
      </c>
    </row>
    <row r="14" ht="12.75" customHeight="1">
      <c r="A14" s="89"/>
      <c r="B14" s="90" t="s">
        <v>124</v>
      </c>
      <c r="C14" s="91">
        <f t="shared" ref="C14:D14" si="37">0</f>
        <v>0</v>
      </c>
      <c r="D14" s="91">
        <f t="shared" si="37"/>
        <v>0</v>
      </c>
      <c r="E14" s="91">
        <f t="shared" si="5"/>
        <v>0</v>
      </c>
      <c r="F14" s="91">
        <f t="shared" ref="F14:I14" si="38">0</f>
        <v>0</v>
      </c>
      <c r="G14" s="91">
        <f t="shared" si="38"/>
        <v>0</v>
      </c>
      <c r="H14" s="91">
        <f t="shared" si="38"/>
        <v>0</v>
      </c>
      <c r="I14" s="91">
        <f t="shared" si="38"/>
        <v>0</v>
      </c>
      <c r="J14" s="91">
        <f t="shared" si="7"/>
        <v>0</v>
      </c>
      <c r="K14" s="91">
        <f t="shared" ref="K14:Q14" si="39">0</f>
        <v>0</v>
      </c>
      <c r="L14" s="91">
        <f t="shared" si="39"/>
        <v>0</v>
      </c>
      <c r="M14" s="91">
        <f t="shared" si="39"/>
        <v>0</v>
      </c>
      <c r="N14" s="91">
        <f t="shared" si="39"/>
        <v>0</v>
      </c>
      <c r="O14" s="91">
        <f t="shared" si="39"/>
        <v>0</v>
      </c>
      <c r="P14" s="91">
        <f t="shared" si="39"/>
        <v>0</v>
      </c>
      <c r="Q14" s="93">
        <f t="shared" si="39"/>
        <v>0</v>
      </c>
      <c r="R14" s="92"/>
      <c r="S14" s="93">
        <f>'W3 Points'!H55</f>
        <v>0</v>
      </c>
      <c r="T14" s="93">
        <f>'W3 Points'!I55</f>
        <v>0</v>
      </c>
      <c r="U14" s="93">
        <f>'W3 Points'!J55</f>
        <v>0</v>
      </c>
      <c r="V14" s="93">
        <f>'W3 Points'!K55</f>
        <v>0</v>
      </c>
      <c r="W14" s="108">
        <f t="shared" si="9"/>
        <v>0</v>
      </c>
    </row>
    <row r="15" ht="12.75" customHeight="1">
      <c r="A15" s="89"/>
      <c r="B15" s="90" t="s">
        <v>136</v>
      </c>
      <c r="C15" s="91">
        <f t="shared" ref="C15:D15" si="40">0</f>
        <v>0</v>
      </c>
      <c r="D15" s="91">
        <f t="shared" si="40"/>
        <v>0</v>
      </c>
      <c r="E15" s="91">
        <f t="shared" si="5"/>
        <v>0</v>
      </c>
      <c r="F15" s="91">
        <f t="shared" ref="F15:I15" si="41">0</f>
        <v>0</v>
      </c>
      <c r="G15" s="91">
        <f t="shared" si="41"/>
        <v>0</v>
      </c>
      <c r="H15" s="91">
        <f t="shared" si="41"/>
        <v>0</v>
      </c>
      <c r="I15" s="91">
        <f t="shared" si="41"/>
        <v>0</v>
      </c>
      <c r="J15" s="91">
        <f t="shared" si="7"/>
        <v>0</v>
      </c>
      <c r="K15" s="91">
        <f t="shared" ref="K15:Q15" si="42">0</f>
        <v>0</v>
      </c>
      <c r="L15" s="91">
        <f t="shared" si="42"/>
        <v>0</v>
      </c>
      <c r="M15" s="91">
        <f t="shared" si="42"/>
        <v>0</v>
      </c>
      <c r="N15" s="91">
        <f t="shared" si="42"/>
        <v>0</v>
      </c>
      <c r="O15" s="91">
        <f t="shared" si="42"/>
        <v>0</v>
      </c>
      <c r="P15" s="91">
        <f t="shared" si="42"/>
        <v>0</v>
      </c>
      <c r="Q15" s="93">
        <f t="shared" si="42"/>
        <v>0</v>
      </c>
      <c r="R15" s="92"/>
      <c r="S15" s="93">
        <f>'W3 Points'!N55</f>
        <v>0</v>
      </c>
      <c r="T15" s="93">
        <f>'W3 Points'!O55</f>
        <v>0</v>
      </c>
      <c r="U15" s="93">
        <f>'W3 Points'!P55</f>
        <v>0</v>
      </c>
      <c r="V15" s="93">
        <f>'W3 Points'!Q55</f>
        <v>0</v>
      </c>
      <c r="W15" s="108">
        <f t="shared" si="9"/>
        <v>0</v>
      </c>
    </row>
    <row r="16" ht="12.75" customHeight="1">
      <c r="A16" s="89"/>
      <c r="B16" s="90" t="s">
        <v>48</v>
      </c>
      <c r="C16" s="91">
        <f t="shared" ref="C16:D16" si="43">0</f>
        <v>0</v>
      </c>
      <c r="D16" s="91">
        <f t="shared" si="43"/>
        <v>0</v>
      </c>
      <c r="E16" s="91">
        <f t="shared" si="5"/>
        <v>0</v>
      </c>
      <c r="F16" s="91">
        <f t="shared" ref="F16:I16" si="44">0</f>
        <v>0</v>
      </c>
      <c r="G16" s="91">
        <f t="shared" si="44"/>
        <v>0</v>
      </c>
      <c r="H16" s="91">
        <f t="shared" si="44"/>
        <v>0</v>
      </c>
      <c r="I16" s="91">
        <f t="shared" si="44"/>
        <v>0</v>
      </c>
      <c r="J16" s="91">
        <f t="shared" si="7"/>
        <v>0</v>
      </c>
      <c r="K16" s="91">
        <f t="shared" ref="K16:Q16" si="45">0</f>
        <v>0</v>
      </c>
      <c r="L16" s="91">
        <f t="shared" si="45"/>
        <v>0</v>
      </c>
      <c r="M16" s="91">
        <f t="shared" si="45"/>
        <v>0</v>
      </c>
      <c r="N16" s="91">
        <f t="shared" si="45"/>
        <v>0</v>
      </c>
      <c r="O16" s="91">
        <f t="shared" si="45"/>
        <v>0</v>
      </c>
      <c r="P16" s="91">
        <f t="shared" si="45"/>
        <v>0</v>
      </c>
      <c r="Q16" s="93">
        <f t="shared" si="45"/>
        <v>0</v>
      </c>
      <c r="R16" s="92"/>
      <c r="S16" s="93">
        <f>'W3 Points'!T55</f>
        <v>0</v>
      </c>
      <c r="T16" s="93">
        <f>'W3 Points'!U55</f>
        <v>0</v>
      </c>
      <c r="U16" s="93">
        <f>'W3 Points'!V55</f>
        <v>0</v>
      </c>
      <c r="V16" s="93">
        <f>'W3 Points'!W55</f>
        <v>0</v>
      </c>
      <c r="W16" s="108">
        <f t="shared" si="9"/>
        <v>0</v>
      </c>
    </row>
    <row r="17" ht="12.75" customHeight="1">
      <c r="A17" s="89"/>
      <c r="B17" s="90" t="s">
        <v>139</v>
      </c>
      <c r="C17" s="91">
        <f t="shared" ref="C17:D17" si="46">0</f>
        <v>0</v>
      </c>
      <c r="D17" s="91">
        <f t="shared" si="46"/>
        <v>0</v>
      </c>
      <c r="E17" s="91">
        <f t="shared" si="5"/>
        <v>0</v>
      </c>
      <c r="F17" s="91">
        <f t="shared" ref="F17:I17" si="47">0</f>
        <v>0</v>
      </c>
      <c r="G17" s="91">
        <f t="shared" si="47"/>
        <v>0</v>
      </c>
      <c r="H17" s="91">
        <f t="shared" si="47"/>
        <v>0</v>
      </c>
      <c r="I17" s="91">
        <f t="shared" si="47"/>
        <v>0</v>
      </c>
      <c r="J17" s="91">
        <f t="shared" si="7"/>
        <v>0</v>
      </c>
      <c r="K17" s="91">
        <f t="shared" ref="K17:Q17" si="48">0</f>
        <v>0</v>
      </c>
      <c r="L17" s="91">
        <f t="shared" si="48"/>
        <v>0</v>
      </c>
      <c r="M17" s="91">
        <f t="shared" si="48"/>
        <v>0</v>
      </c>
      <c r="N17" s="91">
        <f t="shared" si="48"/>
        <v>0</v>
      </c>
      <c r="O17" s="91">
        <f t="shared" si="48"/>
        <v>0</v>
      </c>
      <c r="P17" s="91">
        <f t="shared" si="48"/>
        <v>0</v>
      </c>
      <c r="Q17" s="93">
        <f t="shared" si="48"/>
        <v>0</v>
      </c>
      <c r="R17" s="92"/>
      <c r="S17" s="93">
        <f>'W3 Points'!Z55</f>
        <v>0</v>
      </c>
      <c r="T17" s="93">
        <f>'W3 Points'!AA55</f>
        <v>0</v>
      </c>
      <c r="U17" s="93">
        <f>'W3 Points'!AB55</f>
        <v>0</v>
      </c>
      <c r="V17" s="93">
        <f>'W3 Points'!AC55</f>
        <v>0</v>
      </c>
      <c r="W17" s="108">
        <f t="shared" si="9"/>
        <v>0</v>
      </c>
    </row>
    <row r="18" ht="12.75" customHeight="1">
      <c r="A18" s="89"/>
      <c r="B18" s="94" t="s">
        <v>37</v>
      </c>
      <c r="C18" s="100">
        <f t="shared" ref="C18:D18" si="49">0</f>
        <v>0</v>
      </c>
      <c r="D18" s="101">
        <f t="shared" si="49"/>
        <v>0</v>
      </c>
      <c r="E18" s="95">
        <f t="shared" si="5"/>
        <v>0</v>
      </c>
      <c r="F18" s="95">
        <f t="shared" ref="F18:I18" si="50">0</f>
        <v>0</v>
      </c>
      <c r="G18" s="95">
        <f t="shared" si="50"/>
        <v>0</v>
      </c>
      <c r="H18" s="101">
        <f t="shared" si="50"/>
        <v>0</v>
      </c>
      <c r="I18" s="102">
        <f t="shared" si="50"/>
        <v>0</v>
      </c>
      <c r="J18" s="95">
        <f t="shared" si="7"/>
        <v>0</v>
      </c>
      <c r="K18" s="102">
        <f t="shared" ref="K18:Q18" si="51">0</f>
        <v>0</v>
      </c>
      <c r="L18" s="102">
        <f t="shared" si="51"/>
        <v>0</v>
      </c>
      <c r="M18" s="102">
        <f t="shared" si="51"/>
        <v>0</v>
      </c>
      <c r="N18" s="102">
        <f t="shared" si="51"/>
        <v>0</v>
      </c>
      <c r="O18" s="101">
        <f t="shared" si="51"/>
        <v>0</v>
      </c>
      <c r="P18" s="102">
        <f t="shared" si="51"/>
        <v>0</v>
      </c>
      <c r="Q18" s="101">
        <f t="shared" si="51"/>
        <v>0</v>
      </c>
      <c r="R18" s="92"/>
      <c r="S18" s="96">
        <f>'W3 Points'!B69</f>
        <v>0</v>
      </c>
      <c r="T18" s="96">
        <f>'W3 Points'!C69</f>
        <v>0</v>
      </c>
      <c r="U18" s="96">
        <f>'W3 Points'!D69</f>
        <v>0</v>
      </c>
      <c r="V18" s="96">
        <f>'W3 Points'!E69</f>
        <v>0</v>
      </c>
      <c r="W18" s="109">
        <f t="shared" si="9"/>
        <v>0</v>
      </c>
    </row>
    <row r="19" ht="12.75" customHeight="1">
      <c r="A19" s="89"/>
      <c r="B19" s="94" t="s">
        <v>28</v>
      </c>
      <c r="C19" s="57">
        <f t="shared" ref="C19:D19" si="52">0</f>
        <v>0</v>
      </c>
      <c r="D19" s="103">
        <f t="shared" si="52"/>
        <v>0</v>
      </c>
      <c r="E19" s="95">
        <f t="shared" si="5"/>
        <v>0</v>
      </c>
      <c r="F19" s="95">
        <f t="shared" ref="F19:I19" si="53">0</f>
        <v>0</v>
      </c>
      <c r="G19" s="95">
        <f t="shared" si="53"/>
        <v>0</v>
      </c>
      <c r="H19" s="103">
        <f t="shared" si="53"/>
        <v>0</v>
      </c>
      <c r="I19" s="104">
        <f t="shared" si="53"/>
        <v>0</v>
      </c>
      <c r="J19" s="95">
        <f t="shared" si="7"/>
        <v>0</v>
      </c>
      <c r="K19" s="104">
        <f t="shared" ref="K19:Q19" si="54">0</f>
        <v>0</v>
      </c>
      <c r="L19" s="104">
        <f t="shared" si="54"/>
        <v>0</v>
      </c>
      <c r="M19" s="104">
        <f t="shared" si="54"/>
        <v>0</v>
      </c>
      <c r="N19" s="104">
        <f t="shared" si="54"/>
        <v>0</v>
      </c>
      <c r="O19" s="103">
        <f t="shared" si="54"/>
        <v>0</v>
      </c>
      <c r="P19" s="104">
        <f t="shared" si="54"/>
        <v>0</v>
      </c>
      <c r="Q19" s="105">
        <f t="shared" si="54"/>
        <v>0</v>
      </c>
      <c r="R19" s="92"/>
      <c r="S19" s="96">
        <f>'W3 Points'!H69</f>
        <v>0</v>
      </c>
      <c r="T19" s="96">
        <f>'W3 Points'!I69</f>
        <v>0</v>
      </c>
      <c r="U19" s="96">
        <f>'W3 Points'!J69</f>
        <v>0</v>
      </c>
      <c r="V19" s="96">
        <f>'W3 Points'!K69</f>
        <v>0</v>
      </c>
      <c r="W19" s="109">
        <f t="shared" si="9"/>
        <v>0</v>
      </c>
    </row>
    <row r="20" ht="12.75" customHeight="1">
      <c r="A20" s="89"/>
      <c r="B20" s="94" t="s">
        <v>137</v>
      </c>
      <c r="C20" s="57">
        <f t="shared" ref="C20:D20" si="55">0</f>
        <v>0</v>
      </c>
      <c r="D20" s="103">
        <f t="shared" si="55"/>
        <v>0</v>
      </c>
      <c r="E20" s="95">
        <f t="shared" si="5"/>
        <v>0</v>
      </c>
      <c r="F20" s="95">
        <f t="shared" ref="F20:I20" si="56">0</f>
        <v>0</v>
      </c>
      <c r="G20" s="95">
        <f t="shared" si="56"/>
        <v>0</v>
      </c>
      <c r="H20" s="103">
        <f t="shared" si="56"/>
        <v>0</v>
      </c>
      <c r="I20" s="104">
        <f t="shared" si="56"/>
        <v>0</v>
      </c>
      <c r="J20" s="95">
        <f t="shared" si="7"/>
        <v>0</v>
      </c>
      <c r="K20" s="104">
        <f t="shared" ref="K20:Q20" si="57">0</f>
        <v>0</v>
      </c>
      <c r="L20" s="104">
        <f t="shared" si="57"/>
        <v>0</v>
      </c>
      <c r="M20" s="104">
        <f t="shared" si="57"/>
        <v>0</v>
      </c>
      <c r="N20" s="104">
        <f t="shared" si="57"/>
        <v>0</v>
      </c>
      <c r="O20" s="103">
        <f t="shared" si="57"/>
        <v>0</v>
      </c>
      <c r="P20" s="104">
        <f t="shared" si="57"/>
        <v>0</v>
      </c>
      <c r="Q20" s="105">
        <f t="shared" si="57"/>
        <v>0</v>
      </c>
      <c r="R20" s="92"/>
      <c r="S20" s="96">
        <f>'W3 Points'!N69</f>
        <v>0</v>
      </c>
      <c r="T20" s="96">
        <f>'W3 Points'!O69</f>
        <v>0</v>
      </c>
      <c r="U20" s="96">
        <f>'W3 Points'!P69</f>
        <v>0</v>
      </c>
      <c r="V20" s="96">
        <f>'W3 Points'!Q69</f>
        <v>0</v>
      </c>
      <c r="W20" s="109">
        <f t="shared" si="9"/>
        <v>0</v>
      </c>
    </row>
    <row r="21" ht="12.75" customHeight="1">
      <c r="A21" s="89"/>
      <c r="B21" s="94" t="s">
        <v>39</v>
      </c>
      <c r="C21" s="57">
        <f t="shared" ref="C21:D21" si="58">0</f>
        <v>0</v>
      </c>
      <c r="D21" s="103">
        <f t="shared" si="58"/>
        <v>0</v>
      </c>
      <c r="E21" s="95">
        <f t="shared" si="5"/>
        <v>0</v>
      </c>
      <c r="F21" s="95">
        <f t="shared" ref="F21:I21" si="59">0</f>
        <v>0</v>
      </c>
      <c r="G21" s="95">
        <f t="shared" si="59"/>
        <v>0</v>
      </c>
      <c r="H21" s="103">
        <f t="shared" si="59"/>
        <v>0</v>
      </c>
      <c r="I21" s="104">
        <f t="shared" si="59"/>
        <v>0</v>
      </c>
      <c r="J21" s="95">
        <f t="shared" si="7"/>
        <v>0</v>
      </c>
      <c r="K21" s="104">
        <f t="shared" ref="K21:Q21" si="60">0</f>
        <v>0</v>
      </c>
      <c r="L21" s="104">
        <f t="shared" si="60"/>
        <v>0</v>
      </c>
      <c r="M21" s="104">
        <f t="shared" si="60"/>
        <v>0</v>
      </c>
      <c r="N21" s="104">
        <f t="shared" si="60"/>
        <v>0</v>
      </c>
      <c r="O21" s="103">
        <f t="shared" si="60"/>
        <v>0</v>
      </c>
      <c r="P21" s="103">
        <f t="shared" si="60"/>
        <v>0</v>
      </c>
      <c r="Q21" s="105">
        <f t="shared" si="60"/>
        <v>0</v>
      </c>
      <c r="R21" s="92"/>
      <c r="S21" s="96">
        <f>'W3 Points'!T69</f>
        <v>0</v>
      </c>
      <c r="T21" s="96">
        <f>'W3 Points'!U69</f>
        <v>0</v>
      </c>
      <c r="U21" s="96">
        <f>'W3 Points'!V69</f>
        <v>0</v>
      </c>
      <c r="V21" s="96">
        <f>'W3 Points'!W69</f>
        <v>0</v>
      </c>
      <c r="W21" s="109">
        <f t="shared" si="9"/>
        <v>0</v>
      </c>
    </row>
    <row r="22" ht="12.75" customHeight="1">
      <c r="A22" s="89"/>
      <c r="B22" s="94" t="s">
        <v>152</v>
      </c>
      <c r="C22" s="57">
        <f t="shared" ref="C22:D22" si="61">0</f>
        <v>0</v>
      </c>
      <c r="D22" s="103">
        <f t="shared" si="61"/>
        <v>0</v>
      </c>
      <c r="E22" s="95">
        <f t="shared" si="5"/>
        <v>0</v>
      </c>
      <c r="F22" s="95">
        <f t="shared" ref="F22:I22" si="62">0</f>
        <v>0</v>
      </c>
      <c r="G22" s="95">
        <f t="shared" si="62"/>
        <v>0</v>
      </c>
      <c r="H22" s="103">
        <f t="shared" si="62"/>
        <v>0</v>
      </c>
      <c r="I22" s="104">
        <f t="shared" si="62"/>
        <v>0</v>
      </c>
      <c r="J22" s="95">
        <f t="shared" si="7"/>
        <v>0</v>
      </c>
      <c r="K22" s="104">
        <f t="shared" ref="K22:Q22" si="63">0</f>
        <v>0</v>
      </c>
      <c r="L22" s="104">
        <f t="shared" si="63"/>
        <v>0</v>
      </c>
      <c r="M22" s="104">
        <f t="shared" si="63"/>
        <v>0</v>
      </c>
      <c r="N22" s="104">
        <f t="shared" si="63"/>
        <v>0</v>
      </c>
      <c r="O22" s="103">
        <f t="shared" si="63"/>
        <v>0</v>
      </c>
      <c r="P22" s="104">
        <f t="shared" si="63"/>
        <v>0</v>
      </c>
      <c r="Q22" s="105">
        <f t="shared" si="63"/>
        <v>0</v>
      </c>
      <c r="R22" s="92"/>
      <c r="S22" s="96">
        <f>'W3 Points'!Z69</f>
        <v>0</v>
      </c>
      <c r="T22" s="96">
        <f>'W3 Points'!AA69</f>
        <v>0</v>
      </c>
      <c r="U22" s="96">
        <f>'W3 Points'!AB69</f>
        <v>0</v>
      </c>
      <c r="V22" s="96">
        <f>'W3 Points'!AC69</f>
        <v>0</v>
      </c>
      <c r="W22" s="109">
        <f t="shared" si="9"/>
        <v>0</v>
      </c>
    </row>
    <row r="23" ht="12.75" customHeight="1">
      <c r="A23" s="89"/>
      <c r="B23" s="90" t="s">
        <v>138</v>
      </c>
      <c r="C23" s="91">
        <f t="shared" ref="C23:D23" si="64">0</f>
        <v>0</v>
      </c>
      <c r="D23" s="91">
        <f t="shared" si="64"/>
        <v>0</v>
      </c>
      <c r="E23" s="91">
        <f t="shared" si="5"/>
        <v>0</v>
      </c>
      <c r="F23" s="91">
        <f t="shared" ref="F23:I23" si="65">0</f>
        <v>0</v>
      </c>
      <c r="G23" s="91">
        <f t="shared" si="65"/>
        <v>0</v>
      </c>
      <c r="H23" s="91">
        <f t="shared" si="65"/>
        <v>0</v>
      </c>
      <c r="I23" s="91">
        <f t="shared" si="65"/>
        <v>0</v>
      </c>
      <c r="J23" s="91">
        <f t="shared" si="7"/>
        <v>0</v>
      </c>
      <c r="K23" s="91">
        <f t="shared" ref="K23:Q23" si="66">0</f>
        <v>0</v>
      </c>
      <c r="L23" s="91">
        <f t="shared" si="66"/>
        <v>0</v>
      </c>
      <c r="M23" s="91">
        <f t="shared" si="66"/>
        <v>0</v>
      </c>
      <c r="N23" s="91">
        <f t="shared" si="66"/>
        <v>0</v>
      </c>
      <c r="O23" s="91">
        <f t="shared" si="66"/>
        <v>0</v>
      </c>
      <c r="P23" s="91">
        <f t="shared" si="66"/>
        <v>0</v>
      </c>
      <c r="Q23" s="93">
        <f t="shared" si="66"/>
        <v>0</v>
      </c>
      <c r="R23" s="97"/>
      <c r="S23" s="93">
        <f>'W3 Points'!B83</f>
        <v>0</v>
      </c>
      <c r="T23" s="93">
        <f>'W3 Points'!C83</f>
        <v>0</v>
      </c>
      <c r="U23" s="93">
        <f>'W3 Points'!D83</f>
        <v>0</v>
      </c>
      <c r="V23" s="93">
        <f>'W3 Points'!E83</f>
        <v>0</v>
      </c>
      <c r="W23" s="108">
        <f t="shared" si="9"/>
        <v>0</v>
      </c>
    </row>
    <row r="24" ht="12.75" customHeight="1">
      <c r="A24" s="89"/>
      <c r="B24" s="90" t="s">
        <v>153</v>
      </c>
      <c r="C24" s="91">
        <f t="shared" ref="C24:D24" si="67">0</f>
        <v>0</v>
      </c>
      <c r="D24" s="91">
        <f t="shared" si="67"/>
        <v>0</v>
      </c>
      <c r="E24" s="91">
        <f t="shared" si="5"/>
        <v>0</v>
      </c>
      <c r="F24" s="91">
        <f t="shared" ref="F24:I24" si="68">0</f>
        <v>0</v>
      </c>
      <c r="G24" s="91">
        <f t="shared" si="68"/>
        <v>0</v>
      </c>
      <c r="H24" s="91">
        <f t="shared" si="68"/>
        <v>0</v>
      </c>
      <c r="I24" s="91">
        <f t="shared" si="68"/>
        <v>0</v>
      </c>
      <c r="J24" s="91">
        <f t="shared" si="7"/>
        <v>0</v>
      </c>
      <c r="K24" s="91">
        <f t="shared" ref="K24:Q24" si="69">0</f>
        <v>0</v>
      </c>
      <c r="L24" s="91">
        <f t="shared" si="69"/>
        <v>0</v>
      </c>
      <c r="M24" s="91">
        <f t="shared" si="69"/>
        <v>0</v>
      </c>
      <c r="N24" s="91">
        <f t="shared" si="69"/>
        <v>0</v>
      </c>
      <c r="O24" s="91">
        <f t="shared" si="69"/>
        <v>0</v>
      </c>
      <c r="P24" s="91">
        <f t="shared" si="69"/>
        <v>0</v>
      </c>
      <c r="Q24" s="93">
        <f t="shared" si="69"/>
        <v>0</v>
      </c>
      <c r="R24" s="97"/>
      <c r="S24" s="93" t="s">
        <v>154</v>
      </c>
      <c r="T24" s="93" t="s">
        <v>154</v>
      </c>
      <c r="U24" s="93" t="s">
        <v>154</v>
      </c>
      <c r="V24" s="93" t="s">
        <v>154</v>
      </c>
      <c r="W24" s="93" t="s">
        <v>154</v>
      </c>
    </row>
    <row r="25" ht="12.75" customHeight="1">
      <c r="A25" s="89"/>
      <c r="B25" s="90" t="s">
        <v>155</v>
      </c>
      <c r="C25" s="91">
        <f t="shared" ref="C25:D25" si="70">0</f>
        <v>0</v>
      </c>
      <c r="D25" s="91">
        <f t="shared" si="70"/>
        <v>0</v>
      </c>
      <c r="E25" s="91">
        <f t="shared" si="5"/>
        <v>0</v>
      </c>
      <c r="F25" s="91">
        <f t="shared" ref="F25:I25" si="71">0</f>
        <v>0</v>
      </c>
      <c r="G25" s="91">
        <f t="shared" si="71"/>
        <v>0</v>
      </c>
      <c r="H25" s="91">
        <f t="shared" si="71"/>
        <v>0</v>
      </c>
      <c r="I25" s="91">
        <f t="shared" si="71"/>
        <v>0</v>
      </c>
      <c r="J25" s="91">
        <f t="shared" si="7"/>
        <v>0</v>
      </c>
      <c r="K25" s="91">
        <f t="shared" ref="K25:Q25" si="72">0</f>
        <v>0</v>
      </c>
      <c r="L25" s="91">
        <f t="shared" si="72"/>
        <v>0</v>
      </c>
      <c r="M25" s="91">
        <f t="shared" si="72"/>
        <v>0</v>
      </c>
      <c r="N25" s="91">
        <f t="shared" si="72"/>
        <v>0</v>
      </c>
      <c r="O25" s="91">
        <f t="shared" si="72"/>
        <v>0</v>
      </c>
      <c r="P25" s="91">
        <f t="shared" si="72"/>
        <v>0</v>
      </c>
      <c r="Q25" s="93">
        <f t="shared" si="72"/>
        <v>0</v>
      </c>
      <c r="R25" s="97"/>
      <c r="S25" s="93">
        <f>'W3 Points'!H83</f>
        <v>0</v>
      </c>
      <c r="T25" s="93">
        <f>'W3 Points'!I83</f>
        <v>0</v>
      </c>
      <c r="U25" s="93">
        <f>'W3 Points'!J83</f>
        <v>0</v>
      </c>
      <c r="V25" s="93">
        <f>'W3 Points'!K83</f>
        <v>0</v>
      </c>
      <c r="W25" s="108">
        <f t="shared" ref="W25:W33" si="76">SUM(S25:V25)</f>
        <v>0</v>
      </c>
    </row>
    <row r="26" ht="12.75" customHeight="1">
      <c r="A26" s="89"/>
      <c r="B26" s="90" t="s">
        <v>25</v>
      </c>
      <c r="C26" s="91">
        <f t="shared" ref="C26:D26" si="73">0</f>
        <v>0</v>
      </c>
      <c r="D26" s="91">
        <f t="shared" si="73"/>
        <v>0</v>
      </c>
      <c r="E26" s="91">
        <f t="shared" si="5"/>
        <v>0</v>
      </c>
      <c r="F26" s="91">
        <f t="shared" ref="F26:I26" si="74">0</f>
        <v>0</v>
      </c>
      <c r="G26" s="91">
        <f t="shared" si="74"/>
        <v>0</v>
      </c>
      <c r="H26" s="91">
        <f t="shared" si="74"/>
        <v>0</v>
      </c>
      <c r="I26" s="91">
        <f t="shared" si="74"/>
        <v>0</v>
      </c>
      <c r="J26" s="91">
        <f t="shared" si="7"/>
        <v>0</v>
      </c>
      <c r="K26" s="91">
        <f t="shared" ref="K26:Q26" si="75">0</f>
        <v>0</v>
      </c>
      <c r="L26" s="91">
        <f t="shared" si="75"/>
        <v>0</v>
      </c>
      <c r="M26" s="91">
        <f t="shared" si="75"/>
        <v>0</v>
      </c>
      <c r="N26" s="91">
        <f t="shared" si="75"/>
        <v>0</v>
      </c>
      <c r="O26" s="91">
        <f t="shared" si="75"/>
        <v>0</v>
      </c>
      <c r="P26" s="91">
        <f t="shared" si="75"/>
        <v>0</v>
      </c>
      <c r="Q26" s="93">
        <f t="shared" si="75"/>
        <v>0</v>
      </c>
      <c r="R26" s="97"/>
      <c r="S26" s="93">
        <f>'W3 Points'!N83</f>
        <v>0</v>
      </c>
      <c r="T26" s="93">
        <f>'W3 Points'!O83</f>
        <v>0</v>
      </c>
      <c r="U26" s="93">
        <f>'W3 Points'!P83</f>
        <v>0</v>
      </c>
      <c r="V26" s="93">
        <f>'W3 Points'!Q83</f>
        <v>0</v>
      </c>
      <c r="W26" s="108">
        <f t="shared" si="76"/>
        <v>0</v>
      </c>
    </row>
    <row r="27" ht="12.75" customHeight="1">
      <c r="A27" s="89"/>
      <c r="B27" s="90" t="s">
        <v>133</v>
      </c>
      <c r="C27" s="91">
        <f t="shared" ref="C27:D27" si="77">0</f>
        <v>0</v>
      </c>
      <c r="D27" s="91">
        <f t="shared" si="77"/>
        <v>0</v>
      </c>
      <c r="E27" s="91">
        <f t="shared" si="5"/>
        <v>0</v>
      </c>
      <c r="F27" s="91">
        <f t="shared" ref="F27:I27" si="78">0</f>
        <v>0</v>
      </c>
      <c r="G27" s="91">
        <f t="shared" si="78"/>
        <v>0</v>
      </c>
      <c r="H27" s="91">
        <f t="shared" si="78"/>
        <v>0</v>
      </c>
      <c r="I27" s="91">
        <f t="shared" si="78"/>
        <v>0</v>
      </c>
      <c r="J27" s="91">
        <f t="shared" si="7"/>
        <v>0</v>
      </c>
      <c r="K27" s="91">
        <f t="shared" ref="K27:Q27" si="79">0</f>
        <v>0</v>
      </c>
      <c r="L27" s="91">
        <f t="shared" si="79"/>
        <v>0</v>
      </c>
      <c r="M27" s="91">
        <f t="shared" si="79"/>
        <v>0</v>
      </c>
      <c r="N27" s="91">
        <f t="shared" si="79"/>
        <v>0</v>
      </c>
      <c r="O27" s="91">
        <f t="shared" si="79"/>
        <v>0</v>
      </c>
      <c r="P27" s="91">
        <f t="shared" si="79"/>
        <v>0</v>
      </c>
      <c r="Q27" s="93">
        <f t="shared" si="79"/>
        <v>0</v>
      </c>
      <c r="R27" s="97"/>
      <c r="S27" s="93">
        <f>'W3 Points'!T83</f>
        <v>0</v>
      </c>
      <c r="T27" s="93">
        <f>'W3 Points'!U83</f>
        <v>0</v>
      </c>
      <c r="U27" s="93">
        <f>'W3 Points'!V83</f>
        <v>0</v>
      </c>
      <c r="V27" s="93">
        <f>'W3 Points'!W83</f>
        <v>0</v>
      </c>
      <c r="W27" s="108">
        <f t="shared" si="76"/>
        <v>0</v>
      </c>
    </row>
    <row r="28" ht="12.75" customHeight="1">
      <c r="A28" s="89"/>
      <c r="B28" s="90" t="s">
        <v>106</v>
      </c>
      <c r="C28" s="91">
        <f t="shared" ref="C28:D28" si="80">0</f>
        <v>0</v>
      </c>
      <c r="D28" s="91">
        <f t="shared" si="80"/>
        <v>0</v>
      </c>
      <c r="E28" s="91">
        <f t="shared" si="5"/>
        <v>0</v>
      </c>
      <c r="F28" s="91">
        <f t="shared" ref="F28:I28" si="81">0</f>
        <v>0</v>
      </c>
      <c r="G28" s="91">
        <f t="shared" si="81"/>
        <v>0</v>
      </c>
      <c r="H28" s="91">
        <f t="shared" si="81"/>
        <v>0</v>
      </c>
      <c r="I28" s="91">
        <f t="shared" si="81"/>
        <v>0</v>
      </c>
      <c r="J28" s="91">
        <f t="shared" si="7"/>
        <v>0</v>
      </c>
      <c r="K28" s="91">
        <f t="shared" ref="K28:Q28" si="82">0</f>
        <v>0</v>
      </c>
      <c r="L28" s="91">
        <f t="shared" si="82"/>
        <v>0</v>
      </c>
      <c r="M28" s="91">
        <f t="shared" si="82"/>
        <v>0</v>
      </c>
      <c r="N28" s="91">
        <f t="shared" si="82"/>
        <v>0</v>
      </c>
      <c r="O28" s="91">
        <f t="shared" si="82"/>
        <v>0</v>
      </c>
      <c r="P28" s="91">
        <f t="shared" si="82"/>
        <v>0</v>
      </c>
      <c r="Q28" s="93">
        <f t="shared" si="82"/>
        <v>0</v>
      </c>
      <c r="R28" s="97"/>
      <c r="S28" s="93">
        <f>'W3 Points'!Z83</f>
        <v>0</v>
      </c>
      <c r="T28" s="93">
        <f>'W3 Points'!AA83</f>
        <v>0</v>
      </c>
      <c r="U28" s="93">
        <f>'W3 Points'!AB83</f>
        <v>0</v>
      </c>
      <c r="V28" s="93">
        <f>'W3 Points'!AC83</f>
        <v>0</v>
      </c>
      <c r="W28" s="108">
        <f t="shared" si="76"/>
        <v>0</v>
      </c>
    </row>
    <row r="29" ht="12.75" customHeight="1">
      <c r="A29" s="89"/>
      <c r="B29" s="94" t="s">
        <v>107</v>
      </c>
      <c r="C29" s="100">
        <f t="shared" ref="C29:D29" si="83">0</f>
        <v>0</v>
      </c>
      <c r="D29" s="101">
        <f t="shared" si="83"/>
        <v>0</v>
      </c>
      <c r="E29" s="95">
        <f t="shared" si="5"/>
        <v>0</v>
      </c>
      <c r="F29" s="95">
        <f t="shared" ref="F29:I29" si="84">0</f>
        <v>0</v>
      </c>
      <c r="G29" s="95">
        <f t="shared" si="84"/>
        <v>0</v>
      </c>
      <c r="H29" s="101">
        <f t="shared" si="84"/>
        <v>0</v>
      </c>
      <c r="I29" s="102">
        <f t="shared" si="84"/>
        <v>0</v>
      </c>
      <c r="J29" s="95">
        <f t="shared" si="7"/>
        <v>0</v>
      </c>
      <c r="K29" s="102">
        <f t="shared" ref="K29:Q29" si="85">0</f>
        <v>0</v>
      </c>
      <c r="L29" s="102">
        <f t="shared" si="85"/>
        <v>0</v>
      </c>
      <c r="M29" s="102">
        <f t="shared" si="85"/>
        <v>0</v>
      </c>
      <c r="N29" s="102">
        <f t="shared" si="85"/>
        <v>0</v>
      </c>
      <c r="O29" s="101">
        <f t="shared" si="85"/>
        <v>0</v>
      </c>
      <c r="P29" s="102">
        <f t="shared" si="85"/>
        <v>0</v>
      </c>
      <c r="Q29" s="101">
        <f t="shared" si="85"/>
        <v>0</v>
      </c>
      <c r="R29" s="97"/>
      <c r="S29" s="96">
        <f>'W3 Points'!B97</f>
        <v>0</v>
      </c>
      <c r="T29" s="96">
        <f>'W3 Points'!C97</f>
        <v>0</v>
      </c>
      <c r="U29" s="96">
        <f>'W3 Points'!D97</f>
        <v>0</v>
      </c>
      <c r="V29" s="96">
        <f>'W3 Points'!E97</f>
        <v>0</v>
      </c>
      <c r="W29" s="109">
        <f t="shared" si="76"/>
        <v>0</v>
      </c>
    </row>
    <row r="30" ht="12.75" customHeight="1">
      <c r="A30" s="89"/>
      <c r="B30" s="94" t="s">
        <v>100</v>
      </c>
      <c r="C30" s="57">
        <f t="shared" ref="C30:D30" si="86">0</f>
        <v>0</v>
      </c>
      <c r="D30" s="103">
        <f t="shared" si="86"/>
        <v>0</v>
      </c>
      <c r="E30" s="95">
        <f t="shared" si="5"/>
        <v>0</v>
      </c>
      <c r="F30" s="95">
        <f t="shared" ref="F30:I30" si="87">0</f>
        <v>0</v>
      </c>
      <c r="G30" s="95">
        <f t="shared" si="87"/>
        <v>0</v>
      </c>
      <c r="H30" s="103">
        <f t="shared" si="87"/>
        <v>0</v>
      </c>
      <c r="I30" s="104">
        <f t="shared" si="87"/>
        <v>0</v>
      </c>
      <c r="J30" s="95">
        <f t="shared" si="7"/>
        <v>0</v>
      </c>
      <c r="K30" s="104">
        <f t="shared" ref="K30:Q30" si="88">0</f>
        <v>0</v>
      </c>
      <c r="L30" s="104">
        <f t="shared" si="88"/>
        <v>0</v>
      </c>
      <c r="M30" s="104">
        <f t="shared" si="88"/>
        <v>0</v>
      </c>
      <c r="N30" s="104">
        <f t="shared" si="88"/>
        <v>0</v>
      </c>
      <c r="O30" s="103">
        <f t="shared" si="88"/>
        <v>0</v>
      </c>
      <c r="P30" s="104">
        <f t="shared" si="88"/>
        <v>0</v>
      </c>
      <c r="Q30" s="105">
        <f t="shared" si="88"/>
        <v>0</v>
      </c>
      <c r="R30" s="92"/>
      <c r="S30" s="96">
        <f>'W3 Points'!H97</f>
        <v>0</v>
      </c>
      <c r="T30" s="96">
        <f>'W3 Points'!I97</f>
        <v>0</v>
      </c>
      <c r="U30" s="96">
        <f>'W3 Points'!J97</f>
        <v>0</v>
      </c>
      <c r="V30" s="96">
        <f>'W3 Points'!K97</f>
        <v>0</v>
      </c>
      <c r="W30" s="109">
        <f t="shared" si="76"/>
        <v>0</v>
      </c>
    </row>
    <row r="31" ht="12.75" customHeight="1">
      <c r="A31" s="89"/>
      <c r="B31" s="94" t="s">
        <v>131</v>
      </c>
      <c r="C31" s="57">
        <f t="shared" ref="C31:D31" si="89">0</f>
        <v>0</v>
      </c>
      <c r="D31" s="103">
        <f t="shared" si="89"/>
        <v>0</v>
      </c>
      <c r="E31" s="95">
        <f t="shared" si="5"/>
        <v>0</v>
      </c>
      <c r="F31" s="95">
        <f t="shared" ref="F31:I31" si="90">0</f>
        <v>0</v>
      </c>
      <c r="G31" s="95">
        <f t="shared" si="90"/>
        <v>0</v>
      </c>
      <c r="H31" s="103">
        <f t="shared" si="90"/>
        <v>0</v>
      </c>
      <c r="I31" s="104">
        <f t="shared" si="90"/>
        <v>0</v>
      </c>
      <c r="J31" s="95">
        <f t="shared" si="7"/>
        <v>0</v>
      </c>
      <c r="K31" s="104">
        <f t="shared" ref="K31:Q31" si="91">0</f>
        <v>0</v>
      </c>
      <c r="L31" s="104">
        <f t="shared" si="91"/>
        <v>0</v>
      </c>
      <c r="M31" s="104">
        <f t="shared" si="91"/>
        <v>0</v>
      </c>
      <c r="N31" s="104">
        <f t="shared" si="91"/>
        <v>0</v>
      </c>
      <c r="O31" s="103">
        <f t="shared" si="91"/>
        <v>0</v>
      </c>
      <c r="P31" s="104">
        <f t="shared" si="91"/>
        <v>0</v>
      </c>
      <c r="Q31" s="105">
        <f t="shared" si="91"/>
        <v>0</v>
      </c>
      <c r="R31" s="92"/>
      <c r="S31" s="96">
        <f>'W3 Points'!N97</f>
        <v>0</v>
      </c>
      <c r="T31" s="96">
        <f>'W3 Points'!O97</f>
        <v>0</v>
      </c>
      <c r="U31" s="96">
        <f>'W3 Points'!P97</f>
        <v>0</v>
      </c>
      <c r="V31" s="96">
        <f>'W3 Points'!Q97</f>
        <v>0</v>
      </c>
      <c r="W31" s="109">
        <f t="shared" si="76"/>
        <v>0</v>
      </c>
    </row>
    <row r="32" ht="12.75" customHeight="1">
      <c r="A32" s="89"/>
      <c r="B32" s="94" t="s">
        <v>126</v>
      </c>
      <c r="C32" s="57">
        <f t="shared" ref="C32:D32" si="92">0</f>
        <v>0</v>
      </c>
      <c r="D32" s="103">
        <f t="shared" si="92"/>
        <v>0</v>
      </c>
      <c r="E32" s="95">
        <f t="shared" si="5"/>
        <v>0</v>
      </c>
      <c r="F32" s="95">
        <f t="shared" ref="F32:I32" si="93">0</f>
        <v>0</v>
      </c>
      <c r="G32" s="95">
        <f t="shared" si="93"/>
        <v>0</v>
      </c>
      <c r="H32" s="103">
        <f t="shared" si="93"/>
        <v>0</v>
      </c>
      <c r="I32" s="104">
        <f t="shared" si="93"/>
        <v>0</v>
      </c>
      <c r="J32" s="95">
        <f t="shared" si="7"/>
        <v>0</v>
      </c>
      <c r="K32" s="104">
        <f t="shared" ref="K32:Q32" si="94">0</f>
        <v>0</v>
      </c>
      <c r="L32" s="104">
        <f t="shared" si="94"/>
        <v>0</v>
      </c>
      <c r="M32" s="104">
        <f t="shared" si="94"/>
        <v>0</v>
      </c>
      <c r="N32" s="104">
        <f t="shared" si="94"/>
        <v>0</v>
      </c>
      <c r="O32" s="103">
        <f t="shared" si="94"/>
        <v>0</v>
      </c>
      <c r="P32" s="103">
        <f t="shared" si="94"/>
        <v>0</v>
      </c>
      <c r="Q32" s="105">
        <f t="shared" si="94"/>
        <v>0</v>
      </c>
      <c r="R32" s="92"/>
      <c r="S32" s="96">
        <f>'W3 Points'!T97</f>
        <v>0</v>
      </c>
      <c r="T32" s="96">
        <f>'W3 Points'!U97</f>
        <v>0</v>
      </c>
      <c r="U32" s="96">
        <f>'W3 Points'!V97</f>
        <v>0</v>
      </c>
      <c r="V32" s="96">
        <f>'W3 Points'!W97</f>
        <v>0</v>
      </c>
      <c r="W32" s="109">
        <f t="shared" si="76"/>
        <v>0</v>
      </c>
    </row>
    <row r="33" ht="12.75" customHeight="1">
      <c r="A33" s="98"/>
      <c r="B33" s="94" t="s">
        <v>156</v>
      </c>
      <c r="C33" s="57">
        <f t="shared" ref="C33:D33" si="95">0</f>
        <v>0</v>
      </c>
      <c r="D33" s="103">
        <f t="shared" si="95"/>
        <v>0</v>
      </c>
      <c r="E33" s="95">
        <f t="shared" si="5"/>
        <v>0</v>
      </c>
      <c r="F33" s="95">
        <f t="shared" ref="F33:I33" si="96">0</f>
        <v>0</v>
      </c>
      <c r="G33" s="95">
        <f t="shared" si="96"/>
        <v>0</v>
      </c>
      <c r="H33" s="103">
        <f t="shared" si="96"/>
        <v>0</v>
      </c>
      <c r="I33" s="104">
        <f t="shared" si="96"/>
        <v>0</v>
      </c>
      <c r="J33" s="95">
        <f t="shared" si="7"/>
        <v>0</v>
      </c>
      <c r="K33" s="104">
        <f t="shared" ref="K33:Q33" si="97">0</f>
        <v>0</v>
      </c>
      <c r="L33" s="104">
        <f t="shared" si="97"/>
        <v>0</v>
      </c>
      <c r="M33" s="104">
        <f t="shared" si="97"/>
        <v>0</v>
      </c>
      <c r="N33" s="104">
        <f t="shared" si="97"/>
        <v>0</v>
      </c>
      <c r="O33" s="103">
        <f t="shared" si="97"/>
        <v>0</v>
      </c>
      <c r="P33" s="104">
        <f t="shared" si="97"/>
        <v>0</v>
      </c>
      <c r="Q33" s="105">
        <f t="shared" si="97"/>
        <v>0</v>
      </c>
      <c r="R33" s="92"/>
      <c r="S33" s="96">
        <f>'W3 Points'!Z97</f>
        <v>0</v>
      </c>
      <c r="T33" s="96">
        <f>'W3 Points'!AA97</f>
        <v>0</v>
      </c>
      <c r="U33" s="96">
        <f>'W3 Points'!AB97</f>
        <v>0</v>
      </c>
      <c r="V33" s="96">
        <f>'W3 Points'!AC97</f>
        <v>0</v>
      </c>
      <c r="W33" s="109">
        <f t="shared" si="76"/>
        <v>0</v>
      </c>
    </row>
  </sheetData>
  <mergeCells count="1">
    <mergeCell ref="A1:V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5" width="8.88"/>
    <col customWidth="1" min="6" max="6" width="2.0"/>
    <col customWidth="1" min="7" max="7" width="11.38"/>
    <col customWidth="1" min="8" max="11" width="8.88"/>
    <col customWidth="1" min="12" max="12" width="2.0"/>
    <col customWidth="1" min="13" max="13" width="11.38"/>
    <col customWidth="1" min="14" max="17" width="8.88"/>
    <col customWidth="1" min="18" max="18" width="2.0"/>
    <col customWidth="1" min="19" max="19" width="11.38"/>
    <col customWidth="1" min="20" max="23" width="8.88"/>
    <col customWidth="1" min="24" max="24" width="2.0"/>
    <col customWidth="1" min="25" max="25" width="11.38"/>
    <col customWidth="1" min="26" max="29" width="8.88"/>
  </cols>
  <sheetData>
    <row r="1">
      <c r="A1" s="77" t="s">
        <v>157</v>
      </c>
      <c r="B1" s="74" t="s">
        <v>94</v>
      </c>
      <c r="C1" s="74" t="s">
        <v>95</v>
      </c>
      <c r="D1" s="74" t="s">
        <v>96</v>
      </c>
      <c r="E1" s="74" t="s">
        <v>97</v>
      </c>
      <c r="G1" s="77" t="s">
        <v>157</v>
      </c>
      <c r="H1" s="74" t="s">
        <v>94</v>
      </c>
      <c r="I1" s="74" t="s">
        <v>95</v>
      </c>
      <c r="J1" s="74" t="s">
        <v>96</v>
      </c>
      <c r="K1" s="74" t="s">
        <v>97</v>
      </c>
      <c r="M1" s="77" t="s">
        <v>157</v>
      </c>
      <c r="N1" s="74" t="s">
        <v>94</v>
      </c>
      <c r="O1" s="74" t="s">
        <v>95</v>
      </c>
      <c r="P1" s="74" t="s">
        <v>96</v>
      </c>
      <c r="Q1" s="74" t="s">
        <v>97</v>
      </c>
      <c r="S1" s="77" t="s">
        <v>157</v>
      </c>
      <c r="T1" s="74" t="s">
        <v>94</v>
      </c>
      <c r="U1" s="74" t="s">
        <v>95</v>
      </c>
      <c r="V1" s="74" t="s">
        <v>96</v>
      </c>
      <c r="W1" s="74" t="s">
        <v>97</v>
      </c>
      <c r="Y1" s="77" t="s">
        <v>157</v>
      </c>
      <c r="Z1" s="74" t="s">
        <v>94</v>
      </c>
      <c r="AA1" s="74" t="s">
        <v>95</v>
      </c>
      <c r="AB1" s="74" t="s">
        <v>96</v>
      </c>
      <c r="AC1" s="74" t="s">
        <v>97</v>
      </c>
    </row>
    <row r="2">
      <c r="A2" s="77" t="s">
        <v>108</v>
      </c>
      <c r="B2" s="78">
        <v>15.0</v>
      </c>
      <c r="C2" s="99"/>
      <c r="D2" s="99"/>
      <c r="E2" s="78">
        <v>10.0</v>
      </c>
      <c r="G2" s="77" t="s">
        <v>108</v>
      </c>
      <c r="H2" s="78">
        <f t="shared" ref="H2:K2" si="1">B2</f>
        <v>15</v>
      </c>
      <c r="I2" s="78" t="str">
        <f t="shared" si="1"/>
        <v/>
      </c>
      <c r="J2" s="78" t="str">
        <f t="shared" si="1"/>
        <v/>
      </c>
      <c r="K2" s="78">
        <f t="shared" si="1"/>
        <v>10</v>
      </c>
      <c r="M2" s="77" t="s">
        <v>108</v>
      </c>
      <c r="N2" s="78">
        <f t="shared" ref="N2:Q2" si="2">H2</f>
        <v>15</v>
      </c>
      <c r="O2" s="78" t="str">
        <f t="shared" si="2"/>
        <v/>
      </c>
      <c r="P2" s="78" t="str">
        <f t="shared" si="2"/>
        <v/>
      </c>
      <c r="Q2" s="78">
        <f t="shared" si="2"/>
        <v>10</v>
      </c>
      <c r="S2" s="77" t="s">
        <v>108</v>
      </c>
      <c r="T2" s="78">
        <f t="shared" ref="T2:W2" si="3">N2</f>
        <v>15</v>
      </c>
      <c r="U2" s="78" t="str">
        <f t="shared" si="3"/>
        <v/>
      </c>
      <c r="V2" s="78" t="str">
        <f t="shared" si="3"/>
        <v/>
      </c>
      <c r="W2" s="78">
        <f t="shared" si="3"/>
        <v>10</v>
      </c>
      <c r="Y2" s="77" t="s">
        <v>108</v>
      </c>
      <c r="Z2" s="78">
        <f t="shared" ref="Z2:AC2" si="4">T2</f>
        <v>15</v>
      </c>
      <c r="AA2" s="78" t="str">
        <f t="shared" si="4"/>
        <v/>
      </c>
      <c r="AB2" s="78" t="str">
        <f t="shared" si="4"/>
        <v/>
      </c>
      <c r="AC2" s="78">
        <f t="shared" si="4"/>
        <v>10</v>
      </c>
    </row>
    <row r="3">
      <c r="A3" s="77" t="s">
        <v>112</v>
      </c>
      <c r="B3" s="99"/>
      <c r="C3" s="99"/>
      <c r="D3" s="78">
        <v>1.0</v>
      </c>
      <c r="E3" s="78"/>
      <c r="G3" s="77" t="s">
        <v>112</v>
      </c>
      <c r="H3" s="78" t="str">
        <f t="shared" ref="H3:K3" si="5">B3</f>
        <v/>
      </c>
      <c r="I3" s="78" t="str">
        <f t="shared" si="5"/>
        <v/>
      </c>
      <c r="J3" s="78">
        <f t="shared" si="5"/>
        <v>1</v>
      </c>
      <c r="K3" s="78" t="str">
        <f t="shared" si="5"/>
        <v/>
      </c>
      <c r="M3" s="77" t="s">
        <v>112</v>
      </c>
      <c r="N3" s="78" t="str">
        <f t="shared" ref="N3:Q3" si="6">H3</f>
        <v/>
      </c>
      <c r="O3" s="78" t="str">
        <f t="shared" si="6"/>
        <v/>
      </c>
      <c r="P3" s="78">
        <f t="shared" si="6"/>
        <v>1</v>
      </c>
      <c r="Q3" s="78" t="str">
        <f t="shared" si="6"/>
        <v/>
      </c>
      <c r="S3" s="77" t="s">
        <v>112</v>
      </c>
      <c r="T3" s="78" t="str">
        <f t="shared" ref="T3:W3" si="7">N3</f>
        <v/>
      </c>
      <c r="U3" s="78" t="str">
        <f t="shared" si="7"/>
        <v/>
      </c>
      <c r="V3" s="78">
        <f t="shared" si="7"/>
        <v>1</v>
      </c>
      <c r="W3" s="78" t="str">
        <f t="shared" si="7"/>
        <v/>
      </c>
      <c r="Y3" s="77" t="s">
        <v>112</v>
      </c>
      <c r="Z3" s="78" t="str">
        <f t="shared" ref="Z3:AC3" si="8">T3</f>
        <v/>
      </c>
      <c r="AA3" s="78" t="str">
        <f t="shared" si="8"/>
        <v/>
      </c>
      <c r="AB3" s="78">
        <f t="shared" si="8"/>
        <v>1</v>
      </c>
      <c r="AC3" s="78" t="str">
        <f t="shared" si="8"/>
        <v/>
      </c>
    </row>
    <row r="4">
      <c r="A4" s="77" t="s">
        <v>113</v>
      </c>
      <c r="B4" s="78">
        <v>2.0</v>
      </c>
      <c r="C4" s="99"/>
      <c r="D4" s="99"/>
      <c r="E4" s="78"/>
      <c r="G4" s="77" t="s">
        <v>113</v>
      </c>
      <c r="H4" s="78">
        <f t="shared" ref="H4:K4" si="9">B4</f>
        <v>2</v>
      </c>
      <c r="I4" s="78" t="str">
        <f t="shared" si="9"/>
        <v/>
      </c>
      <c r="J4" s="78" t="str">
        <f t="shared" si="9"/>
        <v/>
      </c>
      <c r="K4" s="78" t="str">
        <f t="shared" si="9"/>
        <v/>
      </c>
      <c r="M4" s="77" t="s">
        <v>113</v>
      </c>
      <c r="N4" s="78">
        <f t="shared" ref="N4:Q4" si="10">H4</f>
        <v>2</v>
      </c>
      <c r="O4" s="78" t="str">
        <f t="shared" si="10"/>
        <v/>
      </c>
      <c r="P4" s="78" t="str">
        <f t="shared" si="10"/>
        <v/>
      </c>
      <c r="Q4" s="78" t="str">
        <f t="shared" si="10"/>
        <v/>
      </c>
      <c r="S4" s="77" t="s">
        <v>113</v>
      </c>
      <c r="T4" s="78">
        <f t="shared" ref="T4:W4" si="11">N4</f>
        <v>2</v>
      </c>
      <c r="U4" s="78" t="str">
        <f t="shared" si="11"/>
        <v/>
      </c>
      <c r="V4" s="78" t="str">
        <f t="shared" si="11"/>
        <v/>
      </c>
      <c r="W4" s="78" t="str">
        <f t="shared" si="11"/>
        <v/>
      </c>
      <c r="Y4" s="77" t="s">
        <v>113</v>
      </c>
      <c r="Z4" s="78">
        <f t="shared" ref="Z4:AC4" si="12">T4</f>
        <v>2</v>
      </c>
      <c r="AA4" s="78" t="str">
        <f t="shared" si="12"/>
        <v/>
      </c>
      <c r="AB4" s="78" t="str">
        <f t="shared" si="12"/>
        <v/>
      </c>
      <c r="AC4" s="78" t="str">
        <f t="shared" si="12"/>
        <v/>
      </c>
    </row>
    <row r="5">
      <c r="A5" s="77" t="s">
        <v>114</v>
      </c>
      <c r="B5" s="99"/>
      <c r="C5" s="78">
        <v>2.0</v>
      </c>
      <c r="D5" s="99"/>
      <c r="E5" s="78">
        <v>1.0</v>
      </c>
      <c r="G5" s="77" t="s">
        <v>114</v>
      </c>
      <c r="H5" s="78" t="str">
        <f t="shared" ref="H5:K5" si="13">B5</f>
        <v/>
      </c>
      <c r="I5" s="78">
        <f t="shared" si="13"/>
        <v>2</v>
      </c>
      <c r="J5" s="78" t="str">
        <f t="shared" si="13"/>
        <v/>
      </c>
      <c r="K5" s="78">
        <f t="shared" si="13"/>
        <v>1</v>
      </c>
      <c r="M5" s="77" t="s">
        <v>114</v>
      </c>
      <c r="N5" s="78" t="str">
        <f t="shared" ref="N5:Q5" si="14">H5</f>
        <v/>
      </c>
      <c r="O5" s="78">
        <f t="shared" si="14"/>
        <v>2</v>
      </c>
      <c r="P5" s="78" t="str">
        <f t="shared" si="14"/>
        <v/>
      </c>
      <c r="Q5" s="78">
        <f t="shared" si="14"/>
        <v>1</v>
      </c>
      <c r="S5" s="77" t="s">
        <v>114</v>
      </c>
      <c r="T5" s="78" t="str">
        <f t="shared" ref="T5:W5" si="15">N5</f>
        <v/>
      </c>
      <c r="U5" s="78">
        <f t="shared" si="15"/>
        <v>2</v>
      </c>
      <c r="V5" s="78" t="str">
        <f t="shared" si="15"/>
        <v/>
      </c>
      <c r="W5" s="78">
        <f t="shared" si="15"/>
        <v>1</v>
      </c>
      <c r="Y5" s="77" t="s">
        <v>114</v>
      </c>
      <c r="Z5" s="78" t="str">
        <f t="shared" ref="Z5:AC5" si="16">T5</f>
        <v/>
      </c>
      <c r="AA5" s="78">
        <f t="shared" si="16"/>
        <v>2</v>
      </c>
      <c r="AB5" s="78" t="str">
        <f t="shared" si="16"/>
        <v/>
      </c>
      <c r="AC5" s="78">
        <f t="shared" si="16"/>
        <v>1</v>
      </c>
    </row>
    <row r="6">
      <c r="A6" s="77" t="s">
        <v>115</v>
      </c>
      <c r="B6" s="78"/>
      <c r="C6" s="78">
        <v>10.0</v>
      </c>
      <c r="D6" s="78"/>
      <c r="E6" s="78">
        <v>5.0</v>
      </c>
      <c r="G6" s="77" t="s">
        <v>115</v>
      </c>
      <c r="H6" s="78" t="str">
        <f t="shared" ref="H6:K6" si="17">B6</f>
        <v/>
      </c>
      <c r="I6" s="78">
        <f t="shared" si="17"/>
        <v>10</v>
      </c>
      <c r="J6" s="78" t="str">
        <f t="shared" si="17"/>
        <v/>
      </c>
      <c r="K6" s="78">
        <f t="shared" si="17"/>
        <v>5</v>
      </c>
      <c r="M6" s="77" t="s">
        <v>115</v>
      </c>
      <c r="N6" s="78" t="str">
        <f t="shared" ref="N6:Q6" si="18">H6</f>
        <v/>
      </c>
      <c r="O6" s="78">
        <f t="shared" si="18"/>
        <v>10</v>
      </c>
      <c r="P6" s="78" t="str">
        <f t="shared" si="18"/>
        <v/>
      </c>
      <c r="Q6" s="78">
        <f t="shared" si="18"/>
        <v>5</v>
      </c>
      <c r="S6" s="77" t="s">
        <v>115</v>
      </c>
      <c r="T6" s="78" t="str">
        <f t="shared" ref="T6:W6" si="19">N6</f>
        <v/>
      </c>
      <c r="U6" s="78">
        <f t="shared" si="19"/>
        <v>10</v>
      </c>
      <c r="V6" s="78" t="str">
        <f t="shared" si="19"/>
        <v/>
      </c>
      <c r="W6" s="78">
        <f t="shared" si="19"/>
        <v>5</v>
      </c>
      <c r="Y6" s="77" t="s">
        <v>115</v>
      </c>
      <c r="Z6" s="78" t="str">
        <f t="shared" ref="Z6:AC6" si="20">T6</f>
        <v/>
      </c>
      <c r="AA6" s="78">
        <f t="shared" si="20"/>
        <v>10</v>
      </c>
      <c r="AB6" s="78" t="str">
        <f t="shared" si="20"/>
        <v/>
      </c>
      <c r="AC6" s="78">
        <f t="shared" si="20"/>
        <v>5</v>
      </c>
    </row>
    <row r="7">
      <c r="A7" s="77" t="s">
        <v>116</v>
      </c>
      <c r="B7" s="78">
        <v>15.0</v>
      </c>
      <c r="C7" s="78"/>
      <c r="D7" s="78">
        <v>5.0</v>
      </c>
      <c r="E7" s="78"/>
      <c r="G7" s="77" t="s">
        <v>116</v>
      </c>
      <c r="H7" s="78">
        <f t="shared" ref="H7:K7" si="21">B7</f>
        <v>15</v>
      </c>
      <c r="I7" s="78" t="str">
        <f t="shared" si="21"/>
        <v/>
      </c>
      <c r="J7" s="78">
        <f t="shared" si="21"/>
        <v>5</v>
      </c>
      <c r="K7" s="78" t="str">
        <f t="shared" si="21"/>
        <v/>
      </c>
      <c r="M7" s="77" t="s">
        <v>116</v>
      </c>
      <c r="N7" s="78">
        <f t="shared" ref="N7:Q7" si="22">H7</f>
        <v>15</v>
      </c>
      <c r="O7" s="78" t="str">
        <f t="shared" si="22"/>
        <v/>
      </c>
      <c r="P7" s="78">
        <f t="shared" si="22"/>
        <v>5</v>
      </c>
      <c r="Q7" s="78" t="str">
        <f t="shared" si="22"/>
        <v/>
      </c>
      <c r="S7" s="77" t="s">
        <v>116</v>
      </c>
      <c r="T7" s="78">
        <f t="shared" ref="T7:W7" si="23">N7</f>
        <v>15</v>
      </c>
      <c r="U7" s="78" t="str">
        <f t="shared" si="23"/>
        <v/>
      </c>
      <c r="V7" s="78">
        <f t="shared" si="23"/>
        <v>5</v>
      </c>
      <c r="W7" s="78" t="str">
        <f t="shared" si="23"/>
        <v/>
      </c>
      <c r="Y7" s="77" t="s">
        <v>116</v>
      </c>
      <c r="Z7" s="78">
        <f t="shared" ref="Z7:AC7" si="24">T7</f>
        <v>15</v>
      </c>
      <c r="AA7" s="78" t="str">
        <f t="shared" si="24"/>
        <v/>
      </c>
      <c r="AB7" s="78">
        <f t="shared" si="24"/>
        <v>5</v>
      </c>
      <c r="AC7" s="78" t="str">
        <f t="shared" si="24"/>
        <v/>
      </c>
    </row>
    <row r="8">
      <c r="A8" s="77" t="s">
        <v>117</v>
      </c>
      <c r="B8" s="99"/>
      <c r="C8" s="78">
        <v>1.0</v>
      </c>
      <c r="D8" s="99"/>
      <c r="E8" s="78"/>
      <c r="G8" s="77" t="s">
        <v>117</v>
      </c>
      <c r="H8" s="78" t="str">
        <f t="shared" ref="H8:K8" si="25">B8</f>
        <v/>
      </c>
      <c r="I8" s="78">
        <f t="shared" si="25"/>
        <v>1</v>
      </c>
      <c r="J8" s="78" t="str">
        <f t="shared" si="25"/>
        <v/>
      </c>
      <c r="K8" s="78" t="str">
        <f t="shared" si="25"/>
        <v/>
      </c>
      <c r="M8" s="77" t="s">
        <v>117</v>
      </c>
      <c r="N8" s="78" t="str">
        <f t="shared" ref="N8:Q8" si="26">H8</f>
        <v/>
      </c>
      <c r="O8" s="78">
        <f t="shared" si="26"/>
        <v>1</v>
      </c>
      <c r="P8" s="78" t="str">
        <f t="shared" si="26"/>
        <v/>
      </c>
      <c r="Q8" s="78" t="str">
        <f t="shared" si="26"/>
        <v/>
      </c>
      <c r="S8" s="77" t="s">
        <v>117</v>
      </c>
      <c r="T8" s="78" t="str">
        <f t="shared" ref="T8:W8" si="27">N8</f>
        <v/>
      </c>
      <c r="U8" s="78">
        <f t="shared" si="27"/>
        <v>1</v>
      </c>
      <c r="V8" s="78" t="str">
        <f t="shared" si="27"/>
        <v/>
      </c>
      <c r="W8" s="78" t="str">
        <f t="shared" si="27"/>
        <v/>
      </c>
      <c r="Y8" s="77" t="s">
        <v>117</v>
      </c>
      <c r="Z8" s="78" t="str">
        <f t="shared" ref="Z8:AC8" si="28">T8</f>
        <v/>
      </c>
      <c r="AA8" s="78">
        <f t="shared" si="28"/>
        <v>1</v>
      </c>
      <c r="AB8" s="78" t="str">
        <f t="shared" si="28"/>
        <v/>
      </c>
      <c r="AC8" s="78" t="str">
        <f t="shared" si="28"/>
        <v/>
      </c>
    </row>
    <row r="9">
      <c r="A9" s="77" t="s">
        <v>118</v>
      </c>
      <c r="B9" s="99"/>
      <c r="C9" s="99"/>
      <c r="D9" s="78">
        <v>15.0</v>
      </c>
      <c r="E9" s="78">
        <v>10.0</v>
      </c>
      <c r="G9" s="77" t="s">
        <v>118</v>
      </c>
      <c r="H9" s="78" t="str">
        <f t="shared" ref="H9:K9" si="29">B9</f>
        <v/>
      </c>
      <c r="I9" s="78" t="str">
        <f t="shared" si="29"/>
        <v/>
      </c>
      <c r="J9" s="78">
        <f t="shared" si="29"/>
        <v>15</v>
      </c>
      <c r="K9" s="78">
        <f t="shared" si="29"/>
        <v>10</v>
      </c>
      <c r="M9" s="77" t="s">
        <v>118</v>
      </c>
      <c r="N9" s="78" t="str">
        <f t="shared" ref="N9:Q9" si="30">H9</f>
        <v/>
      </c>
      <c r="O9" s="78" t="str">
        <f t="shared" si="30"/>
        <v/>
      </c>
      <c r="P9" s="78">
        <f t="shared" si="30"/>
        <v>15</v>
      </c>
      <c r="Q9" s="78">
        <f t="shared" si="30"/>
        <v>10</v>
      </c>
      <c r="S9" s="77" t="s">
        <v>118</v>
      </c>
      <c r="T9" s="78" t="str">
        <f t="shared" ref="T9:W9" si="31">N9</f>
        <v/>
      </c>
      <c r="U9" s="78" t="str">
        <f t="shared" si="31"/>
        <v/>
      </c>
      <c r="V9" s="78">
        <f t="shared" si="31"/>
        <v>15</v>
      </c>
      <c r="W9" s="78">
        <f t="shared" si="31"/>
        <v>10</v>
      </c>
      <c r="Y9" s="77" t="s">
        <v>118</v>
      </c>
      <c r="Z9" s="78" t="str">
        <f t="shared" ref="Z9:AC9" si="32">T9</f>
        <v/>
      </c>
      <c r="AA9" s="78" t="str">
        <f t="shared" si="32"/>
        <v/>
      </c>
      <c r="AB9" s="78">
        <f t="shared" si="32"/>
        <v>15</v>
      </c>
      <c r="AC9" s="78">
        <f t="shared" si="32"/>
        <v>10</v>
      </c>
    </row>
    <row r="10">
      <c r="A10" s="77" t="s">
        <v>119</v>
      </c>
      <c r="B10" s="78"/>
      <c r="C10" s="78">
        <v>3.0</v>
      </c>
      <c r="D10" s="99"/>
      <c r="E10" s="78">
        <v>2.0</v>
      </c>
      <c r="G10" s="77" t="s">
        <v>119</v>
      </c>
      <c r="H10" s="78" t="str">
        <f t="shared" ref="H10:K10" si="33">B10</f>
        <v/>
      </c>
      <c r="I10" s="78">
        <f t="shared" si="33"/>
        <v>3</v>
      </c>
      <c r="J10" s="78" t="str">
        <f t="shared" si="33"/>
        <v/>
      </c>
      <c r="K10" s="78">
        <f t="shared" si="33"/>
        <v>2</v>
      </c>
      <c r="M10" s="77" t="s">
        <v>119</v>
      </c>
      <c r="N10" s="78" t="str">
        <f t="shared" ref="N10:Q10" si="34">H10</f>
        <v/>
      </c>
      <c r="O10" s="78">
        <f t="shared" si="34"/>
        <v>3</v>
      </c>
      <c r="P10" s="78" t="str">
        <f t="shared" si="34"/>
        <v/>
      </c>
      <c r="Q10" s="78">
        <f t="shared" si="34"/>
        <v>2</v>
      </c>
      <c r="S10" s="77" t="s">
        <v>119</v>
      </c>
      <c r="T10" s="78" t="str">
        <f t="shared" ref="T10:W10" si="35">N10</f>
        <v/>
      </c>
      <c r="U10" s="78">
        <f t="shared" si="35"/>
        <v>3</v>
      </c>
      <c r="V10" s="78" t="str">
        <f t="shared" si="35"/>
        <v/>
      </c>
      <c r="W10" s="78">
        <f t="shared" si="35"/>
        <v>2</v>
      </c>
      <c r="Y10" s="77" t="s">
        <v>119</v>
      </c>
      <c r="Z10" s="78" t="str">
        <f t="shared" ref="Z10:AC10" si="36">T10</f>
        <v/>
      </c>
      <c r="AA10" s="78">
        <f t="shared" si="36"/>
        <v>3</v>
      </c>
      <c r="AB10" s="78" t="str">
        <f t="shared" si="36"/>
        <v/>
      </c>
      <c r="AC10" s="78">
        <f t="shared" si="36"/>
        <v>2</v>
      </c>
    </row>
    <row r="11">
      <c r="A11" s="77" t="s">
        <v>120</v>
      </c>
      <c r="B11" s="99"/>
      <c r="C11" s="99"/>
      <c r="D11" s="78">
        <v>3.0</v>
      </c>
      <c r="E11" s="78">
        <v>2.0</v>
      </c>
      <c r="G11" s="77" t="s">
        <v>120</v>
      </c>
      <c r="H11" s="78" t="str">
        <f t="shared" ref="H11:K11" si="37">B11</f>
        <v/>
      </c>
      <c r="I11" s="78" t="str">
        <f t="shared" si="37"/>
        <v/>
      </c>
      <c r="J11" s="78">
        <f t="shared" si="37"/>
        <v>3</v>
      </c>
      <c r="K11" s="78">
        <f t="shared" si="37"/>
        <v>2</v>
      </c>
      <c r="M11" s="77" t="s">
        <v>120</v>
      </c>
      <c r="N11" s="78" t="str">
        <f t="shared" ref="N11:Q11" si="38">H11</f>
        <v/>
      </c>
      <c r="O11" s="78" t="str">
        <f t="shared" si="38"/>
        <v/>
      </c>
      <c r="P11" s="78">
        <f t="shared" si="38"/>
        <v>3</v>
      </c>
      <c r="Q11" s="78">
        <f t="shared" si="38"/>
        <v>2</v>
      </c>
      <c r="S11" s="77" t="s">
        <v>120</v>
      </c>
      <c r="T11" s="78" t="str">
        <f t="shared" ref="T11:W11" si="39">N11</f>
        <v/>
      </c>
      <c r="U11" s="78" t="str">
        <f t="shared" si="39"/>
        <v/>
      </c>
      <c r="V11" s="78">
        <f t="shared" si="39"/>
        <v>3</v>
      </c>
      <c r="W11" s="78">
        <f t="shared" si="39"/>
        <v>2</v>
      </c>
      <c r="Y11" s="77" t="s">
        <v>120</v>
      </c>
      <c r="Z11" s="78" t="str">
        <f t="shared" ref="Z11:AC11" si="40">T11</f>
        <v/>
      </c>
      <c r="AA11" s="78" t="str">
        <f t="shared" si="40"/>
        <v/>
      </c>
      <c r="AB11" s="78">
        <f t="shared" si="40"/>
        <v>3</v>
      </c>
      <c r="AC11" s="78">
        <f t="shared" si="40"/>
        <v>2</v>
      </c>
    </row>
    <row r="12">
      <c r="A12" s="77" t="s">
        <v>121</v>
      </c>
      <c r="B12" s="78">
        <v>20.0</v>
      </c>
      <c r="C12" s="78">
        <v>20.0</v>
      </c>
      <c r="D12" s="78">
        <v>20.0</v>
      </c>
      <c r="E12" s="78">
        <v>20.0</v>
      </c>
      <c r="G12" s="77" t="s">
        <v>121</v>
      </c>
      <c r="H12" s="78">
        <f t="shared" ref="H12:K12" si="41">B12</f>
        <v>20</v>
      </c>
      <c r="I12" s="78">
        <f t="shared" si="41"/>
        <v>20</v>
      </c>
      <c r="J12" s="78">
        <f t="shared" si="41"/>
        <v>20</v>
      </c>
      <c r="K12" s="78">
        <f t="shared" si="41"/>
        <v>20</v>
      </c>
      <c r="M12" s="77" t="s">
        <v>121</v>
      </c>
      <c r="N12" s="78">
        <f t="shared" ref="N12:Q12" si="42">H12</f>
        <v>20</v>
      </c>
      <c r="O12" s="78">
        <f t="shared" si="42"/>
        <v>20</v>
      </c>
      <c r="P12" s="78">
        <f t="shared" si="42"/>
        <v>20</v>
      </c>
      <c r="Q12" s="78">
        <f t="shared" si="42"/>
        <v>20</v>
      </c>
      <c r="S12" s="77" t="s">
        <v>121</v>
      </c>
      <c r="T12" s="78">
        <f t="shared" ref="T12:W12" si="43">N12</f>
        <v>20</v>
      </c>
      <c r="U12" s="78">
        <f t="shared" si="43"/>
        <v>20</v>
      </c>
      <c r="V12" s="78">
        <f t="shared" si="43"/>
        <v>20</v>
      </c>
      <c r="W12" s="78">
        <f t="shared" si="43"/>
        <v>20</v>
      </c>
      <c r="Y12" s="77" t="s">
        <v>121</v>
      </c>
      <c r="Z12" s="78">
        <f t="shared" ref="Z12:AC12" si="44">T12</f>
        <v>20</v>
      </c>
      <c r="AA12" s="78">
        <f t="shared" si="44"/>
        <v>20</v>
      </c>
      <c r="AB12" s="78">
        <f t="shared" si="44"/>
        <v>20</v>
      </c>
      <c r="AC12" s="78">
        <f t="shared" si="44"/>
        <v>20</v>
      </c>
    </row>
    <row r="13">
      <c r="A13" s="77" t="s">
        <v>122</v>
      </c>
      <c r="B13" s="78">
        <f t="shared" ref="B13:E13" si="45">SUM(B2:B12)</f>
        <v>52</v>
      </c>
      <c r="C13" s="78">
        <f t="shared" si="45"/>
        <v>36</v>
      </c>
      <c r="D13" s="78">
        <f t="shared" si="45"/>
        <v>44</v>
      </c>
      <c r="E13" s="78">
        <f t="shared" si="45"/>
        <v>50</v>
      </c>
      <c r="G13" s="77" t="s">
        <v>122</v>
      </c>
      <c r="H13" s="78">
        <f t="shared" ref="H13:K13" si="46">B13</f>
        <v>52</v>
      </c>
      <c r="I13" s="78">
        <f t="shared" si="46"/>
        <v>36</v>
      </c>
      <c r="J13" s="78">
        <f t="shared" si="46"/>
        <v>44</v>
      </c>
      <c r="K13" s="78">
        <f t="shared" si="46"/>
        <v>50</v>
      </c>
      <c r="M13" s="77" t="s">
        <v>122</v>
      </c>
      <c r="N13" s="78">
        <f t="shared" ref="N13:Q13" si="47">H13</f>
        <v>52</v>
      </c>
      <c r="O13" s="78">
        <f t="shared" si="47"/>
        <v>36</v>
      </c>
      <c r="P13" s="78">
        <f t="shared" si="47"/>
        <v>44</v>
      </c>
      <c r="Q13" s="78">
        <f t="shared" si="47"/>
        <v>50</v>
      </c>
      <c r="S13" s="77" t="s">
        <v>122</v>
      </c>
      <c r="T13" s="78">
        <f t="shared" ref="T13:W13" si="48">N13</f>
        <v>52</v>
      </c>
      <c r="U13" s="78">
        <f t="shared" si="48"/>
        <v>36</v>
      </c>
      <c r="V13" s="78">
        <f t="shared" si="48"/>
        <v>44</v>
      </c>
      <c r="W13" s="78">
        <f t="shared" si="48"/>
        <v>50</v>
      </c>
      <c r="Y13" s="77" t="s">
        <v>122</v>
      </c>
      <c r="Z13" s="78">
        <f t="shared" ref="Z13:AC13" si="49">T13</f>
        <v>52</v>
      </c>
      <c r="AA13" s="78">
        <f t="shared" si="49"/>
        <v>36</v>
      </c>
      <c r="AB13" s="78">
        <f t="shared" si="49"/>
        <v>44</v>
      </c>
      <c r="AC13" s="78">
        <f t="shared" si="49"/>
        <v>50</v>
      </c>
    </row>
    <row r="15">
      <c r="A15" s="77" t="str">
        <f>'W3 Stats'!B3</f>
        <v>Rage More Nerd</v>
      </c>
      <c r="B15" s="74" t="s">
        <v>94</v>
      </c>
      <c r="C15" s="74" t="s">
        <v>95</v>
      </c>
      <c r="D15" s="74" t="s">
        <v>96</v>
      </c>
      <c r="E15" s="74" t="s">
        <v>97</v>
      </c>
      <c r="F15" s="1"/>
      <c r="G15" s="77" t="str">
        <f>'W3 Stats'!B4</f>
        <v>BCN19</v>
      </c>
      <c r="H15" s="74" t="s">
        <v>94</v>
      </c>
      <c r="I15" s="74" t="s">
        <v>95</v>
      </c>
      <c r="J15" s="74" t="s">
        <v>96</v>
      </c>
      <c r="K15" s="74" t="s">
        <v>97</v>
      </c>
      <c r="M15" s="77" t="str">
        <f>'W3 Stats'!B5</f>
        <v>The Eastbrook</v>
      </c>
      <c r="N15" s="74" t="s">
        <v>94</v>
      </c>
      <c r="O15" s="74" t="s">
        <v>95</v>
      </c>
      <c r="P15" s="74" t="s">
        <v>96</v>
      </c>
      <c r="Q15" s="74" t="s">
        <v>97</v>
      </c>
      <c r="S15" s="77" t="str">
        <f>'W3 Stats'!B6</f>
        <v>ThumpingHawk</v>
      </c>
      <c r="T15" s="74" t="s">
        <v>94</v>
      </c>
      <c r="U15" s="74" t="s">
        <v>95</v>
      </c>
      <c r="V15" s="74" t="s">
        <v>96</v>
      </c>
      <c r="W15" s="74" t="s">
        <v>97</v>
      </c>
      <c r="Y15" s="77" t="str">
        <f>'W3 Stats'!B7</f>
        <v>Mr Ab0veAverage</v>
      </c>
      <c r="Z15" s="74" t="s">
        <v>94</v>
      </c>
      <c r="AA15" s="74" t="s">
        <v>95</v>
      </c>
      <c r="AB15" s="74" t="s">
        <v>96</v>
      </c>
      <c r="AC15" s="74" t="s">
        <v>97</v>
      </c>
    </row>
    <row r="16">
      <c r="A16" s="77" t="s">
        <v>108</v>
      </c>
      <c r="B16" s="78">
        <f>'W3 Stats'!D3*B2</f>
        <v>0</v>
      </c>
      <c r="C16" s="78"/>
      <c r="D16" s="78"/>
      <c r="E16" s="78">
        <f>'W3 Stats'!D3*E2</f>
        <v>0</v>
      </c>
      <c r="G16" s="77" t="s">
        <v>108</v>
      </c>
      <c r="H16" s="78">
        <f>'W3 Stats'!D4*H2</f>
        <v>0</v>
      </c>
      <c r="I16" s="78"/>
      <c r="J16" s="78"/>
      <c r="K16" s="78">
        <f>'W3 Stats'!D4*K2</f>
        <v>0</v>
      </c>
      <c r="M16" s="77" t="s">
        <v>108</v>
      </c>
      <c r="N16" s="78">
        <f>'W3 Stats'!D5*N2</f>
        <v>0</v>
      </c>
      <c r="O16" s="78"/>
      <c r="P16" s="78"/>
      <c r="Q16" s="78">
        <f>'W3 Stats'!D5*Q2</f>
        <v>0</v>
      </c>
      <c r="S16" s="77" t="s">
        <v>108</v>
      </c>
      <c r="T16" s="78">
        <f>'W3 Stats'!D6*T2</f>
        <v>0</v>
      </c>
      <c r="U16" s="78"/>
      <c r="V16" s="78"/>
      <c r="W16" s="78">
        <f>'W3 Stats'!D6*W2</f>
        <v>0</v>
      </c>
      <c r="Y16" s="77" t="s">
        <v>108</v>
      </c>
      <c r="Z16" s="78">
        <f>'W3 Stats'!D7*Z2</f>
        <v>0</v>
      </c>
      <c r="AA16" s="99"/>
      <c r="AB16" s="78"/>
      <c r="AC16" s="99">
        <f>'W3 Stats'!D7*AC2</f>
        <v>0</v>
      </c>
    </row>
    <row r="17">
      <c r="A17" s="77" t="s">
        <v>112</v>
      </c>
      <c r="B17" s="99"/>
      <c r="C17" s="99"/>
      <c r="D17" s="78">
        <f>'W3 Stats'!H3*D3</f>
        <v>0</v>
      </c>
      <c r="E17" s="78"/>
      <c r="G17" s="77" t="s">
        <v>112</v>
      </c>
      <c r="H17" s="99"/>
      <c r="I17" s="99"/>
      <c r="J17" s="78">
        <f>'W3 Stats'!H4*J4</f>
        <v>0</v>
      </c>
      <c r="K17" s="78"/>
      <c r="M17" s="77" t="s">
        <v>112</v>
      </c>
      <c r="N17" s="99"/>
      <c r="O17" s="99"/>
      <c r="P17" s="78">
        <f>'W3 Stats'!H5*P3</f>
        <v>0</v>
      </c>
      <c r="Q17" s="78"/>
      <c r="S17" s="77" t="s">
        <v>112</v>
      </c>
      <c r="T17" s="99"/>
      <c r="U17" s="99"/>
      <c r="V17" s="78">
        <f>'W3 Stats'!H6*V3</f>
        <v>0</v>
      </c>
      <c r="W17" s="78"/>
      <c r="Y17" s="77" t="s">
        <v>112</v>
      </c>
      <c r="Z17" s="78"/>
      <c r="AA17" s="99"/>
      <c r="AB17" s="99">
        <f>'W3 Stats'!H7*AB3</f>
        <v>0</v>
      </c>
      <c r="AC17" s="78"/>
    </row>
    <row r="18">
      <c r="A18" s="77" t="s">
        <v>113</v>
      </c>
      <c r="B18" s="78">
        <f>'W3 Stats'!I3*B4</f>
        <v>0</v>
      </c>
      <c r="C18" s="99"/>
      <c r="D18" s="99"/>
      <c r="E18" s="78"/>
      <c r="G18" s="77" t="s">
        <v>113</v>
      </c>
      <c r="H18" s="78">
        <f>'W3 Stats'!I4*H4</f>
        <v>0</v>
      </c>
      <c r="I18" s="99"/>
      <c r="J18" s="99"/>
      <c r="K18" s="78"/>
      <c r="M18" s="77" t="s">
        <v>113</v>
      </c>
      <c r="N18" s="78">
        <f>'W3 Stats'!I5*N4</f>
        <v>0</v>
      </c>
      <c r="O18" s="99"/>
      <c r="P18" s="99"/>
      <c r="Q18" s="78"/>
      <c r="S18" s="77" t="s">
        <v>113</v>
      </c>
      <c r="T18" s="78">
        <f>'W3 Stats'!I6*T4</f>
        <v>0</v>
      </c>
      <c r="U18" s="99"/>
      <c r="V18" s="99"/>
      <c r="W18" s="78"/>
      <c r="Y18" s="77" t="s">
        <v>113</v>
      </c>
      <c r="Z18" s="78">
        <f>'W3 Stats'!I7*Z4</f>
        <v>0</v>
      </c>
      <c r="AA18" s="78"/>
      <c r="AB18" s="99"/>
      <c r="AC18" s="99"/>
    </row>
    <row r="19">
      <c r="A19" s="77" t="s">
        <v>114</v>
      </c>
      <c r="B19" s="99"/>
      <c r="C19" s="78">
        <f>'W3 Stats'!J3*C5</f>
        <v>0</v>
      </c>
      <c r="D19" s="99"/>
      <c r="E19" s="78">
        <f>'W3 Stats'!J3*E5</f>
        <v>0</v>
      </c>
      <c r="G19" s="77" t="s">
        <v>114</v>
      </c>
      <c r="H19" s="99"/>
      <c r="I19" s="78">
        <f>'W3 Stats'!J4*I5</f>
        <v>0</v>
      </c>
      <c r="J19" s="99"/>
      <c r="K19" s="78">
        <f>'W3 Stats'!J4*K5</f>
        <v>0</v>
      </c>
      <c r="M19" s="77" t="s">
        <v>114</v>
      </c>
      <c r="N19" s="99"/>
      <c r="O19" s="78">
        <f>'W3 Stats'!J5*O5</f>
        <v>0</v>
      </c>
      <c r="P19" s="99"/>
      <c r="Q19" s="78">
        <f>'W3 Stats'!J5*Q5</f>
        <v>0</v>
      </c>
      <c r="S19" s="77" t="s">
        <v>114</v>
      </c>
      <c r="T19" s="99"/>
      <c r="U19" s="78">
        <f>'W3 Stats'!J6*U5</f>
        <v>0</v>
      </c>
      <c r="V19" s="99"/>
      <c r="W19" s="78">
        <f>'W3 Stats'!J6*W5</f>
        <v>0</v>
      </c>
      <c r="Y19" s="77" t="s">
        <v>114</v>
      </c>
      <c r="Z19" s="78"/>
      <c r="AA19" s="78">
        <f>'W3 Stats'!J7*AA5</f>
        <v>0</v>
      </c>
      <c r="AB19" s="78"/>
      <c r="AC19" s="78">
        <f>'W3 Stats'!J7*AC5</f>
        <v>0</v>
      </c>
    </row>
    <row r="20">
      <c r="A20" s="77" t="s">
        <v>115</v>
      </c>
      <c r="B20" s="78"/>
      <c r="C20" s="78">
        <f>'W3 Stats'!K3*C6</f>
        <v>0</v>
      </c>
      <c r="D20" s="78"/>
      <c r="E20" s="78">
        <f>'W3 Stats'!K3*E6</f>
        <v>0</v>
      </c>
      <c r="G20" s="77" t="s">
        <v>115</v>
      </c>
      <c r="H20" s="78"/>
      <c r="I20" s="78">
        <f>'W3 Stats'!K4*I6</f>
        <v>0</v>
      </c>
      <c r="J20" s="78"/>
      <c r="K20" s="78">
        <f>'W3 Stats'!K4*K6</f>
        <v>0</v>
      </c>
      <c r="M20" s="77" t="s">
        <v>115</v>
      </c>
      <c r="N20" s="78"/>
      <c r="O20" s="78">
        <f>'W3 Stats'!K5*O6</f>
        <v>0</v>
      </c>
      <c r="P20" s="78"/>
      <c r="Q20" s="78">
        <f>'W3 Stats'!K5*Q6</f>
        <v>0</v>
      </c>
      <c r="S20" s="77" t="s">
        <v>115</v>
      </c>
      <c r="T20" s="78"/>
      <c r="U20" s="78">
        <f>'W3 Stats'!K6*U6</f>
        <v>0</v>
      </c>
      <c r="V20" s="78"/>
      <c r="W20" s="78">
        <f>'W3 Stats'!K6*W6</f>
        <v>0</v>
      </c>
      <c r="Y20" s="77" t="s">
        <v>115</v>
      </c>
      <c r="Z20" s="78"/>
      <c r="AA20" s="99">
        <f>'W3 Stats'!K7*AA6</f>
        <v>0</v>
      </c>
      <c r="AB20" s="78"/>
      <c r="AC20" s="99">
        <f>'W3 Stats'!K7*AC6</f>
        <v>0</v>
      </c>
    </row>
    <row r="21">
      <c r="A21" s="77" t="s">
        <v>116</v>
      </c>
      <c r="B21" s="78">
        <f>'W3 Stats'!L3*B7</f>
        <v>0</v>
      </c>
      <c r="C21" s="78"/>
      <c r="D21" s="78">
        <f>'W3 Stats'!L3*D7</f>
        <v>0</v>
      </c>
      <c r="E21" s="78"/>
      <c r="G21" s="77" t="s">
        <v>116</v>
      </c>
      <c r="H21" s="78">
        <f>'W3 Stats'!L4*H7</f>
        <v>0</v>
      </c>
      <c r="I21" s="78"/>
      <c r="J21" s="78">
        <f>'W3 Stats'!L4*J7</f>
        <v>0</v>
      </c>
      <c r="K21" s="78"/>
      <c r="M21" s="77" t="s">
        <v>116</v>
      </c>
      <c r="N21" s="78">
        <f>'W3 Stats'!L5*N7</f>
        <v>0</v>
      </c>
      <c r="O21" s="78"/>
      <c r="P21" s="78">
        <f>'W3 Stats'!L5*P7</f>
        <v>0</v>
      </c>
      <c r="Q21" s="78"/>
      <c r="S21" s="77" t="s">
        <v>116</v>
      </c>
      <c r="T21" s="78">
        <f>'W3 Stats'!L6*T7</f>
        <v>0</v>
      </c>
      <c r="U21" s="78"/>
      <c r="V21" s="78">
        <f>'W3 Stats'!L6*V7</f>
        <v>0</v>
      </c>
      <c r="W21" s="78"/>
      <c r="Y21" s="77" t="s">
        <v>116</v>
      </c>
      <c r="Z21" s="78">
        <f>'W3 Stats'!L7*Z7</f>
        <v>0</v>
      </c>
      <c r="AA21" s="99"/>
      <c r="AB21" s="99">
        <f>'W3 Stats'!L7*AB7</f>
        <v>0</v>
      </c>
      <c r="AC21" s="78"/>
    </row>
    <row r="22">
      <c r="A22" s="77" t="s">
        <v>117</v>
      </c>
      <c r="B22" s="99"/>
      <c r="C22" s="78">
        <f>'W3 Stats'!M3*C8</f>
        <v>0</v>
      </c>
      <c r="D22" s="99"/>
      <c r="E22" s="78"/>
      <c r="G22" s="77" t="s">
        <v>117</v>
      </c>
      <c r="H22" s="99"/>
      <c r="I22" s="78">
        <f>'W3 Stats'!M4*I8</f>
        <v>0</v>
      </c>
      <c r="J22" s="99"/>
      <c r="K22" s="78"/>
      <c r="M22" s="77" t="s">
        <v>117</v>
      </c>
      <c r="N22" s="99"/>
      <c r="O22" s="78">
        <f>'W3 Stats'!M5*O8</f>
        <v>0</v>
      </c>
      <c r="P22" s="99"/>
      <c r="Q22" s="78"/>
      <c r="S22" s="77" t="s">
        <v>117</v>
      </c>
      <c r="T22" s="99"/>
      <c r="U22" s="78">
        <f>'W3 Stats'!M6*U8</f>
        <v>0</v>
      </c>
      <c r="V22" s="99"/>
      <c r="W22" s="78"/>
      <c r="Y22" s="77" t="s">
        <v>117</v>
      </c>
      <c r="Z22" s="78"/>
      <c r="AA22" s="78">
        <f>'W3 Stats'!M7*AA8</f>
        <v>0</v>
      </c>
      <c r="AB22" s="99"/>
      <c r="AC22" s="99"/>
    </row>
    <row r="23">
      <c r="A23" s="77" t="s">
        <v>118</v>
      </c>
      <c r="B23" s="99"/>
      <c r="C23" s="99"/>
      <c r="D23" s="78">
        <f>'W3 Stats'!N3*D9</f>
        <v>0</v>
      </c>
      <c r="E23" s="78">
        <f>'W3 Stats'!N3*E9</f>
        <v>0</v>
      </c>
      <c r="G23" s="77" t="s">
        <v>118</v>
      </c>
      <c r="H23" s="99"/>
      <c r="I23" s="99"/>
      <c r="J23" s="78">
        <f>'W3 Stats'!N4*J9</f>
        <v>0</v>
      </c>
      <c r="K23" s="78">
        <f>'W3 Stats'!N4*K9</f>
        <v>0</v>
      </c>
      <c r="M23" s="77" t="s">
        <v>118</v>
      </c>
      <c r="N23" s="99"/>
      <c r="O23" s="99"/>
      <c r="P23" s="78">
        <f>'W3 Stats'!N5*P9</f>
        <v>0</v>
      </c>
      <c r="Q23" s="78">
        <f>'W3 Stats'!N5*Q9</f>
        <v>0</v>
      </c>
      <c r="S23" s="77" t="s">
        <v>118</v>
      </c>
      <c r="T23" s="99"/>
      <c r="U23" s="99"/>
      <c r="V23" s="78">
        <f>'W3 Stats'!N6*V9</f>
        <v>0</v>
      </c>
      <c r="W23" s="78">
        <f>'W3 Stats'!N6*W9</f>
        <v>0</v>
      </c>
      <c r="Y23" s="77" t="s">
        <v>118</v>
      </c>
      <c r="Z23" s="78"/>
      <c r="AA23" s="78"/>
      <c r="AB23" s="78">
        <f>'W3 Stats'!N7*AB9</f>
        <v>0</v>
      </c>
      <c r="AC23" s="78">
        <f>'W3 Stats'!N7*AC9</f>
        <v>0</v>
      </c>
    </row>
    <row r="24">
      <c r="A24" s="77" t="s">
        <v>119</v>
      </c>
      <c r="B24" s="78"/>
      <c r="C24" s="78">
        <f>'W3 Stats'!O3*C10</f>
        <v>0</v>
      </c>
      <c r="D24" s="99"/>
      <c r="E24" s="78">
        <f>'W3 Stats'!O3*E10</f>
        <v>0</v>
      </c>
      <c r="G24" s="77" t="s">
        <v>119</v>
      </c>
      <c r="H24" s="78"/>
      <c r="I24" s="78">
        <f>'W3 Stats'!O4*I10</f>
        <v>0</v>
      </c>
      <c r="J24" s="99"/>
      <c r="K24" s="78">
        <f>'W3 Stats'!O4*K10</f>
        <v>0</v>
      </c>
      <c r="M24" s="77" t="s">
        <v>119</v>
      </c>
      <c r="N24" s="78"/>
      <c r="O24" s="78">
        <f>'W3 Stats'!O5*O10</f>
        <v>0</v>
      </c>
      <c r="P24" s="99"/>
      <c r="Q24" s="78">
        <f>'W3 Stats'!O5*Q10</f>
        <v>0</v>
      </c>
      <c r="S24" s="77" t="s">
        <v>119</v>
      </c>
      <c r="T24" s="78"/>
      <c r="U24" s="78">
        <f>'W3 Stats'!O6*U10</f>
        <v>0</v>
      </c>
      <c r="V24" s="99"/>
      <c r="W24" s="78">
        <f>'W3 Stats'!O6*W10</f>
        <v>0</v>
      </c>
      <c r="Y24" s="77" t="s">
        <v>119</v>
      </c>
      <c r="Z24" s="78"/>
      <c r="AA24" s="99">
        <f>'W3 Stats'!O7*AA10</f>
        <v>0</v>
      </c>
      <c r="AB24" s="78"/>
      <c r="AC24" s="99">
        <f>'W3 Stats'!O7*AC10</f>
        <v>0</v>
      </c>
    </row>
    <row r="25">
      <c r="A25" s="77" t="s">
        <v>120</v>
      </c>
      <c r="B25" s="99"/>
      <c r="C25" s="99"/>
      <c r="D25" s="78">
        <f>'W3 Stats'!P3*D11</f>
        <v>0</v>
      </c>
      <c r="E25" s="78">
        <f>'W3 Stats'!P3*E11</f>
        <v>0</v>
      </c>
      <c r="G25" s="77" t="s">
        <v>120</v>
      </c>
      <c r="H25" s="99"/>
      <c r="I25" s="99"/>
      <c r="J25" s="78">
        <f>'W3 Stats'!P4*J11</f>
        <v>0</v>
      </c>
      <c r="K25" s="78">
        <f>'W3 Stats'!P4*K11</f>
        <v>0</v>
      </c>
      <c r="M25" s="77" t="s">
        <v>120</v>
      </c>
      <c r="N25" s="99"/>
      <c r="O25" s="99"/>
      <c r="P25" s="78">
        <f>'W3 Stats'!P5*P11</f>
        <v>0</v>
      </c>
      <c r="Q25" s="78">
        <f>'W3 Stats'!P5*Q11</f>
        <v>0</v>
      </c>
      <c r="S25" s="77" t="s">
        <v>120</v>
      </c>
      <c r="T25" s="99"/>
      <c r="U25" s="99"/>
      <c r="V25" s="78">
        <f>'W3 Stats'!P6*V11</f>
        <v>0</v>
      </c>
      <c r="W25" s="78">
        <f>'W3 Stats'!P6*W11</f>
        <v>0</v>
      </c>
      <c r="Y25" s="77" t="s">
        <v>120</v>
      </c>
      <c r="Z25" s="78"/>
      <c r="AA25" s="99"/>
      <c r="AB25" s="99">
        <f>'W3 Stats'!P7*AB11</f>
        <v>0</v>
      </c>
      <c r="AC25" s="78">
        <f>'W3 Stats'!P7*AC11</f>
        <v>0</v>
      </c>
    </row>
    <row r="26">
      <c r="A26" s="77" t="s">
        <v>121</v>
      </c>
      <c r="B26" s="78">
        <f>'W3 Stats'!Q3*B12</f>
        <v>0</v>
      </c>
      <c r="C26" s="78">
        <f>'W3 Stats'!Q3*C12</f>
        <v>0</v>
      </c>
      <c r="D26" s="78">
        <f>'W3 Stats'!Q3*D12</f>
        <v>0</v>
      </c>
      <c r="E26" s="78">
        <f>'W3 Stats'!Q3*E12</f>
        <v>0</v>
      </c>
      <c r="G26" s="77" t="s">
        <v>121</v>
      </c>
      <c r="H26" s="78">
        <f>'W3 Stats'!Q4*H12</f>
        <v>0</v>
      </c>
      <c r="I26" s="78">
        <f>'W3 Stats'!Q4*I12</f>
        <v>0</v>
      </c>
      <c r="J26" s="78">
        <f>'W3 Stats'!Q4*J12</f>
        <v>0</v>
      </c>
      <c r="K26" s="78">
        <f>'W3 Stats'!Q4*K12</f>
        <v>0</v>
      </c>
      <c r="M26" s="77" t="s">
        <v>121</v>
      </c>
      <c r="N26" s="78">
        <f>'W3 Stats'!Q5*N12</f>
        <v>0</v>
      </c>
      <c r="O26" s="78">
        <f>'W3 Stats'!Q5*O12</f>
        <v>0</v>
      </c>
      <c r="P26" s="78">
        <f>'W3 Stats'!Q5*P12</f>
        <v>0</v>
      </c>
      <c r="Q26" s="78">
        <f>'W3 Stats'!Q5*Q12</f>
        <v>0</v>
      </c>
      <c r="S26" s="77" t="s">
        <v>121</v>
      </c>
      <c r="T26" s="78">
        <f>'W3 Stats'!Q6*T12</f>
        <v>0</v>
      </c>
      <c r="U26" s="78">
        <f>'W3 Stats'!Q6*U12</f>
        <v>0</v>
      </c>
      <c r="V26" s="78">
        <f>'W3 Stats'!Q6*V12</f>
        <v>0</v>
      </c>
      <c r="W26" s="78">
        <f>'W3 Stats'!Q6*W12</f>
        <v>0</v>
      </c>
      <c r="Y26" s="77" t="s">
        <v>121</v>
      </c>
      <c r="Z26" s="78">
        <f>'W3 Stats'!Q7*Z12</f>
        <v>0</v>
      </c>
      <c r="AA26" s="78">
        <f>'W3 Stats'!Q7*AA12</f>
        <v>0</v>
      </c>
      <c r="AB26" s="78">
        <f>'W3 Stats'!Q7*AB12</f>
        <v>0</v>
      </c>
      <c r="AC26" s="78">
        <f>'W3 Stats'!Q7*AC12</f>
        <v>0</v>
      </c>
    </row>
    <row r="27">
      <c r="A27" s="77" t="s">
        <v>122</v>
      </c>
      <c r="B27" s="78">
        <f t="shared" ref="B27:E27" si="50">SUM(B16:B26)</f>
        <v>0</v>
      </c>
      <c r="C27" s="78">
        <f t="shared" si="50"/>
        <v>0</v>
      </c>
      <c r="D27" s="78">
        <f t="shared" si="50"/>
        <v>0</v>
      </c>
      <c r="E27" s="78">
        <f t="shared" si="50"/>
        <v>0</v>
      </c>
      <c r="G27" s="77" t="s">
        <v>122</v>
      </c>
      <c r="H27" s="78">
        <f t="shared" ref="H27:K27" si="51">SUM(H16:H26)</f>
        <v>0</v>
      </c>
      <c r="I27" s="78">
        <f t="shared" si="51"/>
        <v>0</v>
      </c>
      <c r="J27" s="78">
        <f t="shared" si="51"/>
        <v>0</v>
      </c>
      <c r="K27" s="78">
        <f t="shared" si="51"/>
        <v>0</v>
      </c>
      <c r="M27" s="77" t="s">
        <v>122</v>
      </c>
      <c r="N27" s="78">
        <f t="shared" ref="N27:Q27" si="52">SUM(N16:N26)</f>
        <v>0</v>
      </c>
      <c r="O27" s="78">
        <f t="shared" si="52"/>
        <v>0</v>
      </c>
      <c r="P27" s="78">
        <f t="shared" si="52"/>
        <v>0</v>
      </c>
      <c r="Q27" s="78">
        <f t="shared" si="52"/>
        <v>0</v>
      </c>
      <c r="S27" s="77" t="s">
        <v>122</v>
      </c>
      <c r="T27" s="78">
        <f t="shared" ref="T27:W27" si="53">SUM(T16:T26)</f>
        <v>0</v>
      </c>
      <c r="U27" s="78">
        <f t="shared" si="53"/>
        <v>0</v>
      </c>
      <c r="V27" s="78">
        <f t="shared" si="53"/>
        <v>0</v>
      </c>
      <c r="W27" s="78">
        <f t="shared" si="53"/>
        <v>0</v>
      </c>
      <c r="Y27" s="77" t="s">
        <v>122</v>
      </c>
      <c r="Z27" s="78">
        <f t="shared" ref="Z27:AC27" si="54">SUM(Z16:Z26)</f>
        <v>0</v>
      </c>
      <c r="AA27" s="78">
        <f t="shared" si="54"/>
        <v>0</v>
      </c>
      <c r="AB27" s="78">
        <f t="shared" si="54"/>
        <v>0</v>
      </c>
      <c r="AC27" s="78">
        <f t="shared" si="54"/>
        <v>0</v>
      </c>
    </row>
    <row r="29">
      <c r="A29" s="77" t="str">
        <f>'W3 Stats'!B8</f>
        <v>InfiniteRainge</v>
      </c>
      <c r="B29" s="74" t="s">
        <v>94</v>
      </c>
      <c r="C29" s="74" t="s">
        <v>95</v>
      </c>
      <c r="D29" s="74" t="s">
        <v>96</v>
      </c>
      <c r="E29" s="74" t="s">
        <v>97</v>
      </c>
      <c r="G29" s="77" t="str">
        <f>'W3 Stats'!B9</f>
        <v>ACE B S1lentND1</v>
      </c>
      <c r="H29" s="74" t="s">
        <v>94</v>
      </c>
      <c r="I29" s="74" t="s">
        <v>95</v>
      </c>
      <c r="J29" s="74" t="s">
        <v>96</v>
      </c>
      <c r="K29" s="74" t="s">
        <v>97</v>
      </c>
      <c r="M29" s="77" t="str">
        <f>'W3 Stats'!B10</f>
        <v>DCleak</v>
      </c>
      <c r="N29" s="74" t="s">
        <v>94</v>
      </c>
      <c r="O29" s="74" t="s">
        <v>95</v>
      </c>
      <c r="P29" s="74" t="s">
        <v>96</v>
      </c>
      <c r="Q29" s="74" t="s">
        <v>97</v>
      </c>
      <c r="S29" s="77" t="str">
        <f>'W3 Stats'!B11</f>
        <v>ST0P K1LLING ME</v>
      </c>
      <c r="T29" s="74" t="s">
        <v>94</v>
      </c>
      <c r="U29" s="74" t="s">
        <v>95</v>
      </c>
      <c r="V29" s="74" t="s">
        <v>96</v>
      </c>
      <c r="W29" s="74" t="s">
        <v>97</v>
      </c>
      <c r="Y29" s="77" t="str">
        <f>'W3 Stats'!B12</f>
        <v>oUnique Rose</v>
      </c>
      <c r="Z29" s="74" t="s">
        <v>94</v>
      </c>
      <c r="AA29" s="74" t="s">
        <v>95</v>
      </c>
      <c r="AB29" s="74" t="s">
        <v>96</v>
      </c>
      <c r="AC29" s="74" t="s">
        <v>97</v>
      </c>
    </row>
    <row r="30">
      <c r="A30" s="77" t="s">
        <v>108</v>
      </c>
      <c r="B30" s="78">
        <f>'W3 Stats'!D8*B2</f>
        <v>0</v>
      </c>
      <c r="C30" s="78"/>
      <c r="D30" s="78"/>
      <c r="E30" s="78">
        <f>'W3 Stats'!D8*E2</f>
        <v>0</v>
      </c>
      <c r="G30" s="77" t="s">
        <v>108</v>
      </c>
      <c r="H30" s="78">
        <f>'W3 Stats'!D9*H2</f>
        <v>0</v>
      </c>
      <c r="I30" s="78"/>
      <c r="J30" s="78"/>
      <c r="K30" s="78">
        <f>'W3 Stats'!D9*K2</f>
        <v>0</v>
      </c>
      <c r="M30" s="77" t="s">
        <v>108</v>
      </c>
      <c r="N30" s="78">
        <f>'W3 Stats'!D10*N2</f>
        <v>0</v>
      </c>
      <c r="O30" s="78"/>
      <c r="P30" s="78"/>
      <c r="Q30" s="78">
        <f>'W3 Stats'!D10*Q2</f>
        <v>0</v>
      </c>
      <c r="S30" s="77" t="s">
        <v>108</v>
      </c>
      <c r="T30" s="78">
        <f>'W3 Stats'!D11*T2</f>
        <v>0</v>
      </c>
      <c r="U30" s="78"/>
      <c r="V30" s="78"/>
      <c r="W30" s="78">
        <f>'W3 Stats'!D11*W2</f>
        <v>0</v>
      </c>
      <c r="Y30" s="77" t="s">
        <v>108</v>
      </c>
      <c r="Z30" s="78">
        <f>'W3 Stats'!D12*Z2</f>
        <v>0</v>
      </c>
      <c r="AA30" s="78"/>
      <c r="AB30" s="78"/>
      <c r="AC30" s="78">
        <f>'W3 Stats'!D12*AC2</f>
        <v>0</v>
      </c>
    </row>
    <row r="31">
      <c r="A31" s="77" t="s">
        <v>112</v>
      </c>
      <c r="B31" s="78"/>
      <c r="C31" s="78"/>
      <c r="D31" s="78">
        <f>'W3 Stats'!H8*D3</f>
        <v>0</v>
      </c>
      <c r="E31" s="78"/>
      <c r="G31" s="77" t="s">
        <v>112</v>
      </c>
      <c r="H31" s="78"/>
      <c r="I31" s="78"/>
      <c r="J31" s="78">
        <f>'W3 Stats'!H9*J3</f>
        <v>0</v>
      </c>
      <c r="K31" s="78"/>
      <c r="M31" s="77" t="s">
        <v>112</v>
      </c>
      <c r="N31" s="78"/>
      <c r="O31" s="78"/>
      <c r="P31" s="78">
        <f>'W3 Stats'!H10*P3</f>
        <v>0</v>
      </c>
      <c r="Q31" s="78"/>
      <c r="S31" s="77" t="s">
        <v>112</v>
      </c>
      <c r="T31" s="78"/>
      <c r="U31" s="78"/>
      <c r="V31" s="78">
        <f>'W3 Stats'!H11*V3</f>
        <v>0</v>
      </c>
      <c r="W31" s="78"/>
      <c r="Y31" s="77" t="s">
        <v>112</v>
      </c>
      <c r="Z31" s="78"/>
      <c r="AA31" s="78"/>
      <c r="AB31" s="78">
        <f>'W3 Stats'!H12*AB3</f>
        <v>0</v>
      </c>
      <c r="AC31" s="78"/>
    </row>
    <row r="32">
      <c r="A32" s="77" t="s">
        <v>113</v>
      </c>
      <c r="B32" s="78">
        <f>'W3 Stats'!I8*B4</f>
        <v>0</v>
      </c>
      <c r="C32" s="78"/>
      <c r="D32" s="78"/>
      <c r="E32" s="78"/>
      <c r="G32" s="77" t="s">
        <v>113</v>
      </c>
      <c r="H32" s="78">
        <f>'W3 Stats'!I9*H4</f>
        <v>0</v>
      </c>
      <c r="I32" s="78"/>
      <c r="J32" s="78"/>
      <c r="K32" s="78"/>
      <c r="M32" s="77" t="s">
        <v>113</v>
      </c>
      <c r="N32" s="78">
        <f>'W3 Stats'!I10*N4</f>
        <v>0</v>
      </c>
      <c r="O32" s="78"/>
      <c r="P32" s="78"/>
      <c r="Q32" s="78"/>
      <c r="S32" s="77" t="s">
        <v>113</v>
      </c>
      <c r="T32" s="78">
        <f>'W3 Stats'!I11*T4</f>
        <v>0</v>
      </c>
      <c r="U32" s="78"/>
      <c r="V32" s="78"/>
      <c r="W32" s="78"/>
      <c r="Y32" s="77" t="s">
        <v>113</v>
      </c>
      <c r="Z32" s="78">
        <f>'W3 Stats'!I12*Z4</f>
        <v>0</v>
      </c>
      <c r="AA32" s="78"/>
      <c r="AB32" s="78"/>
      <c r="AC32" s="78"/>
    </row>
    <row r="33">
      <c r="A33" s="77" t="s">
        <v>114</v>
      </c>
      <c r="B33" s="78"/>
      <c r="C33" s="78">
        <f>'W3 Stats'!J8*C5</f>
        <v>0</v>
      </c>
      <c r="D33" s="78"/>
      <c r="E33" s="78">
        <f>'W3 Stats'!J8*E5</f>
        <v>0</v>
      </c>
      <c r="G33" s="77" t="s">
        <v>114</v>
      </c>
      <c r="H33" s="78"/>
      <c r="I33" s="78">
        <f>'W3 Stats'!J9*I5</f>
        <v>0</v>
      </c>
      <c r="J33" s="78"/>
      <c r="K33" s="78">
        <f>'W3 Stats'!J9*K5</f>
        <v>0</v>
      </c>
      <c r="M33" s="77" t="s">
        <v>114</v>
      </c>
      <c r="N33" s="78"/>
      <c r="O33" s="78">
        <f>'W3 Stats'!J10*O5</f>
        <v>0</v>
      </c>
      <c r="P33" s="78"/>
      <c r="Q33" s="78">
        <f>'W3 Stats'!J10*Q5</f>
        <v>0</v>
      </c>
      <c r="S33" s="77" t="s">
        <v>114</v>
      </c>
      <c r="T33" s="78"/>
      <c r="U33" s="78">
        <f>'W3 Stats'!J11*U5</f>
        <v>0</v>
      </c>
      <c r="V33" s="78"/>
      <c r="W33" s="78">
        <f>'W3 Stats'!J11*W5</f>
        <v>0</v>
      </c>
      <c r="Y33" s="77" t="s">
        <v>114</v>
      </c>
      <c r="Z33" s="78"/>
      <c r="AA33" s="78">
        <f>'W3 Stats'!J12*AA5</f>
        <v>0</v>
      </c>
      <c r="AB33" s="78"/>
      <c r="AC33" s="78">
        <f>'W3 Stats'!J12*AC5</f>
        <v>0</v>
      </c>
    </row>
    <row r="34">
      <c r="A34" s="77" t="s">
        <v>115</v>
      </c>
      <c r="B34" s="78"/>
      <c r="C34" s="78">
        <f>'W3 Stats'!K8*C6</f>
        <v>0</v>
      </c>
      <c r="D34" s="78"/>
      <c r="E34" s="78">
        <f>'W3 Stats'!K8*E6</f>
        <v>0</v>
      </c>
      <c r="G34" s="77" t="s">
        <v>115</v>
      </c>
      <c r="H34" s="78"/>
      <c r="I34" s="78">
        <f>'W3 Stats'!K9*I6</f>
        <v>0</v>
      </c>
      <c r="J34" s="78"/>
      <c r="K34" s="78">
        <f>'W3 Stats'!K9*K6</f>
        <v>0</v>
      </c>
      <c r="M34" s="77" t="s">
        <v>115</v>
      </c>
      <c r="N34" s="78"/>
      <c r="O34" s="78">
        <f>'W3 Stats'!K10*O6</f>
        <v>0</v>
      </c>
      <c r="P34" s="78"/>
      <c r="Q34" s="78">
        <f>'W3 Stats'!K10*Q6</f>
        <v>0</v>
      </c>
      <c r="S34" s="77" t="s">
        <v>115</v>
      </c>
      <c r="T34" s="78"/>
      <c r="U34" s="78">
        <f>'W3 Stats'!K11*U6</f>
        <v>0</v>
      </c>
      <c r="V34" s="78"/>
      <c r="W34" s="78">
        <f>'W3 Stats'!K11*W6</f>
        <v>0</v>
      </c>
      <c r="Y34" s="77" t="s">
        <v>115</v>
      </c>
      <c r="Z34" s="78"/>
      <c r="AA34" s="78">
        <f>'W3 Stats'!K12*AA6</f>
        <v>0</v>
      </c>
      <c r="AB34" s="78"/>
      <c r="AC34" s="78">
        <f>'W3 Stats'!K12*AC6</f>
        <v>0</v>
      </c>
    </row>
    <row r="35">
      <c r="A35" s="77" t="s">
        <v>116</v>
      </c>
      <c r="B35" s="78">
        <f>'W3 Stats'!L8*B7</f>
        <v>0</v>
      </c>
      <c r="C35" s="78"/>
      <c r="D35" s="78">
        <f>'W3 Stats'!L8*D7</f>
        <v>0</v>
      </c>
      <c r="E35" s="78"/>
      <c r="G35" s="77" t="s">
        <v>116</v>
      </c>
      <c r="H35" s="78">
        <f>'W3 Stats'!L9*H7</f>
        <v>0</v>
      </c>
      <c r="I35" s="78"/>
      <c r="J35" s="78">
        <f>'W3 Stats'!L9*J7</f>
        <v>0</v>
      </c>
      <c r="K35" s="78"/>
      <c r="M35" s="77" t="s">
        <v>116</v>
      </c>
      <c r="N35" s="78">
        <f>'W3 Stats'!L10*N7</f>
        <v>0</v>
      </c>
      <c r="O35" s="78"/>
      <c r="P35" s="78">
        <f>'W3 Stats'!L10*P7</f>
        <v>0</v>
      </c>
      <c r="Q35" s="78"/>
      <c r="S35" s="77" t="s">
        <v>116</v>
      </c>
      <c r="T35" s="78">
        <f>'W3 Stats'!L11*T7</f>
        <v>0</v>
      </c>
      <c r="U35" s="78"/>
      <c r="V35" s="78">
        <f>'W3 Stats'!L11*V7</f>
        <v>0</v>
      </c>
      <c r="W35" s="78"/>
      <c r="Y35" s="77" t="s">
        <v>116</v>
      </c>
      <c r="Z35" s="78">
        <f>'W3 Stats'!L12*Z7</f>
        <v>0</v>
      </c>
      <c r="AA35" s="78"/>
      <c r="AB35" s="78">
        <f>'W3 Stats'!L12*AB7</f>
        <v>0</v>
      </c>
      <c r="AC35" s="78"/>
    </row>
    <row r="36">
      <c r="A36" s="77" t="s">
        <v>117</v>
      </c>
      <c r="B36" s="78"/>
      <c r="C36" s="78">
        <f>'W3 Stats'!M8*C8</f>
        <v>0</v>
      </c>
      <c r="D36" s="78"/>
      <c r="E36" s="78"/>
      <c r="G36" s="77" t="s">
        <v>117</v>
      </c>
      <c r="H36" s="78"/>
      <c r="I36" s="78">
        <f>'W3 Stats'!M9*C9</f>
        <v>0</v>
      </c>
      <c r="J36" s="78"/>
      <c r="K36" s="78"/>
      <c r="M36" s="77" t="s">
        <v>117</v>
      </c>
      <c r="N36" s="78"/>
      <c r="O36" s="78">
        <f>'W3 Stats'!M10*O8</f>
        <v>0</v>
      </c>
      <c r="P36" s="78"/>
      <c r="Q36" s="78"/>
      <c r="S36" s="77" t="s">
        <v>117</v>
      </c>
      <c r="T36" s="78"/>
      <c r="U36" s="78">
        <f>'W3 Stats'!M11*U8</f>
        <v>0</v>
      </c>
      <c r="V36" s="78"/>
      <c r="W36" s="78"/>
      <c r="Y36" s="77" t="s">
        <v>117</v>
      </c>
      <c r="Z36" s="78"/>
      <c r="AA36" s="78">
        <f>'W3 Stats'!M12*AA8</f>
        <v>0</v>
      </c>
      <c r="AB36" s="78"/>
      <c r="AC36" s="78"/>
    </row>
    <row r="37">
      <c r="A37" s="77" t="s">
        <v>118</v>
      </c>
      <c r="B37" s="78"/>
      <c r="C37" s="78"/>
      <c r="D37" s="78">
        <f>'W3 Stats'!N8*D9</f>
        <v>0</v>
      </c>
      <c r="E37" s="78">
        <f>'W3 Stats'!N8*E9</f>
        <v>0</v>
      </c>
      <c r="G37" s="77" t="s">
        <v>118</v>
      </c>
      <c r="H37" s="78"/>
      <c r="I37" s="78"/>
      <c r="J37" s="78">
        <f>'W3 Stats'!N9*J9</f>
        <v>0</v>
      </c>
      <c r="K37" s="78">
        <f>'W3 Stats'!N9*K9</f>
        <v>0</v>
      </c>
      <c r="M37" s="77" t="s">
        <v>118</v>
      </c>
      <c r="N37" s="78"/>
      <c r="O37" s="78"/>
      <c r="P37" s="78">
        <f>'W3 Stats'!N10*P9</f>
        <v>0</v>
      </c>
      <c r="Q37" s="78">
        <f>'W3 Stats'!N10*Q9</f>
        <v>0</v>
      </c>
      <c r="S37" s="77" t="s">
        <v>118</v>
      </c>
      <c r="T37" s="78"/>
      <c r="U37" s="78"/>
      <c r="V37" s="78">
        <f>'W3 Stats'!N11*V9</f>
        <v>0</v>
      </c>
      <c r="W37" s="78">
        <f>'W3 Stats'!N11*W9</f>
        <v>0</v>
      </c>
      <c r="Y37" s="77" t="s">
        <v>118</v>
      </c>
      <c r="Z37" s="78"/>
      <c r="AA37" s="78"/>
      <c r="AB37" s="78">
        <f>'W3 Stats'!N12*AB9</f>
        <v>0</v>
      </c>
      <c r="AC37" s="78">
        <f>'W3 Stats'!N12*AC9</f>
        <v>0</v>
      </c>
    </row>
    <row r="38">
      <c r="A38" s="77" t="s">
        <v>119</v>
      </c>
      <c r="B38" s="78"/>
      <c r="C38" s="78">
        <f>'W3 Stats'!O8*C10</f>
        <v>0</v>
      </c>
      <c r="D38" s="78"/>
      <c r="E38" s="78">
        <f>'W3 Stats'!O8*E10</f>
        <v>0</v>
      </c>
      <c r="G38" s="77" t="s">
        <v>119</v>
      </c>
      <c r="H38" s="78"/>
      <c r="I38" s="78">
        <f>'W3 Stats'!O9*I10</f>
        <v>0</v>
      </c>
      <c r="J38" s="78"/>
      <c r="K38" s="78">
        <f>'W3 Stats'!O9*K10</f>
        <v>0</v>
      </c>
      <c r="M38" s="77" t="s">
        <v>119</v>
      </c>
      <c r="N38" s="78"/>
      <c r="O38" s="78">
        <f>'W3 Stats'!O10*O10</f>
        <v>0</v>
      </c>
      <c r="P38" s="78"/>
      <c r="Q38" s="78">
        <f>'W3 Stats'!O10*Q10</f>
        <v>0</v>
      </c>
      <c r="S38" s="77" t="s">
        <v>119</v>
      </c>
      <c r="T38" s="78"/>
      <c r="U38" s="78">
        <f>'W3 Stats'!O11*U10</f>
        <v>0</v>
      </c>
      <c r="V38" s="78"/>
      <c r="W38" s="78">
        <f>'W3 Stats'!O11*W10</f>
        <v>0</v>
      </c>
      <c r="Y38" s="77" t="s">
        <v>119</v>
      </c>
      <c r="Z38" s="78"/>
      <c r="AA38" s="78">
        <f>'W3 Stats'!O12*AA10</f>
        <v>0</v>
      </c>
      <c r="AB38" s="78"/>
      <c r="AC38" s="78">
        <f>'W3 Stats'!O12*AC10</f>
        <v>0</v>
      </c>
    </row>
    <row r="39">
      <c r="A39" s="77" t="s">
        <v>120</v>
      </c>
      <c r="B39" s="78"/>
      <c r="C39" s="78"/>
      <c r="D39" s="78">
        <f>'W3 Stats'!P8*D11</f>
        <v>0</v>
      </c>
      <c r="E39" s="78">
        <f>'W3 Stats'!P8*E11</f>
        <v>0</v>
      </c>
      <c r="G39" s="77" t="s">
        <v>120</v>
      </c>
      <c r="H39" s="78"/>
      <c r="I39" s="78"/>
      <c r="J39" s="78">
        <f>'W3 Stats'!P9*J11</f>
        <v>0</v>
      </c>
      <c r="K39" s="78">
        <f>'W3 Stats'!P9*K11</f>
        <v>0</v>
      </c>
      <c r="M39" s="77" t="s">
        <v>120</v>
      </c>
      <c r="N39" s="78"/>
      <c r="O39" s="78"/>
      <c r="P39" s="78">
        <f>'W3 Stats'!P10*P11</f>
        <v>0</v>
      </c>
      <c r="Q39" s="78">
        <f>'W3 Stats'!P10*Q11</f>
        <v>0</v>
      </c>
      <c r="S39" s="77" t="s">
        <v>120</v>
      </c>
      <c r="T39" s="78"/>
      <c r="U39" s="78"/>
      <c r="V39" s="78">
        <f>'W3 Stats'!P11*V11</f>
        <v>0</v>
      </c>
      <c r="W39" s="78">
        <f>'W3 Stats'!P11*W11</f>
        <v>0</v>
      </c>
      <c r="Y39" s="77" t="s">
        <v>120</v>
      </c>
      <c r="Z39" s="78"/>
      <c r="AA39" s="78"/>
      <c r="AB39" s="78">
        <f>'W3 Stats'!P12*AB11</f>
        <v>0</v>
      </c>
      <c r="AC39" s="78">
        <f>'W3 Stats'!P12*AC11</f>
        <v>0</v>
      </c>
    </row>
    <row r="40">
      <c r="A40" s="77" t="s">
        <v>121</v>
      </c>
      <c r="B40" s="78">
        <f>'W3 Stats'!Q8*B12</f>
        <v>0</v>
      </c>
      <c r="C40" s="78">
        <f>'W3 Stats'!Q8*C12</f>
        <v>0</v>
      </c>
      <c r="D40" s="78">
        <f>'W3 Stats'!Q8*D12</f>
        <v>0</v>
      </c>
      <c r="E40" s="78">
        <f>'W3 Stats'!Q8*E12</f>
        <v>0</v>
      </c>
      <c r="G40" s="77" t="s">
        <v>121</v>
      </c>
      <c r="H40" s="78">
        <f>'W3 Stats'!Q9*H12</f>
        <v>0</v>
      </c>
      <c r="I40" s="78">
        <f>'W3 Stats'!Q9*I12</f>
        <v>0</v>
      </c>
      <c r="J40" s="78">
        <f>'W3 Stats'!Q9*J12</f>
        <v>0</v>
      </c>
      <c r="K40" s="78">
        <f>'W3 Stats'!Q9*K12</f>
        <v>0</v>
      </c>
      <c r="M40" s="77" t="s">
        <v>121</v>
      </c>
      <c r="N40" s="78">
        <f>'W3 Stats'!Q10*N12</f>
        <v>0</v>
      </c>
      <c r="O40" s="78">
        <f>'W3 Stats'!Q10*O12</f>
        <v>0</v>
      </c>
      <c r="P40" s="78">
        <f>'W3 Stats'!Q10*P12</f>
        <v>0</v>
      </c>
      <c r="Q40" s="78">
        <f>'W3 Stats'!Q10*Q12</f>
        <v>0</v>
      </c>
      <c r="S40" s="77" t="s">
        <v>121</v>
      </c>
      <c r="T40" s="78">
        <f>'W3 Stats'!Q11*T12</f>
        <v>0</v>
      </c>
      <c r="U40" s="78">
        <f>'W3 Stats'!Q11*U12</f>
        <v>0</v>
      </c>
      <c r="V40" s="78">
        <f>'W3 Stats'!Q11*V12</f>
        <v>0</v>
      </c>
      <c r="W40" s="78">
        <f>'W3 Stats'!Q11*W12</f>
        <v>0</v>
      </c>
      <c r="Y40" s="77" t="s">
        <v>121</v>
      </c>
      <c r="Z40" s="78">
        <f>'W3 Stats'!Q12*Z12</f>
        <v>0</v>
      </c>
      <c r="AA40" s="78">
        <f>'W3 Stats'!Q12*AA12</f>
        <v>0</v>
      </c>
      <c r="AB40" s="78">
        <f>'W3 Stats'!Q12*AB12</f>
        <v>0</v>
      </c>
      <c r="AC40" s="78">
        <f>'W3 Stats'!Q12*AC12</f>
        <v>0</v>
      </c>
    </row>
    <row r="41">
      <c r="A41" s="77" t="s">
        <v>122</v>
      </c>
      <c r="B41" s="78">
        <f t="shared" ref="B41:E41" si="55">SUM(B30:B40)</f>
        <v>0</v>
      </c>
      <c r="C41" s="78">
        <f t="shared" si="55"/>
        <v>0</v>
      </c>
      <c r="D41" s="78">
        <f t="shared" si="55"/>
        <v>0</v>
      </c>
      <c r="E41" s="78">
        <f t="shared" si="55"/>
        <v>0</v>
      </c>
      <c r="G41" s="77" t="s">
        <v>122</v>
      </c>
      <c r="H41" s="78">
        <f t="shared" ref="H41:K41" si="56">SUM(H30:H40)</f>
        <v>0</v>
      </c>
      <c r="I41" s="78">
        <f t="shared" si="56"/>
        <v>0</v>
      </c>
      <c r="J41" s="78">
        <f t="shared" si="56"/>
        <v>0</v>
      </c>
      <c r="K41" s="78">
        <f t="shared" si="56"/>
        <v>0</v>
      </c>
      <c r="M41" s="77" t="s">
        <v>122</v>
      </c>
      <c r="N41" s="78">
        <f t="shared" ref="N41:Q41" si="57">SUM(N30:N40)</f>
        <v>0</v>
      </c>
      <c r="O41" s="78">
        <f t="shared" si="57"/>
        <v>0</v>
      </c>
      <c r="P41" s="78">
        <f t="shared" si="57"/>
        <v>0</v>
      </c>
      <c r="Q41" s="78">
        <f t="shared" si="57"/>
        <v>0</v>
      </c>
      <c r="S41" s="77" t="s">
        <v>122</v>
      </c>
      <c r="T41" s="78">
        <f t="shared" ref="T41:W41" si="58">SUM(T30:T40)</f>
        <v>0</v>
      </c>
      <c r="U41" s="78">
        <f t="shared" si="58"/>
        <v>0</v>
      </c>
      <c r="V41" s="78">
        <f t="shared" si="58"/>
        <v>0</v>
      </c>
      <c r="W41" s="78">
        <f t="shared" si="58"/>
        <v>0</v>
      </c>
      <c r="Y41" s="77" t="s">
        <v>122</v>
      </c>
      <c r="Z41" s="78">
        <f t="shared" ref="Z41:AC41" si="59">SUM(Z30:Z40)</f>
        <v>0</v>
      </c>
      <c r="AA41" s="78">
        <f t="shared" si="59"/>
        <v>0</v>
      </c>
      <c r="AB41" s="78">
        <f t="shared" si="59"/>
        <v>0</v>
      </c>
      <c r="AC41" s="78">
        <f t="shared" si="59"/>
        <v>0</v>
      </c>
    </row>
    <row r="43">
      <c r="A43" s="77" t="str">
        <f>'W3 Stats'!B13</f>
        <v>NetsPride15</v>
      </c>
      <c r="B43" s="74" t="s">
        <v>94</v>
      </c>
      <c r="C43" s="74" t="s">
        <v>95</v>
      </c>
      <c r="D43" s="74" t="s">
        <v>96</v>
      </c>
      <c r="E43" s="74" t="s">
        <v>97</v>
      </c>
      <c r="F43" s="1"/>
      <c r="G43" s="77" t="str">
        <f>'W3 Stats'!B14</f>
        <v>Saintz The God</v>
      </c>
      <c r="H43" s="74" t="s">
        <v>94</v>
      </c>
      <c r="I43" s="74" t="s">
        <v>95</v>
      </c>
      <c r="J43" s="74" t="s">
        <v>96</v>
      </c>
      <c r="K43" s="74" t="s">
        <v>97</v>
      </c>
      <c r="M43" s="77" t="str">
        <f>'W3 Stats'!B15</f>
        <v>Silva</v>
      </c>
      <c r="N43" s="74" t="s">
        <v>94</v>
      </c>
      <c r="O43" s="74" t="s">
        <v>95</v>
      </c>
      <c r="P43" s="74" t="s">
        <v>96</v>
      </c>
      <c r="Q43" s="74" t="s">
        <v>97</v>
      </c>
      <c r="S43" s="77" t="str">
        <f>'W3 Stats'!B16</f>
        <v>AJ DaJuiceMayne</v>
      </c>
      <c r="T43" s="74" t="s">
        <v>94</v>
      </c>
      <c r="U43" s="74" t="s">
        <v>95</v>
      </c>
      <c r="V43" s="74" t="s">
        <v>96</v>
      </c>
      <c r="W43" s="74" t="s">
        <v>97</v>
      </c>
      <c r="Y43" s="77" t="str">
        <f>'W3 Stats'!B17</f>
        <v>El Diablo X230X</v>
      </c>
      <c r="Z43" s="74" t="s">
        <v>94</v>
      </c>
      <c r="AA43" s="74" t="s">
        <v>95</v>
      </c>
      <c r="AB43" s="74" t="s">
        <v>96</v>
      </c>
      <c r="AC43" s="74" t="s">
        <v>97</v>
      </c>
    </row>
    <row r="44">
      <c r="A44" s="77" t="s">
        <v>108</v>
      </c>
      <c r="B44" s="78">
        <f>'W3 Stats'!D13*B2</f>
        <v>0</v>
      </c>
      <c r="C44" s="78"/>
      <c r="D44" s="78"/>
      <c r="E44" s="78">
        <f>'W3 Stats'!D13*E2</f>
        <v>0</v>
      </c>
      <c r="G44" s="77" t="s">
        <v>108</v>
      </c>
      <c r="H44" s="78">
        <f>'W3 Stats'!D14*H2</f>
        <v>0</v>
      </c>
      <c r="I44" s="78"/>
      <c r="J44" s="78"/>
      <c r="K44" s="78">
        <f>'W3 Stats'!D14*K2</f>
        <v>0</v>
      </c>
      <c r="M44" s="77" t="s">
        <v>108</v>
      </c>
      <c r="N44" s="78">
        <f>'W3 Stats'!D15*N2</f>
        <v>0</v>
      </c>
      <c r="O44" s="78"/>
      <c r="P44" s="78"/>
      <c r="Q44" s="78">
        <f>'W3 Stats'!D15*Q2</f>
        <v>0</v>
      </c>
      <c r="S44" s="77" t="s">
        <v>108</v>
      </c>
      <c r="T44" s="78">
        <f>'W3 Stats'!D16*T2</f>
        <v>0</v>
      </c>
      <c r="U44" s="78"/>
      <c r="V44" s="78"/>
      <c r="W44" s="78">
        <f>'W3 Stats'!D16*W2</f>
        <v>0</v>
      </c>
      <c r="Y44" s="77" t="s">
        <v>108</v>
      </c>
      <c r="Z44" s="78">
        <f>'W3 Stats'!D17*Z2</f>
        <v>0</v>
      </c>
      <c r="AA44" s="78"/>
      <c r="AB44" s="78"/>
      <c r="AC44" s="78">
        <f>'W3 Stats'!D17*AC2</f>
        <v>0</v>
      </c>
    </row>
    <row r="45">
      <c r="A45" s="77" t="s">
        <v>112</v>
      </c>
      <c r="B45" s="99"/>
      <c r="C45" s="99"/>
      <c r="D45" s="78">
        <f>'W3 Stats'!H13*D3</f>
        <v>0</v>
      </c>
      <c r="E45" s="78"/>
      <c r="G45" s="77" t="s">
        <v>112</v>
      </c>
      <c r="H45" s="99"/>
      <c r="I45" s="99"/>
      <c r="J45" s="78">
        <f>'W3 Stats'!H14*J3</f>
        <v>0</v>
      </c>
      <c r="K45" s="78"/>
      <c r="M45" s="77" t="s">
        <v>112</v>
      </c>
      <c r="N45" s="99"/>
      <c r="O45" s="99"/>
      <c r="P45" s="78">
        <f>'W3 Stats'!H15*J3</f>
        <v>0</v>
      </c>
      <c r="Q45" s="78"/>
      <c r="S45" s="77" t="s">
        <v>112</v>
      </c>
      <c r="T45" s="99"/>
      <c r="U45" s="99"/>
      <c r="V45" s="78">
        <f>'W3 Stats'!H16*J3</f>
        <v>0</v>
      </c>
      <c r="W45" s="78"/>
      <c r="Y45" s="77" t="s">
        <v>112</v>
      </c>
      <c r="Z45" s="99"/>
      <c r="AA45" s="99"/>
      <c r="AB45" s="78">
        <f>'W3 Stats'!H17*P3</f>
        <v>0</v>
      </c>
      <c r="AC45" s="78"/>
    </row>
    <row r="46">
      <c r="A46" s="77" t="s">
        <v>113</v>
      </c>
      <c r="B46" s="78">
        <f>'W3 Stats'!I13*B4</f>
        <v>0</v>
      </c>
      <c r="C46" s="99"/>
      <c r="D46" s="99"/>
      <c r="E46" s="78"/>
      <c r="G46" s="77" t="s">
        <v>113</v>
      </c>
      <c r="H46" s="78">
        <f>'W3 Stats'!I14*H4</f>
        <v>0</v>
      </c>
      <c r="I46" s="99"/>
      <c r="J46" s="99"/>
      <c r="K46" s="78"/>
      <c r="M46" s="77" t="s">
        <v>113</v>
      </c>
      <c r="N46" s="78">
        <f>'W3 Stats'!I15*H4</f>
        <v>0</v>
      </c>
      <c r="O46" s="99"/>
      <c r="P46" s="99"/>
      <c r="Q46" s="78"/>
      <c r="S46" s="77" t="s">
        <v>113</v>
      </c>
      <c r="T46" s="78">
        <f>'W3 Stats'!I16*H4</f>
        <v>0</v>
      </c>
      <c r="U46" s="99"/>
      <c r="V46" s="99"/>
      <c r="W46" s="78"/>
      <c r="Y46" s="77" t="s">
        <v>113</v>
      </c>
      <c r="Z46" s="78">
        <f>'W3 Stats'!I17*N4</f>
        <v>0</v>
      </c>
      <c r="AA46" s="99"/>
      <c r="AB46" s="99"/>
      <c r="AC46" s="78"/>
    </row>
    <row r="47">
      <c r="A47" s="77" t="s">
        <v>114</v>
      </c>
      <c r="B47" s="99"/>
      <c r="C47" s="78">
        <f>'W3 Stats'!J13*C5</f>
        <v>0</v>
      </c>
      <c r="D47" s="99"/>
      <c r="E47" s="78">
        <f>'W3 Stats'!J13*E5</f>
        <v>0</v>
      </c>
      <c r="G47" s="77" t="s">
        <v>114</v>
      </c>
      <c r="H47" s="99"/>
      <c r="I47" s="78">
        <f>'W3 Stats'!J14*I5</f>
        <v>0</v>
      </c>
      <c r="J47" s="99"/>
      <c r="K47" s="78">
        <f>'W3 Stats'!J14*K5</f>
        <v>0</v>
      </c>
      <c r="M47" s="77" t="s">
        <v>114</v>
      </c>
      <c r="N47" s="99"/>
      <c r="O47" s="78">
        <f>'W3 Stats'!J15*O5</f>
        <v>0</v>
      </c>
      <c r="P47" s="99"/>
      <c r="Q47" s="78">
        <f>'W3 Stats'!J15*Q5</f>
        <v>0</v>
      </c>
      <c r="S47" s="77" t="s">
        <v>114</v>
      </c>
      <c r="T47" s="99"/>
      <c r="U47" s="78">
        <f>'W3 Stats'!J16*U5</f>
        <v>0</v>
      </c>
      <c r="V47" s="99"/>
      <c r="W47" s="78">
        <f>'W3 Stats'!J16*W5</f>
        <v>0</v>
      </c>
      <c r="Y47" s="77" t="s">
        <v>114</v>
      </c>
      <c r="Z47" s="99"/>
      <c r="AA47" s="78">
        <f>'W3 Stats'!J17*AA5</f>
        <v>0</v>
      </c>
      <c r="AB47" s="99"/>
      <c r="AC47" s="78">
        <f>'W3 Stats'!J17*AC5</f>
        <v>0</v>
      </c>
    </row>
    <row r="48">
      <c r="A48" s="77" t="s">
        <v>115</v>
      </c>
      <c r="B48" s="78"/>
      <c r="C48" s="78">
        <f>'W3 Stats'!K13*C6</f>
        <v>0</v>
      </c>
      <c r="D48" s="78"/>
      <c r="E48" s="78">
        <f>'W3 Stats'!K13*E6</f>
        <v>0</v>
      </c>
      <c r="G48" s="77" t="s">
        <v>115</v>
      </c>
      <c r="H48" s="78"/>
      <c r="I48" s="78">
        <f>'W3 Stats'!K14*I6</f>
        <v>0</v>
      </c>
      <c r="J48" s="78"/>
      <c r="K48" s="78">
        <f>'W3 Stats'!K14*K6</f>
        <v>0</v>
      </c>
      <c r="M48" s="77" t="s">
        <v>115</v>
      </c>
      <c r="N48" s="78"/>
      <c r="O48" s="78">
        <f>'W3 Stats'!K15*O6</f>
        <v>0</v>
      </c>
      <c r="P48" s="78"/>
      <c r="Q48" s="78">
        <f>'W3 Stats'!K15*Q6</f>
        <v>0</v>
      </c>
      <c r="S48" s="77" t="s">
        <v>115</v>
      </c>
      <c r="T48" s="78"/>
      <c r="U48" s="78">
        <f>'W3 Stats'!K16*U6</f>
        <v>0</v>
      </c>
      <c r="V48" s="78"/>
      <c r="W48" s="78">
        <f>'W3 Stats'!K16*W6</f>
        <v>0</v>
      </c>
      <c r="Y48" s="77" t="s">
        <v>115</v>
      </c>
      <c r="Z48" s="78"/>
      <c r="AA48" s="78">
        <f>'W3 Stats'!K17*AA6</f>
        <v>0</v>
      </c>
      <c r="AB48" s="78"/>
      <c r="AC48" s="78">
        <f>'W3 Stats'!K17*AC6</f>
        <v>0</v>
      </c>
    </row>
    <row r="49">
      <c r="A49" s="77" t="s">
        <v>116</v>
      </c>
      <c r="B49" s="78">
        <f>'W3 Stats'!L13*B7</f>
        <v>0</v>
      </c>
      <c r="C49" s="78"/>
      <c r="D49" s="78">
        <f>'W3 Stats'!L13*D7</f>
        <v>0</v>
      </c>
      <c r="E49" s="78"/>
      <c r="G49" s="77" t="s">
        <v>116</v>
      </c>
      <c r="H49" s="78">
        <f>'W3 Stats'!L14*H7</f>
        <v>0</v>
      </c>
      <c r="I49" s="78"/>
      <c r="J49" s="78">
        <f>'W3 Stats'!L14*J7</f>
        <v>0</v>
      </c>
      <c r="K49" s="78"/>
      <c r="M49" s="77" t="s">
        <v>116</v>
      </c>
      <c r="N49" s="78">
        <f>'W3 Stats'!L15*N7</f>
        <v>0</v>
      </c>
      <c r="O49" s="78"/>
      <c r="P49" s="78">
        <f>'W3 Stats'!L15*P7</f>
        <v>0</v>
      </c>
      <c r="Q49" s="78"/>
      <c r="S49" s="77" t="s">
        <v>116</v>
      </c>
      <c r="T49" s="78">
        <f>'W3 Stats'!L16*T7</f>
        <v>0</v>
      </c>
      <c r="U49" s="78"/>
      <c r="V49" s="78">
        <f>'W3 Stats'!L16*V7</f>
        <v>0</v>
      </c>
      <c r="W49" s="78"/>
      <c r="Y49" s="77" t="s">
        <v>116</v>
      </c>
      <c r="Z49" s="78">
        <f>'W3 Stats'!L17*Z7</f>
        <v>0</v>
      </c>
      <c r="AA49" s="78"/>
      <c r="AB49" s="78">
        <f>'W3 Stats'!L17*AB7</f>
        <v>0</v>
      </c>
      <c r="AC49" s="78"/>
    </row>
    <row r="50">
      <c r="A50" s="77" t="s">
        <v>117</v>
      </c>
      <c r="B50" s="99"/>
      <c r="C50" s="78">
        <f>'W3 Stats'!M13*C8</f>
        <v>0</v>
      </c>
      <c r="D50" s="99"/>
      <c r="E50" s="78"/>
      <c r="G50" s="77" t="s">
        <v>117</v>
      </c>
      <c r="H50" s="99"/>
      <c r="I50" s="78">
        <f>'W3 Stats'!M14*I8</f>
        <v>0</v>
      </c>
      <c r="J50" s="99"/>
      <c r="K50" s="78"/>
      <c r="M50" s="77" t="s">
        <v>117</v>
      </c>
      <c r="N50" s="99"/>
      <c r="O50" s="78">
        <f>'W3 Stats'!M15*O8</f>
        <v>0</v>
      </c>
      <c r="P50" s="99"/>
      <c r="Q50" s="78"/>
      <c r="S50" s="77" t="s">
        <v>117</v>
      </c>
      <c r="T50" s="99"/>
      <c r="U50" s="78">
        <f>'W3 Stats'!M16*U8</f>
        <v>0</v>
      </c>
      <c r="V50" s="99"/>
      <c r="W50" s="78"/>
      <c r="Y50" s="77" t="s">
        <v>117</v>
      </c>
      <c r="Z50" s="99"/>
      <c r="AA50" s="78">
        <f>'W3 Stats'!M17*AA8</f>
        <v>0</v>
      </c>
      <c r="AB50" s="99"/>
      <c r="AC50" s="78"/>
    </row>
    <row r="51">
      <c r="A51" s="77" t="s">
        <v>118</v>
      </c>
      <c r="B51" s="99"/>
      <c r="C51" s="99"/>
      <c r="D51" s="78">
        <f>'W3 Stats'!N13*D9</f>
        <v>0</v>
      </c>
      <c r="E51" s="78">
        <f>'W3 Stats'!N13*E9</f>
        <v>0</v>
      </c>
      <c r="G51" s="77" t="s">
        <v>118</v>
      </c>
      <c r="H51" s="99"/>
      <c r="I51" s="99"/>
      <c r="J51" s="78">
        <f>'W3 Stats'!N14*J9</f>
        <v>0</v>
      </c>
      <c r="K51" s="78">
        <f>'W3 Stats'!N14*K9</f>
        <v>0</v>
      </c>
      <c r="M51" s="77" t="s">
        <v>118</v>
      </c>
      <c r="N51" s="99"/>
      <c r="O51" s="99"/>
      <c r="P51" s="78">
        <f>'W3 Stats'!N15*P9</f>
        <v>0</v>
      </c>
      <c r="Q51" s="78">
        <f>'W3 Stats'!N15*Q9</f>
        <v>0</v>
      </c>
      <c r="S51" s="77" t="s">
        <v>118</v>
      </c>
      <c r="T51" s="99"/>
      <c r="U51" s="99"/>
      <c r="V51" s="78">
        <f>'W3 Stats'!N16*V9</f>
        <v>0</v>
      </c>
      <c r="W51" s="78">
        <f>'W3 Stats'!N16*W9</f>
        <v>0</v>
      </c>
      <c r="Y51" s="77" t="s">
        <v>118</v>
      </c>
      <c r="Z51" s="99"/>
      <c r="AA51" s="99"/>
      <c r="AB51" s="78">
        <f>'W3 Stats'!N17*AB9</f>
        <v>0</v>
      </c>
      <c r="AC51" s="78">
        <f>'W3 Stats'!N17*AC9</f>
        <v>0</v>
      </c>
    </row>
    <row r="52">
      <c r="A52" s="77" t="s">
        <v>119</v>
      </c>
      <c r="B52" s="78"/>
      <c r="C52" s="78">
        <f>'W3 Stats'!O13*C10</f>
        <v>0</v>
      </c>
      <c r="D52" s="99"/>
      <c r="E52" s="78">
        <f>'W3 Stats'!O13*E10</f>
        <v>0</v>
      </c>
      <c r="G52" s="77" t="s">
        <v>119</v>
      </c>
      <c r="H52" s="78"/>
      <c r="I52" s="78">
        <f>'W3 Stats'!O14*I10</f>
        <v>0</v>
      </c>
      <c r="J52" s="99"/>
      <c r="K52" s="78">
        <f>'W3 Stats'!O14*K10</f>
        <v>0</v>
      </c>
      <c r="M52" s="77" t="s">
        <v>119</v>
      </c>
      <c r="N52" s="78"/>
      <c r="O52" s="78">
        <f>'W3 Stats'!O15*O10</f>
        <v>0</v>
      </c>
      <c r="P52" s="99"/>
      <c r="Q52" s="78">
        <f>'W3 Stats'!O15*Q10</f>
        <v>0</v>
      </c>
      <c r="S52" s="77" t="s">
        <v>119</v>
      </c>
      <c r="T52" s="78"/>
      <c r="U52" s="78">
        <f>'W3 Stats'!O16*U10</f>
        <v>0</v>
      </c>
      <c r="V52" s="99"/>
      <c r="W52" s="78">
        <f>'W3 Stats'!O16*W10</f>
        <v>0</v>
      </c>
      <c r="Y52" s="77" t="s">
        <v>119</v>
      </c>
      <c r="Z52" s="78"/>
      <c r="AA52" s="78">
        <f>'W3 Stats'!O17*AA10</f>
        <v>0</v>
      </c>
      <c r="AB52" s="99"/>
      <c r="AC52" s="78">
        <f>'W3 Stats'!O17*AC10</f>
        <v>0</v>
      </c>
    </row>
    <row r="53">
      <c r="A53" s="77" t="s">
        <v>120</v>
      </c>
      <c r="B53" s="99"/>
      <c r="C53" s="99"/>
      <c r="D53" s="78">
        <f>'W3 Stats'!P13*D11</f>
        <v>0</v>
      </c>
      <c r="E53" s="78">
        <f>'W3 Stats'!P13*E11</f>
        <v>0</v>
      </c>
      <c r="G53" s="77" t="s">
        <v>120</v>
      </c>
      <c r="H53" s="99"/>
      <c r="I53" s="99"/>
      <c r="J53" s="78">
        <f>'W3 Stats'!P14*J11</f>
        <v>0</v>
      </c>
      <c r="K53" s="78">
        <f>'W3 Stats'!P14*K11</f>
        <v>0</v>
      </c>
      <c r="M53" s="77" t="s">
        <v>120</v>
      </c>
      <c r="N53" s="99"/>
      <c r="O53" s="99"/>
      <c r="P53" s="78">
        <f>'W3 Stats'!P15*P11</f>
        <v>0</v>
      </c>
      <c r="Q53" s="78">
        <f>'W3 Stats'!P15*Q11</f>
        <v>0</v>
      </c>
      <c r="S53" s="77" t="s">
        <v>120</v>
      </c>
      <c r="T53" s="99"/>
      <c r="U53" s="99"/>
      <c r="V53" s="78">
        <f>'W3 Stats'!P16*V11</f>
        <v>0</v>
      </c>
      <c r="W53" s="78">
        <f>'W3 Stats'!P16*W11</f>
        <v>0</v>
      </c>
      <c r="Y53" s="77" t="s">
        <v>120</v>
      </c>
      <c r="Z53" s="99"/>
      <c r="AA53" s="99"/>
      <c r="AB53" s="78">
        <f>'W3 Stats'!P17*AB11</f>
        <v>0</v>
      </c>
      <c r="AC53" s="78">
        <f>'W3 Stats'!P17*AC11</f>
        <v>0</v>
      </c>
    </row>
    <row r="54">
      <c r="A54" s="77" t="s">
        <v>121</v>
      </c>
      <c r="B54" s="78">
        <f>'W3 Stats'!Q13*B12</f>
        <v>0</v>
      </c>
      <c r="C54" s="78">
        <f>'W3 Stats'!Q13*C12</f>
        <v>0</v>
      </c>
      <c r="D54" s="78">
        <f>'W3 Stats'!Q13*D12</f>
        <v>0</v>
      </c>
      <c r="E54" s="78">
        <f>'W3 Stats'!Q13*E12</f>
        <v>0</v>
      </c>
      <c r="G54" s="77" t="s">
        <v>121</v>
      </c>
      <c r="H54" s="78">
        <f>'W3 Stats'!Q14*H12</f>
        <v>0</v>
      </c>
      <c r="I54" s="78">
        <f>'W3 Stats'!Q14*I12</f>
        <v>0</v>
      </c>
      <c r="J54" s="78">
        <f>'W3 Stats'!Q14*J12</f>
        <v>0</v>
      </c>
      <c r="K54" s="78">
        <f>'W3 Stats'!Q14*K12</f>
        <v>0</v>
      </c>
      <c r="M54" s="77" t="s">
        <v>121</v>
      </c>
      <c r="N54" s="78">
        <f>'W3 Stats'!Q15*N12</f>
        <v>0</v>
      </c>
      <c r="O54" s="78">
        <f>'W3 Stats'!Q15*O12</f>
        <v>0</v>
      </c>
      <c r="P54" s="78">
        <f>'W3 Stats'!Q15*P12</f>
        <v>0</v>
      </c>
      <c r="Q54" s="78">
        <f>'W3 Stats'!Q15*Q12</f>
        <v>0</v>
      </c>
      <c r="S54" s="77" t="s">
        <v>121</v>
      </c>
      <c r="T54" s="78">
        <f>'W3 Stats'!Q16*T12</f>
        <v>0</v>
      </c>
      <c r="U54" s="78">
        <f>'W3 Stats'!Q16*U12</f>
        <v>0</v>
      </c>
      <c r="V54" s="78">
        <f>'W3 Stats'!Q16*V12</f>
        <v>0</v>
      </c>
      <c r="W54" s="78">
        <f>'W3 Stats'!Q16*W12</f>
        <v>0</v>
      </c>
      <c r="Y54" s="77" t="s">
        <v>121</v>
      </c>
      <c r="Z54" s="78">
        <f>'W3 Stats'!Q17*Z12</f>
        <v>0</v>
      </c>
      <c r="AA54" s="78">
        <f>'W3 Stats'!Q17*AA12</f>
        <v>0</v>
      </c>
      <c r="AB54" s="78">
        <f>'W3 Stats'!Q17*AB12</f>
        <v>0</v>
      </c>
      <c r="AC54" s="78">
        <f>'W3 Stats'!Q17*AC12</f>
        <v>0</v>
      </c>
    </row>
    <row r="55">
      <c r="A55" s="77" t="s">
        <v>122</v>
      </c>
      <c r="B55" s="78">
        <f t="shared" ref="B55:E55" si="60">SUM(B44:B54)</f>
        <v>0</v>
      </c>
      <c r="C55" s="78">
        <f t="shared" si="60"/>
        <v>0</v>
      </c>
      <c r="D55" s="78">
        <f t="shared" si="60"/>
        <v>0</v>
      </c>
      <c r="E55" s="78">
        <f t="shared" si="60"/>
        <v>0</v>
      </c>
      <c r="G55" s="77" t="s">
        <v>122</v>
      </c>
      <c r="H55" s="78">
        <f t="shared" ref="H55:K55" si="61">SUM(H44:H54)</f>
        <v>0</v>
      </c>
      <c r="I55" s="78">
        <f t="shared" si="61"/>
        <v>0</v>
      </c>
      <c r="J55" s="78">
        <f t="shared" si="61"/>
        <v>0</v>
      </c>
      <c r="K55" s="78">
        <f t="shared" si="61"/>
        <v>0</v>
      </c>
      <c r="M55" s="77" t="s">
        <v>122</v>
      </c>
      <c r="N55" s="78">
        <f t="shared" ref="N55:Q55" si="62">SUM(N44:N54)</f>
        <v>0</v>
      </c>
      <c r="O55" s="78">
        <f t="shared" si="62"/>
        <v>0</v>
      </c>
      <c r="P55" s="78">
        <f t="shared" si="62"/>
        <v>0</v>
      </c>
      <c r="Q55" s="78">
        <f t="shared" si="62"/>
        <v>0</v>
      </c>
      <c r="S55" s="77" t="s">
        <v>122</v>
      </c>
      <c r="T55" s="78">
        <f t="shared" ref="T55:W55" si="63">SUM(T44:T54)</f>
        <v>0</v>
      </c>
      <c r="U55" s="78">
        <f t="shared" si="63"/>
        <v>0</v>
      </c>
      <c r="V55" s="78">
        <f t="shared" si="63"/>
        <v>0</v>
      </c>
      <c r="W55" s="78">
        <f t="shared" si="63"/>
        <v>0</v>
      </c>
      <c r="Y55" s="77" t="s">
        <v>122</v>
      </c>
      <c r="Z55" s="78">
        <f t="shared" ref="Z55:AC55" si="64">SUM(Z44:Z54)</f>
        <v>0</v>
      </c>
      <c r="AA55" s="78">
        <f t="shared" si="64"/>
        <v>0</v>
      </c>
      <c r="AB55" s="78">
        <f t="shared" si="64"/>
        <v>0</v>
      </c>
      <c r="AC55" s="78">
        <f t="shared" si="64"/>
        <v>0</v>
      </c>
    </row>
    <row r="57">
      <c r="A57" s="77" t="str">
        <f>'W3 Stats'!B18</f>
        <v>Ming Crusader</v>
      </c>
      <c r="B57" s="74" t="s">
        <v>94</v>
      </c>
      <c r="C57" s="74" t="s">
        <v>95</v>
      </c>
      <c r="D57" s="74" t="s">
        <v>96</v>
      </c>
      <c r="E57" s="74" t="s">
        <v>97</v>
      </c>
      <c r="G57" s="77" t="str">
        <f>'W3 Stats'!B19</f>
        <v>Sabasauros Rex</v>
      </c>
      <c r="H57" s="74" t="s">
        <v>94</v>
      </c>
      <c r="I57" s="74" t="s">
        <v>95</v>
      </c>
      <c r="J57" s="74" t="s">
        <v>96</v>
      </c>
      <c r="K57" s="74" t="s">
        <v>97</v>
      </c>
      <c r="M57" s="77" t="str">
        <f>'W3 Stats'!B20</f>
        <v>Jeakilla85</v>
      </c>
      <c r="N57" s="74" t="s">
        <v>94</v>
      </c>
      <c r="O57" s="74" t="s">
        <v>95</v>
      </c>
      <c r="P57" s="74" t="s">
        <v>96</v>
      </c>
      <c r="Q57" s="74" t="s">
        <v>97</v>
      </c>
      <c r="S57" s="77" t="str">
        <f>'W3 Stats'!B21</f>
        <v>KDSkill</v>
      </c>
      <c r="T57" s="74" t="s">
        <v>94</v>
      </c>
      <c r="U57" s="74" t="s">
        <v>95</v>
      </c>
      <c r="V57" s="74" t="s">
        <v>96</v>
      </c>
      <c r="W57" s="74" t="s">
        <v>97</v>
      </c>
      <c r="Y57" s="77" t="str">
        <f>'W3 Stats'!B22</f>
        <v>Myst The Cold</v>
      </c>
      <c r="Z57" s="74" t="s">
        <v>94</v>
      </c>
      <c r="AA57" s="74" t="s">
        <v>95</v>
      </c>
      <c r="AB57" s="74" t="s">
        <v>96</v>
      </c>
      <c r="AC57" s="74" t="s">
        <v>97</v>
      </c>
    </row>
    <row r="58">
      <c r="A58" s="77" t="s">
        <v>108</v>
      </c>
      <c r="B58" s="78">
        <f>'W3 Stats'!D18*B2</f>
        <v>0</v>
      </c>
      <c r="C58" s="78"/>
      <c r="D58" s="78"/>
      <c r="E58" s="78">
        <f>'W3 Stats'!D18*E2</f>
        <v>0</v>
      </c>
      <c r="G58" s="77" t="s">
        <v>108</v>
      </c>
      <c r="H58" s="78">
        <f>'W3 Stats'!D19*H2</f>
        <v>0</v>
      </c>
      <c r="I58" s="78"/>
      <c r="J58" s="78"/>
      <c r="K58" s="78">
        <f>'W3 Stats'!D19*K2</f>
        <v>0</v>
      </c>
      <c r="M58" s="77" t="s">
        <v>108</v>
      </c>
      <c r="N58" s="78">
        <f>'W3 Stats'!D20*N2</f>
        <v>0</v>
      </c>
      <c r="O58" s="78"/>
      <c r="P58" s="78"/>
      <c r="Q58" s="78">
        <f>'W3 Stats'!D20*Q2</f>
        <v>0</v>
      </c>
      <c r="S58" s="77" t="s">
        <v>108</v>
      </c>
      <c r="T58" s="78">
        <f>'W3 Stats'!D21*T2</f>
        <v>0</v>
      </c>
      <c r="U58" s="78"/>
      <c r="V58" s="78"/>
      <c r="W58" s="78">
        <f>'W3 Stats'!D21*W2</f>
        <v>0</v>
      </c>
      <c r="Y58" s="77" t="s">
        <v>108</v>
      </c>
      <c r="Z58" s="78">
        <f>'W3 Stats'!D22*Z2</f>
        <v>0</v>
      </c>
      <c r="AA58" s="78"/>
      <c r="AB58" s="78"/>
      <c r="AC58" s="78">
        <f>'W3 Stats'!D22*AC2</f>
        <v>0</v>
      </c>
    </row>
    <row r="59">
      <c r="A59" s="77" t="s">
        <v>112</v>
      </c>
      <c r="B59" s="78"/>
      <c r="C59" s="78"/>
      <c r="D59" s="78">
        <f>'W3 Stats'!H18*D3</f>
        <v>0</v>
      </c>
      <c r="E59" s="78"/>
      <c r="G59" s="77" t="s">
        <v>112</v>
      </c>
      <c r="H59" s="78"/>
      <c r="I59" s="78"/>
      <c r="J59" s="78">
        <f>'W3 Stats'!H19*J3</f>
        <v>0</v>
      </c>
      <c r="K59" s="78"/>
      <c r="M59" s="77" t="s">
        <v>112</v>
      </c>
      <c r="N59" s="78"/>
      <c r="O59" s="78"/>
      <c r="P59" s="78">
        <f>'W3 Stats'!H20*P3</f>
        <v>0</v>
      </c>
      <c r="Q59" s="78"/>
      <c r="S59" s="77" t="s">
        <v>112</v>
      </c>
      <c r="T59" s="78"/>
      <c r="U59" s="78"/>
      <c r="V59" s="78">
        <f>'W3 Stats'!H21*V3</f>
        <v>0</v>
      </c>
      <c r="W59" s="78"/>
      <c r="Y59" s="77" t="s">
        <v>112</v>
      </c>
      <c r="Z59" s="78"/>
      <c r="AA59" s="78"/>
      <c r="AB59" s="78">
        <f>'W3 Stats'!H22*AB3</f>
        <v>0</v>
      </c>
      <c r="AC59" s="78"/>
    </row>
    <row r="60">
      <c r="A60" s="77" t="s">
        <v>113</v>
      </c>
      <c r="B60" s="78">
        <f>'W3 Stats'!I18*B4</f>
        <v>0</v>
      </c>
      <c r="C60" s="78"/>
      <c r="D60" s="78"/>
      <c r="E60" s="78"/>
      <c r="G60" s="77" t="s">
        <v>113</v>
      </c>
      <c r="H60" s="78">
        <f>'W3 Stats'!I19*H4</f>
        <v>0</v>
      </c>
      <c r="I60" s="78"/>
      <c r="J60" s="78"/>
      <c r="K60" s="78"/>
      <c r="M60" s="77" t="s">
        <v>113</v>
      </c>
      <c r="N60" s="78">
        <f>'W3 Stats'!I20*N4</f>
        <v>0</v>
      </c>
      <c r="O60" s="78"/>
      <c r="P60" s="78"/>
      <c r="Q60" s="78"/>
      <c r="S60" s="77" t="s">
        <v>113</v>
      </c>
      <c r="T60" s="78">
        <f>'W3 Stats'!I21*T4</f>
        <v>0</v>
      </c>
      <c r="U60" s="78"/>
      <c r="V60" s="78"/>
      <c r="W60" s="78"/>
      <c r="Y60" s="77" t="s">
        <v>113</v>
      </c>
      <c r="Z60" s="78">
        <f>'W3 Stats'!I22*Z4</f>
        <v>0</v>
      </c>
      <c r="AA60" s="78"/>
      <c r="AB60" s="78"/>
      <c r="AC60" s="78"/>
    </row>
    <row r="61">
      <c r="A61" s="77" t="s">
        <v>114</v>
      </c>
      <c r="B61" s="78"/>
      <c r="C61" s="78">
        <f>'W3 Stats'!J18*C5</f>
        <v>0</v>
      </c>
      <c r="D61" s="78"/>
      <c r="E61" s="78">
        <f>'W3 Stats'!J18*E5</f>
        <v>0</v>
      </c>
      <c r="G61" s="77" t="s">
        <v>114</v>
      </c>
      <c r="H61" s="78"/>
      <c r="I61" s="78">
        <f>'W3 Stats'!J19*I5</f>
        <v>0</v>
      </c>
      <c r="J61" s="78"/>
      <c r="K61" s="78">
        <f>'W3 Stats'!J19*K5</f>
        <v>0</v>
      </c>
      <c r="M61" s="77" t="s">
        <v>114</v>
      </c>
      <c r="N61" s="78"/>
      <c r="O61" s="78">
        <f>'W3 Stats'!J20*O5</f>
        <v>0</v>
      </c>
      <c r="P61" s="78"/>
      <c r="Q61" s="78">
        <f>'W3 Stats'!J20*Q5</f>
        <v>0</v>
      </c>
      <c r="S61" s="77" t="s">
        <v>114</v>
      </c>
      <c r="T61" s="78"/>
      <c r="U61" s="78">
        <f>'W3 Stats'!J21*U5</f>
        <v>0</v>
      </c>
      <c r="V61" s="78"/>
      <c r="W61" s="78">
        <f>'W3 Stats'!J21*W5</f>
        <v>0</v>
      </c>
      <c r="Y61" s="77" t="s">
        <v>114</v>
      </c>
      <c r="Z61" s="78"/>
      <c r="AA61" s="78">
        <f>'W3 Stats'!J22*AA5</f>
        <v>0</v>
      </c>
      <c r="AB61" s="78"/>
      <c r="AC61" s="78">
        <f>'W3 Stats'!J22*AC5</f>
        <v>0</v>
      </c>
    </row>
    <row r="62">
      <c r="A62" s="77" t="s">
        <v>115</v>
      </c>
      <c r="B62" s="78"/>
      <c r="C62" s="78">
        <f>'W3 Stats'!K18*C6</f>
        <v>0</v>
      </c>
      <c r="D62" s="78"/>
      <c r="E62" s="78">
        <f>'W3 Stats'!K18*E6</f>
        <v>0</v>
      </c>
      <c r="G62" s="77" t="s">
        <v>115</v>
      </c>
      <c r="H62" s="78"/>
      <c r="I62" s="78">
        <f>'W3 Stats'!K19*I6</f>
        <v>0</v>
      </c>
      <c r="J62" s="78"/>
      <c r="K62" s="78">
        <f>'W3 Stats'!K19*K6</f>
        <v>0</v>
      </c>
      <c r="M62" s="77" t="s">
        <v>115</v>
      </c>
      <c r="N62" s="78"/>
      <c r="O62" s="78">
        <f>'W3 Stats'!K20*O6</f>
        <v>0</v>
      </c>
      <c r="P62" s="78"/>
      <c r="Q62" s="78">
        <f>'W3 Stats'!K20*Q6</f>
        <v>0</v>
      </c>
      <c r="S62" s="77" t="s">
        <v>115</v>
      </c>
      <c r="T62" s="78"/>
      <c r="U62" s="78">
        <f>'W3 Stats'!K21*U6</f>
        <v>0</v>
      </c>
      <c r="V62" s="78"/>
      <c r="W62" s="78">
        <f>'W3 Stats'!K21*W6</f>
        <v>0</v>
      </c>
      <c r="Y62" s="77" t="s">
        <v>115</v>
      </c>
      <c r="Z62" s="78"/>
      <c r="AA62" s="78">
        <f>'W3 Stats'!K22*AA6</f>
        <v>0</v>
      </c>
      <c r="AB62" s="78"/>
      <c r="AC62" s="78">
        <f>'W3 Stats'!K22*AC6</f>
        <v>0</v>
      </c>
    </row>
    <row r="63">
      <c r="A63" s="77" t="s">
        <v>116</v>
      </c>
      <c r="B63" s="78">
        <f>'W3 Stats'!L18*B7</f>
        <v>0</v>
      </c>
      <c r="C63" s="78"/>
      <c r="D63" s="78">
        <f>'W3 Stats'!L18*D7</f>
        <v>0</v>
      </c>
      <c r="E63" s="78"/>
      <c r="G63" s="77" t="s">
        <v>116</v>
      </c>
      <c r="H63" s="78">
        <f>'W3 Stats'!L19*H7</f>
        <v>0</v>
      </c>
      <c r="I63" s="78"/>
      <c r="J63" s="78">
        <f>'W3 Stats'!L19*J7</f>
        <v>0</v>
      </c>
      <c r="K63" s="78"/>
      <c r="M63" s="77" t="s">
        <v>116</v>
      </c>
      <c r="N63" s="78">
        <f>'W3 Stats'!L20*N7</f>
        <v>0</v>
      </c>
      <c r="O63" s="78"/>
      <c r="P63" s="78">
        <f>'W3 Stats'!L20*P7</f>
        <v>0</v>
      </c>
      <c r="Q63" s="78"/>
      <c r="S63" s="77" t="s">
        <v>116</v>
      </c>
      <c r="T63" s="78">
        <f>'W3 Stats'!L21*T7</f>
        <v>0</v>
      </c>
      <c r="U63" s="78"/>
      <c r="V63" s="78">
        <f>'W3 Stats'!L21*V7</f>
        <v>0</v>
      </c>
      <c r="W63" s="78"/>
      <c r="Y63" s="77" t="s">
        <v>116</v>
      </c>
      <c r="Z63" s="78">
        <f>'W3 Stats'!L22*Z7</f>
        <v>0</v>
      </c>
      <c r="AA63" s="78"/>
      <c r="AB63" s="78">
        <f>'W3 Stats'!L22*AB7</f>
        <v>0</v>
      </c>
      <c r="AC63" s="78"/>
    </row>
    <row r="64">
      <c r="A64" s="77" t="s">
        <v>117</v>
      </c>
      <c r="B64" s="78"/>
      <c r="C64" s="78">
        <f>'W3 Stats'!M18*C8</f>
        <v>0</v>
      </c>
      <c r="D64" s="78"/>
      <c r="E64" s="78"/>
      <c r="G64" s="77" t="s">
        <v>117</v>
      </c>
      <c r="H64" s="78"/>
      <c r="I64" s="78">
        <f>'W3 Stats'!M19*C8</f>
        <v>0</v>
      </c>
      <c r="J64" s="78"/>
      <c r="K64" s="78"/>
      <c r="M64" s="77" t="s">
        <v>117</v>
      </c>
      <c r="N64" s="78"/>
      <c r="O64" s="78">
        <f>'W3 Stats'!M20*O8</f>
        <v>0</v>
      </c>
      <c r="P64" s="78"/>
      <c r="Q64" s="78"/>
      <c r="S64" s="77" t="s">
        <v>117</v>
      </c>
      <c r="T64" s="78"/>
      <c r="U64" s="78">
        <f>'W3 Stats'!M21*U8</f>
        <v>0</v>
      </c>
      <c r="V64" s="78"/>
      <c r="W64" s="78"/>
      <c r="Y64" s="77" t="s">
        <v>117</v>
      </c>
      <c r="Z64" s="78"/>
      <c r="AA64" s="78">
        <f>'W3 Stats'!M22*AA8</f>
        <v>0</v>
      </c>
      <c r="AB64" s="78"/>
      <c r="AC64" s="78"/>
    </row>
    <row r="65">
      <c r="A65" s="77" t="s">
        <v>118</v>
      </c>
      <c r="B65" s="78"/>
      <c r="C65" s="78"/>
      <c r="D65" s="78">
        <f>'W3 Stats'!N18*D9</f>
        <v>0</v>
      </c>
      <c r="E65" s="78">
        <f>'W3 Stats'!N18*E9</f>
        <v>0</v>
      </c>
      <c r="G65" s="77" t="s">
        <v>118</v>
      </c>
      <c r="H65" s="78"/>
      <c r="I65" s="78"/>
      <c r="J65" s="78">
        <f>'W3 Stats'!N19*J9</f>
        <v>0</v>
      </c>
      <c r="K65" s="78">
        <f>'W3 Stats'!N19*K9</f>
        <v>0</v>
      </c>
      <c r="M65" s="77" t="s">
        <v>118</v>
      </c>
      <c r="N65" s="78"/>
      <c r="O65" s="78"/>
      <c r="P65" s="78">
        <f>'W3 Stats'!N20*P9</f>
        <v>0</v>
      </c>
      <c r="Q65" s="78">
        <f>'W3 Stats'!N20*Q9</f>
        <v>0</v>
      </c>
      <c r="S65" s="77" t="s">
        <v>118</v>
      </c>
      <c r="T65" s="78"/>
      <c r="U65" s="78"/>
      <c r="V65" s="78">
        <f>'W3 Stats'!N21*V9</f>
        <v>0</v>
      </c>
      <c r="W65" s="78">
        <f>'W3 Stats'!N21*W9</f>
        <v>0</v>
      </c>
      <c r="Y65" s="77" t="s">
        <v>118</v>
      </c>
      <c r="Z65" s="78"/>
      <c r="AA65" s="78"/>
      <c r="AB65" s="78">
        <f>'W3 Stats'!N22*AB9</f>
        <v>0</v>
      </c>
      <c r="AC65" s="78">
        <f>'W3 Stats'!N22*AC9</f>
        <v>0</v>
      </c>
    </row>
    <row r="66">
      <c r="A66" s="77" t="s">
        <v>119</v>
      </c>
      <c r="B66" s="78"/>
      <c r="C66" s="78">
        <f>'W3 Stats'!O18*C10</f>
        <v>0</v>
      </c>
      <c r="D66" s="78"/>
      <c r="E66" s="78">
        <f>'W3 Stats'!O18*E10</f>
        <v>0</v>
      </c>
      <c r="G66" s="77" t="s">
        <v>119</v>
      </c>
      <c r="H66" s="78"/>
      <c r="I66" s="78">
        <f>'W3 Stats'!O19*I10</f>
        <v>0</v>
      </c>
      <c r="J66" s="78"/>
      <c r="K66" s="78">
        <f>'W3 Stats'!O19*K10</f>
        <v>0</v>
      </c>
      <c r="M66" s="77" t="s">
        <v>119</v>
      </c>
      <c r="N66" s="78"/>
      <c r="O66" s="78">
        <f>'W3 Stats'!O20*O10</f>
        <v>0</v>
      </c>
      <c r="P66" s="78"/>
      <c r="Q66" s="78">
        <f>'W3 Stats'!O20*Q10</f>
        <v>0</v>
      </c>
      <c r="S66" s="77" t="s">
        <v>119</v>
      </c>
      <c r="T66" s="78"/>
      <c r="U66" s="78">
        <f>'W3 Stats'!O21*U10</f>
        <v>0</v>
      </c>
      <c r="V66" s="78"/>
      <c r="W66" s="78">
        <f>'W3 Stats'!O21*W10</f>
        <v>0</v>
      </c>
      <c r="Y66" s="77" t="s">
        <v>119</v>
      </c>
      <c r="Z66" s="78"/>
      <c r="AA66" s="78">
        <f>'W3 Stats'!O22*AA10</f>
        <v>0</v>
      </c>
      <c r="AB66" s="78"/>
      <c r="AC66" s="78">
        <f>'W3 Stats'!O22*AC10</f>
        <v>0</v>
      </c>
    </row>
    <row r="67">
      <c r="A67" s="77" t="s">
        <v>120</v>
      </c>
      <c r="B67" s="78"/>
      <c r="C67" s="78"/>
      <c r="D67" s="78">
        <f>'W3 Stats'!P18*D11</f>
        <v>0</v>
      </c>
      <c r="E67" s="78">
        <f>'W3 Stats'!P18*E11</f>
        <v>0</v>
      </c>
      <c r="G67" s="77" t="s">
        <v>120</v>
      </c>
      <c r="H67" s="78"/>
      <c r="I67" s="78"/>
      <c r="J67" s="78">
        <f>'W3 Stats'!P19*J11</f>
        <v>0</v>
      </c>
      <c r="K67" s="78">
        <f>'W3 Stats'!P19*K11</f>
        <v>0</v>
      </c>
      <c r="M67" s="77" t="s">
        <v>120</v>
      </c>
      <c r="N67" s="78"/>
      <c r="O67" s="78"/>
      <c r="P67" s="78">
        <f>'W3 Stats'!P20*P11</f>
        <v>0</v>
      </c>
      <c r="Q67" s="78">
        <f>'W3 Stats'!P20*Q11</f>
        <v>0</v>
      </c>
      <c r="S67" s="77" t="s">
        <v>120</v>
      </c>
      <c r="T67" s="78"/>
      <c r="U67" s="78"/>
      <c r="V67" s="78">
        <f>'W3 Stats'!P21*V11</f>
        <v>0</v>
      </c>
      <c r="W67" s="78">
        <f>'W3 Stats'!P21*W11</f>
        <v>0</v>
      </c>
      <c r="Y67" s="77" t="s">
        <v>120</v>
      </c>
      <c r="Z67" s="78"/>
      <c r="AA67" s="78"/>
      <c r="AB67" s="78">
        <f>'W3 Stats'!P22*AB11</f>
        <v>0</v>
      </c>
      <c r="AC67" s="78">
        <f>'W3 Stats'!P22*AC11</f>
        <v>0</v>
      </c>
    </row>
    <row r="68">
      <c r="A68" s="77" t="s">
        <v>121</v>
      </c>
      <c r="B68" s="78">
        <f>'W3 Stats'!Q18*B12</f>
        <v>0</v>
      </c>
      <c r="C68" s="78">
        <f>'W3 Stats'!Q18*C12</f>
        <v>0</v>
      </c>
      <c r="D68" s="78">
        <f>'W3 Stats'!Q18*D12</f>
        <v>0</v>
      </c>
      <c r="E68" s="78">
        <f>'W3 Stats'!Q18*E12</f>
        <v>0</v>
      </c>
      <c r="G68" s="77" t="s">
        <v>121</v>
      </c>
      <c r="H68" s="78">
        <f>'W3 Stats'!Q19*H12</f>
        <v>0</v>
      </c>
      <c r="I68" s="78">
        <f>'W3 Stats'!Q19*I12</f>
        <v>0</v>
      </c>
      <c r="J68" s="78">
        <f>'W3 Stats'!Q19*J12</f>
        <v>0</v>
      </c>
      <c r="K68" s="78">
        <f>'W3 Stats'!Q19*K12</f>
        <v>0</v>
      </c>
      <c r="M68" s="77" t="s">
        <v>121</v>
      </c>
      <c r="N68" s="78">
        <f>'W3 Stats'!Q20*N12</f>
        <v>0</v>
      </c>
      <c r="O68" s="78">
        <f>'W3 Stats'!Q20*O12</f>
        <v>0</v>
      </c>
      <c r="P68" s="78">
        <f>'W3 Stats'!Q20*P12</f>
        <v>0</v>
      </c>
      <c r="Q68" s="78">
        <f>'W3 Stats'!Q20*Q12</f>
        <v>0</v>
      </c>
      <c r="S68" s="77" t="s">
        <v>121</v>
      </c>
      <c r="T68" s="78">
        <f>'W3 Stats'!Q21*T12</f>
        <v>0</v>
      </c>
      <c r="U68" s="78">
        <f>'W3 Stats'!Q21*U12</f>
        <v>0</v>
      </c>
      <c r="V68" s="78">
        <f>'W3 Stats'!Q21*V12</f>
        <v>0</v>
      </c>
      <c r="W68" s="78">
        <f>'W3 Stats'!Q21*W12</f>
        <v>0</v>
      </c>
      <c r="Y68" s="77" t="s">
        <v>121</v>
      </c>
      <c r="Z68" s="78">
        <f>'W3 Stats'!Q22*Z12</f>
        <v>0</v>
      </c>
      <c r="AA68" s="78">
        <f>'W3 Stats'!Q22*AA12</f>
        <v>0</v>
      </c>
      <c r="AB68" s="78">
        <f>'W3 Stats'!Q22*AB12</f>
        <v>0</v>
      </c>
      <c r="AC68" s="78">
        <f>'W3 Stats'!Q22*AC12</f>
        <v>0</v>
      </c>
    </row>
    <row r="69">
      <c r="A69" s="77" t="s">
        <v>122</v>
      </c>
      <c r="B69" s="78">
        <f t="shared" ref="B69:E69" si="65">SUM(B58:B68)</f>
        <v>0</v>
      </c>
      <c r="C69" s="78">
        <f t="shared" si="65"/>
        <v>0</v>
      </c>
      <c r="D69" s="78">
        <f t="shared" si="65"/>
        <v>0</v>
      </c>
      <c r="E69" s="78">
        <f t="shared" si="65"/>
        <v>0</v>
      </c>
      <c r="G69" s="77" t="s">
        <v>122</v>
      </c>
      <c r="H69" s="78">
        <f t="shared" ref="H69:K69" si="66">SUM(H58:H68)</f>
        <v>0</v>
      </c>
      <c r="I69" s="78">
        <f t="shared" si="66"/>
        <v>0</v>
      </c>
      <c r="J69" s="78">
        <f t="shared" si="66"/>
        <v>0</v>
      </c>
      <c r="K69" s="78">
        <f t="shared" si="66"/>
        <v>0</v>
      </c>
      <c r="M69" s="77" t="s">
        <v>122</v>
      </c>
      <c r="N69" s="78">
        <f t="shared" ref="N69:Q69" si="67">SUM(N58:N68)</f>
        <v>0</v>
      </c>
      <c r="O69" s="78">
        <f t="shared" si="67"/>
        <v>0</v>
      </c>
      <c r="P69" s="78">
        <f t="shared" si="67"/>
        <v>0</v>
      </c>
      <c r="Q69" s="78">
        <f t="shared" si="67"/>
        <v>0</v>
      </c>
      <c r="S69" s="77" t="s">
        <v>122</v>
      </c>
      <c r="T69" s="78">
        <f t="shared" ref="T69:W69" si="68">SUM(T58:T68)</f>
        <v>0</v>
      </c>
      <c r="U69" s="78">
        <f t="shared" si="68"/>
        <v>0</v>
      </c>
      <c r="V69" s="78">
        <f t="shared" si="68"/>
        <v>0</v>
      </c>
      <c r="W69" s="78">
        <f t="shared" si="68"/>
        <v>0</v>
      </c>
      <c r="Y69" s="77" t="s">
        <v>122</v>
      </c>
      <c r="Z69" s="78">
        <f t="shared" ref="Z69:AC69" si="69">SUM(Z58:Z68)</f>
        <v>0</v>
      </c>
      <c r="AA69" s="78">
        <f t="shared" si="69"/>
        <v>0</v>
      </c>
      <c r="AB69" s="78">
        <f t="shared" si="69"/>
        <v>0</v>
      </c>
      <c r="AC69" s="78">
        <f t="shared" si="69"/>
        <v>0</v>
      </c>
    </row>
    <row r="71">
      <c r="A71" s="77" t="str">
        <f>'W3 Stats'!B23</f>
        <v>KING RICKXL</v>
      </c>
      <c r="B71" s="74" t="s">
        <v>94</v>
      </c>
      <c r="C71" s="74" t="s">
        <v>95</v>
      </c>
      <c r="D71" s="74" t="s">
        <v>96</v>
      </c>
      <c r="E71" s="74" t="s">
        <v>97</v>
      </c>
      <c r="F71" s="1"/>
      <c r="G71" s="77" t="str">
        <f>'W3 Stats'!B25</f>
        <v>imShad</v>
      </c>
      <c r="H71" s="74" t="s">
        <v>94</v>
      </c>
      <c r="I71" s="74" t="s">
        <v>95</v>
      </c>
      <c r="J71" s="74" t="s">
        <v>96</v>
      </c>
      <c r="K71" s="74" t="s">
        <v>97</v>
      </c>
      <c r="M71" s="77" t="str">
        <f>'W3 Stats'!B26</f>
        <v>ixGingy</v>
      </c>
      <c r="N71" s="74" t="s">
        <v>94</v>
      </c>
      <c r="O71" s="74" t="s">
        <v>95</v>
      </c>
      <c r="P71" s="74" t="s">
        <v>96</v>
      </c>
      <c r="Q71" s="74" t="s">
        <v>97</v>
      </c>
      <c r="S71" s="77" t="str">
        <f>'W3 Stats'!B27</f>
        <v>Ezy08</v>
      </c>
      <c r="T71" s="74" t="s">
        <v>94</v>
      </c>
      <c r="U71" s="74" t="s">
        <v>95</v>
      </c>
      <c r="V71" s="74" t="s">
        <v>96</v>
      </c>
      <c r="W71" s="74" t="s">
        <v>97</v>
      </c>
      <c r="Y71" s="77" t="str">
        <f>'W3 Stats'!B28</f>
        <v>Almighty Tycoon</v>
      </c>
      <c r="Z71" s="74" t="s">
        <v>94</v>
      </c>
      <c r="AA71" s="74" t="s">
        <v>95</v>
      </c>
      <c r="AB71" s="74" t="s">
        <v>96</v>
      </c>
      <c r="AC71" s="74" t="s">
        <v>97</v>
      </c>
    </row>
    <row r="72">
      <c r="A72" s="77" t="s">
        <v>108</v>
      </c>
      <c r="B72" s="78">
        <f>'W3 Stats'!D23*B2</f>
        <v>0</v>
      </c>
      <c r="C72" s="78"/>
      <c r="D72" s="78"/>
      <c r="E72" s="78">
        <f>'W3 Stats'!D23*E2</f>
        <v>0</v>
      </c>
      <c r="G72" s="77" t="s">
        <v>108</v>
      </c>
      <c r="H72" s="78">
        <f>'W3 Stats'!D25*H2</f>
        <v>0</v>
      </c>
      <c r="I72" s="78"/>
      <c r="J72" s="78"/>
      <c r="K72" s="78">
        <f>'W3 Stats'!D25*K2</f>
        <v>0</v>
      </c>
      <c r="M72" s="77" t="s">
        <v>108</v>
      </c>
      <c r="N72" s="78">
        <f>'W3 Stats'!D26*N2</f>
        <v>0</v>
      </c>
      <c r="O72" s="78"/>
      <c r="P72" s="78"/>
      <c r="Q72" s="78">
        <f>'W3 Stats'!D26*Q2</f>
        <v>0</v>
      </c>
      <c r="S72" s="77" t="s">
        <v>108</v>
      </c>
      <c r="T72" s="78">
        <f>'W3 Stats'!D27*T2</f>
        <v>0</v>
      </c>
      <c r="U72" s="78"/>
      <c r="V72" s="78"/>
      <c r="W72" s="78">
        <f>'W3 Stats'!D27*W2</f>
        <v>0</v>
      </c>
      <c r="Y72" s="77" t="s">
        <v>108</v>
      </c>
      <c r="Z72" s="78">
        <f>'W3 Stats'!D28*Z2</f>
        <v>0</v>
      </c>
      <c r="AA72" s="78"/>
      <c r="AB72" s="78"/>
      <c r="AC72" s="78">
        <f>'W3 Stats'!D28*AC2</f>
        <v>0</v>
      </c>
    </row>
    <row r="73">
      <c r="A73" s="77" t="s">
        <v>112</v>
      </c>
      <c r="B73" s="99"/>
      <c r="C73" s="99"/>
      <c r="D73" s="78">
        <f>'W3 Stats'!H23*D3</f>
        <v>0</v>
      </c>
      <c r="E73" s="78"/>
      <c r="G73" s="77" t="s">
        <v>112</v>
      </c>
      <c r="H73" s="99"/>
      <c r="I73" s="99"/>
      <c r="J73" s="78">
        <f>'W3 Stats'!H25*J3</f>
        <v>0</v>
      </c>
      <c r="K73" s="78"/>
      <c r="M73" s="77" t="s">
        <v>112</v>
      </c>
      <c r="N73" s="99"/>
      <c r="O73" s="99"/>
      <c r="P73" s="78">
        <f>'W3 Stats'!H26*J3</f>
        <v>0</v>
      </c>
      <c r="Q73" s="78"/>
      <c r="S73" s="77" t="s">
        <v>112</v>
      </c>
      <c r="T73" s="99"/>
      <c r="U73" s="99"/>
      <c r="V73" s="78">
        <f>'W3 Stats'!H27*J3</f>
        <v>0</v>
      </c>
      <c r="W73" s="78"/>
      <c r="Y73" s="77" t="s">
        <v>112</v>
      </c>
      <c r="Z73" s="99"/>
      <c r="AA73" s="99"/>
      <c r="AB73" s="78">
        <f>'W3 Stats'!H28*P3</f>
        <v>0</v>
      </c>
      <c r="AC73" s="78"/>
    </row>
    <row r="74">
      <c r="A74" s="77" t="s">
        <v>113</v>
      </c>
      <c r="B74" s="78">
        <f>'W3 Stats'!I23*B4</f>
        <v>0</v>
      </c>
      <c r="C74" s="99"/>
      <c r="D74" s="99"/>
      <c r="E74" s="78"/>
      <c r="G74" s="77" t="s">
        <v>113</v>
      </c>
      <c r="H74" s="78">
        <f>'W3 Stats'!I25*H4</f>
        <v>0</v>
      </c>
      <c r="I74" s="99"/>
      <c r="J74" s="99"/>
      <c r="K74" s="78"/>
      <c r="M74" s="77" t="s">
        <v>113</v>
      </c>
      <c r="N74" s="78">
        <f>'W3 Stats'!I26*H4</f>
        <v>0</v>
      </c>
      <c r="O74" s="99"/>
      <c r="P74" s="99"/>
      <c r="Q74" s="78"/>
      <c r="S74" s="77" t="s">
        <v>113</v>
      </c>
      <c r="T74" s="78">
        <f>'W3 Stats'!I27*H4</f>
        <v>0</v>
      </c>
      <c r="U74" s="99"/>
      <c r="V74" s="99"/>
      <c r="W74" s="78"/>
      <c r="Y74" s="77" t="s">
        <v>113</v>
      </c>
      <c r="Z74" s="78">
        <f>'W3 Stats'!I28*N4</f>
        <v>0</v>
      </c>
      <c r="AA74" s="99"/>
      <c r="AB74" s="99"/>
      <c r="AC74" s="78"/>
    </row>
    <row r="75">
      <c r="A75" s="77" t="s">
        <v>114</v>
      </c>
      <c r="B75" s="99"/>
      <c r="C75" s="78">
        <f>'W3 Stats'!J23*C5</f>
        <v>0</v>
      </c>
      <c r="D75" s="99"/>
      <c r="E75" s="78">
        <f>'W3 Stats'!J23*E5</f>
        <v>0</v>
      </c>
      <c r="G75" s="77" t="s">
        <v>114</v>
      </c>
      <c r="H75" s="78"/>
      <c r="I75" s="78">
        <f>'W3 Stats'!J25*I5</f>
        <v>0</v>
      </c>
      <c r="J75" s="99"/>
      <c r="K75" s="78">
        <f>'W3 Stats'!J25*K5</f>
        <v>0</v>
      </c>
      <c r="M75" s="77" t="s">
        <v>114</v>
      </c>
      <c r="N75" s="99"/>
      <c r="O75" s="78">
        <f>'W3 Stats'!J26*O5</f>
        <v>0</v>
      </c>
      <c r="P75" s="99"/>
      <c r="Q75" s="78">
        <f>'W3 Stats'!J26*Q5</f>
        <v>0</v>
      </c>
      <c r="S75" s="77" t="s">
        <v>114</v>
      </c>
      <c r="T75" s="99"/>
      <c r="U75" s="78">
        <f>'W3 Stats'!J27*U5</f>
        <v>0</v>
      </c>
      <c r="V75" s="99"/>
      <c r="W75" s="78">
        <f>'W3 Stats'!J27*W5</f>
        <v>0</v>
      </c>
      <c r="Y75" s="77" t="s">
        <v>114</v>
      </c>
      <c r="Z75" s="99"/>
      <c r="AA75" s="78">
        <f>'W3 Stats'!J28*AA5</f>
        <v>0</v>
      </c>
      <c r="AB75" s="99"/>
      <c r="AC75" s="78">
        <f>'W3 Stats'!J28*AC5</f>
        <v>0</v>
      </c>
    </row>
    <row r="76">
      <c r="A76" s="77" t="s">
        <v>115</v>
      </c>
      <c r="B76" s="78"/>
      <c r="C76" s="78">
        <f>'W3 Stats'!K23*C6</f>
        <v>0</v>
      </c>
      <c r="D76" s="78"/>
      <c r="E76" s="78">
        <f>'W3 Stats'!K23*E6</f>
        <v>0</v>
      </c>
      <c r="G76" s="77" t="s">
        <v>115</v>
      </c>
      <c r="H76" s="78"/>
      <c r="I76" s="78">
        <f>'W3 Stats'!K25*I6</f>
        <v>0</v>
      </c>
      <c r="J76" s="78"/>
      <c r="K76" s="78">
        <f>'W3 Stats'!K25*K6</f>
        <v>0</v>
      </c>
      <c r="M76" s="77" t="s">
        <v>115</v>
      </c>
      <c r="N76" s="78"/>
      <c r="O76" s="78">
        <f>'W3 Stats'!K26*O6</f>
        <v>0</v>
      </c>
      <c r="P76" s="78"/>
      <c r="Q76" s="78">
        <f>'W3 Stats'!K26*Q6</f>
        <v>0</v>
      </c>
      <c r="S76" s="77" t="s">
        <v>115</v>
      </c>
      <c r="T76" s="78"/>
      <c r="U76" s="78">
        <f>'W3 Stats'!K27*U6</f>
        <v>0</v>
      </c>
      <c r="V76" s="78"/>
      <c r="W76" s="78">
        <f>'W3 Stats'!K27*W6</f>
        <v>0</v>
      </c>
      <c r="Y76" s="77" t="s">
        <v>115</v>
      </c>
      <c r="Z76" s="78"/>
      <c r="AA76" s="78">
        <f>'W3 Stats'!K28*AA6</f>
        <v>0</v>
      </c>
      <c r="AB76" s="78"/>
      <c r="AC76" s="78">
        <f>'W3 Stats'!K28*AC6</f>
        <v>0</v>
      </c>
    </row>
    <row r="77">
      <c r="A77" s="77" t="s">
        <v>116</v>
      </c>
      <c r="B77" s="78">
        <f>'W3 Stats'!L23*B7</f>
        <v>0</v>
      </c>
      <c r="C77" s="78"/>
      <c r="D77" s="78">
        <f>'W3 Stats'!L23*D7</f>
        <v>0</v>
      </c>
      <c r="E77" s="78"/>
      <c r="G77" s="77" t="s">
        <v>116</v>
      </c>
      <c r="H77" s="78">
        <f>'W3 Stats'!L25*H7</f>
        <v>0</v>
      </c>
      <c r="I77" s="78"/>
      <c r="J77" s="78">
        <f>'W3 Stats'!L25*J7</f>
        <v>0</v>
      </c>
      <c r="K77" s="78"/>
      <c r="M77" s="77" t="s">
        <v>116</v>
      </c>
      <c r="N77" s="78">
        <f>'W3 Stats'!L26*N7</f>
        <v>0</v>
      </c>
      <c r="O77" s="78"/>
      <c r="P77" s="78">
        <f>'W3 Stats'!L26*P7</f>
        <v>0</v>
      </c>
      <c r="Q77" s="78"/>
      <c r="S77" s="77" t="s">
        <v>116</v>
      </c>
      <c r="T77" s="78">
        <f>'W3 Stats'!L27*T7</f>
        <v>0</v>
      </c>
      <c r="U77" s="78"/>
      <c r="V77" s="78">
        <f>'W3 Stats'!L27*V7</f>
        <v>0</v>
      </c>
      <c r="W77" s="78"/>
      <c r="Y77" s="77" t="s">
        <v>116</v>
      </c>
      <c r="Z77" s="78">
        <f>'W3 Stats'!L28*Z7</f>
        <v>0</v>
      </c>
      <c r="AA77" s="78"/>
      <c r="AB77" s="78">
        <f>'W3 Stats'!L28*AB7</f>
        <v>0</v>
      </c>
      <c r="AC77" s="78"/>
    </row>
    <row r="78">
      <c r="A78" s="77" t="s">
        <v>117</v>
      </c>
      <c r="B78" s="99"/>
      <c r="C78" s="78">
        <f>'W3 Stats'!M23*C8</f>
        <v>0</v>
      </c>
      <c r="D78" s="99"/>
      <c r="E78" s="78"/>
      <c r="G78" s="77" t="s">
        <v>117</v>
      </c>
      <c r="H78" s="99"/>
      <c r="I78" s="78">
        <f>'W3 Stats'!M25*I8</f>
        <v>0</v>
      </c>
      <c r="J78" s="99"/>
      <c r="K78" s="78"/>
      <c r="M78" s="77" t="s">
        <v>117</v>
      </c>
      <c r="N78" s="99"/>
      <c r="O78" s="78">
        <f>'W3 Stats'!M26*O8</f>
        <v>0</v>
      </c>
      <c r="P78" s="99"/>
      <c r="Q78" s="78"/>
      <c r="S78" s="77" t="s">
        <v>117</v>
      </c>
      <c r="T78" s="99"/>
      <c r="U78" s="78">
        <f>'W3 Stats'!M27*U8</f>
        <v>0</v>
      </c>
      <c r="V78" s="99"/>
      <c r="W78" s="78"/>
      <c r="Y78" s="77" t="s">
        <v>117</v>
      </c>
      <c r="Z78" s="99"/>
      <c r="AA78" s="78">
        <f>'W3 Stats'!M28*AA8</f>
        <v>0</v>
      </c>
      <c r="AB78" s="99"/>
      <c r="AC78" s="78"/>
    </row>
    <row r="79">
      <c r="A79" s="77" t="s">
        <v>118</v>
      </c>
      <c r="B79" s="99"/>
      <c r="C79" s="99"/>
      <c r="D79" s="78">
        <f>'W3 Stats'!N23*D9</f>
        <v>0</v>
      </c>
      <c r="E79" s="78">
        <f>'W3 Stats'!N23*E9</f>
        <v>0</v>
      </c>
      <c r="G79" s="77" t="s">
        <v>118</v>
      </c>
      <c r="H79" s="99"/>
      <c r="I79" s="99"/>
      <c r="J79" s="78">
        <f>'W3 Stats'!N25*J9</f>
        <v>0</v>
      </c>
      <c r="K79" s="78">
        <f>'W3 Stats'!N25*K9</f>
        <v>0</v>
      </c>
      <c r="M79" s="77" t="s">
        <v>118</v>
      </c>
      <c r="N79" s="99"/>
      <c r="O79" s="99"/>
      <c r="P79" s="78">
        <f>'W3 Stats'!N26*P9</f>
        <v>0</v>
      </c>
      <c r="Q79" s="78">
        <f>'W3 Stats'!N26*Q9</f>
        <v>0</v>
      </c>
      <c r="S79" s="77" t="s">
        <v>118</v>
      </c>
      <c r="T79" s="99"/>
      <c r="U79" s="99"/>
      <c r="V79" s="78">
        <f>'W3 Stats'!N27*V9</f>
        <v>0</v>
      </c>
      <c r="W79" s="78">
        <f>'W3 Stats'!N27*W9</f>
        <v>0</v>
      </c>
      <c r="Y79" s="77" t="s">
        <v>118</v>
      </c>
      <c r="Z79" s="99"/>
      <c r="AA79" s="99"/>
      <c r="AB79" s="78">
        <f>'W3 Stats'!N28*AB9</f>
        <v>0</v>
      </c>
      <c r="AC79" s="78">
        <f>'W3 Stats'!N28*AC9</f>
        <v>0</v>
      </c>
    </row>
    <row r="80">
      <c r="A80" s="77" t="s">
        <v>119</v>
      </c>
      <c r="B80" s="78"/>
      <c r="C80" s="78">
        <f>'W3 Stats'!O23*C10</f>
        <v>0</v>
      </c>
      <c r="D80" s="99"/>
      <c r="E80" s="78">
        <f>'W3 Stats'!O23*E10</f>
        <v>0</v>
      </c>
      <c r="G80" s="77" t="s">
        <v>119</v>
      </c>
      <c r="H80" s="78"/>
      <c r="I80" s="78">
        <f>'W3 Stats'!O25*I10</f>
        <v>0</v>
      </c>
      <c r="J80" s="99"/>
      <c r="K80" s="78">
        <f>'W3 Stats'!O25*K10</f>
        <v>0</v>
      </c>
      <c r="M80" s="77" t="s">
        <v>119</v>
      </c>
      <c r="N80" s="78"/>
      <c r="O80" s="78">
        <f>'W3 Stats'!O26*O10</f>
        <v>0</v>
      </c>
      <c r="P80" s="99"/>
      <c r="Q80" s="78">
        <f>'W3 Stats'!O26*Q10</f>
        <v>0</v>
      </c>
      <c r="S80" s="77" t="s">
        <v>119</v>
      </c>
      <c r="T80" s="78"/>
      <c r="U80" s="78">
        <f>'W3 Stats'!O27*U10</f>
        <v>0</v>
      </c>
      <c r="V80" s="99"/>
      <c r="W80" s="78">
        <f>'W3 Stats'!O27*W10</f>
        <v>0</v>
      </c>
      <c r="Y80" s="77" t="s">
        <v>119</v>
      </c>
      <c r="Z80" s="78"/>
      <c r="AA80" s="78">
        <f>'W3 Stats'!O28*AA10</f>
        <v>0</v>
      </c>
      <c r="AB80" s="99"/>
      <c r="AC80" s="78">
        <f>'W3 Stats'!O28*AC10</f>
        <v>0</v>
      </c>
    </row>
    <row r="81">
      <c r="A81" s="77" t="s">
        <v>120</v>
      </c>
      <c r="B81" s="99"/>
      <c r="C81" s="99"/>
      <c r="D81" s="78">
        <f>'W3 Stats'!P23*D11</f>
        <v>0</v>
      </c>
      <c r="E81" s="78">
        <f>'W3 Stats'!P23*E11</f>
        <v>0</v>
      </c>
      <c r="G81" s="77" t="s">
        <v>120</v>
      </c>
      <c r="H81" s="99"/>
      <c r="I81" s="99"/>
      <c r="J81" s="78">
        <f>'W3 Stats'!P25*J11</f>
        <v>0</v>
      </c>
      <c r="K81" s="78">
        <f>'W3 Stats'!P25*K11</f>
        <v>0</v>
      </c>
      <c r="M81" s="77" t="s">
        <v>120</v>
      </c>
      <c r="N81" s="99"/>
      <c r="O81" s="99"/>
      <c r="P81" s="78">
        <f>'W3 Stats'!P26*P11</f>
        <v>0</v>
      </c>
      <c r="Q81" s="78">
        <f>'W3 Stats'!P26*Q11</f>
        <v>0</v>
      </c>
      <c r="S81" s="77" t="s">
        <v>120</v>
      </c>
      <c r="T81" s="99"/>
      <c r="U81" s="99"/>
      <c r="V81" s="78">
        <f>'W3 Stats'!P27*V11</f>
        <v>0</v>
      </c>
      <c r="W81" s="78">
        <f>'W3 Stats'!P27*W11</f>
        <v>0</v>
      </c>
      <c r="Y81" s="77" t="s">
        <v>120</v>
      </c>
      <c r="Z81" s="99"/>
      <c r="AA81" s="99"/>
      <c r="AB81" s="78">
        <f>'W3 Stats'!P28*AB11</f>
        <v>0</v>
      </c>
      <c r="AC81" s="78">
        <f>'W3 Stats'!P28*AC11</f>
        <v>0</v>
      </c>
    </row>
    <row r="82">
      <c r="A82" s="77" t="s">
        <v>121</v>
      </c>
      <c r="B82" s="78">
        <f>'W3 Stats'!Q23*B12</f>
        <v>0</v>
      </c>
      <c r="C82" s="78">
        <f>'W3 Stats'!Q23*C12</f>
        <v>0</v>
      </c>
      <c r="D82" s="78">
        <f>'W3 Stats'!Q23*D12</f>
        <v>0</v>
      </c>
      <c r="E82" s="78">
        <f>'W3 Stats'!Q23*E12</f>
        <v>0</v>
      </c>
      <c r="G82" s="77" t="s">
        <v>121</v>
      </c>
      <c r="H82" s="78">
        <f>'W3 Stats'!Q25*H12</f>
        <v>0</v>
      </c>
      <c r="I82" s="78">
        <f>'W3 Stats'!Q25*I12</f>
        <v>0</v>
      </c>
      <c r="J82" s="78">
        <f>'W3 Stats'!Q25*J12</f>
        <v>0</v>
      </c>
      <c r="K82" s="78">
        <f>'W3 Stats'!Q25*K12</f>
        <v>0</v>
      </c>
      <c r="M82" s="77" t="s">
        <v>121</v>
      </c>
      <c r="N82" s="78">
        <f>'W3 Stats'!Q26*N12</f>
        <v>0</v>
      </c>
      <c r="O82" s="78">
        <f>'W3 Stats'!Q26*O12</f>
        <v>0</v>
      </c>
      <c r="P82" s="78">
        <f>'W3 Stats'!Q26*P12</f>
        <v>0</v>
      </c>
      <c r="Q82" s="78">
        <f>'W3 Stats'!Q26*Q12</f>
        <v>0</v>
      </c>
      <c r="S82" s="77" t="s">
        <v>121</v>
      </c>
      <c r="T82" s="78">
        <f>'W3 Stats'!Q27*T12</f>
        <v>0</v>
      </c>
      <c r="U82" s="78">
        <f>'W3 Stats'!Q27*U12</f>
        <v>0</v>
      </c>
      <c r="V82" s="78">
        <f>'W3 Stats'!Q27*V12</f>
        <v>0</v>
      </c>
      <c r="W82" s="78">
        <f>'W3 Stats'!Q27*W12</f>
        <v>0</v>
      </c>
      <c r="Y82" s="77" t="s">
        <v>121</v>
      </c>
      <c r="Z82" s="78">
        <f>'W3 Stats'!Q28*Z12</f>
        <v>0</v>
      </c>
      <c r="AA82" s="78">
        <f>'W3 Stats'!Q28*AA12</f>
        <v>0</v>
      </c>
      <c r="AB82" s="78">
        <f>'W3 Stats'!Q28*AB12</f>
        <v>0</v>
      </c>
      <c r="AC82" s="78">
        <f>'W3 Stats'!Q28*AC12</f>
        <v>0</v>
      </c>
    </row>
    <row r="83">
      <c r="A83" s="77" t="s">
        <v>122</v>
      </c>
      <c r="B83" s="78">
        <f t="shared" ref="B83:E83" si="70">SUM(B72:B82)</f>
        <v>0</v>
      </c>
      <c r="C83" s="78">
        <f t="shared" si="70"/>
        <v>0</v>
      </c>
      <c r="D83" s="78">
        <f t="shared" si="70"/>
        <v>0</v>
      </c>
      <c r="E83" s="78">
        <f t="shared" si="70"/>
        <v>0</v>
      </c>
      <c r="G83" s="77" t="s">
        <v>122</v>
      </c>
      <c r="H83" s="78">
        <f t="shared" ref="H83:K83" si="71">SUM(H72:H82)</f>
        <v>0</v>
      </c>
      <c r="I83" s="78">
        <f t="shared" si="71"/>
        <v>0</v>
      </c>
      <c r="J83" s="78">
        <f t="shared" si="71"/>
        <v>0</v>
      </c>
      <c r="K83" s="78">
        <f t="shared" si="71"/>
        <v>0</v>
      </c>
      <c r="M83" s="77" t="s">
        <v>122</v>
      </c>
      <c r="N83" s="78">
        <f t="shared" ref="N83:Q83" si="72">SUM(N72:N82)</f>
        <v>0</v>
      </c>
      <c r="O83" s="78">
        <f t="shared" si="72"/>
        <v>0</v>
      </c>
      <c r="P83" s="78">
        <f t="shared" si="72"/>
        <v>0</v>
      </c>
      <c r="Q83" s="78">
        <f t="shared" si="72"/>
        <v>0</v>
      </c>
      <c r="S83" s="77" t="s">
        <v>122</v>
      </c>
      <c r="T83" s="78">
        <f t="shared" ref="T83:W83" si="73">SUM(T72:T82)</f>
        <v>0</v>
      </c>
      <c r="U83" s="78">
        <f t="shared" si="73"/>
        <v>0</v>
      </c>
      <c r="V83" s="78">
        <f t="shared" si="73"/>
        <v>0</v>
      </c>
      <c r="W83" s="78">
        <f t="shared" si="73"/>
        <v>0</v>
      </c>
      <c r="Y83" s="77" t="s">
        <v>122</v>
      </c>
      <c r="Z83" s="78">
        <f t="shared" ref="Z83:AC83" si="74">SUM(Z72:Z82)</f>
        <v>0</v>
      </c>
      <c r="AA83" s="78">
        <f t="shared" si="74"/>
        <v>0</v>
      </c>
      <c r="AB83" s="78">
        <f t="shared" si="74"/>
        <v>0</v>
      </c>
      <c r="AC83" s="78">
        <f t="shared" si="74"/>
        <v>0</v>
      </c>
    </row>
    <row r="85">
      <c r="A85" s="77" t="str">
        <f>'W3 Stats'!B29</f>
        <v>The Piggies</v>
      </c>
      <c r="B85" s="74" t="s">
        <v>94</v>
      </c>
      <c r="C85" s="74" t="s">
        <v>95</v>
      </c>
      <c r="D85" s="74" t="s">
        <v>96</v>
      </c>
      <c r="E85" s="74" t="s">
        <v>97</v>
      </c>
      <c r="F85" s="1"/>
      <c r="G85" s="77" t="str">
        <f>'W3 Stats'!B30</f>
        <v>Invayda Zim</v>
      </c>
      <c r="H85" s="74" t="s">
        <v>94</v>
      </c>
      <c r="I85" s="74" t="s">
        <v>95</v>
      </c>
      <c r="J85" s="74" t="s">
        <v>96</v>
      </c>
      <c r="K85" s="74" t="s">
        <v>97</v>
      </c>
      <c r="M85" s="77" t="str">
        <f>'W3 Stats'!B31</f>
        <v>DlGITAL PAIN</v>
      </c>
      <c r="N85" s="74" t="s">
        <v>94</v>
      </c>
      <c r="O85" s="74" t="s">
        <v>95</v>
      </c>
      <c r="P85" s="74" t="s">
        <v>96</v>
      </c>
      <c r="Q85" s="74" t="s">
        <v>97</v>
      </c>
      <c r="S85" s="77" t="str">
        <f>'W3 Stats'!B32</f>
        <v>PoisonxPoptart</v>
      </c>
      <c r="T85" s="74" t="s">
        <v>94</v>
      </c>
      <c r="U85" s="74" t="s">
        <v>95</v>
      </c>
      <c r="V85" s="74" t="s">
        <v>96</v>
      </c>
      <c r="W85" s="74" t="s">
        <v>97</v>
      </c>
      <c r="Y85" s="77" t="str">
        <f>'W3 Stats'!B33</f>
        <v>Mang Canon</v>
      </c>
      <c r="Z85" s="74" t="s">
        <v>94</v>
      </c>
      <c r="AA85" s="74" t="s">
        <v>95</v>
      </c>
      <c r="AB85" s="74" t="s">
        <v>96</v>
      </c>
      <c r="AC85" s="74" t="s">
        <v>97</v>
      </c>
    </row>
    <row r="86">
      <c r="A86" s="77" t="s">
        <v>108</v>
      </c>
      <c r="B86" s="78">
        <f>'W3 Stats'!D29*B2</f>
        <v>0</v>
      </c>
      <c r="C86" s="78"/>
      <c r="D86" s="78"/>
      <c r="E86" s="78">
        <f>'W3 Stats'!D29*E2</f>
        <v>0</v>
      </c>
      <c r="G86" s="77" t="s">
        <v>108</v>
      </c>
      <c r="H86" s="78">
        <f>'W3 Stats'!D30*H2</f>
        <v>0</v>
      </c>
      <c r="I86" s="78"/>
      <c r="J86" s="78"/>
      <c r="K86" s="78">
        <f>'W3 Stats'!D30*K2</f>
        <v>0</v>
      </c>
      <c r="M86" s="77" t="s">
        <v>108</v>
      </c>
      <c r="N86" s="78">
        <f>'W3 Stats'!D31*N2</f>
        <v>0</v>
      </c>
      <c r="O86" s="78"/>
      <c r="P86" s="78"/>
      <c r="Q86" s="78">
        <f>'W3 Stats'!D31*Q2</f>
        <v>0</v>
      </c>
      <c r="S86" s="77" t="s">
        <v>108</v>
      </c>
      <c r="T86" s="78">
        <f>'W3 Stats'!D32*T2</f>
        <v>0</v>
      </c>
      <c r="U86" s="78"/>
      <c r="V86" s="78"/>
      <c r="W86" s="78">
        <f>'W3 Stats'!D32*W2</f>
        <v>0</v>
      </c>
      <c r="Y86" s="77" t="s">
        <v>108</v>
      </c>
      <c r="Z86" s="78">
        <f>'W3 Stats'!D33*Z2</f>
        <v>0</v>
      </c>
      <c r="AA86" s="78"/>
      <c r="AB86" s="78"/>
      <c r="AC86" s="78">
        <f>'W3 Stats'!D33*AC2</f>
        <v>0</v>
      </c>
    </row>
    <row r="87">
      <c r="A87" s="77" t="s">
        <v>112</v>
      </c>
      <c r="B87" s="78"/>
      <c r="C87" s="78"/>
      <c r="D87" s="78">
        <f>'W3 Stats'!H29*D3</f>
        <v>0</v>
      </c>
      <c r="E87" s="78"/>
      <c r="G87" s="77" t="s">
        <v>112</v>
      </c>
      <c r="H87" s="78"/>
      <c r="I87" s="78"/>
      <c r="J87" s="78">
        <f>'W3 Stats'!H30*J3</f>
        <v>0</v>
      </c>
      <c r="K87" s="78"/>
      <c r="M87" s="77" t="s">
        <v>112</v>
      </c>
      <c r="N87" s="78"/>
      <c r="O87" s="78"/>
      <c r="P87" s="78">
        <f>'W3 Stats'!H31*P3</f>
        <v>0</v>
      </c>
      <c r="Q87" s="78"/>
      <c r="S87" s="77" t="s">
        <v>112</v>
      </c>
      <c r="T87" s="78"/>
      <c r="U87" s="78"/>
      <c r="V87" s="78">
        <f>'W3 Stats'!H32*V3</f>
        <v>0</v>
      </c>
      <c r="W87" s="78"/>
      <c r="Y87" s="77" t="s">
        <v>112</v>
      </c>
      <c r="Z87" s="78"/>
      <c r="AA87" s="78"/>
      <c r="AB87" s="78">
        <f>'W3 Stats'!H33*AB3</f>
        <v>0</v>
      </c>
      <c r="AC87" s="78"/>
    </row>
    <row r="88">
      <c r="A88" s="77" t="s">
        <v>113</v>
      </c>
      <c r="B88" s="78">
        <f>'W3 Stats'!I29*B4</f>
        <v>0</v>
      </c>
      <c r="C88" s="78"/>
      <c r="D88" s="78"/>
      <c r="E88" s="78"/>
      <c r="G88" s="77" t="s">
        <v>113</v>
      </c>
      <c r="H88" s="78">
        <f>'W3 Stats'!I30*H4</f>
        <v>0</v>
      </c>
      <c r="I88" s="78"/>
      <c r="J88" s="78"/>
      <c r="K88" s="78"/>
      <c r="M88" s="77" t="s">
        <v>113</v>
      </c>
      <c r="N88" s="78">
        <f>'W3 Stats'!I31*N4</f>
        <v>0</v>
      </c>
      <c r="O88" s="78"/>
      <c r="P88" s="78"/>
      <c r="Q88" s="78"/>
      <c r="S88" s="77" t="s">
        <v>113</v>
      </c>
      <c r="T88" s="78">
        <f>'W3 Stats'!I32*T4</f>
        <v>0</v>
      </c>
      <c r="U88" s="78"/>
      <c r="V88" s="78"/>
      <c r="W88" s="78"/>
      <c r="Y88" s="77" t="s">
        <v>113</v>
      </c>
      <c r="Z88" s="78">
        <f>'W3 Stats'!I33*Z4</f>
        <v>0</v>
      </c>
      <c r="AA88" s="78"/>
      <c r="AB88" s="78"/>
      <c r="AC88" s="78"/>
    </row>
    <row r="89">
      <c r="A89" s="77" t="s">
        <v>114</v>
      </c>
      <c r="B89" s="78"/>
      <c r="C89" s="78">
        <f>'W3 Stats'!J29*C5</f>
        <v>0</v>
      </c>
      <c r="D89" s="78"/>
      <c r="E89" s="78">
        <f>'W3 Stats'!J29*E5</f>
        <v>0</v>
      </c>
      <c r="G89" s="77" t="s">
        <v>114</v>
      </c>
      <c r="H89" s="78"/>
      <c r="I89" s="78">
        <f>'W3 Stats'!J30*I5</f>
        <v>0</v>
      </c>
      <c r="J89" s="78"/>
      <c r="K89" s="78">
        <f>'W3 Stats'!J30*K5</f>
        <v>0</v>
      </c>
      <c r="M89" s="77" t="s">
        <v>114</v>
      </c>
      <c r="N89" s="78"/>
      <c r="O89" s="78">
        <f>'W3 Stats'!J31*O5</f>
        <v>0</v>
      </c>
      <c r="P89" s="78"/>
      <c r="Q89" s="78">
        <f>'W3 Stats'!J31*Q5</f>
        <v>0</v>
      </c>
      <c r="S89" s="77" t="s">
        <v>114</v>
      </c>
      <c r="T89" s="78"/>
      <c r="U89" s="78">
        <f>'W3 Stats'!J32*U5</f>
        <v>0</v>
      </c>
      <c r="V89" s="78"/>
      <c r="W89" s="78">
        <f>'W3 Stats'!J32*W5</f>
        <v>0</v>
      </c>
      <c r="Y89" s="77" t="s">
        <v>114</v>
      </c>
      <c r="Z89" s="78"/>
      <c r="AA89" s="78">
        <f>'W3 Stats'!J33*AA5</f>
        <v>0</v>
      </c>
      <c r="AB89" s="78"/>
      <c r="AC89" s="78">
        <f>'W3 Stats'!J33*AC5</f>
        <v>0</v>
      </c>
    </row>
    <row r="90">
      <c r="A90" s="77" t="s">
        <v>115</v>
      </c>
      <c r="B90" s="78"/>
      <c r="C90" s="78">
        <f>'W3 Stats'!K29*C6</f>
        <v>0</v>
      </c>
      <c r="D90" s="78"/>
      <c r="E90" s="78">
        <f>'W3 Stats'!K29*E6</f>
        <v>0</v>
      </c>
      <c r="G90" s="77" t="s">
        <v>115</v>
      </c>
      <c r="H90" s="78"/>
      <c r="I90" s="78">
        <f>'W3 Stats'!K30*I6</f>
        <v>0</v>
      </c>
      <c r="J90" s="78"/>
      <c r="K90" s="78">
        <f>'W3 Stats'!K30*K6</f>
        <v>0</v>
      </c>
      <c r="M90" s="77" t="s">
        <v>115</v>
      </c>
      <c r="N90" s="78"/>
      <c r="O90" s="78">
        <f>'W3 Stats'!K31*O6</f>
        <v>0</v>
      </c>
      <c r="P90" s="78"/>
      <c r="Q90" s="78">
        <f>'W3 Stats'!K31*Q6</f>
        <v>0</v>
      </c>
      <c r="S90" s="77" t="s">
        <v>115</v>
      </c>
      <c r="T90" s="78"/>
      <c r="U90" s="78">
        <f>'W3 Stats'!K32*U6</f>
        <v>0</v>
      </c>
      <c r="V90" s="78"/>
      <c r="W90" s="78">
        <f>'W3 Stats'!K32*W6</f>
        <v>0</v>
      </c>
      <c r="Y90" s="77" t="s">
        <v>115</v>
      </c>
      <c r="Z90" s="78"/>
      <c r="AA90" s="78">
        <f>'W3 Stats'!K33*AA6</f>
        <v>0</v>
      </c>
      <c r="AB90" s="78"/>
      <c r="AC90" s="78">
        <f>'W3 Stats'!K33*AC6</f>
        <v>0</v>
      </c>
    </row>
    <row r="91">
      <c r="A91" s="77" t="s">
        <v>116</v>
      </c>
      <c r="B91" s="78">
        <f>'W3 Stats'!L29*B7</f>
        <v>0</v>
      </c>
      <c r="C91" s="78"/>
      <c r="D91" s="78">
        <f>'W3 Stats'!L29*D7</f>
        <v>0</v>
      </c>
      <c r="E91" s="78"/>
      <c r="G91" s="77" t="s">
        <v>116</v>
      </c>
      <c r="H91" s="78">
        <f>'W3 Stats'!L30*H7</f>
        <v>0</v>
      </c>
      <c r="I91" s="78"/>
      <c r="J91" s="78">
        <f>'W3 Stats'!L30*J7</f>
        <v>0</v>
      </c>
      <c r="K91" s="78"/>
      <c r="M91" s="77" t="s">
        <v>116</v>
      </c>
      <c r="N91" s="78">
        <f>'W3 Stats'!L31*N7</f>
        <v>0</v>
      </c>
      <c r="O91" s="78"/>
      <c r="P91" s="78">
        <f>'W3 Stats'!L31*P7</f>
        <v>0</v>
      </c>
      <c r="Q91" s="78"/>
      <c r="S91" s="77" t="s">
        <v>116</v>
      </c>
      <c r="T91" s="78">
        <f>'W3 Stats'!L32*T7</f>
        <v>0</v>
      </c>
      <c r="U91" s="78"/>
      <c r="V91" s="78">
        <f>'W3 Stats'!L32*V7</f>
        <v>0</v>
      </c>
      <c r="W91" s="78"/>
      <c r="Y91" s="77" t="s">
        <v>116</v>
      </c>
      <c r="Z91" s="78">
        <f>'W3 Stats'!L33*Z7</f>
        <v>0</v>
      </c>
      <c r="AA91" s="78"/>
      <c r="AB91" s="78">
        <f>'W3 Stats'!L33*AB7</f>
        <v>0</v>
      </c>
      <c r="AC91" s="78"/>
    </row>
    <row r="92">
      <c r="A92" s="77" t="s">
        <v>117</v>
      </c>
      <c r="B92" s="78"/>
      <c r="C92" s="78">
        <f>'W3 Stats'!M29*C8</f>
        <v>0</v>
      </c>
      <c r="D92" s="78"/>
      <c r="E92" s="78"/>
      <c r="G92" s="77" t="s">
        <v>117</v>
      </c>
      <c r="H92" s="78"/>
      <c r="I92" s="78">
        <f>'W3 Stats'!M30*C8</f>
        <v>0</v>
      </c>
      <c r="J92" s="78"/>
      <c r="K92" s="78"/>
      <c r="M92" s="77" t="s">
        <v>117</v>
      </c>
      <c r="N92" s="78"/>
      <c r="O92" s="78">
        <f>'W3 Stats'!M31*O8</f>
        <v>0</v>
      </c>
      <c r="P92" s="78"/>
      <c r="Q92" s="78"/>
      <c r="S92" s="77" t="s">
        <v>117</v>
      </c>
      <c r="T92" s="78"/>
      <c r="U92" s="78">
        <f>'W3 Stats'!M32*U8</f>
        <v>0</v>
      </c>
      <c r="V92" s="78"/>
      <c r="W92" s="78"/>
      <c r="Y92" s="77" t="s">
        <v>117</v>
      </c>
      <c r="Z92" s="78"/>
      <c r="AA92" s="78">
        <f>'W3 Stats'!M33*AA8</f>
        <v>0</v>
      </c>
      <c r="AB92" s="78"/>
      <c r="AC92" s="78"/>
    </row>
    <row r="93">
      <c r="A93" s="77" t="s">
        <v>118</v>
      </c>
      <c r="B93" s="78"/>
      <c r="C93" s="78"/>
      <c r="D93" s="78">
        <f>'W3 Stats'!N29*D9</f>
        <v>0</v>
      </c>
      <c r="E93" s="78">
        <f>'W3 Stats'!N29*E9</f>
        <v>0</v>
      </c>
      <c r="G93" s="77" t="s">
        <v>118</v>
      </c>
      <c r="H93" s="78"/>
      <c r="I93" s="78"/>
      <c r="J93" s="78">
        <f>'W3 Stats'!N30*J9</f>
        <v>0</v>
      </c>
      <c r="K93" s="78">
        <f>'W3 Stats'!N30*K9</f>
        <v>0</v>
      </c>
      <c r="M93" s="77" t="s">
        <v>118</v>
      </c>
      <c r="N93" s="78"/>
      <c r="O93" s="78"/>
      <c r="P93" s="78">
        <f>'W3 Stats'!N31*P9</f>
        <v>0</v>
      </c>
      <c r="Q93" s="78">
        <f>'W3 Stats'!N31*Q9</f>
        <v>0</v>
      </c>
      <c r="S93" s="77" t="s">
        <v>118</v>
      </c>
      <c r="T93" s="78"/>
      <c r="U93" s="78"/>
      <c r="V93" s="78">
        <f>'W3 Stats'!N32*V9</f>
        <v>0</v>
      </c>
      <c r="W93" s="78">
        <f>'W3 Stats'!N32*W9</f>
        <v>0</v>
      </c>
      <c r="Y93" s="77" t="s">
        <v>118</v>
      </c>
      <c r="Z93" s="78"/>
      <c r="AA93" s="78"/>
      <c r="AB93" s="78">
        <f>'W3 Stats'!N33*AB9</f>
        <v>0</v>
      </c>
      <c r="AC93" s="78">
        <f>'W3 Stats'!N33*AC9</f>
        <v>0</v>
      </c>
    </row>
    <row r="94">
      <c r="A94" s="77" t="s">
        <v>119</v>
      </c>
      <c r="B94" s="78"/>
      <c r="C94" s="78">
        <f>'W3 Stats'!O29*C10</f>
        <v>0</v>
      </c>
      <c r="D94" s="78"/>
      <c r="E94" s="78">
        <f>'W3 Stats'!O29*E10</f>
        <v>0</v>
      </c>
      <c r="G94" s="77" t="s">
        <v>119</v>
      </c>
      <c r="H94" s="78"/>
      <c r="I94" s="78">
        <f>'W3 Stats'!O30*I10</f>
        <v>0</v>
      </c>
      <c r="J94" s="78"/>
      <c r="K94" s="78">
        <f>'W3 Stats'!O30*K10</f>
        <v>0</v>
      </c>
      <c r="M94" s="77" t="s">
        <v>119</v>
      </c>
      <c r="N94" s="78"/>
      <c r="O94" s="78">
        <f>'W3 Stats'!O31*O10</f>
        <v>0</v>
      </c>
      <c r="P94" s="78"/>
      <c r="Q94" s="78">
        <f>'W3 Stats'!O31*Q10</f>
        <v>0</v>
      </c>
      <c r="S94" s="77" t="s">
        <v>119</v>
      </c>
      <c r="T94" s="78"/>
      <c r="U94" s="78">
        <f>'W3 Stats'!O32*U10</f>
        <v>0</v>
      </c>
      <c r="V94" s="78"/>
      <c r="W94" s="78">
        <f>'W3 Stats'!O32*W10</f>
        <v>0</v>
      </c>
      <c r="Y94" s="77" t="s">
        <v>119</v>
      </c>
      <c r="Z94" s="78"/>
      <c r="AA94" s="78">
        <f>'W3 Stats'!O33*AA10</f>
        <v>0</v>
      </c>
      <c r="AB94" s="78"/>
      <c r="AC94" s="78">
        <f>'W3 Stats'!O33*AC10</f>
        <v>0</v>
      </c>
    </row>
    <row r="95">
      <c r="A95" s="77" t="s">
        <v>120</v>
      </c>
      <c r="B95" s="78"/>
      <c r="C95" s="78"/>
      <c r="D95" s="78">
        <f>'W3 Stats'!P29*D11</f>
        <v>0</v>
      </c>
      <c r="E95" s="78">
        <f>'W3 Stats'!P29*E11</f>
        <v>0</v>
      </c>
      <c r="G95" s="77" t="s">
        <v>120</v>
      </c>
      <c r="H95" s="78"/>
      <c r="I95" s="78"/>
      <c r="J95" s="78">
        <f>'W3 Stats'!P30*J11</f>
        <v>0</v>
      </c>
      <c r="K95" s="78">
        <f>'W3 Stats'!P30*K11</f>
        <v>0</v>
      </c>
      <c r="M95" s="77" t="s">
        <v>120</v>
      </c>
      <c r="N95" s="78"/>
      <c r="O95" s="78"/>
      <c r="P95" s="78">
        <f>'W3 Stats'!P31*P11</f>
        <v>0</v>
      </c>
      <c r="Q95" s="78">
        <f>'W3 Stats'!P31*Q11</f>
        <v>0</v>
      </c>
      <c r="S95" s="77" t="s">
        <v>120</v>
      </c>
      <c r="T95" s="78"/>
      <c r="U95" s="78"/>
      <c r="V95" s="78">
        <f>'W3 Stats'!P32*V11</f>
        <v>0</v>
      </c>
      <c r="W95" s="78">
        <f>'W3 Stats'!P32*W11</f>
        <v>0</v>
      </c>
      <c r="Y95" s="77" t="s">
        <v>120</v>
      </c>
      <c r="Z95" s="78"/>
      <c r="AA95" s="78"/>
      <c r="AB95" s="78">
        <f>'W3 Stats'!P33*AB11</f>
        <v>0</v>
      </c>
      <c r="AC95" s="78">
        <f>'W3 Stats'!P33*AC11</f>
        <v>0</v>
      </c>
    </row>
    <row r="96">
      <c r="A96" s="77" t="s">
        <v>121</v>
      </c>
      <c r="B96" s="78">
        <f>'W3 Stats'!Q29*B12</f>
        <v>0</v>
      </c>
      <c r="C96" s="78">
        <f>'W3 Stats'!Q29*C12</f>
        <v>0</v>
      </c>
      <c r="D96" s="78">
        <f>'W3 Stats'!Q29*D12</f>
        <v>0</v>
      </c>
      <c r="E96" s="78">
        <f>'W3 Stats'!Q29*E12</f>
        <v>0</v>
      </c>
      <c r="G96" s="77" t="s">
        <v>121</v>
      </c>
      <c r="H96" s="78">
        <f>'W3 Stats'!Q30*H12</f>
        <v>0</v>
      </c>
      <c r="I96" s="78">
        <f>'W3 Stats'!Q30*I12</f>
        <v>0</v>
      </c>
      <c r="J96" s="78">
        <f>'W3 Stats'!Q30*J12</f>
        <v>0</v>
      </c>
      <c r="K96" s="78">
        <f>'W3 Stats'!Q30*K12</f>
        <v>0</v>
      </c>
      <c r="M96" s="77" t="s">
        <v>121</v>
      </c>
      <c r="N96" s="78">
        <f>'W3 Stats'!Q31*N12</f>
        <v>0</v>
      </c>
      <c r="O96" s="78">
        <f>'W3 Stats'!Q31*O12</f>
        <v>0</v>
      </c>
      <c r="P96" s="78">
        <f>'W3 Stats'!Q31*P12</f>
        <v>0</v>
      </c>
      <c r="Q96" s="78">
        <f>'W3 Stats'!Q31*Q12</f>
        <v>0</v>
      </c>
      <c r="S96" s="77" t="s">
        <v>121</v>
      </c>
      <c r="T96" s="78">
        <f>'W3 Stats'!Q32*T12</f>
        <v>0</v>
      </c>
      <c r="U96" s="78">
        <f>'W3 Stats'!Q32*U12</f>
        <v>0</v>
      </c>
      <c r="V96" s="78">
        <f>'W3 Stats'!Q32*V12</f>
        <v>0</v>
      </c>
      <c r="W96" s="78">
        <f>'W3 Stats'!Q32*W12</f>
        <v>0</v>
      </c>
      <c r="Y96" s="77" t="s">
        <v>121</v>
      </c>
      <c r="Z96" s="78">
        <f>'W3 Stats'!Q33*Z12</f>
        <v>0</v>
      </c>
      <c r="AA96" s="78">
        <f>'W3 Stats'!Q33*AA12</f>
        <v>0</v>
      </c>
      <c r="AB96" s="78">
        <f>'W3 Stats'!Q33*AB12</f>
        <v>0</v>
      </c>
      <c r="AC96" s="78">
        <f>'W3 Stats'!Q33*AC12</f>
        <v>0</v>
      </c>
    </row>
    <row r="97">
      <c r="A97" s="77" t="s">
        <v>122</v>
      </c>
      <c r="B97" s="78">
        <f t="shared" ref="B97:E97" si="75">SUM(B86:B96)</f>
        <v>0</v>
      </c>
      <c r="C97" s="78">
        <f t="shared" si="75"/>
        <v>0</v>
      </c>
      <c r="D97" s="78">
        <f t="shared" si="75"/>
        <v>0</v>
      </c>
      <c r="E97" s="78">
        <f t="shared" si="75"/>
        <v>0</v>
      </c>
      <c r="G97" s="77" t="s">
        <v>122</v>
      </c>
      <c r="H97" s="78">
        <f t="shared" ref="H97:K97" si="76">SUM(H86:H96)</f>
        <v>0</v>
      </c>
      <c r="I97" s="78">
        <f t="shared" si="76"/>
        <v>0</v>
      </c>
      <c r="J97" s="78">
        <f t="shared" si="76"/>
        <v>0</v>
      </c>
      <c r="K97" s="78">
        <f t="shared" si="76"/>
        <v>0</v>
      </c>
      <c r="M97" s="77" t="s">
        <v>122</v>
      </c>
      <c r="N97" s="78">
        <f t="shared" ref="N97:Q97" si="77">SUM(N86:N96)</f>
        <v>0</v>
      </c>
      <c r="O97" s="78">
        <f t="shared" si="77"/>
        <v>0</v>
      </c>
      <c r="P97" s="78">
        <f t="shared" si="77"/>
        <v>0</v>
      </c>
      <c r="Q97" s="78">
        <f t="shared" si="77"/>
        <v>0</v>
      </c>
      <c r="S97" s="77" t="s">
        <v>122</v>
      </c>
      <c r="T97" s="78">
        <f t="shared" ref="T97:W97" si="78">SUM(T86:T96)</f>
        <v>0</v>
      </c>
      <c r="U97" s="78">
        <f t="shared" si="78"/>
        <v>0</v>
      </c>
      <c r="V97" s="78">
        <f t="shared" si="78"/>
        <v>0</v>
      </c>
      <c r="W97" s="78">
        <f t="shared" si="78"/>
        <v>0</v>
      </c>
      <c r="Y97" s="77" t="s">
        <v>122</v>
      </c>
      <c r="Z97" s="78">
        <f t="shared" ref="Z97:AC97" si="79">SUM(Z86:Z96)</f>
        <v>0</v>
      </c>
      <c r="AA97" s="78">
        <f t="shared" si="79"/>
        <v>0</v>
      </c>
      <c r="AB97" s="78">
        <f t="shared" si="79"/>
        <v>0</v>
      </c>
      <c r="AC97" s="78">
        <f t="shared" si="79"/>
        <v>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7" max="7" width="2.25"/>
    <col customWidth="1" min="8" max="8" width="11.88"/>
    <col customWidth="1" min="14" max="14" width="2.25"/>
    <col customWidth="1" min="15" max="15" width="11.88"/>
  </cols>
  <sheetData>
    <row r="1">
      <c r="A1" s="73" t="s">
        <v>18</v>
      </c>
      <c r="H1" s="73" t="s">
        <v>21</v>
      </c>
      <c r="O1" s="73" t="s">
        <v>25</v>
      </c>
    </row>
    <row r="2">
      <c r="A2" s="74" t="s">
        <v>7</v>
      </c>
      <c r="B2" s="74" t="s">
        <v>94</v>
      </c>
      <c r="C2" s="74" t="s">
        <v>95</v>
      </c>
      <c r="D2" s="74" t="s">
        <v>96</v>
      </c>
      <c r="E2" s="74" t="s">
        <v>97</v>
      </c>
      <c r="F2" s="74" t="s">
        <v>98</v>
      </c>
      <c r="H2" s="74" t="s">
        <v>7</v>
      </c>
      <c r="I2" s="74" t="s">
        <v>94</v>
      </c>
      <c r="J2" s="74" t="s">
        <v>95</v>
      </c>
      <c r="K2" s="74" t="s">
        <v>96</v>
      </c>
      <c r="L2" s="74" t="s">
        <v>97</v>
      </c>
      <c r="M2" s="74" t="s">
        <v>98</v>
      </c>
      <c r="O2" s="74" t="s">
        <v>7</v>
      </c>
      <c r="P2" s="74" t="s">
        <v>94</v>
      </c>
      <c r="Q2" s="74" t="s">
        <v>95</v>
      </c>
      <c r="R2" s="74" t="s">
        <v>96</v>
      </c>
      <c r="S2" s="74" t="s">
        <v>97</v>
      </c>
      <c r="T2" s="74" t="s">
        <v>98</v>
      </c>
    </row>
    <row r="3">
      <c r="A3" s="75" t="s">
        <v>19</v>
      </c>
      <c r="B3" s="75" t="s">
        <v>99</v>
      </c>
      <c r="C3" s="75" t="s">
        <v>100</v>
      </c>
      <c r="D3" s="75" t="s">
        <v>101</v>
      </c>
      <c r="E3" s="75" t="s">
        <v>102</v>
      </c>
      <c r="F3" s="75" t="s">
        <v>103</v>
      </c>
      <c r="G3" s="76"/>
      <c r="H3" s="75" t="s">
        <v>22</v>
      </c>
      <c r="I3" s="75" t="s">
        <v>39</v>
      </c>
      <c r="J3" s="75" t="s">
        <v>104</v>
      </c>
      <c r="K3" s="75" t="s">
        <v>37</v>
      </c>
      <c r="L3" s="75" t="s">
        <v>105</v>
      </c>
      <c r="M3" s="75" t="s">
        <v>106</v>
      </c>
      <c r="N3" s="76"/>
      <c r="O3" s="75" t="s">
        <v>25</v>
      </c>
      <c r="P3" s="75" t="s">
        <v>106</v>
      </c>
      <c r="Q3" s="75" t="s">
        <v>25</v>
      </c>
      <c r="R3" s="75" t="s">
        <v>101</v>
      </c>
      <c r="S3" s="75" t="s">
        <v>107</v>
      </c>
      <c r="T3" s="75" t="s">
        <v>102</v>
      </c>
    </row>
    <row r="4">
      <c r="A4" s="77" t="s">
        <v>108</v>
      </c>
      <c r="B4" s="78">
        <f>'W4 Points'!H30</f>
        <v>0</v>
      </c>
      <c r="C4" s="78" t="str">
        <f>'W4 Points'!I86</f>
        <v/>
      </c>
      <c r="D4" s="78" t="str">
        <f>'W4 Points'!D16</f>
        <v/>
      </c>
      <c r="E4" s="78">
        <f>'W4 Points'!Q30</f>
        <v>0</v>
      </c>
      <c r="F4" s="78" t="s">
        <v>109</v>
      </c>
      <c r="H4" s="77" t="s">
        <v>108</v>
      </c>
      <c r="I4" s="78">
        <f>'W4 Points'!T58</f>
        <v>0</v>
      </c>
      <c r="J4" s="78" t="str">
        <f>'W4 Points'!I16</f>
        <v/>
      </c>
      <c r="K4" s="78" t="str">
        <f>'W4 Points'!D58</f>
        <v/>
      </c>
      <c r="L4" s="78">
        <f>'W4 Points'!W16</f>
        <v>0</v>
      </c>
      <c r="M4" s="78" t="s">
        <v>110</v>
      </c>
      <c r="O4" s="77" t="s">
        <v>108</v>
      </c>
      <c r="P4" s="78">
        <f>'W4 Points'!Z72</f>
        <v>0</v>
      </c>
      <c r="Q4" s="78" t="str">
        <f>'W4 Points'!O72</f>
        <v/>
      </c>
      <c r="R4" s="78" t="str">
        <f>'W4 Points'!D16</f>
        <v/>
      </c>
      <c r="S4" s="78">
        <f>'W4 Points'!E86</f>
        <v>0</v>
      </c>
      <c r="T4" s="78" t="s">
        <v>111</v>
      </c>
    </row>
    <row r="5">
      <c r="A5" s="77" t="s">
        <v>112</v>
      </c>
      <c r="B5" s="78" t="str">
        <f>'W4 Points'!H31</f>
        <v/>
      </c>
      <c r="C5" s="78" t="str">
        <f>'W4 Points'!I87</f>
        <v/>
      </c>
      <c r="D5" s="78">
        <f>'W4 Points'!D17</f>
        <v>0</v>
      </c>
      <c r="E5" s="78" t="str">
        <f>'W4 Points'!Q31</f>
        <v/>
      </c>
      <c r="F5" s="78"/>
      <c r="H5" s="77" t="s">
        <v>112</v>
      </c>
      <c r="I5" s="78" t="str">
        <f>'W4 Points'!T59</f>
        <v/>
      </c>
      <c r="J5" s="78" t="str">
        <f>'W4 Points'!I17</f>
        <v/>
      </c>
      <c r="K5" s="78">
        <f>'W4 Points'!D59</f>
        <v>0</v>
      </c>
      <c r="L5" s="78" t="str">
        <f>'W4 Points'!W17</f>
        <v/>
      </c>
      <c r="M5" s="78"/>
      <c r="O5" s="77" t="s">
        <v>112</v>
      </c>
      <c r="P5" s="78" t="str">
        <f>'W4 Points'!Z73</f>
        <v/>
      </c>
      <c r="Q5" s="78" t="str">
        <f>'W4 Points'!O73</f>
        <v/>
      </c>
      <c r="R5" s="78">
        <f>'W4 Points'!D17</f>
        <v>0</v>
      </c>
      <c r="S5" s="78" t="str">
        <f>'W4 Points'!E87</f>
        <v/>
      </c>
      <c r="T5" s="78"/>
    </row>
    <row r="6">
      <c r="A6" s="77" t="s">
        <v>113</v>
      </c>
      <c r="B6" s="78">
        <f>'W4 Points'!H32</f>
        <v>0</v>
      </c>
      <c r="C6" s="78" t="str">
        <f>'W4 Points'!I88</f>
        <v/>
      </c>
      <c r="D6" s="78" t="str">
        <f>'W4 Points'!D18</f>
        <v/>
      </c>
      <c r="E6" s="78" t="str">
        <f>'W4 Points'!Q32</f>
        <v/>
      </c>
      <c r="F6" s="78"/>
      <c r="H6" s="77" t="s">
        <v>113</v>
      </c>
      <c r="I6" s="78">
        <f>'W4 Points'!T60</f>
        <v>0</v>
      </c>
      <c r="J6" s="78" t="str">
        <f>'W4 Points'!I18</f>
        <v/>
      </c>
      <c r="K6" s="78" t="str">
        <f>'W4 Points'!D60</f>
        <v/>
      </c>
      <c r="L6" s="78" t="str">
        <f>'W4 Points'!W18</f>
        <v/>
      </c>
      <c r="M6" s="78"/>
      <c r="O6" s="77" t="s">
        <v>113</v>
      </c>
      <c r="P6" s="78">
        <f>'W4 Points'!Z74</f>
        <v>0</v>
      </c>
      <c r="Q6" s="78" t="str">
        <f>'W4 Points'!O74</f>
        <v/>
      </c>
      <c r="R6" s="78" t="str">
        <f>'W4 Points'!D18</f>
        <v/>
      </c>
      <c r="S6" s="78" t="str">
        <f>'W4 Points'!E88</f>
        <v/>
      </c>
      <c r="T6" s="78"/>
    </row>
    <row r="7">
      <c r="A7" s="77" t="s">
        <v>114</v>
      </c>
      <c r="B7" s="78" t="str">
        <f>'W4 Points'!H33</f>
        <v/>
      </c>
      <c r="C7" s="78">
        <f>'W4 Points'!I89</f>
        <v>0</v>
      </c>
      <c r="D7" s="78" t="str">
        <f>'W4 Points'!D19</f>
        <v/>
      </c>
      <c r="E7" s="78">
        <f>'W4 Points'!Q33</f>
        <v>0</v>
      </c>
      <c r="F7" s="78"/>
      <c r="H7" s="77" t="s">
        <v>114</v>
      </c>
      <c r="I7" s="78" t="str">
        <f>'W4 Points'!T61</f>
        <v/>
      </c>
      <c r="J7" s="78">
        <f>'W4 Points'!I19</f>
        <v>0</v>
      </c>
      <c r="K7" s="78" t="str">
        <f>'W4 Points'!D61</f>
        <v/>
      </c>
      <c r="L7" s="78">
        <f>'W4 Points'!W19</f>
        <v>0</v>
      </c>
      <c r="M7" s="78"/>
      <c r="O7" s="77" t="s">
        <v>114</v>
      </c>
      <c r="P7" s="78" t="str">
        <f>'W4 Points'!Z75</f>
        <v/>
      </c>
      <c r="Q7" s="78">
        <f>'W4 Points'!O75</f>
        <v>0</v>
      </c>
      <c r="R7" s="78" t="str">
        <f>'W4 Points'!D19</f>
        <v/>
      </c>
      <c r="S7" s="78">
        <f>'W4 Points'!E89</f>
        <v>0</v>
      </c>
      <c r="T7" s="78"/>
    </row>
    <row r="8">
      <c r="A8" s="77" t="s">
        <v>115</v>
      </c>
      <c r="B8" s="78" t="str">
        <f>'W4 Points'!H34</f>
        <v/>
      </c>
      <c r="C8" s="78">
        <f>'W4 Points'!I90</f>
        <v>0</v>
      </c>
      <c r="D8" s="78" t="str">
        <f>'W4 Points'!D20</f>
        <v/>
      </c>
      <c r="E8" s="78">
        <f>'W4 Points'!Q34</f>
        <v>0</v>
      </c>
      <c r="F8" s="78"/>
      <c r="H8" s="77" t="s">
        <v>115</v>
      </c>
      <c r="I8" s="78" t="str">
        <f>'W4 Points'!T62</f>
        <v/>
      </c>
      <c r="J8" s="78">
        <f>'W4 Points'!I20</f>
        <v>0</v>
      </c>
      <c r="K8" s="78" t="str">
        <f>'W4 Points'!D62</f>
        <v/>
      </c>
      <c r="L8" s="78">
        <f>'W4 Points'!W20</f>
        <v>0</v>
      </c>
      <c r="M8" s="78"/>
      <c r="O8" s="77" t="s">
        <v>115</v>
      </c>
      <c r="P8" s="78" t="str">
        <f>'W4 Points'!Z76</f>
        <v/>
      </c>
      <c r="Q8" s="78">
        <f>'W4 Points'!O76</f>
        <v>0</v>
      </c>
      <c r="R8" s="78" t="str">
        <f>'W4 Points'!D20</f>
        <v/>
      </c>
      <c r="S8" s="78">
        <f>'W4 Points'!E90</f>
        <v>0</v>
      </c>
      <c r="T8" s="78"/>
    </row>
    <row r="9">
      <c r="A9" s="77" t="s">
        <v>116</v>
      </c>
      <c r="B9" s="78">
        <f>'W4 Points'!H35</f>
        <v>0</v>
      </c>
      <c r="C9" s="78" t="str">
        <f>'W4 Points'!I91</f>
        <v/>
      </c>
      <c r="D9" s="78">
        <f>'W4 Points'!D21</f>
        <v>0</v>
      </c>
      <c r="E9" s="78" t="str">
        <f>'W4 Points'!Q35</f>
        <v/>
      </c>
      <c r="F9" s="78"/>
      <c r="H9" s="77" t="s">
        <v>116</v>
      </c>
      <c r="I9" s="78">
        <f>'W4 Points'!T63</f>
        <v>0</v>
      </c>
      <c r="J9" s="78" t="str">
        <f>'W4 Points'!I21</f>
        <v/>
      </c>
      <c r="K9" s="78">
        <f>'W4 Points'!D63</f>
        <v>0</v>
      </c>
      <c r="L9" s="78" t="str">
        <f>'W4 Points'!W21</f>
        <v/>
      </c>
      <c r="M9" s="78"/>
      <c r="O9" s="77" t="s">
        <v>116</v>
      </c>
      <c r="P9" s="78">
        <f>'W4 Points'!Z77</f>
        <v>0</v>
      </c>
      <c r="Q9" s="78" t="str">
        <f>'W4 Points'!O77</f>
        <v/>
      </c>
      <c r="R9" s="78">
        <f>'W4 Points'!D21</f>
        <v>0</v>
      </c>
      <c r="S9" s="78" t="str">
        <f>'W4 Points'!E91</f>
        <v/>
      </c>
      <c r="T9" s="78"/>
    </row>
    <row r="10">
      <c r="A10" s="77" t="s">
        <v>117</v>
      </c>
      <c r="B10" s="78" t="str">
        <f>'W4 Points'!H36</f>
        <v/>
      </c>
      <c r="C10" s="78">
        <f>'W4 Points'!I92</f>
        <v>0</v>
      </c>
      <c r="D10" s="78" t="str">
        <f>'W4 Points'!D22</f>
        <v/>
      </c>
      <c r="E10" s="78" t="str">
        <f>'W4 Points'!Q36</f>
        <v/>
      </c>
      <c r="F10" s="78"/>
      <c r="H10" s="77" t="s">
        <v>117</v>
      </c>
      <c r="I10" s="78" t="str">
        <f>'W4 Points'!T64</f>
        <v/>
      </c>
      <c r="J10" s="78">
        <f>'W4 Points'!I22</f>
        <v>0</v>
      </c>
      <c r="K10" s="78" t="str">
        <f>'W4 Points'!D64</f>
        <v/>
      </c>
      <c r="L10" s="78" t="str">
        <f>'W4 Points'!W22</f>
        <v/>
      </c>
      <c r="M10" s="78"/>
      <c r="O10" s="77" t="s">
        <v>117</v>
      </c>
      <c r="P10" s="78" t="str">
        <f>'W4 Points'!Z78</f>
        <v/>
      </c>
      <c r="Q10" s="78">
        <f>'W4 Points'!O78</f>
        <v>0</v>
      </c>
      <c r="R10" s="78" t="str">
        <f>'W4 Points'!D22</f>
        <v/>
      </c>
      <c r="S10" s="78" t="str">
        <f>'W4 Points'!E92</f>
        <v/>
      </c>
      <c r="T10" s="78"/>
    </row>
    <row r="11">
      <c r="A11" s="77" t="s">
        <v>118</v>
      </c>
      <c r="B11" s="78" t="str">
        <f>'W4 Points'!H37</f>
        <v/>
      </c>
      <c r="C11" s="78" t="str">
        <f>'W4 Points'!I93</f>
        <v/>
      </c>
      <c r="D11" s="78">
        <f>'W4 Points'!D23</f>
        <v>0</v>
      </c>
      <c r="E11" s="78">
        <f>'W4 Points'!Q37</f>
        <v>0</v>
      </c>
      <c r="F11" s="78"/>
      <c r="H11" s="77" t="s">
        <v>118</v>
      </c>
      <c r="I11" s="78" t="str">
        <f>'W4 Points'!T65</f>
        <v/>
      </c>
      <c r="J11" s="78" t="str">
        <f>'W4 Points'!I23</f>
        <v/>
      </c>
      <c r="K11" s="78">
        <f>'W4 Points'!D65</f>
        <v>0</v>
      </c>
      <c r="L11" s="78">
        <f>'W4 Points'!W23</f>
        <v>0</v>
      </c>
      <c r="M11" s="78"/>
      <c r="O11" s="77" t="s">
        <v>118</v>
      </c>
      <c r="P11" s="78" t="str">
        <f>'W4 Points'!Z79</f>
        <v/>
      </c>
      <c r="Q11" s="78" t="str">
        <f>'W4 Points'!O79</f>
        <v/>
      </c>
      <c r="R11" s="78">
        <f>'W4 Points'!D23</f>
        <v>0</v>
      </c>
      <c r="S11" s="78">
        <f>'W4 Points'!E93</f>
        <v>0</v>
      </c>
      <c r="T11" s="78"/>
    </row>
    <row r="12">
      <c r="A12" s="77" t="s">
        <v>119</v>
      </c>
      <c r="B12" s="78" t="str">
        <f>'W4 Points'!H38</f>
        <v/>
      </c>
      <c r="C12" s="78">
        <f>'W4 Points'!I94</f>
        <v>0</v>
      </c>
      <c r="D12" s="78" t="str">
        <f>'W4 Points'!D24</f>
        <v/>
      </c>
      <c r="E12" s="78">
        <f>'W4 Points'!Q38</f>
        <v>0</v>
      </c>
      <c r="F12" s="78"/>
      <c r="H12" s="77" t="s">
        <v>119</v>
      </c>
      <c r="I12" s="78" t="str">
        <f>'W4 Points'!T66</f>
        <v/>
      </c>
      <c r="J12" s="78">
        <f>'W4 Points'!I24</f>
        <v>0</v>
      </c>
      <c r="K12" s="78" t="str">
        <f>'W4 Points'!D66</f>
        <v/>
      </c>
      <c r="L12" s="78">
        <f>'W4 Points'!W24</f>
        <v>0</v>
      </c>
      <c r="M12" s="78"/>
      <c r="O12" s="77" t="s">
        <v>119</v>
      </c>
      <c r="P12" s="78" t="str">
        <f>'W4 Points'!Z80</f>
        <v/>
      </c>
      <c r="Q12" s="78">
        <f>'W4 Points'!O80</f>
        <v>0</v>
      </c>
      <c r="R12" s="78" t="str">
        <f>'W4 Points'!D24</f>
        <v/>
      </c>
      <c r="S12" s="78">
        <f>'W4 Points'!E94</f>
        <v>0</v>
      </c>
      <c r="T12" s="78"/>
    </row>
    <row r="13">
      <c r="A13" s="77" t="s">
        <v>120</v>
      </c>
      <c r="B13" s="78" t="str">
        <f>'W4 Points'!H39</f>
        <v/>
      </c>
      <c r="C13" s="78" t="str">
        <f>'W4 Points'!I95</f>
        <v/>
      </c>
      <c r="D13" s="78">
        <f>'W4 Points'!D25</f>
        <v>0</v>
      </c>
      <c r="E13" s="78">
        <f>'W4 Points'!Q39</f>
        <v>0</v>
      </c>
      <c r="F13" s="78"/>
      <c r="H13" s="77" t="s">
        <v>120</v>
      </c>
      <c r="I13" s="78" t="str">
        <f>'W4 Points'!T67</f>
        <v/>
      </c>
      <c r="J13" s="78" t="str">
        <f>'W4 Points'!I25</f>
        <v/>
      </c>
      <c r="K13" s="78">
        <f>'W4 Points'!D67</f>
        <v>0</v>
      </c>
      <c r="L13" s="78">
        <f>'W4 Points'!W25</f>
        <v>0</v>
      </c>
      <c r="M13" s="78"/>
      <c r="O13" s="77" t="s">
        <v>120</v>
      </c>
      <c r="P13" s="78" t="str">
        <f>'W4 Points'!Z81</f>
        <v/>
      </c>
      <c r="Q13" s="78" t="str">
        <f>'W4 Points'!O81</f>
        <v/>
      </c>
      <c r="R13" s="78">
        <f>'W4 Points'!D25</f>
        <v>0</v>
      </c>
      <c r="S13" s="78">
        <f>'W4 Points'!E95</f>
        <v>0</v>
      </c>
      <c r="T13" s="78"/>
    </row>
    <row r="14">
      <c r="A14" s="77" t="s">
        <v>121</v>
      </c>
      <c r="B14" s="78">
        <f>'W4 Points'!H40</f>
        <v>0</v>
      </c>
      <c r="C14" s="78">
        <f>'W4 Points'!I96</f>
        <v>0</v>
      </c>
      <c r="D14" s="78">
        <f>'W4 Points'!D26</f>
        <v>0</v>
      </c>
      <c r="E14" s="78">
        <f>'W4 Points'!Q40</f>
        <v>0</v>
      </c>
      <c r="F14" s="78"/>
      <c r="H14" s="77" t="s">
        <v>121</v>
      </c>
      <c r="I14" s="78">
        <f>'W4 Points'!T68</f>
        <v>0</v>
      </c>
      <c r="J14" s="78">
        <f>'W4 Points'!I26</f>
        <v>0</v>
      </c>
      <c r="K14" s="78">
        <f>'W4 Points'!D68</f>
        <v>0</v>
      </c>
      <c r="L14" s="78">
        <f>'W4 Points'!W26</f>
        <v>0</v>
      </c>
      <c r="M14" s="78"/>
      <c r="O14" s="77" t="s">
        <v>121</v>
      </c>
      <c r="P14" s="78">
        <f>'W4 Points'!Z82</f>
        <v>0</v>
      </c>
      <c r="Q14" s="78">
        <f>'W4 Points'!O82</f>
        <v>0</v>
      </c>
      <c r="R14" s="78">
        <f>'W4 Points'!D26</f>
        <v>0</v>
      </c>
      <c r="S14" s="78">
        <f>'W4 Points'!E96</f>
        <v>0</v>
      </c>
      <c r="T14" s="78"/>
    </row>
    <row r="15">
      <c r="A15" s="77" t="s">
        <v>122</v>
      </c>
      <c r="B15" s="79">
        <f t="shared" ref="B15:F15" si="1">SUM(B4:B14)</f>
        <v>0</v>
      </c>
      <c r="C15" s="79">
        <f t="shared" si="1"/>
        <v>0</v>
      </c>
      <c r="D15" s="79">
        <f t="shared" si="1"/>
        <v>0</v>
      </c>
      <c r="E15" s="79">
        <f t="shared" si="1"/>
        <v>0</v>
      </c>
      <c r="F15" s="79">
        <f t="shared" si="1"/>
        <v>0</v>
      </c>
      <c r="H15" s="77" t="s">
        <v>122</v>
      </c>
      <c r="I15" s="79">
        <f t="shared" ref="I15:M15" si="2">SUM(I4:I14)</f>
        <v>0</v>
      </c>
      <c r="J15" s="79">
        <f t="shared" si="2"/>
        <v>0</v>
      </c>
      <c r="K15" s="79">
        <f t="shared" si="2"/>
        <v>0</v>
      </c>
      <c r="L15" s="79">
        <f t="shared" si="2"/>
        <v>0</v>
      </c>
      <c r="M15" s="79">
        <f t="shared" si="2"/>
        <v>0</v>
      </c>
      <c r="O15" s="77" t="s">
        <v>122</v>
      </c>
      <c r="P15" s="80">
        <f t="shared" ref="P15:T15" si="3">SUM(P4:P14)</f>
        <v>0</v>
      </c>
      <c r="Q15" s="80">
        <f t="shared" si="3"/>
        <v>0</v>
      </c>
      <c r="R15" s="80">
        <f t="shared" si="3"/>
        <v>0</v>
      </c>
      <c r="S15" s="80">
        <f t="shared" si="3"/>
        <v>0</v>
      </c>
      <c r="T15" s="80">
        <f t="shared" si="3"/>
        <v>0</v>
      </c>
    </row>
    <row r="16">
      <c r="E16" s="81" t="s">
        <v>123</v>
      </c>
      <c r="F16" s="82">
        <f>SUM(B15:E15)</f>
        <v>0</v>
      </c>
      <c r="L16" s="81" t="s">
        <v>123</v>
      </c>
      <c r="M16" s="82">
        <f>SUM(I15:L15)</f>
        <v>0</v>
      </c>
      <c r="S16" s="81" t="s">
        <v>123</v>
      </c>
      <c r="T16" s="82">
        <f>SUM(P15:S15)</f>
        <v>0</v>
      </c>
    </row>
    <row r="17">
      <c r="A17" s="73" t="s">
        <v>27</v>
      </c>
      <c r="H17" s="73" t="s">
        <v>30</v>
      </c>
      <c r="O17" s="73" t="s">
        <v>33</v>
      </c>
    </row>
    <row r="18">
      <c r="A18" s="74" t="s">
        <v>7</v>
      </c>
      <c r="B18" s="74" t="s">
        <v>94</v>
      </c>
      <c r="C18" s="74" t="s">
        <v>95</v>
      </c>
      <c r="D18" s="74" t="s">
        <v>96</v>
      </c>
      <c r="E18" s="74" t="s">
        <v>97</v>
      </c>
      <c r="F18" s="74" t="s">
        <v>98</v>
      </c>
      <c r="H18" s="74" t="s">
        <v>7</v>
      </c>
      <c r="I18" s="74" t="s">
        <v>94</v>
      </c>
      <c r="J18" s="74" t="s">
        <v>95</v>
      </c>
      <c r="K18" s="74" t="s">
        <v>96</v>
      </c>
      <c r="L18" s="74" t="s">
        <v>97</v>
      </c>
      <c r="M18" s="74" t="s">
        <v>98</v>
      </c>
      <c r="O18" s="74" t="s">
        <v>7</v>
      </c>
      <c r="P18" s="74" t="s">
        <v>94</v>
      </c>
      <c r="Q18" s="74" t="s">
        <v>95</v>
      </c>
      <c r="R18" s="74" t="s">
        <v>96</v>
      </c>
      <c r="S18" s="74" t="s">
        <v>97</v>
      </c>
      <c r="T18" s="74" t="s">
        <v>98</v>
      </c>
    </row>
    <row r="19">
      <c r="A19" s="75" t="s">
        <v>28</v>
      </c>
      <c r="B19" s="75" t="s">
        <v>37</v>
      </c>
      <c r="C19" s="75" t="s">
        <v>124</v>
      </c>
      <c r="D19" s="75" t="s">
        <v>39</v>
      </c>
      <c r="E19" s="75" t="s">
        <v>106</v>
      </c>
      <c r="F19" s="75" t="s">
        <v>125</v>
      </c>
      <c r="H19" s="75" t="s">
        <v>31</v>
      </c>
      <c r="I19" s="75" t="s">
        <v>106</v>
      </c>
      <c r="J19" s="75" t="s">
        <v>124</v>
      </c>
      <c r="K19" s="75" t="s">
        <v>100</v>
      </c>
      <c r="L19" s="75" t="s">
        <v>126</v>
      </c>
      <c r="M19" s="75" t="s">
        <v>103</v>
      </c>
      <c r="O19" s="75" t="s">
        <v>34</v>
      </c>
      <c r="P19" s="75" t="s">
        <v>127</v>
      </c>
      <c r="Q19" s="75" t="s">
        <v>103</v>
      </c>
      <c r="R19" s="75" t="s">
        <v>37</v>
      </c>
      <c r="S19" s="75" t="s">
        <v>101</v>
      </c>
      <c r="T19" s="75" t="s">
        <v>128</v>
      </c>
    </row>
    <row r="20">
      <c r="A20" s="77" t="s">
        <v>108</v>
      </c>
      <c r="B20" s="78">
        <f>'W4 Points'!B58</f>
        <v>0</v>
      </c>
      <c r="C20" s="78" t="str">
        <f>'W4 Points'!I44</f>
        <v/>
      </c>
      <c r="D20" s="78" t="str">
        <f>'W4 Points'!V58</f>
        <v/>
      </c>
      <c r="E20" s="78">
        <f>'W4 Points'!AC72</f>
        <v>0</v>
      </c>
      <c r="F20" s="78" t="s">
        <v>129</v>
      </c>
      <c r="H20" s="77" t="s">
        <v>108</v>
      </c>
      <c r="I20" s="78">
        <f>'W4 Points'!Z30</f>
        <v>0</v>
      </c>
      <c r="J20" s="78" t="str">
        <f>'W4 Points'!I44</f>
        <v/>
      </c>
      <c r="K20" s="78" t="str">
        <f>'W4 Points'!J86</f>
        <v/>
      </c>
      <c r="L20" s="78">
        <f>'W4 Points'!W86</f>
        <v>0</v>
      </c>
      <c r="M20" s="78" t="s">
        <v>109</v>
      </c>
      <c r="O20" s="77" t="s">
        <v>108</v>
      </c>
      <c r="P20" s="78">
        <f>'W4 Points'!N16</f>
        <v>0</v>
      </c>
      <c r="Q20" s="78" t="str">
        <f>'W4 Points'!U30</f>
        <v/>
      </c>
      <c r="R20" s="78" t="str">
        <f>'W4 Points'!D58</f>
        <v/>
      </c>
      <c r="S20" s="78">
        <f>'W4 Points'!E16</f>
        <v>0</v>
      </c>
      <c r="T20" s="78" t="s">
        <v>130</v>
      </c>
    </row>
    <row r="21">
      <c r="A21" s="77" t="s">
        <v>112</v>
      </c>
      <c r="B21" s="78" t="str">
        <f>'W4 Points'!B59</f>
        <v/>
      </c>
      <c r="C21" s="78" t="str">
        <f>'W4 Points'!I45</f>
        <v/>
      </c>
      <c r="D21" s="78">
        <f>'W4 Points'!V59</f>
        <v>0</v>
      </c>
      <c r="E21" s="78" t="str">
        <f>'W4 Points'!AC73</f>
        <v/>
      </c>
      <c r="F21" s="78"/>
      <c r="H21" s="77" t="s">
        <v>112</v>
      </c>
      <c r="I21" s="78" t="str">
        <f>'W4 Points'!Z31</f>
        <v/>
      </c>
      <c r="J21" s="78" t="str">
        <f>'W4 Points'!I45</f>
        <v/>
      </c>
      <c r="K21" s="78">
        <f>'W4 Points'!J87</f>
        <v>0</v>
      </c>
      <c r="L21" s="78" t="str">
        <f>'W4 Points'!W87</f>
        <v/>
      </c>
      <c r="M21" s="78"/>
      <c r="O21" s="77" t="s">
        <v>112</v>
      </c>
      <c r="P21" s="78" t="str">
        <f>'W4 Points'!N17</f>
        <v/>
      </c>
      <c r="Q21" s="78" t="str">
        <f>'W4 Points'!U31</f>
        <v/>
      </c>
      <c r="R21" s="78">
        <f>'W4 Points'!D59</f>
        <v>0</v>
      </c>
      <c r="S21" s="78" t="str">
        <f>'W4 Points'!E17</f>
        <v/>
      </c>
      <c r="T21" s="78"/>
    </row>
    <row r="22">
      <c r="A22" s="77" t="s">
        <v>113</v>
      </c>
      <c r="B22" s="78">
        <f>'W4 Points'!B60</f>
        <v>0</v>
      </c>
      <c r="C22" s="78" t="str">
        <f>'W4 Points'!I46</f>
        <v/>
      </c>
      <c r="D22" s="78" t="str">
        <f>'W4 Points'!V60</f>
        <v/>
      </c>
      <c r="E22" s="78" t="str">
        <f>'W4 Points'!AC74</f>
        <v/>
      </c>
      <c r="F22" s="78"/>
      <c r="H22" s="77" t="s">
        <v>113</v>
      </c>
      <c r="I22" s="78">
        <f>'W4 Points'!Z32</f>
        <v>0</v>
      </c>
      <c r="J22" s="78" t="str">
        <f>'W4 Points'!I46</f>
        <v/>
      </c>
      <c r="K22" s="78" t="str">
        <f>'W4 Points'!J88</f>
        <v/>
      </c>
      <c r="L22" s="78" t="str">
        <f>'W4 Points'!W88</f>
        <v/>
      </c>
      <c r="M22" s="78"/>
      <c r="O22" s="77" t="s">
        <v>113</v>
      </c>
      <c r="P22" s="78">
        <f>'W4 Points'!N18</f>
        <v>0</v>
      </c>
      <c r="Q22" s="78" t="str">
        <f>'W4 Points'!U32</f>
        <v/>
      </c>
      <c r="R22" s="78" t="str">
        <f>'W4 Points'!D60</f>
        <v/>
      </c>
      <c r="S22" s="78" t="str">
        <f>'W4 Points'!E18</f>
        <v/>
      </c>
      <c r="T22" s="78"/>
    </row>
    <row r="23">
      <c r="A23" s="77" t="s">
        <v>114</v>
      </c>
      <c r="B23" s="78" t="str">
        <f>'W4 Points'!B61</f>
        <v/>
      </c>
      <c r="C23" s="78">
        <f>'W4 Points'!I47</f>
        <v>0</v>
      </c>
      <c r="D23" s="78" t="str">
        <f>'W4 Points'!V61</f>
        <v/>
      </c>
      <c r="E23" s="78">
        <f>'W4 Points'!AC75</f>
        <v>0</v>
      </c>
      <c r="F23" s="78"/>
      <c r="H23" s="77" t="s">
        <v>114</v>
      </c>
      <c r="I23" s="78" t="str">
        <f>'W4 Points'!Z33</f>
        <v/>
      </c>
      <c r="J23" s="78">
        <f>'W4 Points'!I47</f>
        <v>0</v>
      </c>
      <c r="K23" s="78" t="str">
        <f>'W4 Points'!J89</f>
        <v/>
      </c>
      <c r="L23" s="78">
        <f>'W4 Points'!W89</f>
        <v>0</v>
      </c>
      <c r="M23" s="78"/>
      <c r="O23" s="77" t="s">
        <v>114</v>
      </c>
      <c r="P23" s="78" t="str">
        <f>'W4 Points'!N19</f>
        <v/>
      </c>
      <c r="Q23" s="78">
        <f>'W4 Points'!U33</f>
        <v>0</v>
      </c>
      <c r="R23" s="78" t="str">
        <f>'W4 Points'!D61</f>
        <v/>
      </c>
      <c r="S23" s="78">
        <f>'W4 Points'!E19</f>
        <v>0</v>
      </c>
      <c r="T23" s="78"/>
    </row>
    <row r="24">
      <c r="A24" s="77" t="s">
        <v>115</v>
      </c>
      <c r="B24" s="78" t="str">
        <f>'W4 Points'!B62</f>
        <v/>
      </c>
      <c r="C24" s="78">
        <f>'W4 Points'!I48</f>
        <v>0</v>
      </c>
      <c r="D24" s="78" t="str">
        <f>'W4 Points'!V62</f>
        <v/>
      </c>
      <c r="E24" s="78">
        <f>'W4 Points'!AC76</f>
        <v>0</v>
      </c>
      <c r="F24" s="78"/>
      <c r="H24" s="77" t="s">
        <v>115</v>
      </c>
      <c r="I24" s="78" t="str">
        <f>'W4 Points'!Z34</f>
        <v/>
      </c>
      <c r="J24" s="78">
        <f>'W4 Points'!I48</f>
        <v>0</v>
      </c>
      <c r="K24" s="78" t="str">
        <f>'W4 Points'!J90</f>
        <v/>
      </c>
      <c r="L24" s="78">
        <f>'W4 Points'!W90</f>
        <v>0</v>
      </c>
      <c r="M24" s="78"/>
      <c r="O24" s="77" t="s">
        <v>115</v>
      </c>
      <c r="P24" s="78" t="str">
        <f>'W4 Points'!N20</f>
        <v/>
      </c>
      <c r="Q24" s="78">
        <f>'W4 Points'!U34</f>
        <v>0</v>
      </c>
      <c r="R24" s="78" t="str">
        <f>'W4 Points'!D62</f>
        <v/>
      </c>
      <c r="S24" s="78">
        <f>'W4 Points'!E20</f>
        <v>0</v>
      </c>
      <c r="T24" s="78"/>
    </row>
    <row r="25">
      <c r="A25" s="77" t="s">
        <v>116</v>
      </c>
      <c r="B25" s="78">
        <f>'W4 Points'!B63</f>
        <v>0</v>
      </c>
      <c r="C25" s="78" t="str">
        <f>'W4 Points'!I49</f>
        <v/>
      </c>
      <c r="D25" s="78">
        <f>'W4 Points'!V63</f>
        <v>0</v>
      </c>
      <c r="E25" s="78" t="str">
        <f>'W4 Points'!AC77</f>
        <v/>
      </c>
      <c r="F25" s="78"/>
      <c r="H25" s="77" t="s">
        <v>116</v>
      </c>
      <c r="I25" s="78">
        <f>'W4 Points'!Z35</f>
        <v>0</v>
      </c>
      <c r="J25" s="78" t="str">
        <f>'W4 Points'!I49</f>
        <v/>
      </c>
      <c r="K25" s="78">
        <f>'W4 Points'!J91</f>
        <v>0</v>
      </c>
      <c r="L25" s="78" t="str">
        <f>'W4 Points'!W91</f>
        <v/>
      </c>
      <c r="M25" s="78"/>
      <c r="O25" s="77" t="s">
        <v>116</v>
      </c>
      <c r="P25" s="78">
        <f>'W4 Points'!N21</f>
        <v>0</v>
      </c>
      <c r="Q25" s="78" t="str">
        <f>'W4 Points'!U35</f>
        <v/>
      </c>
      <c r="R25" s="78">
        <f>'W4 Points'!D63</f>
        <v>0</v>
      </c>
      <c r="S25" s="78" t="str">
        <f>'W4 Points'!E21</f>
        <v/>
      </c>
      <c r="T25" s="78"/>
    </row>
    <row r="26">
      <c r="A26" s="77" t="s">
        <v>117</v>
      </c>
      <c r="B26" s="78" t="str">
        <f>'W4 Points'!B64</f>
        <v/>
      </c>
      <c r="C26" s="78">
        <f>'W4 Points'!I50</f>
        <v>0</v>
      </c>
      <c r="D26" s="78" t="str">
        <f>'W4 Points'!V64</f>
        <v/>
      </c>
      <c r="E26" s="78" t="str">
        <f>'W4 Points'!AC78</f>
        <v/>
      </c>
      <c r="F26" s="78"/>
      <c r="H26" s="77" t="s">
        <v>117</v>
      </c>
      <c r="I26" s="78" t="str">
        <f>'W4 Points'!Z36</f>
        <v/>
      </c>
      <c r="J26" s="78">
        <f>'W4 Points'!I50</f>
        <v>0</v>
      </c>
      <c r="K26" s="78" t="str">
        <f>'W4 Points'!J92</f>
        <v/>
      </c>
      <c r="L26" s="78" t="str">
        <f>'W4 Points'!W92</f>
        <v/>
      </c>
      <c r="M26" s="78"/>
      <c r="O26" s="77" t="s">
        <v>117</v>
      </c>
      <c r="P26" s="78" t="str">
        <f>'W4 Points'!N22</f>
        <v/>
      </c>
      <c r="Q26" s="78">
        <f>'W4 Points'!U36</f>
        <v>0</v>
      </c>
      <c r="R26" s="78" t="str">
        <f>'W4 Points'!D64</f>
        <v/>
      </c>
      <c r="S26" s="78" t="str">
        <f>'W4 Points'!E22</f>
        <v/>
      </c>
      <c r="T26" s="78"/>
    </row>
    <row r="27">
      <c r="A27" s="77" t="s">
        <v>118</v>
      </c>
      <c r="B27" s="78" t="str">
        <f>'W4 Points'!B65</f>
        <v/>
      </c>
      <c r="C27" s="78" t="str">
        <f>'W4 Points'!I51</f>
        <v/>
      </c>
      <c r="D27" s="78">
        <f>'W4 Points'!V65</f>
        <v>0</v>
      </c>
      <c r="E27" s="78">
        <f>'W4 Points'!AC79</f>
        <v>0</v>
      </c>
      <c r="F27" s="78"/>
      <c r="H27" s="77" t="s">
        <v>118</v>
      </c>
      <c r="I27" s="78" t="str">
        <f>'W4 Points'!Z37</f>
        <v/>
      </c>
      <c r="J27" s="78" t="str">
        <f>'W4 Points'!I51</f>
        <v/>
      </c>
      <c r="K27" s="78">
        <f>'W4 Points'!J93</f>
        <v>0</v>
      </c>
      <c r="L27" s="78">
        <f>'W4 Points'!W93</f>
        <v>0</v>
      </c>
      <c r="M27" s="78"/>
      <c r="O27" s="77" t="s">
        <v>118</v>
      </c>
      <c r="P27" s="78" t="str">
        <f>'W4 Points'!N23</f>
        <v/>
      </c>
      <c r="Q27" s="78" t="str">
        <f>'W4 Points'!U37</f>
        <v/>
      </c>
      <c r="R27" s="78">
        <f>'W4 Points'!D65</f>
        <v>0</v>
      </c>
      <c r="S27" s="78">
        <f>'W4 Points'!E23</f>
        <v>0</v>
      </c>
      <c r="T27" s="78"/>
    </row>
    <row r="28">
      <c r="A28" s="77" t="s">
        <v>119</v>
      </c>
      <c r="B28" s="78" t="str">
        <f>'W4 Points'!B66</f>
        <v/>
      </c>
      <c r="C28" s="78">
        <f>'W4 Points'!I52</f>
        <v>0</v>
      </c>
      <c r="D28" s="78" t="str">
        <f>'W4 Points'!V66</f>
        <v/>
      </c>
      <c r="E28" s="78">
        <f>'W4 Points'!AC80</f>
        <v>0</v>
      </c>
      <c r="F28" s="78"/>
      <c r="H28" s="77" t="s">
        <v>119</v>
      </c>
      <c r="I28" s="78" t="str">
        <f>'W4 Points'!Z38</f>
        <v/>
      </c>
      <c r="J28" s="78">
        <f>'W4 Points'!I52</f>
        <v>0</v>
      </c>
      <c r="K28" s="78" t="str">
        <f>'W4 Points'!J94</f>
        <v/>
      </c>
      <c r="L28" s="78">
        <f>'W4 Points'!W94</f>
        <v>0</v>
      </c>
      <c r="M28" s="78"/>
      <c r="O28" s="77" t="s">
        <v>119</v>
      </c>
      <c r="P28" s="78" t="str">
        <f>'W4 Points'!N24</f>
        <v/>
      </c>
      <c r="Q28" s="78">
        <f>'W4 Points'!U38</f>
        <v>0</v>
      </c>
      <c r="R28" s="78" t="str">
        <f>'W4 Points'!D66</f>
        <v/>
      </c>
      <c r="S28" s="78">
        <f>'W4 Points'!E24</f>
        <v>0</v>
      </c>
      <c r="T28" s="78"/>
    </row>
    <row r="29">
      <c r="A29" s="77" t="s">
        <v>120</v>
      </c>
      <c r="B29" s="78" t="str">
        <f>'W4 Points'!B67</f>
        <v/>
      </c>
      <c r="C29" s="78" t="str">
        <f>'W4 Points'!I53</f>
        <v/>
      </c>
      <c r="D29" s="78">
        <f>'W4 Points'!V67</f>
        <v>0</v>
      </c>
      <c r="E29" s="78">
        <f>'W4 Points'!AC81</f>
        <v>0</v>
      </c>
      <c r="F29" s="78"/>
      <c r="H29" s="77" t="s">
        <v>120</v>
      </c>
      <c r="I29" s="78" t="str">
        <f>'W4 Points'!Z39</f>
        <v/>
      </c>
      <c r="J29" s="78" t="str">
        <f>'W4 Points'!I53</f>
        <v/>
      </c>
      <c r="K29" s="78">
        <f>'W4 Points'!J95</f>
        <v>0</v>
      </c>
      <c r="L29" s="78">
        <f>'W4 Points'!W95</f>
        <v>0</v>
      </c>
      <c r="M29" s="78"/>
      <c r="O29" s="77" t="s">
        <v>120</v>
      </c>
      <c r="P29" s="78" t="str">
        <f>'W4 Points'!N25</f>
        <v/>
      </c>
      <c r="Q29" s="78" t="str">
        <f>'W4 Points'!U39</f>
        <v/>
      </c>
      <c r="R29" s="78">
        <f>'W4 Points'!D67</f>
        <v>0</v>
      </c>
      <c r="S29" s="78">
        <f>'W4 Points'!E25</f>
        <v>0</v>
      </c>
      <c r="T29" s="78"/>
    </row>
    <row r="30">
      <c r="A30" s="77" t="s">
        <v>121</v>
      </c>
      <c r="B30" s="78">
        <f>'W4 Points'!B68</f>
        <v>0</v>
      </c>
      <c r="C30" s="78">
        <f>'W4 Points'!I54</f>
        <v>0</v>
      </c>
      <c r="D30" s="78">
        <f>'W4 Points'!V68</f>
        <v>0</v>
      </c>
      <c r="E30" s="78">
        <f>'W4 Points'!AC82</f>
        <v>0</v>
      </c>
      <c r="F30" s="78"/>
      <c r="H30" s="77" t="s">
        <v>121</v>
      </c>
      <c r="I30" s="78">
        <f>'W4 Points'!Z40</f>
        <v>0</v>
      </c>
      <c r="J30" s="78">
        <f>'W4 Points'!I54</f>
        <v>0</v>
      </c>
      <c r="K30" s="78">
        <f>'W4 Points'!J96</f>
        <v>0</v>
      </c>
      <c r="L30" s="78">
        <f>'W4 Points'!W96</f>
        <v>0</v>
      </c>
      <c r="M30" s="78"/>
      <c r="O30" s="77" t="s">
        <v>121</v>
      </c>
      <c r="P30" s="78">
        <f>'W4 Points'!N26</f>
        <v>0</v>
      </c>
      <c r="Q30" s="78">
        <f>'W4 Points'!U40</f>
        <v>0</v>
      </c>
      <c r="R30" s="78">
        <f>'W4 Points'!D68</f>
        <v>0</v>
      </c>
      <c r="S30" s="78">
        <f>'W4 Points'!E26</f>
        <v>0</v>
      </c>
      <c r="T30" s="78"/>
    </row>
    <row r="31">
      <c r="A31" s="77" t="s">
        <v>122</v>
      </c>
      <c r="B31" s="79">
        <f t="shared" ref="B31:F31" si="4">SUM(B20:B30)</f>
        <v>0</v>
      </c>
      <c r="C31" s="79">
        <f t="shared" si="4"/>
        <v>0</v>
      </c>
      <c r="D31" s="79">
        <f t="shared" si="4"/>
        <v>0</v>
      </c>
      <c r="E31" s="79">
        <f t="shared" si="4"/>
        <v>0</v>
      </c>
      <c r="F31" s="79">
        <f t="shared" si="4"/>
        <v>0</v>
      </c>
      <c r="H31" s="77" t="s">
        <v>122</v>
      </c>
      <c r="I31" s="79">
        <f t="shared" ref="I31:M31" si="5">SUM(I20:I30)</f>
        <v>0</v>
      </c>
      <c r="J31" s="79">
        <f t="shared" si="5"/>
        <v>0</v>
      </c>
      <c r="K31" s="79">
        <f t="shared" si="5"/>
        <v>0</v>
      </c>
      <c r="L31" s="79">
        <f t="shared" si="5"/>
        <v>0</v>
      </c>
      <c r="M31" s="79">
        <f t="shared" si="5"/>
        <v>0</v>
      </c>
      <c r="O31" s="77" t="s">
        <v>122</v>
      </c>
      <c r="P31" s="80">
        <f t="shared" ref="P31:T31" si="6">SUM(P20:P30)</f>
        <v>0</v>
      </c>
      <c r="Q31" s="80">
        <f t="shared" si="6"/>
        <v>0</v>
      </c>
      <c r="R31" s="80">
        <f t="shared" si="6"/>
        <v>0</v>
      </c>
      <c r="S31" s="80">
        <f t="shared" si="6"/>
        <v>0</v>
      </c>
      <c r="T31" s="80">
        <f t="shared" si="6"/>
        <v>0</v>
      </c>
    </row>
    <row r="32">
      <c r="E32" s="81" t="s">
        <v>123</v>
      </c>
      <c r="F32" s="82">
        <f>SUM(B31:E31)</f>
        <v>0</v>
      </c>
      <c r="L32" s="81" t="s">
        <v>123</v>
      </c>
      <c r="M32" s="82">
        <f>SUM(I31:L31)</f>
        <v>0</v>
      </c>
      <c r="S32" s="81" t="s">
        <v>123</v>
      </c>
      <c r="T32" s="82">
        <f>SUM(P31:S31)</f>
        <v>0</v>
      </c>
    </row>
    <row r="33">
      <c r="A33" s="73" t="s">
        <v>36</v>
      </c>
      <c r="H33" s="73" t="s">
        <v>39</v>
      </c>
      <c r="O33" s="73" t="s">
        <v>41</v>
      </c>
    </row>
    <row r="34">
      <c r="A34" s="74" t="s">
        <v>7</v>
      </c>
      <c r="B34" s="74" t="s">
        <v>94</v>
      </c>
      <c r="C34" s="74" t="s">
        <v>95</v>
      </c>
      <c r="D34" s="74" t="s">
        <v>96</v>
      </c>
      <c r="E34" s="74" t="s">
        <v>97</v>
      </c>
      <c r="F34" s="74" t="s">
        <v>98</v>
      </c>
      <c r="H34" s="74" t="s">
        <v>7</v>
      </c>
      <c r="I34" s="74" t="s">
        <v>94</v>
      </c>
      <c r="J34" s="74" t="s">
        <v>95</v>
      </c>
      <c r="K34" s="74" t="s">
        <v>96</v>
      </c>
      <c r="L34" s="74" t="s">
        <v>97</v>
      </c>
      <c r="M34" s="74" t="s">
        <v>98</v>
      </c>
      <c r="O34" s="74" t="s">
        <v>7</v>
      </c>
      <c r="P34" s="74" t="s">
        <v>94</v>
      </c>
      <c r="Q34" s="74" t="s">
        <v>95</v>
      </c>
      <c r="R34" s="74" t="s">
        <v>96</v>
      </c>
      <c r="S34" s="74" t="s">
        <v>97</v>
      </c>
      <c r="T34" s="74" t="s">
        <v>98</v>
      </c>
    </row>
    <row r="35">
      <c r="A35" s="75" t="s">
        <v>37</v>
      </c>
      <c r="B35" s="75" t="s">
        <v>37</v>
      </c>
      <c r="C35" s="75" t="s">
        <v>131</v>
      </c>
      <c r="D35" s="75" t="s">
        <v>102</v>
      </c>
      <c r="E35" s="75" t="s">
        <v>107</v>
      </c>
      <c r="F35" s="75" t="s">
        <v>106</v>
      </c>
      <c r="G35" s="76"/>
      <c r="H35" s="75" t="s">
        <v>39</v>
      </c>
      <c r="I35" s="75" t="s">
        <v>106</v>
      </c>
      <c r="J35" s="75" t="s">
        <v>124</v>
      </c>
      <c r="K35" s="75" t="s">
        <v>39</v>
      </c>
      <c r="L35" s="75" t="s">
        <v>101</v>
      </c>
      <c r="M35" s="75" t="s">
        <v>107</v>
      </c>
      <c r="N35" s="76"/>
      <c r="O35" s="75" t="s">
        <v>42</v>
      </c>
      <c r="P35" s="75" t="s">
        <v>106</v>
      </c>
      <c r="Q35" s="75" t="s">
        <v>131</v>
      </c>
      <c r="R35" s="75" t="s">
        <v>132</v>
      </c>
      <c r="S35" s="75" t="s">
        <v>133</v>
      </c>
      <c r="T35" s="75" t="s">
        <v>104</v>
      </c>
    </row>
    <row r="36">
      <c r="A36" s="77" t="s">
        <v>108</v>
      </c>
      <c r="B36" s="78">
        <f>'W4 Points'!B58</f>
        <v>0</v>
      </c>
      <c r="C36" s="78" t="str">
        <f>'W4 Points'!O86</f>
        <v/>
      </c>
      <c r="D36" s="78" t="str">
        <f>'W4 Points'!P30</f>
        <v/>
      </c>
      <c r="E36" s="78">
        <f>'W4 Points'!E86</f>
        <v>0</v>
      </c>
      <c r="F36" s="78" t="s">
        <v>110</v>
      </c>
      <c r="H36" s="77" t="s">
        <v>108</v>
      </c>
      <c r="I36" s="78">
        <f>'W4 Points'!Z30</f>
        <v>0</v>
      </c>
      <c r="J36" s="78" t="str">
        <f>'W4 Points'!I44</f>
        <v/>
      </c>
      <c r="K36" s="78" t="str">
        <f>'W4 Points'!V58</f>
        <v/>
      </c>
      <c r="L36" s="78">
        <f>'W4 Points'!E16</f>
        <v>0</v>
      </c>
      <c r="M36" s="78" t="s">
        <v>134</v>
      </c>
      <c r="O36" s="77" t="s">
        <v>108</v>
      </c>
      <c r="P36" s="78">
        <f>'W4 Points'!Z30</f>
        <v>0</v>
      </c>
      <c r="Q36" s="78" t="str">
        <f>'W4 Points'!O86</f>
        <v/>
      </c>
      <c r="R36" s="78" t="str">
        <f>'W4 Points'!D44</f>
        <v/>
      </c>
      <c r="S36" s="78">
        <f>'W4 Points'!W72</f>
        <v>0</v>
      </c>
      <c r="T36" s="78" t="s">
        <v>135</v>
      </c>
    </row>
    <row r="37">
      <c r="A37" s="77" t="s">
        <v>112</v>
      </c>
      <c r="B37" s="78" t="str">
        <f>'W4 Points'!B59</f>
        <v/>
      </c>
      <c r="C37" s="78" t="str">
        <f>'W4 Points'!O87</f>
        <v/>
      </c>
      <c r="D37" s="78">
        <f>'W4 Points'!P31</f>
        <v>0</v>
      </c>
      <c r="E37" s="78" t="str">
        <f>'W4 Points'!E87</f>
        <v/>
      </c>
      <c r="F37" s="78"/>
      <c r="H37" s="77" t="s">
        <v>112</v>
      </c>
      <c r="I37" s="78" t="str">
        <f>'W4 Points'!Z31</f>
        <v/>
      </c>
      <c r="J37" s="78" t="str">
        <f>'W4 Points'!I45</f>
        <v/>
      </c>
      <c r="K37" s="78">
        <f>'W4 Points'!V59</f>
        <v>0</v>
      </c>
      <c r="L37" s="78" t="str">
        <f>'W4 Points'!E17</f>
        <v/>
      </c>
      <c r="M37" s="78"/>
      <c r="O37" s="77" t="s">
        <v>112</v>
      </c>
      <c r="P37" s="78" t="str">
        <f>'W4 Points'!Z31</f>
        <v/>
      </c>
      <c r="Q37" s="78" t="str">
        <f>'W4 Points'!O87</f>
        <v/>
      </c>
      <c r="R37" s="78">
        <f>'W4 Points'!D45</f>
        <v>0</v>
      </c>
      <c r="S37" s="78" t="str">
        <f>'W4 Points'!W73</f>
        <v/>
      </c>
      <c r="T37" s="78"/>
    </row>
    <row r="38">
      <c r="A38" s="77" t="s">
        <v>113</v>
      </c>
      <c r="B38" s="78">
        <f>'W4 Points'!B60</f>
        <v>0</v>
      </c>
      <c r="C38" s="78" t="str">
        <f>'W4 Points'!O88</f>
        <v/>
      </c>
      <c r="D38" s="78" t="str">
        <f>'W4 Points'!P32</f>
        <v/>
      </c>
      <c r="E38" s="78" t="str">
        <f>'W4 Points'!E88</f>
        <v/>
      </c>
      <c r="F38" s="78"/>
      <c r="H38" s="77" t="s">
        <v>113</v>
      </c>
      <c r="I38" s="78">
        <f>'W4 Points'!Z32</f>
        <v>0</v>
      </c>
      <c r="J38" s="78" t="str">
        <f>'W4 Points'!I46</f>
        <v/>
      </c>
      <c r="K38" s="78" t="str">
        <f>'W4 Points'!V60</f>
        <v/>
      </c>
      <c r="L38" s="78" t="str">
        <f>'W4 Points'!E18</f>
        <v/>
      </c>
      <c r="M38" s="78"/>
      <c r="O38" s="77" t="s">
        <v>113</v>
      </c>
      <c r="P38" s="78">
        <f>'W4 Points'!Z32</f>
        <v>0</v>
      </c>
      <c r="Q38" s="78" t="str">
        <f>'W4 Points'!O88</f>
        <v/>
      </c>
      <c r="R38" s="78" t="str">
        <f>'W4 Points'!D46</f>
        <v/>
      </c>
      <c r="S38" s="78" t="str">
        <f>'W4 Points'!W74</f>
        <v/>
      </c>
      <c r="T38" s="78"/>
    </row>
    <row r="39">
      <c r="A39" s="77" t="s">
        <v>114</v>
      </c>
      <c r="B39" s="78" t="str">
        <f>'W4 Points'!B61</f>
        <v/>
      </c>
      <c r="C39" s="78">
        <f>'W4 Points'!O89</f>
        <v>0</v>
      </c>
      <c r="D39" s="78" t="str">
        <f>'W4 Points'!P33</f>
        <v/>
      </c>
      <c r="E39" s="78">
        <f>'W4 Points'!E89</f>
        <v>0</v>
      </c>
      <c r="F39" s="78"/>
      <c r="H39" s="77" t="s">
        <v>114</v>
      </c>
      <c r="I39" s="78" t="str">
        <f>'W4 Points'!Z33</f>
        <v/>
      </c>
      <c r="J39" s="78">
        <f>'W4 Points'!I47</f>
        <v>0</v>
      </c>
      <c r="K39" s="78" t="str">
        <f>'W4 Points'!V61</f>
        <v/>
      </c>
      <c r="L39" s="78">
        <f>'W4 Points'!E19</f>
        <v>0</v>
      </c>
      <c r="M39" s="78"/>
      <c r="O39" s="77" t="s">
        <v>114</v>
      </c>
      <c r="P39" s="78" t="str">
        <f>'W4 Points'!Z33</f>
        <v/>
      </c>
      <c r="Q39" s="78">
        <f>'W4 Points'!O89</f>
        <v>0</v>
      </c>
      <c r="R39" s="78" t="str">
        <f>'W4 Points'!D47</f>
        <v/>
      </c>
      <c r="S39" s="78">
        <f>'W4 Points'!W75</f>
        <v>0</v>
      </c>
      <c r="T39" s="78"/>
    </row>
    <row r="40">
      <c r="A40" s="77" t="s">
        <v>115</v>
      </c>
      <c r="B40" s="78" t="str">
        <f>'W4 Points'!B62</f>
        <v/>
      </c>
      <c r="C40" s="78">
        <f>'W4 Points'!O90</f>
        <v>0</v>
      </c>
      <c r="D40" s="78" t="str">
        <f>'W4 Points'!P34</f>
        <v/>
      </c>
      <c r="E40" s="78">
        <f>'W4 Points'!E90</f>
        <v>0</v>
      </c>
      <c r="F40" s="78"/>
      <c r="H40" s="77" t="s">
        <v>115</v>
      </c>
      <c r="I40" s="78" t="str">
        <f>'W4 Points'!Z34</f>
        <v/>
      </c>
      <c r="J40" s="78">
        <f>'W4 Points'!I48</f>
        <v>0</v>
      </c>
      <c r="K40" s="78" t="str">
        <f>'W4 Points'!V62</f>
        <v/>
      </c>
      <c r="L40" s="78">
        <f>'W4 Points'!E20</f>
        <v>0</v>
      </c>
      <c r="M40" s="78"/>
      <c r="O40" s="77" t="s">
        <v>115</v>
      </c>
      <c r="P40" s="78" t="str">
        <f>'W4 Points'!Z34</f>
        <v/>
      </c>
      <c r="Q40" s="78">
        <f>'W4 Points'!O90</f>
        <v>0</v>
      </c>
      <c r="R40" s="78" t="str">
        <f>'W4 Points'!D48</f>
        <v/>
      </c>
      <c r="S40" s="78">
        <f>'W4 Points'!W76</f>
        <v>0</v>
      </c>
      <c r="T40" s="78"/>
    </row>
    <row r="41">
      <c r="A41" s="77" t="s">
        <v>116</v>
      </c>
      <c r="B41" s="78">
        <f>'W4 Points'!B63</f>
        <v>0</v>
      </c>
      <c r="C41" s="78" t="str">
        <f>'W4 Points'!O91</f>
        <v/>
      </c>
      <c r="D41" s="78">
        <f>'W4 Points'!P35</f>
        <v>0</v>
      </c>
      <c r="E41" s="78" t="str">
        <f>'W4 Points'!E91</f>
        <v/>
      </c>
      <c r="F41" s="78"/>
      <c r="H41" s="77" t="s">
        <v>116</v>
      </c>
      <c r="I41" s="78">
        <f>'W4 Points'!Z35</f>
        <v>0</v>
      </c>
      <c r="J41" s="78" t="str">
        <f>'W4 Points'!I49</f>
        <v/>
      </c>
      <c r="K41" s="78">
        <f>'W4 Points'!V63</f>
        <v>0</v>
      </c>
      <c r="L41" s="78" t="str">
        <f>'W4 Points'!E21</f>
        <v/>
      </c>
      <c r="M41" s="78"/>
      <c r="O41" s="77" t="s">
        <v>116</v>
      </c>
      <c r="P41" s="78">
        <f>'W4 Points'!Z35</f>
        <v>0</v>
      </c>
      <c r="Q41" s="78" t="str">
        <f>'W4 Points'!O91</f>
        <v/>
      </c>
      <c r="R41" s="78">
        <f>'W4 Points'!D49</f>
        <v>0</v>
      </c>
      <c r="S41" s="78" t="str">
        <f>'W4 Points'!W77</f>
        <v/>
      </c>
      <c r="T41" s="78"/>
    </row>
    <row r="42">
      <c r="A42" s="77" t="s">
        <v>117</v>
      </c>
      <c r="B42" s="78" t="str">
        <f>'W4 Points'!B64</f>
        <v/>
      </c>
      <c r="C42" s="78">
        <f>'W4 Points'!O92</f>
        <v>0</v>
      </c>
      <c r="D42" s="78" t="str">
        <f>'W4 Points'!P36</f>
        <v/>
      </c>
      <c r="E42" s="78" t="str">
        <f>'W4 Points'!E92</f>
        <v/>
      </c>
      <c r="F42" s="78"/>
      <c r="H42" s="77" t="s">
        <v>117</v>
      </c>
      <c r="I42" s="78" t="str">
        <f>'W4 Points'!Z36</f>
        <v/>
      </c>
      <c r="J42" s="78">
        <f>'W4 Points'!I50</f>
        <v>0</v>
      </c>
      <c r="K42" s="78" t="str">
        <f>'W4 Points'!V64</f>
        <v/>
      </c>
      <c r="L42" s="78" t="str">
        <f>'W4 Points'!E22</f>
        <v/>
      </c>
      <c r="M42" s="78"/>
      <c r="O42" s="77" t="s">
        <v>117</v>
      </c>
      <c r="P42" s="78" t="str">
        <f>'W4 Points'!Z36</f>
        <v/>
      </c>
      <c r="Q42" s="78">
        <f>'W4 Points'!O92</f>
        <v>0</v>
      </c>
      <c r="R42" s="78" t="str">
        <f>'W4 Points'!D50</f>
        <v/>
      </c>
      <c r="S42" s="78" t="str">
        <f>'W4 Points'!W78</f>
        <v/>
      </c>
      <c r="T42" s="78"/>
    </row>
    <row r="43">
      <c r="A43" s="77" t="s">
        <v>118</v>
      </c>
      <c r="B43" s="78" t="str">
        <f>'W4 Points'!B65</f>
        <v/>
      </c>
      <c r="C43" s="78" t="str">
        <f>'W4 Points'!O93</f>
        <v/>
      </c>
      <c r="D43" s="78">
        <f>'W4 Points'!P37</f>
        <v>0</v>
      </c>
      <c r="E43" s="78">
        <f>'W4 Points'!E93</f>
        <v>0</v>
      </c>
      <c r="F43" s="78"/>
      <c r="H43" s="77" t="s">
        <v>118</v>
      </c>
      <c r="I43" s="78" t="str">
        <f>'W4 Points'!Z37</f>
        <v/>
      </c>
      <c r="J43" s="78" t="str">
        <f>'W4 Points'!I51</f>
        <v/>
      </c>
      <c r="K43" s="78">
        <f>'W4 Points'!V65</f>
        <v>0</v>
      </c>
      <c r="L43" s="78">
        <f>'W4 Points'!E23</f>
        <v>0</v>
      </c>
      <c r="M43" s="78"/>
      <c r="O43" s="77" t="s">
        <v>118</v>
      </c>
      <c r="P43" s="78" t="str">
        <f>'W4 Points'!Z37</f>
        <v/>
      </c>
      <c r="Q43" s="78" t="str">
        <f>'W4 Points'!O93</f>
        <v/>
      </c>
      <c r="R43" s="78">
        <f>'W4 Points'!D51</f>
        <v>0</v>
      </c>
      <c r="S43" s="78">
        <f>'W4 Points'!W79</f>
        <v>0</v>
      </c>
      <c r="T43" s="78"/>
    </row>
    <row r="44">
      <c r="A44" s="77" t="s">
        <v>119</v>
      </c>
      <c r="B44" s="78" t="str">
        <f>'W4 Points'!B66</f>
        <v/>
      </c>
      <c r="C44" s="78">
        <f>'W4 Points'!O94</f>
        <v>0</v>
      </c>
      <c r="D44" s="78" t="str">
        <f>'W4 Points'!P38</f>
        <v/>
      </c>
      <c r="E44" s="78">
        <f>'W4 Points'!E94</f>
        <v>0</v>
      </c>
      <c r="F44" s="78"/>
      <c r="H44" s="77" t="s">
        <v>119</v>
      </c>
      <c r="I44" s="78" t="str">
        <f>'W4 Points'!Z38</f>
        <v/>
      </c>
      <c r="J44" s="78">
        <f>'W4 Points'!I52</f>
        <v>0</v>
      </c>
      <c r="K44" s="78" t="str">
        <f>'W4 Points'!V66</f>
        <v/>
      </c>
      <c r="L44" s="78">
        <f>'W4 Points'!E24</f>
        <v>0</v>
      </c>
      <c r="M44" s="78"/>
      <c r="O44" s="77" t="s">
        <v>119</v>
      </c>
      <c r="P44" s="78" t="str">
        <f>'W4 Points'!Z38</f>
        <v/>
      </c>
      <c r="Q44" s="78">
        <f>'W4 Points'!O94</f>
        <v>0</v>
      </c>
      <c r="R44" s="78" t="str">
        <f>'W4 Points'!D52</f>
        <v/>
      </c>
      <c r="S44" s="78">
        <f>'W4 Points'!W80</f>
        <v>0</v>
      </c>
      <c r="T44" s="78"/>
    </row>
    <row r="45">
      <c r="A45" s="77" t="s">
        <v>120</v>
      </c>
      <c r="B45" s="78" t="str">
        <f>'W4 Points'!B67</f>
        <v/>
      </c>
      <c r="C45" s="78" t="str">
        <f>'W4 Points'!O95</f>
        <v/>
      </c>
      <c r="D45" s="78">
        <f>'W4 Points'!P39</f>
        <v>0</v>
      </c>
      <c r="E45" s="78">
        <f>'W4 Points'!E95</f>
        <v>0</v>
      </c>
      <c r="F45" s="78"/>
      <c r="H45" s="77" t="s">
        <v>120</v>
      </c>
      <c r="I45" s="78" t="str">
        <f>'W4 Points'!Z39</f>
        <v/>
      </c>
      <c r="J45" s="78" t="str">
        <f>'W4 Points'!I53</f>
        <v/>
      </c>
      <c r="K45" s="78">
        <f>'W4 Points'!V67</f>
        <v>0</v>
      </c>
      <c r="L45" s="78">
        <f>'W4 Points'!E25</f>
        <v>0</v>
      </c>
      <c r="M45" s="78"/>
      <c r="O45" s="77" t="s">
        <v>120</v>
      </c>
      <c r="P45" s="78" t="str">
        <f>'W4 Points'!Z39</f>
        <v/>
      </c>
      <c r="Q45" s="78" t="str">
        <f>'W4 Points'!O95</f>
        <v/>
      </c>
      <c r="R45" s="78">
        <f>'W4 Points'!D53</f>
        <v>0</v>
      </c>
      <c r="S45" s="78">
        <f>'W4 Points'!W81</f>
        <v>0</v>
      </c>
      <c r="T45" s="78"/>
    </row>
    <row r="46">
      <c r="A46" s="77" t="s">
        <v>121</v>
      </c>
      <c r="B46" s="78">
        <f>'W4 Points'!B68</f>
        <v>0</v>
      </c>
      <c r="C46" s="78">
        <f>'W4 Points'!O96</f>
        <v>0</v>
      </c>
      <c r="D46" s="78">
        <f>'W4 Points'!P40</f>
        <v>0</v>
      </c>
      <c r="E46" s="78">
        <f>'W4 Points'!E96</f>
        <v>0</v>
      </c>
      <c r="F46" s="78"/>
      <c r="H46" s="77" t="s">
        <v>121</v>
      </c>
      <c r="I46" s="78">
        <f>'W4 Points'!Z40</f>
        <v>0</v>
      </c>
      <c r="J46" s="78">
        <f>'W4 Points'!I54</f>
        <v>0</v>
      </c>
      <c r="K46" s="78">
        <f>'W4 Points'!V68</f>
        <v>0</v>
      </c>
      <c r="L46" s="78">
        <f>'W4 Points'!E26</f>
        <v>0</v>
      </c>
      <c r="M46" s="78"/>
      <c r="O46" s="77" t="s">
        <v>121</v>
      </c>
      <c r="P46" s="78">
        <f>'W4 Points'!Z40</f>
        <v>0</v>
      </c>
      <c r="Q46" s="78">
        <f>'W4 Points'!O96</f>
        <v>0</v>
      </c>
      <c r="R46" s="78">
        <f>'W4 Points'!D54</f>
        <v>0</v>
      </c>
      <c r="S46" s="78">
        <f>'W4 Points'!W82</f>
        <v>0</v>
      </c>
      <c r="T46" s="78"/>
    </row>
    <row r="47">
      <c r="A47" s="77" t="s">
        <v>122</v>
      </c>
      <c r="B47" s="79">
        <f t="shared" ref="B47:F47" si="7">SUM(B36:B46)</f>
        <v>0</v>
      </c>
      <c r="C47" s="79">
        <f t="shared" si="7"/>
        <v>0</v>
      </c>
      <c r="D47" s="79">
        <f t="shared" si="7"/>
        <v>0</v>
      </c>
      <c r="E47" s="79">
        <f t="shared" si="7"/>
        <v>0</v>
      </c>
      <c r="F47" s="79">
        <f t="shared" si="7"/>
        <v>0</v>
      </c>
      <c r="H47" s="77" t="s">
        <v>122</v>
      </c>
      <c r="I47" s="79">
        <f t="shared" ref="I47:M47" si="8">SUM(I36:I46)</f>
        <v>0</v>
      </c>
      <c r="J47" s="79">
        <f t="shared" si="8"/>
        <v>0</v>
      </c>
      <c r="K47" s="79">
        <f t="shared" si="8"/>
        <v>0</v>
      </c>
      <c r="L47" s="79">
        <f t="shared" si="8"/>
        <v>0</v>
      </c>
      <c r="M47" s="79">
        <f t="shared" si="8"/>
        <v>0</v>
      </c>
      <c r="O47" s="77" t="s">
        <v>122</v>
      </c>
      <c r="P47" s="80">
        <f t="shared" ref="P47:T47" si="9">SUM(P36:P46)</f>
        <v>0</v>
      </c>
      <c r="Q47" s="80">
        <f t="shared" si="9"/>
        <v>0</v>
      </c>
      <c r="R47" s="80">
        <f t="shared" si="9"/>
        <v>0</v>
      </c>
      <c r="S47" s="80">
        <f t="shared" si="9"/>
        <v>0</v>
      </c>
      <c r="T47" s="80">
        <f t="shared" si="9"/>
        <v>0</v>
      </c>
    </row>
    <row r="48">
      <c r="E48" s="81" t="s">
        <v>123</v>
      </c>
      <c r="F48" s="82">
        <f>SUM(B47:E47)</f>
        <v>0</v>
      </c>
      <c r="L48" s="81" t="s">
        <v>123</v>
      </c>
      <c r="M48" s="82">
        <f>SUM(I47:L47)</f>
        <v>0</v>
      </c>
      <c r="S48" s="81" t="s">
        <v>123</v>
      </c>
      <c r="T48" s="82">
        <f>SUM(P47:S47)</f>
        <v>0</v>
      </c>
    </row>
    <row r="49">
      <c r="A49" s="73" t="s">
        <v>44</v>
      </c>
      <c r="H49" s="73" t="s">
        <v>47</v>
      </c>
      <c r="O49" s="73" t="s">
        <v>50</v>
      </c>
    </row>
    <row r="50">
      <c r="A50" s="74" t="s">
        <v>7</v>
      </c>
      <c r="B50" s="74" t="s">
        <v>94</v>
      </c>
      <c r="C50" s="74" t="s">
        <v>95</v>
      </c>
      <c r="D50" s="74" t="s">
        <v>96</v>
      </c>
      <c r="E50" s="74" t="s">
        <v>97</v>
      </c>
      <c r="F50" s="74" t="s">
        <v>98</v>
      </c>
      <c r="H50" s="74" t="s">
        <v>7</v>
      </c>
      <c r="I50" s="74" t="s">
        <v>94</v>
      </c>
      <c r="J50" s="74" t="s">
        <v>95</v>
      </c>
      <c r="K50" s="74" t="s">
        <v>96</v>
      </c>
      <c r="L50" s="74" t="s">
        <v>97</v>
      </c>
      <c r="M50" s="74" t="s">
        <v>98</v>
      </c>
      <c r="O50" s="74" t="s">
        <v>7</v>
      </c>
      <c r="P50" s="74" t="s">
        <v>94</v>
      </c>
      <c r="Q50" s="74" t="s">
        <v>95</v>
      </c>
      <c r="R50" s="74" t="s">
        <v>96</v>
      </c>
      <c r="S50" s="74" t="s">
        <v>97</v>
      </c>
      <c r="T50" s="74" t="s">
        <v>98</v>
      </c>
    </row>
    <row r="51">
      <c r="A51" s="75" t="s">
        <v>136</v>
      </c>
      <c r="B51" s="75" t="s">
        <v>106</v>
      </c>
      <c r="C51" s="75" t="s">
        <v>124</v>
      </c>
      <c r="D51" s="75" t="s">
        <v>102</v>
      </c>
      <c r="E51" s="75" t="s">
        <v>104</v>
      </c>
      <c r="F51" s="75" t="s">
        <v>125</v>
      </c>
      <c r="H51" s="75" t="s">
        <v>48</v>
      </c>
      <c r="I51" s="75" t="s">
        <v>39</v>
      </c>
      <c r="J51" s="75" t="s">
        <v>124</v>
      </c>
      <c r="K51" s="75" t="s">
        <v>102</v>
      </c>
      <c r="L51" s="75" t="s">
        <v>48</v>
      </c>
      <c r="M51" s="75" t="s">
        <v>106</v>
      </c>
      <c r="O51" s="75" t="s">
        <v>51</v>
      </c>
      <c r="P51" s="75" t="s">
        <v>105</v>
      </c>
      <c r="Q51" s="75" t="s">
        <v>137</v>
      </c>
      <c r="R51" s="75" t="s">
        <v>28</v>
      </c>
      <c r="S51" s="75" t="s">
        <v>138</v>
      </c>
      <c r="T51" s="75" t="s">
        <v>139</v>
      </c>
    </row>
    <row r="52">
      <c r="A52" s="77" t="s">
        <v>108</v>
      </c>
      <c r="B52" s="78">
        <f>'W4 Points'!Z30</f>
        <v>0</v>
      </c>
      <c r="C52" s="78" t="str">
        <f>'W4 Points'!I44</f>
        <v/>
      </c>
      <c r="D52" s="78" t="str">
        <f>'W4 Points'!P30</f>
        <v/>
      </c>
      <c r="E52" s="78">
        <f>'W4 Points'!K16</f>
        <v>0</v>
      </c>
      <c r="F52" s="78" t="s">
        <v>129</v>
      </c>
      <c r="H52" s="77" t="s">
        <v>108</v>
      </c>
      <c r="I52" s="78">
        <f>'W4 Points'!T58</f>
        <v>0</v>
      </c>
      <c r="J52" s="78" t="str">
        <f>'W4 Points'!I44</f>
        <v/>
      </c>
      <c r="K52" s="78" t="str">
        <f>'W4 Points'!P30</f>
        <v/>
      </c>
      <c r="L52" s="78">
        <f>'W4 Points'!W44</f>
        <v>0</v>
      </c>
      <c r="M52" s="78" t="s">
        <v>110</v>
      </c>
      <c r="O52" s="77" t="s">
        <v>108</v>
      </c>
      <c r="P52" s="78">
        <f>'W4 Points'!T16</f>
        <v>0</v>
      </c>
      <c r="Q52" s="78" t="str">
        <f>'W4 Points'!O58</f>
        <v/>
      </c>
      <c r="R52" s="78" t="str">
        <f>'W4 Points'!J58</f>
        <v/>
      </c>
      <c r="S52" s="78">
        <f>'W4 Points'!E72</f>
        <v>0</v>
      </c>
      <c r="T52" s="78" t="s">
        <v>140</v>
      </c>
    </row>
    <row r="53">
      <c r="A53" s="77" t="s">
        <v>112</v>
      </c>
      <c r="B53" s="78" t="str">
        <f>'W4 Points'!Z31</f>
        <v/>
      </c>
      <c r="C53" s="78" t="str">
        <f>'W4 Points'!I45</f>
        <v/>
      </c>
      <c r="D53" s="78">
        <f>'W4 Points'!P31</f>
        <v>0</v>
      </c>
      <c r="E53" s="78" t="str">
        <f>'W4 Points'!K17</f>
        <v/>
      </c>
      <c r="F53" s="78"/>
      <c r="H53" s="77" t="s">
        <v>112</v>
      </c>
      <c r="I53" s="78" t="str">
        <f>'W4 Points'!T59</f>
        <v/>
      </c>
      <c r="J53" s="78" t="str">
        <f>'W4 Points'!I45</f>
        <v/>
      </c>
      <c r="K53" s="78">
        <f>'W4 Points'!P31</f>
        <v>0</v>
      </c>
      <c r="L53" s="78" t="str">
        <f>'W4 Points'!W45</f>
        <v/>
      </c>
      <c r="M53" s="78"/>
      <c r="O53" s="77" t="s">
        <v>112</v>
      </c>
      <c r="P53" s="78" t="str">
        <f>'W4 Points'!T17</f>
        <v/>
      </c>
      <c r="Q53" s="78" t="str">
        <f>'W4 Points'!O59</f>
        <v/>
      </c>
      <c r="R53" s="78">
        <f>'W4 Points'!J59</f>
        <v>0</v>
      </c>
      <c r="S53" s="78" t="str">
        <f>'W4 Points'!E73</f>
        <v/>
      </c>
      <c r="T53" s="78"/>
    </row>
    <row r="54">
      <c r="A54" s="77" t="s">
        <v>113</v>
      </c>
      <c r="B54" s="78">
        <f>'W4 Points'!Z32</f>
        <v>0</v>
      </c>
      <c r="C54" s="78" t="str">
        <f>'W4 Points'!I46</f>
        <v/>
      </c>
      <c r="D54" s="78" t="str">
        <f>'W4 Points'!P32</f>
        <v/>
      </c>
      <c r="E54" s="78" t="str">
        <f>'W4 Points'!K18</f>
        <v/>
      </c>
      <c r="F54" s="78"/>
      <c r="H54" s="77" t="s">
        <v>113</v>
      </c>
      <c r="I54" s="78">
        <f>'W4 Points'!T60</f>
        <v>0</v>
      </c>
      <c r="J54" s="78" t="str">
        <f>'W4 Points'!I46</f>
        <v/>
      </c>
      <c r="K54" s="78" t="str">
        <f>'W4 Points'!P32</f>
        <v/>
      </c>
      <c r="L54" s="78" t="str">
        <f>'W4 Points'!W46</f>
        <v/>
      </c>
      <c r="M54" s="78"/>
      <c r="O54" s="77" t="s">
        <v>113</v>
      </c>
      <c r="P54" s="78">
        <f>'W4 Points'!T18</f>
        <v>0</v>
      </c>
      <c r="Q54" s="78" t="str">
        <f>'W4 Points'!O60</f>
        <v/>
      </c>
      <c r="R54" s="78" t="str">
        <f>'W4 Points'!J60</f>
        <v/>
      </c>
      <c r="S54" s="78" t="str">
        <f>'W4 Points'!E74</f>
        <v/>
      </c>
      <c r="T54" s="78"/>
    </row>
    <row r="55">
      <c r="A55" s="77" t="s">
        <v>114</v>
      </c>
      <c r="B55" s="78" t="str">
        <f>'W4 Points'!Z33</f>
        <v/>
      </c>
      <c r="C55" s="78">
        <f>'W4 Points'!I47</f>
        <v>0</v>
      </c>
      <c r="D55" s="78" t="str">
        <f>'W4 Points'!P33</f>
        <v/>
      </c>
      <c r="E55" s="78">
        <f>'W4 Points'!K19</f>
        <v>0</v>
      </c>
      <c r="F55" s="78"/>
      <c r="H55" s="77" t="s">
        <v>114</v>
      </c>
      <c r="I55" s="78" t="str">
        <f>'W4 Points'!T61</f>
        <v/>
      </c>
      <c r="J55" s="78">
        <f>'W4 Points'!I47</f>
        <v>0</v>
      </c>
      <c r="K55" s="78" t="str">
        <f>'W4 Points'!P33</f>
        <v/>
      </c>
      <c r="L55" s="78">
        <f>'W4 Points'!W47</f>
        <v>0</v>
      </c>
      <c r="M55" s="78"/>
      <c r="O55" s="77" t="s">
        <v>114</v>
      </c>
      <c r="P55" s="78" t="str">
        <f>'W4 Points'!T19</f>
        <v/>
      </c>
      <c r="Q55" s="78">
        <f>'W4 Points'!O61</f>
        <v>0</v>
      </c>
      <c r="R55" s="78" t="str">
        <f>'W4 Points'!J61</f>
        <v/>
      </c>
      <c r="S55" s="78">
        <f>'W4 Points'!E75</f>
        <v>0</v>
      </c>
      <c r="T55" s="78"/>
    </row>
    <row r="56">
      <c r="A56" s="77" t="s">
        <v>115</v>
      </c>
      <c r="B56" s="78" t="str">
        <f>'W4 Points'!Z34</f>
        <v/>
      </c>
      <c r="C56" s="78">
        <f>'W4 Points'!I48</f>
        <v>0</v>
      </c>
      <c r="D56" s="78" t="str">
        <f>'W4 Points'!P34</f>
        <v/>
      </c>
      <c r="E56" s="78">
        <f>'W4 Points'!K20</f>
        <v>0</v>
      </c>
      <c r="F56" s="78"/>
      <c r="H56" s="77" t="s">
        <v>115</v>
      </c>
      <c r="I56" s="78" t="str">
        <f>'W4 Points'!T62</f>
        <v/>
      </c>
      <c r="J56" s="78">
        <f>'W4 Points'!I48</f>
        <v>0</v>
      </c>
      <c r="K56" s="78" t="str">
        <f>'W4 Points'!P34</f>
        <v/>
      </c>
      <c r="L56" s="78">
        <f>'W4 Points'!W48</f>
        <v>0</v>
      </c>
      <c r="M56" s="78"/>
      <c r="O56" s="77" t="s">
        <v>115</v>
      </c>
      <c r="P56" s="78" t="str">
        <f>'W4 Points'!T20</f>
        <v/>
      </c>
      <c r="Q56" s="78">
        <f>'W4 Points'!O62</f>
        <v>0</v>
      </c>
      <c r="R56" s="78" t="str">
        <f>'W4 Points'!J62</f>
        <v/>
      </c>
      <c r="S56" s="78">
        <f>'W4 Points'!E76</f>
        <v>0</v>
      </c>
      <c r="T56" s="78"/>
    </row>
    <row r="57">
      <c r="A57" s="77" t="s">
        <v>116</v>
      </c>
      <c r="B57" s="78">
        <f>'W4 Points'!Z35</f>
        <v>0</v>
      </c>
      <c r="C57" s="78" t="str">
        <f>'W4 Points'!I49</f>
        <v/>
      </c>
      <c r="D57" s="78">
        <f>'W4 Points'!P35</f>
        <v>0</v>
      </c>
      <c r="E57" s="78" t="str">
        <f>'W4 Points'!K21</f>
        <v/>
      </c>
      <c r="F57" s="78"/>
      <c r="H57" s="77" t="s">
        <v>116</v>
      </c>
      <c r="I57" s="78">
        <f>'W4 Points'!T63</f>
        <v>0</v>
      </c>
      <c r="J57" s="78" t="str">
        <f>'W4 Points'!I49</f>
        <v/>
      </c>
      <c r="K57" s="78">
        <f>'W4 Points'!P35</f>
        <v>0</v>
      </c>
      <c r="L57" s="78" t="str">
        <f>'W4 Points'!W49</f>
        <v/>
      </c>
      <c r="M57" s="78"/>
      <c r="O57" s="77" t="s">
        <v>116</v>
      </c>
      <c r="P57" s="78">
        <f>'W4 Points'!T21</f>
        <v>0</v>
      </c>
      <c r="Q57" s="78" t="str">
        <f>'W4 Points'!O63</f>
        <v/>
      </c>
      <c r="R57" s="78">
        <f>'W4 Points'!J63</f>
        <v>0</v>
      </c>
      <c r="S57" s="78" t="str">
        <f>'W4 Points'!E77</f>
        <v/>
      </c>
      <c r="T57" s="78"/>
    </row>
    <row r="58">
      <c r="A58" s="77" t="s">
        <v>117</v>
      </c>
      <c r="B58" s="78" t="str">
        <f>'W4 Points'!Z36</f>
        <v/>
      </c>
      <c r="C58" s="78">
        <f>'W4 Points'!I50</f>
        <v>0</v>
      </c>
      <c r="D58" s="78" t="str">
        <f>'W4 Points'!P36</f>
        <v/>
      </c>
      <c r="E58" s="78" t="str">
        <f>'W4 Points'!K22</f>
        <v/>
      </c>
      <c r="F58" s="78"/>
      <c r="H58" s="77" t="s">
        <v>117</v>
      </c>
      <c r="I58" s="78" t="str">
        <f>'W4 Points'!T64</f>
        <v/>
      </c>
      <c r="J58" s="78">
        <f>'W4 Points'!I50</f>
        <v>0</v>
      </c>
      <c r="K58" s="78" t="str">
        <f>'W4 Points'!P36</f>
        <v/>
      </c>
      <c r="L58" s="78" t="str">
        <f>'W4 Points'!W50</f>
        <v/>
      </c>
      <c r="M58" s="78"/>
      <c r="O58" s="77" t="s">
        <v>117</v>
      </c>
      <c r="P58" s="78" t="str">
        <f>'W4 Points'!T22</f>
        <v/>
      </c>
      <c r="Q58" s="78">
        <f>'W4 Points'!O64</f>
        <v>0</v>
      </c>
      <c r="R58" s="78" t="str">
        <f>'W4 Points'!J64</f>
        <v/>
      </c>
      <c r="S58" s="78" t="str">
        <f>'W4 Points'!E78</f>
        <v/>
      </c>
      <c r="T58" s="78"/>
    </row>
    <row r="59">
      <c r="A59" s="77" t="s">
        <v>118</v>
      </c>
      <c r="B59" s="78" t="str">
        <f>'W4 Points'!Z37</f>
        <v/>
      </c>
      <c r="C59" s="78" t="str">
        <f>'W4 Points'!I51</f>
        <v/>
      </c>
      <c r="D59" s="78">
        <f>'W4 Points'!P37</f>
        <v>0</v>
      </c>
      <c r="E59" s="78">
        <f>'W4 Points'!K23</f>
        <v>0</v>
      </c>
      <c r="F59" s="78"/>
      <c r="H59" s="77" t="s">
        <v>118</v>
      </c>
      <c r="I59" s="78" t="str">
        <f>'W4 Points'!T65</f>
        <v/>
      </c>
      <c r="J59" s="78" t="str">
        <f>'W4 Points'!I51</f>
        <v/>
      </c>
      <c r="K59" s="78">
        <f>'W4 Points'!P37</f>
        <v>0</v>
      </c>
      <c r="L59" s="78">
        <f>'W4 Points'!W51</f>
        <v>0</v>
      </c>
      <c r="M59" s="78"/>
      <c r="O59" s="77" t="s">
        <v>118</v>
      </c>
      <c r="P59" s="78" t="str">
        <f>'W4 Points'!T23</f>
        <v/>
      </c>
      <c r="Q59" s="78" t="str">
        <f>'W4 Points'!O65</f>
        <v/>
      </c>
      <c r="R59" s="78">
        <f>'W4 Points'!J65</f>
        <v>0</v>
      </c>
      <c r="S59" s="78">
        <f>'W4 Points'!E79</f>
        <v>0</v>
      </c>
      <c r="T59" s="78"/>
    </row>
    <row r="60">
      <c r="A60" s="77" t="s">
        <v>119</v>
      </c>
      <c r="B60" s="78" t="str">
        <f>'W4 Points'!Z38</f>
        <v/>
      </c>
      <c r="C60" s="78">
        <f>'W4 Points'!I52</f>
        <v>0</v>
      </c>
      <c r="D60" s="78" t="str">
        <f>'W4 Points'!P38</f>
        <v/>
      </c>
      <c r="E60" s="78">
        <f>'W4 Points'!K24</f>
        <v>0</v>
      </c>
      <c r="F60" s="78"/>
      <c r="H60" s="77" t="s">
        <v>119</v>
      </c>
      <c r="I60" s="78" t="str">
        <f>'W4 Points'!T66</f>
        <v/>
      </c>
      <c r="J60" s="78">
        <f>'W4 Points'!I52</f>
        <v>0</v>
      </c>
      <c r="K60" s="78" t="str">
        <f>'W4 Points'!P38</f>
        <v/>
      </c>
      <c r="L60" s="78">
        <f>'W4 Points'!W52</f>
        <v>0</v>
      </c>
      <c r="M60" s="78"/>
      <c r="O60" s="77" t="s">
        <v>119</v>
      </c>
      <c r="P60" s="78" t="str">
        <f>'W4 Points'!T24</f>
        <v/>
      </c>
      <c r="Q60" s="78">
        <f>'W4 Points'!O66</f>
        <v>0</v>
      </c>
      <c r="R60" s="78" t="str">
        <f>'W4 Points'!J66</f>
        <v/>
      </c>
      <c r="S60" s="78">
        <f>'W4 Points'!E80</f>
        <v>0</v>
      </c>
      <c r="T60" s="78"/>
    </row>
    <row r="61">
      <c r="A61" s="77" t="s">
        <v>120</v>
      </c>
      <c r="B61" s="78" t="str">
        <f>'W4 Points'!Z39</f>
        <v/>
      </c>
      <c r="C61" s="78" t="str">
        <f>'W4 Points'!I53</f>
        <v/>
      </c>
      <c r="D61" s="78">
        <f>'W4 Points'!P39</f>
        <v>0</v>
      </c>
      <c r="E61" s="78">
        <f>'W4 Points'!K25</f>
        <v>0</v>
      </c>
      <c r="F61" s="78"/>
      <c r="H61" s="77" t="s">
        <v>120</v>
      </c>
      <c r="I61" s="78" t="str">
        <f>'W4 Points'!T67</f>
        <v/>
      </c>
      <c r="J61" s="78" t="str">
        <f>'W4 Points'!I53</f>
        <v/>
      </c>
      <c r="K61" s="78">
        <f>'W4 Points'!P39</f>
        <v>0</v>
      </c>
      <c r="L61" s="78">
        <f>'W4 Points'!W53</f>
        <v>0</v>
      </c>
      <c r="M61" s="78"/>
      <c r="O61" s="77" t="s">
        <v>120</v>
      </c>
      <c r="P61" s="78" t="str">
        <f>'W4 Points'!T25</f>
        <v/>
      </c>
      <c r="Q61" s="78" t="str">
        <f>'W4 Points'!O67</f>
        <v/>
      </c>
      <c r="R61" s="78">
        <f>'W4 Points'!J67</f>
        <v>0</v>
      </c>
      <c r="S61" s="78">
        <f>'W4 Points'!E81</f>
        <v>0</v>
      </c>
      <c r="T61" s="78"/>
    </row>
    <row r="62">
      <c r="A62" s="77" t="s">
        <v>121</v>
      </c>
      <c r="B62" s="78">
        <f>'W4 Points'!Z40</f>
        <v>0</v>
      </c>
      <c r="C62" s="78">
        <f>'W4 Points'!I54</f>
        <v>0</v>
      </c>
      <c r="D62" s="78">
        <f>'W4 Points'!P40</f>
        <v>0</v>
      </c>
      <c r="E62" s="78">
        <f>'W4 Points'!K26</f>
        <v>0</v>
      </c>
      <c r="F62" s="78"/>
      <c r="H62" s="77" t="s">
        <v>121</v>
      </c>
      <c r="I62" s="78">
        <f>'W4 Points'!T68</f>
        <v>0</v>
      </c>
      <c r="J62" s="78">
        <f>'W4 Points'!I54</f>
        <v>0</v>
      </c>
      <c r="K62" s="78">
        <f>'W4 Points'!P40</f>
        <v>0</v>
      </c>
      <c r="L62" s="78">
        <f>'W4 Points'!W54</f>
        <v>0</v>
      </c>
      <c r="M62" s="78"/>
      <c r="O62" s="77" t="s">
        <v>121</v>
      </c>
      <c r="P62" s="78">
        <f>'W4 Points'!T26</f>
        <v>0</v>
      </c>
      <c r="Q62" s="78">
        <f>'W4 Points'!O68</f>
        <v>0</v>
      </c>
      <c r="R62" s="78">
        <f>'W4 Points'!J68</f>
        <v>0</v>
      </c>
      <c r="S62" s="78">
        <f>'W4 Points'!E82</f>
        <v>0</v>
      </c>
      <c r="T62" s="78"/>
    </row>
    <row r="63">
      <c r="A63" s="77" t="s">
        <v>122</v>
      </c>
      <c r="B63" s="79">
        <f t="shared" ref="B63:F63" si="10">SUM(B52:B62)</f>
        <v>0</v>
      </c>
      <c r="C63" s="79">
        <f t="shared" si="10"/>
        <v>0</v>
      </c>
      <c r="D63" s="79">
        <f t="shared" si="10"/>
        <v>0</v>
      </c>
      <c r="E63" s="79">
        <f t="shared" si="10"/>
        <v>0</v>
      </c>
      <c r="F63" s="79">
        <f t="shared" si="10"/>
        <v>0</v>
      </c>
      <c r="H63" s="77" t="s">
        <v>122</v>
      </c>
      <c r="I63" s="79">
        <f t="shared" ref="I63:M63" si="11">SUM(I52:I62)</f>
        <v>0</v>
      </c>
      <c r="J63" s="79">
        <f t="shared" si="11"/>
        <v>0</v>
      </c>
      <c r="K63" s="79">
        <f t="shared" si="11"/>
        <v>0</v>
      </c>
      <c r="L63" s="79">
        <f t="shared" si="11"/>
        <v>0</v>
      </c>
      <c r="M63" s="79">
        <f t="shared" si="11"/>
        <v>0</v>
      </c>
      <c r="O63" s="77" t="s">
        <v>122</v>
      </c>
      <c r="P63" s="79">
        <f t="shared" ref="P63:T63" si="12">SUM(P52:P62)</f>
        <v>0</v>
      </c>
      <c r="Q63" s="79">
        <f t="shared" si="12"/>
        <v>0</v>
      </c>
      <c r="R63" s="79">
        <f t="shared" si="12"/>
        <v>0</v>
      </c>
      <c r="S63" s="79">
        <f t="shared" si="12"/>
        <v>0</v>
      </c>
      <c r="T63" s="79">
        <f t="shared" si="12"/>
        <v>0</v>
      </c>
    </row>
    <row r="64">
      <c r="E64" s="81" t="s">
        <v>123</v>
      </c>
      <c r="F64" s="82">
        <f>SUM(B63:E63)</f>
        <v>0</v>
      </c>
      <c r="L64" s="81" t="s">
        <v>123</v>
      </c>
      <c r="M64" s="82">
        <f>SUM(I63:L63)</f>
        <v>0</v>
      </c>
      <c r="S64" s="81" t="s">
        <v>123</v>
      </c>
      <c r="T64" s="82">
        <f>SUM(P63:S63)</f>
        <v>0</v>
      </c>
    </row>
  </sheetData>
  <mergeCells count="12">
    <mergeCell ref="H33:M33"/>
    <mergeCell ref="O33:T33"/>
    <mergeCell ref="A49:F49"/>
    <mergeCell ref="H49:M49"/>
    <mergeCell ref="O49:T49"/>
    <mergeCell ref="A1:F1"/>
    <mergeCell ref="H1:M1"/>
    <mergeCell ref="O1:T1"/>
    <mergeCell ref="A17:F17"/>
    <mergeCell ref="H17:M17"/>
    <mergeCell ref="O17:T17"/>
    <mergeCell ref="A33:F33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0.5"/>
    <col customWidth="1" min="2" max="2" width="18.88"/>
    <col customWidth="1" min="3" max="17" width="8.25"/>
    <col customWidth="1" min="18" max="18" width="0.5"/>
    <col customWidth="1" min="19" max="23" width="8.25"/>
  </cols>
  <sheetData>
    <row r="1">
      <c r="A1" s="83" t="s">
        <v>141</v>
      </c>
      <c r="W1" s="106"/>
    </row>
    <row r="2">
      <c r="A2" s="84"/>
      <c r="B2" s="85" t="s">
        <v>142</v>
      </c>
      <c r="C2" s="86" t="s">
        <v>143</v>
      </c>
      <c r="D2" s="86" t="s">
        <v>108</v>
      </c>
      <c r="E2" s="86" t="s">
        <v>144</v>
      </c>
      <c r="F2" s="86" t="s">
        <v>145</v>
      </c>
      <c r="G2" s="86" t="s">
        <v>146</v>
      </c>
      <c r="H2" s="86" t="s">
        <v>112</v>
      </c>
      <c r="I2" s="86" t="s">
        <v>113</v>
      </c>
      <c r="J2" s="86" t="s">
        <v>147</v>
      </c>
      <c r="K2" s="86" t="s">
        <v>115</v>
      </c>
      <c r="L2" s="87" t="s">
        <v>116</v>
      </c>
      <c r="M2" s="87" t="s">
        <v>117</v>
      </c>
      <c r="N2" s="87" t="s">
        <v>118</v>
      </c>
      <c r="O2" s="87" t="s">
        <v>119</v>
      </c>
      <c r="P2" s="87" t="s">
        <v>120</v>
      </c>
      <c r="Q2" s="87" t="s">
        <v>121</v>
      </c>
      <c r="R2" s="88"/>
      <c r="S2" s="87" t="s">
        <v>94</v>
      </c>
      <c r="T2" s="87" t="s">
        <v>95</v>
      </c>
      <c r="U2" s="87" t="s">
        <v>96</v>
      </c>
      <c r="V2" s="87" t="s">
        <v>97</v>
      </c>
      <c r="W2" s="107" t="s">
        <v>148</v>
      </c>
    </row>
    <row r="3" ht="12.75" customHeight="1">
      <c r="A3" s="89"/>
      <c r="B3" s="110" t="s">
        <v>101</v>
      </c>
      <c r="C3" s="111">
        <f t="shared" ref="C3:D3" si="1">0</f>
        <v>0</v>
      </c>
      <c r="D3" s="111">
        <f t="shared" si="1"/>
        <v>0</v>
      </c>
      <c r="E3" s="91">
        <f t="shared" ref="E3:E33" si="5">G3+H3+I3</f>
        <v>0</v>
      </c>
      <c r="F3" s="91">
        <f t="shared" ref="F3:I3" si="2">0</f>
        <v>0</v>
      </c>
      <c r="G3" s="91">
        <f t="shared" si="2"/>
        <v>0</v>
      </c>
      <c r="H3" s="111">
        <f t="shared" si="2"/>
        <v>0</v>
      </c>
      <c r="I3" s="111">
        <f t="shared" si="2"/>
        <v>0</v>
      </c>
      <c r="J3" s="91">
        <f t="shared" ref="J3:J33" si="7">E3-F3</f>
        <v>0</v>
      </c>
      <c r="K3" s="111">
        <f t="shared" ref="K3:Q3" si="3">0</f>
        <v>0</v>
      </c>
      <c r="L3" s="111">
        <f t="shared" si="3"/>
        <v>0</v>
      </c>
      <c r="M3" s="111">
        <f t="shared" si="3"/>
        <v>0</v>
      </c>
      <c r="N3" s="111">
        <f t="shared" si="3"/>
        <v>0</v>
      </c>
      <c r="O3" s="111">
        <f t="shared" si="3"/>
        <v>0</v>
      </c>
      <c r="P3" s="111">
        <f t="shared" si="3"/>
        <v>0</v>
      </c>
      <c r="Q3" s="111">
        <f t="shared" si="3"/>
        <v>0</v>
      </c>
      <c r="R3" s="92"/>
      <c r="S3" s="93">
        <f>'W4 Points'!B27</f>
        <v>0</v>
      </c>
      <c r="T3" s="93">
        <f>'W4 Points'!C27</f>
        <v>0</v>
      </c>
      <c r="U3" s="93">
        <f>'W4 Points'!D27</f>
        <v>0</v>
      </c>
      <c r="V3" s="93">
        <f>'W4 Points'!E27</f>
        <v>0</v>
      </c>
      <c r="W3" s="108">
        <f t="shared" ref="W3:W23" si="9">SUM(S3:V3)</f>
        <v>0</v>
      </c>
    </row>
    <row r="4" ht="12.75" customHeight="1">
      <c r="A4" s="89"/>
      <c r="B4" s="112" t="s">
        <v>104</v>
      </c>
      <c r="C4" s="113">
        <f t="shared" ref="C4:D4" si="4">0</f>
        <v>0</v>
      </c>
      <c r="D4" s="113">
        <f t="shared" si="4"/>
        <v>0</v>
      </c>
      <c r="E4" s="91">
        <f t="shared" si="5"/>
        <v>0</v>
      </c>
      <c r="F4" s="91">
        <f t="shared" ref="F4:I4" si="6">0</f>
        <v>0</v>
      </c>
      <c r="G4" s="91">
        <f t="shared" si="6"/>
        <v>0</v>
      </c>
      <c r="H4" s="113">
        <f t="shared" si="6"/>
        <v>0</v>
      </c>
      <c r="I4" s="113">
        <f t="shared" si="6"/>
        <v>0</v>
      </c>
      <c r="J4" s="91">
        <f t="shared" si="7"/>
        <v>0</v>
      </c>
      <c r="K4" s="113">
        <f t="shared" ref="K4:Q4" si="8">0</f>
        <v>0</v>
      </c>
      <c r="L4" s="113">
        <f t="shared" si="8"/>
        <v>0</v>
      </c>
      <c r="M4" s="113">
        <f t="shared" si="8"/>
        <v>0</v>
      </c>
      <c r="N4" s="113">
        <f t="shared" si="8"/>
        <v>0</v>
      </c>
      <c r="O4" s="113">
        <f t="shared" si="8"/>
        <v>0</v>
      </c>
      <c r="P4" s="113">
        <f t="shared" si="8"/>
        <v>0</v>
      </c>
      <c r="Q4" s="113">
        <f t="shared" si="8"/>
        <v>0</v>
      </c>
      <c r="R4" s="92"/>
      <c r="S4" s="93">
        <f>'W4 Points'!H27</f>
        <v>0</v>
      </c>
      <c r="T4" s="93">
        <f>'W4 Points'!I27</f>
        <v>0</v>
      </c>
      <c r="U4" s="93">
        <f>'W4 Points'!J27</f>
        <v>0</v>
      </c>
      <c r="V4" s="93">
        <f>'W4 Points'!K27</f>
        <v>0</v>
      </c>
      <c r="W4" s="108">
        <f t="shared" si="9"/>
        <v>0</v>
      </c>
    </row>
    <row r="5" ht="12.75" customHeight="1">
      <c r="A5" s="89"/>
      <c r="B5" s="112" t="s">
        <v>127</v>
      </c>
      <c r="C5" s="113">
        <f t="shared" ref="C5:D5" si="10">0</f>
        <v>0</v>
      </c>
      <c r="D5" s="113">
        <f t="shared" si="10"/>
        <v>0</v>
      </c>
      <c r="E5" s="91">
        <f t="shared" si="5"/>
        <v>0</v>
      </c>
      <c r="F5" s="91">
        <f t="shared" ref="F5:I5" si="11">0</f>
        <v>0</v>
      </c>
      <c r="G5" s="91">
        <f t="shared" si="11"/>
        <v>0</v>
      </c>
      <c r="H5" s="113">
        <f t="shared" si="11"/>
        <v>0</v>
      </c>
      <c r="I5" s="113">
        <f t="shared" si="11"/>
        <v>0</v>
      </c>
      <c r="J5" s="91">
        <f t="shared" si="7"/>
        <v>0</v>
      </c>
      <c r="K5" s="113">
        <f t="shared" ref="K5:Q5" si="12">0</f>
        <v>0</v>
      </c>
      <c r="L5" s="113">
        <f t="shared" si="12"/>
        <v>0</v>
      </c>
      <c r="M5" s="113">
        <f t="shared" si="12"/>
        <v>0</v>
      </c>
      <c r="N5" s="113">
        <f t="shared" si="12"/>
        <v>0</v>
      </c>
      <c r="O5" s="113">
        <f t="shared" si="12"/>
        <v>0</v>
      </c>
      <c r="P5" s="113">
        <f t="shared" si="12"/>
        <v>0</v>
      </c>
      <c r="Q5" s="113">
        <f t="shared" si="12"/>
        <v>0</v>
      </c>
      <c r="R5" s="92"/>
      <c r="S5" s="93">
        <f>'W4 Points'!N27</f>
        <v>0</v>
      </c>
      <c r="T5" s="93">
        <f>'W4 Points'!O27</f>
        <v>0</v>
      </c>
      <c r="U5" s="93">
        <f>'W4 Points'!P27</f>
        <v>0</v>
      </c>
      <c r="V5" s="93">
        <f>'W4 Points'!Q27</f>
        <v>0</v>
      </c>
      <c r="W5" s="108">
        <f t="shared" si="9"/>
        <v>0</v>
      </c>
    </row>
    <row r="6" ht="12.75" customHeight="1">
      <c r="A6" s="89"/>
      <c r="B6" s="112" t="s">
        <v>105</v>
      </c>
      <c r="C6" s="113">
        <f t="shared" ref="C6:D6" si="13">0</f>
        <v>0</v>
      </c>
      <c r="D6" s="113">
        <f t="shared" si="13"/>
        <v>0</v>
      </c>
      <c r="E6" s="91">
        <f t="shared" si="5"/>
        <v>0</v>
      </c>
      <c r="F6" s="91">
        <f t="shared" ref="F6:I6" si="14">0</f>
        <v>0</v>
      </c>
      <c r="G6" s="91">
        <f t="shared" si="14"/>
        <v>0</v>
      </c>
      <c r="H6" s="113">
        <f t="shared" si="14"/>
        <v>0</v>
      </c>
      <c r="I6" s="113">
        <f t="shared" si="14"/>
        <v>0</v>
      </c>
      <c r="J6" s="91">
        <f t="shared" si="7"/>
        <v>0</v>
      </c>
      <c r="K6" s="113">
        <f t="shared" ref="K6:Q6" si="15">0</f>
        <v>0</v>
      </c>
      <c r="L6" s="113">
        <f t="shared" si="15"/>
        <v>0</v>
      </c>
      <c r="M6" s="113">
        <f t="shared" si="15"/>
        <v>0</v>
      </c>
      <c r="N6" s="113">
        <f t="shared" si="15"/>
        <v>0</v>
      </c>
      <c r="O6" s="113">
        <f t="shared" si="15"/>
        <v>0</v>
      </c>
      <c r="P6" s="113">
        <f t="shared" si="15"/>
        <v>0</v>
      </c>
      <c r="Q6" s="113">
        <f t="shared" si="15"/>
        <v>0</v>
      </c>
      <c r="R6" s="92"/>
      <c r="S6" s="93">
        <f>'W4 Points'!T27</f>
        <v>0</v>
      </c>
      <c r="T6" s="93">
        <f>'W4 Points'!U27</f>
        <v>0</v>
      </c>
      <c r="U6" s="93">
        <f>'W4 Points'!V27</f>
        <v>0</v>
      </c>
      <c r="V6" s="93">
        <f>'W4 Points'!W27</f>
        <v>0</v>
      </c>
      <c r="W6" s="108">
        <f t="shared" si="9"/>
        <v>0</v>
      </c>
    </row>
    <row r="7" ht="12.75" customHeight="1">
      <c r="A7" s="89"/>
      <c r="B7" s="112" t="s">
        <v>149</v>
      </c>
      <c r="C7" s="113">
        <f t="shared" ref="C7:D7" si="16">0</f>
        <v>0</v>
      </c>
      <c r="D7" s="113">
        <f t="shared" si="16"/>
        <v>0</v>
      </c>
      <c r="E7" s="91">
        <f t="shared" si="5"/>
        <v>0</v>
      </c>
      <c r="F7" s="91">
        <f t="shared" ref="F7:I7" si="17">0</f>
        <v>0</v>
      </c>
      <c r="G7" s="91">
        <f t="shared" si="17"/>
        <v>0</v>
      </c>
      <c r="H7" s="113">
        <f t="shared" si="17"/>
        <v>0</v>
      </c>
      <c r="I7" s="113">
        <f t="shared" si="17"/>
        <v>0</v>
      </c>
      <c r="J7" s="91">
        <f t="shared" si="7"/>
        <v>0</v>
      </c>
      <c r="K7" s="113">
        <f t="shared" ref="K7:Q7" si="18">0</f>
        <v>0</v>
      </c>
      <c r="L7" s="113">
        <f t="shared" si="18"/>
        <v>0</v>
      </c>
      <c r="M7" s="113">
        <f t="shared" si="18"/>
        <v>0</v>
      </c>
      <c r="N7" s="113">
        <f t="shared" si="18"/>
        <v>0</v>
      </c>
      <c r="O7" s="113">
        <f t="shared" si="18"/>
        <v>0</v>
      </c>
      <c r="P7" s="113">
        <f t="shared" si="18"/>
        <v>0</v>
      </c>
      <c r="Q7" s="113">
        <f t="shared" si="18"/>
        <v>0</v>
      </c>
      <c r="R7" s="92"/>
      <c r="S7" s="93">
        <f>'W4 Points'!Z27</f>
        <v>0</v>
      </c>
      <c r="T7" s="93">
        <f>'W4 Points'!AA27</f>
        <v>0</v>
      </c>
      <c r="U7" s="93">
        <f>'W4 Points'!AB27</f>
        <v>0</v>
      </c>
      <c r="V7" s="93">
        <f>'W4 Points'!AC27</f>
        <v>0</v>
      </c>
      <c r="W7" s="108">
        <f t="shared" si="9"/>
        <v>0</v>
      </c>
    </row>
    <row r="8" ht="12.75" customHeight="1">
      <c r="A8" s="89"/>
      <c r="B8" s="114" t="s">
        <v>150</v>
      </c>
      <c r="C8" s="105">
        <f t="shared" ref="C8:D8" si="19">0</f>
        <v>0</v>
      </c>
      <c r="D8" s="105">
        <f t="shared" si="19"/>
        <v>0</v>
      </c>
      <c r="E8" s="95">
        <f t="shared" si="5"/>
        <v>0</v>
      </c>
      <c r="F8" s="95">
        <f t="shared" ref="F8:I8" si="20">0</f>
        <v>0</v>
      </c>
      <c r="G8" s="95">
        <f t="shared" si="20"/>
        <v>0</v>
      </c>
      <c r="H8" s="105">
        <f t="shared" si="20"/>
        <v>0</v>
      </c>
      <c r="I8" s="115">
        <f t="shared" si="20"/>
        <v>0</v>
      </c>
      <c r="J8" s="95">
        <f t="shared" si="7"/>
        <v>0</v>
      </c>
      <c r="K8" s="115">
        <f t="shared" ref="K8:Q8" si="21">0</f>
        <v>0</v>
      </c>
      <c r="L8" s="115">
        <f t="shared" si="21"/>
        <v>0</v>
      </c>
      <c r="M8" s="115">
        <f t="shared" si="21"/>
        <v>0</v>
      </c>
      <c r="N8" s="115">
        <f t="shared" si="21"/>
        <v>0</v>
      </c>
      <c r="O8" s="105">
        <f t="shared" si="21"/>
        <v>0</v>
      </c>
      <c r="P8" s="115">
        <f t="shared" si="21"/>
        <v>0</v>
      </c>
      <c r="Q8" s="105">
        <f t="shared" si="21"/>
        <v>0</v>
      </c>
      <c r="R8" s="92"/>
      <c r="S8" s="96">
        <f>'W4 Points'!B41</f>
        <v>0</v>
      </c>
      <c r="T8" s="96">
        <f>'W4 Points'!C41</f>
        <v>0</v>
      </c>
      <c r="U8" s="96">
        <f>'W4 Points'!D41</f>
        <v>0</v>
      </c>
      <c r="V8" s="96">
        <f>'W4 Points'!E41</f>
        <v>0</v>
      </c>
      <c r="W8" s="109">
        <f t="shared" si="9"/>
        <v>0</v>
      </c>
    </row>
    <row r="9" ht="12.75" customHeight="1">
      <c r="A9" s="89"/>
      <c r="B9" s="114" t="s">
        <v>151</v>
      </c>
      <c r="C9" s="105">
        <f t="shared" ref="C9:D9" si="22">0</f>
        <v>0</v>
      </c>
      <c r="D9" s="105">
        <f t="shared" si="22"/>
        <v>0</v>
      </c>
      <c r="E9" s="95">
        <f t="shared" si="5"/>
        <v>0</v>
      </c>
      <c r="F9" s="95">
        <f t="shared" ref="F9:I9" si="23">0</f>
        <v>0</v>
      </c>
      <c r="G9" s="95">
        <f t="shared" si="23"/>
        <v>0</v>
      </c>
      <c r="H9" s="105">
        <f t="shared" si="23"/>
        <v>0</v>
      </c>
      <c r="I9" s="115">
        <f t="shared" si="23"/>
        <v>0</v>
      </c>
      <c r="J9" s="95">
        <f t="shared" si="7"/>
        <v>0</v>
      </c>
      <c r="K9" s="115">
        <f t="shared" ref="K9:Q9" si="24">0</f>
        <v>0</v>
      </c>
      <c r="L9" s="115">
        <f t="shared" si="24"/>
        <v>0</v>
      </c>
      <c r="M9" s="115">
        <f t="shared" si="24"/>
        <v>0</v>
      </c>
      <c r="N9" s="115">
        <f t="shared" si="24"/>
        <v>0</v>
      </c>
      <c r="O9" s="105">
        <f t="shared" si="24"/>
        <v>0</v>
      </c>
      <c r="P9" s="115">
        <f t="shared" si="24"/>
        <v>0</v>
      </c>
      <c r="Q9" s="105">
        <f t="shared" si="24"/>
        <v>0</v>
      </c>
      <c r="R9" s="92"/>
      <c r="S9" s="96">
        <f>'W4 Points'!H41</f>
        <v>0</v>
      </c>
      <c r="T9" s="96">
        <f>'W4 Points'!I41</f>
        <v>0</v>
      </c>
      <c r="U9" s="96">
        <f>'W4 Points'!J41</f>
        <v>0</v>
      </c>
      <c r="V9" s="96">
        <f>'W4 Points'!K41</f>
        <v>0</v>
      </c>
      <c r="W9" s="109">
        <f t="shared" si="9"/>
        <v>0</v>
      </c>
    </row>
    <row r="10" ht="12.75" customHeight="1">
      <c r="A10" s="89"/>
      <c r="B10" s="114" t="s">
        <v>102</v>
      </c>
      <c r="C10" s="105">
        <f t="shared" ref="C10:D10" si="25">0</f>
        <v>0</v>
      </c>
      <c r="D10" s="105">
        <f t="shared" si="25"/>
        <v>0</v>
      </c>
      <c r="E10" s="95">
        <f t="shared" si="5"/>
        <v>0</v>
      </c>
      <c r="F10" s="95">
        <f t="shared" ref="F10:I10" si="26">0</f>
        <v>0</v>
      </c>
      <c r="G10" s="95">
        <f t="shared" si="26"/>
        <v>0</v>
      </c>
      <c r="H10" s="105">
        <f t="shared" si="26"/>
        <v>0</v>
      </c>
      <c r="I10" s="115">
        <f t="shared" si="26"/>
        <v>0</v>
      </c>
      <c r="J10" s="95">
        <f t="shared" si="7"/>
        <v>0</v>
      </c>
      <c r="K10" s="115">
        <f t="shared" ref="K10:Q10" si="27">0</f>
        <v>0</v>
      </c>
      <c r="L10" s="115">
        <f t="shared" si="27"/>
        <v>0</v>
      </c>
      <c r="M10" s="115">
        <f t="shared" si="27"/>
        <v>0</v>
      </c>
      <c r="N10" s="115">
        <f t="shared" si="27"/>
        <v>0</v>
      </c>
      <c r="O10" s="105">
        <f t="shared" si="27"/>
        <v>0</v>
      </c>
      <c r="P10" s="115">
        <f t="shared" si="27"/>
        <v>0</v>
      </c>
      <c r="Q10" s="105">
        <f t="shared" si="27"/>
        <v>0</v>
      </c>
      <c r="R10" s="92"/>
      <c r="S10" s="96">
        <f>'W4 Points'!N41</f>
        <v>0</v>
      </c>
      <c r="T10" s="96">
        <f>'W4 Points'!O41</f>
        <v>0</v>
      </c>
      <c r="U10" s="96">
        <f>'W4 Points'!P41</f>
        <v>0</v>
      </c>
      <c r="V10" s="96">
        <f>'W4 Points'!Q41</f>
        <v>0</v>
      </c>
      <c r="W10" s="109">
        <f t="shared" si="9"/>
        <v>0</v>
      </c>
    </row>
    <row r="11" ht="12.75" customHeight="1">
      <c r="A11" s="89"/>
      <c r="B11" s="114" t="s">
        <v>103</v>
      </c>
      <c r="C11" s="105">
        <f t="shared" ref="C11:D11" si="28">0</f>
        <v>0</v>
      </c>
      <c r="D11" s="105">
        <f t="shared" si="28"/>
        <v>0</v>
      </c>
      <c r="E11" s="95">
        <f t="shared" si="5"/>
        <v>0</v>
      </c>
      <c r="F11" s="95">
        <f t="shared" ref="F11:I11" si="29">0</f>
        <v>0</v>
      </c>
      <c r="G11" s="95">
        <f t="shared" si="29"/>
        <v>0</v>
      </c>
      <c r="H11" s="105">
        <f t="shared" si="29"/>
        <v>0</v>
      </c>
      <c r="I11" s="115">
        <f t="shared" si="29"/>
        <v>0</v>
      </c>
      <c r="J11" s="95">
        <f t="shared" si="7"/>
        <v>0</v>
      </c>
      <c r="K11" s="115">
        <f t="shared" ref="K11:Q11" si="30">0</f>
        <v>0</v>
      </c>
      <c r="L11" s="115">
        <f t="shared" si="30"/>
        <v>0</v>
      </c>
      <c r="M11" s="115">
        <f t="shared" si="30"/>
        <v>0</v>
      </c>
      <c r="N11" s="115">
        <f t="shared" si="30"/>
        <v>0</v>
      </c>
      <c r="O11" s="105">
        <f t="shared" si="30"/>
        <v>0</v>
      </c>
      <c r="P11" s="115">
        <f t="shared" si="30"/>
        <v>0</v>
      </c>
      <c r="Q11" s="105">
        <f t="shared" si="30"/>
        <v>0</v>
      </c>
      <c r="R11" s="92"/>
      <c r="S11" s="96">
        <f>'W4 Points'!T41</f>
        <v>0</v>
      </c>
      <c r="T11" s="96">
        <f>'W4 Points'!U41</f>
        <v>0</v>
      </c>
      <c r="U11" s="96">
        <f>'W4 Points'!V41</f>
        <v>0</v>
      </c>
      <c r="V11" s="96">
        <f>'W4 Points'!W41</f>
        <v>0</v>
      </c>
      <c r="W11" s="109">
        <f t="shared" si="9"/>
        <v>0</v>
      </c>
    </row>
    <row r="12" ht="12.75" customHeight="1">
      <c r="A12" s="89"/>
      <c r="B12" s="114" t="s">
        <v>125</v>
      </c>
      <c r="C12" s="105">
        <f t="shared" ref="C12:D12" si="31">0</f>
        <v>0</v>
      </c>
      <c r="D12" s="105">
        <f t="shared" si="31"/>
        <v>0</v>
      </c>
      <c r="E12" s="95">
        <f t="shared" si="5"/>
        <v>0</v>
      </c>
      <c r="F12" s="95">
        <f t="shared" ref="F12:I12" si="32">0</f>
        <v>0</v>
      </c>
      <c r="G12" s="95">
        <f t="shared" si="32"/>
        <v>0</v>
      </c>
      <c r="H12" s="105">
        <f t="shared" si="32"/>
        <v>0</v>
      </c>
      <c r="I12" s="105">
        <f t="shared" si="32"/>
        <v>0</v>
      </c>
      <c r="J12" s="95">
        <f t="shared" si="7"/>
        <v>0</v>
      </c>
      <c r="K12" s="105">
        <f t="shared" ref="K12:Q12" si="33">0</f>
        <v>0</v>
      </c>
      <c r="L12" s="105">
        <f t="shared" si="33"/>
        <v>0</v>
      </c>
      <c r="M12" s="105">
        <f t="shared" si="33"/>
        <v>0</v>
      </c>
      <c r="N12" s="115">
        <f t="shared" si="33"/>
        <v>0</v>
      </c>
      <c r="O12" s="105">
        <f t="shared" si="33"/>
        <v>0</v>
      </c>
      <c r="P12" s="115">
        <f t="shared" si="33"/>
        <v>0</v>
      </c>
      <c r="Q12" s="105">
        <f t="shared" si="33"/>
        <v>0</v>
      </c>
      <c r="R12" s="92"/>
      <c r="S12" s="96">
        <f>'W4 Points'!Z41</f>
        <v>0</v>
      </c>
      <c r="T12" s="96">
        <f>'W4 Points'!AA41</f>
        <v>0</v>
      </c>
      <c r="U12" s="96">
        <f>'W4 Points'!AB41</f>
        <v>0</v>
      </c>
      <c r="V12" s="96">
        <f>'W4 Points'!AC41</f>
        <v>0</v>
      </c>
      <c r="W12" s="109">
        <f t="shared" si="9"/>
        <v>0</v>
      </c>
    </row>
    <row r="13" ht="12.75" customHeight="1">
      <c r="A13" s="89"/>
      <c r="B13" s="112" t="s">
        <v>132</v>
      </c>
      <c r="C13" s="113">
        <f t="shared" ref="C13:D13" si="34">0</f>
        <v>0</v>
      </c>
      <c r="D13" s="113">
        <f t="shared" si="34"/>
        <v>0</v>
      </c>
      <c r="E13" s="91">
        <f t="shared" si="5"/>
        <v>0</v>
      </c>
      <c r="F13" s="91">
        <f t="shared" ref="F13:I13" si="35">0</f>
        <v>0</v>
      </c>
      <c r="G13" s="91">
        <f t="shared" si="35"/>
        <v>0</v>
      </c>
      <c r="H13" s="113">
        <f t="shared" si="35"/>
        <v>0</v>
      </c>
      <c r="I13" s="113">
        <f t="shared" si="35"/>
        <v>0</v>
      </c>
      <c r="J13" s="91">
        <f t="shared" si="7"/>
        <v>0</v>
      </c>
      <c r="K13" s="113">
        <f t="shared" ref="K13:Q13" si="36">0</f>
        <v>0</v>
      </c>
      <c r="L13" s="113">
        <f t="shared" si="36"/>
        <v>0</v>
      </c>
      <c r="M13" s="113">
        <f t="shared" si="36"/>
        <v>0</v>
      </c>
      <c r="N13" s="113">
        <f t="shared" si="36"/>
        <v>0</v>
      </c>
      <c r="O13" s="113">
        <f t="shared" si="36"/>
        <v>0</v>
      </c>
      <c r="P13" s="113">
        <f t="shared" si="36"/>
        <v>0</v>
      </c>
      <c r="Q13" s="113">
        <f t="shared" si="36"/>
        <v>0</v>
      </c>
      <c r="R13" s="92"/>
      <c r="S13" s="93">
        <f>'W4 Points'!B55</f>
        <v>0</v>
      </c>
      <c r="T13" s="93">
        <f>'W4 Points'!C55</f>
        <v>0</v>
      </c>
      <c r="U13" s="93">
        <f>'W4 Points'!D55</f>
        <v>0</v>
      </c>
      <c r="V13" s="93">
        <f>'W4 Points'!E55</f>
        <v>0</v>
      </c>
      <c r="W13" s="108">
        <f t="shared" si="9"/>
        <v>0</v>
      </c>
    </row>
    <row r="14" ht="12.75" customHeight="1">
      <c r="A14" s="89"/>
      <c r="B14" s="112" t="s">
        <v>124</v>
      </c>
      <c r="C14" s="113">
        <f t="shared" ref="C14:D14" si="37">0</f>
        <v>0</v>
      </c>
      <c r="D14" s="113">
        <f t="shared" si="37"/>
        <v>0</v>
      </c>
      <c r="E14" s="91">
        <f t="shared" si="5"/>
        <v>0</v>
      </c>
      <c r="F14" s="91">
        <f t="shared" ref="F14:I14" si="38">0</f>
        <v>0</v>
      </c>
      <c r="G14" s="91">
        <f t="shared" si="38"/>
        <v>0</v>
      </c>
      <c r="H14" s="113">
        <f t="shared" si="38"/>
        <v>0</v>
      </c>
      <c r="I14" s="113">
        <f t="shared" si="38"/>
        <v>0</v>
      </c>
      <c r="J14" s="91">
        <f t="shared" si="7"/>
        <v>0</v>
      </c>
      <c r="K14" s="113">
        <f t="shared" ref="K14:Q14" si="39">0</f>
        <v>0</v>
      </c>
      <c r="L14" s="113">
        <f t="shared" si="39"/>
        <v>0</v>
      </c>
      <c r="M14" s="113">
        <f t="shared" si="39"/>
        <v>0</v>
      </c>
      <c r="N14" s="113">
        <f t="shared" si="39"/>
        <v>0</v>
      </c>
      <c r="O14" s="113">
        <f t="shared" si="39"/>
        <v>0</v>
      </c>
      <c r="P14" s="113">
        <f t="shared" si="39"/>
        <v>0</v>
      </c>
      <c r="Q14" s="113">
        <f t="shared" si="39"/>
        <v>0</v>
      </c>
      <c r="R14" s="92"/>
      <c r="S14" s="93">
        <f>'W4 Points'!H55</f>
        <v>0</v>
      </c>
      <c r="T14" s="93">
        <f>'W4 Points'!I55</f>
        <v>0</v>
      </c>
      <c r="U14" s="93">
        <f>'W4 Points'!J55</f>
        <v>0</v>
      </c>
      <c r="V14" s="93">
        <f>'W4 Points'!K55</f>
        <v>0</v>
      </c>
      <c r="W14" s="108">
        <f t="shared" si="9"/>
        <v>0</v>
      </c>
    </row>
    <row r="15" ht="12.75" customHeight="1">
      <c r="A15" s="89"/>
      <c r="B15" s="112" t="s">
        <v>136</v>
      </c>
      <c r="C15" s="113">
        <f t="shared" ref="C15:D15" si="40">0</f>
        <v>0</v>
      </c>
      <c r="D15" s="113">
        <f t="shared" si="40"/>
        <v>0</v>
      </c>
      <c r="E15" s="91">
        <f t="shared" si="5"/>
        <v>0</v>
      </c>
      <c r="F15" s="91">
        <f t="shared" ref="F15:I15" si="41">0</f>
        <v>0</v>
      </c>
      <c r="G15" s="91">
        <f t="shared" si="41"/>
        <v>0</v>
      </c>
      <c r="H15" s="113">
        <f t="shared" si="41"/>
        <v>0</v>
      </c>
      <c r="I15" s="113">
        <f t="shared" si="41"/>
        <v>0</v>
      </c>
      <c r="J15" s="91">
        <f t="shared" si="7"/>
        <v>0</v>
      </c>
      <c r="K15" s="113">
        <f t="shared" ref="K15:Q15" si="42">0</f>
        <v>0</v>
      </c>
      <c r="L15" s="113">
        <f t="shared" si="42"/>
        <v>0</v>
      </c>
      <c r="M15" s="113">
        <f t="shared" si="42"/>
        <v>0</v>
      </c>
      <c r="N15" s="113">
        <f t="shared" si="42"/>
        <v>0</v>
      </c>
      <c r="O15" s="113">
        <f t="shared" si="42"/>
        <v>0</v>
      </c>
      <c r="P15" s="113">
        <f t="shared" si="42"/>
        <v>0</v>
      </c>
      <c r="Q15" s="113">
        <f t="shared" si="42"/>
        <v>0</v>
      </c>
      <c r="R15" s="92"/>
      <c r="S15" s="93">
        <f>'W4 Points'!N55</f>
        <v>0</v>
      </c>
      <c r="T15" s="93">
        <f>'W4 Points'!O55</f>
        <v>0</v>
      </c>
      <c r="U15" s="93">
        <f>'W4 Points'!P55</f>
        <v>0</v>
      </c>
      <c r="V15" s="93">
        <f>'W4 Points'!Q55</f>
        <v>0</v>
      </c>
      <c r="W15" s="108">
        <f t="shared" si="9"/>
        <v>0</v>
      </c>
    </row>
    <row r="16" ht="12.75" customHeight="1">
      <c r="A16" s="89"/>
      <c r="B16" s="112" t="s">
        <v>48</v>
      </c>
      <c r="C16" s="113">
        <f t="shared" ref="C16:D16" si="43">0</f>
        <v>0</v>
      </c>
      <c r="D16" s="113">
        <f t="shared" si="43"/>
        <v>0</v>
      </c>
      <c r="E16" s="91">
        <f t="shared" si="5"/>
        <v>0</v>
      </c>
      <c r="F16" s="91">
        <f t="shared" ref="F16:I16" si="44">0</f>
        <v>0</v>
      </c>
      <c r="G16" s="91">
        <f t="shared" si="44"/>
        <v>0</v>
      </c>
      <c r="H16" s="113">
        <f t="shared" si="44"/>
        <v>0</v>
      </c>
      <c r="I16" s="113">
        <f t="shared" si="44"/>
        <v>0</v>
      </c>
      <c r="J16" s="91">
        <f t="shared" si="7"/>
        <v>0</v>
      </c>
      <c r="K16" s="113">
        <f t="shared" ref="K16:Q16" si="45">0</f>
        <v>0</v>
      </c>
      <c r="L16" s="113">
        <f t="shared" si="45"/>
        <v>0</v>
      </c>
      <c r="M16" s="113">
        <f t="shared" si="45"/>
        <v>0</v>
      </c>
      <c r="N16" s="113">
        <f t="shared" si="45"/>
        <v>0</v>
      </c>
      <c r="O16" s="113">
        <f t="shared" si="45"/>
        <v>0</v>
      </c>
      <c r="P16" s="113">
        <f t="shared" si="45"/>
        <v>0</v>
      </c>
      <c r="Q16" s="113">
        <f t="shared" si="45"/>
        <v>0</v>
      </c>
      <c r="R16" s="92"/>
      <c r="S16" s="93">
        <f>'W4 Points'!T55</f>
        <v>0</v>
      </c>
      <c r="T16" s="93">
        <f>'W4 Points'!U55</f>
        <v>0</v>
      </c>
      <c r="U16" s="93">
        <f>'W4 Points'!V55</f>
        <v>0</v>
      </c>
      <c r="V16" s="93">
        <f>'W4 Points'!W55</f>
        <v>0</v>
      </c>
      <c r="W16" s="108">
        <f t="shared" si="9"/>
        <v>0</v>
      </c>
    </row>
    <row r="17" ht="12.75" customHeight="1">
      <c r="A17" s="89"/>
      <c r="B17" s="112" t="s">
        <v>139</v>
      </c>
      <c r="C17" s="113">
        <f t="shared" ref="C17:D17" si="46">0</f>
        <v>0</v>
      </c>
      <c r="D17" s="113">
        <f t="shared" si="46"/>
        <v>0</v>
      </c>
      <c r="E17" s="91">
        <f t="shared" si="5"/>
        <v>0</v>
      </c>
      <c r="F17" s="91">
        <f t="shared" ref="F17:I17" si="47">0</f>
        <v>0</v>
      </c>
      <c r="G17" s="91">
        <f t="shared" si="47"/>
        <v>0</v>
      </c>
      <c r="H17" s="113">
        <f t="shared" si="47"/>
        <v>0</v>
      </c>
      <c r="I17" s="113">
        <f t="shared" si="47"/>
        <v>0</v>
      </c>
      <c r="J17" s="91">
        <f t="shared" si="7"/>
        <v>0</v>
      </c>
      <c r="K17" s="113">
        <f t="shared" ref="K17:Q17" si="48">0</f>
        <v>0</v>
      </c>
      <c r="L17" s="113">
        <f t="shared" si="48"/>
        <v>0</v>
      </c>
      <c r="M17" s="113">
        <f t="shared" si="48"/>
        <v>0</v>
      </c>
      <c r="N17" s="113">
        <f t="shared" si="48"/>
        <v>0</v>
      </c>
      <c r="O17" s="113">
        <f t="shared" si="48"/>
        <v>0</v>
      </c>
      <c r="P17" s="113">
        <f t="shared" si="48"/>
        <v>0</v>
      </c>
      <c r="Q17" s="113">
        <f t="shared" si="48"/>
        <v>0</v>
      </c>
      <c r="R17" s="92"/>
      <c r="S17" s="93">
        <f>'W4 Points'!Z55</f>
        <v>0</v>
      </c>
      <c r="T17" s="93">
        <f>'W4 Points'!AA55</f>
        <v>0</v>
      </c>
      <c r="U17" s="93">
        <f>'W4 Points'!AB55</f>
        <v>0</v>
      </c>
      <c r="V17" s="93">
        <f>'W4 Points'!AC55</f>
        <v>0</v>
      </c>
      <c r="W17" s="108">
        <f t="shared" si="9"/>
        <v>0</v>
      </c>
    </row>
    <row r="18" ht="12.75" customHeight="1">
      <c r="A18" s="89"/>
      <c r="B18" s="114" t="s">
        <v>37</v>
      </c>
      <c r="C18" s="105">
        <f t="shared" ref="C18:D18" si="49">0</f>
        <v>0</v>
      </c>
      <c r="D18" s="105">
        <f t="shared" si="49"/>
        <v>0</v>
      </c>
      <c r="E18" s="95">
        <f t="shared" si="5"/>
        <v>0</v>
      </c>
      <c r="F18" s="95">
        <f t="shared" ref="F18:I18" si="50">0</f>
        <v>0</v>
      </c>
      <c r="G18" s="95">
        <f t="shared" si="50"/>
        <v>0</v>
      </c>
      <c r="H18" s="105">
        <f t="shared" si="50"/>
        <v>0</v>
      </c>
      <c r="I18" s="115">
        <f t="shared" si="50"/>
        <v>0</v>
      </c>
      <c r="J18" s="95">
        <f t="shared" si="7"/>
        <v>0</v>
      </c>
      <c r="K18" s="115">
        <f t="shared" ref="K18:Q18" si="51">0</f>
        <v>0</v>
      </c>
      <c r="L18" s="115">
        <f t="shared" si="51"/>
        <v>0</v>
      </c>
      <c r="M18" s="115">
        <f t="shared" si="51"/>
        <v>0</v>
      </c>
      <c r="N18" s="115">
        <f t="shared" si="51"/>
        <v>0</v>
      </c>
      <c r="O18" s="105">
        <f t="shared" si="51"/>
        <v>0</v>
      </c>
      <c r="P18" s="115">
        <f t="shared" si="51"/>
        <v>0</v>
      </c>
      <c r="Q18" s="105">
        <f t="shared" si="51"/>
        <v>0</v>
      </c>
      <c r="R18" s="92"/>
      <c r="S18" s="96">
        <f>'W4 Points'!B69</f>
        <v>0</v>
      </c>
      <c r="T18" s="96">
        <f>'W4 Points'!C69</f>
        <v>0</v>
      </c>
      <c r="U18" s="96">
        <f>'W4 Points'!D69</f>
        <v>0</v>
      </c>
      <c r="V18" s="96">
        <f>'W4 Points'!E69</f>
        <v>0</v>
      </c>
      <c r="W18" s="109">
        <f t="shared" si="9"/>
        <v>0</v>
      </c>
    </row>
    <row r="19" ht="12.75" customHeight="1">
      <c r="A19" s="89"/>
      <c r="B19" s="114" t="s">
        <v>28</v>
      </c>
      <c r="C19" s="105">
        <f t="shared" ref="C19:D19" si="52">0</f>
        <v>0</v>
      </c>
      <c r="D19" s="105">
        <f t="shared" si="52"/>
        <v>0</v>
      </c>
      <c r="E19" s="95">
        <f t="shared" si="5"/>
        <v>0</v>
      </c>
      <c r="F19" s="95">
        <f t="shared" ref="F19:I19" si="53">0</f>
        <v>0</v>
      </c>
      <c r="G19" s="95">
        <f t="shared" si="53"/>
        <v>0</v>
      </c>
      <c r="H19" s="105">
        <f t="shared" si="53"/>
        <v>0</v>
      </c>
      <c r="I19" s="115">
        <f t="shared" si="53"/>
        <v>0</v>
      </c>
      <c r="J19" s="95">
        <f t="shared" si="7"/>
        <v>0</v>
      </c>
      <c r="K19" s="115">
        <f t="shared" ref="K19:Q19" si="54">0</f>
        <v>0</v>
      </c>
      <c r="L19" s="115">
        <f t="shared" si="54"/>
        <v>0</v>
      </c>
      <c r="M19" s="115">
        <f t="shared" si="54"/>
        <v>0</v>
      </c>
      <c r="N19" s="115">
        <f t="shared" si="54"/>
        <v>0</v>
      </c>
      <c r="O19" s="105">
        <f t="shared" si="54"/>
        <v>0</v>
      </c>
      <c r="P19" s="115">
        <f t="shared" si="54"/>
        <v>0</v>
      </c>
      <c r="Q19" s="105">
        <f t="shared" si="54"/>
        <v>0</v>
      </c>
      <c r="R19" s="92"/>
      <c r="S19" s="96">
        <f>'W4 Points'!H69</f>
        <v>0</v>
      </c>
      <c r="T19" s="96">
        <f>'W4 Points'!I69</f>
        <v>0</v>
      </c>
      <c r="U19" s="96">
        <f>'W4 Points'!J69</f>
        <v>0</v>
      </c>
      <c r="V19" s="96">
        <f>'W4 Points'!K69</f>
        <v>0</v>
      </c>
      <c r="W19" s="109">
        <f t="shared" si="9"/>
        <v>0</v>
      </c>
    </row>
    <row r="20" ht="12.75" customHeight="1">
      <c r="A20" s="89"/>
      <c r="B20" s="114" t="s">
        <v>137</v>
      </c>
      <c r="C20" s="105">
        <f t="shared" ref="C20:D20" si="55">0</f>
        <v>0</v>
      </c>
      <c r="D20" s="105">
        <f t="shared" si="55"/>
        <v>0</v>
      </c>
      <c r="E20" s="95">
        <f t="shared" si="5"/>
        <v>0</v>
      </c>
      <c r="F20" s="95">
        <f t="shared" ref="F20:I20" si="56">0</f>
        <v>0</v>
      </c>
      <c r="G20" s="95">
        <f t="shared" si="56"/>
        <v>0</v>
      </c>
      <c r="H20" s="105">
        <f t="shared" si="56"/>
        <v>0</v>
      </c>
      <c r="I20" s="115">
        <f t="shared" si="56"/>
        <v>0</v>
      </c>
      <c r="J20" s="95">
        <f t="shared" si="7"/>
        <v>0</v>
      </c>
      <c r="K20" s="115">
        <f t="shared" ref="K20:Q20" si="57">0</f>
        <v>0</v>
      </c>
      <c r="L20" s="115">
        <f t="shared" si="57"/>
        <v>0</v>
      </c>
      <c r="M20" s="115">
        <f t="shared" si="57"/>
        <v>0</v>
      </c>
      <c r="N20" s="115">
        <f t="shared" si="57"/>
        <v>0</v>
      </c>
      <c r="O20" s="105">
        <f t="shared" si="57"/>
        <v>0</v>
      </c>
      <c r="P20" s="115">
        <f t="shared" si="57"/>
        <v>0</v>
      </c>
      <c r="Q20" s="105">
        <f t="shared" si="57"/>
        <v>0</v>
      </c>
      <c r="R20" s="92"/>
      <c r="S20" s="96">
        <f>'W4 Points'!N69</f>
        <v>0</v>
      </c>
      <c r="T20" s="96">
        <f>'W4 Points'!O69</f>
        <v>0</v>
      </c>
      <c r="U20" s="96">
        <f>'W4 Points'!P69</f>
        <v>0</v>
      </c>
      <c r="V20" s="96">
        <f>'W4 Points'!Q69</f>
        <v>0</v>
      </c>
      <c r="W20" s="109">
        <f t="shared" si="9"/>
        <v>0</v>
      </c>
    </row>
    <row r="21" ht="12.75" customHeight="1">
      <c r="A21" s="89"/>
      <c r="B21" s="114" t="s">
        <v>39</v>
      </c>
      <c r="C21" s="105">
        <f t="shared" ref="C21:D21" si="58">0</f>
        <v>0</v>
      </c>
      <c r="D21" s="105">
        <f t="shared" si="58"/>
        <v>0</v>
      </c>
      <c r="E21" s="95">
        <f t="shared" si="5"/>
        <v>0</v>
      </c>
      <c r="F21" s="95">
        <f t="shared" ref="F21:I21" si="59">0</f>
        <v>0</v>
      </c>
      <c r="G21" s="95">
        <f t="shared" si="59"/>
        <v>0</v>
      </c>
      <c r="H21" s="105">
        <f t="shared" si="59"/>
        <v>0</v>
      </c>
      <c r="I21" s="115">
        <f t="shared" si="59"/>
        <v>0</v>
      </c>
      <c r="J21" s="95">
        <f t="shared" si="7"/>
        <v>0</v>
      </c>
      <c r="K21" s="115">
        <f t="shared" ref="K21:Q21" si="60">0</f>
        <v>0</v>
      </c>
      <c r="L21" s="115">
        <f t="shared" si="60"/>
        <v>0</v>
      </c>
      <c r="M21" s="115">
        <f t="shared" si="60"/>
        <v>0</v>
      </c>
      <c r="N21" s="115">
        <f t="shared" si="60"/>
        <v>0</v>
      </c>
      <c r="O21" s="105">
        <f t="shared" si="60"/>
        <v>0</v>
      </c>
      <c r="P21" s="115">
        <f t="shared" si="60"/>
        <v>0</v>
      </c>
      <c r="Q21" s="105">
        <f t="shared" si="60"/>
        <v>0</v>
      </c>
      <c r="R21" s="92"/>
      <c r="S21" s="96">
        <f>'W4 Points'!T69</f>
        <v>0</v>
      </c>
      <c r="T21" s="96">
        <f>'W4 Points'!U69</f>
        <v>0</v>
      </c>
      <c r="U21" s="96">
        <f>'W4 Points'!V69</f>
        <v>0</v>
      </c>
      <c r="V21" s="96">
        <f>'W4 Points'!W69</f>
        <v>0</v>
      </c>
      <c r="W21" s="109">
        <f t="shared" si="9"/>
        <v>0</v>
      </c>
    </row>
    <row r="22" ht="12.75" customHeight="1">
      <c r="A22" s="89"/>
      <c r="B22" s="114" t="s">
        <v>152</v>
      </c>
      <c r="C22" s="105">
        <f t="shared" ref="C22:D22" si="61">0</f>
        <v>0</v>
      </c>
      <c r="D22" s="105">
        <f t="shared" si="61"/>
        <v>0</v>
      </c>
      <c r="E22" s="95">
        <f t="shared" si="5"/>
        <v>0</v>
      </c>
      <c r="F22" s="95">
        <f t="shared" ref="F22:I22" si="62">0</f>
        <v>0</v>
      </c>
      <c r="G22" s="95">
        <f t="shared" si="62"/>
        <v>0</v>
      </c>
      <c r="H22" s="105">
        <f t="shared" si="62"/>
        <v>0</v>
      </c>
      <c r="I22" s="115">
        <f t="shared" si="62"/>
        <v>0</v>
      </c>
      <c r="J22" s="95">
        <f t="shared" si="7"/>
        <v>0</v>
      </c>
      <c r="K22" s="115">
        <f t="shared" ref="K22:Q22" si="63">0</f>
        <v>0</v>
      </c>
      <c r="L22" s="115">
        <f t="shared" si="63"/>
        <v>0</v>
      </c>
      <c r="M22" s="115">
        <f t="shared" si="63"/>
        <v>0</v>
      </c>
      <c r="N22" s="115">
        <f t="shared" si="63"/>
        <v>0</v>
      </c>
      <c r="O22" s="105">
        <f t="shared" si="63"/>
        <v>0</v>
      </c>
      <c r="P22" s="115">
        <f t="shared" si="63"/>
        <v>0</v>
      </c>
      <c r="Q22" s="105">
        <f t="shared" si="63"/>
        <v>0</v>
      </c>
      <c r="R22" s="92"/>
      <c r="S22" s="96">
        <f>'W4 Points'!Z69</f>
        <v>0</v>
      </c>
      <c r="T22" s="96">
        <f>'W4 Points'!AA69</f>
        <v>0</v>
      </c>
      <c r="U22" s="96">
        <f>'W4 Points'!AB69</f>
        <v>0</v>
      </c>
      <c r="V22" s="96">
        <f>'W4 Points'!AC69</f>
        <v>0</v>
      </c>
      <c r="W22" s="109">
        <f t="shared" si="9"/>
        <v>0</v>
      </c>
    </row>
    <row r="23" ht="12.75" customHeight="1">
      <c r="A23" s="89"/>
      <c r="B23" s="112" t="s">
        <v>138</v>
      </c>
      <c r="C23" s="113">
        <f t="shared" ref="C23:D23" si="64">0</f>
        <v>0</v>
      </c>
      <c r="D23" s="113">
        <f t="shared" si="64"/>
        <v>0</v>
      </c>
      <c r="E23" s="91">
        <f t="shared" si="5"/>
        <v>0</v>
      </c>
      <c r="F23" s="91">
        <f t="shared" ref="F23:I23" si="65">0</f>
        <v>0</v>
      </c>
      <c r="G23" s="91">
        <f t="shared" si="65"/>
        <v>0</v>
      </c>
      <c r="H23" s="113">
        <f t="shared" si="65"/>
        <v>0</v>
      </c>
      <c r="I23" s="113">
        <f t="shared" si="65"/>
        <v>0</v>
      </c>
      <c r="J23" s="91">
        <f t="shared" si="7"/>
        <v>0</v>
      </c>
      <c r="K23" s="113">
        <f t="shared" ref="K23:Q23" si="66">0</f>
        <v>0</v>
      </c>
      <c r="L23" s="113">
        <f t="shared" si="66"/>
        <v>0</v>
      </c>
      <c r="M23" s="113">
        <f t="shared" si="66"/>
        <v>0</v>
      </c>
      <c r="N23" s="113">
        <f t="shared" si="66"/>
        <v>0</v>
      </c>
      <c r="O23" s="113">
        <f t="shared" si="66"/>
        <v>0</v>
      </c>
      <c r="P23" s="113">
        <f t="shared" si="66"/>
        <v>0</v>
      </c>
      <c r="Q23" s="113">
        <f t="shared" si="66"/>
        <v>0</v>
      </c>
      <c r="R23" s="97"/>
      <c r="S23" s="93">
        <f>'W4 Points'!B83</f>
        <v>0</v>
      </c>
      <c r="T23" s="93">
        <f>'W4 Points'!C83</f>
        <v>0</v>
      </c>
      <c r="U23" s="93">
        <f>'W4 Points'!D83</f>
        <v>0</v>
      </c>
      <c r="V23" s="93">
        <f>'W4 Points'!E83</f>
        <v>0</v>
      </c>
      <c r="W23" s="108">
        <f t="shared" si="9"/>
        <v>0</v>
      </c>
    </row>
    <row r="24" ht="12.75" customHeight="1">
      <c r="A24" s="89"/>
      <c r="B24" s="90" t="s">
        <v>153</v>
      </c>
      <c r="C24" s="91">
        <f t="shared" ref="C24:D24" si="67">0</f>
        <v>0</v>
      </c>
      <c r="D24" s="91">
        <f t="shared" si="67"/>
        <v>0</v>
      </c>
      <c r="E24" s="91">
        <f t="shared" si="5"/>
        <v>0</v>
      </c>
      <c r="F24" s="91">
        <f t="shared" ref="F24:I24" si="68">0</f>
        <v>0</v>
      </c>
      <c r="G24" s="91">
        <f t="shared" si="68"/>
        <v>0</v>
      </c>
      <c r="H24" s="91">
        <f t="shared" si="68"/>
        <v>0</v>
      </c>
      <c r="I24" s="91">
        <f t="shared" si="68"/>
        <v>0</v>
      </c>
      <c r="J24" s="91">
        <f t="shared" si="7"/>
        <v>0</v>
      </c>
      <c r="K24" s="91">
        <f t="shared" ref="K24:Q24" si="69">0</f>
        <v>0</v>
      </c>
      <c r="L24" s="91">
        <f t="shared" si="69"/>
        <v>0</v>
      </c>
      <c r="M24" s="91">
        <f t="shared" si="69"/>
        <v>0</v>
      </c>
      <c r="N24" s="91">
        <f t="shared" si="69"/>
        <v>0</v>
      </c>
      <c r="O24" s="91">
        <f t="shared" si="69"/>
        <v>0</v>
      </c>
      <c r="P24" s="91">
        <f t="shared" si="69"/>
        <v>0</v>
      </c>
      <c r="Q24" s="93">
        <f t="shared" si="69"/>
        <v>0</v>
      </c>
      <c r="R24" s="97"/>
      <c r="S24" s="93" t="s">
        <v>154</v>
      </c>
      <c r="T24" s="93" t="s">
        <v>154</v>
      </c>
      <c r="U24" s="93" t="s">
        <v>154</v>
      </c>
      <c r="V24" s="93" t="s">
        <v>154</v>
      </c>
      <c r="W24" s="93" t="s">
        <v>154</v>
      </c>
    </row>
    <row r="25" ht="12.75" customHeight="1">
      <c r="A25" s="89"/>
      <c r="B25" s="112" t="s">
        <v>155</v>
      </c>
      <c r="C25" s="113">
        <f t="shared" ref="C25:D25" si="70">0</f>
        <v>0</v>
      </c>
      <c r="D25" s="113">
        <f t="shared" si="70"/>
        <v>0</v>
      </c>
      <c r="E25" s="91">
        <f t="shared" si="5"/>
        <v>0</v>
      </c>
      <c r="F25" s="91">
        <f t="shared" ref="F25:I25" si="71">0</f>
        <v>0</v>
      </c>
      <c r="G25" s="91">
        <f t="shared" si="71"/>
        <v>0</v>
      </c>
      <c r="H25" s="113">
        <f t="shared" si="71"/>
        <v>0</v>
      </c>
      <c r="I25" s="113">
        <f t="shared" si="71"/>
        <v>0</v>
      </c>
      <c r="J25" s="91">
        <f t="shared" si="7"/>
        <v>0</v>
      </c>
      <c r="K25" s="113">
        <f t="shared" ref="K25:Q25" si="72">0</f>
        <v>0</v>
      </c>
      <c r="L25" s="113">
        <f t="shared" si="72"/>
        <v>0</v>
      </c>
      <c r="M25" s="113">
        <f t="shared" si="72"/>
        <v>0</v>
      </c>
      <c r="N25" s="113">
        <f t="shared" si="72"/>
        <v>0</v>
      </c>
      <c r="O25" s="113">
        <f t="shared" si="72"/>
        <v>0</v>
      </c>
      <c r="P25" s="113">
        <f t="shared" si="72"/>
        <v>0</v>
      </c>
      <c r="Q25" s="113">
        <f t="shared" si="72"/>
        <v>0</v>
      </c>
      <c r="R25" s="97"/>
      <c r="S25" s="93">
        <f>'W4 Points'!H83</f>
        <v>0</v>
      </c>
      <c r="T25" s="93">
        <f>'W4 Points'!I83</f>
        <v>0</v>
      </c>
      <c r="U25" s="93">
        <f>'W4 Points'!J83</f>
        <v>0</v>
      </c>
      <c r="V25" s="93">
        <f>'W4 Points'!K83</f>
        <v>0</v>
      </c>
      <c r="W25" s="108">
        <f t="shared" ref="W25:W33" si="76">SUM(S25:V25)</f>
        <v>0</v>
      </c>
    </row>
    <row r="26" ht="12.75" customHeight="1">
      <c r="A26" s="89"/>
      <c r="B26" s="112" t="s">
        <v>25</v>
      </c>
      <c r="C26" s="113">
        <f t="shared" ref="C26:D26" si="73">0</f>
        <v>0</v>
      </c>
      <c r="D26" s="113">
        <f t="shared" si="73"/>
        <v>0</v>
      </c>
      <c r="E26" s="91">
        <f t="shared" si="5"/>
        <v>0</v>
      </c>
      <c r="F26" s="91">
        <f t="shared" ref="F26:I26" si="74">0</f>
        <v>0</v>
      </c>
      <c r="G26" s="91">
        <f t="shared" si="74"/>
        <v>0</v>
      </c>
      <c r="H26" s="113">
        <f t="shared" si="74"/>
        <v>0</v>
      </c>
      <c r="I26" s="113">
        <f t="shared" si="74"/>
        <v>0</v>
      </c>
      <c r="J26" s="91">
        <f t="shared" si="7"/>
        <v>0</v>
      </c>
      <c r="K26" s="113">
        <f t="shared" ref="K26:Q26" si="75">0</f>
        <v>0</v>
      </c>
      <c r="L26" s="113">
        <f t="shared" si="75"/>
        <v>0</v>
      </c>
      <c r="M26" s="113">
        <f t="shared" si="75"/>
        <v>0</v>
      </c>
      <c r="N26" s="113">
        <f t="shared" si="75"/>
        <v>0</v>
      </c>
      <c r="O26" s="113">
        <f t="shared" si="75"/>
        <v>0</v>
      </c>
      <c r="P26" s="113">
        <f t="shared" si="75"/>
        <v>0</v>
      </c>
      <c r="Q26" s="113">
        <f t="shared" si="75"/>
        <v>0</v>
      </c>
      <c r="R26" s="97"/>
      <c r="S26" s="93">
        <f>'W4 Points'!N83</f>
        <v>0</v>
      </c>
      <c r="T26" s="93">
        <f>'W4 Points'!O83</f>
        <v>0</v>
      </c>
      <c r="U26" s="93">
        <f>'W4 Points'!P83</f>
        <v>0</v>
      </c>
      <c r="V26" s="93">
        <f>'W4 Points'!Q83</f>
        <v>0</v>
      </c>
      <c r="W26" s="108">
        <f t="shared" si="76"/>
        <v>0</v>
      </c>
    </row>
    <row r="27" ht="12.75" customHeight="1">
      <c r="A27" s="89"/>
      <c r="B27" s="112" t="s">
        <v>133</v>
      </c>
      <c r="C27" s="113">
        <f t="shared" ref="C27:D27" si="77">0</f>
        <v>0</v>
      </c>
      <c r="D27" s="113">
        <f t="shared" si="77"/>
        <v>0</v>
      </c>
      <c r="E27" s="91">
        <f t="shared" si="5"/>
        <v>0</v>
      </c>
      <c r="F27" s="91">
        <f t="shared" ref="F27:I27" si="78">0</f>
        <v>0</v>
      </c>
      <c r="G27" s="91">
        <f t="shared" si="78"/>
        <v>0</v>
      </c>
      <c r="H27" s="113">
        <f t="shared" si="78"/>
        <v>0</v>
      </c>
      <c r="I27" s="113">
        <f t="shared" si="78"/>
        <v>0</v>
      </c>
      <c r="J27" s="91">
        <f t="shared" si="7"/>
        <v>0</v>
      </c>
      <c r="K27" s="113">
        <f t="shared" ref="K27:Q27" si="79">0</f>
        <v>0</v>
      </c>
      <c r="L27" s="113">
        <f t="shared" si="79"/>
        <v>0</v>
      </c>
      <c r="M27" s="113">
        <f t="shared" si="79"/>
        <v>0</v>
      </c>
      <c r="N27" s="113">
        <f t="shared" si="79"/>
        <v>0</v>
      </c>
      <c r="O27" s="113">
        <f t="shared" si="79"/>
        <v>0</v>
      </c>
      <c r="P27" s="113">
        <f t="shared" si="79"/>
        <v>0</v>
      </c>
      <c r="Q27" s="113">
        <f t="shared" si="79"/>
        <v>0</v>
      </c>
      <c r="R27" s="97"/>
      <c r="S27" s="93">
        <f>'W4 Points'!T83</f>
        <v>0</v>
      </c>
      <c r="T27" s="93">
        <f>'W4 Points'!U83</f>
        <v>0</v>
      </c>
      <c r="U27" s="93">
        <f>'W4 Points'!V83</f>
        <v>0</v>
      </c>
      <c r="V27" s="93">
        <f>'W4 Points'!W83</f>
        <v>0</v>
      </c>
      <c r="W27" s="108">
        <f t="shared" si="76"/>
        <v>0</v>
      </c>
    </row>
    <row r="28" ht="12.75" customHeight="1">
      <c r="A28" s="89"/>
      <c r="B28" s="112" t="s">
        <v>106</v>
      </c>
      <c r="C28" s="113">
        <f t="shared" ref="C28:D28" si="80">0</f>
        <v>0</v>
      </c>
      <c r="D28" s="113">
        <f t="shared" si="80"/>
        <v>0</v>
      </c>
      <c r="E28" s="91">
        <f t="shared" si="5"/>
        <v>0</v>
      </c>
      <c r="F28" s="91">
        <f t="shared" ref="F28:I28" si="81">0</f>
        <v>0</v>
      </c>
      <c r="G28" s="91">
        <f t="shared" si="81"/>
        <v>0</v>
      </c>
      <c r="H28" s="113">
        <f t="shared" si="81"/>
        <v>0</v>
      </c>
      <c r="I28" s="113">
        <f t="shared" si="81"/>
        <v>0</v>
      </c>
      <c r="J28" s="91">
        <f t="shared" si="7"/>
        <v>0</v>
      </c>
      <c r="K28" s="113">
        <f t="shared" ref="K28:Q28" si="82">0</f>
        <v>0</v>
      </c>
      <c r="L28" s="113">
        <f t="shared" si="82"/>
        <v>0</v>
      </c>
      <c r="M28" s="113">
        <f t="shared" si="82"/>
        <v>0</v>
      </c>
      <c r="N28" s="113">
        <f t="shared" si="82"/>
        <v>0</v>
      </c>
      <c r="O28" s="113">
        <f t="shared" si="82"/>
        <v>0</v>
      </c>
      <c r="P28" s="113">
        <f t="shared" si="82"/>
        <v>0</v>
      </c>
      <c r="Q28" s="113">
        <f t="shared" si="82"/>
        <v>0</v>
      </c>
      <c r="R28" s="97"/>
      <c r="S28" s="93">
        <f>'W4 Points'!Z83</f>
        <v>0</v>
      </c>
      <c r="T28" s="93">
        <f>'W4 Points'!AA83</f>
        <v>0</v>
      </c>
      <c r="U28" s="93">
        <f>'W4 Points'!AB83</f>
        <v>0</v>
      </c>
      <c r="V28" s="93">
        <f>'W4 Points'!AC83</f>
        <v>0</v>
      </c>
      <c r="W28" s="108">
        <f t="shared" si="76"/>
        <v>0</v>
      </c>
    </row>
    <row r="29" ht="12.75" customHeight="1">
      <c r="A29" s="89"/>
      <c r="B29" s="114" t="s">
        <v>107</v>
      </c>
      <c r="C29" s="105">
        <f t="shared" ref="C29:D29" si="83">0</f>
        <v>0</v>
      </c>
      <c r="D29" s="105">
        <f t="shared" si="83"/>
        <v>0</v>
      </c>
      <c r="E29" s="95">
        <f t="shared" si="5"/>
        <v>0</v>
      </c>
      <c r="F29" s="95">
        <f t="shared" ref="F29:I29" si="84">0</f>
        <v>0</v>
      </c>
      <c r="G29" s="95">
        <f t="shared" si="84"/>
        <v>0</v>
      </c>
      <c r="H29" s="105">
        <f t="shared" si="84"/>
        <v>0</v>
      </c>
      <c r="I29" s="115">
        <f t="shared" si="84"/>
        <v>0</v>
      </c>
      <c r="J29" s="95">
        <f t="shared" si="7"/>
        <v>0</v>
      </c>
      <c r="K29" s="115">
        <f t="shared" ref="K29:Q29" si="85">0</f>
        <v>0</v>
      </c>
      <c r="L29" s="115">
        <f t="shared" si="85"/>
        <v>0</v>
      </c>
      <c r="M29" s="115">
        <f t="shared" si="85"/>
        <v>0</v>
      </c>
      <c r="N29" s="115">
        <f t="shared" si="85"/>
        <v>0</v>
      </c>
      <c r="O29" s="105">
        <f t="shared" si="85"/>
        <v>0</v>
      </c>
      <c r="P29" s="115">
        <f t="shared" si="85"/>
        <v>0</v>
      </c>
      <c r="Q29" s="105">
        <f t="shared" si="85"/>
        <v>0</v>
      </c>
      <c r="R29" s="97"/>
      <c r="S29" s="96">
        <f>'W4 Points'!B97</f>
        <v>0</v>
      </c>
      <c r="T29" s="96">
        <f>'W4 Points'!C97</f>
        <v>0</v>
      </c>
      <c r="U29" s="96">
        <f>'W4 Points'!D97</f>
        <v>0</v>
      </c>
      <c r="V29" s="96">
        <f>'W4 Points'!E97</f>
        <v>0</v>
      </c>
      <c r="W29" s="109">
        <f t="shared" si="76"/>
        <v>0</v>
      </c>
    </row>
    <row r="30" ht="12.75" customHeight="1">
      <c r="A30" s="89"/>
      <c r="B30" s="114" t="s">
        <v>100</v>
      </c>
      <c r="C30" s="105">
        <f t="shared" ref="C30:D30" si="86">0</f>
        <v>0</v>
      </c>
      <c r="D30" s="105">
        <f t="shared" si="86"/>
        <v>0</v>
      </c>
      <c r="E30" s="95">
        <f t="shared" si="5"/>
        <v>0</v>
      </c>
      <c r="F30" s="95">
        <f t="shared" ref="F30:I30" si="87">0</f>
        <v>0</v>
      </c>
      <c r="G30" s="95">
        <f t="shared" si="87"/>
        <v>0</v>
      </c>
      <c r="H30" s="105">
        <f t="shared" si="87"/>
        <v>0</v>
      </c>
      <c r="I30" s="115">
        <f t="shared" si="87"/>
        <v>0</v>
      </c>
      <c r="J30" s="95">
        <f t="shared" si="7"/>
        <v>0</v>
      </c>
      <c r="K30" s="115">
        <f t="shared" ref="K30:Q30" si="88">0</f>
        <v>0</v>
      </c>
      <c r="L30" s="115">
        <f t="shared" si="88"/>
        <v>0</v>
      </c>
      <c r="M30" s="115">
        <f t="shared" si="88"/>
        <v>0</v>
      </c>
      <c r="N30" s="115">
        <f t="shared" si="88"/>
        <v>0</v>
      </c>
      <c r="O30" s="105">
        <f t="shared" si="88"/>
        <v>0</v>
      </c>
      <c r="P30" s="115">
        <f t="shared" si="88"/>
        <v>0</v>
      </c>
      <c r="Q30" s="105">
        <f t="shared" si="88"/>
        <v>0</v>
      </c>
      <c r="R30" s="92"/>
      <c r="S30" s="96">
        <f>'W4 Points'!H97</f>
        <v>0</v>
      </c>
      <c r="T30" s="96">
        <f>'W4 Points'!I97</f>
        <v>0</v>
      </c>
      <c r="U30" s="96">
        <f>'W4 Points'!J97</f>
        <v>0</v>
      </c>
      <c r="V30" s="96">
        <f>'W4 Points'!K97</f>
        <v>0</v>
      </c>
      <c r="W30" s="109">
        <f t="shared" si="76"/>
        <v>0</v>
      </c>
    </row>
    <row r="31" ht="12.75" customHeight="1">
      <c r="A31" s="89"/>
      <c r="B31" s="114" t="s">
        <v>131</v>
      </c>
      <c r="C31" s="105">
        <f t="shared" ref="C31:D31" si="89">0</f>
        <v>0</v>
      </c>
      <c r="D31" s="105">
        <f t="shared" si="89"/>
        <v>0</v>
      </c>
      <c r="E31" s="95">
        <f t="shared" si="5"/>
        <v>0</v>
      </c>
      <c r="F31" s="95">
        <f t="shared" ref="F31:I31" si="90">0</f>
        <v>0</v>
      </c>
      <c r="G31" s="95">
        <f t="shared" si="90"/>
        <v>0</v>
      </c>
      <c r="H31" s="105">
        <f t="shared" si="90"/>
        <v>0</v>
      </c>
      <c r="I31" s="115">
        <f t="shared" si="90"/>
        <v>0</v>
      </c>
      <c r="J31" s="95">
        <f t="shared" si="7"/>
        <v>0</v>
      </c>
      <c r="K31" s="115">
        <f t="shared" ref="K31:Q31" si="91">0</f>
        <v>0</v>
      </c>
      <c r="L31" s="115">
        <f t="shared" si="91"/>
        <v>0</v>
      </c>
      <c r="M31" s="115">
        <f t="shared" si="91"/>
        <v>0</v>
      </c>
      <c r="N31" s="115">
        <f t="shared" si="91"/>
        <v>0</v>
      </c>
      <c r="O31" s="105">
        <f t="shared" si="91"/>
        <v>0</v>
      </c>
      <c r="P31" s="115">
        <f t="shared" si="91"/>
        <v>0</v>
      </c>
      <c r="Q31" s="105">
        <f t="shared" si="91"/>
        <v>0</v>
      </c>
      <c r="R31" s="92"/>
      <c r="S31" s="96">
        <f>'W4 Points'!N97</f>
        <v>0</v>
      </c>
      <c r="T31" s="96">
        <f>'W4 Points'!O97</f>
        <v>0</v>
      </c>
      <c r="U31" s="96">
        <f>'W4 Points'!P97</f>
        <v>0</v>
      </c>
      <c r="V31" s="96">
        <f>'W4 Points'!Q97</f>
        <v>0</v>
      </c>
      <c r="W31" s="109">
        <f t="shared" si="76"/>
        <v>0</v>
      </c>
    </row>
    <row r="32" ht="12.75" customHeight="1">
      <c r="A32" s="89"/>
      <c r="B32" s="114" t="s">
        <v>126</v>
      </c>
      <c r="C32" s="105">
        <f t="shared" ref="C32:D32" si="92">0</f>
        <v>0</v>
      </c>
      <c r="D32" s="105">
        <f t="shared" si="92"/>
        <v>0</v>
      </c>
      <c r="E32" s="95">
        <f t="shared" si="5"/>
        <v>0</v>
      </c>
      <c r="F32" s="95">
        <f t="shared" ref="F32:I32" si="93">0</f>
        <v>0</v>
      </c>
      <c r="G32" s="95">
        <f t="shared" si="93"/>
        <v>0</v>
      </c>
      <c r="H32" s="105">
        <f t="shared" si="93"/>
        <v>0</v>
      </c>
      <c r="I32" s="115">
        <f t="shared" si="93"/>
        <v>0</v>
      </c>
      <c r="J32" s="95">
        <f t="shared" si="7"/>
        <v>0</v>
      </c>
      <c r="K32" s="115">
        <f t="shared" ref="K32:Q32" si="94">0</f>
        <v>0</v>
      </c>
      <c r="L32" s="115">
        <f t="shared" si="94"/>
        <v>0</v>
      </c>
      <c r="M32" s="115">
        <f t="shared" si="94"/>
        <v>0</v>
      </c>
      <c r="N32" s="115">
        <f t="shared" si="94"/>
        <v>0</v>
      </c>
      <c r="O32" s="105">
        <f t="shared" si="94"/>
        <v>0</v>
      </c>
      <c r="P32" s="115">
        <f t="shared" si="94"/>
        <v>0</v>
      </c>
      <c r="Q32" s="105">
        <f t="shared" si="94"/>
        <v>0</v>
      </c>
      <c r="R32" s="92"/>
      <c r="S32" s="96">
        <f>'W4 Points'!T97</f>
        <v>0</v>
      </c>
      <c r="T32" s="96">
        <f>'W4 Points'!U97</f>
        <v>0</v>
      </c>
      <c r="U32" s="96">
        <f>'W4 Points'!V97</f>
        <v>0</v>
      </c>
      <c r="V32" s="96">
        <f>'W4 Points'!W97</f>
        <v>0</v>
      </c>
      <c r="W32" s="109">
        <f t="shared" si="76"/>
        <v>0</v>
      </c>
    </row>
    <row r="33" ht="12.75" customHeight="1">
      <c r="A33" s="98"/>
      <c r="B33" s="114" t="s">
        <v>156</v>
      </c>
      <c r="C33" s="105">
        <f t="shared" ref="C33:D33" si="95">0</f>
        <v>0</v>
      </c>
      <c r="D33" s="105">
        <f t="shared" si="95"/>
        <v>0</v>
      </c>
      <c r="E33" s="95">
        <f t="shared" si="5"/>
        <v>0</v>
      </c>
      <c r="F33" s="95">
        <f t="shared" ref="F33:I33" si="96">0</f>
        <v>0</v>
      </c>
      <c r="G33" s="95">
        <f t="shared" si="96"/>
        <v>0</v>
      </c>
      <c r="H33" s="105">
        <f t="shared" si="96"/>
        <v>0</v>
      </c>
      <c r="I33" s="115">
        <f t="shared" si="96"/>
        <v>0</v>
      </c>
      <c r="J33" s="95">
        <f t="shared" si="7"/>
        <v>0</v>
      </c>
      <c r="K33" s="115">
        <f t="shared" ref="K33:Q33" si="97">0</f>
        <v>0</v>
      </c>
      <c r="L33" s="115">
        <f t="shared" si="97"/>
        <v>0</v>
      </c>
      <c r="M33" s="115">
        <f t="shared" si="97"/>
        <v>0</v>
      </c>
      <c r="N33" s="115">
        <f t="shared" si="97"/>
        <v>0</v>
      </c>
      <c r="O33" s="105">
        <f t="shared" si="97"/>
        <v>0</v>
      </c>
      <c r="P33" s="115">
        <f t="shared" si="97"/>
        <v>0</v>
      </c>
      <c r="Q33" s="105">
        <f t="shared" si="97"/>
        <v>0</v>
      </c>
      <c r="R33" s="92"/>
      <c r="S33" s="96">
        <f>'W4 Points'!Z97</f>
        <v>0</v>
      </c>
      <c r="T33" s="96">
        <f>'W4 Points'!AA97</f>
        <v>0</v>
      </c>
      <c r="U33" s="96">
        <f>'W4 Points'!AB97</f>
        <v>0</v>
      </c>
      <c r="V33" s="96">
        <f>'W4 Points'!AC97</f>
        <v>0</v>
      </c>
      <c r="W33" s="109">
        <f t="shared" si="76"/>
        <v>0</v>
      </c>
    </row>
  </sheetData>
  <mergeCells count="1">
    <mergeCell ref="A1:V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5" width="8.88"/>
    <col customWidth="1" min="6" max="6" width="2.0"/>
    <col customWidth="1" min="7" max="7" width="11.38"/>
    <col customWidth="1" min="8" max="11" width="8.88"/>
    <col customWidth="1" min="12" max="12" width="2.0"/>
    <col customWidth="1" min="13" max="13" width="11.38"/>
    <col customWidth="1" min="14" max="17" width="8.88"/>
    <col customWidth="1" min="18" max="18" width="2.0"/>
    <col customWidth="1" min="19" max="19" width="11.38"/>
    <col customWidth="1" min="20" max="23" width="8.88"/>
    <col customWidth="1" min="24" max="24" width="2.0"/>
    <col customWidth="1" min="25" max="25" width="11.38"/>
    <col customWidth="1" min="26" max="29" width="8.88"/>
  </cols>
  <sheetData>
    <row r="1">
      <c r="A1" s="77" t="s">
        <v>157</v>
      </c>
      <c r="B1" s="74" t="s">
        <v>94</v>
      </c>
      <c r="C1" s="74" t="s">
        <v>95</v>
      </c>
      <c r="D1" s="74" t="s">
        <v>96</v>
      </c>
      <c r="E1" s="74" t="s">
        <v>97</v>
      </c>
      <c r="G1" s="77" t="s">
        <v>157</v>
      </c>
      <c r="H1" s="74" t="s">
        <v>94</v>
      </c>
      <c r="I1" s="74" t="s">
        <v>95</v>
      </c>
      <c r="J1" s="74" t="s">
        <v>96</v>
      </c>
      <c r="K1" s="74" t="s">
        <v>97</v>
      </c>
      <c r="M1" s="77" t="s">
        <v>157</v>
      </c>
      <c r="N1" s="74" t="s">
        <v>94</v>
      </c>
      <c r="O1" s="74" t="s">
        <v>95</v>
      </c>
      <c r="P1" s="74" t="s">
        <v>96</v>
      </c>
      <c r="Q1" s="74" t="s">
        <v>97</v>
      </c>
      <c r="S1" s="77" t="s">
        <v>157</v>
      </c>
      <c r="T1" s="74" t="s">
        <v>94</v>
      </c>
      <c r="U1" s="74" t="s">
        <v>95</v>
      </c>
      <c r="V1" s="74" t="s">
        <v>96</v>
      </c>
      <c r="W1" s="74" t="s">
        <v>97</v>
      </c>
      <c r="Y1" s="77" t="s">
        <v>157</v>
      </c>
      <c r="Z1" s="74" t="s">
        <v>94</v>
      </c>
      <c r="AA1" s="74" t="s">
        <v>95</v>
      </c>
      <c r="AB1" s="74" t="s">
        <v>96</v>
      </c>
      <c r="AC1" s="74" t="s">
        <v>97</v>
      </c>
    </row>
    <row r="2">
      <c r="A2" s="77" t="s">
        <v>108</v>
      </c>
      <c r="B2" s="78">
        <v>15.0</v>
      </c>
      <c r="C2" s="99"/>
      <c r="D2" s="99"/>
      <c r="E2" s="78">
        <v>10.0</v>
      </c>
      <c r="G2" s="77" t="s">
        <v>108</v>
      </c>
      <c r="H2" s="78">
        <f t="shared" ref="H2:K2" si="1">B2</f>
        <v>15</v>
      </c>
      <c r="I2" s="78" t="str">
        <f t="shared" si="1"/>
        <v/>
      </c>
      <c r="J2" s="78" t="str">
        <f t="shared" si="1"/>
        <v/>
      </c>
      <c r="K2" s="78">
        <f t="shared" si="1"/>
        <v>10</v>
      </c>
      <c r="M2" s="77" t="s">
        <v>108</v>
      </c>
      <c r="N2" s="78">
        <f t="shared" ref="N2:Q2" si="2">H2</f>
        <v>15</v>
      </c>
      <c r="O2" s="78" t="str">
        <f t="shared" si="2"/>
        <v/>
      </c>
      <c r="P2" s="78" t="str">
        <f t="shared" si="2"/>
        <v/>
      </c>
      <c r="Q2" s="78">
        <f t="shared" si="2"/>
        <v>10</v>
      </c>
      <c r="S2" s="77" t="s">
        <v>108</v>
      </c>
      <c r="T2" s="78">
        <f t="shared" ref="T2:W2" si="3">N2</f>
        <v>15</v>
      </c>
      <c r="U2" s="78" t="str">
        <f t="shared" si="3"/>
        <v/>
      </c>
      <c r="V2" s="78" t="str">
        <f t="shared" si="3"/>
        <v/>
      </c>
      <c r="W2" s="78">
        <f t="shared" si="3"/>
        <v>10</v>
      </c>
      <c r="Y2" s="77" t="s">
        <v>108</v>
      </c>
      <c r="Z2" s="78">
        <f t="shared" ref="Z2:AC2" si="4">T2</f>
        <v>15</v>
      </c>
      <c r="AA2" s="78" t="str">
        <f t="shared" si="4"/>
        <v/>
      </c>
      <c r="AB2" s="78" t="str">
        <f t="shared" si="4"/>
        <v/>
      </c>
      <c r="AC2" s="78">
        <f t="shared" si="4"/>
        <v>10</v>
      </c>
    </row>
    <row r="3">
      <c r="A3" s="77" t="s">
        <v>112</v>
      </c>
      <c r="B3" s="99"/>
      <c r="C3" s="99"/>
      <c r="D3" s="78">
        <v>1.0</v>
      </c>
      <c r="E3" s="78"/>
      <c r="G3" s="77" t="s">
        <v>112</v>
      </c>
      <c r="H3" s="78" t="str">
        <f t="shared" ref="H3:K3" si="5">B3</f>
        <v/>
      </c>
      <c r="I3" s="78" t="str">
        <f t="shared" si="5"/>
        <v/>
      </c>
      <c r="J3" s="78">
        <f t="shared" si="5"/>
        <v>1</v>
      </c>
      <c r="K3" s="78" t="str">
        <f t="shared" si="5"/>
        <v/>
      </c>
      <c r="M3" s="77" t="s">
        <v>112</v>
      </c>
      <c r="N3" s="78" t="str">
        <f t="shared" ref="N3:Q3" si="6">H3</f>
        <v/>
      </c>
      <c r="O3" s="78" t="str">
        <f t="shared" si="6"/>
        <v/>
      </c>
      <c r="P3" s="78">
        <f t="shared" si="6"/>
        <v>1</v>
      </c>
      <c r="Q3" s="78" t="str">
        <f t="shared" si="6"/>
        <v/>
      </c>
      <c r="S3" s="77" t="s">
        <v>112</v>
      </c>
      <c r="T3" s="78" t="str">
        <f t="shared" ref="T3:W3" si="7">N3</f>
        <v/>
      </c>
      <c r="U3" s="78" t="str">
        <f t="shared" si="7"/>
        <v/>
      </c>
      <c r="V3" s="78">
        <f t="shared" si="7"/>
        <v>1</v>
      </c>
      <c r="W3" s="78" t="str">
        <f t="shared" si="7"/>
        <v/>
      </c>
      <c r="Y3" s="77" t="s">
        <v>112</v>
      </c>
      <c r="Z3" s="78" t="str">
        <f t="shared" ref="Z3:AC3" si="8">T3</f>
        <v/>
      </c>
      <c r="AA3" s="78" t="str">
        <f t="shared" si="8"/>
        <v/>
      </c>
      <c r="AB3" s="78">
        <f t="shared" si="8"/>
        <v>1</v>
      </c>
      <c r="AC3" s="78" t="str">
        <f t="shared" si="8"/>
        <v/>
      </c>
    </row>
    <row r="4">
      <c r="A4" s="77" t="s">
        <v>113</v>
      </c>
      <c r="B4" s="78">
        <v>2.0</v>
      </c>
      <c r="C4" s="99"/>
      <c r="D4" s="99"/>
      <c r="E4" s="78"/>
      <c r="G4" s="77" t="s">
        <v>113</v>
      </c>
      <c r="H4" s="78">
        <f t="shared" ref="H4:K4" si="9">B4</f>
        <v>2</v>
      </c>
      <c r="I4" s="78" t="str">
        <f t="shared" si="9"/>
        <v/>
      </c>
      <c r="J4" s="78" t="str">
        <f t="shared" si="9"/>
        <v/>
      </c>
      <c r="K4" s="78" t="str">
        <f t="shared" si="9"/>
        <v/>
      </c>
      <c r="M4" s="77" t="s">
        <v>113</v>
      </c>
      <c r="N4" s="78">
        <f t="shared" ref="N4:Q4" si="10">H4</f>
        <v>2</v>
      </c>
      <c r="O4" s="78" t="str">
        <f t="shared" si="10"/>
        <v/>
      </c>
      <c r="P4" s="78" t="str">
        <f t="shared" si="10"/>
        <v/>
      </c>
      <c r="Q4" s="78" t="str">
        <f t="shared" si="10"/>
        <v/>
      </c>
      <c r="S4" s="77" t="s">
        <v>113</v>
      </c>
      <c r="T4" s="78">
        <f t="shared" ref="T4:W4" si="11">N4</f>
        <v>2</v>
      </c>
      <c r="U4" s="78" t="str">
        <f t="shared" si="11"/>
        <v/>
      </c>
      <c r="V4" s="78" t="str">
        <f t="shared" si="11"/>
        <v/>
      </c>
      <c r="W4" s="78" t="str">
        <f t="shared" si="11"/>
        <v/>
      </c>
      <c r="Y4" s="77" t="s">
        <v>113</v>
      </c>
      <c r="Z4" s="78">
        <f t="shared" ref="Z4:AC4" si="12">T4</f>
        <v>2</v>
      </c>
      <c r="AA4" s="78" t="str">
        <f t="shared" si="12"/>
        <v/>
      </c>
      <c r="AB4" s="78" t="str">
        <f t="shared" si="12"/>
        <v/>
      </c>
      <c r="AC4" s="78" t="str">
        <f t="shared" si="12"/>
        <v/>
      </c>
    </row>
    <row r="5">
      <c r="A5" s="77" t="s">
        <v>114</v>
      </c>
      <c r="B5" s="99"/>
      <c r="C5" s="78">
        <v>2.0</v>
      </c>
      <c r="D5" s="99"/>
      <c r="E5" s="78">
        <v>1.0</v>
      </c>
      <c r="G5" s="77" t="s">
        <v>114</v>
      </c>
      <c r="H5" s="78" t="str">
        <f t="shared" ref="H5:K5" si="13">B5</f>
        <v/>
      </c>
      <c r="I5" s="78">
        <f t="shared" si="13"/>
        <v>2</v>
      </c>
      <c r="J5" s="78" t="str">
        <f t="shared" si="13"/>
        <v/>
      </c>
      <c r="K5" s="78">
        <f t="shared" si="13"/>
        <v>1</v>
      </c>
      <c r="M5" s="77" t="s">
        <v>114</v>
      </c>
      <c r="N5" s="78" t="str">
        <f t="shared" ref="N5:Q5" si="14">H5</f>
        <v/>
      </c>
      <c r="O5" s="78">
        <f t="shared" si="14"/>
        <v>2</v>
      </c>
      <c r="P5" s="78" t="str">
        <f t="shared" si="14"/>
        <v/>
      </c>
      <c r="Q5" s="78">
        <f t="shared" si="14"/>
        <v>1</v>
      </c>
      <c r="S5" s="77" t="s">
        <v>114</v>
      </c>
      <c r="T5" s="78" t="str">
        <f t="shared" ref="T5:W5" si="15">N5</f>
        <v/>
      </c>
      <c r="U5" s="78">
        <f t="shared" si="15"/>
        <v>2</v>
      </c>
      <c r="V5" s="78" t="str">
        <f t="shared" si="15"/>
        <v/>
      </c>
      <c r="W5" s="78">
        <f t="shared" si="15"/>
        <v>1</v>
      </c>
      <c r="Y5" s="77" t="s">
        <v>114</v>
      </c>
      <c r="Z5" s="78" t="str">
        <f t="shared" ref="Z5:AC5" si="16">T5</f>
        <v/>
      </c>
      <c r="AA5" s="78">
        <f t="shared" si="16"/>
        <v>2</v>
      </c>
      <c r="AB5" s="78" t="str">
        <f t="shared" si="16"/>
        <v/>
      </c>
      <c r="AC5" s="78">
        <f t="shared" si="16"/>
        <v>1</v>
      </c>
    </row>
    <row r="6">
      <c r="A6" s="77" t="s">
        <v>115</v>
      </c>
      <c r="B6" s="78"/>
      <c r="C6" s="78">
        <v>10.0</v>
      </c>
      <c r="D6" s="78"/>
      <c r="E6" s="78">
        <v>5.0</v>
      </c>
      <c r="G6" s="77" t="s">
        <v>115</v>
      </c>
      <c r="H6" s="78" t="str">
        <f t="shared" ref="H6:K6" si="17">B6</f>
        <v/>
      </c>
      <c r="I6" s="78">
        <f t="shared" si="17"/>
        <v>10</v>
      </c>
      <c r="J6" s="78" t="str">
        <f t="shared" si="17"/>
        <v/>
      </c>
      <c r="K6" s="78">
        <f t="shared" si="17"/>
        <v>5</v>
      </c>
      <c r="M6" s="77" t="s">
        <v>115</v>
      </c>
      <c r="N6" s="78" t="str">
        <f t="shared" ref="N6:Q6" si="18">H6</f>
        <v/>
      </c>
      <c r="O6" s="78">
        <f t="shared" si="18"/>
        <v>10</v>
      </c>
      <c r="P6" s="78" t="str">
        <f t="shared" si="18"/>
        <v/>
      </c>
      <c r="Q6" s="78">
        <f t="shared" si="18"/>
        <v>5</v>
      </c>
      <c r="S6" s="77" t="s">
        <v>115</v>
      </c>
      <c r="T6" s="78" t="str">
        <f t="shared" ref="T6:W6" si="19">N6</f>
        <v/>
      </c>
      <c r="U6" s="78">
        <f t="shared" si="19"/>
        <v>10</v>
      </c>
      <c r="V6" s="78" t="str">
        <f t="shared" si="19"/>
        <v/>
      </c>
      <c r="W6" s="78">
        <f t="shared" si="19"/>
        <v>5</v>
      </c>
      <c r="Y6" s="77" t="s">
        <v>115</v>
      </c>
      <c r="Z6" s="78" t="str">
        <f t="shared" ref="Z6:AC6" si="20">T6</f>
        <v/>
      </c>
      <c r="AA6" s="78">
        <f t="shared" si="20"/>
        <v>10</v>
      </c>
      <c r="AB6" s="78" t="str">
        <f t="shared" si="20"/>
        <v/>
      </c>
      <c r="AC6" s="78">
        <f t="shared" si="20"/>
        <v>5</v>
      </c>
    </row>
    <row r="7">
      <c r="A7" s="77" t="s">
        <v>116</v>
      </c>
      <c r="B7" s="78">
        <v>15.0</v>
      </c>
      <c r="C7" s="78"/>
      <c r="D7" s="78">
        <v>5.0</v>
      </c>
      <c r="E7" s="78"/>
      <c r="G7" s="77" t="s">
        <v>116</v>
      </c>
      <c r="H7" s="78">
        <f t="shared" ref="H7:K7" si="21">B7</f>
        <v>15</v>
      </c>
      <c r="I7" s="78" t="str">
        <f t="shared" si="21"/>
        <v/>
      </c>
      <c r="J7" s="78">
        <f t="shared" si="21"/>
        <v>5</v>
      </c>
      <c r="K7" s="78" t="str">
        <f t="shared" si="21"/>
        <v/>
      </c>
      <c r="M7" s="77" t="s">
        <v>116</v>
      </c>
      <c r="N7" s="78">
        <f t="shared" ref="N7:Q7" si="22">H7</f>
        <v>15</v>
      </c>
      <c r="O7" s="78" t="str">
        <f t="shared" si="22"/>
        <v/>
      </c>
      <c r="P7" s="78">
        <f t="shared" si="22"/>
        <v>5</v>
      </c>
      <c r="Q7" s="78" t="str">
        <f t="shared" si="22"/>
        <v/>
      </c>
      <c r="S7" s="77" t="s">
        <v>116</v>
      </c>
      <c r="T7" s="78">
        <f t="shared" ref="T7:W7" si="23">N7</f>
        <v>15</v>
      </c>
      <c r="U7" s="78" t="str">
        <f t="shared" si="23"/>
        <v/>
      </c>
      <c r="V7" s="78">
        <f t="shared" si="23"/>
        <v>5</v>
      </c>
      <c r="W7" s="78" t="str">
        <f t="shared" si="23"/>
        <v/>
      </c>
      <c r="Y7" s="77" t="s">
        <v>116</v>
      </c>
      <c r="Z7" s="78">
        <f t="shared" ref="Z7:AC7" si="24">T7</f>
        <v>15</v>
      </c>
      <c r="AA7" s="78" t="str">
        <f t="shared" si="24"/>
        <v/>
      </c>
      <c r="AB7" s="78">
        <f t="shared" si="24"/>
        <v>5</v>
      </c>
      <c r="AC7" s="78" t="str">
        <f t="shared" si="24"/>
        <v/>
      </c>
    </row>
    <row r="8">
      <c r="A8" s="77" t="s">
        <v>117</v>
      </c>
      <c r="B8" s="99"/>
      <c r="C8" s="78">
        <v>1.0</v>
      </c>
      <c r="D8" s="99"/>
      <c r="E8" s="78"/>
      <c r="G8" s="77" t="s">
        <v>117</v>
      </c>
      <c r="H8" s="78" t="str">
        <f t="shared" ref="H8:K8" si="25">B8</f>
        <v/>
      </c>
      <c r="I8" s="78">
        <f t="shared" si="25"/>
        <v>1</v>
      </c>
      <c r="J8" s="78" t="str">
        <f t="shared" si="25"/>
        <v/>
      </c>
      <c r="K8" s="78" t="str">
        <f t="shared" si="25"/>
        <v/>
      </c>
      <c r="M8" s="77" t="s">
        <v>117</v>
      </c>
      <c r="N8" s="78" t="str">
        <f t="shared" ref="N8:Q8" si="26">H8</f>
        <v/>
      </c>
      <c r="O8" s="78">
        <f t="shared" si="26"/>
        <v>1</v>
      </c>
      <c r="P8" s="78" t="str">
        <f t="shared" si="26"/>
        <v/>
      </c>
      <c r="Q8" s="78" t="str">
        <f t="shared" si="26"/>
        <v/>
      </c>
      <c r="S8" s="77" t="s">
        <v>117</v>
      </c>
      <c r="T8" s="78" t="str">
        <f t="shared" ref="T8:W8" si="27">N8</f>
        <v/>
      </c>
      <c r="U8" s="78">
        <f t="shared" si="27"/>
        <v>1</v>
      </c>
      <c r="V8" s="78" t="str">
        <f t="shared" si="27"/>
        <v/>
      </c>
      <c r="W8" s="78" t="str">
        <f t="shared" si="27"/>
        <v/>
      </c>
      <c r="Y8" s="77" t="s">
        <v>117</v>
      </c>
      <c r="Z8" s="78" t="str">
        <f t="shared" ref="Z8:AC8" si="28">T8</f>
        <v/>
      </c>
      <c r="AA8" s="78">
        <f t="shared" si="28"/>
        <v>1</v>
      </c>
      <c r="AB8" s="78" t="str">
        <f t="shared" si="28"/>
        <v/>
      </c>
      <c r="AC8" s="78" t="str">
        <f t="shared" si="28"/>
        <v/>
      </c>
    </row>
    <row r="9">
      <c r="A9" s="77" t="s">
        <v>118</v>
      </c>
      <c r="B9" s="99"/>
      <c r="C9" s="99"/>
      <c r="D9" s="78">
        <v>15.0</v>
      </c>
      <c r="E9" s="78">
        <v>10.0</v>
      </c>
      <c r="G9" s="77" t="s">
        <v>118</v>
      </c>
      <c r="H9" s="78" t="str">
        <f t="shared" ref="H9:K9" si="29">B9</f>
        <v/>
      </c>
      <c r="I9" s="78" t="str">
        <f t="shared" si="29"/>
        <v/>
      </c>
      <c r="J9" s="78">
        <f t="shared" si="29"/>
        <v>15</v>
      </c>
      <c r="K9" s="78">
        <f t="shared" si="29"/>
        <v>10</v>
      </c>
      <c r="M9" s="77" t="s">
        <v>118</v>
      </c>
      <c r="N9" s="78" t="str">
        <f t="shared" ref="N9:Q9" si="30">H9</f>
        <v/>
      </c>
      <c r="O9" s="78" t="str">
        <f t="shared" si="30"/>
        <v/>
      </c>
      <c r="P9" s="78">
        <f t="shared" si="30"/>
        <v>15</v>
      </c>
      <c r="Q9" s="78">
        <f t="shared" si="30"/>
        <v>10</v>
      </c>
      <c r="S9" s="77" t="s">
        <v>118</v>
      </c>
      <c r="T9" s="78" t="str">
        <f t="shared" ref="T9:W9" si="31">N9</f>
        <v/>
      </c>
      <c r="U9" s="78" t="str">
        <f t="shared" si="31"/>
        <v/>
      </c>
      <c r="V9" s="78">
        <f t="shared" si="31"/>
        <v>15</v>
      </c>
      <c r="W9" s="78">
        <f t="shared" si="31"/>
        <v>10</v>
      </c>
      <c r="Y9" s="77" t="s">
        <v>118</v>
      </c>
      <c r="Z9" s="78" t="str">
        <f t="shared" ref="Z9:AC9" si="32">T9</f>
        <v/>
      </c>
      <c r="AA9" s="78" t="str">
        <f t="shared" si="32"/>
        <v/>
      </c>
      <c r="AB9" s="78">
        <f t="shared" si="32"/>
        <v>15</v>
      </c>
      <c r="AC9" s="78">
        <f t="shared" si="32"/>
        <v>10</v>
      </c>
    </row>
    <row r="10">
      <c r="A10" s="77" t="s">
        <v>119</v>
      </c>
      <c r="B10" s="78"/>
      <c r="C10" s="78">
        <v>3.0</v>
      </c>
      <c r="D10" s="99"/>
      <c r="E10" s="78">
        <v>2.0</v>
      </c>
      <c r="G10" s="77" t="s">
        <v>119</v>
      </c>
      <c r="H10" s="78" t="str">
        <f t="shared" ref="H10:K10" si="33">B10</f>
        <v/>
      </c>
      <c r="I10" s="78">
        <f t="shared" si="33"/>
        <v>3</v>
      </c>
      <c r="J10" s="78" t="str">
        <f t="shared" si="33"/>
        <v/>
      </c>
      <c r="K10" s="78">
        <f t="shared" si="33"/>
        <v>2</v>
      </c>
      <c r="M10" s="77" t="s">
        <v>119</v>
      </c>
      <c r="N10" s="78" t="str">
        <f t="shared" ref="N10:Q10" si="34">H10</f>
        <v/>
      </c>
      <c r="O10" s="78">
        <f t="shared" si="34"/>
        <v>3</v>
      </c>
      <c r="P10" s="78" t="str">
        <f t="shared" si="34"/>
        <v/>
      </c>
      <c r="Q10" s="78">
        <f t="shared" si="34"/>
        <v>2</v>
      </c>
      <c r="S10" s="77" t="s">
        <v>119</v>
      </c>
      <c r="T10" s="78" t="str">
        <f t="shared" ref="T10:W10" si="35">N10</f>
        <v/>
      </c>
      <c r="U10" s="78">
        <f t="shared" si="35"/>
        <v>3</v>
      </c>
      <c r="V10" s="78" t="str">
        <f t="shared" si="35"/>
        <v/>
      </c>
      <c r="W10" s="78">
        <f t="shared" si="35"/>
        <v>2</v>
      </c>
      <c r="Y10" s="77" t="s">
        <v>119</v>
      </c>
      <c r="Z10" s="78" t="str">
        <f t="shared" ref="Z10:AC10" si="36">T10</f>
        <v/>
      </c>
      <c r="AA10" s="78">
        <f t="shared" si="36"/>
        <v>3</v>
      </c>
      <c r="AB10" s="78" t="str">
        <f t="shared" si="36"/>
        <v/>
      </c>
      <c r="AC10" s="78">
        <f t="shared" si="36"/>
        <v>2</v>
      </c>
    </row>
    <row r="11">
      <c r="A11" s="77" t="s">
        <v>120</v>
      </c>
      <c r="B11" s="99"/>
      <c r="C11" s="99"/>
      <c r="D11" s="78">
        <v>3.0</v>
      </c>
      <c r="E11" s="78">
        <v>2.0</v>
      </c>
      <c r="G11" s="77" t="s">
        <v>120</v>
      </c>
      <c r="H11" s="78" t="str">
        <f t="shared" ref="H11:K11" si="37">B11</f>
        <v/>
      </c>
      <c r="I11" s="78" t="str">
        <f t="shared" si="37"/>
        <v/>
      </c>
      <c r="J11" s="78">
        <f t="shared" si="37"/>
        <v>3</v>
      </c>
      <c r="K11" s="78">
        <f t="shared" si="37"/>
        <v>2</v>
      </c>
      <c r="M11" s="77" t="s">
        <v>120</v>
      </c>
      <c r="N11" s="78" t="str">
        <f t="shared" ref="N11:Q11" si="38">H11</f>
        <v/>
      </c>
      <c r="O11" s="78" t="str">
        <f t="shared" si="38"/>
        <v/>
      </c>
      <c r="P11" s="78">
        <f t="shared" si="38"/>
        <v>3</v>
      </c>
      <c r="Q11" s="78">
        <f t="shared" si="38"/>
        <v>2</v>
      </c>
      <c r="S11" s="77" t="s">
        <v>120</v>
      </c>
      <c r="T11" s="78" t="str">
        <f t="shared" ref="T11:W11" si="39">N11</f>
        <v/>
      </c>
      <c r="U11" s="78" t="str">
        <f t="shared" si="39"/>
        <v/>
      </c>
      <c r="V11" s="78">
        <f t="shared" si="39"/>
        <v>3</v>
      </c>
      <c r="W11" s="78">
        <f t="shared" si="39"/>
        <v>2</v>
      </c>
      <c r="Y11" s="77" t="s">
        <v>120</v>
      </c>
      <c r="Z11" s="78" t="str">
        <f t="shared" ref="Z11:AC11" si="40">T11</f>
        <v/>
      </c>
      <c r="AA11" s="78" t="str">
        <f t="shared" si="40"/>
        <v/>
      </c>
      <c r="AB11" s="78">
        <f t="shared" si="40"/>
        <v>3</v>
      </c>
      <c r="AC11" s="78">
        <f t="shared" si="40"/>
        <v>2</v>
      </c>
    </row>
    <row r="12">
      <c r="A12" s="77" t="s">
        <v>121</v>
      </c>
      <c r="B12" s="78">
        <v>20.0</v>
      </c>
      <c r="C12" s="78">
        <v>20.0</v>
      </c>
      <c r="D12" s="78">
        <v>20.0</v>
      </c>
      <c r="E12" s="78">
        <v>20.0</v>
      </c>
      <c r="G12" s="77" t="s">
        <v>121</v>
      </c>
      <c r="H12" s="78">
        <f t="shared" ref="H12:K12" si="41">B12</f>
        <v>20</v>
      </c>
      <c r="I12" s="78">
        <f t="shared" si="41"/>
        <v>20</v>
      </c>
      <c r="J12" s="78">
        <f t="shared" si="41"/>
        <v>20</v>
      </c>
      <c r="K12" s="78">
        <f t="shared" si="41"/>
        <v>20</v>
      </c>
      <c r="M12" s="77" t="s">
        <v>121</v>
      </c>
      <c r="N12" s="78">
        <f t="shared" ref="N12:Q12" si="42">H12</f>
        <v>20</v>
      </c>
      <c r="O12" s="78">
        <f t="shared" si="42"/>
        <v>20</v>
      </c>
      <c r="P12" s="78">
        <f t="shared" si="42"/>
        <v>20</v>
      </c>
      <c r="Q12" s="78">
        <f t="shared" si="42"/>
        <v>20</v>
      </c>
      <c r="S12" s="77" t="s">
        <v>121</v>
      </c>
      <c r="T12" s="78">
        <f t="shared" ref="T12:W12" si="43">N12</f>
        <v>20</v>
      </c>
      <c r="U12" s="78">
        <f t="shared" si="43"/>
        <v>20</v>
      </c>
      <c r="V12" s="78">
        <f t="shared" si="43"/>
        <v>20</v>
      </c>
      <c r="W12" s="78">
        <f t="shared" si="43"/>
        <v>20</v>
      </c>
      <c r="Y12" s="77" t="s">
        <v>121</v>
      </c>
      <c r="Z12" s="78">
        <f t="shared" ref="Z12:AC12" si="44">T12</f>
        <v>20</v>
      </c>
      <c r="AA12" s="78">
        <f t="shared" si="44"/>
        <v>20</v>
      </c>
      <c r="AB12" s="78">
        <f t="shared" si="44"/>
        <v>20</v>
      </c>
      <c r="AC12" s="78">
        <f t="shared" si="44"/>
        <v>20</v>
      </c>
    </row>
    <row r="13">
      <c r="A13" s="77" t="s">
        <v>122</v>
      </c>
      <c r="B13" s="78">
        <f t="shared" ref="B13:E13" si="45">SUM(B2:B12)</f>
        <v>52</v>
      </c>
      <c r="C13" s="78">
        <f t="shared" si="45"/>
        <v>36</v>
      </c>
      <c r="D13" s="78">
        <f t="shared" si="45"/>
        <v>44</v>
      </c>
      <c r="E13" s="78">
        <f t="shared" si="45"/>
        <v>50</v>
      </c>
      <c r="G13" s="77" t="s">
        <v>122</v>
      </c>
      <c r="H13" s="78">
        <f t="shared" ref="H13:K13" si="46">B13</f>
        <v>52</v>
      </c>
      <c r="I13" s="78">
        <f t="shared" si="46"/>
        <v>36</v>
      </c>
      <c r="J13" s="78">
        <f t="shared" si="46"/>
        <v>44</v>
      </c>
      <c r="K13" s="78">
        <f t="shared" si="46"/>
        <v>50</v>
      </c>
      <c r="M13" s="77" t="s">
        <v>122</v>
      </c>
      <c r="N13" s="78">
        <f t="shared" ref="N13:Q13" si="47">H13</f>
        <v>52</v>
      </c>
      <c r="O13" s="78">
        <f t="shared" si="47"/>
        <v>36</v>
      </c>
      <c r="P13" s="78">
        <f t="shared" si="47"/>
        <v>44</v>
      </c>
      <c r="Q13" s="78">
        <f t="shared" si="47"/>
        <v>50</v>
      </c>
      <c r="S13" s="77" t="s">
        <v>122</v>
      </c>
      <c r="T13" s="78">
        <f t="shared" ref="T13:W13" si="48">N13</f>
        <v>52</v>
      </c>
      <c r="U13" s="78">
        <f t="shared" si="48"/>
        <v>36</v>
      </c>
      <c r="V13" s="78">
        <f t="shared" si="48"/>
        <v>44</v>
      </c>
      <c r="W13" s="78">
        <f t="shared" si="48"/>
        <v>50</v>
      </c>
      <c r="Y13" s="77" t="s">
        <v>122</v>
      </c>
      <c r="Z13" s="78">
        <f t="shared" ref="Z13:AC13" si="49">T13</f>
        <v>52</v>
      </c>
      <c r="AA13" s="78">
        <f t="shared" si="49"/>
        <v>36</v>
      </c>
      <c r="AB13" s="78">
        <f t="shared" si="49"/>
        <v>44</v>
      </c>
      <c r="AC13" s="78">
        <f t="shared" si="49"/>
        <v>50</v>
      </c>
    </row>
    <row r="15">
      <c r="A15" s="77" t="str">
        <f>'W4 Stats'!B3</f>
        <v>Rage More Nerd</v>
      </c>
      <c r="B15" s="74" t="s">
        <v>94</v>
      </c>
      <c r="C15" s="74" t="s">
        <v>95</v>
      </c>
      <c r="D15" s="74" t="s">
        <v>96</v>
      </c>
      <c r="E15" s="74" t="s">
        <v>97</v>
      </c>
      <c r="F15" s="1"/>
      <c r="G15" s="77" t="str">
        <f>'W4 Stats'!B4</f>
        <v>BCN19</v>
      </c>
      <c r="H15" s="74" t="s">
        <v>94</v>
      </c>
      <c r="I15" s="74" t="s">
        <v>95</v>
      </c>
      <c r="J15" s="74" t="s">
        <v>96</v>
      </c>
      <c r="K15" s="74" t="s">
        <v>97</v>
      </c>
      <c r="M15" s="77" t="str">
        <f>'W4 Stats'!B5</f>
        <v>The Eastbrook</v>
      </c>
      <c r="N15" s="74" t="s">
        <v>94</v>
      </c>
      <c r="O15" s="74" t="s">
        <v>95</v>
      </c>
      <c r="P15" s="74" t="s">
        <v>96</v>
      </c>
      <c r="Q15" s="74" t="s">
        <v>97</v>
      </c>
      <c r="S15" s="77" t="str">
        <f>'W4 Stats'!B6</f>
        <v>ThumpingHawk</v>
      </c>
      <c r="T15" s="74" t="s">
        <v>94</v>
      </c>
      <c r="U15" s="74" t="s">
        <v>95</v>
      </c>
      <c r="V15" s="74" t="s">
        <v>96</v>
      </c>
      <c r="W15" s="74" t="s">
        <v>97</v>
      </c>
      <c r="Y15" s="77" t="str">
        <f>'W4 Stats'!B7</f>
        <v>Mr Ab0veAverage</v>
      </c>
      <c r="Z15" s="74" t="s">
        <v>94</v>
      </c>
      <c r="AA15" s="74" t="s">
        <v>95</v>
      </c>
      <c r="AB15" s="74" t="s">
        <v>96</v>
      </c>
      <c r="AC15" s="74" t="s">
        <v>97</v>
      </c>
    </row>
    <row r="16">
      <c r="A16" s="77" t="s">
        <v>108</v>
      </c>
      <c r="B16" s="78">
        <f>'W4 Stats'!D3*B2</f>
        <v>0</v>
      </c>
      <c r="C16" s="78"/>
      <c r="D16" s="78"/>
      <c r="E16" s="78">
        <f>'W4 Stats'!D3*E2</f>
        <v>0</v>
      </c>
      <c r="G16" s="77" t="s">
        <v>108</v>
      </c>
      <c r="H16" s="78">
        <f>'W4 Stats'!D4*H2</f>
        <v>0</v>
      </c>
      <c r="I16" s="78"/>
      <c r="J16" s="78"/>
      <c r="K16" s="78">
        <f>'W4 Stats'!D4*K2</f>
        <v>0</v>
      </c>
      <c r="M16" s="77" t="s">
        <v>108</v>
      </c>
      <c r="N16" s="78">
        <f>'W4 Stats'!D5*N2</f>
        <v>0</v>
      </c>
      <c r="O16" s="78"/>
      <c r="P16" s="78"/>
      <c r="Q16" s="78">
        <f>'W4 Stats'!D5*Q2</f>
        <v>0</v>
      </c>
      <c r="S16" s="77" t="s">
        <v>108</v>
      </c>
      <c r="T16" s="78">
        <f>'W4 Stats'!D6*T2</f>
        <v>0</v>
      </c>
      <c r="U16" s="78"/>
      <c r="V16" s="78"/>
      <c r="W16" s="78">
        <f>'W4 Stats'!D6*W2</f>
        <v>0</v>
      </c>
      <c r="Y16" s="77" t="s">
        <v>108</v>
      </c>
      <c r="Z16" s="78">
        <f>'W4 Stats'!D7*Z2</f>
        <v>0</v>
      </c>
      <c r="AA16" s="99"/>
      <c r="AB16" s="78"/>
      <c r="AC16" s="99">
        <f>'W4 Stats'!D7*AC2</f>
        <v>0</v>
      </c>
    </row>
    <row r="17">
      <c r="A17" s="77" t="s">
        <v>112</v>
      </c>
      <c r="B17" s="99"/>
      <c r="C17" s="99"/>
      <c r="D17" s="78">
        <f>'W4 Stats'!H3*D3</f>
        <v>0</v>
      </c>
      <c r="E17" s="78"/>
      <c r="G17" s="77" t="s">
        <v>112</v>
      </c>
      <c r="H17" s="99"/>
      <c r="I17" s="99"/>
      <c r="J17" s="78">
        <f>'W4 Stats'!H4*J4</f>
        <v>0</v>
      </c>
      <c r="K17" s="78"/>
      <c r="M17" s="77" t="s">
        <v>112</v>
      </c>
      <c r="N17" s="99"/>
      <c r="O17" s="99"/>
      <c r="P17" s="78">
        <f>'W4 Stats'!H5*P3</f>
        <v>0</v>
      </c>
      <c r="Q17" s="78"/>
      <c r="S17" s="77" t="s">
        <v>112</v>
      </c>
      <c r="T17" s="99"/>
      <c r="U17" s="99"/>
      <c r="V17" s="78">
        <f>'W4 Stats'!H6*V3</f>
        <v>0</v>
      </c>
      <c r="W17" s="78"/>
      <c r="Y17" s="77" t="s">
        <v>112</v>
      </c>
      <c r="Z17" s="78"/>
      <c r="AA17" s="99"/>
      <c r="AB17" s="99">
        <f>'W4 Stats'!H7*AB3</f>
        <v>0</v>
      </c>
      <c r="AC17" s="78"/>
    </row>
    <row r="18">
      <c r="A18" s="77" t="s">
        <v>113</v>
      </c>
      <c r="B18" s="78">
        <f>'W4 Stats'!I3*B4</f>
        <v>0</v>
      </c>
      <c r="C18" s="99"/>
      <c r="D18" s="99"/>
      <c r="E18" s="78"/>
      <c r="G18" s="77" t="s">
        <v>113</v>
      </c>
      <c r="H18" s="78">
        <f>'W4 Stats'!I4*H4</f>
        <v>0</v>
      </c>
      <c r="I18" s="99"/>
      <c r="J18" s="99"/>
      <c r="K18" s="78"/>
      <c r="M18" s="77" t="s">
        <v>113</v>
      </c>
      <c r="N18" s="78">
        <f>'W4 Stats'!I5*N4</f>
        <v>0</v>
      </c>
      <c r="O18" s="99"/>
      <c r="P18" s="99"/>
      <c r="Q18" s="78"/>
      <c r="S18" s="77" t="s">
        <v>113</v>
      </c>
      <c r="T18" s="78">
        <f>'W4 Stats'!I6*T4</f>
        <v>0</v>
      </c>
      <c r="U18" s="99"/>
      <c r="V18" s="99"/>
      <c r="W18" s="78"/>
      <c r="Y18" s="77" t="s">
        <v>113</v>
      </c>
      <c r="Z18" s="78">
        <f>'W4 Stats'!I7*Z4</f>
        <v>0</v>
      </c>
      <c r="AA18" s="78"/>
      <c r="AB18" s="99"/>
      <c r="AC18" s="99"/>
    </row>
    <row r="19">
      <c r="A19" s="77" t="s">
        <v>114</v>
      </c>
      <c r="B19" s="99"/>
      <c r="C19" s="78">
        <f>'W4 Stats'!J3*C5</f>
        <v>0</v>
      </c>
      <c r="D19" s="99"/>
      <c r="E19" s="78">
        <f>'W4 Stats'!J3*E5</f>
        <v>0</v>
      </c>
      <c r="G19" s="77" t="s">
        <v>114</v>
      </c>
      <c r="H19" s="99"/>
      <c r="I19" s="78">
        <f>'W4 Stats'!J4*I5</f>
        <v>0</v>
      </c>
      <c r="J19" s="99"/>
      <c r="K19" s="78">
        <f>'W4 Stats'!J4*K5</f>
        <v>0</v>
      </c>
      <c r="M19" s="77" t="s">
        <v>114</v>
      </c>
      <c r="N19" s="99"/>
      <c r="O19" s="78">
        <f>'W4 Stats'!J5*O5</f>
        <v>0</v>
      </c>
      <c r="P19" s="99"/>
      <c r="Q19" s="78">
        <f>'W4 Stats'!J5*Q5</f>
        <v>0</v>
      </c>
      <c r="S19" s="77" t="s">
        <v>114</v>
      </c>
      <c r="T19" s="99"/>
      <c r="U19" s="78">
        <f>'W4 Stats'!J6*U5</f>
        <v>0</v>
      </c>
      <c r="V19" s="99"/>
      <c r="W19" s="78">
        <f>'W4 Stats'!J6*W5</f>
        <v>0</v>
      </c>
      <c r="Y19" s="77" t="s">
        <v>114</v>
      </c>
      <c r="Z19" s="78"/>
      <c r="AA19" s="78">
        <f>'W4 Stats'!J7*AA5</f>
        <v>0</v>
      </c>
      <c r="AB19" s="78"/>
      <c r="AC19" s="78">
        <f>'W4 Stats'!J7*AC5</f>
        <v>0</v>
      </c>
    </row>
    <row r="20">
      <c r="A20" s="77" t="s">
        <v>115</v>
      </c>
      <c r="B20" s="78"/>
      <c r="C20" s="78">
        <f>'W4 Stats'!K3*C6</f>
        <v>0</v>
      </c>
      <c r="D20" s="78"/>
      <c r="E20" s="78">
        <f>'W4 Stats'!K3*E6</f>
        <v>0</v>
      </c>
      <c r="G20" s="77" t="s">
        <v>115</v>
      </c>
      <c r="H20" s="78"/>
      <c r="I20" s="78">
        <f>'W4 Stats'!K4*I6</f>
        <v>0</v>
      </c>
      <c r="J20" s="78"/>
      <c r="K20" s="78">
        <f>'W4 Stats'!K4*K6</f>
        <v>0</v>
      </c>
      <c r="M20" s="77" t="s">
        <v>115</v>
      </c>
      <c r="N20" s="78"/>
      <c r="O20" s="78">
        <f>'W4 Stats'!K5*O6</f>
        <v>0</v>
      </c>
      <c r="P20" s="78"/>
      <c r="Q20" s="78">
        <f>'W4 Stats'!K5*Q6</f>
        <v>0</v>
      </c>
      <c r="S20" s="77" t="s">
        <v>115</v>
      </c>
      <c r="T20" s="78"/>
      <c r="U20" s="78">
        <f>'W4 Stats'!K6*U6</f>
        <v>0</v>
      </c>
      <c r="V20" s="78"/>
      <c r="W20" s="78">
        <f>'W4 Stats'!K6*W6</f>
        <v>0</v>
      </c>
      <c r="Y20" s="77" t="s">
        <v>115</v>
      </c>
      <c r="Z20" s="78"/>
      <c r="AA20" s="99">
        <f>'W4 Stats'!K7*AA6</f>
        <v>0</v>
      </c>
      <c r="AB20" s="78"/>
      <c r="AC20" s="99">
        <f>'W4 Stats'!K7*AC6</f>
        <v>0</v>
      </c>
    </row>
    <row r="21">
      <c r="A21" s="77" t="s">
        <v>116</v>
      </c>
      <c r="B21" s="78">
        <f>'W4 Stats'!L3*B7</f>
        <v>0</v>
      </c>
      <c r="C21" s="78"/>
      <c r="D21" s="78">
        <f>'W4 Stats'!L3*D7</f>
        <v>0</v>
      </c>
      <c r="E21" s="78"/>
      <c r="G21" s="77" t="s">
        <v>116</v>
      </c>
      <c r="H21" s="78">
        <f>'W4 Stats'!L4*H7</f>
        <v>0</v>
      </c>
      <c r="I21" s="78"/>
      <c r="J21" s="78">
        <f>'W4 Stats'!L4*J7</f>
        <v>0</v>
      </c>
      <c r="K21" s="78"/>
      <c r="M21" s="77" t="s">
        <v>116</v>
      </c>
      <c r="N21" s="78">
        <f>'W4 Stats'!L5*N7</f>
        <v>0</v>
      </c>
      <c r="O21" s="78"/>
      <c r="P21" s="78">
        <f>'W4 Stats'!L5*P7</f>
        <v>0</v>
      </c>
      <c r="Q21" s="78"/>
      <c r="S21" s="77" t="s">
        <v>116</v>
      </c>
      <c r="T21" s="78">
        <f>'W4 Stats'!L6*T7</f>
        <v>0</v>
      </c>
      <c r="U21" s="78"/>
      <c r="V21" s="78">
        <f>'W4 Stats'!L6*V7</f>
        <v>0</v>
      </c>
      <c r="W21" s="78"/>
      <c r="Y21" s="77" t="s">
        <v>116</v>
      </c>
      <c r="Z21" s="78">
        <f>'W4 Stats'!L7*Z7</f>
        <v>0</v>
      </c>
      <c r="AA21" s="99"/>
      <c r="AB21" s="99">
        <f>'W4 Stats'!L7*AB7</f>
        <v>0</v>
      </c>
      <c r="AC21" s="78"/>
    </row>
    <row r="22">
      <c r="A22" s="77" t="s">
        <v>117</v>
      </c>
      <c r="B22" s="99"/>
      <c r="C22" s="78">
        <f>'W4 Stats'!M3*C8</f>
        <v>0</v>
      </c>
      <c r="D22" s="99"/>
      <c r="E22" s="78"/>
      <c r="G22" s="77" t="s">
        <v>117</v>
      </c>
      <c r="H22" s="99"/>
      <c r="I22" s="78">
        <f>'W4 Stats'!M4*I8</f>
        <v>0</v>
      </c>
      <c r="J22" s="99"/>
      <c r="K22" s="78"/>
      <c r="M22" s="77" t="s">
        <v>117</v>
      </c>
      <c r="N22" s="99"/>
      <c r="O22" s="78">
        <f>'W4 Stats'!M5*O8</f>
        <v>0</v>
      </c>
      <c r="P22" s="99"/>
      <c r="Q22" s="78"/>
      <c r="S22" s="77" t="s">
        <v>117</v>
      </c>
      <c r="T22" s="99"/>
      <c r="U22" s="78">
        <f>'W4 Stats'!M6*U8</f>
        <v>0</v>
      </c>
      <c r="V22" s="99"/>
      <c r="W22" s="78"/>
      <c r="Y22" s="77" t="s">
        <v>117</v>
      </c>
      <c r="Z22" s="78"/>
      <c r="AA22" s="78">
        <f>'W4 Stats'!M7*AA8</f>
        <v>0</v>
      </c>
      <c r="AB22" s="99"/>
      <c r="AC22" s="99"/>
    </row>
    <row r="23">
      <c r="A23" s="77" t="s">
        <v>118</v>
      </c>
      <c r="B23" s="99"/>
      <c r="C23" s="99"/>
      <c r="D23" s="78">
        <f>'W4 Stats'!N3*D9</f>
        <v>0</v>
      </c>
      <c r="E23" s="78">
        <f>'W4 Stats'!N3*E9</f>
        <v>0</v>
      </c>
      <c r="G23" s="77" t="s">
        <v>118</v>
      </c>
      <c r="H23" s="99"/>
      <c r="I23" s="99"/>
      <c r="J23" s="78">
        <f>'W4 Stats'!N4*J9</f>
        <v>0</v>
      </c>
      <c r="K23" s="78">
        <f>'W4 Stats'!N4*K9</f>
        <v>0</v>
      </c>
      <c r="M23" s="77" t="s">
        <v>118</v>
      </c>
      <c r="N23" s="99"/>
      <c r="O23" s="99"/>
      <c r="P23" s="78">
        <f>'W4 Stats'!N5*P9</f>
        <v>0</v>
      </c>
      <c r="Q23" s="78">
        <f>'W4 Stats'!N5*Q9</f>
        <v>0</v>
      </c>
      <c r="S23" s="77" t="s">
        <v>118</v>
      </c>
      <c r="T23" s="99"/>
      <c r="U23" s="99"/>
      <c r="V23" s="78">
        <f>'W4 Stats'!N6*V9</f>
        <v>0</v>
      </c>
      <c r="W23" s="78">
        <f>'W4 Stats'!N6*W9</f>
        <v>0</v>
      </c>
      <c r="Y23" s="77" t="s">
        <v>118</v>
      </c>
      <c r="Z23" s="78"/>
      <c r="AA23" s="78"/>
      <c r="AB23" s="78">
        <f>'W4 Stats'!N7*AB9</f>
        <v>0</v>
      </c>
      <c r="AC23" s="78">
        <f>'W4 Stats'!N7*AC9</f>
        <v>0</v>
      </c>
    </row>
    <row r="24">
      <c r="A24" s="77" t="s">
        <v>119</v>
      </c>
      <c r="B24" s="78"/>
      <c r="C24" s="78">
        <f>'W4 Stats'!O3*C10</f>
        <v>0</v>
      </c>
      <c r="D24" s="99"/>
      <c r="E24" s="78">
        <f>'W4 Stats'!O3*E10</f>
        <v>0</v>
      </c>
      <c r="G24" s="77" t="s">
        <v>119</v>
      </c>
      <c r="H24" s="78"/>
      <c r="I24" s="78">
        <f>'W4 Stats'!O4*I10</f>
        <v>0</v>
      </c>
      <c r="J24" s="99"/>
      <c r="K24" s="78">
        <f>'W4 Stats'!O4*K10</f>
        <v>0</v>
      </c>
      <c r="M24" s="77" t="s">
        <v>119</v>
      </c>
      <c r="N24" s="78"/>
      <c r="O24" s="78">
        <f>'W4 Stats'!O5*O10</f>
        <v>0</v>
      </c>
      <c r="P24" s="99"/>
      <c r="Q24" s="78">
        <f>'W4 Stats'!O5*Q10</f>
        <v>0</v>
      </c>
      <c r="S24" s="77" t="s">
        <v>119</v>
      </c>
      <c r="T24" s="78"/>
      <c r="U24" s="78">
        <f>'W4 Stats'!O6*U10</f>
        <v>0</v>
      </c>
      <c r="V24" s="99"/>
      <c r="W24" s="78">
        <f>'W4 Stats'!O6*W10</f>
        <v>0</v>
      </c>
      <c r="Y24" s="77" t="s">
        <v>119</v>
      </c>
      <c r="Z24" s="78"/>
      <c r="AA24" s="99">
        <f>'W4 Stats'!O7*AA10</f>
        <v>0</v>
      </c>
      <c r="AB24" s="78"/>
      <c r="AC24" s="99">
        <f>'W4 Stats'!O7*AC10</f>
        <v>0</v>
      </c>
    </row>
    <row r="25">
      <c r="A25" s="77" t="s">
        <v>120</v>
      </c>
      <c r="B25" s="99"/>
      <c r="C25" s="99"/>
      <c r="D25" s="78">
        <f>'W4 Stats'!P3*D11</f>
        <v>0</v>
      </c>
      <c r="E25" s="78">
        <f>'W4 Stats'!P3*E11</f>
        <v>0</v>
      </c>
      <c r="G25" s="77" t="s">
        <v>120</v>
      </c>
      <c r="H25" s="99"/>
      <c r="I25" s="99"/>
      <c r="J25" s="78">
        <f>'W4 Stats'!P4*J11</f>
        <v>0</v>
      </c>
      <c r="K25" s="78">
        <f>'W4 Stats'!P4*K11</f>
        <v>0</v>
      </c>
      <c r="M25" s="77" t="s">
        <v>120</v>
      </c>
      <c r="N25" s="99"/>
      <c r="O25" s="99"/>
      <c r="P25" s="78">
        <f>'W4 Stats'!P5*P11</f>
        <v>0</v>
      </c>
      <c r="Q25" s="78">
        <f>'W4 Stats'!P5*Q11</f>
        <v>0</v>
      </c>
      <c r="S25" s="77" t="s">
        <v>120</v>
      </c>
      <c r="T25" s="99"/>
      <c r="U25" s="99"/>
      <c r="V25" s="78">
        <f>'W4 Stats'!P6*V11</f>
        <v>0</v>
      </c>
      <c r="W25" s="78">
        <f>'W4 Stats'!P6*W11</f>
        <v>0</v>
      </c>
      <c r="Y25" s="77" t="s">
        <v>120</v>
      </c>
      <c r="Z25" s="78"/>
      <c r="AA25" s="99"/>
      <c r="AB25" s="99">
        <f>'W4 Stats'!P7*AB11</f>
        <v>0</v>
      </c>
      <c r="AC25" s="78">
        <f>'W4 Stats'!P7*AC11</f>
        <v>0</v>
      </c>
    </row>
    <row r="26">
      <c r="A26" s="77" t="s">
        <v>121</v>
      </c>
      <c r="B26" s="78">
        <f>'W4 Stats'!Q3*B12</f>
        <v>0</v>
      </c>
      <c r="C26" s="78">
        <f>'W4 Stats'!Q3*C12</f>
        <v>0</v>
      </c>
      <c r="D26" s="78">
        <f>'W4 Stats'!Q3*D12</f>
        <v>0</v>
      </c>
      <c r="E26" s="78">
        <f>'W4 Stats'!Q3*E12</f>
        <v>0</v>
      </c>
      <c r="G26" s="77" t="s">
        <v>121</v>
      </c>
      <c r="H26" s="78">
        <f>'W4 Stats'!Q4*H12</f>
        <v>0</v>
      </c>
      <c r="I26" s="78">
        <f>'W4 Stats'!Q4*I12</f>
        <v>0</v>
      </c>
      <c r="J26" s="78">
        <f>'W4 Stats'!Q4*J12</f>
        <v>0</v>
      </c>
      <c r="K26" s="78">
        <f>'W4 Stats'!Q4*K12</f>
        <v>0</v>
      </c>
      <c r="M26" s="77" t="s">
        <v>121</v>
      </c>
      <c r="N26" s="78">
        <f>'W4 Stats'!Q5*N12</f>
        <v>0</v>
      </c>
      <c r="O26" s="78">
        <f>'W4 Stats'!Q5*O12</f>
        <v>0</v>
      </c>
      <c r="P26" s="78">
        <f>'W4 Stats'!Q5*P12</f>
        <v>0</v>
      </c>
      <c r="Q26" s="78">
        <f>'W4 Stats'!Q5*Q12</f>
        <v>0</v>
      </c>
      <c r="S26" s="77" t="s">
        <v>121</v>
      </c>
      <c r="T26" s="78">
        <f>'W4 Stats'!Q6*T12</f>
        <v>0</v>
      </c>
      <c r="U26" s="78">
        <f>'W4 Stats'!Q6*U12</f>
        <v>0</v>
      </c>
      <c r="V26" s="78">
        <f>'W4 Stats'!Q6*V12</f>
        <v>0</v>
      </c>
      <c r="W26" s="78">
        <f>'W4 Stats'!Q6*W12</f>
        <v>0</v>
      </c>
      <c r="Y26" s="77" t="s">
        <v>121</v>
      </c>
      <c r="Z26" s="78">
        <f>'W4 Stats'!Q7*Z12</f>
        <v>0</v>
      </c>
      <c r="AA26" s="78">
        <f>'W4 Stats'!Q7*AA12</f>
        <v>0</v>
      </c>
      <c r="AB26" s="78">
        <f>'W4 Stats'!Q7*AB12</f>
        <v>0</v>
      </c>
      <c r="AC26" s="78">
        <f>'W4 Stats'!Q7*AC12</f>
        <v>0</v>
      </c>
    </row>
    <row r="27">
      <c r="A27" s="77" t="s">
        <v>122</v>
      </c>
      <c r="B27" s="78">
        <f t="shared" ref="B27:E27" si="50">SUM(B16:B26)</f>
        <v>0</v>
      </c>
      <c r="C27" s="78">
        <f t="shared" si="50"/>
        <v>0</v>
      </c>
      <c r="D27" s="78">
        <f t="shared" si="50"/>
        <v>0</v>
      </c>
      <c r="E27" s="78">
        <f t="shared" si="50"/>
        <v>0</v>
      </c>
      <c r="G27" s="77" t="s">
        <v>122</v>
      </c>
      <c r="H27" s="78">
        <f t="shared" ref="H27:K27" si="51">SUM(H16:H26)</f>
        <v>0</v>
      </c>
      <c r="I27" s="78">
        <f t="shared" si="51"/>
        <v>0</v>
      </c>
      <c r="J27" s="78">
        <f t="shared" si="51"/>
        <v>0</v>
      </c>
      <c r="K27" s="78">
        <f t="shared" si="51"/>
        <v>0</v>
      </c>
      <c r="M27" s="77" t="s">
        <v>122</v>
      </c>
      <c r="N27" s="78">
        <f t="shared" ref="N27:Q27" si="52">SUM(N16:N26)</f>
        <v>0</v>
      </c>
      <c r="O27" s="78">
        <f t="shared" si="52"/>
        <v>0</v>
      </c>
      <c r="P27" s="78">
        <f t="shared" si="52"/>
        <v>0</v>
      </c>
      <c r="Q27" s="78">
        <f t="shared" si="52"/>
        <v>0</v>
      </c>
      <c r="S27" s="77" t="s">
        <v>122</v>
      </c>
      <c r="T27" s="78">
        <f t="shared" ref="T27:W27" si="53">SUM(T16:T26)</f>
        <v>0</v>
      </c>
      <c r="U27" s="78">
        <f t="shared" si="53"/>
        <v>0</v>
      </c>
      <c r="V27" s="78">
        <f t="shared" si="53"/>
        <v>0</v>
      </c>
      <c r="W27" s="78">
        <f t="shared" si="53"/>
        <v>0</v>
      </c>
      <c r="Y27" s="77" t="s">
        <v>122</v>
      </c>
      <c r="Z27" s="78">
        <f t="shared" ref="Z27:AC27" si="54">SUM(Z16:Z26)</f>
        <v>0</v>
      </c>
      <c r="AA27" s="78">
        <f t="shared" si="54"/>
        <v>0</v>
      </c>
      <c r="AB27" s="78">
        <f t="shared" si="54"/>
        <v>0</v>
      </c>
      <c r="AC27" s="78">
        <f t="shared" si="54"/>
        <v>0</v>
      </c>
    </row>
    <row r="29">
      <c r="A29" s="77" t="str">
        <f>'W4 Stats'!B8</f>
        <v>InfiniteRainge</v>
      </c>
      <c r="B29" s="74" t="s">
        <v>94</v>
      </c>
      <c r="C29" s="74" t="s">
        <v>95</v>
      </c>
      <c r="D29" s="74" t="s">
        <v>96</v>
      </c>
      <c r="E29" s="74" t="s">
        <v>97</v>
      </c>
      <c r="G29" s="77" t="str">
        <f>'W4 Stats'!B9</f>
        <v>ACE B S1lentND1</v>
      </c>
      <c r="H29" s="74" t="s">
        <v>94</v>
      </c>
      <c r="I29" s="74" t="s">
        <v>95</v>
      </c>
      <c r="J29" s="74" t="s">
        <v>96</v>
      </c>
      <c r="K29" s="74" t="s">
        <v>97</v>
      </c>
      <c r="M29" s="77" t="str">
        <f>'W4 Stats'!B10</f>
        <v>DCleak</v>
      </c>
      <c r="N29" s="74" t="s">
        <v>94</v>
      </c>
      <c r="O29" s="74" t="s">
        <v>95</v>
      </c>
      <c r="P29" s="74" t="s">
        <v>96</v>
      </c>
      <c r="Q29" s="74" t="s">
        <v>97</v>
      </c>
      <c r="S29" s="77" t="str">
        <f>'W4 Stats'!B11</f>
        <v>ST0P K1LLING ME</v>
      </c>
      <c r="T29" s="74" t="s">
        <v>94</v>
      </c>
      <c r="U29" s="74" t="s">
        <v>95</v>
      </c>
      <c r="V29" s="74" t="s">
        <v>96</v>
      </c>
      <c r="W29" s="74" t="s">
        <v>97</v>
      </c>
      <c r="Y29" s="77" t="str">
        <f>'W4 Stats'!B12</f>
        <v>oUnique Rose</v>
      </c>
      <c r="Z29" s="74" t="s">
        <v>94</v>
      </c>
      <c r="AA29" s="74" t="s">
        <v>95</v>
      </c>
      <c r="AB29" s="74" t="s">
        <v>96</v>
      </c>
      <c r="AC29" s="74" t="s">
        <v>97</v>
      </c>
    </row>
    <row r="30">
      <c r="A30" s="77" t="s">
        <v>108</v>
      </c>
      <c r="B30" s="78">
        <f>'W4 Stats'!D8*B2</f>
        <v>0</v>
      </c>
      <c r="C30" s="78"/>
      <c r="D30" s="78"/>
      <c r="E30" s="78">
        <f>'W4 Stats'!D8*E2</f>
        <v>0</v>
      </c>
      <c r="G30" s="77" t="s">
        <v>108</v>
      </c>
      <c r="H30" s="78">
        <f>'W4 Stats'!D9*H2</f>
        <v>0</v>
      </c>
      <c r="I30" s="78"/>
      <c r="J30" s="78"/>
      <c r="K30" s="78">
        <f>'W4 Stats'!D9*K2</f>
        <v>0</v>
      </c>
      <c r="M30" s="77" t="s">
        <v>108</v>
      </c>
      <c r="N30" s="78">
        <f>'W4 Stats'!D10*N2</f>
        <v>0</v>
      </c>
      <c r="O30" s="78"/>
      <c r="P30" s="78"/>
      <c r="Q30" s="78">
        <f>'W4 Stats'!D10*Q2</f>
        <v>0</v>
      </c>
      <c r="S30" s="77" t="s">
        <v>108</v>
      </c>
      <c r="T30" s="78">
        <f>'W4 Stats'!D11*T2</f>
        <v>0</v>
      </c>
      <c r="U30" s="78"/>
      <c r="V30" s="78"/>
      <c r="W30" s="78">
        <f>'W4 Stats'!D11*W2</f>
        <v>0</v>
      </c>
      <c r="Y30" s="77" t="s">
        <v>108</v>
      </c>
      <c r="Z30" s="78">
        <f>'W4 Stats'!D12*Z2</f>
        <v>0</v>
      </c>
      <c r="AA30" s="78"/>
      <c r="AB30" s="78"/>
      <c r="AC30" s="78">
        <f>'W4 Stats'!D12*AC2</f>
        <v>0</v>
      </c>
    </row>
    <row r="31">
      <c r="A31" s="77" t="s">
        <v>112</v>
      </c>
      <c r="B31" s="78"/>
      <c r="C31" s="78"/>
      <c r="D31" s="78">
        <f>'W4 Stats'!H8*D3</f>
        <v>0</v>
      </c>
      <c r="E31" s="78"/>
      <c r="G31" s="77" t="s">
        <v>112</v>
      </c>
      <c r="H31" s="78"/>
      <c r="I31" s="78"/>
      <c r="J31" s="78">
        <f>'W4 Stats'!H9*J3</f>
        <v>0</v>
      </c>
      <c r="K31" s="78"/>
      <c r="M31" s="77" t="s">
        <v>112</v>
      </c>
      <c r="N31" s="78"/>
      <c r="O31" s="78"/>
      <c r="P31" s="78">
        <f>'W4 Stats'!H10*P3</f>
        <v>0</v>
      </c>
      <c r="Q31" s="78"/>
      <c r="S31" s="77" t="s">
        <v>112</v>
      </c>
      <c r="T31" s="78"/>
      <c r="U31" s="78"/>
      <c r="V31" s="78">
        <f>'W4 Stats'!H11*V3</f>
        <v>0</v>
      </c>
      <c r="W31" s="78"/>
      <c r="Y31" s="77" t="s">
        <v>112</v>
      </c>
      <c r="Z31" s="78"/>
      <c r="AA31" s="78"/>
      <c r="AB31" s="78">
        <f>'W4 Stats'!H12*AB3</f>
        <v>0</v>
      </c>
      <c r="AC31" s="78"/>
    </row>
    <row r="32">
      <c r="A32" s="77" t="s">
        <v>113</v>
      </c>
      <c r="B32" s="78">
        <f>'W4 Stats'!I8*B4</f>
        <v>0</v>
      </c>
      <c r="C32" s="78"/>
      <c r="D32" s="78"/>
      <c r="E32" s="78"/>
      <c r="G32" s="77" t="s">
        <v>113</v>
      </c>
      <c r="H32" s="78">
        <f>'W4 Stats'!I9*H4</f>
        <v>0</v>
      </c>
      <c r="I32" s="78"/>
      <c r="J32" s="78"/>
      <c r="K32" s="78"/>
      <c r="M32" s="77" t="s">
        <v>113</v>
      </c>
      <c r="N32" s="78">
        <f>'W4 Stats'!I10*N4</f>
        <v>0</v>
      </c>
      <c r="O32" s="78"/>
      <c r="P32" s="78"/>
      <c r="Q32" s="78"/>
      <c r="S32" s="77" t="s">
        <v>113</v>
      </c>
      <c r="T32" s="78">
        <f>'W4 Stats'!I11*T4</f>
        <v>0</v>
      </c>
      <c r="U32" s="78"/>
      <c r="V32" s="78"/>
      <c r="W32" s="78"/>
      <c r="Y32" s="77" t="s">
        <v>113</v>
      </c>
      <c r="Z32" s="78">
        <f>'W4 Stats'!I12*Z4</f>
        <v>0</v>
      </c>
      <c r="AA32" s="78"/>
      <c r="AB32" s="78"/>
      <c r="AC32" s="78"/>
    </row>
    <row r="33">
      <c r="A33" s="77" t="s">
        <v>114</v>
      </c>
      <c r="B33" s="78"/>
      <c r="C33" s="78">
        <f>'W4 Stats'!J8*C5</f>
        <v>0</v>
      </c>
      <c r="D33" s="78"/>
      <c r="E33" s="78">
        <f>'W4 Stats'!J8*E5</f>
        <v>0</v>
      </c>
      <c r="G33" s="77" t="s">
        <v>114</v>
      </c>
      <c r="H33" s="78"/>
      <c r="I33" s="78">
        <f>'W4 Stats'!J9*I5</f>
        <v>0</v>
      </c>
      <c r="J33" s="78"/>
      <c r="K33" s="78">
        <f>'W4 Stats'!J9*K5</f>
        <v>0</v>
      </c>
      <c r="M33" s="77" t="s">
        <v>114</v>
      </c>
      <c r="N33" s="78"/>
      <c r="O33" s="78">
        <f>'W4 Stats'!J10*O5</f>
        <v>0</v>
      </c>
      <c r="P33" s="78"/>
      <c r="Q33" s="78">
        <f>'W4 Stats'!J10*Q5</f>
        <v>0</v>
      </c>
      <c r="S33" s="77" t="s">
        <v>114</v>
      </c>
      <c r="T33" s="78"/>
      <c r="U33" s="78">
        <f>'W4 Stats'!J11*U5</f>
        <v>0</v>
      </c>
      <c r="V33" s="78"/>
      <c r="W33" s="78">
        <f>'W4 Stats'!J11*W5</f>
        <v>0</v>
      </c>
      <c r="Y33" s="77" t="s">
        <v>114</v>
      </c>
      <c r="Z33" s="78"/>
      <c r="AA33" s="78">
        <f>'W4 Stats'!J12*AA5</f>
        <v>0</v>
      </c>
      <c r="AB33" s="78"/>
      <c r="AC33" s="78">
        <f>'W4 Stats'!J12*AC5</f>
        <v>0</v>
      </c>
    </row>
    <row r="34">
      <c r="A34" s="77" t="s">
        <v>115</v>
      </c>
      <c r="B34" s="78"/>
      <c r="C34" s="78">
        <f>'W4 Stats'!K8*C6</f>
        <v>0</v>
      </c>
      <c r="D34" s="78"/>
      <c r="E34" s="78">
        <f>'W4 Stats'!K8*E6</f>
        <v>0</v>
      </c>
      <c r="G34" s="77" t="s">
        <v>115</v>
      </c>
      <c r="H34" s="78"/>
      <c r="I34" s="78">
        <f>'W4 Stats'!K9*I6</f>
        <v>0</v>
      </c>
      <c r="J34" s="78"/>
      <c r="K34" s="78">
        <f>'W4 Stats'!K9*K6</f>
        <v>0</v>
      </c>
      <c r="M34" s="77" t="s">
        <v>115</v>
      </c>
      <c r="N34" s="78"/>
      <c r="O34" s="78">
        <f>'W4 Stats'!K10*O6</f>
        <v>0</v>
      </c>
      <c r="P34" s="78"/>
      <c r="Q34" s="78">
        <f>'W4 Stats'!K10*Q6</f>
        <v>0</v>
      </c>
      <c r="S34" s="77" t="s">
        <v>115</v>
      </c>
      <c r="T34" s="78"/>
      <c r="U34" s="78">
        <f>'W4 Stats'!K11*U6</f>
        <v>0</v>
      </c>
      <c r="V34" s="78"/>
      <c r="W34" s="78">
        <f>'W4 Stats'!K11*W6</f>
        <v>0</v>
      </c>
      <c r="Y34" s="77" t="s">
        <v>115</v>
      </c>
      <c r="Z34" s="78"/>
      <c r="AA34" s="78">
        <f>'W4 Stats'!K12*AA6</f>
        <v>0</v>
      </c>
      <c r="AB34" s="78"/>
      <c r="AC34" s="78">
        <f>'W4 Stats'!K12*AC6</f>
        <v>0</v>
      </c>
    </row>
    <row r="35">
      <c r="A35" s="77" t="s">
        <v>116</v>
      </c>
      <c r="B35" s="78">
        <f>'W4 Stats'!L8*B7</f>
        <v>0</v>
      </c>
      <c r="C35" s="78"/>
      <c r="D35" s="78">
        <f>'W4 Stats'!L8*D7</f>
        <v>0</v>
      </c>
      <c r="E35" s="78"/>
      <c r="G35" s="77" t="s">
        <v>116</v>
      </c>
      <c r="H35" s="78">
        <f>'W4 Stats'!L9*H7</f>
        <v>0</v>
      </c>
      <c r="I35" s="78"/>
      <c r="J35" s="78">
        <f>'W4 Stats'!L9*J7</f>
        <v>0</v>
      </c>
      <c r="K35" s="78"/>
      <c r="M35" s="77" t="s">
        <v>116</v>
      </c>
      <c r="N35" s="78">
        <f>'W4 Stats'!L10*N7</f>
        <v>0</v>
      </c>
      <c r="O35" s="78"/>
      <c r="P35" s="78">
        <f>'W4 Stats'!L10*P7</f>
        <v>0</v>
      </c>
      <c r="Q35" s="78"/>
      <c r="S35" s="77" t="s">
        <v>116</v>
      </c>
      <c r="T35" s="78">
        <f>'W4 Stats'!L11*T7</f>
        <v>0</v>
      </c>
      <c r="U35" s="78"/>
      <c r="V35" s="78">
        <f>'W4 Stats'!L11*V7</f>
        <v>0</v>
      </c>
      <c r="W35" s="78"/>
      <c r="Y35" s="77" t="s">
        <v>116</v>
      </c>
      <c r="Z35" s="78">
        <f>'W4 Stats'!L12*Z7</f>
        <v>0</v>
      </c>
      <c r="AA35" s="78"/>
      <c r="AB35" s="78">
        <f>'W4 Stats'!L12*AB7</f>
        <v>0</v>
      </c>
      <c r="AC35" s="78"/>
    </row>
    <row r="36">
      <c r="A36" s="77" t="s">
        <v>117</v>
      </c>
      <c r="B36" s="78"/>
      <c r="C36" s="78">
        <f>'W4 Stats'!M8*C8</f>
        <v>0</v>
      </c>
      <c r="D36" s="78"/>
      <c r="E36" s="78"/>
      <c r="G36" s="77" t="s">
        <v>117</v>
      </c>
      <c r="H36" s="78"/>
      <c r="I36" s="78">
        <f>'W4 Stats'!M9*C9</f>
        <v>0</v>
      </c>
      <c r="J36" s="78"/>
      <c r="K36" s="78"/>
      <c r="M36" s="77" t="s">
        <v>117</v>
      </c>
      <c r="N36" s="78"/>
      <c r="O36" s="78">
        <f>'W4 Stats'!M10*O8</f>
        <v>0</v>
      </c>
      <c r="P36" s="78"/>
      <c r="Q36" s="78"/>
      <c r="S36" s="77" t="s">
        <v>117</v>
      </c>
      <c r="T36" s="78"/>
      <c r="U36" s="78">
        <f>'W4 Stats'!M11*U8</f>
        <v>0</v>
      </c>
      <c r="V36" s="78"/>
      <c r="W36" s="78"/>
      <c r="Y36" s="77" t="s">
        <v>117</v>
      </c>
      <c r="Z36" s="78"/>
      <c r="AA36" s="78">
        <f>'W4 Stats'!M12*AA8</f>
        <v>0</v>
      </c>
      <c r="AB36" s="78"/>
      <c r="AC36" s="78"/>
    </row>
    <row r="37">
      <c r="A37" s="77" t="s">
        <v>118</v>
      </c>
      <c r="B37" s="78"/>
      <c r="C37" s="78"/>
      <c r="D37" s="78">
        <f>'W4 Stats'!N8*D9</f>
        <v>0</v>
      </c>
      <c r="E37" s="78">
        <f>'W4 Stats'!N8*E9</f>
        <v>0</v>
      </c>
      <c r="G37" s="77" t="s">
        <v>118</v>
      </c>
      <c r="H37" s="78"/>
      <c r="I37" s="78"/>
      <c r="J37" s="78">
        <f>'W4 Stats'!N9*J9</f>
        <v>0</v>
      </c>
      <c r="K37" s="78">
        <f>'W4 Stats'!N9*K9</f>
        <v>0</v>
      </c>
      <c r="M37" s="77" t="s">
        <v>118</v>
      </c>
      <c r="N37" s="78"/>
      <c r="O37" s="78"/>
      <c r="P37" s="78">
        <f>'W4 Stats'!N10*P9</f>
        <v>0</v>
      </c>
      <c r="Q37" s="78">
        <f>'W4 Stats'!N10*Q9</f>
        <v>0</v>
      </c>
      <c r="S37" s="77" t="s">
        <v>118</v>
      </c>
      <c r="T37" s="78"/>
      <c r="U37" s="78"/>
      <c r="V37" s="78">
        <f>'W4 Stats'!N11*V9</f>
        <v>0</v>
      </c>
      <c r="W37" s="78">
        <f>'W4 Stats'!N11*W9</f>
        <v>0</v>
      </c>
      <c r="Y37" s="77" t="s">
        <v>118</v>
      </c>
      <c r="Z37" s="78"/>
      <c r="AA37" s="78"/>
      <c r="AB37" s="78">
        <f>'W4 Stats'!N12*AB9</f>
        <v>0</v>
      </c>
      <c r="AC37" s="78">
        <f>'W4 Stats'!N12*AC9</f>
        <v>0</v>
      </c>
    </row>
    <row r="38">
      <c r="A38" s="77" t="s">
        <v>119</v>
      </c>
      <c r="B38" s="78"/>
      <c r="C38" s="78">
        <f>'W4 Stats'!O8*C10</f>
        <v>0</v>
      </c>
      <c r="D38" s="78"/>
      <c r="E38" s="78">
        <f>'W4 Stats'!O8*E10</f>
        <v>0</v>
      </c>
      <c r="G38" s="77" t="s">
        <v>119</v>
      </c>
      <c r="H38" s="78"/>
      <c r="I38" s="78">
        <f>'W4 Stats'!O9*I10</f>
        <v>0</v>
      </c>
      <c r="J38" s="78"/>
      <c r="K38" s="78">
        <f>'W4 Stats'!O9*K10</f>
        <v>0</v>
      </c>
      <c r="M38" s="77" t="s">
        <v>119</v>
      </c>
      <c r="N38" s="78"/>
      <c r="O38" s="78">
        <f>'W4 Stats'!O10*O10</f>
        <v>0</v>
      </c>
      <c r="P38" s="78"/>
      <c r="Q38" s="78">
        <f>'W4 Stats'!O10*Q10</f>
        <v>0</v>
      </c>
      <c r="S38" s="77" t="s">
        <v>119</v>
      </c>
      <c r="T38" s="78"/>
      <c r="U38" s="78">
        <f>'W4 Stats'!O11*U10</f>
        <v>0</v>
      </c>
      <c r="V38" s="78"/>
      <c r="W38" s="78">
        <f>'W4 Stats'!O11*W10</f>
        <v>0</v>
      </c>
      <c r="Y38" s="77" t="s">
        <v>119</v>
      </c>
      <c r="Z38" s="78"/>
      <c r="AA38" s="78">
        <f>'W4 Stats'!O12*AA10</f>
        <v>0</v>
      </c>
      <c r="AB38" s="78"/>
      <c r="AC38" s="78">
        <f>'W4 Stats'!O12*AC10</f>
        <v>0</v>
      </c>
    </row>
    <row r="39">
      <c r="A39" s="77" t="s">
        <v>120</v>
      </c>
      <c r="B39" s="78"/>
      <c r="C39" s="78"/>
      <c r="D39" s="78">
        <f>'W4 Stats'!P8*D11</f>
        <v>0</v>
      </c>
      <c r="E39" s="78">
        <f>'W4 Stats'!P8*E11</f>
        <v>0</v>
      </c>
      <c r="G39" s="77" t="s">
        <v>120</v>
      </c>
      <c r="H39" s="78"/>
      <c r="I39" s="78"/>
      <c r="J39" s="78">
        <f>'W4 Stats'!P9*J11</f>
        <v>0</v>
      </c>
      <c r="K39" s="78">
        <f>'W4 Stats'!P9*K11</f>
        <v>0</v>
      </c>
      <c r="M39" s="77" t="s">
        <v>120</v>
      </c>
      <c r="N39" s="78"/>
      <c r="O39" s="78"/>
      <c r="P39" s="78">
        <f>'W4 Stats'!P10*P11</f>
        <v>0</v>
      </c>
      <c r="Q39" s="78">
        <f>'W4 Stats'!P10*Q11</f>
        <v>0</v>
      </c>
      <c r="S39" s="77" t="s">
        <v>120</v>
      </c>
      <c r="T39" s="78"/>
      <c r="U39" s="78"/>
      <c r="V39" s="78">
        <f>'W4 Stats'!P11*V11</f>
        <v>0</v>
      </c>
      <c r="W39" s="78">
        <f>'W4 Stats'!P11*W11</f>
        <v>0</v>
      </c>
      <c r="Y39" s="77" t="s">
        <v>120</v>
      </c>
      <c r="Z39" s="78"/>
      <c r="AA39" s="78"/>
      <c r="AB39" s="78">
        <f>'W4 Stats'!P12*AB11</f>
        <v>0</v>
      </c>
      <c r="AC39" s="78">
        <f>'W4 Stats'!P12*AC11</f>
        <v>0</v>
      </c>
    </row>
    <row r="40">
      <c r="A40" s="77" t="s">
        <v>121</v>
      </c>
      <c r="B40" s="78">
        <f>'W4 Stats'!Q8*B12</f>
        <v>0</v>
      </c>
      <c r="C40" s="78">
        <f>'W4 Stats'!Q8*C12</f>
        <v>0</v>
      </c>
      <c r="D40" s="78">
        <f>'W4 Stats'!Q8*D12</f>
        <v>0</v>
      </c>
      <c r="E40" s="78">
        <f>'W4 Stats'!Q8*E12</f>
        <v>0</v>
      </c>
      <c r="G40" s="77" t="s">
        <v>121</v>
      </c>
      <c r="H40" s="78">
        <f>'W4 Stats'!Q9*H12</f>
        <v>0</v>
      </c>
      <c r="I40" s="78">
        <f>'W4 Stats'!Q9*I12</f>
        <v>0</v>
      </c>
      <c r="J40" s="78">
        <f>'W4 Stats'!Q9*J12</f>
        <v>0</v>
      </c>
      <c r="K40" s="78">
        <f>'W4 Stats'!Q9*K12</f>
        <v>0</v>
      </c>
      <c r="M40" s="77" t="s">
        <v>121</v>
      </c>
      <c r="N40" s="78">
        <f>'W4 Stats'!Q10*N12</f>
        <v>0</v>
      </c>
      <c r="O40" s="78">
        <f>'W4 Stats'!Q10*O12</f>
        <v>0</v>
      </c>
      <c r="P40" s="78">
        <f>'W4 Stats'!Q10*P12</f>
        <v>0</v>
      </c>
      <c r="Q40" s="78">
        <f>'W4 Stats'!Q10*Q12</f>
        <v>0</v>
      </c>
      <c r="S40" s="77" t="s">
        <v>121</v>
      </c>
      <c r="T40" s="78">
        <f>'W4 Stats'!Q11*T12</f>
        <v>0</v>
      </c>
      <c r="U40" s="78">
        <f>'W4 Stats'!Q11*U12</f>
        <v>0</v>
      </c>
      <c r="V40" s="78">
        <f>'W4 Stats'!Q11*V12</f>
        <v>0</v>
      </c>
      <c r="W40" s="78">
        <f>'W4 Stats'!Q11*W12</f>
        <v>0</v>
      </c>
      <c r="Y40" s="77" t="s">
        <v>121</v>
      </c>
      <c r="Z40" s="78">
        <f>'W4 Stats'!Q12*Z12</f>
        <v>0</v>
      </c>
      <c r="AA40" s="78">
        <f>'W4 Stats'!Q12*AA12</f>
        <v>0</v>
      </c>
      <c r="AB40" s="78">
        <f>'W4 Stats'!Q12*AB12</f>
        <v>0</v>
      </c>
      <c r="AC40" s="78">
        <f>'W4 Stats'!Q12*AC12</f>
        <v>0</v>
      </c>
    </row>
    <row r="41">
      <c r="A41" s="77" t="s">
        <v>122</v>
      </c>
      <c r="B41" s="78">
        <f t="shared" ref="B41:E41" si="55">SUM(B30:B40)</f>
        <v>0</v>
      </c>
      <c r="C41" s="78">
        <f t="shared" si="55"/>
        <v>0</v>
      </c>
      <c r="D41" s="78">
        <f t="shared" si="55"/>
        <v>0</v>
      </c>
      <c r="E41" s="78">
        <f t="shared" si="55"/>
        <v>0</v>
      </c>
      <c r="G41" s="77" t="s">
        <v>122</v>
      </c>
      <c r="H41" s="78">
        <f t="shared" ref="H41:K41" si="56">SUM(H30:H40)</f>
        <v>0</v>
      </c>
      <c r="I41" s="78">
        <f t="shared" si="56"/>
        <v>0</v>
      </c>
      <c r="J41" s="78">
        <f t="shared" si="56"/>
        <v>0</v>
      </c>
      <c r="K41" s="78">
        <f t="shared" si="56"/>
        <v>0</v>
      </c>
      <c r="M41" s="77" t="s">
        <v>122</v>
      </c>
      <c r="N41" s="78">
        <f t="shared" ref="N41:Q41" si="57">SUM(N30:N40)</f>
        <v>0</v>
      </c>
      <c r="O41" s="78">
        <f t="shared" si="57"/>
        <v>0</v>
      </c>
      <c r="P41" s="78">
        <f t="shared" si="57"/>
        <v>0</v>
      </c>
      <c r="Q41" s="78">
        <f t="shared" si="57"/>
        <v>0</v>
      </c>
      <c r="S41" s="77" t="s">
        <v>122</v>
      </c>
      <c r="T41" s="78">
        <f t="shared" ref="T41:W41" si="58">SUM(T30:T40)</f>
        <v>0</v>
      </c>
      <c r="U41" s="78">
        <f t="shared" si="58"/>
        <v>0</v>
      </c>
      <c r="V41" s="78">
        <f t="shared" si="58"/>
        <v>0</v>
      </c>
      <c r="W41" s="78">
        <f t="shared" si="58"/>
        <v>0</v>
      </c>
      <c r="Y41" s="77" t="s">
        <v>122</v>
      </c>
      <c r="Z41" s="78">
        <f t="shared" ref="Z41:AC41" si="59">SUM(Z30:Z40)</f>
        <v>0</v>
      </c>
      <c r="AA41" s="78">
        <f t="shared" si="59"/>
        <v>0</v>
      </c>
      <c r="AB41" s="78">
        <f t="shared" si="59"/>
        <v>0</v>
      </c>
      <c r="AC41" s="78">
        <f t="shared" si="59"/>
        <v>0</v>
      </c>
    </row>
    <row r="43">
      <c r="A43" s="77" t="str">
        <f>'W4 Stats'!B13</f>
        <v>NetsPride15</v>
      </c>
      <c r="B43" s="74" t="s">
        <v>94</v>
      </c>
      <c r="C43" s="74" t="s">
        <v>95</v>
      </c>
      <c r="D43" s="74" t="s">
        <v>96</v>
      </c>
      <c r="E43" s="74" t="s">
        <v>97</v>
      </c>
      <c r="F43" s="1"/>
      <c r="G43" s="77" t="str">
        <f>'W4 Stats'!B14</f>
        <v>Saintz The God</v>
      </c>
      <c r="H43" s="74" t="s">
        <v>94</v>
      </c>
      <c r="I43" s="74" t="s">
        <v>95</v>
      </c>
      <c r="J43" s="74" t="s">
        <v>96</v>
      </c>
      <c r="K43" s="74" t="s">
        <v>97</v>
      </c>
      <c r="M43" s="77" t="str">
        <f>'W4 Stats'!B15</f>
        <v>Silva</v>
      </c>
      <c r="N43" s="74" t="s">
        <v>94</v>
      </c>
      <c r="O43" s="74" t="s">
        <v>95</v>
      </c>
      <c r="P43" s="74" t="s">
        <v>96</v>
      </c>
      <c r="Q43" s="74" t="s">
        <v>97</v>
      </c>
      <c r="S43" s="77" t="str">
        <f>'W4 Stats'!B16</f>
        <v>AJ DaJuiceMayne</v>
      </c>
      <c r="T43" s="74" t="s">
        <v>94</v>
      </c>
      <c r="U43" s="74" t="s">
        <v>95</v>
      </c>
      <c r="V43" s="74" t="s">
        <v>96</v>
      </c>
      <c r="W43" s="74" t="s">
        <v>97</v>
      </c>
      <c r="Y43" s="77" t="str">
        <f>'W4 Stats'!B17</f>
        <v>El Diablo X230X</v>
      </c>
      <c r="Z43" s="74" t="s">
        <v>94</v>
      </c>
      <c r="AA43" s="74" t="s">
        <v>95</v>
      </c>
      <c r="AB43" s="74" t="s">
        <v>96</v>
      </c>
      <c r="AC43" s="74" t="s">
        <v>97</v>
      </c>
    </row>
    <row r="44">
      <c r="A44" s="77" t="s">
        <v>108</v>
      </c>
      <c r="B44" s="78">
        <f>'W4 Stats'!D13*B2</f>
        <v>0</v>
      </c>
      <c r="C44" s="78"/>
      <c r="D44" s="78"/>
      <c r="E44" s="78">
        <f>'W4 Stats'!D13*E2</f>
        <v>0</v>
      </c>
      <c r="G44" s="77" t="s">
        <v>108</v>
      </c>
      <c r="H44" s="78">
        <f>'W4 Stats'!D14*H2</f>
        <v>0</v>
      </c>
      <c r="I44" s="78"/>
      <c r="J44" s="78"/>
      <c r="K44" s="78">
        <f>'W4 Stats'!D14*K2</f>
        <v>0</v>
      </c>
      <c r="M44" s="77" t="s">
        <v>108</v>
      </c>
      <c r="N44" s="78">
        <f>'W4 Stats'!D15*N2</f>
        <v>0</v>
      </c>
      <c r="O44" s="78"/>
      <c r="P44" s="78"/>
      <c r="Q44" s="78">
        <f>'W4 Stats'!D15*Q2</f>
        <v>0</v>
      </c>
      <c r="S44" s="77" t="s">
        <v>108</v>
      </c>
      <c r="T44" s="78">
        <f>'W4 Stats'!D16*T2</f>
        <v>0</v>
      </c>
      <c r="U44" s="78"/>
      <c r="V44" s="78"/>
      <c r="W44" s="78">
        <f>'W4 Stats'!D16*W2</f>
        <v>0</v>
      </c>
      <c r="Y44" s="77" t="s">
        <v>108</v>
      </c>
      <c r="Z44" s="78">
        <f>'W4 Stats'!D17*Z2</f>
        <v>0</v>
      </c>
      <c r="AA44" s="78"/>
      <c r="AB44" s="78"/>
      <c r="AC44" s="78">
        <f>'W4 Stats'!D17*AC2</f>
        <v>0</v>
      </c>
    </row>
    <row r="45">
      <c r="A45" s="77" t="s">
        <v>112</v>
      </c>
      <c r="B45" s="99"/>
      <c r="C45" s="99"/>
      <c r="D45" s="78">
        <f>'W4 Stats'!H13*D3</f>
        <v>0</v>
      </c>
      <c r="E45" s="78"/>
      <c r="G45" s="77" t="s">
        <v>112</v>
      </c>
      <c r="H45" s="99"/>
      <c r="I45" s="99"/>
      <c r="J45" s="78">
        <f>'W4 Stats'!H14*J3</f>
        <v>0</v>
      </c>
      <c r="K45" s="78"/>
      <c r="M45" s="77" t="s">
        <v>112</v>
      </c>
      <c r="N45" s="99"/>
      <c r="O45" s="99"/>
      <c r="P45" s="78">
        <f>'W4 Stats'!H15*J3</f>
        <v>0</v>
      </c>
      <c r="Q45" s="78"/>
      <c r="S45" s="77" t="s">
        <v>112</v>
      </c>
      <c r="T45" s="99"/>
      <c r="U45" s="99"/>
      <c r="V45" s="78">
        <f>'W4 Stats'!H16*J3</f>
        <v>0</v>
      </c>
      <c r="W45" s="78"/>
      <c r="Y45" s="77" t="s">
        <v>112</v>
      </c>
      <c r="Z45" s="99"/>
      <c r="AA45" s="99"/>
      <c r="AB45" s="78">
        <f>'W4 Stats'!H17*P3</f>
        <v>0</v>
      </c>
      <c r="AC45" s="78"/>
    </row>
    <row r="46">
      <c r="A46" s="77" t="s">
        <v>113</v>
      </c>
      <c r="B46" s="78">
        <f>'W4 Stats'!I13*B4</f>
        <v>0</v>
      </c>
      <c r="C46" s="99"/>
      <c r="D46" s="99"/>
      <c r="E46" s="78"/>
      <c r="G46" s="77" t="s">
        <v>113</v>
      </c>
      <c r="H46" s="78">
        <f>'W4 Stats'!I14*H4</f>
        <v>0</v>
      </c>
      <c r="I46" s="99"/>
      <c r="J46" s="99"/>
      <c r="K46" s="78"/>
      <c r="M46" s="77" t="s">
        <v>113</v>
      </c>
      <c r="N46" s="78">
        <f>'W4 Stats'!I15*H4</f>
        <v>0</v>
      </c>
      <c r="O46" s="99"/>
      <c r="P46" s="99"/>
      <c r="Q46" s="78"/>
      <c r="S46" s="77" t="s">
        <v>113</v>
      </c>
      <c r="T46" s="78">
        <f>'W4 Stats'!I16*H4</f>
        <v>0</v>
      </c>
      <c r="U46" s="99"/>
      <c r="V46" s="99"/>
      <c r="W46" s="78"/>
      <c r="Y46" s="77" t="s">
        <v>113</v>
      </c>
      <c r="Z46" s="78">
        <f>'W4 Stats'!I17*N4</f>
        <v>0</v>
      </c>
      <c r="AA46" s="99"/>
      <c r="AB46" s="99"/>
      <c r="AC46" s="78"/>
    </row>
    <row r="47">
      <c r="A47" s="77" t="s">
        <v>114</v>
      </c>
      <c r="B47" s="99"/>
      <c r="C47" s="78">
        <f>'W4 Stats'!J13*C5</f>
        <v>0</v>
      </c>
      <c r="D47" s="99"/>
      <c r="E47" s="78">
        <f>'W4 Stats'!J13*E5</f>
        <v>0</v>
      </c>
      <c r="G47" s="77" t="s">
        <v>114</v>
      </c>
      <c r="H47" s="99"/>
      <c r="I47" s="78">
        <f>'W4 Stats'!J14*I5</f>
        <v>0</v>
      </c>
      <c r="J47" s="99"/>
      <c r="K47" s="78">
        <f>'W4 Stats'!J14*K5</f>
        <v>0</v>
      </c>
      <c r="M47" s="77" t="s">
        <v>114</v>
      </c>
      <c r="N47" s="99"/>
      <c r="O47" s="78">
        <f>'W4 Stats'!J15*O5</f>
        <v>0</v>
      </c>
      <c r="P47" s="99"/>
      <c r="Q47" s="78">
        <f>'W4 Stats'!J15*Q5</f>
        <v>0</v>
      </c>
      <c r="S47" s="77" t="s">
        <v>114</v>
      </c>
      <c r="T47" s="99"/>
      <c r="U47" s="78">
        <f>'W4 Stats'!J16*U5</f>
        <v>0</v>
      </c>
      <c r="V47" s="99"/>
      <c r="W47" s="78">
        <f>'W4 Stats'!J16*W5</f>
        <v>0</v>
      </c>
      <c r="Y47" s="77" t="s">
        <v>114</v>
      </c>
      <c r="Z47" s="99"/>
      <c r="AA47" s="78">
        <f>'W4 Stats'!J17*AA5</f>
        <v>0</v>
      </c>
      <c r="AB47" s="99"/>
      <c r="AC47" s="78">
        <f>'W4 Stats'!J17*AC5</f>
        <v>0</v>
      </c>
    </row>
    <row r="48">
      <c r="A48" s="77" t="s">
        <v>115</v>
      </c>
      <c r="B48" s="78"/>
      <c r="C48" s="78">
        <f>'W4 Stats'!K13*C6</f>
        <v>0</v>
      </c>
      <c r="D48" s="78"/>
      <c r="E48" s="78">
        <f>'W4 Stats'!K13*E6</f>
        <v>0</v>
      </c>
      <c r="G48" s="77" t="s">
        <v>115</v>
      </c>
      <c r="H48" s="78"/>
      <c r="I48" s="78">
        <f>'W4 Stats'!K14*I6</f>
        <v>0</v>
      </c>
      <c r="J48" s="78"/>
      <c r="K48" s="78">
        <f>'W4 Stats'!K14*K6</f>
        <v>0</v>
      </c>
      <c r="M48" s="77" t="s">
        <v>115</v>
      </c>
      <c r="N48" s="78"/>
      <c r="O48" s="78">
        <f>'W4 Stats'!K15*O6</f>
        <v>0</v>
      </c>
      <c r="P48" s="78"/>
      <c r="Q48" s="78">
        <f>'W4 Stats'!K15*Q6</f>
        <v>0</v>
      </c>
      <c r="S48" s="77" t="s">
        <v>115</v>
      </c>
      <c r="T48" s="78"/>
      <c r="U48" s="78">
        <f>'W4 Stats'!K16*U6</f>
        <v>0</v>
      </c>
      <c r="V48" s="78"/>
      <c r="W48" s="78">
        <f>'W4 Stats'!K16*W6</f>
        <v>0</v>
      </c>
      <c r="Y48" s="77" t="s">
        <v>115</v>
      </c>
      <c r="Z48" s="78"/>
      <c r="AA48" s="78">
        <f>'W4 Stats'!K17*AA6</f>
        <v>0</v>
      </c>
      <c r="AB48" s="78"/>
      <c r="AC48" s="78">
        <f>'W4 Stats'!K17*AC6</f>
        <v>0</v>
      </c>
    </row>
    <row r="49">
      <c r="A49" s="77" t="s">
        <v>116</v>
      </c>
      <c r="B49" s="78">
        <f>'W4 Stats'!L13*B7</f>
        <v>0</v>
      </c>
      <c r="C49" s="78"/>
      <c r="D49" s="78">
        <f>'W4 Stats'!L13*D7</f>
        <v>0</v>
      </c>
      <c r="E49" s="78"/>
      <c r="G49" s="77" t="s">
        <v>116</v>
      </c>
      <c r="H49" s="78">
        <f>'W4 Stats'!L14*H7</f>
        <v>0</v>
      </c>
      <c r="I49" s="78"/>
      <c r="J49" s="78">
        <f>'W4 Stats'!L14*J7</f>
        <v>0</v>
      </c>
      <c r="K49" s="78"/>
      <c r="M49" s="77" t="s">
        <v>116</v>
      </c>
      <c r="N49" s="78">
        <f>'W4 Stats'!L15*N7</f>
        <v>0</v>
      </c>
      <c r="O49" s="78"/>
      <c r="P49" s="78">
        <f>'W4 Stats'!L15*P7</f>
        <v>0</v>
      </c>
      <c r="Q49" s="78"/>
      <c r="S49" s="77" t="s">
        <v>116</v>
      </c>
      <c r="T49" s="78">
        <f>'W4 Stats'!L16*T7</f>
        <v>0</v>
      </c>
      <c r="U49" s="78"/>
      <c r="V49" s="78">
        <f>'W4 Stats'!L16*V7</f>
        <v>0</v>
      </c>
      <c r="W49" s="78"/>
      <c r="Y49" s="77" t="s">
        <v>116</v>
      </c>
      <c r="Z49" s="78">
        <f>'W4 Stats'!L17*Z7</f>
        <v>0</v>
      </c>
      <c r="AA49" s="78"/>
      <c r="AB49" s="78">
        <f>'W4 Stats'!L17*AB7</f>
        <v>0</v>
      </c>
      <c r="AC49" s="78"/>
    </row>
    <row r="50">
      <c r="A50" s="77" t="s">
        <v>117</v>
      </c>
      <c r="B50" s="99"/>
      <c r="C50" s="78">
        <f>'W4 Stats'!M13*C8</f>
        <v>0</v>
      </c>
      <c r="D50" s="99"/>
      <c r="E50" s="78"/>
      <c r="G50" s="77" t="s">
        <v>117</v>
      </c>
      <c r="H50" s="99"/>
      <c r="I50" s="78">
        <f>'W4 Stats'!M14*I8</f>
        <v>0</v>
      </c>
      <c r="J50" s="99"/>
      <c r="K50" s="78"/>
      <c r="M50" s="77" t="s">
        <v>117</v>
      </c>
      <c r="N50" s="99"/>
      <c r="O50" s="78">
        <f>'W4 Stats'!M15*O8</f>
        <v>0</v>
      </c>
      <c r="P50" s="99"/>
      <c r="Q50" s="78"/>
      <c r="S50" s="77" t="s">
        <v>117</v>
      </c>
      <c r="T50" s="99"/>
      <c r="U50" s="78">
        <f>'W4 Stats'!M16*U8</f>
        <v>0</v>
      </c>
      <c r="V50" s="99"/>
      <c r="W50" s="78"/>
      <c r="Y50" s="77" t="s">
        <v>117</v>
      </c>
      <c r="Z50" s="99"/>
      <c r="AA50" s="78">
        <f>'W4 Stats'!M17*AA8</f>
        <v>0</v>
      </c>
      <c r="AB50" s="99"/>
      <c r="AC50" s="78"/>
    </row>
    <row r="51">
      <c r="A51" s="77" t="s">
        <v>118</v>
      </c>
      <c r="B51" s="99"/>
      <c r="C51" s="99"/>
      <c r="D51" s="78">
        <f>'W4 Stats'!N13*D9</f>
        <v>0</v>
      </c>
      <c r="E51" s="78">
        <f>'W4 Stats'!N13*E9</f>
        <v>0</v>
      </c>
      <c r="G51" s="77" t="s">
        <v>118</v>
      </c>
      <c r="H51" s="99"/>
      <c r="I51" s="99"/>
      <c r="J51" s="78">
        <f>'W4 Stats'!N14*J9</f>
        <v>0</v>
      </c>
      <c r="K51" s="78">
        <f>'W4 Stats'!N14*K9</f>
        <v>0</v>
      </c>
      <c r="M51" s="77" t="s">
        <v>118</v>
      </c>
      <c r="N51" s="99"/>
      <c r="O51" s="99"/>
      <c r="P51" s="78">
        <f>'W4 Stats'!N15*P9</f>
        <v>0</v>
      </c>
      <c r="Q51" s="78">
        <f>'W4 Stats'!N15*Q9</f>
        <v>0</v>
      </c>
      <c r="S51" s="77" t="s">
        <v>118</v>
      </c>
      <c r="T51" s="99"/>
      <c r="U51" s="99"/>
      <c r="V51" s="78">
        <f>'W4 Stats'!N16*V9</f>
        <v>0</v>
      </c>
      <c r="W51" s="78">
        <f>'W4 Stats'!N16*W9</f>
        <v>0</v>
      </c>
      <c r="Y51" s="77" t="s">
        <v>118</v>
      </c>
      <c r="Z51" s="99"/>
      <c r="AA51" s="99"/>
      <c r="AB51" s="78">
        <f>'W4 Stats'!N17*AB9</f>
        <v>0</v>
      </c>
      <c r="AC51" s="78">
        <f>'W4 Stats'!N17*AC9</f>
        <v>0</v>
      </c>
    </row>
    <row r="52">
      <c r="A52" s="77" t="s">
        <v>119</v>
      </c>
      <c r="B52" s="78"/>
      <c r="C52" s="78">
        <f>'W4 Stats'!O13*C10</f>
        <v>0</v>
      </c>
      <c r="D52" s="99"/>
      <c r="E52" s="78">
        <f>'W4 Stats'!O13*E10</f>
        <v>0</v>
      </c>
      <c r="G52" s="77" t="s">
        <v>119</v>
      </c>
      <c r="H52" s="78"/>
      <c r="I52" s="78">
        <f>'W4 Stats'!O14*I10</f>
        <v>0</v>
      </c>
      <c r="J52" s="99"/>
      <c r="K52" s="78">
        <f>'W4 Stats'!O14*K10</f>
        <v>0</v>
      </c>
      <c r="M52" s="77" t="s">
        <v>119</v>
      </c>
      <c r="N52" s="78"/>
      <c r="O52" s="78">
        <f>'W4 Stats'!O15*O10</f>
        <v>0</v>
      </c>
      <c r="P52" s="99"/>
      <c r="Q52" s="78">
        <f>'W4 Stats'!O15*Q10</f>
        <v>0</v>
      </c>
      <c r="S52" s="77" t="s">
        <v>119</v>
      </c>
      <c r="T52" s="78"/>
      <c r="U52" s="78">
        <f>'W4 Stats'!O16*U10</f>
        <v>0</v>
      </c>
      <c r="V52" s="99"/>
      <c r="W52" s="78">
        <f>'W4 Stats'!O16*W10</f>
        <v>0</v>
      </c>
      <c r="Y52" s="77" t="s">
        <v>119</v>
      </c>
      <c r="Z52" s="78"/>
      <c r="AA52" s="78">
        <f>'W4 Stats'!O17*AA10</f>
        <v>0</v>
      </c>
      <c r="AB52" s="99"/>
      <c r="AC52" s="78">
        <f>'W4 Stats'!O17*AC10</f>
        <v>0</v>
      </c>
    </row>
    <row r="53">
      <c r="A53" s="77" t="s">
        <v>120</v>
      </c>
      <c r="B53" s="99"/>
      <c r="C53" s="99"/>
      <c r="D53" s="78">
        <f>'W4 Stats'!P13*D11</f>
        <v>0</v>
      </c>
      <c r="E53" s="78">
        <f>'W4 Stats'!P13*E11</f>
        <v>0</v>
      </c>
      <c r="G53" s="77" t="s">
        <v>120</v>
      </c>
      <c r="H53" s="99"/>
      <c r="I53" s="99"/>
      <c r="J53" s="78">
        <f>'W4 Stats'!P14*J11</f>
        <v>0</v>
      </c>
      <c r="K53" s="78">
        <f>'W4 Stats'!P14*K11</f>
        <v>0</v>
      </c>
      <c r="M53" s="77" t="s">
        <v>120</v>
      </c>
      <c r="N53" s="99"/>
      <c r="O53" s="99"/>
      <c r="P53" s="78">
        <f>'W4 Stats'!P15*P11</f>
        <v>0</v>
      </c>
      <c r="Q53" s="78">
        <f>'W4 Stats'!P15*Q11</f>
        <v>0</v>
      </c>
      <c r="S53" s="77" t="s">
        <v>120</v>
      </c>
      <c r="T53" s="99"/>
      <c r="U53" s="99"/>
      <c r="V53" s="78">
        <f>'W4 Stats'!P16*V11</f>
        <v>0</v>
      </c>
      <c r="W53" s="78">
        <f>'W4 Stats'!P16*W11</f>
        <v>0</v>
      </c>
      <c r="Y53" s="77" t="s">
        <v>120</v>
      </c>
      <c r="Z53" s="99"/>
      <c r="AA53" s="99"/>
      <c r="AB53" s="78">
        <f>'W4 Stats'!P17*AB11</f>
        <v>0</v>
      </c>
      <c r="AC53" s="78">
        <f>'W4 Stats'!P17*AC11</f>
        <v>0</v>
      </c>
    </row>
    <row r="54">
      <c r="A54" s="77" t="s">
        <v>121</v>
      </c>
      <c r="B54" s="78">
        <f>'W4 Stats'!Q13*B12</f>
        <v>0</v>
      </c>
      <c r="C54" s="78">
        <f>'W4 Stats'!Q13*C12</f>
        <v>0</v>
      </c>
      <c r="D54" s="78">
        <f>'W4 Stats'!Q13*D12</f>
        <v>0</v>
      </c>
      <c r="E54" s="78">
        <f>'W4 Stats'!Q13*E12</f>
        <v>0</v>
      </c>
      <c r="G54" s="77" t="s">
        <v>121</v>
      </c>
      <c r="H54" s="78">
        <f>'W4 Stats'!Q14*H12</f>
        <v>0</v>
      </c>
      <c r="I54" s="78">
        <f>'W4 Stats'!Q14*I12</f>
        <v>0</v>
      </c>
      <c r="J54" s="78">
        <f>'W4 Stats'!Q14*J12</f>
        <v>0</v>
      </c>
      <c r="K54" s="78">
        <f>'W4 Stats'!Q14*K12</f>
        <v>0</v>
      </c>
      <c r="M54" s="77" t="s">
        <v>121</v>
      </c>
      <c r="N54" s="78">
        <f>'W4 Stats'!Q15*N12</f>
        <v>0</v>
      </c>
      <c r="O54" s="78">
        <f>'W4 Stats'!Q15*O12</f>
        <v>0</v>
      </c>
      <c r="P54" s="78">
        <f>'W4 Stats'!Q15*P12</f>
        <v>0</v>
      </c>
      <c r="Q54" s="78">
        <f>'W4 Stats'!Q15*Q12</f>
        <v>0</v>
      </c>
      <c r="S54" s="77" t="s">
        <v>121</v>
      </c>
      <c r="T54" s="78">
        <f>'W4 Stats'!Q16*T12</f>
        <v>0</v>
      </c>
      <c r="U54" s="78">
        <f>'W4 Stats'!Q16*U12</f>
        <v>0</v>
      </c>
      <c r="V54" s="78">
        <f>'W4 Stats'!Q16*V12</f>
        <v>0</v>
      </c>
      <c r="W54" s="78">
        <f>'W4 Stats'!Q16*W12</f>
        <v>0</v>
      </c>
      <c r="Y54" s="77" t="s">
        <v>121</v>
      </c>
      <c r="Z54" s="78">
        <f>'W4 Stats'!Q17*Z12</f>
        <v>0</v>
      </c>
      <c r="AA54" s="78">
        <f>'W4 Stats'!Q17*AA12</f>
        <v>0</v>
      </c>
      <c r="AB54" s="78">
        <f>'W4 Stats'!Q17*AB12</f>
        <v>0</v>
      </c>
      <c r="AC54" s="78">
        <f>'W4 Stats'!Q17*AC12</f>
        <v>0</v>
      </c>
    </row>
    <row r="55">
      <c r="A55" s="77" t="s">
        <v>122</v>
      </c>
      <c r="B55" s="78">
        <f t="shared" ref="B55:E55" si="60">SUM(B44:B54)</f>
        <v>0</v>
      </c>
      <c r="C55" s="78">
        <f t="shared" si="60"/>
        <v>0</v>
      </c>
      <c r="D55" s="78">
        <f t="shared" si="60"/>
        <v>0</v>
      </c>
      <c r="E55" s="78">
        <f t="shared" si="60"/>
        <v>0</v>
      </c>
      <c r="G55" s="77" t="s">
        <v>122</v>
      </c>
      <c r="H55" s="78">
        <f t="shared" ref="H55:K55" si="61">SUM(H44:H54)</f>
        <v>0</v>
      </c>
      <c r="I55" s="78">
        <f t="shared" si="61"/>
        <v>0</v>
      </c>
      <c r="J55" s="78">
        <f t="shared" si="61"/>
        <v>0</v>
      </c>
      <c r="K55" s="78">
        <f t="shared" si="61"/>
        <v>0</v>
      </c>
      <c r="M55" s="77" t="s">
        <v>122</v>
      </c>
      <c r="N55" s="78">
        <f t="shared" ref="N55:Q55" si="62">SUM(N44:N54)</f>
        <v>0</v>
      </c>
      <c r="O55" s="78">
        <f t="shared" si="62"/>
        <v>0</v>
      </c>
      <c r="P55" s="78">
        <f t="shared" si="62"/>
        <v>0</v>
      </c>
      <c r="Q55" s="78">
        <f t="shared" si="62"/>
        <v>0</v>
      </c>
      <c r="S55" s="77" t="s">
        <v>122</v>
      </c>
      <c r="T55" s="78">
        <f t="shared" ref="T55:W55" si="63">SUM(T44:T54)</f>
        <v>0</v>
      </c>
      <c r="U55" s="78">
        <f t="shared" si="63"/>
        <v>0</v>
      </c>
      <c r="V55" s="78">
        <f t="shared" si="63"/>
        <v>0</v>
      </c>
      <c r="W55" s="78">
        <f t="shared" si="63"/>
        <v>0</v>
      </c>
      <c r="Y55" s="77" t="s">
        <v>122</v>
      </c>
      <c r="Z55" s="78">
        <f t="shared" ref="Z55:AC55" si="64">SUM(Z44:Z54)</f>
        <v>0</v>
      </c>
      <c r="AA55" s="78">
        <f t="shared" si="64"/>
        <v>0</v>
      </c>
      <c r="AB55" s="78">
        <f t="shared" si="64"/>
        <v>0</v>
      </c>
      <c r="AC55" s="78">
        <f t="shared" si="64"/>
        <v>0</v>
      </c>
    </row>
    <row r="57">
      <c r="A57" s="77" t="str">
        <f>'W4 Stats'!B18</f>
        <v>Ming Crusader</v>
      </c>
      <c r="B57" s="74" t="s">
        <v>94</v>
      </c>
      <c r="C57" s="74" t="s">
        <v>95</v>
      </c>
      <c r="D57" s="74" t="s">
        <v>96</v>
      </c>
      <c r="E57" s="74" t="s">
        <v>97</v>
      </c>
      <c r="G57" s="77" t="str">
        <f>'W4 Stats'!B19</f>
        <v>Sabasauros Rex</v>
      </c>
      <c r="H57" s="74" t="s">
        <v>94</v>
      </c>
      <c r="I57" s="74" t="s">
        <v>95</v>
      </c>
      <c r="J57" s="74" t="s">
        <v>96</v>
      </c>
      <c r="K57" s="74" t="s">
        <v>97</v>
      </c>
      <c r="M57" s="77" t="str">
        <f>'W4 Stats'!B20</f>
        <v>Jeakilla85</v>
      </c>
      <c r="N57" s="74" t="s">
        <v>94</v>
      </c>
      <c r="O57" s="74" t="s">
        <v>95</v>
      </c>
      <c r="P57" s="74" t="s">
        <v>96</v>
      </c>
      <c r="Q57" s="74" t="s">
        <v>97</v>
      </c>
      <c r="S57" s="77" t="str">
        <f>'W4 Stats'!B21</f>
        <v>KDSkill</v>
      </c>
      <c r="T57" s="74" t="s">
        <v>94</v>
      </c>
      <c r="U57" s="74" t="s">
        <v>95</v>
      </c>
      <c r="V57" s="74" t="s">
        <v>96</v>
      </c>
      <c r="W57" s="74" t="s">
        <v>97</v>
      </c>
      <c r="Y57" s="77" t="str">
        <f>'W4 Stats'!B22</f>
        <v>Myst The Cold</v>
      </c>
      <c r="Z57" s="74" t="s">
        <v>94</v>
      </c>
      <c r="AA57" s="74" t="s">
        <v>95</v>
      </c>
      <c r="AB57" s="74" t="s">
        <v>96</v>
      </c>
      <c r="AC57" s="74" t="s">
        <v>97</v>
      </c>
    </row>
    <row r="58">
      <c r="A58" s="77" t="s">
        <v>108</v>
      </c>
      <c r="B58" s="78">
        <f>'W4 Stats'!D18*B2</f>
        <v>0</v>
      </c>
      <c r="C58" s="78"/>
      <c r="D58" s="78"/>
      <c r="E58" s="78">
        <f>'W4 Stats'!D18*E2</f>
        <v>0</v>
      </c>
      <c r="G58" s="77" t="s">
        <v>108</v>
      </c>
      <c r="H58" s="78">
        <f>'W4 Stats'!D19*H2</f>
        <v>0</v>
      </c>
      <c r="I58" s="78"/>
      <c r="J58" s="78"/>
      <c r="K58" s="78">
        <f>'W4 Stats'!D19*K2</f>
        <v>0</v>
      </c>
      <c r="M58" s="77" t="s">
        <v>108</v>
      </c>
      <c r="N58" s="78">
        <f>'W4 Stats'!D20*N2</f>
        <v>0</v>
      </c>
      <c r="O58" s="78"/>
      <c r="P58" s="78"/>
      <c r="Q58" s="78">
        <f>'W4 Stats'!D20*Q2</f>
        <v>0</v>
      </c>
      <c r="S58" s="77" t="s">
        <v>108</v>
      </c>
      <c r="T58" s="78">
        <f>'W4 Stats'!D21*T2</f>
        <v>0</v>
      </c>
      <c r="U58" s="78"/>
      <c r="V58" s="78"/>
      <c r="W58" s="78">
        <f>'W4 Stats'!D21*W2</f>
        <v>0</v>
      </c>
      <c r="Y58" s="77" t="s">
        <v>108</v>
      </c>
      <c r="Z58" s="78">
        <f>'W4 Stats'!D22*Z2</f>
        <v>0</v>
      </c>
      <c r="AA58" s="78"/>
      <c r="AB58" s="78"/>
      <c r="AC58" s="78">
        <f>'W4 Stats'!D22*AC2</f>
        <v>0</v>
      </c>
    </row>
    <row r="59">
      <c r="A59" s="77" t="s">
        <v>112</v>
      </c>
      <c r="B59" s="78"/>
      <c r="C59" s="78"/>
      <c r="D59" s="78">
        <f>'W4 Stats'!H18*D3</f>
        <v>0</v>
      </c>
      <c r="E59" s="78"/>
      <c r="G59" s="77" t="s">
        <v>112</v>
      </c>
      <c r="H59" s="78"/>
      <c r="I59" s="78"/>
      <c r="J59" s="78">
        <f>'W4 Stats'!H19*J3</f>
        <v>0</v>
      </c>
      <c r="K59" s="78"/>
      <c r="M59" s="77" t="s">
        <v>112</v>
      </c>
      <c r="N59" s="78"/>
      <c r="O59" s="78"/>
      <c r="P59" s="78">
        <f>'W4 Stats'!H20*P3</f>
        <v>0</v>
      </c>
      <c r="Q59" s="78"/>
      <c r="S59" s="77" t="s">
        <v>112</v>
      </c>
      <c r="T59" s="78"/>
      <c r="U59" s="78"/>
      <c r="V59" s="78">
        <f>'W4 Stats'!H21*V3</f>
        <v>0</v>
      </c>
      <c r="W59" s="78"/>
      <c r="Y59" s="77" t="s">
        <v>112</v>
      </c>
      <c r="Z59" s="78"/>
      <c r="AA59" s="78"/>
      <c r="AB59" s="78">
        <f>'W4 Stats'!H22*AB3</f>
        <v>0</v>
      </c>
      <c r="AC59" s="78"/>
    </row>
    <row r="60">
      <c r="A60" s="77" t="s">
        <v>113</v>
      </c>
      <c r="B60" s="78">
        <f>'W4 Stats'!I18*B4</f>
        <v>0</v>
      </c>
      <c r="C60" s="78"/>
      <c r="D60" s="78"/>
      <c r="E60" s="78"/>
      <c r="G60" s="77" t="s">
        <v>113</v>
      </c>
      <c r="H60" s="78">
        <f>'W4 Stats'!I19*H4</f>
        <v>0</v>
      </c>
      <c r="I60" s="78"/>
      <c r="J60" s="78"/>
      <c r="K60" s="78"/>
      <c r="M60" s="77" t="s">
        <v>113</v>
      </c>
      <c r="N60" s="78">
        <f>'W4 Stats'!I20*N4</f>
        <v>0</v>
      </c>
      <c r="O60" s="78"/>
      <c r="P60" s="78"/>
      <c r="Q60" s="78"/>
      <c r="S60" s="77" t="s">
        <v>113</v>
      </c>
      <c r="T60" s="78">
        <f>'W4 Stats'!I21*T4</f>
        <v>0</v>
      </c>
      <c r="U60" s="78"/>
      <c r="V60" s="78"/>
      <c r="W60" s="78"/>
      <c r="Y60" s="77" t="s">
        <v>113</v>
      </c>
      <c r="Z60" s="78">
        <f>'W4 Stats'!I22*Z4</f>
        <v>0</v>
      </c>
      <c r="AA60" s="78"/>
      <c r="AB60" s="78"/>
      <c r="AC60" s="78"/>
    </row>
    <row r="61">
      <c r="A61" s="77" t="s">
        <v>114</v>
      </c>
      <c r="B61" s="78"/>
      <c r="C61" s="78">
        <f>'W4 Stats'!J18*C5</f>
        <v>0</v>
      </c>
      <c r="D61" s="78"/>
      <c r="E61" s="78">
        <f>'W4 Stats'!J18*E5</f>
        <v>0</v>
      </c>
      <c r="G61" s="77" t="s">
        <v>114</v>
      </c>
      <c r="H61" s="78"/>
      <c r="I61" s="78">
        <f>'W4 Stats'!J19*I5</f>
        <v>0</v>
      </c>
      <c r="J61" s="78"/>
      <c r="K61" s="78">
        <f>'W4 Stats'!J19*K5</f>
        <v>0</v>
      </c>
      <c r="M61" s="77" t="s">
        <v>114</v>
      </c>
      <c r="N61" s="78"/>
      <c r="O61" s="78">
        <f>'W4 Stats'!J20*O5</f>
        <v>0</v>
      </c>
      <c r="P61" s="78"/>
      <c r="Q61" s="78">
        <f>'W4 Stats'!J20*Q5</f>
        <v>0</v>
      </c>
      <c r="S61" s="77" t="s">
        <v>114</v>
      </c>
      <c r="T61" s="78"/>
      <c r="U61" s="78">
        <f>'W4 Stats'!J21*U5</f>
        <v>0</v>
      </c>
      <c r="V61" s="78"/>
      <c r="W61" s="78">
        <f>'W4 Stats'!J21*W5</f>
        <v>0</v>
      </c>
      <c r="Y61" s="77" t="s">
        <v>114</v>
      </c>
      <c r="Z61" s="78"/>
      <c r="AA61" s="78">
        <f>'W4 Stats'!J22*AA5</f>
        <v>0</v>
      </c>
      <c r="AB61" s="78"/>
      <c r="AC61" s="78">
        <f>'W4 Stats'!J22*AC5</f>
        <v>0</v>
      </c>
    </row>
    <row r="62">
      <c r="A62" s="77" t="s">
        <v>115</v>
      </c>
      <c r="B62" s="78"/>
      <c r="C62" s="78">
        <f>'W4 Stats'!K18*C6</f>
        <v>0</v>
      </c>
      <c r="D62" s="78"/>
      <c r="E62" s="78">
        <f>'W4 Stats'!K18*E6</f>
        <v>0</v>
      </c>
      <c r="G62" s="77" t="s">
        <v>115</v>
      </c>
      <c r="H62" s="78"/>
      <c r="I62" s="78">
        <f>'W4 Stats'!K19*I6</f>
        <v>0</v>
      </c>
      <c r="J62" s="78"/>
      <c r="K62" s="78">
        <f>'W4 Stats'!K19*K6</f>
        <v>0</v>
      </c>
      <c r="M62" s="77" t="s">
        <v>115</v>
      </c>
      <c r="N62" s="78"/>
      <c r="O62" s="78">
        <f>'W4 Stats'!K20*O6</f>
        <v>0</v>
      </c>
      <c r="P62" s="78"/>
      <c r="Q62" s="78">
        <f>'W4 Stats'!K20*Q6</f>
        <v>0</v>
      </c>
      <c r="S62" s="77" t="s">
        <v>115</v>
      </c>
      <c r="T62" s="78"/>
      <c r="U62" s="78">
        <f>'W4 Stats'!K21*U6</f>
        <v>0</v>
      </c>
      <c r="V62" s="78"/>
      <c r="W62" s="78">
        <f>'W4 Stats'!K21*W6</f>
        <v>0</v>
      </c>
      <c r="Y62" s="77" t="s">
        <v>115</v>
      </c>
      <c r="Z62" s="78"/>
      <c r="AA62" s="78">
        <f>'W4 Stats'!K22*AA6</f>
        <v>0</v>
      </c>
      <c r="AB62" s="78"/>
      <c r="AC62" s="78">
        <f>'W4 Stats'!K22*AC6</f>
        <v>0</v>
      </c>
    </row>
    <row r="63">
      <c r="A63" s="77" t="s">
        <v>116</v>
      </c>
      <c r="B63" s="78">
        <f>'W4 Stats'!L18*B7</f>
        <v>0</v>
      </c>
      <c r="C63" s="78"/>
      <c r="D63" s="78">
        <f>'W4 Stats'!L18*D7</f>
        <v>0</v>
      </c>
      <c r="E63" s="78"/>
      <c r="G63" s="77" t="s">
        <v>116</v>
      </c>
      <c r="H63" s="78">
        <f>'W4 Stats'!L19*H7</f>
        <v>0</v>
      </c>
      <c r="I63" s="78"/>
      <c r="J63" s="78">
        <f>'W4 Stats'!L19*J7</f>
        <v>0</v>
      </c>
      <c r="K63" s="78"/>
      <c r="M63" s="77" t="s">
        <v>116</v>
      </c>
      <c r="N63" s="78">
        <f>'W4 Stats'!L20*N7</f>
        <v>0</v>
      </c>
      <c r="O63" s="78"/>
      <c r="P63" s="78">
        <f>'W4 Stats'!L20*P7</f>
        <v>0</v>
      </c>
      <c r="Q63" s="78"/>
      <c r="S63" s="77" t="s">
        <v>116</v>
      </c>
      <c r="T63" s="78">
        <f>'W4 Stats'!L21*T7</f>
        <v>0</v>
      </c>
      <c r="U63" s="78"/>
      <c r="V63" s="78">
        <f>'W4 Stats'!L21*V7</f>
        <v>0</v>
      </c>
      <c r="W63" s="78"/>
      <c r="Y63" s="77" t="s">
        <v>116</v>
      </c>
      <c r="Z63" s="78">
        <f>'W4 Stats'!L22*Z7</f>
        <v>0</v>
      </c>
      <c r="AA63" s="78"/>
      <c r="AB63" s="78">
        <f>'W4 Stats'!L22*AB7</f>
        <v>0</v>
      </c>
      <c r="AC63" s="78"/>
    </row>
    <row r="64">
      <c r="A64" s="77" t="s">
        <v>117</v>
      </c>
      <c r="B64" s="78"/>
      <c r="C64" s="78">
        <f>'W4 Stats'!M18*C8</f>
        <v>0</v>
      </c>
      <c r="D64" s="78"/>
      <c r="E64" s="78"/>
      <c r="G64" s="77" t="s">
        <v>117</v>
      </c>
      <c r="H64" s="78"/>
      <c r="I64" s="78">
        <f>'W4 Stats'!M19*C8</f>
        <v>0</v>
      </c>
      <c r="J64" s="78"/>
      <c r="K64" s="78"/>
      <c r="M64" s="77" t="s">
        <v>117</v>
      </c>
      <c r="N64" s="78"/>
      <c r="O64" s="78">
        <f>'W4 Stats'!M20*O8</f>
        <v>0</v>
      </c>
      <c r="P64" s="78"/>
      <c r="Q64" s="78"/>
      <c r="S64" s="77" t="s">
        <v>117</v>
      </c>
      <c r="T64" s="78"/>
      <c r="U64" s="78">
        <f>'W4 Stats'!M21*U8</f>
        <v>0</v>
      </c>
      <c r="V64" s="78"/>
      <c r="W64" s="78"/>
      <c r="Y64" s="77" t="s">
        <v>117</v>
      </c>
      <c r="Z64" s="78"/>
      <c r="AA64" s="78">
        <f>'W4 Stats'!M22*AA8</f>
        <v>0</v>
      </c>
      <c r="AB64" s="78"/>
      <c r="AC64" s="78"/>
    </row>
    <row r="65">
      <c r="A65" s="77" t="s">
        <v>118</v>
      </c>
      <c r="B65" s="78"/>
      <c r="C65" s="78"/>
      <c r="D65" s="78">
        <f>'W4 Stats'!N18*D9</f>
        <v>0</v>
      </c>
      <c r="E65" s="78">
        <f>'W4 Stats'!N18*E9</f>
        <v>0</v>
      </c>
      <c r="G65" s="77" t="s">
        <v>118</v>
      </c>
      <c r="H65" s="78"/>
      <c r="I65" s="78"/>
      <c r="J65" s="78">
        <f>'W4 Stats'!N19*J9</f>
        <v>0</v>
      </c>
      <c r="K65" s="78">
        <f>'W4 Stats'!N19*K9</f>
        <v>0</v>
      </c>
      <c r="M65" s="77" t="s">
        <v>118</v>
      </c>
      <c r="N65" s="78"/>
      <c r="O65" s="78"/>
      <c r="P65" s="78">
        <f>'W4 Stats'!N20*P9</f>
        <v>0</v>
      </c>
      <c r="Q65" s="78">
        <f>'W4 Stats'!N20*Q9</f>
        <v>0</v>
      </c>
      <c r="S65" s="77" t="s">
        <v>118</v>
      </c>
      <c r="T65" s="78"/>
      <c r="U65" s="78"/>
      <c r="V65" s="78">
        <f>'W4 Stats'!N21*V9</f>
        <v>0</v>
      </c>
      <c r="W65" s="78">
        <f>'W4 Stats'!N21*W9</f>
        <v>0</v>
      </c>
      <c r="Y65" s="77" t="s">
        <v>118</v>
      </c>
      <c r="Z65" s="78"/>
      <c r="AA65" s="78"/>
      <c r="AB65" s="78">
        <f>'W4 Stats'!N22*AB9</f>
        <v>0</v>
      </c>
      <c r="AC65" s="78">
        <f>'W4 Stats'!N22*AC9</f>
        <v>0</v>
      </c>
    </row>
    <row r="66">
      <c r="A66" s="77" t="s">
        <v>119</v>
      </c>
      <c r="B66" s="78"/>
      <c r="C66" s="78">
        <f>'W4 Stats'!O18*C10</f>
        <v>0</v>
      </c>
      <c r="D66" s="78"/>
      <c r="E66" s="78">
        <f>'W4 Stats'!O18*E10</f>
        <v>0</v>
      </c>
      <c r="G66" s="77" t="s">
        <v>119</v>
      </c>
      <c r="H66" s="78"/>
      <c r="I66" s="78">
        <f>'W4 Stats'!O19*I10</f>
        <v>0</v>
      </c>
      <c r="J66" s="78"/>
      <c r="K66" s="78">
        <f>'W4 Stats'!O19*K10</f>
        <v>0</v>
      </c>
      <c r="M66" s="77" t="s">
        <v>119</v>
      </c>
      <c r="N66" s="78"/>
      <c r="O66" s="78">
        <f>'W4 Stats'!O20*O10</f>
        <v>0</v>
      </c>
      <c r="P66" s="78"/>
      <c r="Q66" s="78">
        <f>'W4 Stats'!O20*Q10</f>
        <v>0</v>
      </c>
      <c r="S66" s="77" t="s">
        <v>119</v>
      </c>
      <c r="T66" s="78"/>
      <c r="U66" s="78">
        <f>'W4 Stats'!O21*U10</f>
        <v>0</v>
      </c>
      <c r="V66" s="78"/>
      <c r="W66" s="78">
        <f>'W4 Stats'!O21*W10</f>
        <v>0</v>
      </c>
      <c r="Y66" s="77" t="s">
        <v>119</v>
      </c>
      <c r="Z66" s="78"/>
      <c r="AA66" s="78">
        <f>'W4 Stats'!O22*AA10</f>
        <v>0</v>
      </c>
      <c r="AB66" s="78"/>
      <c r="AC66" s="78">
        <f>'W4 Stats'!O22*AC10</f>
        <v>0</v>
      </c>
    </row>
    <row r="67">
      <c r="A67" s="77" t="s">
        <v>120</v>
      </c>
      <c r="B67" s="78"/>
      <c r="C67" s="78"/>
      <c r="D67" s="78">
        <f>'W4 Stats'!P18*D11</f>
        <v>0</v>
      </c>
      <c r="E67" s="78">
        <f>'W4 Stats'!P18*E11</f>
        <v>0</v>
      </c>
      <c r="G67" s="77" t="s">
        <v>120</v>
      </c>
      <c r="H67" s="78"/>
      <c r="I67" s="78"/>
      <c r="J67" s="78">
        <f>'W4 Stats'!P19*J11</f>
        <v>0</v>
      </c>
      <c r="K67" s="78">
        <f>'W4 Stats'!P19*K11</f>
        <v>0</v>
      </c>
      <c r="M67" s="77" t="s">
        <v>120</v>
      </c>
      <c r="N67" s="78"/>
      <c r="O67" s="78"/>
      <c r="P67" s="78">
        <f>'W4 Stats'!P20*P11</f>
        <v>0</v>
      </c>
      <c r="Q67" s="78">
        <f>'W4 Stats'!P20*Q11</f>
        <v>0</v>
      </c>
      <c r="S67" s="77" t="s">
        <v>120</v>
      </c>
      <c r="T67" s="78"/>
      <c r="U67" s="78"/>
      <c r="V67" s="78">
        <f>'W4 Stats'!P21*V11</f>
        <v>0</v>
      </c>
      <c r="W67" s="78">
        <f>'W4 Stats'!P21*W11</f>
        <v>0</v>
      </c>
      <c r="Y67" s="77" t="s">
        <v>120</v>
      </c>
      <c r="Z67" s="78"/>
      <c r="AA67" s="78"/>
      <c r="AB67" s="78">
        <f>'W4 Stats'!P22*AB11</f>
        <v>0</v>
      </c>
      <c r="AC67" s="78">
        <f>'W4 Stats'!P22*AC11</f>
        <v>0</v>
      </c>
    </row>
    <row r="68">
      <c r="A68" s="77" t="s">
        <v>121</v>
      </c>
      <c r="B68" s="78">
        <f>'W4 Stats'!Q18*B12</f>
        <v>0</v>
      </c>
      <c r="C68" s="78">
        <f>'W4 Stats'!Q18*C12</f>
        <v>0</v>
      </c>
      <c r="D68" s="78">
        <f>'W4 Stats'!Q18*D12</f>
        <v>0</v>
      </c>
      <c r="E68" s="78">
        <f>'W4 Stats'!Q18*E12</f>
        <v>0</v>
      </c>
      <c r="G68" s="77" t="s">
        <v>121</v>
      </c>
      <c r="H68" s="78">
        <f>'W4 Stats'!Q19*H12</f>
        <v>0</v>
      </c>
      <c r="I68" s="78">
        <f>'W4 Stats'!Q19*I12</f>
        <v>0</v>
      </c>
      <c r="J68" s="78">
        <f>'W4 Stats'!Q19*J12</f>
        <v>0</v>
      </c>
      <c r="K68" s="78">
        <f>'W4 Stats'!Q19*K12</f>
        <v>0</v>
      </c>
      <c r="M68" s="77" t="s">
        <v>121</v>
      </c>
      <c r="N68" s="78">
        <f>'W4 Stats'!Q20*N12</f>
        <v>0</v>
      </c>
      <c r="O68" s="78">
        <f>'W4 Stats'!Q20*O12</f>
        <v>0</v>
      </c>
      <c r="P68" s="78">
        <f>'W4 Stats'!Q20*P12</f>
        <v>0</v>
      </c>
      <c r="Q68" s="78">
        <f>'W4 Stats'!Q20*Q12</f>
        <v>0</v>
      </c>
      <c r="S68" s="77" t="s">
        <v>121</v>
      </c>
      <c r="T68" s="78">
        <f>'W4 Stats'!Q21*T12</f>
        <v>0</v>
      </c>
      <c r="U68" s="78">
        <f>'W4 Stats'!Q21*U12</f>
        <v>0</v>
      </c>
      <c r="V68" s="78">
        <f>'W4 Stats'!Q21*V12</f>
        <v>0</v>
      </c>
      <c r="W68" s="78">
        <f>'W4 Stats'!Q21*W12</f>
        <v>0</v>
      </c>
      <c r="Y68" s="77" t="s">
        <v>121</v>
      </c>
      <c r="Z68" s="78">
        <f>'W4 Stats'!Q22*Z12</f>
        <v>0</v>
      </c>
      <c r="AA68" s="78">
        <f>'W4 Stats'!Q22*AA12</f>
        <v>0</v>
      </c>
      <c r="AB68" s="78">
        <f>'W4 Stats'!Q22*AB12</f>
        <v>0</v>
      </c>
      <c r="AC68" s="78">
        <f>'W4 Stats'!Q22*AC12</f>
        <v>0</v>
      </c>
    </row>
    <row r="69">
      <c r="A69" s="77" t="s">
        <v>122</v>
      </c>
      <c r="B69" s="78">
        <f t="shared" ref="B69:E69" si="65">SUM(B58:B68)</f>
        <v>0</v>
      </c>
      <c r="C69" s="78">
        <f t="shared" si="65"/>
        <v>0</v>
      </c>
      <c r="D69" s="78">
        <f t="shared" si="65"/>
        <v>0</v>
      </c>
      <c r="E69" s="78">
        <f t="shared" si="65"/>
        <v>0</v>
      </c>
      <c r="G69" s="77" t="s">
        <v>122</v>
      </c>
      <c r="H69" s="78">
        <f t="shared" ref="H69:K69" si="66">SUM(H58:H68)</f>
        <v>0</v>
      </c>
      <c r="I69" s="78">
        <f t="shared" si="66"/>
        <v>0</v>
      </c>
      <c r="J69" s="78">
        <f t="shared" si="66"/>
        <v>0</v>
      </c>
      <c r="K69" s="78">
        <f t="shared" si="66"/>
        <v>0</v>
      </c>
      <c r="M69" s="77" t="s">
        <v>122</v>
      </c>
      <c r="N69" s="78">
        <f t="shared" ref="N69:Q69" si="67">SUM(N58:N68)</f>
        <v>0</v>
      </c>
      <c r="O69" s="78">
        <f t="shared" si="67"/>
        <v>0</v>
      </c>
      <c r="P69" s="78">
        <f t="shared" si="67"/>
        <v>0</v>
      </c>
      <c r="Q69" s="78">
        <f t="shared" si="67"/>
        <v>0</v>
      </c>
      <c r="S69" s="77" t="s">
        <v>122</v>
      </c>
      <c r="T69" s="78">
        <f t="shared" ref="T69:W69" si="68">SUM(T58:T68)</f>
        <v>0</v>
      </c>
      <c r="U69" s="78">
        <f t="shared" si="68"/>
        <v>0</v>
      </c>
      <c r="V69" s="78">
        <f t="shared" si="68"/>
        <v>0</v>
      </c>
      <c r="W69" s="78">
        <f t="shared" si="68"/>
        <v>0</v>
      </c>
      <c r="Y69" s="77" t="s">
        <v>122</v>
      </c>
      <c r="Z69" s="78">
        <f t="shared" ref="Z69:AC69" si="69">SUM(Z58:Z68)</f>
        <v>0</v>
      </c>
      <c r="AA69" s="78">
        <f t="shared" si="69"/>
        <v>0</v>
      </c>
      <c r="AB69" s="78">
        <f t="shared" si="69"/>
        <v>0</v>
      </c>
      <c r="AC69" s="78">
        <f t="shared" si="69"/>
        <v>0</v>
      </c>
    </row>
    <row r="71">
      <c r="A71" s="77" t="str">
        <f>'W4 Stats'!B23</f>
        <v>KING RICKXL</v>
      </c>
      <c r="B71" s="74" t="s">
        <v>94</v>
      </c>
      <c r="C71" s="74" t="s">
        <v>95</v>
      </c>
      <c r="D71" s="74" t="s">
        <v>96</v>
      </c>
      <c r="E71" s="74" t="s">
        <v>97</v>
      </c>
      <c r="F71" s="1"/>
      <c r="G71" s="77" t="str">
        <f>'W4 Stats'!B25</f>
        <v>imShad</v>
      </c>
      <c r="H71" s="74" t="s">
        <v>94</v>
      </c>
      <c r="I71" s="74" t="s">
        <v>95</v>
      </c>
      <c r="J71" s="74" t="s">
        <v>96</v>
      </c>
      <c r="K71" s="74" t="s">
        <v>97</v>
      </c>
      <c r="M71" s="77" t="str">
        <f>'W4 Stats'!B26</f>
        <v>ixGingy</v>
      </c>
      <c r="N71" s="74" t="s">
        <v>94</v>
      </c>
      <c r="O71" s="74" t="s">
        <v>95</v>
      </c>
      <c r="P71" s="74" t="s">
        <v>96</v>
      </c>
      <c r="Q71" s="74" t="s">
        <v>97</v>
      </c>
      <c r="S71" s="77" t="str">
        <f>'W4 Stats'!B27</f>
        <v>Ezy08</v>
      </c>
      <c r="T71" s="74" t="s">
        <v>94</v>
      </c>
      <c r="U71" s="74" t="s">
        <v>95</v>
      </c>
      <c r="V71" s="74" t="s">
        <v>96</v>
      </c>
      <c r="W71" s="74" t="s">
        <v>97</v>
      </c>
      <c r="Y71" s="77" t="str">
        <f>'W4 Stats'!B28</f>
        <v>Almighty Tycoon</v>
      </c>
      <c r="Z71" s="74" t="s">
        <v>94</v>
      </c>
      <c r="AA71" s="74" t="s">
        <v>95</v>
      </c>
      <c r="AB71" s="74" t="s">
        <v>96</v>
      </c>
      <c r="AC71" s="74" t="s">
        <v>97</v>
      </c>
    </row>
    <row r="72">
      <c r="A72" s="77" t="s">
        <v>108</v>
      </c>
      <c r="B72" s="78">
        <f>'W4 Stats'!D23*B2</f>
        <v>0</v>
      </c>
      <c r="C72" s="78"/>
      <c r="D72" s="78"/>
      <c r="E72" s="78">
        <f>'W4 Stats'!D23*E2</f>
        <v>0</v>
      </c>
      <c r="G72" s="77" t="s">
        <v>108</v>
      </c>
      <c r="H72" s="78">
        <f>'W4 Stats'!D25*H2</f>
        <v>0</v>
      </c>
      <c r="I72" s="78"/>
      <c r="J72" s="78"/>
      <c r="K72" s="78">
        <f>'W4 Stats'!D25*K2</f>
        <v>0</v>
      </c>
      <c r="M72" s="77" t="s">
        <v>108</v>
      </c>
      <c r="N72" s="78">
        <f>'W4 Stats'!D26*N2</f>
        <v>0</v>
      </c>
      <c r="O72" s="78"/>
      <c r="P72" s="78"/>
      <c r="Q72" s="78">
        <f>'W4 Stats'!D26*Q2</f>
        <v>0</v>
      </c>
      <c r="S72" s="77" t="s">
        <v>108</v>
      </c>
      <c r="T72" s="78">
        <f>'W4 Stats'!D27*T2</f>
        <v>0</v>
      </c>
      <c r="U72" s="78"/>
      <c r="V72" s="78"/>
      <c r="W72" s="78">
        <f>'W4 Stats'!D27*W2</f>
        <v>0</v>
      </c>
      <c r="Y72" s="77" t="s">
        <v>108</v>
      </c>
      <c r="Z72" s="78">
        <f>'W4 Stats'!D28*Z2</f>
        <v>0</v>
      </c>
      <c r="AA72" s="78"/>
      <c r="AB72" s="78"/>
      <c r="AC72" s="78">
        <f>'W4 Stats'!D28*AC2</f>
        <v>0</v>
      </c>
    </row>
    <row r="73">
      <c r="A73" s="77" t="s">
        <v>112</v>
      </c>
      <c r="B73" s="99"/>
      <c r="C73" s="99"/>
      <c r="D73" s="78">
        <f>'W4 Stats'!H23*D3</f>
        <v>0</v>
      </c>
      <c r="E73" s="78"/>
      <c r="G73" s="77" t="s">
        <v>112</v>
      </c>
      <c r="H73" s="99"/>
      <c r="I73" s="99"/>
      <c r="J73" s="78">
        <f>'W4 Stats'!H25*J3</f>
        <v>0</v>
      </c>
      <c r="K73" s="78"/>
      <c r="M73" s="77" t="s">
        <v>112</v>
      </c>
      <c r="N73" s="99"/>
      <c r="O73" s="99"/>
      <c r="P73" s="78">
        <f>'W4 Stats'!H26*J3</f>
        <v>0</v>
      </c>
      <c r="Q73" s="78"/>
      <c r="S73" s="77" t="s">
        <v>112</v>
      </c>
      <c r="T73" s="99"/>
      <c r="U73" s="99"/>
      <c r="V73" s="78">
        <f>'W4 Stats'!H27*J3</f>
        <v>0</v>
      </c>
      <c r="W73" s="78"/>
      <c r="Y73" s="77" t="s">
        <v>112</v>
      </c>
      <c r="Z73" s="99"/>
      <c r="AA73" s="99"/>
      <c r="AB73" s="78">
        <f>'W4 Stats'!H28*P3</f>
        <v>0</v>
      </c>
      <c r="AC73" s="78"/>
    </row>
    <row r="74">
      <c r="A74" s="77" t="s">
        <v>113</v>
      </c>
      <c r="B74" s="78">
        <f>'W4 Stats'!I23*B4</f>
        <v>0</v>
      </c>
      <c r="C74" s="99"/>
      <c r="D74" s="99"/>
      <c r="E74" s="78"/>
      <c r="G74" s="77" t="s">
        <v>113</v>
      </c>
      <c r="H74" s="78">
        <f>'W4 Stats'!I25*H4</f>
        <v>0</v>
      </c>
      <c r="I74" s="99"/>
      <c r="J74" s="99"/>
      <c r="K74" s="78"/>
      <c r="M74" s="77" t="s">
        <v>113</v>
      </c>
      <c r="N74" s="78">
        <f>'W4 Stats'!I26*H4</f>
        <v>0</v>
      </c>
      <c r="O74" s="99"/>
      <c r="P74" s="99"/>
      <c r="Q74" s="78"/>
      <c r="S74" s="77" t="s">
        <v>113</v>
      </c>
      <c r="T74" s="78">
        <f>'W4 Stats'!I27*H4</f>
        <v>0</v>
      </c>
      <c r="U74" s="99"/>
      <c r="V74" s="99"/>
      <c r="W74" s="78"/>
      <c r="Y74" s="77" t="s">
        <v>113</v>
      </c>
      <c r="Z74" s="78">
        <f>'W4 Stats'!I28*N4</f>
        <v>0</v>
      </c>
      <c r="AA74" s="99"/>
      <c r="AB74" s="99"/>
      <c r="AC74" s="78"/>
    </row>
    <row r="75">
      <c r="A75" s="77" t="s">
        <v>114</v>
      </c>
      <c r="B75" s="99"/>
      <c r="C75" s="78">
        <f>'W4 Stats'!J23*C5</f>
        <v>0</v>
      </c>
      <c r="D75" s="99"/>
      <c r="E75" s="78">
        <f>'W4 Stats'!J23*E5</f>
        <v>0</v>
      </c>
      <c r="G75" s="77" t="s">
        <v>114</v>
      </c>
      <c r="H75" s="78"/>
      <c r="I75" s="78">
        <f>'W4 Stats'!J25*I5</f>
        <v>0</v>
      </c>
      <c r="J75" s="99"/>
      <c r="K75" s="78">
        <f>'W4 Stats'!J25*K5</f>
        <v>0</v>
      </c>
      <c r="M75" s="77" t="s">
        <v>114</v>
      </c>
      <c r="N75" s="99"/>
      <c r="O75" s="78">
        <f>'W4 Stats'!J26*O5</f>
        <v>0</v>
      </c>
      <c r="P75" s="99"/>
      <c r="Q75" s="78">
        <f>'W4 Stats'!J26*Q5</f>
        <v>0</v>
      </c>
      <c r="S75" s="77" t="s">
        <v>114</v>
      </c>
      <c r="T75" s="99"/>
      <c r="U75" s="78">
        <f>'W4 Stats'!J27*U5</f>
        <v>0</v>
      </c>
      <c r="V75" s="99"/>
      <c r="W75" s="78">
        <f>'W4 Stats'!J27*W5</f>
        <v>0</v>
      </c>
      <c r="Y75" s="77" t="s">
        <v>114</v>
      </c>
      <c r="Z75" s="99"/>
      <c r="AA75" s="78">
        <f>'W4 Stats'!J28*AA5</f>
        <v>0</v>
      </c>
      <c r="AB75" s="99"/>
      <c r="AC75" s="78">
        <f>'W4 Stats'!J28*AC5</f>
        <v>0</v>
      </c>
    </row>
    <row r="76">
      <c r="A76" s="77" t="s">
        <v>115</v>
      </c>
      <c r="B76" s="78"/>
      <c r="C76" s="78">
        <f>'W4 Stats'!K23*C6</f>
        <v>0</v>
      </c>
      <c r="D76" s="78"/>
      <c r="E76" s="78">
        <f>'W4 Stats'!K23*E6</f>
        <v>0</v>
      </c>
      <c r="G76" s="77" t="s">
        <v>115</v>
      </c>
      <c r="H76" s="78"/>
      <c r="I76" s="78">
        <f>'W4 Stats'!K25*I6</f>
        <v>0</v>
      </c>
      <c r="J76" s="78"/>
      <c r="K76" s="78">
        <f>'W4 Stats'!K25*K6</f>
        <v>0</v>
      </c>
      <c r="M76" s="77" t="s">
        <v>115</v>
      </c>
      <c r="N76" s="78"/>
      <c r="O76" s="78">
        <f>'W4 Stats'!K26*O6</f>
        <v>0</v>
      </c>
      <c r="P76" s="78"/>
      <c r="Q76" s="78">
        <f>'W4 Stats'!K26*Q6</f>
        <v>0</v>
      </c>
      <c r="S76" s="77" t="s">
        <v>115</v>
      </c>
      <c r="T76" s="78"/>
      <c r="U76" s="78">
        <f>'W4 Stats'!K27*U6</f>
        <v>0</v>
      </c>
      <c r="V76" s="78"/>
      <c r="W76" s="78">
        <f>'W4 Stats'!K27*W6</f>
        <v>0</v>
      </c>
      <c r="Y76" s="77" t="s">
        <v>115</v>
      </c>
      <c r="Z76" s="78"/>
      <c r="AA76" s="78">
        <f>'W4 Stats'!K28*AA6</f>
        <v>0</v>
      </c>
      <c r="AB76" s="78"/>
      <c r="AC76" s="78">
        <f>'W4 Stats'!K28*AC6</f>
        <v>0</v>
      </c>
    </row>
    <row r="77">
      <c r="A77" s="77" t="s">
        <v>116</v>
      </c>
      <c r="B77" s="78">
        <f>'W4 Stats'!L23*B7</f>
        <v>0</v>
      </c>
      <c r="C77" s="78"/>
      <c r="D77" s="78">
        <f>'W4 Stats'!L23*D7</f>
        <v>0</v>
      </c>
      <c r="E77" s="78"/>
      <c r="G77" s="77" t="s">
        <v>116</v>
      </c>
      <c r="H77" s="78">
        <f>'W4 Stats'!L25*H7</f>
        <v>0</v>
      </c>
      <c r="I77" s="78"/>
      <c r="J77" s="78">
        <f>'W4 Stats'!L25*J7</f>
        <v>0</v>
      </c>
      <c r="K77" s="78"/>
      <c r="M77" s="77" t="s">
        <v>116</v>
      </c>
      <c r="N77" s="78">
        <f>'W4 Stats'!L26*N7</f>
        <v>0</v>
      </c>
      <c r="O77" s="78"/>
      <c r="P77" s="78">
        <f>'W4 Stats'!L26*P7</f>
        <v>0</v>
      </c>
      <c r="Q77" s="78"/>
      <c r="S77" s="77" t="s">
        <v>116</v>
      </c>
      <c r="T77" s="78">
        <f>'W4 Stats'!L27*T7</f>
        <v>0</v>
      </c>
      <c r="U77" s="78"/>
      <c r="V77" s="78">
        <f>'W4 Stats'!L27*V7</f>
        <v>0</v>
      </c>
      <c r="W77" s="78"/>
      <c r="Y77" s="77" t="s">
        <v>116</v>
      </c>
      <c r="Z77" s="78">
        <f>'W4 Stats'!L28*Z7</f>
        <v>0</v>
      </c>
      <c r="AA77" s="78"/>
      <c r="AB77" s="78">
        <f>'W4 Stats'!L28*AB7</f>
        <v>0</v>
      </c>
      <c r="AC77" s="78"/>
    </row>
    <row r="78">
      <c r="A78" s="77" t="s">
        <v>117</v>
      </c>
      <c r="B78" s="99"/>
      <c r="C78" s="78">
        <f>'W4 Stats'!M23*C8</f>
        <v>0</v>
      </c>
      <c r="D78" s="99"/>
      <c r="E78" s="78"/>
      <c r="G78" s="77" t="s">
        <v>117</v>
      </c>
      <c r="H78" s="99"/>
      <c r="I78" s="78">
        <f>'W4 Stats'!M25*I8</f>
        <v>0</v>
      </c>
      <c r="J78" s="99"/>
      <c r="K78" s="78"/>
      <c r="M78" s="77" t="s">
        <v>117</v>
      </c>
      <c r="N78" s="99"/>
      <c r="O78" s="78">
        <f>'W4 Stats'!M26*O8</f>
        <v>0</v>
      </c>
      <c r="P78" s="99"/>
      <c r="Q78" s="78"/>
      <c r="S78" s="77" t="s">
        <v>117</v>
      </c>
      <c r="T78" s="99"/>
      <c r="U78" s="78">
        <f>'W4 Stats'!M27*U8</f>
        <v>0</v>
      </c>
      <c r="V78" s="99"/>
      <c r="W78" s="78"/>
      <c r="Y78" s="77" t="s">
        <v>117</v>
      </c>
      <c r="Z78" s="99"/>
      <c r="AA78" s="78">
        <f>'W4 Stats'!M28*AA8</f>
        <v>0</v>
      </c>
      <c r="AB78" s="99"/>
      <c r="AC78" s="78"/>
    </row>
    <row r="79">
      <c r="A79" s="77" t="s">
        <v>118</v>
      </c>
      <c r="B79" s="99"/>
      <c r="C79" s="99"/>
      <c r="D79" s="78">
        <f>'W4 Stats'!N23*D9</f>
        <v>0</v>
      </c>
      <c r="E79" s="78">
        <f>'W4 Stats'!N23*E9</f>
        <v>0</v>
      </c>
      <c r="G79" s="77" t="s">
        <v>118</v>
      </c>
      <c r="H79" s="99"/>
      <c r="I79" s="99"/>
      <c r="J79" s="78">
        <f>'W4 Stats'!N25*J9</f>
        <v>0</v>
      </c>
      <c r="K79" s="78">
        <f>'W4 Stats'!N25*K9</f>
        <v>0</v>
      </c>
      <c r="M79" s="77" t="s">
        <v>118</v>
      </c>
      <c r="N79" s="99"/>
      <c r="O79" s="99"/>
      <c r="P79" s="78">
        <f>'W4 Stats'!N26*P9</f>
        <v>0</v>
      </c>
      <c r="Q79" s="78">
        <f>'W4 Stats'!N26*Q9</f>
        <v>0</v>
      </c>
      <c r="S79" s="77" t="s">
        <v>118</v>
      </c>
      <c r="T79" s="99"/>
      <c r="U79" s="99"/>
      <c r="V79" s="78">
        <f>'W4 Stats'!N27*V9</f>
        <v>0</v>
      </c>
      <c r="W79" s="78">
        <f>'W4 Stats'!N27*W9</f>
        <v>0</v>
      </c>
      <c r="Y79" s="77" t="s">
        <v>118</v>
      </c>
      <c r="Z79" s="99"/>
      <c r="AA79" s="99"/>
      <c r="AB79" s="78">
        <f>'W4 Stats'!N28*AB9</f>
        <v>0</v>
      </c>
      <c r="AC79" s="78">
        <f>'W4 Stats'!N28*AC9</f>
        <v>0</v>
      </c>
    </row>
    <row r="80">
      <c r="A80" s="77" t="s">
        <v>119</v>
      </c>
      <c r="B80" s="78"/>
      <c r="C80" s="78">
        <f>'W4 Stats'!O23*C10</f>
        <v>0</v>
      </c>
      <c r="D80" s="99"/>
      <c r="E80" s="78">
        <f>'W4 Stats'!O23*E10</f>
        <v>0</v>
      </c>
      <c r="G80" s="77" t="s">
        <v>119</v>
      </c>
      <c r="H80" s="78"/>
      <c r="I80" s="78">
        <f>'W4 Stats'!O25*I10</f>
        <v>0</v>
      </c>
      <c r="J80" s="99"/>
      <c r="K80" s="78">
        <f>'W4 Stats'!O25*K10</f>
        <v>0</v>
      </c>
      <c r="M80" s="77" t="s">
        <v>119</v>
      </c>
      <c r="N80" s="78"/>
      <c r="O80" s="78">
        <f>'W4 Stats'!O26*O10</f>
        <v>0</v>
      </c>
      <c r="P80" s="99"/>
      <c r="Q80" s="78">
        <f>'W4 Stats'!O26*Q10</f>
        <v>0</v>
      </c>
      <c r="S80" s="77" t="s">
        <v>119</v>
      </c>
      <c r="T80" s="78"/>
      <c r="U80" s="78">
        <f>'W4 Stats'!O27*U10</f>
        <v>0</v>
      </c>
      <c r="V80" s="99"/>
      <c r="W80" s="78">
        <f>'W4 Stats'!O27*W10</f>
        <v>0</v>
      </c>
      <c r="Y80" s="77" t="s">
        <v>119</v>
      </c>
      <c r="Z80" s="78"/>
      <c r="AA80" s="78">
        <f>'W4 Stats'!O28*AA10</f>
        <v>0</v>
      </c>
      <c r="AB80" s="99"/>
      <c r="AC80" s="78">
        <f>'W4 Stats'!O28*AC10</f>
        <v>0</v>
      </c>
    </row>
    <row r="81">
      <c r="A81" s="77" t="s">
        <v>120</v>
      </c>
      <c r="B81" s="99"/>
      <c r="C81" s="99"/>
      <c r="D81" s="78">
        <f>'W4 Stats'!P23*D11</f>
        <v>0</v>
      </c>
      <c r="E81" s="78">
        <f>'W4 Stats'!P23*E11</f>
        <v>0</v>
      </c>
      <c r="G81" s="77" t="s">
        <v>120</v>
      </c>
      <c r="H81" s="99"/>
      <c r="I81" s="99"/>
      <c r="J81" s="78">
        <f>'W4 Stats'!P25*J11</f>
        <v>0</v>
      </c>
      <c r="K81" s="78">
        <f>'W4 Stats'!P25*K11</f>
        <v>0</v>
      </c>
      <c r="M81" s="77" t="s">
        <v>120</v>
      </c>
      <c r="N81" s="99"/>
      <c r="O81" s="99"/>
      <c r="P81" s="78">
        <f>'W4 Stats'!P26*P11</f>
        <v>0</v>
      </c>
      <c r="Q81" s="78">
        <f>'W4 Stats'!P26*Q11</f>
        <v>0</v>
      </c>
      <c r="S81" s="77" t="s">
        <v>120</v>
      </c>
      <c r="T81" s="99"/>
      <c r="U81" s="99"/>
      <c r="V81" s="78">
        <f>'W4 Stats'!P27*V11</f>
        <v>0</v>
      </c>
      <c r="W81" s="78">
        <f>'W4 Stats'!P27*W11</f>
        <v>0</v>
      </c>
      <c r="Y81" s="77" t="s">
        <v>120</v>
      </c>
      <c r="Z81" s="99"/>
      <c r="AA81" s="99"/>
      <c r="AB81" s="78">
        <f>'W4 Stats'!P28*AB11</f>
        <v>0</v>
      </c>
      <c r="AC81" s="78">
        <f>'W4 Stats'!P28*AC11</f>
        <v>0</v>
      </c>
    </row>
    <row r="82">
      <c r="A82" s="77" t="s">
        <v>121</v>
      </c>
      <c r="B82" s="78">
        <f>'W4 Stats'!Q23*B12</f>
        <v>0</v>
      </c>
      <c r="C82" s="78">
        <f>'W4 Stats'!Q23*C12</f>
        <v>0</v>
      </c>
      <c r="D82" s="78">
        <f>'W4 Stats'!Q23*D12</f>
        <v>0</v>
      </c>
      <c r="E82" s="78">
        <f>'W4 Stats'!Q23*E12</f>
        <v>0</v>
      </c>
      <c r="G82" s="77" t="s">
        <v>121</v>
      </c>
      <c r="H82" s="78">
        <f>'W4 Stats'!Q25*H12</f>
        <v>0</v>
      </c>
      <c r="I82" s="78">
        <f>'W4 Stats'!Q25*I12</f>
        <v>0</v>
      </c>
      <c r="J82" s="78">
        <f>'W4 Stats'!Q25*J12</f>
        <v>0</v>
      </c>
      <c r="K82" s="78">
        <f>'W4 Stats'!Q25*K12</f>
        <v>0</v>
      </c>
      <c r="M82" s="77" t="s">
        <v>121</v>
      </c>
      <c r="N82" s="78">
        <f>'W4 Stats'!Q26*N12</f>
        <v>0</v>
      </c>
      <c r="O82" s="78">
        <f>'W4 Stats'!Q26*O12</f>
        <v>0</v>
      </c>
      <c r="P82" s="78">
        <f>'W4 Stats'!Q26*P12</f>
        <v>0</v>
      </c>
      <c r="Q82" s="78">
        <f>'W4 Stats'!Q26*Q12</f>
        <v>0</v>
      </c>
      <c r="S82" s="77" t="s">
        <v>121</v>
      </c>
      <c r="T82" s="78">
        <f>'W4 Stats'!Q27*T12</f>
        <v>0</v>
      </c>
      <c r="U82" s="78">
        <f>'W4 Stats'!Q27*U12</f>
        <v>0</v>
      </c>
      <c r="V82" s="78">
        <f>'W4 Stats'!Q27*V12</f>
        <v>0</v>
      </c>
      <c r="W82" s="78">
        <f>'W4 Stats'!Q27*W12</f>
        <v>0</v>
      </c>
      <c r="Y82" s="77" t="s">
        <v>121</v>
      </c>
      <c r="Z82" s="78">
        <f>'W4 Stats'!Q28*Z12</f>
        <v>0</v>
      </c>
      <c r="AA82" s="78">
        <f>'W4 Stats'!Q28*AA12</f>
        <v>0</v>
      </c>
      <c r="AB82" s="78">
        <f>'W4 Stats'!Q28*AB12</f>
        <v>0</v>
      </c>
      <c r="AC82" s="78">
        <f>'W4 Stats'!Q28*AC12</f>
        <v>0</v>
      </c>
    </row>
    <row r="83">
      <c r="A83" s="77" t="s">
        <v>122</v>
      </c>
      <c r="B83" s="78">
        <f t="shared" ref="B83:E83" si="70">SUM(B72:B82)</f>
        <v>0</v>
      </c>
      <c r="C83" s="78">
        <f t="shared" si="70"/>
        <v>0</v>
      </c>
      <c r="D83" s="78">
        <f t="shared" si="70"/>
        <v>0</v>
      </c>
      <c r="E83" s="78">
        <f t="shared" si="70"/>
        <v>0</v>
      </c>
      <c r="G83" s="77" t="s">
        <v>122</v>
      </c>
      <c r="H83" s="78">
        <f t="shared" ref="H83:K83" si="71">SUM(H72:H82)</f>
        <v>0</v>
      </c>
      <c r="I83" s="78">
        <f t="shared" si="71"/>
        <v>0</v>
      </c>
      <c r="J83" s="78">
        <f t="shared" si="71"/>
        <v>0</v>
      </c>
      <c r="K83" s="78">
        <f t="shared" si="71"/>
        <v>0</v>
      </c>
      <c r="M83" s="77" t="s">
        <v>122</v>
      </c>
      <c r="N83" s="78">
        <f t="shared" ref="N83:Q83" si="72">SUM(N72:N82)</f>
        <v>0</v>
      </c>
      <c r="O83" s="78">
        <f t="shared" si="72"/>
        <v>0</v>
      </c>
      <c r="P83" s="78">
        <f t="shared" si="72"/>
        <v>0</v>
      </c>
      <c r="Q83" s="78">
        <f t="shared" si="72"/>
        <v>0</v>
      </c>
      <c r="S83" s="77" t="s">
        <v>122</v>
      </c>
      <c r="T83" s="78">
        <f t="shared" ref="T83:W83" si="73">SUM(T72:T82)</f>
        <v>0</v>
      </c>
      <c r="U83" s="78">
        <f t="shared" si="73"/>
        <v>0</v>
      </c>
      <c r="V83" s="78">
        <f t="shared" si="73"/>
        <v>0</v>
      </c>
      <c r="W83" s="78">
        <f t="shared" si="73"/>
        <v>0</v>
      </c>
      <c r="Y83" s="77" t="s">
        <v>122</v>
      </c>
      <c r="Z83" s="78">
        <f t="shared" ref="Z83:AC83" si="74">SUM(Z72:Z82)</f>
        <v>0</v>
      </c>
      <c r="AA83" s="78">
        <f t="shared" si="74"/>
        <v>0</v>
      </c>
      <c r="AB83" s="78">
        <f t="shared" si="74"/>
        <v>0</v>
      </c>
      <c r="AC83" s="78">
        <f t="shared" si="74"/>
        <v>0</v>
      </c>
    </row>
    <row r="85">
      <c r="A85" s="77" t="str">
        <f>'W4 Stats'!B29</f>
        <v>The Piggies</v>
      </c>
      <c r="B85" s="74" t="s">
        <v>94</v>
      </c>
      <c r="C85" s="74" t="s">
        <v>95</v>
      </c>
      <c r="D85" s="74" t="s">
        <v>96</v>
      </c>
      <c r="E85" s="74" t="s">
        <v>97</v>
      </c>
      <c r="F85" s="1"/>
      <c r="G85" s="77" t="str">
        <f>'W4 Stats'!B30</f>
        <v>Invayda Zim</v>
      </c>
      <c r="H85" s="74" t="s">
        <v>94</v>
      </c>
      <c r="I85" s="74" t="s">
        <v>95</v>
      </c>
      <c r="J85" s="74" t="s">
        <v>96</v>
      </c>
      <c r="K85" s="74" t="s">
        <v>97</v>
      </c>
      <c r="M85" s="77" t="str">
        <f>'W4 Stats'!B31</f>
        <v>DlGITAL PAIN</v>
      </c>
      <c r="N85" s="74" t="s">
        <v>94</v>
      </c>
      <c r="O85" s="74" t="s">
        <v>95</v>
      </c>
      <c r="P85" s="74" t="s">
        <v>96</v>
      </c>
      <c r="Q85" s="74" t="s">
        <v>97</v>
      </c>
      <c r="S85" s="77" t="str">
        <f>'W4 Stats'!B32</f>
        <v>PoisonxPoptart</v>
      </c>
      <c r="T85" s="74" t="s">
        <v>94</v>
      </c>
      <c r="U85" s="74" t="s">
        <v>95</v>
      </c>
      <c r="V85" s="74" t="s">
        <v>96</v>
      </c>
      <c r="W85" s="74" t="s">
        <v>97</v>
      </c>
      <c r="Y85" s="77" t="str">
        <f>'W4 Stats'!B33</f>
        <v>Mang Canon</v>
      </c>
      <c r="Z85" s="74" t="s">
        <v>94</v>
      </c>
      <c r="AA85" s="74" t="s">
        <v>95</v>
      </c>
      <c r="AB85" s="74" t="s">
        <v>96</v>
      </c>
      <c r="AC85" s="74" t="s">
        <v>97</v>
      </c>
    </row>
    <row r="86">
      <c r="A86" s="77" t="s">
        <v>108</v>
      </c>
      <c r="B86" s="78">
        <f>'W4 Stats'!D29*B2</f>
        <v>0</v>
      </c>
      <c r="C86" s="78"/>
      <c r="D86" s="78"/>
      <c r="E86" s="78">
        <f>'W4 Stats'!D29*E2</f>
        <v>0</v>
      </c>
      <c r="G86" s="77" t="s">
        <v>108</v>
      </c>
      <c r="H86" s="78">
        <f>'W4 Stats'!D30*H2</f>
        <v>0</v>
      </c>
      <c r="I86" s="78"/>
      <c r="J86" s="78"/>
      <c r="K86" s="78">
        <f>'W4 Stats'!D30*K2</f>
        <v>0</v>
      </c>
      <c r="M86" s="77" t="s">
        <v>108</v>
      </c>
      <c r="N86" s="78">
        <f>'W4 Stats'!D31*N2</f>
        <v>0</v>
      </c>
      <c r="O86" s="78"/>
      <c r="P86" s="78"/>
      <c r="Q86" s="78">
        <f>'W4 Stats'!D31*Q2</f>
        <v>0</v>
      </c>
      <c r="S86" s="77" t="s">
        <v>108</v>
      </c>
      <c r="T86" s="78">
        <f>'W4 Stats'!D32*T2</f>
        <v>0</v>
      </c>
      <c r="U86" s="78"/>
      <c r="V86" s="78"/>
      <c r="W86" s="78">
        <f>'W4 Stats'!D32*W2</f>
        <v>0</v>
      </c>
      <c r="Y86" s="77" t="s">
        <v>108</v>
      </c>
      <c r="Z86" s="78">
        <f>'W4 Stats'!D33*Z2</f>
        <v>0</v>
      </c>
      <c r="AA86" s="78"/>
      <c r="AB86" s="78"/>
      <c r="AC86" s="78">
        <f>'W4 Stats'!D33*AC2</f>
        <v>0</v>
      </c>
    </row>
    <row r="87">
      <c r="A87" s="77" t="s">
        <v>112</v>
      </c>
      <c r="B87" s="78"/>
      <c r="C87" s="78"/>
      <c r="D87" s="78">
        <f>'W4 Stats'!H29*D3</f>
        <v>0</v>
      </c>
      <c r="E87" s="78"/>
      <c r="G87" s="77" t="s">
        <v>112</v>
      </c>
      <c r="H87" s="78"/>
      <c r="I87" s="78"/>
      <c r="J87" s="78">
        <f>'W4 Stats'!H30*J3</f>
        <v>0</v>
      </c>
      <c r="K87" s="78"/>
      <c r="M87" s="77" t="s">
        <v>112</v>
      </c>
      <c r="N87" s="78"/>
      <c r="O87" s="78"/>
      <c r="P87" s="78">
        <f>'W4 Stats'!H31*P3</f>
        <v>0</v>
      </c>
      <c r="Q87" s="78"/>
      <c r="S87" s="77" t="s">
        <v>112</v>
      </c>
      <c r="T87" s="78"/>
      <c r="U87" s="78"/>
      <c r="V87" s="78">
        <f>'W4 Stats'!H32*V3</f>
        <v>0</v>
      </c>
      <c r="W87" s="78"/>
      <c r="Y87" s="77" t="s">
        <v>112</v>
      </c>
      <c r="Z87" s="78"/>
      <c r="AA87" s="78"/>
      <c r="AB87" s="78">
        <f>'W4 Stats'!H33*AB3</f>
        <v>0</v>
      </c>
      <c r="AC87" s="78"/>
    </row>
    <row r="88">
      <c r="A88" s="77" t="s">
        <v>113</v>
      </c>
      <c r="B88" s="78">
        <f>'W4 Stats'!I29*B4</f>
        <v>0</v>
      </c>
      <c r="C88" s="78"/>
      <c r="D88" s="78"/>
      <c r="E88" s="78"/>
      <c r="G88" s="77" t="s">
        <v>113</v>
      </c>
      <c r="H88" s="78">
        <f>'W4 Stats'!I30*H4</f>
        <v>0</v>
      </c>
      <c r="I88" s="78"/>
      <c r="J88" s="78"/>
      <c r="K88" s="78"/>
      <c r="M88" s="77" t="s">
        <v>113</v>
      </c>
      <c r="N88" s="78">
        <f>'W4 Stats'!I31*N4</f>
        <v>0</v>
      </c>
      <c r="O88" s="78"/>
      <c r="P88" s="78"/>
      <c r="Q88" s="78"/>
      <c r="S88" s="77" t="s">
        <v>113</v>
      </c>
      <c r="T88" s="78">
        <f>'W4 Stats'!I32*T4</f>
        <v>0</v>
      </c>
      <c r="U88" s="78"/>
      <c r="V88" s="78"/>
      <c r="W88" s="78"/>
      <c r="Y88" s="77" t="s">
        <v>113</v>
      </c>
      <c r="Z88" s="78">
        <f>'W4 Stats'!I33*Z4</f>
        <v>0</v>
      </c>
      <c r="AA88" s="78"/>
      <c r="AB88" s="78"/>
      <c r="AC88" s="78"/>
    </row>
    <row r="89">
      <c r="A89" s="77" t="s">
        <v>114</v>
      </c>
      <c r="B89" s="78"/>
      <c r="C89" s="78">
        <f>'W4 Stats'!J29*C5</f>
        <v>0</v>
      </c>
      <c r="D89" s="78"/>
      <c r="E89" s="78">
        <f>'W4 Stats'!J29*E5</f>
        <v>0</v>
      </c>
      <c r="G89" s="77" t="s">
        <v>114</v>
      </c>
      <c r="H89" s="78"/>
      <c r="I89" s="78">
        <f>'W4 Stats'!J30*I5</f>
        <v>0</v>
      </c>
      <c r="J89" s="78"/>
      <c r="K89" s="78">
        <f>'W4 Stats'!J30*K5</f>
        <v>0</v>
      </c>
      <c r="M89" s="77" t="s">
        <v>114</v>
      </c>
      <c r="N89" s="78"/>
      <c r="O89" s="78">
        <f>'W4 Stats'!J31*O5</f>
        <v>0</v>
      </c>
      <c r="P89" s="78"/>
      <c r="Q89" s="78">
        <f>'W4 Stats'!J31*Q5</f>
        <v>0</v>
      </c>
      <c r="S89" s="77" t="s">
        <v>114</v>
      </c>
      <c r="T89" s="78"/>
      <c r="U89" s="78">
        <f>'W4 Stats'!J32*U5</f>
        <v>0</v>
      </c>
      <c r="V89" s="78"/>
      <c r="W89" s="78">
        <f>'W4 Stats'!J32*W5</f>
        <v>0</v>
      </c>
      <c r="Y89" s="77" t="s">
        <v>114</v>
      </c>
      <c r="Z89" s="78"/>
      <c r="AA89" s="78">
        <f>'W4 Stats'!J33*AA5</f>
        <v>0</v>
      </c>
      <c r="AB89" s="78"/>
      <c r="AC89" s="78">
        <f>'W4 Stats'!J33*AC5</f>
        <v>0</v>
      </c>
    </row>
    <row r="90">
      <c r="A90" s="77" t="s">
        <v>115</v>
      </c>
      <c r="B90" s="78"/>
      <c r="C90" s="78">
        <f>'W4 Stats'!K29*C6</f>
        <v>0</v>
      </c>
      <c r="D90" s="78"/>
      <c r="E90" s="78">
        <f>'W4 Stats'!K29*E6</f>
        <v>0</v>
      </c>
      <c r="G90" s="77" t="s">
        <v>115</v>
      </c>
      <c r="H90" s="78"/>
      <c r="I90" s="78">
        <f>'W4 Stats'!K30*I6</f>
        <v>0</v>
      </c>
      <c r="J90" s="78"/>
      <c r="K90" s="78">
        <f>'W4 Stats'!K30*K6</f>
        <v>0</v>
      </c>
      <c r="M90" s="77" t="s">
        <v>115</v>
      </c>
      <c r="N90" s="78"/>
      <c r="O90" s="78">
        <f>'W4 Stats'!K31*O6</f>
        <v>0</v>
      </c>
      <c r="P90" s="78"/>
      <c r="Q90" s="78">
        <f>'W4 Stats'!K31*Q6</f>
        <v>0</v>
      </c>
      <c r="S90" s="77" t="s">
        <v>115</v>
      </c>
      <c r="T90" s="78"/>
      <c r="U90" s="78">
        <f>'W4 Stats'!K32*U6</f>
        <v>0</v>
      </c>
      <c r="V90" s="78"/>
      <c r="W90" s="78">
        <f>'W4 Stats'!K32*W6</f>
        <v>0</v>
      </c>
      <c r="Y90" s="77" t="s">
        <v>115</v>
      </c>
      <c r="Z90" s="78"/>
      <c r="AA90" s="78">
        <f>'W4 Stats'!K33*AA6</f>
        <v>0</v>
      </c>
      <c r="AB90" s="78"/>
      <c r="AC90" s="78">
        <f>'W4 Stats'!K33*AC6</f>
        <v>0</v>
      </c>
    </row>
    <row r="91">
      <c r="A91" s="77" t="s">
        <v>116</v>
      </c>
      <c r="B91" s="78">
        <f>'W4 Stats'!L29*B7</f>
        <v>0</v>
      </c>
      <c r="C91" s="78"/>
      <c r="D91" s="78">
        <f>'W4 Stats'!L29*D7</f>
        <v>0</v>
      </c>
      <c r="E91" s="78"/>
      <c r="G91" s="77" t="s">
        <v>116</v>
      </c>
      <c r="H91" s="78">
        <f>'W4 Stats'!L30*H7</f>
        <v>0</v>
      </c>
      <c r="I91" s="78"/>
      <c r="J91" s="78">
        <f>'W4 Stats'!L30*J7</f>
        <v>0</v>
      </c>
      <c r="K91" s="78"/>
      <c r="M91" s="77" t="s">
        <v>116</v>
      </c>
      <c r="N91" s="78">
        <f>'W4 Stats'!L31*N7</f>
        <v>0</v>
      </c>
      <c r="O91" s="78"/>
      <c r="P91" s="78">
        <f>'W4 Stats'!L31*P7</f>
        <v>0</v>
      </c>
      <c r="Q91" s="78"/>
      <c r="S91" s="77" t="s">
        <v>116</v>
      </c>
      <c r="T91" s="78">
        <f>'W4 Stats'!L32*T7</f>
        <v>0</v>
      </c>
      <c r="U91" s="78"/>
      <c r="V91" s="78">
        <f>'W4 Stats'!L32*V7</f>
        <v>0</v>
      </c>
      <c r="W91" s="78"/>
      <c r="Y91" s="77" t="s">
        <v>116</v>
      </c>
      <c r="Z91" s="78">
        <f>'W4 Stats'!L33*Z7</f>
        <v>0</v>
      </c>
      <c r="AA91" s="78"/>
      <c r="AB91" s="78">
        <f>'W4 Stats'!L33*AB7</f>
        <v>0</v>
      </c>
      <c r="AC91" s="78"/>
    </row>
    <row r="92">
      <c r="A92" s="77" t="s">
        <v>117</v>
      </c>
      <c r="B92" s="78"/>
      <c r="C92" s="78">
        <f>'W4 Stats'!M29*C8</f>
        <v>0</v>
      </c>
      <c r="D92" s="78"/>
      <c r="E92" s="78"/>
      <c r="G92" s="77" t="s">
        <v>117</v>
      </c>
      <c r="H92" s="78"/>
      <c r="I92" s="78">
        <f>'W4 Stats'!M30*C8</f>
        <v>0</v>
      </c>
      <c r="J92" s="78"/>
      <c r="K92" s="78"/>
      <c r="M92" s="77" t="s">
        <v>117</v>
      </c>
      <c r="N92" s="78"/>
      <c r="O92" s="78">
        <f>'W4 Stats'!M31*O8</f>
        <v>0</v>
      </c>
      <c r="P92" s="78"/>
      <c r="Q92" s="78"/>
      <c r="S92" s="77" t="s">
        <v>117</v>
      </c>
      <c r="T92" s="78"/>
      <c r="U92" s="78">
        <f>'W4 Stats'!M32*U8</f>
        <v>0</v>
      </c>
      <c r="V92" s="78"/>
      <c r="W92" s="78"/>
      <c r="Y92" s="77" t="s">
        <v>117</v>
      </c>
      <c r="Z92" s="78"/>
      <c r="AA92" s="78">
        <f>'W4 Stats'!M33*AA8</f>
        <v>0</v>
      </c>
      <c r="AB92" s="78"/>
      <c r="AC92" s="78"/>
    </row>
    <row r="93">
      <c r="A93" s="77" t="s">
        <v>118</v>
      </c>
      <c r="B93" s="78"/>
      <c r="C93" s="78"/>
      <c r="D93" s="78">
        <f>'W4 Stats'!N29*D9</f>
        <v>0</v>
      </c>
      <c r="E93" s="78">
        <f>'W4 Stats'!N29*E9</f>
        <v>0</v>
      </c>
      <c r="G93" s="77" t="s">
        <v>118</v>
      </c>
      <c r="H93" s="78"/>
      <c r="I93" s="78"/>
      <c r="J93" s="78">
        <f>'W4 Stats'!N30*J9</f>
        <v>0</v>
      </c>
      <c r="K93" s="78">
        <f>'W4 Stats'!N30*K9</f>
        <v>0</v>
      </c>
      <c r="M93" s="77" t="s">
        <v>118</v>
      </c>
      <c r="N93" s="78"/>
      <c r="O93" s="78"/>
      <c r="P93" s="78">
        <f>'W4 Stats'!N31*P9</f>
        <v>0</v>
      </c>
      <c r="Q93" s="78">
        <f>'W4 Stats'!N31*Q9</f>
        <v>0</v>
      </c>
      <c r="S93" s="77" t="s">
        <v>118</v>
      </c>
      <c r="T93" s="78"/>
      <c r="U93" s="78"/>
      <c r="V93" s="78">
        <f>'W4 Stats'!N32*V9</f>
        <v>0</v>
      </c>
      <c r="W93" s="78">
        <f>'W4 Stats'!N32*W9</f>
        <v>0</v>
      </c>
      <c r="Y93" s="77" t="s">
        <v>118</v>
      </c>
      <c r="Z93" s="78"/>
      <c r="AA93" s="78"/>
      <c r="AB93" s="78">
        <f>'W4 Stats'!N33*AB9</f>
        <v>0</v>
      </c>
      <c r="AC93" s="78">
        <f>'W4 Stats'!N33*AC9</f>
        <v>0</v>
      </c>
    </row>
    <row r="94">
      <c r="A94" s="77" t="s">
        <v>119</v>
      </c>
      <c r="B94" s="78"/>
      <c r="C94" s="78">
        <f>'W4 Stats'!O29*C10</f>
        <v>0</v>
      </c>
      <c r="D94" s="78"/>
      <c r="E94" s="78">
        <f>'W4 Stats'!O29*E10</f>
        <v>0</v>
      </c>
      <c r="G94" s="77" t="s">
        <v>119</v>
      </c>
      <c r="H94" s="78"/>
      <c r="I94" s="78">
        <f>'W4 Stats'!O30*I10</f>
        <v>0</v>
      </c>
      <c r="J94" s="78"/>
      <c r="K94" s="78">
        <f>'W4 Stats'!O30*K10</f>
        <v>0</v>
      </c>
      <c r="M94" s="77" t="s">
        <v>119</v>
      </c>
      <c r="N94" s="78"/>
      <c r="O94" s="78">
        <f>'W4 Stats'!O31*O10</f>
        <v>0</v>
      </c>
      <c r="P94" s="78"/>
      <c r="Q94" s="78">
        <f>'W4 Stats'!O31*Q10</f>
        <v>0</v>
      </c>
      <c r="S94" s="77" t="s">
        <v>119</v>
      </c>
      <c r="T94" s="78"/>
      <c r="U94" s="78">
        <f>'W4 Stats'!O32*U10</f>
        <v>0</v>
      </c>
      <c r="V94" s="78"/>
      <c r="W94" s="78">
        <f>'W4 Stats'!O32*W10</f>
        <v>0</v>
      </c>
      <c r="Y94" s="77" t="s">
        <v>119</v>
      </c>
      <c r="Z94" s="78"/>
      <c r="AA94" s="78">
        <f>'W4 Stats'!O33*AA10</f>
        <v>0</v>
      </c>
      <c r="AB94" s="78"/>
      <c r="AC94" s="78">
        <f>'W4 Stats'!O33*AC10</f>
        <v>0</v>
      </c>
    </row>
    <row r="95">
      <c r="A95" s="77" t="s">
        <v>120</v>
      </c>
      <c r="B95" s="78"/>
      <c r="C95" s="78"/>
      <c r="D95" s="78">
        <f>'W4 Stats'!P29*D11</f>
        <v>0</v>
      </c>
      <c r="E95" s="78">
        <f>'W4 Stats'!P29*E11</f>
        <v>0</v>
      </c>
      <c r="G95" s="77" t="s">
        <v>120</v>
      </c>
      <c r="H95" s="78"/>
      <c r="I95" s="78"/>
      <c r="J95" s="78">
        <f>'W4 Stats'!P30*J11</f>
        <v>0</v>
      </c>
      <c r="K95" s="78">
        <f>'W4 Stats'!P30*K11</f>
        <v>0</v>
      </c>
      <c r="M95" s="77" t="s">
        <v>120</v>
      </c>
      <c r="N95" s="78"/>
      <c r="O95" s="78"/>
      <c r="P95" s="78">
        <f>'W4 Stats'!P31*P11</f>
        <v>0</v>
      </c>
      <c r="Q95" s="78">
        <f>'W4 Stats'!P31*Q11</f>
        <v>0</v>
      </c>
      <c r="S95" s="77" t="s">
        <v>120</v>
      </c>
      <c r="T95" s="78"/>
      <c r="U95" s="78"/>
      <c r="V95" s="78">
        <f>'W4 Stats'!P32*V11</f>
        <v>0</v>
      </c>
      <c r="W95" s="78">
        <f>'W4 Stats'!P32*W11</f>
        <v>0</v>
      </c>
      <c r="Y95" s="77" t="s">
        <v>120</v>
      </c>
      <c r="Z95" s="78"/>
      <c r="AA95" s="78"/>
      <c r="AB95" s="78">
        <f>'W4 Stats'!P33*AB11</f>
        <v>0</v>
      </c>
      <c r="AC95" s="78">
        <f>'W4 Stats'!P33*AC11</f>
        <v>0</v>
      </c>
    </row>
    <row r="96">
      <c r="A96" s="77" t="s">
        <v>121</v>
      </c>
      <c r="B96" s="78">
        <f>'W4 Stats'!Q29*B12</f>
        <v>0</v>
      </c>
      <c r="C96" s="78">
        <f>'W4 Stats'!Q29*C12</f>
        <v>0</v>
      </c>
      <c r="D96" s="78">
        <f>'W4 Stats'!Q29*D12</f>
        <v>0</v>
      </c>
      <c r="E96" s="78">
        <f>'W4 Stats'!Q29*E12</f>
        <v>0</v>
      </c>
      <c r="G96" s="77" t="s">
        <v>121</v>
      </c>
      <c r="H96" s="78">
        <f>'W4 Stats'!Q30*H12</f>
        <v>0</v>
      </c>
      <c r="I96" s="78">
        <f>'W4 Stats'!Q30*I12</f>
        <v>0</v>
      </c>
      <c r="J96" s="78">
        <f>'W4 Stats'!Q30*J12</f>
        <v>0</v>
      </c>
      <c r="K96" s="78">
        <f>'W4 Stats'!Q30*K12</f>
        <v>0</v>
      </c>
      <c r="M96" s="77" t="s">
        <v>121</v>
      </c>
      <c r="N96" s="78">
        <f>'W4 Stats'!Q31*N12</f>
        <v>0</v>
      </c>
      <c r="O96" s="78">
        <f>'W4 Stats'!Q31*O12</f>
        <v>0</v>
      </c>
      <c r="P96" s="78">
        <f>'W4 Stats'!Q31*P12</f>
        <v>0</v>
      </c>
      <c r="Q96" s="78">
        <f>'W4 Stats'!Q31*Q12</f>
        <v>0</v>
      </c>
      <c r="S96" s="77" t="s">
        <v>121</v>
      </c>
      <c r="T96" s="78">
        <f>'W4 Stats'!Q32*T12</f>
        <v>0</v>
      </c>
      <c r="U96" s="78">
        <f>'W4 Stats'!Q32*U12</f>
        <v>0</v>
      </c>
      <c r="V96" s="78">
        <f>'W4 Stats'!Q32*V12</f>
        <v>0</v>
      </c>
      <c r="W96" s="78">
        <f>'W4 Stats'!Q32*W12</f>
        <v>0</v>
      </c>
      <c r="Y96" s="77" t="s">
        <v>121</v>
      </c>
      <c r="Z96" s="78">
        <f>'W4 Stats'!Q33*Z12</f>
        <v>0</v>
      </c>
      <c r="AA96" s="78">
        <f>'W4 Stats'!Q33*AA12</f>
        <v>0</v>
      </c>
      <c r="AB96" s="78">
        <f>'W4 Stats'!Q33*AB12</f>
        <v>0</v>
      </c>
      <c r="AC96" s="78">
        <f>'W4 Stats'!Q33*AC12</f>
        <v>0</v>
      </c>
    </row>
    <row r="97">
      <c r="A97" s="77" t="s">
        <v>122</v>
      </c>
      <c r="B97" s="78">
        <f t="shared" ref="B97:E97" si="75">SUM(B86:B96)</f>
        <v>0</v>
      </c>
      <c r="C97" s="78">
        <f t="shared" si="75"/>
        <v>0</v>
      </c>
      <c r="D97" s="78">
        <f t="shared" si="75"/>
        <v>0</v>
      </c>
      <c r="E97" s="78">
        <f t="shared" si="75"/>
        <v>0</v>
      </c>
      <c r="G97" s="77" t="s">
        <v>122</v>
      </c>
      <c r="H97" s="78">
        <f t="shared" ref="H97:K97" si="76">SUM(H86:H96)</f>
        <v>0</v>
      </c>
      <c r="I97" s="78">
        <f t="shared" si="76"/>
        <v>0</v>
      </c>
      <c r="J97" s="78">
        <f t="shared" si="76"/>
        <v>0</v>
      </c>
      <c r="K97" s="78">
        <f t="shared" si="76"/>
        <v>0</v>
      </c>
      <c r="M97" s="77" t="s">
        <v>122</v>
      </c>
      <c r="N97" s="78">
        <f t="shared" ref="N97:Q97" si="77">SUM(N86:N96)</f>
        <v>0</v>
      </c>
      <c r="O97" s="78">
        <f t="shared" si="77"/>
        <v>0</v>
      </c>
      <c r="P97" s="78">
        <f t="shared" si="77"/>
        <v>0</v>
      </c>
      <c r="Q97" s="78">
        <f t="shared" si="77"/>
        <v>0</v>
      </c>
      <c r="S97" s="77" t="s">
        <v>122</v>
      </c>
      <c r="T97" s="78">
        <f t="shared" ref="T97:W97" si="78">SUM(T86:T96)</f>
        <v>0</v>
      </c>
      <c r="U97" s="78">
        <f t="shared" si="78"/>
        <v>0</v>
      </c>
      <c r="V97" s="78">
        <f t="shared" si="78"/>
        <v>0</v>
      </c>
      <c r="W97" s="78">
        <f t="shared" si="78"/>
        <v>0</v>
      </c>
      <c r="Y97" s="77" t="s">
        <v>122</v>
      </c>
      <c r="Z97" s="78">
        <f t="shared" ref="Z97:AC97" si="79">SUM(Z86:Z96)</f>
        <v>0</v>
      </c>
      <c r="AA97" s="78">
        <f t="shared" si="79"/>
        <v>0</v>
      </c>
      <c r="AB97" s="78">
        <f t="shared" si="79"/>
        <v>0</v>
      </c>
      <c r="AC97" s="78">
        <f t="shared" si="79"/>
        <v>0</v>
      </c>
    </row>
  </sheetData>
  <drawing r:id="rId1"/>
</worksheet>
</file>