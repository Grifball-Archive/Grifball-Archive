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 Sheet" sheetId="1" r:id="rId5"/>
    <sheet state="visible" name="Sheet11" sheetId="2" r:id="rId6"/>
    <sheet state="visible" name="PLAYERS" sheetId="3" r:id="rId7"/>
    <sheet state="visible" name="BidLog" sheetId="4" r:id="rId8"/>
    <sheet state="visible" name="Bidding" sheetId="5" r:id="rId9"/>
  </sheets>
  <definedNames/>
  <calcPr/>
</workbook>
</file>

<file path=xl/sharedStrings.xml><?xml version="1.0" encoding="utf-8"?>
<sst xmlns="http://schemas.openxmlformats.org/spreadsheetml/2006/main" count="482" uniqueCount="181">
  <si>
    <t>SL25 Bid Season Board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</si>
  <si>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</si>
  <si>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Captain</t>
  </si>
  <si>
    <t>Balance</t>
  </si>
  <si>
    <t>Bids Out:</t>
  </si>
  <si>
    <t>Available Balance:</t>
  </si>
  <si>
    <t>S</t>
  </si>
  <si>
    <t>Cosmos5024              (Cosmos)</t>
  </si>
  <si>
    <t>Fanciest Pants    (Fancy)</t>
  </si>
  <si>
    <t>Deathcrawller            (Death)</t>
  </si>
  <si>
    <t>AwareMosquito                             (Aware)</t>
  </si>
  <si>
    <t>El Diablo X230X               (Diablo)</t>
  </si>
  <si>
    <t>VwS Executioner      (Executioner)</t>
  </si>
  <si>
    <t>A</t>
  </si>
  <si>
    <t>B</t>
  </si>
  <si>
    <t>C</t>
  </si>
  <si>
    <t>0:02</t>
  </si>
  <si>
    <t>0:01</t>
  </si>
  <si>
    <t>0:00</t>
  </si>
  <si>
    <t>0:04</t>
  </si>
  <si>
    <t>D</t>
  </si>
  <si>
    <t>E/F</t>
  </si>
  <si>
    <t>N/A</t>
  </si>
  <si>
    <t>Mavbrid                (Mav)</t>
  </si>
  <si>
    <t>PoisonxPoptart           (Poptart)</t>
  </si>
  <si>
    <t>TommyWstSide                 (Tommy)</t>
  </si>
  <si>
    <t>PsyDucky54                      (Ducky)</t>
  </si>
  <si>
    <t>Big Al 60           (BigAl)</t>
  </si>
  <si>
    <t>Legion of Toast      (Toast)</t>
  </si>
  <si>
    <t>0:03</t>
  </si>
  <si>
    <t>PapasnipezX (Snipez)</t>
  </si>
  <si>
    <t>SPANKTR0N          (Spank)</t>
  </si>
  <si>
    <t>Inactive Spoon          (Spoon)</t>
  </si>
  <si>
    <t>Sauted Smurf                     (Smurf)</t>
  </si>
  <si>
    <t>itsRiskE                                (RiskE)</t>
  </si>
  <si>
    <t>Rage More Nerd                         (Rage)</t>
  </si>
  <si>
    <t>Teams</t>
  </si>
  <si>
    <t xml:space="preserve"> Evil</t>
  </si>
  <si>
    <t>mav, ducky, demon</t>
  </si>
  <si>
    <t>ill shrek u      (Shrek)</t>
  </si>
  <si>
    <t>iReign 7                             (Reign)</t>
  </si>
  <si>
    <t>Grunt Padre         (Grunt)</t>
  </si>
  <si>
    <t>Priest XYZ         (Priest)</t>
  </si>
  <si>
    <t>ENDASIS ZX5080                      (Endasis)</t>
  </si>
  <si>
    <t>Its Low Mane       (Low)</t>
  </si>
  <si>
    <t xml:space="preserve"> ASpence</t>
  </si>
  <si>
    <t>fancy, boss, smurf</t>
  </si>
  <si>
    <t xml:space="preserve"> Epic</t>
  </si>
  <si>
    <t>penguin, shrek, rage</t>
  </si>
  <si>
    <t>Sabasauros rex    (Sab)</t>
  </si>
  <si>
    <t>ixGingy           (Gingy)</t>
  </si>
  <si>
    <t>Dhlyn             (Dhlyn)</t>
  </si>
  <si>
    <t>Trespa5s         (Trespass)</t>
  </si>
  <si>
    <t>CaptainSev004                     (Sev)</t>
  </si>
  <si>
    <t>TcT Demon        (Demon)</t>
  </si>
  <si>
    <t xml:space="preserve"> KD</t>
  </si>
  <si>
    <t>zim, aware, panther</t>
  </si>
  <si>
    <t xml:space="preserve"> Novice</t>
  </si>
  <si>
    <t>dhlyn, trespass, riske</t>
  </si>
  <si>
    <t>Invayda Zim         (Zim)</t>
  </si>
  <si>
    <t>mxrvine             (Hawk)</t>
  </si>
  <si>
    <t>The Goosler2948                                 (Goosler)</t>
  </si>
  <si>
    <t>Almighty Tycoon            (Boss)</t>
  </si>
  <si>
    <t>Ump Double Ump      (Ump)</t>
  </si>
  <si>
    <t>ShadowPandah       (Pandah)</t>
  </si>
  <si>
    <t xml:space="preserve"> Scullen</t>
  </si>
  <si>
    <t>pandah, goosler, spank</t>
  </si>
  <si>
    <t>NOPLEX            (Noplex)</t>
  </si>
  <si>
    <t>The Goosler                                 (Goosler)</t>
  </si>
  <si>
    <t xml:space="preserve"> Chemical</t>
  </si>
  <si>
    <t>poptart, priest, sev</t>
  </si>
  <si>
    <t>Rechargen                  (Frnzh)</t>
  </si>
  <si>
    <t>Havoc Puppies               (Havoc)</t>
  </si>
  <si>
    <t>MuNgO PuNgO               (Mungo)</t>
  </si>
  <si>
    <t>II Panther Lily                         (Panther)</t>
  </si>
  <si>
    <t>Pacfan010                         (Pacfan)</t>
  </si>
  <si>
    <t>Triumph Penguin   (Penguin)</t>
  </si>
  <si>
    <t xml:space="preserve"> Avenger</t>
  </si>
  <si>
    <t>havoc, death, diablo</t>
  </si>
  <si>
    <t xml:space="preserve"> Daedric</t>
  </si>
  <si>
    <t>cosmos, frnzh, executioner</t>
  </si>
  <si>
    <t>Player</t>
  </si>
  <si>
    <t>ixGingy                    (Gingy)</t>
  </si>
  <si>
    <t>Current Bid</t>
  </si>
  <si>
    <t xml:space="preserve"> Squirrel</t>
  </si>
  <si>
    <t>hawk, ump, endasis</t>
  </si>
  <si>
    <t>Timer</t>
  </si>
  <si>
    <t>epic</t>
  </si>
  <si>
    <t xml:space="preserve"> Luxe</t>
  </si>
  <si>
    <t>low, gingy, tommy</t>
  </si>
  <si>
    <t xml:space="preserve"> Solace</t>
  </si>
  <si>
    <t>grunt, spoon, mungo</t>
  </si>
  <si>
    <t>nkot</t>
  </si>
  <si>
    <t>snipez, reign, toast</t>
  </si>
  <si>
    <t>Noplex</t>
  </si>
  <si>
    <t>sab, bigal, pacfan</t>
  </si>
  <si>
    <t>GAMERTAG</t>
  </si>
  <si>
    <t>CODE</t>
  </si>
  <si>
    <t>GRADE</t>
  </si>
  <si>
    <t>LOCATION</t>
  </si>
  <si>
    <t>POSITION</t>
  </si>
  <si>
    <t>INPUT</t>
  </si>
  <si>
    <t>NOTES</t>
  </si>
  <si>
    <t>SCHEDULE</t>
  </si>
  <si>
    <t>Idk blame the admins what do I look like - luxe</t>
  </si>
  <si>
    <t>Bid Log</t>
  </si>
  <si>
    <t>sab</t>
  </si>
  <si>
    <t>reign</t>
  </si>
  <si>
    <t>riske</t>
  </si>
  <si>
    <t>death</t>
  </si>
  <si>
    <t>hawk</t>
  </si>
  <si>
    <t>snipez</t>
  </si>
  <si>
    <t>cosmos</t>
  </si>
  <si>
    <t>fancy</t>
  </si>
  <si>
    <t>spoon</t>
  </si>
  <si>
    <t>low</t>
  </si>
  <si>
    <t>shrek</t>
  </si>
  <si>
    <t>gingy</t>
  </si>
  <si>
    <t>penguin</t>
  </si>
  <si>
    <t>zim</t>
  </si>
  <si>
    <t>poptart</t>
  </si>
  <si>
    <t>mav</t>
  </si>
  <si>
    <t>havoc</t>
  </si>
  <si>
    <t>goosler</t>
  </si>
  <si>
    <t>spank</t>
  </si>
  <si>
    <t>rage</t>
  </si>
  <si>
    <t>demon</t>
  </si>
  <si>
    <t>sev</t>
  </si>
  <si>
    <t>frnzh</t>
  </si>
  <si>
    <t>dhlyn</t>
  </si>
  <si>
    <t>priest</t>
  </si>
  <si>
    <t>tommy</t>
  </si>
  <si>
    <t>grunt</t>
  </si>
  <si>
    <t>ducky</t>
  </si>
  <si>
    <t>pandah</t>
  </si>
  <si>
    <t>mungo</t>
  </si>
  <si>
    <t>boss</t>
  </si>
  <si>
    <t>aware</t>
  </si>
  <si>
    <t>trespass</t>
  </si>
  <si>
    <t>panther</t>
  </si>
  <si>
    <t>smurf</t>
  </si>
  <si>
    <t>executioner</t>
  </si>
  <si>
    <t>bigal</t>
  </si>
  <si>
    <t>diablo</t>
  </si>
  <si>
    <t>endasis</t>
  </si>
  <si>
    <t>ump</t>
  </si>
  <si>
    <t>toast</t>
  </si>
  <si>
    <t>pacfan</t>
  </si>
  <si>
    <t>WL25 Bid Season Board</t>
  </si>
  <si>
    <t>KindredDaedric         (Daedric)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</si>
  <si>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</si>
  <si>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ASpence501</t>
  </si>
  <si>
    <t>MysticalNovice</t>
  </si>
  <si>
    <t>Grade</t>
  </si>
  <si>
    <t>E</t>
  </si>
  <si>
    <t>Solace VIII</t>
  </si>
  <si>
    <t>deek</t>
  </si>
  <si>
    <t>Chemical</t>
  </si>
  <si>
    <t>TcT Avenger</t>
  </si>
  <si>
    <t>Mr Epic Beast</t>
  </si>
  <si>
    <t>NecessaryEvil10</t>
  </si>
  <si>
    <t>KDSkill                      (KDSkill)</t>
  </si>
  <si>
    <t>eTazedd                 (Tazedd)</t>
  </si>
  <si>
    <t>Captain11</t>
  </si>
  <si>
    <t>Captain12</t>
  </si>
  <si>
    <t>Monstrous i                                (Monstrous)</t>
  </si>
  <si>
    <t>Scullen cx                           (Scullen)</t>
  </si>
  <si>
    <t>Triumph Penguin       (Penguin)</t>
  </si>
  <si>
    <t>mxrvine                  (Hawk)</t>
  </si>
  <si>
    <t>Trespa5s</t>
  </si>
  <si>
    <t>F</t>
  </si>
  <si>
    <t>CaptainSev004</t>
  </si>
  <si>
    <t>Grunt Padre</t>
  </si>
  <si>
    <t>TJP37</t>
  </si>
  <si>
    <t>Priest XYZ</t>
  </si>
  <si>
    <t>Rechargen</t>
  </si>
  <si>
    <t>Captain10 (c)</t>
  </si>
  <si>
    <t>Top Bidder</t>
  </si>
  <si>
    <t>Captain11 (c)</t>
  </si>
  <si>
    <t>Captain12 (c)</t>
  </si>
  <si>
    <t>Captain13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</si>
</sst>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3">
    <font>
      <sz val="10.0"/>
      <color rgb="FF000000"/>
      <name val="Arial"/>
      <scheme val="minor"/>
    </font>
    <font>
      <sz val="12.0"/>
      <color rgb="FFFFFFFF"/>
      <name val="Comfortaa"/>
    </font>
    <font>
      <color rgb="FF00FF00"/>
      <name val="Comfortaa"/>
    </font>
    <font/>
    <font>
      <color theme="1"/>
      <name val="Lexend"/>
    </font>
    <font>
      <sz val="10.0"/>
      <color rgb="FF000000"/>
      <name val="Lexend"/>
    </font>
    <font>
      <sz val="10.0"/>
      <color rgb="FF000000"/>
      <name val="Oswald"/>
    </font>
    <font>
      <color rgb="FFFF0000"/>
      <name val="Lexend"/>
    </font>
    <font>
      <sz val="11.0"/>
      <color rgb="FF000000"/>
      <name val="Lexend"/>
    </font>
    <font>
      <sz val="11.0"/>
      <color theme="1"/>
      <name val="Lexend"/>
    </font>
    <font>
      <b/>
      <sz val="10.0"/>
      <color theme="1"/>
      <name val="Lexend"/>
    </font>
    <font>
      <sz val="26.0"/>
      <color rgb="FF000000"/>
      <name val="Courier New"/>
    </font>
    <font>
      <sz val="26.0"/>
      <color theme="1"/>
      <name val="Courier New"/>
    </font>
    <font>
      <b/>
      <color theme="1"/>
      <name val="Lexend"/>
    </font>
    <font>
      <sz val="18.0"/>
      <color theme="1"/>
      <name val="Courier New"/>
    </font>
    <font>
      <sz val="10.0"/>
      <color rgb="FFFFFFFF"/>
      <name val="Oswald"/>
    </font>
    <font>
      <sz val="10.0"/>
      <color theme="1"/>
      <name val="Oswald"/>
    </font>
    <font>
      <color rgb="FF00FF00"/>
      <name val="Lexend"/>
    </font>
    <font>
      <sz val="14.0"/>
      <color rgb="FFFFFFFF"/>
      <name val="Merriweather"/>
    </font>
    <font>
      <sz val="16.0"/>
      <color rgb="FFFFFFFF"/>
      <name val="Merriweather"/>
    </font>
    <font>
      <b/>
      <sz val="16.0"/>
      <color theme="1"/>
      <name val="Lexend"/>
    </font>
    <font>
      <sz val="10.0"/>
      <color rgb="FFFFFFFF"/>
      <name val="Merriweather"/>
    </font>
    <font>
      <sz val="10.0"/>
      <color rgb="FF000000"/>
      <name val="Merriweather"/>
    </font>
    <font>
      <sz val="19.0"/>
      <color theme="1"/>
      <name val="Merriweather"/>
    </font>
    <font>
      <sz val="11.0"/>
      <color rgb="FFFFFFFF"/>
      <name val="Courier New"/>
    </font>
    <font>
      <b/>
      <sz val="12.0"/>
      <color rgb="FFFF0000"/>
      <name val="Lexend"/>
    </font>
    <font>
      <sz val="10.0"/>
      <color theme="1"/>
      <name val="Lexend"/>
    </font>
    <font>
      <color rgb="FFFFFFFF"/>
      <name val="Lexend"/>
    </font>
    <font>
      <b/>
      <sz val="12.0"/>
      <color theme="1"/>
      <name val="Lexend"/>
    </font>
    <font>
      <b/>
      <sz val="26.0"/>
      <color theme="1"/>
      <name val="Lexend"/>
    </font>
    <font>
      <color theme="1"/>
      <name val="Arial"/>
      <scheme val="minor"/>
    </font>
    <font>
      <color rgb="FF000000"/>
      <name val="Lexend"/>
    </font>
    <font>
      <b/>
      <color theme="1"/>
      <name val="Comfortaa"/>
    </font>
    <font>
      <color theme="1"/>
      <name val="Comfortaa"/>
    </font>
    <font>
      <sz val="15.0"/>
      <color rgb="FFFF0000"/>
      <name val="Verdana"/>
    </font>
    <font>
      <sz val="14.0"/>
      <color rgb="FFFFFFFF"/>
      <name val="Comfortaa"/>
    </font>
    <font>
      <sz val="12.0"/>
      <color rgb="FFD9D9D9"/>
      <name val="Comfortaa"/>
    </font>
    <font>
      <sz val="11.0"/>
      <color rgb="FFFFFFFF"/>
      <name val="Lexend"/>
    </font>
    <font>
      <sz val="8.0"/>
      <color rgb="FFFFFFFF"/>
      <name val="Lexend"/>
    </font>
    <font>
      <b/>
      <sz val="12.0"/>
      <color rgb="FF000000"/>
      <name val="Lexend"/>
    </font>
    <font>
      <sz val="8.0"/>
      <color rgb="FFFFFFFF"/>
      <name val="Merriweather"/>
    </font>
    <font>
      <sz val="9.0"/>
      <color theme="1"/>
      <name val="Lexend"/>
    </font>
    <font>
      <color rgb="FFFF000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</fills>
  <borders count="23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left" shrinkToFit="0" wrapText="1"/>
    </xf>
    <xf borderId="1" fillId="0" fontId="3" numFmtId="0" xfId="0" applyBorder="1" applyFont="1"/>
    <xf borderId="0" fillId="2" fontId="4" numFmtId="0" xfId="0" applyAlignment="1" applyFont="1">
      <alignment horizontal="center" vertical="center"/>
    </xf>
    <xf borderId="2" fillId="3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textRotation="0" vertical="center" wrapText="1"/>
    </xf>
    <xf borderId="0" fillId="4" fontId="6" numFmtId="0" xfId="0" applyAlignment="1" applyFill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10" fontId="6" numFmtId="0" xfId="0" applyAlignment="1" applyFill="1" applyFont="1">
      <alignment horizontal="center" readingOrder="0" vertical="center"/>
    </xf>
    <xf borderId="1" fillId="11" fontId="4" numFmtId="0" xfId="0" applyAlignment="1" applyBorder="1" applyFill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12" fontId="10" numFmtId="0" xfId="0" applyAlignment="1" applyBorder="1" applyFill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quotePrefix="1" borderId="1" fillId="12" fontId="11" numFmtId="0" xfId="0" applyAlignment="1" applyBorder="1" applyFont="1">
      <alignment horizontal="center" readingOrder="0" vertical="center"/>
    </xf>
    <xf quotePrefix="1" borderId="1" fillId="12" fontId="12" numFmtId="0" xfId="0" applyAlignment="1" applyBorder="1" applyFont="1">
      <alignment horizontal="center" readingOrder="0" vertical="center"/>
    </xf>
    <xf quotePrefix="1" borderId="1" fillId="0" fontId="12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vertical="center"/>
    </xf>
    <xf borderId="1" fillId="2" fontId="8" numFmtId="0" xfId="0" applyAlignment="1" applyBorder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1" fillId="2" fontId="14" numFmtId="0" xfId="0" applyAlignment="1" applyBorder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2" fontId="15" numFmtId="0" xfId="0" applyAlignment="1" applyFont="1">
      <alignment horizontal="center" vertical="center"/>
    </xf>
    <xf borderId="1" fillId="2" fontId="16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2" fontId="18" numFmtId="0" xfId="0" applyAlignment="1" applyFont="1">
      <alignment horizontal="center" readingOrder="0" shrinkToFit="0" vertical="top" wrapText="1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1" fillId="2" fontId="13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11" fillId="13" fontId="23" numFmtId="0" xfId="0" applyAlignment="1" applyBorder="1" applyFill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2" fontId="24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readingOrder="0" vertical="center"/>
    </xf>
    <xf borderId="0" fillId="11" fontId="9" numFmtId="0" xfId="0" applyAlignment="1" applyFont="1">
      <alignment horizontal="center" readingOrder="0" vertical="center"/>
    </xf>
    <xf borderId="0" fillId="11" fontId="26" numFmtId="0" xfId="0" applyAlignment="1" applyFont="1">
      <alignment horizontal="center" readingOrder="0" vertical="center"/>
    </xf>
    <xf borderId="8" fillId="0" fontId="3" numFmtId="0" xfId="0" applyBorder="1" applyFont="1"/>
    <xf borderId="1" fillId="10" fontId="4" numFmtId="0" xfId="0" applyAlignment="1" applyBorder="1" applyFont="1">
      <alignment horizontal="center" readingOrder="0" shrinkToFit="0" vertical="center" wrapText="1"/>
    </xf>
    <xf borderId="0" fillId="2" fontId="27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26" numFmtId="0" xfId="0" applyAlignment="1" applyFont="1">
      <alignment horizontal="center" vertical="center"/>
    </xf>
    <xf borderId="0" fillId="3" fontId="9" numFmtId="0" xfId="0" applyAlignment="1" applyFont="1">
      <alignment horizontal="center" readingOrder="0" vertical="center"/>
    </xf>
    <xf borderId="0" fillId="3" fontId="26" numFmtId="0" xfId="0" applyAlignment="1" applyFont="1">
      <alignment horizontal="center" readingOrder="0" shrinkToFit="0" vertical="center" wrapText="1"/>
    </xf>
    <xf quotePrefix="1" borderId="1" fillId="0" fontId="11" numFmtId="0" xfId="0" applyAlignment="1" applyBorder="1" applyFont="1">
      <alignment horizontal="center" readingOrder="0" vertical="center"/>
    </xf>
    <xf borderId="1" fillId="2" fontId="28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shrinkToFit="0" vertical="center" wrapText="1"/>
    </xf>
    <xf borderId="0" fillId="2" fontId="27" numFmtId="0" xfId="0" applyAlignment="1" applyFont="1">
      <alignment horizontal="center" readingOrder="0" vertical="center"/>
    </xf>
    <xf borderId="1" fillId="14" fontId="4" numFmtId="0" xfId="0" applyAlignment="1" applyBorder="1" applyFill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3" fontId="26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readingOrder="0" vertical="center"/>
    </xf>
    <xf borderId="0" fillId="2" fontId="30" numFmtId="0" xfId="0" applyFont="1"/>
    <xf borderId="0" fillId="2" fontId="26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17" fillId="0" fontId="3" numFmtId="0" xfId="0" applyBorder="1" applyFont="1"/>
    <xf borderId="0" fillId="2" fontId="30" numFmtId="0" xfId="0" applyAlignment="1" applyFont="1">
      <alignment readingOrder="0"/>
    </xf>
    <xf borderId="7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vertical="center"/>
    </xf>
    <xf borderId="18" fillId="2" fontId="13" numFmtId="0" xfId="0" applyAlignment="1" applyBorder="1" applyFont="1">
      <alignment horizontal="center" readingOrder="0" vertical="center"/>
    </xf>
    <xf borderId="19" fillId="2" fontId="13" numFmtId="0" xfId="0" applyAlignment="1" applyBorder="1" applyFont="1">
      <alignment horizontal="center" readingOrder="0" vertical="center"/>
    </xf>
    <xf borderId="16" fillId="2" fontId="4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20" fillId="15" fontId="32" numFmtId="0" xfId="0" applyAlignment="1" applyBorder="1" applyFill="1" applyFont="1">
      <alignment horizontal="center" readingOrder="0" vertical="center"/>
    </xf>
    <xf borderId="1" fillId="0" fontId="32" numFmtId="0" xfId="0" applyAlignment="1" applyBorder="1" applyFont="1">
      <alignment horizontal="center" readingOrder="0" vertical="center"/>
    </xf>
    <xf borderId="0" fillId="0" fontId="32" numFmtId="0" xfId="0" applyFont="1"/>
    <xf borderId="0" fillId="0" fontId="33" numFmtId="0" xfId="0" applyFont="1"/>
    <xf borderId="0" fillId="16" fontId="33" numFmtId="0" xfId="0" applyAlignment="1" applyFill="1" applyFont="1">
      <alignment horizontal="center" readingOrder="0" vertical="center"/>
    </xf>
    <xf borderId="20" fillId="15" fontId="3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vertical="center"/>
    </xf>
    <xf borderId="0" fillId="16" fontId="30" numFmtId="0" xfId="0" applyAlignment="1" applyFont="1">
      <alignment horizontal="center" readingOrder="0" vertical="center"/>
    </xf>
    <xf borderId="0" fillId="16" fontId="30" numFmtId="0" xfId="0" applyAlignment="1" applyFont="1">
      <alignment horizontal="center" readingOrder="0" shrinkToFit="0" vertical="center" wrapText="1"/>
    </xf>
    <xf borderId="0" fillId="16" fontId="30" numFmtId="0" xfId="0" applyAlignment="1" applyFont="1">
      <alignment horizontal="center" vertical="center"/>
    </xf>
    <xf borderId="0" fillId="16" fontId="30" numFmtId="0" xfId="0" applyFont="1"/>
    <xf borderId="0" fillId="16" fontId="33" numFmtId="0" xfId="0" applyFont="1"/>
    <xf borderId="0" fillId="12" fontId="33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21" fillId="17" fontId="30" numFmtId="0" xfId="0" applyAlignment="1" applyBorder="1" applyFill="1" applyFont="1">
      <alignment horizontal="center" shrinkToFit="0" vertical="center" wrapText="0"/>
    </xf>
    <xf borderId="21" fillId="17" fontId="30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0" fillId="0" fontId="30" numFmtId="0" xfId="0" applyFont="1"/>
    <xf borderId="0" fillId="0" fontId="33" numFmtId="0" xfId="0" applyFont="1"/>
    <xf borderId="0" fillId="0" fontId="33" numFmtId="0" xfId="0" applyAlignment="1" applyFon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shrinkToFit="0" vertical="center" wrapText="1"/>
    </xf>
    <xf borderId="1" fillId="11" fontId="13" numFmtId="0" xfId="0" applyAlignment="1" applyBorder="1" applyFont="1">
      <alignment horizontal="center" readingOrder="0" vertical="center"/>
    </xf>
    <xf borderId="1" fillId="18" fontId="13" numFmtId="0" xfId="0" applyAlignment="1" applyBorder="1" applyFill="1" applyFont="1">
      <alignment horizontal="center" readingOrder="0" vertical="center"/>
    </xf>
    <xf borderId="1" fillId="19" fontId="13" numFmtId="164" xfId="0" applyAlignment="1" applyBorder="1" applyFill="1" applyFont="1" applyNumberFormat="1">
      <alignment horizontal="center" vertical="center"/>
    </xf>
    <xf borderId="1" fillId="20" fontId="13" numFmtId="164" xfId="0" applyAlignment="1" applyBorder="1" applyFill="1" applyFont="1" applyNumberFormat="1">
      <alignment horizontal="center" readingOrder="0" vertical="center"/>
    </xf>
    <xf borderId="0" fillId="16" fontId="33" numFmtId="0" xfId="0" applyAlignment="1" applyFont="1">
      <alignment horizontal="center" readingOrder="0" vertical="center"/>
    </xf>
    <xf borderId="0" fillId="16" fontId="13" numFmtId="164" xfId="0" applyAlignment="1" applyFont="1" applyNumberFormat="1">
      <alignment horizontal="center" readingOrder="0" vertical="center"/>
    </xf>
    <xf borderId="0" fillId="12" fontId="13" numFmtId="164" xfId="0" applyAlignment="1" applyFont="1" applyNumberFormat="1">
      <alignment horizontal="center" readingOrder="0" vertical="center"/>
    </xf>
    <xf borderId="0" fillId="2" fontId="34" numFmtId="0" xfId="0" applyAlignment="1" applyFont="1">
      <alignment readingOrder="0" vertical="top"/>
    </xf>
    <xf borderId="0" fillId="12" fontId="30" numFmtId="0" xfId="0" applyFont="1"/>
    <xf borderId="0" fillId="2" fontId="35" numFmtId="0" xfId="0" applyAlignment="1" applyFont="1">
      <alignment horizontal="center" readingOrder="0" vertical="center"/>
    </xf>
    <xf borderId="22" fillId="2" fontId="36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vertical="center"/>
    </xf>
    <xf borderId="3" fillId="11" fontId="4" numFmtId="0" xfId="0" applyAlignment="1" applyBorder="1" applyFont="1">
      <alignment horizontal="center" readingOrder="0" vertical="center"/>
    </xf>
    <xf borderId="4" fillId="11" fontId="5" numFmtId="0" xfId="0" applyAlignment="1" applyBorder="1" applyFont="1">
      <alignment horizontal="center" readingOrder="0" shrinkToFit="0" textRotation="0" vertical="center" wrapText="1"/>
    </xf>
    <xf borderId="1" fillId="10" fontId="13" numFmtId="0" xfId="0" applyAlignment="1" applyBorder="1" applyFont="1">
      <alignment horizontal="center" readingOrder="0" vertical="center"/>
    </xf>
    <xf borderId="1" fillId="11" fontId="4" numFmtId="0" xfId="0" applyAlignment="1" applyBorder="1" applyFont="1">
      <alignment horizontal="center" readingOrder="0" shrinkToFit="0" vertical="center" wrapText="1"/>
    </xf>
    <xf borderId="1" fillId="19" fontId="4" numFmtId="0" xfId="0" applyAlignment="1" applyBorder="1" applyFont="1">
      <alignment horizontal="center" readingOrder="0" shrinkToFit="0" vertical="center" wrapText="1"/>
    </xf>
    <xf borderId="1" fillId="17" fontId="4" numFmtId="0" xfId="0" applyAlignment="1" applyBorder="1" applyFont="1">
      <alignment horizontal="center" readingOrder="0" vertical="center"/>
    </xf>
    <xf borderId="8" fillId="17" fontId="4" numFmtId="0" xfId="0" applyAlignment="1" applyBorder="1" applyFont="1">
      <alignment horizontal="center" readingOrder="0" vertical="center"/>
    </xf>
    <xf borderId="1" fillId="11" fontId="9" numFmtId="0" xfId="0" applyAlignment="1" applyBorder="1" applyFont="1">
      <alignment horizontal="center" readingOrder="0" shrinkToFit="0" vertical="center" wrapText="1"/>
    </xf>
    <xf borderId="8" fillId="11" fontId="4" numFmtId="0" xfId="0" applyAlignment="1" applyBorder="1" applyFon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8" fillId="5" fontId="13" numFmtId="0" xfId="0" applyAlignment="1" applyBorder="1" applyFont="1">
      <alignment horizontal="center" readingOrder="0" vertical="center"/>
    </xf>
    <xf borderId="18" fillId="11" fontId="13" numFmtId="0" xfId="0" applyAlignment="1" applyBorder="1" applyFont="1">
      <alignment horizontal="center" readingOrder="0" vertical="center"/>
    </xf>
    <xf borderId="18" fillId="7" fontId="13" numFmtId="0" xfId="0" applyAlignment="1" applyBorder="1" applyFont="1">
      <alignment horizontal="center" readingOrder="0" vertical="center"/>
    </xf>
    <xf borderId="18" fillId="19" fontId="13" numFmtId="164" xfId="0" applyAlignment="1" applyBorder="1" applyFont="1" applyNumberFormat="1">
      <alignment horizontal="center" vertical="center"/>
    </xf>
    <xf borderId="1" fillId="2" fontId="37" numFmtId="0" xfId="0" applyAlignment="1" applyBorder="1" applyFont="1">
      <alignment horizontal="center" readingOrder="0" shrinkToFit="0" vertical="center" wrapText="1"/>
    </xf>
    <xf borderId="1" fillId="10" fontId="10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10" fontId="20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2" fontId="38" numFmtId="0" xfId="0" applyAlignment="1" applyBorder="1" applyFont="1">
      <alignment horizontal="center" readingOrder="0" vertical="center"/>
    </xf>
    <xf borderId="1" fillId="2" fontId="31" numFmtId="0" xfId="0" applyAlignment="1" applyBorder="1" applyFont="1">
      <alignment horizontal="center" readingOrder="0" vertical="center"/>
    </xf>
    <xf borderId="8" fillId="2" fontId="31" numFmtId="0" xfId="0" applyAlignment="1" applyBorder="1" applyFont="1">
      <alignment horizontal="center" readingOrder="0" vertical="center"/>
    </xf>
    <xf borderId="1" fillId="0" fontId="39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8" numFmtId="0" xfId="0" applyAlignment="1" applyFont="1">
      <alignment horizontal="center"/>
    </xf>
    <xf borderId="1" fillId="12" fontId="14" numFmtId="0" xfId="0" applyAlignment="1" applyBorder="1" applyFont="1">
      <alignment horizontal="center" readingOrder="0" vertical="center"/>
    </xf>
    <xf borderId="11" fillId="14" fontId="23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17" fontId="9" numFmtId="0" xfId="0" applyAlignment="1" applyFont="1">
      <alignment horizontal="center" readingOrder="0" vertical="center"/>
    </xf>
    <xf borderId="0" fillId="17" fontId="4" numFmtId="0" xfId="0" applyAlignment="1" applyFont="1">
      <alignment horizontal="center" readingOrder="0" vertical="center"/>
    </xf>
    <xf borderId="0" fillId="11" fontId="26" numFmtId="0" xfId="0" applyAlignment="1" applyFont="1">
      <alignment horizontal="center" readingOrder="0" shrinkToFit="0" vertical="center" wrapText="1"/>
    </xf>
    <xf borderId="0" fillId="11" fontId="4" numFmtId="0" xfId="0" applyAlignment="1" applyFont="1">
      <alignment horizontal="center" readingOrder="0" vertical="center"/>
    </xf>
    <xf borderId="18" fillId="10" fontId="13" numFmtId="0" xfId="0" applyAlignment="1" applyBorder="1" applyFont="1">
      <alignment horizontal="center" readingOrder="0" vertical="center"/>
    </xf>
    <xf borderId="0" fillId="17" fontId="41" numFmtId="0" xfId="0" applyAlignment="1" applyFont="1">
      <alignment horizontal="center" readingOrder="0" vertical="center"/>
    </xf>
    <xf borderId="18" fillId="5" fontId="13" numFmtId="164" xfId="0" applyAlignment="1" applyBorder="1" applyFont="1" applyNumberFormat="1">
      <alignment horizontal="center"/>
    </xf>
    <xf borderId="18" fillId="2" fontId="13" numFmtId="164" xfId="0" applyAlignment="1" applyBorder="1" applyFont="1" applyNumberFormat="1">
      <alignment horizontal="center" vertical="center"/>
    </xf>
    <xf borderId="18" fillId="2" fontId="13" numFmtId="164" xfId="0" applyAlignment="1" applyBorder="1" applyFont="1" applyNumberFormat="1">
      <alignment horizontal="center" readingOrder="0" vertical="center"/>
    </xf>
    <xf borderId="8" fillId="0" fontId="28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 vertical="center"/>
    </xf>
    <xf borderId="0" fillId="2" fontId="42" numFmtId="0" xfId="0" applyFont="1"/>
    <xf borderId="7" fillId="2" fontId="13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</cellXfs>
  <cellStyles count="1">
    <cellStyle xfId="0" name="Normal" builtinId="0"/>
  </cellStyles>
  <dxfs count="18">
    <dxf>
      <font>
        <color rgb="FFFFFFFF"/>
      </font>
      <fill>
        <patternFill patternType="none"/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D3319"/>
          <bgColor rgb="FFCD3319"/>
        </patternFill>
      </fill>
      <border/>
    </dxf>
    <dxf>
      <font/>
      <fill>
        <patternFill patternType="solid">
          <fgColor rgb="FFFBDC39"/>
          <bgColor rgb="FFFBDC39"/>
        </patternFill>
      </fill>
      <border/>
    </dxf>
    <dxf>
      <font/>
      <fill>
        <patternFill patternType="solid">
          <fgColor rgb="FF285B12"/>
          <bgColor rgb="FF285B12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2" pivot="0" name="PLAYERS-style">
      <tableStyleElement dxfId="14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123825</xdr:colOff>
      <xdr:row>9</xdr:row>
      <xdr:rowOff>19050</xdr:rowOff>
    </xdr:from>
    <xdr:ext cx="3419475" cy="3457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3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LA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3.63"/>
    <col customWidth="1" min="6" max="6" width="6.13"/>
    <col customWidth="1" min="7" max="13" width="15.75"/>
    <col customWidth="1" min="14" max="14" width="14.75"/>
  </cols>
  <sheetData>
    <row r="1" ht="15.0" customHeight="1">
      <c r="A1" s="1" t="s">
        <v>0</v>
      </c>
      <c r="N1" s="2" t="s">
        <v>1</v>
      </c>
      <c r="P1" s="3"/>
      <c r="Q1" s="4"/>
      <c r="R1" s="4"/>
      <c r="S1" s="4"/>
      <c r="T1" s="4"/>
    </row>
    <row r="2" ht="12.75" customHeight="1">
      <c r="A2" s="5" t="s">
        <v>2</v>
      </c>
      <c r="B2" s="6" t="s">
        <v>3</v>
      </c>
      <c r="C2" s="7" t="s">
        <v>4</v>
      </c>
      <c r="D2" s="8" t="s">
        <v>5</v>
      </c>
      <c r="E2" s="9" t="s">
        <v>6</v>
      </c>
      <c r="F2" s="3"/>
      <c r="G2" s="10" t="s">
        <v>7</v>
      </c>
      <c r="H2" s="11" t="s">
        <v>8</v>
      </c>
      <c r="I2" s="12" t="s">
        <v>9</v>
      </c>
      <c r="J2" s="13" t="s">
        <v>10</v>
      </c>
      <c r="K2" s="14" t="s">
        <v>11</v>
      </c>
      <c r="L2" s="15" t="s">
        <v>12</v>
      </c>
      <c r="M2" s="16"/>
      <c r="P2" s="3"/>
      <c r="Q2" s="17"/>
      <c r="R2" s="17"/>
      <c r="S2" s="17"/>
      <c r="T2" s="17"/>
    </row>
    <row r="3" ht="12.75" customHeight="1">
      <c r="A3" s="18"/>
      <c r="B3" s="18"/>
      <c r="C3" s="19"/>
      <c r="D3" s="20"/>
      <c r="E3" s="21" t="s">
        <v>13</v>
      </c>
      <c r="F3" s="3"/>
      <c r="G3" s="3"/>
      <c r="H3" s="3"/>
      <c r="I3" s="3"/>
      <c r="J3" s="3"/>
      <c r="K3" s="3"/>
      <c r="L3" s="3"/>
      <c r="M3" s="3"/>
      <c r="P3" s="3"/>
      <c r="Q3" s="4"/>
      <c r="R3" s="4"/>
      <c r="S3" s="4"/>
      <c r="T3" s="4"/>
    </row>
    <row r="4" ht="12.75" customHeight="1">
      <c r="A4" s="22"/>
      <c r="B4" s="23">
        <v>0.0</v>
      </c>
      <c r="C4" s="24">
        <v>0.0</v>
      </c>
      <c r="D4" s="25"/>
      <c r="E4" s="26" t="s">
        <v>14</v>
      </c>
      <c r="F4" s="3"/>
      <c r="G4" s="27">
        <v>310.0</v>
      </c>
      <c r="H4" s="28">
        <v>310.0</v>
      </c>
      <c r="I4" s="27">
        <v>280.0</v>
      </c>
      <c r="J4" s="27">
        <v>20.0</v>
      </c>
      <c r="K4" s="27">
        <v>20.0</v>
      </c>
      <c r="L4" s="27">
        <v>60.0</v>
      </c>
      <c r="M4" s="29"/>
      <c r="P4" s="3"/>
      <c r="Q4" s="30"/>
      <c r="R4" s="30"/>
      <c r="S4" s="30"/>
      <c r="T4" s="30"/>
    </row>
    <row r="5" ht="12.75" customHeight="1">
      <c r="A5" s="31"/>
      <c r="B5" s="23">
        <v>0.0</v>
      </c>
      <c r="C5" s="24">
        <v>0.0</v>
      </c>
      <c r="D5" s="25"/>
      <c r="E5" s="32" t="s">
        <v>15</v>
      </c>
      <c r="F5" s="3"/>
      <c r="G5" s="33" t="s">
        <v>16</v>
      </c>
      <c r="H5" s="34" t="s">
        <v>17</v>
      </c>
      <c r="I5" s="34" t="s">
        <v>17</v>
      </c>
      <c r="J5" s="35" t="s">
        <v>17</v>
      </c>
      <c r="K5" s="35" t="s">
        <v>18</v>
      </c>
      <c r="L5" s="35" t="s">
        <v>19</v>
      </c>
      <c r="M5" s="36"/>
      <c r="P5" s="3"/>
      <c r="Q5" s="37"/>
      <c r="R5" s="37"/>
      <c r="S5" s="37"/>
      <c r="T5" s="37"/>
    </row>
    <row r="6" ht="12.75" customHeight="1">
      <c r="A6" s="22"/>
      <c r="B6" s="23">
        <v>0.0</v>
      </c>
      <c r="C6" s="24">
        <v>0.0</v>
      </c>
      <c r="D6" s="38"/>
      <c r="E6" s="39" t="s">
        <v>20</v>
      </c>
      <c r="F6" s="3"/>
      <c r="G6" s="3"/>
      <c r="H6" s="3"/>
      <c r="I6" s="3"/>
      <c r="J6" s="3"/>
      <c r="K6" s="3"/>
      <c r="L6" s="3"/>
      <c r="M6" s="3"/>
      <c r="P6" s="3"/>
      <c r="Q6" s="4"/>
      <c r="R6" s="4"/>
      <c r="S6" s="4"/>
      <c r="T6" s="4"/>
    </row>
    <row r="7" ht="12.75" customHeight="1">
      <c r="A7" s="31"/>
      <c r="B7" s="23">
        <v>40.0</v>
      </c>
      <c r="C7" s="24">
        <v>0.0</v>
      </c>
      <c r="D7" s="25"/>
      <c r="E7" s="40" t="s">
        <v>21</v>
      </c>
      <c r="F7" s="3"/>
      <c r="G7" s="41"/>
      <c r="H7" s="41"/>
      <c r="I7" s="41"/>
      <c r="J7" s="41"/>
      <c r="K7" s="41"/>
      <c r="L7" s="41"/>
      <c r="M7" s="41"/>
      <c r="P7" s="3"/>
      <c r="Q7" s="4"/>
      <c r="R7" s="4"/>
      <c r="S7" s="4"/>
      <c r="T7" s="4"/>
    </row>
    <row r="8" ht="12.75" customHeight="1">
      <c r="A8" s="22"/>
      <c r="B8" s="23">
        <v>20.0</v>
      </c>
      <c r="C8" s="24">
        <v>0.0</v>
      </c>
      <c r="D8" s="25"/>
      <c r="E8" s="42" t="s">
        <v>22</v>
      </c>
      <c r="F8" s="3"/>
      <c r="G8" s="10" t="s">
        <v>23</v>
      </c>
      <c r="H8" s="43" t="s">
        <v>24</v>
      </c>
      <c r="I8" s="12" t="s">
        <v>25</v>
      </c>
      <c r="J8" s="13" t="s">
        <v>26</v>
      </c>
      <c r="K8" s="14" t="s">
        <v>27</v>
      </c>
      <c r="L8" s="15" t="s">
        <v>28</v>
      </c>
      <c r="M8" s="16"/>
      <c r="N8" s="44"/>
      <c r="O8" s="44"/>
      <c r="P8" s="45"/>
      <c r="Q8" s="4"/>
      <c r="R8" s="4"/>
      <c r="S8" s="4"/>
      <c r="T8" s="4"/>
    </row>
    <row r="9" ht="12.75" customHeight="1">
      <c r="A9" s="31"/>
      <c r="B9" s="23">
        <v>40.0</v>
      </c>
      <c r="C9" s="24">
        <v>0.0</v>
      </c>
      <c r="D9" s="25"/>
      <c r="E9" s="46"/>
      <c r="F9" s="47"/>
      <c r="G9" s="3"/>
      <c r="H9" s="3"/>
      <c r="I9" s="3"/>
      <c r="J9" s="3"/>
      <c r="K9" s="3"/>
      <c r="L9" s="3"/>
      <c r="M9" s="3"/>
      <c r="N9" s="4"/>
      <c r="O9" s="48"/>
      <c r="P9" s="49"/>
      <c r="Q9" s="4"/>
      <c r="R9" s="4"/>
      <c r="S9" s="4"/>
      <c r="T9" s="4"/>
    </row>
    <row r="10" ht="12.75" customHeight="1">
      <c r="A10" s="22"/>
      <c r="B10" s="23">
        <v>0.0</v>
      </c>
      <c r="C10" s="24">
        <v>0.0</v>
      </c>
      <c r="D10" s="25"/>
      <c r="E10" s="46"/>
      <c r="F10" s="47"/>
      <c r="G10" s="27">
        <v>320.0</v>
      </c>
      <c r="H10" s="28">
        <v>220.0</v>
      </c>
      <c r="I10" s="27">
        <v>80.0</v>
      </c>
      <c r="J10" s="27">
        <v>10.0</v>
      </c>
      <c r="K10" s="27">
        <v>10.0</v>
      </c>
      <c r="L10" s="27">
        <v>10.0</v>
      </c>
      <c r="M10" s="29"/>
      <c r="N10" s="50"/>
      <c r="O10" s="51"/>
      <c r="P10" s="52"/>
      <c r="Q10" s="4"/>
      <c r="R10" s="4"/>
      <c r="S10" s="4"/>
      <c r="T10" s="4"/>
    </row>
    <row r="11" ht="12.75" customHeight="1">
      <c r="A11" s="31"/>
      <c r="B11" s="23">
        <v>0.0</v>
      </c>
      <c r="C11" s="24">
        <v>0.0</v>
      </c>
      <c r="D11" s="25"/>
      <c r="E11" s="46"/>
      <c r="F11" s="47"/>
      <c r="G11" s="33" t="s">
        <v>29</v>
      </c>
      <c r="H11" s="34" t="s">
        <v>19</v>
      </c>
      <c r="I11" s="35" t="s">
        <v>17</v>
      </c>
      <c r="J11" s="35" t="s">
        <v>17</v>
      </c>
      <c r="K11" s="35" t="s">
        <v>18</v>
      </c>
      <c r="L11" s="35" t="s">
        <v>17</v>
      </c>
      <c r="M11" s="36"/>
      <c r="N11" s="50"/>
      <c r="O11" s="51"/>
      <c r="P11" s="52"/>
      <c r="Q11" s="4"/>
      <c r="R11" s="4"/>
      <c r="S11" s="4"/>
      <c r="T11" s="4"/>
    </row>
    <row r="12" ht="12.75" customHeight="1">
      <c r="A12" s="22"/>
      <c r="B12" s="23">
        <v>40.0</v>
      </c>
      <c r="C12" s="24">
        <v>0.0</v>
      </c>
      <c r="D12" s="25"/>
      <c r="E12" s="46"/>
      <c r="F12" s="3"/>
      <c r="G12" s="3"/>
      <c r="H12" s="3"/>
      <c r="I12" s="3"/>
      <c r="J12" s="3"/>
      <c r="K12" s="3"/>
      <c r="L12" s="3"/>
      <c r="M12" s="3"/>
      <c r="N12" s="50"/>
      <c r="O12" s="51"/>
      <c r="P12" s="52"/>
      <c r="Q12" s="4"/>
      <c r="R12" s="4"/>
      <c r="S12" s="4"/>
      <c r="T12" s="4"/>
    </row>
    <row r="13" ht="12.75" customHeight="1">
      <c r="A13" s="53"/>
      <c r="B13" s="23">
        <v>0.0</v>
      </c>
      <c r="C13" s="54">
        <v>0.0</v>
      </c>
      <c r="D13" s="25"/>
      <c r="E13" s="4"/>
      <c r="F13" s="55"/>
      <c r="G13" s="41"/>
      <c r="H13" s="41"/>
      <c r="I13" s="41"/>
      <c r="J13" s="41"/>
      <c r="K13" s="41"/>
      <c r="L13" s="41"/>
      <c r="M13" s="41"/>
      <c r="N13" s="50"/>
      <c r="O13" s="51"/>
      <c r="P13" s="56"/>
      <c r="Q13" s="4"/>
      <c r="R13" s="4"/>
      <c r="S13" s="4"/>
      <c r="T13" s="4"/>
    </row>
    <row r="14" ht="12.75" customHeight="1">
      <c r="A14" s="22"/>
      <c r="B14" s="23">
        <v>50.0</v>
      </c>
      <c r="C14" s="24">
        <v>0.0</v>
      </c>
      <c r="D14" s="25"/>
      <c r="E14" s="4"/>
      <c r="F14" s="57"/>
      <c r="G14" s="10" t="s">
        <v>30</v>
      </c>
      <c r="H14" s="11" t="s">
        <v>31</v>
      </c>
      <c r="I14" s="12" t="s">
        <v>32</v>
      </c>
      <c r="J14" s="13" t="s">
        <v>33</v>
      </c>
      <c r="K14" s="14" t="s">
        <v>34</v>
      </c>
      <c r="L14" s="15" t="s">
        <v>35</v>
      </c>
      <c r="M14" s="16"/>
      <c r="N14" s="58">
        <f>IF(G5&lt;&gt;"", LEFT(G5, FIND(":", G5)-1)*60 + MID(G5, FIND(":", G5)+1, 2), "G5")</f>
        <v>2</v>
      </c>
      <c r="O14" s="58">
        <f>IF(H5&lt;&gt;"", LEFT(H5, FIND(":", H5)-1)*60 + MID(H5, FIND(":", H5)+1, 2), "H5")</f>
        <v>1</v>
      </c>
      <c r="P14" s="58">
        <f>IF(I5&lt;&gt;"", LEFT(I5, FIND(":", I5)-1)*60 + MID(I5, FIND(":", I5)+1, 2), "I5")</f>
        <v>1</v>
      </c>
      <c r="Q14" s="58">
        <f>IF(J5&lt;&gt;"", LEFT(J5, FIND(":", J5)-1)*60 + MID(J5, FIND(":", J5)+1, 2), "J5")</f>
        <v>1</v>
      </c>
      <c r="R14" s="58">
        <f>IF(K5&lt;&gt;"", LEFT(K5, FIND(":", K5)-1)*60 + MID(K5, FIND(":", K5)+1, 2), "K5")</f>
        <v>0</v>
      </c>
      <c r="S14" s="58">
        <f>IF(L5&lt;&gt;"", LEFT(L5, FIND(":", L5)-1)*60 + MID(L5, FIND(":", L5)+1, 2), "L5")</f>
        <v>4</v>
      </c>
      <c r="T14" s="58" t="str">
        <f>IF(M5&lt;&gt;"", LEFT(M5, FIND(":", M5)-1)*60 + MID(M5, FIND(":", M5)+1, 2), "M5")</f>
        <v>M5</v>
      </c>
    </row>
    <row r="15" ht="12.75" customHeight="1">
      <c r="A15" s="53"/>
      <c r="B15" s="23">
        <v>0.0</v>
      </c>
      <c r="C15" s="54">
        <v>0.0</v>
      </c>
      <c r="D15" s="25"/>
      <c r="E15" s="4"/>
      <c r="F15" s="3"/>
      <c r="G15" s="3"/>
      <c r="H15" s="3"/>
      <c r="I15" s="3"/>
      <c r="J15" s="3"/>
      <c r="K15" s="3"/>
      <c r="L15" s="3"/>
      <c r="M15" s="3"/>
      <c r="N15" s="58">
        <f>IF(G11&lt;&gt;"", LEFT(G11, FIND(":", G11)-1)*60 + MID(G11, FIND(":", G11)+1, 2), "G11")</f>
        <v>3</v>
      </c>
      <c r="O15" s="58">
        <f>IF(H11&lt;&gt;"", LEFT(H11, FIND(":", H11)-1)*60 + MID(H11, FIND(":", H11)+1, 2), "H11")</f>
        <v>4</v>
      </c>
      <c r="P15" s="58">
        <f>IF(I11&lt;&gt;"", LEFT(I11, FIND(":", I11)-1)*60 + MID(I11, FIND(":", I11)+1, 2), "I11")</f>
        <v>1</v>
      </c>
      <c r="Q15" s="58">
        <f>IF(J11&lt;&gt;"", LEFT(J11, FIND(":", J11)-1)*60 + MID(J11, FIND(":", J11)+1, 2), "J11")</f>
        <v>1</v>
      </c>
      <c r="R15" s="58">
        <f>IF(K11&lt;&gt;"", LEFT(K11, FIND(":", K11)-1)*60 + MID(K11, FIND(":", K11)+1, 2), "K11")</f>
        <v>0</v>
      </c>
      <c r="S15" s="58">
        <f>IF(L11&lt;&gt;"", LEFT(L11, FIND(":", L11)-1)*60 + MID(L11, FIND(":", L11)+1, 2), "L11")</f>
        <v>1</v>
      </c>
      <c r="T15" s="58" t="str">
        <f>IF(M11&lt;&gt;"", LEFT(M11, FIND(":", M11)-1)*60 + MID(M11, FIND(":", M11)+1, 2), "M11")</f>
        <v>M11</v>
      </c>
    </row>
    <row r="16" ht="12.75" customHeight="1">
      <c r="A16" s="22"/>
      <c r="B16" s="23">
        <v>0.0</v>
      </c>
      <c r="C16" s="24">
        <v>0.0</v>
      </c>
      <c r="D16" s="25"/>
      <c r="E16" s="4"/>
      <c r="F16" s="29"/>
      <c r="G16" s="27">
        <v>320.0</v>
      </c>
      <c r="H16" s="27">
        <v>370.0</v>
      </c>
      <c r="I16" s="27">
        <v>70.0</v>
      </c>
      <c r="J16" s="27">
        <v>10.0</v>
      </c>
      <c r="K16" s="27">
        <v>170.0</v>
      </c>
      <c r="L16" s="27">
        <v>180.0</v>
      </c>
      <c r="M16" s="29"/>
      <c r="N16" s="58">
        <f>IF(G17&lt;&gt;"", LEFT(G17, FIND(":", G17)-1)*60 + MID(G17, FIND(":", G17)+1, 2), "G17")</f>
        <v>4</v>
      </c>
      <c r="O16" s="58">
        <f>IF(H17&lt;&gt;"", LEFT(H17, FIND(":", H17)-1)*60 + MID(H17, FIND(":", H17)+1, 2), "H17")</f>
        <v>1</v>
      </c>
      <c r="P16" s="58">
        <f>IF(I17&lt;&gt;"", LEFT(I17, FIND(":", I17)-1)*60 + MID(I17, FIND(":", I17)+1, 2), "I17")</f>
        <v>1</v>
      </c>
      <c r="Q16" s="58">
        <f>IF(J17&lt;&gt;"", LEFT(J17, FIND(":", J17)-1)*60 + MID(J17, FIND(":", J17)+1, 2), "J17")</f>
        <v>1</v>
      </c>
      <c r="R16" s="58">
        <f>IF(K17&lt;&gt;"", LEFT(K17, FIND(":", K17)-1)*60 + MID(K17, FIND(":", K17)+1, 2), "K17")</f>
        <v>1</v>
      </c>
      <c r="S16" s="58">
        <f>IF(L17&lt;&gt;"", LEFT(L17, FIND(":", L17)-1)*60 + MID(L17, FIND(":", L17)+1, 2), "L17")</f>
        <v>1</v>
      </c>
      <c r="T16" s="58" t="str">
        <f>IF(M17&lt;&gt;"", LEFT(M17, FIND(":", M17)-1)*60 + MID(M17, FIND(":", M17)+1, 2), "M17")</f>
        <v>M17</v>
      </c>
    </row>
    <row r="17" ht="12.75" customHeight="1">
      <c r="A17" s="53"/>
      <c r="B17" s="23">
        <v>0.0</v>
      </c>
      <c r="C17" s="54">
        <v>0.0</v>
      </c>
      <c r="D17" s="25"/>
      <c r="E17" s="4"/>
      <c r="F17" s="55"/>
      <c r="G17" s="35" t="s">
        <v>19</v>
      </c>
      <c r="H17" s="35" t="s">
        <v>17</v>
      </c>
      <c r="I17" s="35" t="s">
        <v>17</v>
      </c>
      <c r="J17" s="35" t="s">
        <v>17</v>
      </c>
      <c r="K17" s="35" t="s">
        <v>17</v>
      </c>
      <c r="L17" s="35" t="s">
        <v>17</v>
      </c>
      <c r="M17" s="36"/>
      <c r="N17" s="58">
        <f>IF(G23&lt;&gt;"", LEFT(G23, FIND(":", G23)-1)*60 + MID(G23, FIND(":", G23)+1, 2), "G23")</f>
        <v>1</v>
      </c>
      <c r="O17" s="58">
        <f>IF(H23&lt;&gt;"", LEFT(H23, FIND(":", H23)-1)*60 + MID(H23, FIND(":", H23)+1, 2), "H23")</f>
        <v>1</v>
      </c>
      <c r="P17" s="58">
        <f>IF(I23&lt;&gt;"", LEFT(I23, FIND(":", I23)-1)*60 + MID(I23, FIND(":", I23)+1, 2), "I23")</f>
        <v>1</v>
      </c>
      <c r="Q17" s="58">
        <f>IF(J23&lt;&gt;"", LEFT(J23, FIND(":", J23)-1)*60 + MID(J23, FIND(":", J23)+1, 2), "J23")</f>
        <v>0</v>
      </c>
      <c r="R17" s="58">
        <f>IF(K23&lt;&gt;"", LEFT(K23, FIND(":", K23)-1)*60 + MID(K23, FIND(":", K23)+1, 2), "K23")</f>
        <v>1</v>
      </c>
      <c r="S17" s="58">
        <f>IF(L23&lt;&gt;"", LEFT(L23, FIND(":", L23)-1)*60 + MID(L23, FIND(":", L23)+1, 2), "L23")</f>
        <v>1</v>
      </c>
      <c r="T17" s="58" t="str">
        <f>IF(M23&lt;&gt;"", LEFT(M23, FIND(":", M23)-1)*60 + MID(M23, FIND(":", M23)+1, 2), "M23")</f>
        <v>M23</v>
      </c>
    </row>
    <row r="18" ht="12.75" customHeight="1">
      <c r="A18" s="59" t="s">
        <v>36</v>
      </c>
      <c r="B18" s="60"/>
      <c r="C18" s="60"/>
      <c r="D18" s="61"/>
      <c r="E18" s="4"/>
      <c r="F18" s="3"/>
      <c r="G18" s="3"/>
      <c r="H18" s="3"/>
      <c r="I18" s="3"/>
      <c r="J18" s="3"/>
      <c r="K18" s="3"/>
      <c r="L18" s="3"/>
      <c r="M18" s="3"/>
      <c r="N18" s="58">
        <f>IF(G29&lt;&gt;"", LEFT(G29, FIND(":", G29)-1)*60 + MID(G29, FIND(":", G29)+1, 2), "G29")</f>
        <v>4</v>
      </c>
      <c r="O18" s="58">
        <f>IF(H29&lt;&gt;"", LEFT(H29, FIND(":", H29)-1)*60 + MID(H29, FIND(":", H29)+1, 2), "H29")</f>
        <v>1</v>
      </c>
      <c r="P18" s="58">
        <f>IF(I29&lt;&gt;"", LEFT(I29, FIND(":", I29)-1)*60 + MID(I29, FIND(":", I29)+1, 2), "I29")</f>
        <v>3</v>
      </c>
      <c r="Q18" s="58">
        <f>IF(J29&lt;&gt;"", LEFT(J29, FIND(":", J29)-1)*60 + MID(J29, FIND(":", J29)+1, 2), "J29")</f>
        <v>1</v>
      </c>
      <c r="R18" s="58">
        <f>IF(K29&lt;&gt;"", LEFT(K29, FIND(":", K29)-1)*60 + MID(K29, FIND(":", K29)+1, 2), "K29")</f>
        <v>1</v>
      </c>
      <c r="S18" s="58">
        <f>IF(L29&lt;&gt;"", LEFT(L29, FIND(":", L29)-1)*60 + MID(L29, FIND(":", L29)+1, 2), "L29")</f>
        <v>1</v>
      </c>
      <c r="T18" s="58" t="str">
        <f>IF(M29&lt;&gt;"", LEFT(M29, FIND(":", M29)-1)*60 + MID(M29, FIND(":", M29)+1, 2), "M29")</f>
        <v>M29</v>
      </c>
    </row>
    <row r="19" ht="12.75" customHeight="1">
      <c r="A19" s="62"/>
      <c r="B19" s="63"/>
      <c r="C19" s="63"/>
      <c r="D19" s="64"/>
      <c r="E19" s="4"/>
      <c r="F19" s="55"/>
      <c r="G19" s="65"/>
      <c r="H19" s="41"/>
      <c r="I19" s="41"/>
      <c r="J19" s="41"/>
      <c r="K19" s="41"/>
      <c r="L19" s="41"/>
      <c r="M19" s="66"/>
      <c r="N19" s="58">
        <f>IF(G35&lt;&gt;"", LEFT(G35, FIND(":", G35)-1)*60 + MID(G35, FIND(":", G35)+1, 2), "G35")</f>
        <v>1</v>
      </c>
      <c r="O19" s="58">
        <f>IF(H35&lt;&gt;"", LEFT(H35, FIND(":", H35)-1)*60 + MID(H35, FIND(":", H35)+1, 2), "H35")</f>
        <v>1</v>
      </c>
      <c r="P19" s="58">
        <f>IF(I35&lt;&gt;"", LEFT(I35, FIND(":", I35)-1)*60 + MID(I35, FIND(":", I35)+1, 2), "I35")</f>
        <v>1</v>
      </c>
      <c r="Q19" s="58">
        <f>IF(J35&lt;&gt;"", LEFT(J35, FIND(":", J35)-1)*60 + MID(J35, FIND(":", J35)+1, 2), "J35")</f>
        <v>2</v>
      </c>
      <c r="R19" s="58">
        <f>IF(K35&lt;&gt;"", LEFT(K35, FIND(":", K35)-1)*60 + MID(K35, FIND(":", K35)+1, 2), "K35")</f>
        <v>3</v>
      </c>
      <c r="S19" s="58">
        <f>IF(L35&lt;&gt;"", LEFT(L35, FIND(":", L35)-1)*60 + MID(L35, FIND(":", L35)+1, 2), "L35")</f>
        <v>3</v>
      </c>
      <c r="T19" s="58" t="str">
        <f>IF(M35&lt;&gt;"", LEFT(M35, FIND(":", M35)-1)*60 + MID(M35, FIND(":", M35)+1, 2), "M35")</f>
        <v>M35</v>
      </c>
    </row>
    <row r="20" ht="12.75" customHeight="1">
      <c r="A20" s="67" t="s">
        <v>37</v>
      </c>
      <c r="B20" s="68" t="s">
        <v>38</v>
      </c>
      <c r="D20" s="69"/>
      <c r="E20" s="4"/>
      <c r="F20" s="57"/>
      <c r="G20" s="70" t="s">
        <v>39</v>
      </c>
      <c r="H20" s="11" t="s">
        <v>40</v>
      </c>
      <c r="I20" s="12" t="s">
        <v>41</v>
      </c>
      <c r="J20" s="13" t="s">
        <v>42</v>
      </c>
      <c r="K20" s="14" t="s">
        <v>43</v>
      </c>
      <c r="L20" s="15" t="s">
        <v>44</v>
      </c>
      <c r="M20" s="16"/>
      <c r="N20" s="58">
        <f>IF(G41&lt;&gt;"", LEFT(G41, FIND(":", G41)-1)*60 + MID(G41, FIND(":", G41)+1, 2), "G41")</f>
        <v>4</v>
      </c>
      <c r="O20" s="58">
        <f>IF(H41&lt;&gt;"", LEFT(H41, FIND(":", H41)-1)*60 + MID(H41, FIND(":", H41)+1, 2), "H41")</f>
        <v>2</v>
      </c>
      <c r="P20" s="58">
        <f>IF(I41&lt;&gt;"", LEFT(I41, FIND(":", I41)-1)*60 + MID(I41, FIND(":", I41)+1, 2), "I41")</f>
        <v>3</v>
      </c>
      <c r="Q20" s="58">
        <f>IF(J41&lt;&gt;"", LEFT(J41, FIND(":", J41)-1)*60 + MID(J41, FIND(":", J41)+1, 2), "J41")</f>
        <v>1</v>
      </c>
      <c r="R20" s="58">
        <f>IF(K41&lt;&gt;"", LEFT(K41, FIND(":", K41)-1)*60 + MID(K41, FIND(":", K41)+1, 2), "K41")</f>
        <v>1</v>
      </c>
      <c r="S20" s="58">
        <f>IF(L41&lt;&gt;"", LEFT(L41, FIND(":", L41)-1)*60 + MID(L41, FIND(":", L41)+1, 2), "L41")</f>
        <v>1</v>
      </c>
      <c r="T20" s="58" t="str">
        <f>IF(M41&lt;&gt;"", LEFT(M41, FIND(":", M41)-1)*60 + MID(M41, FIND(":", M41)+1, 2), "M41")</f>
        <v>M41</v>
      </c>
    </row>
    <row r="21" ht="12.75" customHeight="1">
      <c r="D21" s="69"/>
      <c r="E21" s="4"/>
      <c r="F21" s="3"/>
      <c r="G21" s="3"/>
      <c r="H21" s="3"/>
      <c r="I21" s="3"/>
      <c r="J21" s="3"/>
      <c r="K21" s="3"/>
      <c r="L21" s="3"/>
      <c r="M21" s="3"/>
      <c r="N21" s="71"/>
      <c r="O21" s="71"/>
      <c r="P21" s="71"/>
      <c r="Q21" s="71"/>
      <c r="R21" s="71"/>
      <c r="S21" s="71"/>
      <c r="T21" s="71"/>
    </row>
    <row r="22" ht="12.75" customHeight="1">
      <c r="A22" s="72"/>
      <c r="B22" s="73"/>
      <c r="C22" s="73"/>
      <c r="D22" s="73"/>
      <c r="E22" s="4"/>
      <c r="F22" s="29"/>
      <c r="G22" s="27">
        <v>370.0</v>
      </c>
      <c r="H22" s="27">
        <v>240.0</v>
      </c>
      <c r="I22" s="27">
        <v>10.0</v>
      </c>
      <c r="J22" s="27">
        <v>110.0</v>
      </c>
      <c r="K22" s="27">
        <v>70.0</v>
      </c>
      <c r="L22" s="27">
        <v>10.0</v>
      </c>
      <c r="M22" s="29"/>
      <c r="N22" s="71"/>
      <c r="O22" s="71"/>
      <c r="P22" s="71"/>
      <c r="Q22" s="71"/>
      <c r="R22" s="71"/>
      <c r="S22" s="71"/>
      <c r="T22" s="71"/>
    </row>
    <row r="23" ht="12.75" customHeight="1">
      <c r="A23" s="74" t="s">
        <v>45</v>
      </c>
      <c r="B23" s="75" t="s">
        <v>46</v>
      </c>
      <c r="E23" s="4"/>
      <c r="F23" s="55"/>
      <c r="G23" s="35" t="s">
        <v>17</v>
      </c>
      <c r="H23" s="35" t="s">
        <v>17</v>
      </c>
      <c r="I23" s="35" t="s">
        <v>17</v>
      </c>
      <c r="J23" s="35" t="s">
        <v>18</v>
      </c>
      <c r="K23" s="35" t="s">
        <v>17</v>
      </c>
      <c r="L23" s="76" t="s">
        <v>17</v>
      </c>
      <c r="M23" s="36"/>
      <c r="N23" s="71"/>
      <c r="O23" s="71"/>
      <c r="P23" s="71"/>
      <c r="Q23" s="71"/>
      <c r="R23" s="71"/>
      <c r="S23" s="71"/>
      <c r="T23" s="71"/>
    </row>
    <row r="24" ht="12.75" customHeight="1">
      <c r="E24" s="4"/>
      <c r="F24" s="3"/>
      <c r="G24" s="3"/>
      <c r="H24" s="3"/>
      <c r="I24" s="3"/>
      <c r="J24" s="3"/>
      <c r="K24" s="3"/>
      <c r="L24" s="3"/>
      <c r="M24" s="3"/>
      <c r="N24" s="71"/>
      <c r="O24" s="71"/>
      <c r="P24" s="71"/>
      <c r="Q24" s="71"/>
      <c r="R24" s="71"/>
      <c r="S24" s="71"/>
      <c r="T24" s="71"/>
    </row>
    <row r="25" ht="12.75" customHeight="1">
      <c r="A25" s="72"/>
      <c r="B25" s="73"/>
      <c r="C25" s="73"/>
      <c r="D25" s="73"/>
      <c r="E25" s="4"/>
      <c r="F25" s="29"/>
      <c r="G25" s="77"/>
      <c r="H25" s="77"/>
      <c r="I25" s="77"/>
      <c r="J25" s="77"/>
      <c r="K25" s="77"/>
      <c r="L25" s="77"/>
      <c r="M25" s="78"/>
      <c r="N25" s="71"/>
      <c r="O25" s="71"/>
      <c r="P25" s="79"/>
      <c r="Q25" s="71"/>
      <c r="R25" s="71"/>
      <c r="S25" s="71"/>
      <c r="T25" s="71"/>
    </row>
    <row r="26" ht="12.75" customHeight="1">
      <c r="A26" s="67" t="s">
        <v>47</v>
      </c>
      <c r="B26" s="68" t="s">
        <v>48</v>
      </c>
      <c r="E26" s="4"/>
      <c r="F26" s="57"/>
      <c r="G26" s="80" t="s">
        <v>49</v>
      </c>
      <c r="H26" s="11" t="s">
        <v>50</v>
      </c>
      <c r="I26" s="12" t="s">
        <v>51</v>
      </c>
      <c r="J26" s="13" t="s">
        <v>52</v>
      </c>
      <c r="K26" s="14" t="s">
        <v>53</v>
      </c>
      <c r="L26" s="15" t="s">
        <v>54</v>
      </c>
      <c r="M26" s="16"/>
      <c r="N26" s="71"/>
      <c r="O26" s="71"/>
      <c r="P26" s="79"/>
      <c r="Q26" s="71"/>
      <c r="R26" s="71"/>
      <c r="S26" s="71"/>
      <c r="T26" s="71"/>
    </row>
    <row r="27" ht="12.75" customHeight="1">
      <c r="E27" s="4"/>
      <c r="F27" s="3"/>
      <c r="G27" s="3"/>
      <c r="H27" s="3"/>
      <c r="I27" s="3"/>
      <c r="J27" s="3"/>
      <c r="K27" s="3"/>
      <c r="L27" s="3"/>
      <c r="M27" s="3"/>
      <c r="N27" s="71"/>
      <c r="O27" s="71"/>
      <c r="P27" s="79"/>
      <c r="Q27" s="71"/>
      <c r="R27" s="71"/>
      <c r="S27" s="71"/>
      <c r="T27" s="71"/>
    </row>
    <row r="28" ht="12.75" customHeight="1">
      <c r="A28" s="72"/>
      <c r="B28" s="73"/>
      <c r="C28" s="73"/>
      <c r="D28" s="73"/>
      <c r="E28" s="4"/>
      <c r="F28" s="29"/>
      <c r="G28" s="28">
        <v>450.0</v>
      </c>
      <c r="H28" s="28">
        <v>280.0</v>
      </c>
      <c r="I28" s="27">
        <v>160.0</v>
      </c>
      <c r="J28" s="28">
        <v>10.0</v>
      </c>
      <c r="K28" s="27">
        <v>110.0</v>
      </c>
      <c r="L28" s="27">
        <v>180.0</v>
      </c>
      <c r="M28" s="81"/>
      <c r="N28" s="71"/>
      <c r="O28" s="71"/>
      <c r="P28" s="82"/>
      <c r="Q28" s="71"/>
      <c r="R28" s="71"/>
      <c r="S28" s="71"/>
      <c r="T28" s="71"/>
    </row>
    <row r="29" ht="12.75" customHeight="1">
      <c r="A29" s="74" t="s">
        <v>55</v>
      </c>
      <c r="B29" s="83" t="s">
        <v>56</v>
      </c>
      <c r="E29" s="4"/>
      <c r="F29" s="55"/>
      <c r="G29" s="34" t="s">
        <v>19</v>
      </c>
      <c r="H29" s="34" t="s">
        <v>17</v>
      </c>
      <c r="I29" s="34" t="s">
        <v>29</v>
      </c>
      <c r="J29" s="34" t="s">
        <v>17</v>
      </c>
      <c r="K29" s="34" t="s">
        <v>17</v>
      </c>
      <c r="L29" s="35" t="s">
        <v>17</v>
      </c>
      <c r="M29" s="36"/>
      <c r="N29" s="71"/>
      <c r="O29" s="71"/>
      <c r="P29" s="71"/>
      <c r="Q29" s="71"/>
      <c r="R29" s="71"/>
      <c r="S29" s="71"/>
      <c r="T29" s="71"/>
    </row>
    <row r="30" ht="12.75" customHeight="1">
      <c r="E30" s="4"/>
      <c r="F30" s="3"/>
      <c r="G30" s="3"/>
      <c r="H30" s="3"/>
      <c r="I30" s="3"/>
      <c r="J30" s="3"/>
      <c r="K30" s="3"/>
      <c r="L30" s="3"/>
      <c r="M30" s="3"/>
      <c r="N30" s="71"/>
      <c r="O30" s="71"/>
      <c r="P30" s="71"/>
      <c r="Q30" s="71"/>
      <c r="R30" s="71"/>
      <c r="S30" s="71"/>
      <c r="T30" s="71"/>
    </row>
    <row r="31" ht="12.75" customHeight="1">
      <c r="A31" s="72"/>
      <c r="B31" s="73"/>
      <c r="C31" s="73"/>
      <c r="D31" s="73"/>
      <c r="E31" s="4"/>
      <c r="F31" s="57"/>
      <c r="G31" s="16"/>
      <c r="H31" s="84"/>
      <c r="I31" s="16"/>
      <c r="J31" s="16"/>
      <c r="K31" s="16"/>
      <c r="L31" s="16"/>
      <c r="M31" s="85"/>
      <c r="N31" s="71"/>
      <c r="O31" s="71"/>
      <c r="P31" s="71"/>
      <c r="Q31" s="71"/>
      <c r="R31" s="71"/>
      <c r="S31" s="71"/>
      <c r="T31" s="71"/>
    </row>
    <row r="32" ht="12.75" customHeight="1">
      <c r="A32" s="67" t="s">
        <v>57</v>
      </c>
      <c r="B32" s="68" t="s">
        <v>58</v>
      </c>
      <c r="E32" s="4"/>
      <c r="F32" s="57"/>
      <c r="G32" s="70" t="s">
        <v>59</v>
      </c>
      <c r="H32" s="12" t="s">
        <v>60</v>
      </c>
      <c r="I32" s="12" t="s">
        <v>61</v>
      </c>
      <c r="J32" s="13" t="s">
        <v>62</v>
      </c>
      <c r="K32" s="15" t="s">
        <v>63</v>
      </c>
      <c r="L32" s="15" t="s">
        <v>64</v>
      </c>
      <c r="M32" s="16"/>
      <c r="N32" s="71"/>
      <c r="O32" s="71"/>
      <c r="P32" s="71"/>
      <c r="Q32" s="71"/>
      <c r="R32" s="71"/>
      <c r="S32" s="71"/>
      <c r="T32" s="71"/>
    </row>
    <row r="33" ht="12.75" customHeight="1">
      <c r="E33" s="4"/>
      <c r="F33" s="3"/>
      <c r="G33" s="3"/>
      <c r="H33" s="3"/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/>
    </row>
    <row r="34" ht="12.75" customHeight="1">
      <c r="A34" s="72"/>
      <c r="B34" s="73"/>
      <c r="C34" s="73"/>
      <c r="D34" s="73"/>
      <c r="E34" s="4"/>
      <c r="F34" s="29"/>
      <c r="G34" s="27">
        <v>250.0</v>
      </c>
      <c r="H34" s="28">
        <v>260.0</v>
      </c>
      <c r="I34" s="27">
        <v>50.0</v>
      </c>
      <c r="J34" s="28">
        <v>10.0</v>
      </c>
      <c r="K34" s="27">
        <v>10.0</v>
      </c>
      <c r="L34" s="27">
        <v>10.0</v>
      </c>
      <c r="M34" s="81"/>
      <c r="N34" s="4"/>
      <c r="O34" s="4"/>
      <c r="P34" s="4"/>
      <c r="Q34" s="4"/>
      <c r="R34" s="4"/>
      <c r="S34" s="4"/>
      <c r="T34" s="4"/>
    </row>
    <row r="35" ht="12.75" customHeight="1">
      <c r="A35" s="74" t="s">
        <v>65</v>
      </c>
      <c r="B35" s="83" t="s">
        <v>66</v>
      </c>
      <c r="E35" s="4"/>
      <c r="F35" s="55"/>
      <c r="G35" s="35" t="s">
        <v>17</v>
      </c>
      <c r="H35" s="34" t="s">
        <v>17</v>
      </c>
      <c r="I35" s="35" t="s">
        <v>17</v>
      </c>
      <c r="J35" s="34" t="s">
        <v>16</v>
      </c>
      <c r="K35" s="35" t="s">
        <v>29</v>
      </c>
      <c r="L35" s="35" t="s">
        <v>29</v>
      </c>
      <c r="M35" s="36"/>
      <c r="N35" s="4"/>
      <c r="O35" s="4"/>
      <c r="P35" s="4"/>
      <c r="Q35" s="4"/>
      <c r="R35" s="4"/>
      <c r="S35" s="4"/>
      <c r="T35" s="4"/>
    </row>
    <row r="36" ht="12.75" customHeight="1">
      <c r="E36" s="4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</row>
    <row r="37" ht="12.75" customHeight="1">
      <c r="A37" s="72"/>
      <c r="B37" s="73"/>
      <c r="C37" s="73"/>
      <c r="D37" s="73"/>
      <c r="E37" s="86"/>
      <c r="F37" s="57"/>
      <c r="G37" s="16" t="s">
        <v>39</v>
      </c>
      <c r="H37" s="84" t="s">
        <v>24</v>
      </c>
      <c r="I37" s="16" t="s">
        <v>40</v>
      </c>
      <c r="J37" s="16" t="s">
        <v>67</v>
      </c>
      <c r="K37" s="16" t="s">
        <v>68</v>
      </c>
      <c r="L37" s="16"/>
      <c r="M37" s="85"/>
      <c r="N37" s="86"/>
      <c r="O37" s="86"/>
      <c r="P37" s="86"/>
      <c r="Q37" s="86"/>
      <c r="R37" s="86"/>
      <c r="S37" s="86"/>
      <c r="T37" s="86"/>
    </row>
    <row r="38" ht="12.75" customHeight="1">
      <c r="A38" s="67" t="s">
        <v>69</v>
      </c>
      <c r="B38" s="68" t="s">
        <v>70</v>
      </c>
      <c r="E38" s="86"/>
      <c r="F38" s="57"/>
      <c r="G38" s="11" t="s">
        <v>71</v>
      </c>
      <c r="H38" s="12" t="s">
        <v>72</v>
      </c>
      <c r="I38" s="13" t="s">
        <v>73</v>
      </c>
      <c r="J38" s="14" t="s">
        <v>74</v>
      </c>
      <c r="K38" s="15" t="s">
        <v>75</v>
      </c>
      <c r="L38" s="15" t="s">
        <v>76</v>
      </c>
      <c r="M38" s="16"/>
      <c r="N38" s="86"/>
      <c r="O38" s="86"/>
      <c r="P38" s="86"/>
      <c r="Q38" s="86"/>
      <c r="R38" s="86"/>
      <c r="S38" s="86"/>
      <c r="T38" s="86"/>
    </row>
    <row r="39" ht="12.75" customHeight="1">
      <c r="E39" s="86"/>
      <c r="F39" s="3"/>
      <c r="G39" s="3"/>
      <c r="H39" s="3"/>
      <c r="I39" s="3"/>
      <c r="J39" s="3"/>
      <c r="K39" s="3"/>
      <c r="L39" s="3"/>
      <c r="M39" s="3"/>
      <c r="N39" s="86"/>
      <c r="O39" s="86"/>
      <c r="P39" s="86"/>
      <c r="Q39" s="86"/>
      <c r="R39" s="86"/>
      <c r="S39" s="86"/>
      <c r="T39" s="86"/>
    </row>
    <row r="40" ht="12.75" customHeight="1">
      <c r="A40" s="72"/>
      <c r="B40" s="73"/>
      <c r="C40" s="87">
        <v>470.0</v>
      </c>
      <c r="D40" s="73"/>
      <c r="E40" s="86"/>
      <c r="F40" s="29"/>
      <c r="G40" s="27">
        <v>230.0</v>
      </c>
      <c r="H40" s="27">
        <v>180.0</v>
      </c>
      <c r="I40" s="27">
        <v>270.0</v>
      </c>
      <c r="J40" s="27">
        <v>150.0</v>
      </c>
      <c r="K40" s="27">
        <v>10.0</v>
      </c>
      <c r="L40" s="28">
        <v>10.0</v>
      </c>
      <c r="M40" s="81"/>
      <c r="N40" s="86"/>
      <c r="O40" s="86"/>
      <c r="P40" s="86"/>
      <c r="Q40" s="86"/>
      <c r="R40" s="86"/>
      <c r="S40" s="86"/>
      <c r="T40" s="86"/>
    </row>
    <row r="41" ht="12.75" customHeight="1">
      <c r="A41" s="74" t="s">
        <v>77</v>
      </c>
      <c r="B41" s="83" t="s">
        <v>78</v>
      </c>
      <c r="E41" s="86"/>
      <c r="F41" s="55"/>
      <c r="G41" s="35" t="s">
        <v>19</v>
      </c>
      <c r="H41" s="35" t="s">
        <v>16</v>
      </c>
      <c r="I41" s="35" t="s">
        <v>29</v>
      </c>
      <c r="J41" s="34" t="s">
        <v>17</v>
      </c>
      <c r="K41" s="35" t="s">
        <v>17</v>
      </c>
      <c r="L41" s="34" t="s">
        <v>17</v>
      </c>
      <c r="M41" s="36"/>
      <c r="N41" s="86"/>
      <c r="O41" s="86"/>
      <c r="P41" s="86"/>
      <c r="Q41" s="86"/>
      <c r="R41" s="86"/>
      <c r="S41" s="86"/>
      <c r="T41" s="86"/>
    </row>
    <row r="42" ht="12.75" customHeight="1">
      <c r="E42" s="86"/>
      <c r="F42" s="3"/>
      <c r="G42" s="3"/>
      <c r="H42" s="3"/>
      <c r="I42" s="3"/>
      <c r="J42" s="3"/>
      <c r="K42" s="3"/>
      <c r="L42" s="3"/>
      <c r="M42" s="3"/>
      <c r="N42" s="86"/>
      <c r="O42" s="86"/>
      <c r="P42" s="86"/>
      <c r="Q42" s="86"/>
      <c r="R42" s="86"/>
      <c r="S42" s="86"/>
      <c r="T42" s="86"/>
    </row>
    <row r="43" ht="12.75" customHeight="1">
      <c r="A43" s="72"/>
      <c r="B43" s="73"/>
      <c r="C43" s="73"/>
      <c r="D43" s="73"/>
      <c r="E43" s="86"/>
      <c r="F43" s="57"/>
      <c r="G43" s="88"/>
      <c r="H43" s="88"/>
      <c r="I43" s="88"/>
      <c r="J43" s="88"/>
      <c r="K43" s="88"/>
      <c r="L43" s="88"/>
      <c r="M43" s="85"/>
      <c r="N43" s="86"/>
      <c r="O43" s="86"/>
      <c r="P43" s="86"/>
      <c r="Q43" s="86"/>
      <c r="R43" s="86"/>
      <c r="S43" s="86"/>
      <c r="T43" s="86"/>
    </row>
    <row r="44" ht="12.75" customHeight="1">
      <c r="A44" s="67" t="s">
        <v>79</v>
      </c>
      <c r="B44" s="68" t="s">
        <v>80</v>
      </c>
      <c r="E44" s="86"/>
      <c r="F44" s="57" t="s">
        <v>81</v>
      </c>
      <c r="G44" s="16" t="s">
        <v>82</v>
      </c>
      <c r="H44" s="84" t="s">
        <v>24</v>
      </c>
      <c r="I44" s="16" t="s">
        <v>40</v>
      </c>
      <c r="J44" s="16"/>
      <c r="K44" s="16"/>
      <c r="L44" s="16" t="s">
        <v>75</v>
      </c>
      <c r="M44" s="85"/>
      <c r="N44" s="86"/>
      <c r="O44" s="86"/>
      <c r="P44" s="86"/>
      <c r="Q44" s="86"/>
      <c r="R44" s="86"/>
      <c r="S44" s="86"/>
      <c r="T44" s="86"/>
    </row>
    <row r="45" ht="12.75" customHeight="1">
      <c r="E45" s="86"/>
      <c r="F45" s="3"/>
      <c r="G45" s="3"/>
      <c r="H45" s="3"/>
      <c r="I45" s="3"/>
      <c r="J45" s="3"/>
      <c r="K45" s="3"/>
      <c r="L45" s="3"/>
      <c r="M45" s="69"/>
      <c r="N45" s="86"/>
      <c r="O45" s="86"/>
      <c r="P45" s="86"/>
      <c r="Q45" s="86"/>
      <c r="R45" s="86"/>
      <c r="S45" s="86"/>
      <c r="T45" s="86"/>
    </row>
    <row r="46" ht="12.75" customHeight="1">
      <c r="A46" s="89"/>
      <c r="B46" s="87"/>
      <c r="C46" s="87"/>
      <c r="D46" s="87"/>
      <c r="E46" s="86"/>
      <c r="F46" s="29" t="s">
        <v>83</v>
      </c>
      <c r="G46" s="81"/>
      <c r="H46" s="77"/>
      <c r="I46" s="77"/>
      <c r="J46" s="77"/>
      <c r="K46" s="77"/>
      <c r="L46" s="77"/>
      <c r="M46" s="90"/>
      <c r="N46" s="86"/>
      <c r="O46" s="86"/>
      <c r="P46" s="86"/>
      <c r="Q46" s="86"/>
      <c r="R46" s="86"/>
      <c r="S46" s="86"/>
      <c r="T46" s="86"/>
    </row>
    <row r="47" ht="13.5" customHeight="1">
      <c r="A47" s="74" t="s">
        <v>84</v>
      </c>
      <c r="B47" s="83" t="s">
        <v>85</v>
      </c>
      <c r="E47" s="86"/>
      <c r="F47" s="55" t="s">
        <v>86</v>
      </c>
      <c r="G47" s="36"/>
      <c r="H47" s="41"/>
      <c r="I47" s="41"/>
      <c r="J47" s="41"/>
      <c r="K47" s="41"/>
      <c r="L47" s="41"/>
      <c r="M47" s="66"/>
      <c r="N47" s="86"/>
      <c r="O47" s="86"/>
      <c r="P47" s="86"/>
      <c r="Q47" s="86"/>
      <c r="R47" s="86"/>
      <c r="S47" s="86"/>
      <c r="T47" s="86"/>
    </row>
    <row r="48" ht="13.5" customHeight="1">
      <c r="E48" s="86"/>
      <c r="F48" s="3"/>
      <c r="G48" s="3"/>
      <c r="H48" s="3"/>
      <c r="I48" s="3"/>
      <c r="J48" s="3"/>
      <c r="K48" s="3"/>
      <c r="L48" s="3"/>
      <c r="M48" s="41"/>
      <c r="N48" s="86"/>
      <c r="O48" s="91" t="s">
        <v>87</v>
      </c>
      <c r="P48" s="86"/>
      <c r="Q48" s="86"/>
      <c r="R48" s="86"/>
      <c r="S48" s="86"/>
      <c r="T48" s="86"/>
    </row>
    <row r="49" ht="13.5" customHeight="1">
      <c r="A49" s="72"/>
      <c r="B49" s="73"/>
      <c r="C49" s="73"/>
      <c r="D49" s="73"/>
      <c r="E49" s="86"/>
      <c r="F49" s="55"/>
      <c r="G49" s="41"/>
      <c r="H49" s="41"/>
      <c r="I49" s="41"/>
      <c r="J49" s="41"/>
      <c r="K49" s="41"/>
      <c r="L49" s="41"/>
      <c r="M49" s="3"/>
      <c r="N49" s="86"/>
      <c r="O49" s="86"/>
      <c r="P49" s="86"/>
      <c r="Q49" s="86"/>
      <c r="R49" s="86"/>
      <c r="S49" s="86"/>
      <c r="T49" s="86"/>
    </row>
    <row r="50" ht="13.5" customHeight="1">
      <c r="A50" s="67" t="s">
        <v>88</v>
      </c>
      <c r="B50" s="68" t="s">
        <v>89</v>
      </c>
      <c r="E50" s="86"/>
      <c r="F50" s="57" t="s">
        <v>81</v>
      </c>
      <c r="G50" s="88"/>
      <c r="H50" s="88"/>
      <c r="I50" s="88"/>
      <c r="J50" s="88"/>
      <c r="K50" s="16"/>
      <c r="L50" s="88"/>
      <c r="M50" s="85"/>
      <c r="N50" s="86"/>
      <c r="O50" s="86"/>
      <c r="P50" s="86"/>
      <c r="Q50" s="86"/>
      <c r="R50" s="86"/>
      <c r="S50" s="86"/>
      <c r="T50" s="86"/>
    </row>
    <row r="51" ht="13.5" customHeight="1">
      <c r="E51" s="86"/>
      <c r="F51" s="3"/>
      <c r="G51" s="3"/>
      <c r="H51" s="3"/>
      <c r="I51" s="3"/>
      <c r="J51" s="3"/>
      <c r="K51" s="3"/>
      <c r="L51" s="88"/>
      <c r="M51" s="85"/>
      <c r="N51" s="86"/>
      <c r="O51" s="86"/>
      <c r="P51" s="86"/>
      <c r="Q51" s="86"/>
      <c r="R51" s="86"/>
      <c r="S51" s="86"/>
      <c r="T51" s="86"/>
    </row>
    <row r="52" ht="13.5" customHeight="1">
      <c r="A52" s="72"/>
      <c r="B52" s="73"/>
      <c r="C52" s="87">
        <v>470.0</v>
      </c>
      <c r="D52" s="73"/>
      <c r="E52" s="86"/>
      <c r="F52" s="29" t="s">
        <v>83</v>
      </c>
      <c r="G52" s="88"/>
      <c r="H52" s="88"/>
      <c r="I52" s="88"/>
      <c r="J52" s="88"/>
      <c r="K52" s="77"/>
      <c r="L52" s="3"/>
      <c r="M52" s="85"/>
      <c r="N52" s="86"/>
      <c r="O52" s="86"/>
      <c r="P52" s="86"/>
      <c r="Q52" s="86"/>
      <c r="R52" s="86"/>
      <c r="S52" s="86"/>
      <c r="T52" s="86"/>
    </row>
    <row r="53" ht="13.5" customHeight="1">
      <c r="A53" s="74" t="s">
        <v>90</v>
      </c>
      <c r="B53" s="83" t="s">
        <v>91</v>
      </c>
      <c r="E53" s="86"/>
      <c r="F53" s="55" t="s">
        <v>86</v>
      </c>
      <c r="G53" s="92"/>
      <c r="H53" s="92"/>
      <c r="I53" s="92"/>
      <c r="J53" s="93"/>
      <c r="K53" s="41"/>
      <c r="L53" s="94" t="s">
        <v>15</v>
      </c>
      <c r="M53" s="95" t="s">
        <v>15</v>
      </c>
      <c r="N53" s="86"/>
      <c r="O53" s="86"/>
      <c r="P53" s="86"/>
      <c r="Q53" s="86"/>
      <c r="R53" s="86"/>
      <c r="S53" s="86"/>
      <c r="T53" s="86"/>
    </row>
    <row r="54" ht="13.5" customHeight="1">
      <c r="E54" s="86"/>
      <c r="F54" s="3"/>
      <c r="G54" s="89"/>
      <c r="H54" s="89"/>
      <c r="I54" s="89"/>
      <c r="J54" s="4"/>
      <c r="K54" s="3"/>
      <c r="L54" s="88"/>
      <c r="M54" s="85"/>
      <c r="N54" s="86"/>
      <c r="O54" s="86"/>
      <c r="P54" s="86"/>
      <c r="Q54" s="86"/>
      <c r="R54" s="86"/>
      <c r="S54" s="86"/>
      <c r="T54" s="86"/>
    </row>
    <row r="55" ht="13.5" customHeight="1">
      <c r="A55" s="72"/>
      <c r="B55" s="73"/>
      <c r="C55" s="73"/>
      <c r="D55" s="73"/>
      <c r="E55" s="86"/>
      <c r="F55" s="55"/>
      <c r="G55" s="89"/>
      <c r="H55" s="89"/>
      <c r="I55" s="89"/>
      <c r="J55" s="4"/>
      <c r="K55" s="41"/>
      <c r="L55" s="92"/>
      <c r="M55" s="96"/>
      <c r="N55" s="86"/>
      <c r="O55" s="86"/>
      <c r="P55" s="86"/>
      <c r="Q55" s="86"/>
      <c r="R55" s="86"/>
      <c r="S55" s="86"/>
      <c r="T55" s="86"/>
    </row>
    <row r="56" ht="13.5" customHeight="1">
      <c r="A56" s="67" t="s">
        <v>92</v>
      </c>
      <c r="B56" s="68" t="s">
        <v>93</v>
      </c>
      <c r="E56" s="86"/>
      <c r="F56" s="55"/>
      <c r="G56" s="89"/>
      <c r="H56" s="89"/>
      <c r="I56" s="89"/>
      <c r="J56" s="4"/>
      <c r="K56" s="41"/>
      <c r="L56" s="89"/>
      <c r="M56" s="89"/>
      <c r="N56" s="86"/>
      <c r="O56" s="86"/>
      <c r="P56" s="86"/>
      <c r="Q56" s="86"/>
      <c r="R56" s="86"/>
      <c r="S56" s="86"/>
      <c r="T56" s="86"/>
    </row>
    <row r="57" ht="13.5" customHeight="1">
      <c r="E57" s="86"/>
      <c r="F57" s="97"/>
      <c r="G57" s="89"/>
      <c r="H57" s="89"/>
      <c r="I57" s="89"/>
      <c r="J57" s="4"/>
      <c r="K57" s="98"/>
      <c r="L57" s="89"/>
      <c r="M57" s="89"/>
      <c r="N57" s="86"/>
      <c r="O57" s="86"/>
      <c r="P57" s="86"/>
      <c r="Q57" s="86"/>
      <c r="R57" s="86"/>
      <c r="S57" s="86"/>
      <c r="T57" s="86"/>
    </row>
    <row r="58" ht="13.5" customHeight="1">
      <c r="A58" s="99"/>
      <c r="B58" s="100"/>
      <c r="C58" s="100"/>
      <c r="D58" s="100"/>
      <c r="E58" s="86"/>
      <c r="F58" s="97"/>
      <c r="G58" s="89"/>
      <c r="H58" s="89"/>
      <c r="I58" s="89"/>
      <c r="J58" s="4"/>
      <c r="K58" s="98"/>
      <c r="L58" s="89"/>
      <c r="M58" s="89"/>
      <c r="N58" s="86"/>
      <c r="O58" s="86"/>
      <c r="P58" s="86"/>
      <c r="Q58" s="86"/>
      <c r="R58" s="86"/>
      <c r="S58" s="86"/>
      <c r="T58" s="86"/>
    </row>
    <row r="59" ht="13.5" customHeight="1">
      <c r="A59" s="74" t="s">
        <v>94</v>
      </c>
      <c r="B59" s="83" t="s">
        <v>95</v>
      </c>
      <c r="E59" s="86"/>
      <c r="F59" s="97"/>
      <c r="G59" s="89"/>
      <c r="H59" s="89"/>
      <c r="I59" s="89"/>
      <c r="J59" s="4"/>
      <c r="K59" s="98"/>
      <c r="L59" s="89"/>
      <c r="M59" s="89"/>
      <c r="N59" s="86"/>
      <c r="O59" s="86"/>
      <c r="P59" s="86"/>
      <c r="Q59" s="86"/>
      <c r="R59" s="86"/>
      <c r="S59" s="86"/>
      <c r="T59" s="86"/>
    </row>
    <row r="60" ht="13.5" customHeight="1">
      <c r="E60" s="86"/>
      <c r="F60" s="97"/>
      <c r="G60" s="89"/>
      <c r="H60" s="89"/>
      <c r="I60" s="89"/>
      <c r="J60" s="4"/>
      <c r="K60" s="98"/>
      <c r="L60" s="89"/>
      <c r="M60" s="89"/>
      <c r="N60" s="86"/>
      <c r="O60" s="86"/>
      <c r="P60" s="86"/>
      <c r="Q60" s="86"/>
      <c r="R60" s="86"/>
      <c r="S60" s="86"/>
      <c r="T60" s="86"/>
    </row>
    <row r="61">
      <c r="A61" s="99"/>
      <c r="B61" s="99"/>
      <c r="C61" s="99"/>
      <c r="D61" s="99"/>
      <c r="E61" s="86"/>
      <c r="F61" s="97"/>
      <c r="G61" s="89"/>
      <c r="H61" s="89"/>
      <c r="I61" s="89"/>
      <c r="J61" s="4"/>
      <c r="K61" s="98"/>
      <c r="L61" s="89"/>
      <c r="M61" s="89"/>
      <c r="N61" s="86"/>
      <c r="O61" s="86"/>
      <c r="P61" s="86"/>
      <c r="Q61" s="86"/>
      <c r="R61" s="86"/>
      <c r="S61" s="86"/>
      <c r="T61" s="86"/>
    </row>
    <row r="62">
      <c r="A62" s="99"/>
      <c r="B62" s="99"/>
      <c r="C62" s="99"/>
      <c r="D62" s="99"/>
      <c r="E62" s="86"/>
      <c r="F62" s="97"/>
      <c r="G62" s="89"/>
      <c r="H62" s="89"/>
      <c r="I62" s="89"/>
      <c r="J62" s="4"/>
      <c r="K62" s="98"/>
      <c r="L62" s="89"/>
      <c r="M62" s="89"/>
      <c r="N62" s="86"/>
      <c r="O62" s="86"/>
      <c r="P62" s="86"/>
      <c r="Q62" s="86"/>
      <c r="R62" s="86"/>
      <c r="S62" s="86"/>
      <c r="T62" s="86"/>
    </row>
    <row r="63">
      <c r="A63" s="99"/>
      <c r="B63" s="99"/>
      <c r="C63" s="99"/>
      <c r="D63" s="99"/>
      <c r="E63" s="86"/>
      <c r="F63" s="97"/>
      <c r="G63" s="89"/>
      <c r="H63" s="89"/>
      <c r="I63" s="89"/>
      <c r="J63" s="4"/>
      <c r="K63" s="98"/>
      <c r="L63" s="89"/>
      <c r="M63" s="89"/>
      <c r="N63" s="86"/>
      <c r="O63" s="86"/>
      <c r="P63" s="86"/>
      <c r="Q63" s="86"/>
      <c r="R63" s="86"/>
      <c r="S63" s="86"/>
      <c r="T63" s="86"/>
    </row>
    <row r="64">
      <c r="A64" s="99"/>
      <c r="B64" s="99"/>
      <c r="C64" s="99"/>
      <c r="D64" s="99"/>
      <c r="E64" s="86"/>
      <c r="F64" s="97"/>
      <c r="G64" s="89"/>
      <c r="H64" s="89"/>
      <c r="I64" s="89"/>
      <c r="J64" s="4"/>
      <c r="K64" s="98"/>
      <c r="L64" s="89"/>
      <c r="M64" s="89"/>
      <c r="N64" s="86"/>
      <c r="O64" s="86"/>
      <c r="P64" s="86"/>
      <c r="Q64" s="86"/>
      <c r="R64" s="86"/>
      <c r="S64" s="86"/>
      <c r="T64" s="86"/>
    </row>
    <row r="65">
      <c r="A65" s="99"/>
      <c r="B65" s="99"/>
      <c r="C65" s="99"/>
      <c r="D65" s="99"/>
      <c r="E65" s="86"/>
      <c r="F65" s="97"/>
      <c r="G65" s="89"/>
      <c r="H65" s="89"/>
      <c r="I65" s="89"/>
      <c r="J65" s="4"/>
      <c r="K65" s="98"/>
      <c r="L65" s="89"/>
      <c r="M65" s="89"/>
      <c r="N65" s="86"/>
      <c r="O65" s="86"/>
      <c r="P65" s="86"/>
      <c r="Q65" s="86"/>
      <c r="R65" s="86"/>
      <c r="S65" s="86"/>
      <c r="T65" s="86"/>
    </row>
    <row r="66">
      <c r="A66" s="99"/>
      <c r="B66" s="99"/>
      <c r="C66" s="99"/>
      <c r="D66" s="99"/>
      <c r="E66" s="86"/>
      <c r="F66" s="97"/>
      <c r="G66" s="89"/>
      <c r="H66" s="89"/>
      <c r="I66" s="89"/>
      <c r="J66" s="4"/>
      <c r="K66" s="98"/>
      <c r="L66" s="89"/>
      <c r="M66" s="89"/>
      <c r="N66" s="86"/>
      <c r="O66" s="86"/>
      <c r="P66" s="86"/>
      <c r="Q66" s="86"/>
      <c r="R66" s="86"/>
      <c r="S66" s="86"/>
      <c r="T66" s="86"/>
    </row>
  </sheetData>
  <mergeCells count="176">
    <mergeCell ref="K38:K39"/>
    <mergeCell ref="L38:L39"/>
    <mergeCell ref="M38:M39"/>
    <mergeCell ref="A38:A39"/>
    <mergeCell ref="B38:D39"/>
    <mergeCell ref="F38:F39"/>
    <mergeCell ref="G38:G39"/>
    <mergeCell ref="H38:H39"/>
    <mergeCell ref="I38:I39"/>
    <mergeCell ref="J38:J39"/>
    <mergeCell ref="K41:K42"/>
    <mergeCell ref="L41:L42"/>
    <mergeCell ref="M41:M42"/>
    <mergeCell ref="A41:A42"/>
    <mergeCell ref="B41:D42"/>
    <mergeCell ref="F41:F42"/>
    <mergeCell ref="G41:G42"/>
    <mergeCell ref="H41:H42"/>
    <mergeCell ref="I41:I42"/>
    <mergeCell ref="J41:J42"/>
    <mergeCell ref="K44:K45"/>
    <mergeCell ref="L44:L45"/>
    <mergeCell ref="M44:M46"/>
    <mergeCell ref="A44:A45"/>
    <mergeCell ref="B44:D45"/>
    <mergeCell ref="F44:F45"/>
    <mergeCell ref="G44:G45"/>
    <mergeCell ref="H44:H45"/>
    <mergeCell ref="I44:I45"/>
    <mergeCell ref="J44:J45"/>
    <mergeCell ref="K47:K48"/>
    <mergeCell ref="L47:L48"/>
    <mergeCell ref="M48:M49"/>
    <mergeCell ref="A47:A48"/>
    <mergeCell ref="B47:D48"/>
    <mergeCell ref="F47:F48"/>
    <mergeCell ref="G47:G48"/>
    <mergeCell ref="H47:H48"/>
    <mergeCell ref="I47:I48"/>
    <mergeCell ref="J47:J48"/>
    <mergeCell ref="K50:K51"/>
    <mergeCell ref="L51:L52"/>
    <mergeCell ref="A50:A51"/>
    <mergeCell ref="B50:D51"/>
    <mergeCell ref="F50:F51"/>
    <mergeCell ref="G50:G51"/>
    <mergeCell ref="H50:H51"/>
    <mergeCell ref="I50:I51"/>
    <mergeCell ref="J50:J51"/>
    <mergeCell ref="G14:G15"/>
    <mergeCell ref="H14:H15"/>
    <mergeCell ref="I14:I15"/>
    <mergeCell ref="J14:J15"/>
    <mergeCell ref="K14:K15"/>
    <mergeCell ref="L14:L15"/>
    <mergeCell ref="M14:M15"/>
    <mergeCell ref="F14:F15"/>
    <mergeCell ref="F17:F18"/>
    <mergeCell ref="G17:G18"/>
    <mergeCell ref="H17:H18"/>
    <mergeCell ref="I17:I18"/>
    <mergeCell ref="J17:J18"/>
    <mergeCell ref="K17:K18"/>
    <mergeCell ref="J20:J21"/>
    <mergeCell ref="K20:K21"/>
    <mergeCell ref="L20:L21"/>
    <mergeCell ref="M20:M21"/>
    <mergeCell ref="A18:D19"/>
    <mergeCell ref="A20:A21"/>
    <mergeCell ref="B20:D21"/>
    <mergeCell ref="F20:F21"/>
    <mergeCell ref="G20:G21"/>
    <mergeCell ref="H20:H21"/>
    <mergeCell ref="I20:I21"/>
    <mergeCell ref="K23:K24"/>
    <mergeCell ref="L23:L24"/>
    <mergeCell ref="M23:M24"/>
    <mergeCell ref="A23:A24"/>
    <mergeCell ref="B23:D24"/>
    <mergeCell ref="F23:F24"/>
    <mergeCell ref="G23:G24"/>
    <mergeCell ref="H23:H24"/>
    <mergeCell ref="I23:I24"/>
    <mergeCell ref="J23:J24"/>
    <mergeCell ref="A53:A54"/>
    <mergeCell ref="B53:D54"/>
    <mergeCell ref="F53:F54"/>
    <mergeCell ref="K53:K54"/>
    <mergeCell ref="A56:A57"/>
    <mergeCell ref="B56:D57"/>
    <mergeCell ref="A59:A60"/>
    <mergeCell ref="B59:D60"/>
    <mergeCell ref="K5:K6"/>
    <mergeCell ref="L5:L6"/>
    <mergeCell ref="D2:D3"/>
    <mergeCell ref="E6:F6"/>
    <mergeCell ref="A1:M1"/>
    <mergeCell ref="N1:P8"/>
    <mergeCell ref="A2:A3"/>
    <mergeCell ref="B2:B3"/>
    <mergeCell ref="C2:C3"/>
    <mergeCell ref="M2:M3"/>
    <mergeCell ref="M5:M6"/>
    <mergeCell ref="L8:L9"/>
    <mergeCell ref="M8:M9"/>
    <mergeCell ref="E7:F7"/>
    <mergeCell ref="E8:F8"/>
    <mergeCell ref="G8:G9"/>
    <mergeCell ref="H8:H9"/>
    <mergeCell ref="I8:I9"/>
    <mergeCell ref="J8:J9"/>
    <mergeCell ref="K8:K9"/>
    <mergeCell ref="I5:I6"/>
    <mergeCell ref="J5:J6"/>
    <mergeCell ref="E4:F4"/>
    <mergeCell ref="E5:F5"/>
    <mergeCell ref="F11:F12"/>
    <mergeCell ref="G11:G12"/>
    <mergeCell ref="H11:H12"/>
    <mergeCell ref="I11:I12"/>
    <mergeCell ref="J11:J12"/>
    <mergeCell ref="G2:G3"/>
    <mergeCell ref="H2:H3"/>
    <mergeCell ref="I2:I3"/>
    <mergeCell ref="J2:J3"/>
    <mergeCell ref="K2:K3"/>
    <mergeCell ref="L2:L3"/>
    <mergeCell ref="E2:F2"/>
    <mergeCell ref="E3:F3"/>
    <mergeCell ref="G5:G6"/>
    <mergeCell ref="H5:H6"/>
    <mergeCell ref="K11:K12"/>
    <mergeCell ref="L11:L12"/>
    <mergeCell ref="M11:M12"/>
    <mergeCell ref="L17:L18"/>
    <mergeCell ref="M17:M18"/>
    <mergeCell ref="K26:K27"/>
    <mergeCell ref="L26:L27"/>
    <mergeCell ref="M26:M27"/>
    <mergeCell ref="A26:A27"/>
    <mergeCell ref="B26:D27"/>
    <mergeCell ref="F26:F27"/>
    <mergeCell ref="G26:G27"/>
    <mergeCell ref="H26:H27"/>
    <mergeCell ref="I26:I27"/>
    <mergeCell ref="J26:J27"/>
    <mergeCell ref="K29:K30"/>
    <mergeCell ref="L29:L30"/>
    <mergeCell ref="M29:M30"/>
    <mergeCell ref="A29:A30"/>
    <mergeCell ref="B29:D30"/>
    <mergeCell ref="F29:F30"/>
    <mergeCell ref="G29:G30"/>
    <mergeCell ref="H29:H30"/>
    <mergeCell ref="I29:I30"/>
    <mergeCell ref="J29:J30"/>
    <mergeCell ref="K32:K33"/>
    <mergeCell ref="L32:L33"/>
    <mergeCell ref="M32:M33"/>
    <mergeCell ref="A32:A33"/>
    <mergeCell ref="B32:D33"/>
    <mergeCell ref="F32:F33"/>
    <mergeCell ref="G32:G33"/>
    <mergeCell ref="H32:H33"/>
    <mergeCell ref="I32:I33"/>
    <mergeCell ref="J32:J33"/>
    <mergeCell ref="K35:K36"/>
    <mergeCell ref="L35:L36"/>
    <mergeCell ref="M35:M36"/>
    <mergeCell ref="A35:A36"/>
    <mergeCell ref="B35:D36"/>
    <mergeCell ref="F35:F36"/>
    <mergeCell ref="G35:G36"/>
    <mergeCell ref="H35:H36"/>
    <mergeCell ref="I35:I36"/>
    <mergeCell ref="J35:J36"/>
  </mergeCells>
  <conditionalFormatting sqref="G2:M50">
    <cfRule type="cellIs" dxfId="0" priority="1" operator="equal">
      <formula>9</formula>
    </cfRule>
  </conditionalFormatting>
  <conditionalFormatting sqref="D4:D17">
    <cfRule type="cellIs" dxfId="1" priority="2" operator="between">
      <formula>100</formula>
      <formula>200</formula>
    </cfRule>
  </conditionalFormatting>
  <conditionalFormatting sqref="D4:D17">
    <cfRule type="cellIs" dxfId="2" priority="3" operator="greaterThan">
      <formula>349</formula>
    </cfRule>
  </conditionalFormatting>
  <conditionalFormatting sqref="D4:D17">
    <cfRule type="cellIs" dxfId="3" priority="4" operator="between">
      <formula>1</formula>
      <formula>99</formula>
    </cfRule>
  </conditionalFormatting>
  <conditionalFormatting sqref="D4:D17">
    <cfRule type="cellIs" dxfId="4" priority="5" operator="between">
      <formula>200</formula>
      <formula>300</formula>
    </cfRule>
  </conditionalFormatting>
  <conditionalFormatting sqref="D4:D17">
    <cfRule type="cellIs" dxfId="5" priority="6" operator="between">
      <formula>300</formula>
      <formula>349</formula>
    </cfRule>
  </conditionalFormatting>
  <conditionalFormatting sqref="G2:G4">
    <cfRule type="expression" dxfId="6" priority="7">
      <formula>COUNTIF($B$18:$B$66, "*cosmos*") &gt; 0</formula>
    </cfRule>
  </conditionalFormatting>
  <conditionalFormatting sqref="D4:D17">
    <cfRule type="cellIs" dxfId="7" priority="8" operator="equal">
      <formula>0</formula>
    </cfRule>
  </conditionalFormatting>
  <conditionalFormatting sqref="G5:G6">
    <cfRule type="expression" dxfId="8" priority="9">
      <formula>COUNTIF($B$18:$B$66, "*cosmos*") &gt; 0</formula>
    </cfRule>
  </conditionalFormatting>
  <conditionalFormatting sqref="H5:H6">
    <cfRule type="expression" dxfId="8" priority="10">
      <formula>COUNTIF($B$18:$B$66, "*fancy*") &gt; 0</formula>
    </cfRule>
  </conditionalFormatting>
  <conditionalFormatting sqref="I5:I6">
    <cfRule type="expression" dxfId="8" priority="11">
      <formula>COUNTIF($B$18:$B$66, "*death*") &gt; 0</formula>
    </cfRule>
  </conditionalFormatting>
  <conditionalFormatting sqref="I41:I42">
    <cfRule type="expression" dxfId="8" priority="12">
      <formula>COUNTIF($B$18:$B$66, "*mungo*") &gt; 0</formula>
    </cfRule>
  </conditionalFormatting>
  <conditionalFormatting sqref="K5:K6">
    <cfRule type="expression" dxfId="8" priority="13">
      <formula>COUNTIF($B$18:$B$66, "*diablo*") &gt; 0</formula>
    </cfRule>
  </conditionalFormatting>
  <conditionalFormatting sqref="M5:M6">
    <cfRule type="expression" dxfId="8" priority="14">
      <formula>COUNTIF($B$18:$B$66, "*daedric*") &gt; 0</formula>
    </cfRule>
  </conditionalFormatting>
  <conditionalFormatting sqref="G5:G6">
    <cfRule type="expression" dxfId="9" priority="15">
      <formula>N14 &lt; 60</formula>
    </cfRule>
  </conditionalFormatting>
  <conditionalFormatting sqref="G5:G6">
    <cfRule type="expression" dxfId="10" priority="16">
      <formula>N14 &lt; 300</formula>
    </cfRule>
  </conditionalFormatting>
  <conditionalFormatting sqref="G5:G6">
    <cfRule type="expression" dxfId="11" priority="17">
      <formula>N14 &lt; 900</formula>
    </cfRule>
  </conditionalFormatting>
  <conditionalFormatting sqref="I29:I30">
    <cfRule type="expression" dxfId="8" priority="18">
      <formula>COUNTIF($B$18:$B$66, "*dhlyn*") &gt; 0</formula>
    </cfRule>
  </conditionalFormatting>
  <conditionalFormatting sqref="H5:H6">
    <cfRule type="expression" dxfId="9" priority="19">
      <formula>O14 &lt; 60</formula>
    </cfRule>
  </conditionalFormatting>
  <conditionalFormatting sqref="H5:H6">
    <cfRule type="expression" dxfId="10" priority="20">
      <formula>O14 &lt; 300</formula>
    </cfRule>
  </conditionalFormatting>
  <conditionalFormatting sqref="H5:H6">
    <cfRule type="expression" dxfId="11" priority="21">
      <formula>O14 &lt; 900</formula>
    </cfRule>
  </conditionalFormatting>
  <conditionalFormatting sqref="I41:I42">
    <cfRule type="expression" dxfId="9" priority="22">
      <formula>P20 &lt; 60</formula>
    </cfRule>
  </conditionalFormatting>
  <conditionalFormatting sqref="I41:I42">
    <cfRule type="expression" dxfId="10" priority="23">
      <formula>P20 &lt; 300</formula>
    </cfRule>
  </conditionalFormatting>
  <conditionalFormatting sqref="I41:I42">
    <cfRule type="expression" dxfId="11" priority="24">
      <formula>P20 &lt; 900</formula>
    </cfRule>
  </conditionalFormatting>
  <conditionalFormatting sqref="L5:L6">
    <cfRule type="expression" dxfId="8" priority="25">
      <formula>COUNTIF($B$18:$B$66, "*executioner*") &gt; 0</formula>
    </cfRule>
  </conditionalFormatting>
  <conditionalFormatting sqref="K5:K6">
    <cfRule type="expression" dxfId="9" priority="26">
      <formula>R14 &lt; 60</formula>
    </cfRule>
  </conditionalFormatting>
  <conditionalFormatting sqref="M5:M6">
    <cfRule type="expression" dxfId="9" priority="27">
      <formula>T14 &lt; 60</formula>
    </cfRule>
  </conditionalFormatting>
  <conditionalFormatting sqref="M5:M6">
    <cfRule type="expression" dxfId="10" priority="28">
      <formula>T14 &lt; 300</formula>
    </cfRule>
  </conditionalFormatting>
  <conditionalFormatting sqref="M5:M6">
    <cfRule type="expression" dxfId="11" priority="29">
      <formula>T14 &lt; 900</formula>
    </cfRule>
  </conditionalFormatting>
  <conditionalFormatting sqref="G11:G12">
    <cfRule type="expression" dxfId="8" priority="30">
      <formula>COUNTIF($B$18:$B$66, "*mav*") &gt; 0</formula>
    </cfRule>
  </conditionalFormatting>
  <conditionalFormatting sqref="G23:G24">
    <cfRule type="expression" dxfId="8" priority="31">
      <formula>COUNTIF($B$18:$B$66, "*shrek*") &gt; 0</formula>
    </cfRule>
  </conditionalFormatting>
  <conditionalFormatting sqref="I11:I12">
    <cfRule type="expression" dxfId="8" priority="32">
      <formula>COUNTIF($B$18:$B$66, "*tommy*") &gt; 0</formula>
    </cfRule>
  </conditionalFormatting>
  <conditionalFormatting sqref="J5:J6">
    <cfRule type="expression" dxfId="8" priority="33">
      <formula>COUNTIF($B$18:$B$66, "*aware*") &gt; 0</formula>
    </cfRule>
  </conditionalFormatting>
  <conditionalFormatting sqref="K17:K18">
    <cfRule type="expression" dxfId="8" priority="34">
      <formula>COUNTIF($B$18:$B$66, "*riske*") &gt; 0</formula>
    </cfRule>
  </conditionalFormatting>
  <conditionalFormatting sqref="K41:K42">
    <cfRule type="expression" dxfId="8" priority="35">
      <formula>COUNTIF($B$18:$B$66, "*pacfan*") &gt; 0</formula>
    </cfRule>
  </conditionalFormatting>
  <conditionalFormatting sqref="G17:G18">
    <cfRule type="expression" dxfId="8" priority="36">
      <formula>COUNTIF($B$18:$B$66, "*snipez*") &gt; 0</formula>
    </cfRule>
  </conditionalFormatting>
  <conditionalFormatting sqref="L17:L18">
    <cfRule type="expression" dxfId="8" priority="37">
      <formula>COUNTIF($B$18:$B$66, "*rage*") &gt; 0</formula>
    </cfRule>
  </conditionalFormatting>
  <conditionalFormatting sqref="G35:G36">
    <cfRule type="expression" dxfId="8" priority="38">
      <formula>COUNTIF($B$18:$B$66, "*zim*") &gt; 0</formula>
    </cfRule>
  </conditionalFormatting>
  <conditionalFormatting sqref="L11:L12">
    <cfRule type="expression" dxfId="8" priority="39">
      <formula>COUNTIF($B$18:$B$66, "*Toast*") &gt; 0</formula>
    </cfRule>
  </conditionalFormatting>
  <conditionalFormatting sqref="K11:K12">
    <cfRule type="expression" dxfId="8" priority="40">
      <formula>COUNTIF($B$18:$B$66, "*bigal*") &gt; 0</formula>
    </cfRule>
  </conditionalFormatting>
  <conditionalFormatting sqref="I35:I36">
    <cfRule type="expression" dxfId="8" priority="41">
      <formula>COUNTIF($B$18:$B$66, "*goosler*") &gt; 0</formula>
    </cfRule>
  </conditionalFormatting>
  <conditionalFormatting sqref="K35:K36">
    <cfRule type="expression" dxfId="8" priority="42">
      <formula>COUNTIF($B$18:$B$66, "*ump*") &gt; 0</formula>
    </cfRule>
  </conditionalFormatting>
  <conditionalFormatting sqref="J35:J36">
    <cfRule type="expression" dxfId="8" priority="43">
      <formula>COUNTIF($B$18:$B$66, "*boss*") &gt; 0</formula>
    </cfRule>
  </conditionalFormatting>
  <conditionalFormatting sqref="J11:J12">
    <cfRule type="expression" dxfId="8" priority="44">
      <formula>COUNTIF($B$18:$B$66, "*ducky*") &gt; 0</formula>
    </cfRule>
  </conditionalFormatting>
  <conditionalFormatting sqref="K23:K24">
    <cfRule type="expression" dxfId="8" priority="45">
      <formula>COUNTIF($B$18:$B$66, "*endasis*") &gt; 0</formula>
    </cfRule>
  </conditionalFormatting>
  <conditionalFormatting sqref="H41:H42">
    <cfRule type="expression" dxfId="8" priority="46">
      <formula>COUNTIF($B$18:$B$66, "*havoc*") &gt; 0</formula>
    </cfRule>
  </conditionalFormatting>
  <conditionalFormatting sqref="G41:G42">
    <cfRule type="expression" dxfId="8" priority="47">
      <formula>COUNTIF($B$18:$B$66, "*frnzh*") &gt; 0</formula>
    </cfRule>
  </conditionalFormatting>
  <conditionalFormatting sqref="G11:G12">
    <cfRule type="expression" dxfId="9" priority="48">
      <formula>N15 &lt; 60</formula>
    </cfRule>
  </conditionalFormatting>
  <conditionalFormatting sqref="G11:G12">
    <cfRule type="expression" dxfId="10" priority="49">
      <formula>N15 &lt; 300</formula>
    </cfRule>
  </conditionalFormatting>
  <conditionalFormatting sqref="G11:G12">
    <cfRule type="expression" dxfId="11" priority="50">
      <formula>N15 &lt; 900</formula>
    </cfRule>
  </conditionalFormatting>
  <conditionalFormatting sqref="H2:H4">
    <cfRule type="expression" dxfId="12" priority="51">
      <formula>COUNTIF($B$18:$B$66, "*fancy*") &gt; 0</formula>
    </cfRule>
  </conditionalFormatting>
  <conditionalFormatting sqref="I2:I4">
    <cfRule type="expression" dxfId="6" priority="52">
      <formula>COUNTIF($B$18:$B$66, "*death*") &gt; 0</formula>
    </cfRule>
  </conditionalFormatting>
  <conditionalFormatting sqref="I38:I40">
    <cfRule type="expression" dxfId="6" priority="53">
      <formula>COUNTIF($B$18:$B$66, "*mungo*") &gt; 0</formula>
    </cfRule>
  </conditionalFormatting>
  <conditionalFormatting sqref="M2:M4">
    <cfRule type="expression" dxfId="6" priority="54">
      <formula>COUNTIF($B$18:$B$52, "*daedric*") &gt; 0</formula>
    </cfRule>
  </conditionalFormatting>
  <conditionalFormatting sqref="G8:G10">
    <cfRule type="expression" dxfId="6" priority="55">
      <formula>COUNTIF($B$18:$B$66, "*mav*") &gt; 0</formula>
    </cfRule>
  </conditionalFormatting>
  <conditionalFormatting sqref="G20:G22">
    <cfRule type="expression" dxfId="6" priority="56">
      <formula>COUNTIF($B$18:$B$66, "*shrek*") &gt; 0</formula>
    </cfRule>
  </conditionalFormatting>
  <conditionalFormatting sqref="I8:I10">
    <cfRule type="expression" dxfId="6" priority="57">
      <formula>COUNTIF($B$18:$B$66, "*tommy*") &gt; 0</formula>
    </cfRule>
  </conditionalFormatting>
  <conditionalFormatting sqref="J2:J4">
    <cfRule type="expression" dxfId="6" priority="58">
      <formula>COUNTIF($B$18:$B$66, "*aware*") &gt; 0</formula>
    </cfRule>
  </conditionalFormatting>
  <conditionalFormatting sqref="L8:L10">
    <cfRule type="expression" dxfId="6" priority="59">
      <formula>COUNTIF($B$18:$B$66, "*toast*") &gt; 0</formula>
    </cfRule>
  </conditionalFormatting>
  <conditionalFormatting sqref="K38:K40">
    <cfRule type="expression" dxfId="6" priority="60">
      <formula>COUNTIF($B$18:$B$66, "*pacfan*") &gt; 0</formula>
    </cfRule>
  </conditionalFormatting>
  <conditionalFormatting sqref="G14:G16">
    <cfRule type="expression" dxfId="6" priority="61">
      <formula>COUNTIF($B$18:$B$66, "*snipez*") &gt; 0</formula>
    </cfRule>
  </conditionalFormatting>
  <conditionalFormatting sqref="K14:K16">
    <cfRule type="expression" dxfId="6" priority="62">
      <formula>COUNTIF($B$18:$B$66, "*riske*") &gt; 0</formula>
    </cfRule>
  </conditionalFormatting>
  <conditionalFormatting sqref="L14:L16">
    <cfRule type="expression" dxfId="6" priority="63">
      <formula>COUNTIF($B$18:$B$66, "*rage*") &gt; 0</formula>
    </cfRule>
  </conditionalFormatting>
  <conditionalFormatting sqref="L2:L4">
    <cfRule type="expression" dxfId="6" priority="64">
      <formula>COUNTIF($B$18:$B$66, "*executioner*") &gt; 0</formula>
    </cfRule>
  </conditionalFormatting>
  <conditionalFormatting sqref="I20:I22">
    <cfRule type="expression" dxfId="6" priority="65">
      <formula>COUNTIF($B$18:$B$66, "*grunt*") &gt; 0</formula>
    </cfRule>
  </conditionalFormatting>
  <conditionalFormatting sqref="K20:K22">
    <cfRule type="expression" dxfId="6" priority="66">
      <formula>COUNTIF($B$18:$B$66, "*endasis*") &gt; 0</formula>
    </cfRule>
  </conditionalFormatting>
  <conditionalFormatting sqref="K8:K10">
    <cfRule type="expression" dxfId="6" priority="67">
      <formula>COUNTIF($B$18:$B$66, "*bigal*") &gt; 0</formula>
    </cfRule>
  </conditionalFormatting>
  <conditionalFormatting sqref="I26:I28">
    <cfRule type="expression" dxfId="6" priority="68">
      <formula>COUNTIF($B$18:$B$66, "*dhlyn*") &gt; 0</formula>
    </cfRule>
  </conditionalFormatting>
  <conditionalFormatting sqref="I32:I34">
    <cfRule type="expression" dxfId="6" priority="69">
      <formula>COUNTIF($B$18:$B$66, "*goosler*") &gt; 0</formula>
    </cfRule>
  </conditionalFormatting>
  <conditionalFormatting sqref="L26:L28">
    <cfRule type="expression" dxfId="6" priority="70">
      <formula>COUNTIF($B$18:$B$66, "*demon*") &gt; 0</formula>
    </cfRule>
  </conditionalFormatting>
  <conditionalFormatting sqref="J32:J34">
    <cfRule type="expression" dxfId="6" priority="71">
      <formula>COUNTIF($B$18:$B$66, "*boss*") &gt; 0</formula>
    </cfRule>
  </conditionalFormatting>
  <conditionalFormatting sqref="J8:J10">
    <cfRule type="expression" dxfId="6" priority="72">
      <formula>COUNTIF($B$18:$B$66, "*ducky*") &gt; 0</formula>
    </cfRule>
  </conditionalFormatting>
  <conditionalFormatting sqref="L32:L34">
    <cfRule type="expression" dxfId="6" priority="73">
      <formula>COUNTIF($B$18:$B$66, "*pandah*") &gt; 0</formula>
    </cfRule>
  </conditionalFormatting>
  <conditionalFormatting sqref="H38:H40">
    <cfRule type="expression" dxfId="6" priority="74">
      <formula>COUNTIF($B$18:$B$66, "*havoc*") &gt; 0</formula>
    </cfRule>
  </conditionalFormatting>
  <conditionalFormatting sqref="G38:G40">
    <cfRule type="expression" dxfId="6" priority="75">
      <formula>COUNTIF($B$18:$B$66, "*frnzh*") &gt; 0</formula>
    </cfRule>
  </conditionalFormatting>
  <conditionalFormatting sqref="J29:J30">
    <cfRule type="expression" dxfId="8" priority="76">
      <formula>COUNTIF($B$18:$B$66, "*trespass*") &gt; 0</formula>
    </cfRule>
  </conditionalFormatting>
  <conditionalFormatting sqref="G17:G18">
    <cfRule type="expression" dxfId="9" priority="77">
      <formula>N16 &lt; 60</formula>
    </cfRule>
  </conditionalFormatting>
  <conditionalFormatting sqref="G17:G18">
    <cfRule type="expression" dxfId="10" priority="78">
      <formula>N16 &lt; 300</formula>
    </cfRule>
  </conditionalFormatting>
  <conditionalFormatting sqref="G17:G18">
    <cfRule type="expression" dxfId="11" priority="79">
      <formula>N16 &lt; 900</formula>
    </cfRule>
  </conditionalFormatting>
  <conditionalFormatting sqref="I11:I12">
    <cfRule type="expression" dxfId="9" priority="80">
      <formula>P15 &lt; 60</formula>
    </cfRule>
  </conditionalFormatting>
  <conditionalFormatting sqref="I11:I12">
    <cfRule type="expression" dxfId="10" priority="81">
      <formula>P15 &lt; 300</formula>
    </cfRule>
  </conditionalFormatting>
  <conditionalFormatting sqref="I11:I12">
    <cfRule type="expression" dxfId="11" priority="82">
      <formula>P15 &lt; 900</formula>
    </cfRule>
  </conditionalFormatting>
  <conditionalFormatting sqref="L23:L24">
    <cfRule type="expression" dxfId="8" priority="83">
      <formula>COUNTIF($B$18:$B$66, "*low*") &gt; 0</formula>
    </cfRule>
  </conditionalFormatting>
  <conditionalFormatting sqref="L11:L12">
    <cfRule type="expression" dxfId="9" priority="84">
      <formula>S15 &lt; 60</formula>
    </cfRule>
  </conditionalFormatting>
  <conditionalFormatting sqref="L11:L12">
    <cfRule type="expression" dxfId="10" priority="85">
      <formula>S15 &lt; 300</formula>
    </cfRule>
  </conditionalFormatting>
  <conditionalFormatting sqref="L11:L12">
    <cfRule type="expression" dxfId="11" priority="86">
      <formula>S15 &lt; 900</formula>
    </cfRule>
  </conditionalFormatting>
  <conditionalFormatting sqref="L5:L6">
    <cfRule type="expression" dxfId="9" priority="87">
      <formula>S14 &lt; 60</formula>
    </cfRule>
  </conditionalFormatting>
  <conditionalFormatting sqref="L5:L6">
    <cfRule type="expression" dxfId="10" priority="88">
      <formula>S14 &lt; 300</formula>
    </cfRule>
  </conditionalFormatting>
  <conditionalFormatting sqref="L5:L6">
    <cfRule type="expression" dxfId="11" priority="89">
      <formula>S14 &lt; 900</formula>
    </cfRule>
  </conditionalFormatting>
  <conditionalFormatting sqref="H41:H42">
    <cfRule type="expression" dxfId="9" priority="90">
      <formula>O20 &lt; 60</formula>
    </cfRule>
  </conditionalFormatting>
  <conditionalFormatting sqref="H41:H42">
    <cfRule type="expression" dxfId="10" priority="91">
      <formula>O20 &lt; 300</formula>
    </cfRule>
  </conditionalFormatting>
  <conditionalFormatting sqref="H41:H42">
    <cfRule type="expression" dxfId="11" priority="92">
      <formula>O20 &lt; 900</formula>
    </cfRule>
  </conditionalFormatting>
  <conditionalFormatting sqref="K11:K12">
    <cfRule type="expression" dxfId="9" priority="93">
      <formula>R15 &lt; 60</formula>
    </cfRule>
  </conditionalFormatting>
  <conditionalFormatting sqref="K11:K12">
    <cfRule type="expression" dxfId="10" priority="94">
      <formula>R15 &lt; 300</formula>
    </cfRule>
  </conditionalFormatting>
  <conditionalFormatting sqref="K11:K12">
    <cfRule type="expression" dxfId="11" priority="95">
      <formula>R15 &lt; 900</formula>
    </cfRule>
  </conditionalFormatting>
  <conditionalFormatting sqref="J35:J36">
    <cfRule type="expression" dxfId="9" priority="96">
      <formula>Q19 &lt; 60</formula>
    </cfRule>
  </conditionalFormatting>
  <conditionalFormatting sqref="J35:J36">
    <cfRule type="expression" dxfId="10" priority="97">
      <formula>Q19 &lt; 300</formula>
    </cfRule>
  </conditionalFormatting>
  <conditionalFormatting sqref="J35:J36">
    <cfRule type="expression" dxfId="11" priority="98">
      <formula>Q19 &lt; 900</formula>
    </cfRule>
  </conditionalFormatting>
  <conditionalFormatting sqref="J5:J6">
    <cfRule type="expression" dxfId="9" priority="99">
      <formula>Q14 &lt; 60</formula>
    </cfRule>
  </conditionalFormatting>
  <conditionalFormatting sqref="J5:J6">
    <cfRule type="expression" dxfId="10" priority="100">
      <formula>Q14 &lt; 300</formula>
    </cfRule>
  </conditionalFormatting>
  <conditionalFormatting sqref="J5:J6">
    <cfRule type="expression" dxfId="11" priority="101">
      <formula>Q14 &lt; 900</formula>
    </cfRule>
  </conditionalFormatting>
  <conditionalFormatting sqref="K41:K42">
    <cfRule type="expression" dxfId="9" priority="102">
      <formula>R20 &lt; 60</formula>
    </cfRule>
  </conditionalFormatting>
  <conditionalFormatting sqref="K41:K42">
    <cfRule type="expression" dxfId="10" priority="103">
      <formula>R20 &lt; 300</formula>
    </cfRule>
  </conditionalFormatting>
  <conditionalFormatting sqref="K41:K42">
    <cfRule type="expression" dxfId="11" priority="104">
      <formula>R20 &lt; 900</formula>
    </cfRule>
  </conditionalFormatting>
  <conditionalFormatting sqref="K17:K18">
    <cfRule type="expression" dxfId="9" priority="105">
      <formula>R16 &lt; 60</formula>
    </cfRule>
  </conditionalFormatting>
  <conditionalFormatting sqref="K17:K18">
    <cfRule type="expression" dxfId="10" priority="106">
      <formula>R16 &lt; 300</formula>
    </cfRule>
  </conditionalFormatting>
  <conditionalFormatting sqref="K17:K18">
    <cfRule type="expression" dxfId="11" priority="107">
      <formula>R16 &lt; 900</formula>
    </cfRule>
  </conditionalFormatting>
  <conditionalFormatting sqref="L17:L18">
    <cfRule type="expression" dxfId="9" priority="108">
      <formula>S16 &lt; 60</formula>
    </cfRule>
  </conditionalFormatting>
  <conditionalFormatting sqref="L17:L18">
    <cfRule type="expression" dxfId="10" priority="109">
      <formula>S16 &lt; 300</formula>
    </cfRule>
  </conditionalFormatting>
  <conditionalFormatting sqref="L17:L18">
    <cfRule type="expression" dxfId="11" priority="110">
      <formula>S16 &lt; 900</formula>
    </cfRule>
  </conditionalFormatting>
  <conditionalFormatting sqref="K29:K30">
    <cfRule type="expression" dxfId="8" priority="111">
      <formula>COUNTIF($B$18:$B$66, "*sev*") &gt; 0</formula>
    </cfRule>
  </conditionalFormatting>
  <conditionalFormatting sqref="I35:I36">
    <cfRule type="expression" dxfId="9" priority="112">
      <formula>P19 &lt; 60</formula>
    </cfRule>
  </conditionalFormatting>
  <conditionalFormatting sqref="I35:I36">
    <cfRule type="expression" dxfId="10" priority="113">
      <formula>P19 &lt; 300</formula>
    </cfRule>
  </conditionalFormatting>
  <conditionalFormatting sqref="I35:I36">
    <cfRule type="expression" dxfId="11" priority="114">
      <formula>P19 &lt; 900</formula>
    </cfRule>
  </conditionalFormatting>
  <conditionalFormatting sqref="L29:L30">
    <cfRule type="expression" dxfId="8" priority="115">
      <formula>COUNTIF($B$18:$B$66, "*demon*") &gt; 0</formula>
    </cfRule>
  </conditionalFormatting>
  <conditionalFormatting sqref="K35:K36">
    <cfRule type="expression" dxfId="9" priority="116">
      <formula>R19 &lt; 60</formula>
    </cfRule>
  </conditionalFormatting>
  <conditionalFormatting sqref="K35:K36">
    <cfRule type="expression" dxfId="10" priority="117">
      <formula>R19 &lt; 300</formula>
    </cfRule>
  </conditionalFormatting>
  <conditionalFormatting sqref="K35:K36">
    <cfRule type="expression" dxfId="11" priority="118">
      <formula>R19 &lt; 900</formula>
    </cfRule>
  </conditionalFormatting>
  <conditionalFormatting sqref="J11:J12">
    <cfRule type="expression" dxfId="9" priority="119">
      <formula>Q15 &lt; 60</formula>
    </cfRule>
  </conditionalFormatting>
  <conditionalFormatting sqref="J11:J12">
    <cfRule type="expression" dxfId="10" priority="120">
      <formula>Q15 &lt; 300</formula>
    </cfRule>
  </conditionalFormatting>
  <conditionalFormatting sqref="J11:J12">
    <cfRule type="expression" dxfId="11" priority="121">
      <formula>Q15 &lt; 900</formula>
    </cfRule>
  </conditionalFormatting>
  <conditionalFormatting sqref="L35:L36">
    <cfRule type="expression" dxfId="8" priority="122">
      <formula>COUNTIF($B$18:$B$66, "*pandah*") &gt; 0</formula>
    </cfRule>
  </conditionalFormatting>
  <conditionalFormatting sqref="K23:K24">
    <cfRule type="expression" dxfId="9" priority="123">
      <formula>R17 &lt; 60</formula>
    </cfRule>
  </conditionalFormatting>
  <conditionalFormatting sqref="K23:K24">
    <cfRule type="expression" dxfId="10" priority="124">
      <formula>R17 &lt; 300</formula>
    </cfRule>
  </conditionalFormatting>
  <conditionalFormatting sqref="K23:K24">
    <cfRule type="expression" dxfId="11" priority="125">
      <formula>R17 &lt; 900</formula>
    </cfRule>
  </conditionalFormatting>
  <conditionalFormatting sqref="G41:G42">
    <cfRule type="expression" dxfId="9" priority="126">
      <formula>N20 &lt; 60</formula>
    </cfRule>
  </conditionalFormatting>
  <conditionalFormatting sqref="G41:G42">
    <cfRule type="expression" dxfId="10" priority="127">
      <formula>N20 &lt; 300</formula>
    </cfRule>
  </conditionalFormatting>
  <conditionalFormatting sqref="G41:G42">
    <cfRule type="expression" dxfId="11" priority="128">
      <formula>N20 &lt; 900</formula>
    </cfRule>
  </conditionalFormatting>
  <conditionalFormatting sqref="M26:M28">
    <cfRule type="expression" dxfId="6" priority="129">
      <formula>COUNTIF($B$18:$B$52, "*nkot*") &gt; 0</formula>
    </cfRule>
  </conditionalFormatting>
  <conditionalFormatting sqref="M29:M30">
    <cfRule type="expression" dxfId="8" priority="130">
      <formula>COUNTIF($B$18:$B$66, "*nkot*") &gt; 0</formula>
    </cfRule>
  </conditionalFormatting>
  <conditionalFormatting sqref="M29:M30">
    <cfRule type="expression" dxfId="9" priority="131">
      <formula>T18 &lt; 60</formula>
    </cfRule>
  </conditionalFormatting>
  <conditionalFormatting sqref="M29:M30">
    <cfRule type="expression" dxfId="10" priority="132">
      <formula>T18 &lt; 300</formula>
    </cfRule>
  </conditionalFormatting>
  <conditionalFormatting sqref="M29:M30">
    <cfRule type="expression" dxfId="11" priority="133">
      <formula>T18 &lt; 900</formula>
    </cfRule>
  </conditionalFormatting>
  <conditionalFormatting sqref="J14:J16">
    <cfRule type="expression" dxfId="6" priority="134">
      <formula>COUNTIF($B$18:$B$66, "*smurf*") &gt; 0</formula>
    </cfRule>
  </conditionalFormatting>
  <conditionalFormatting sqref="J17:J18">
    <cfRule type="expression" dxfId="8" priority="135">
      <formula>COUNTIF($B$18:$B$66, "*smurf*") &gt; 0</formula>
    </cfRule>
  </conditionalFormatting>
  <conditionalFormatting sqref="J17:J18">
    <cfRule type="expression" dxfId="9" priority="136">
      <formula>Q16 &lt; 60</formula>
    </cfRule>
  </conditionalFormatting>
  <conditionalFormatting sqref="J17:J18">
    <cfRule type="expression" dxfId="10" priority="137">
      <formula>Q16 &lt; 300</formula>
    </cfRule>
  </conditionalFormatting>
  <conditionalFormatting sqref="J17:J18">
    <cfRule type="expression" dxfId="11" priority="138">
      <formula>Q16 &lt; 900</formula>
    </cfRule>
  </conditionalFormatting>
  <conditionalFormatting sqref="M41:M42">
    <cfRule type="expression" dxfId="9" priority="139">
      <formula>T20 &lt; 60</formula>
    </cfRule>
  </conditionalFormatting>
  <conditionalFormatting sqref="M41:M42">
    <cfRule type="expression" dxfId="10" priority="140">
      <formula>T20 &lt; 300</formula>
    </cfRule>
  </conditionalFormatting>
  <conditionalFormatting sqref="M41:M42">
    <cfRule type="expression" dxfId="11" priority="141">
      <formula>T20 &lt; 900</formula>
    </cfRule>
  </conditionalFormatting>
  <conditionalFormatting sqref="I14:I16">
    <cfRule type="expression" dxfId="6" priority="142">
      <formula>COUNTIF($B$18:$B$66, "*spoon*") &gt; 0</formula>
    </cfRule>
  </conditionalFormatting>
  <conditionalFormatting sqref="H14:H16">
    <cfRule type="expression" dxfId="6" priority="143">
      <formula>COUNTIF($B$18:$B$66, "*spank*") &gt; 0</formula>
    </cfRule>
  </conditionalFormatting>
  <conditionalFormatting sqref="H20:H22">
    <cfRule type="expression" dxfId="6" priority="144">
      <formula>COUNTIF($B$18:$B$66, "*reign*") &gt; 0</formula>
    </cfRule>
  </conditionalFormatting>
  <conditionalFormatting sqref="H17:H18">
    <cfRule type="expression" dxfId="8" priority="145">
      <formula>COUNTIF($B$18:$B$66, "*spank*") &gt; 0</formula>
    </cfRule>
  </conditionalFormatting>
  <conditionalFormatting sqref="H17:H18">
    <cfRule type="expression" dxfId="9" priority="146">
      <formula>O16 &lt; 60</formula>
    </cfRule>
  </conditionalFormatting>
  <conditionalFormatting sqref="H17:H18">
    <cfRule type="expression" dxfId="10" priority="147">
      <formula>O16 &lt; 300</formula>
    </cfRule>
  </conditionalFormatting>
  <conditionalFormatting sqref="H17:H18">
    <cfRule type="expression" dxfId="11" priority="148">
      <formula>O16 &lt; 900</formula>
    </cfRule>
  </conditionalFormatting>
  <conditionalFormatting sqref="I17:I18">
    <cfRule type="expression" dxfId="8" priority="149">
      <formula>COUNTIF($B$18:$B$66, "*spoon*") &gt; 0</formula>
    </cfRule>
  </conditionalFormatting>
  <conditionalFormatting sqref="I17:I18">
    <cfRule type="expression" dxfId="9" priority="150">
      <formula>P16 &lt; 60</formula>
    </cfRule>
  </conditionalFormatting>
  <conditionalFormatting sqref="I17:I18">
    <cfRule type="expression" dxfId="10" priority="151">
      <formula>P16 &lt; 300</formula>
    </cfRule>
  </conditionalFormatting>
  <conditionalFormatting sqref="I17:I18">
    <cfRule type="expression" dxfId="11" priority="152">
      <formula>P16 &lt; 900</formula>
    </cfRule>
  </conditionalFormatting>
  <conditionalFormatting sqref="H23:H24">
    <cfRule type="expression" dxfId="8" priority="153">
      <formula>COUNTIF($B$18:$B$66, "*reign*") &gt; 0</formula>
    </cfRule>
  </conditionalFormatting>
  <conditionalFormatting sqref="I23:I24">
    <cfRule type="expression" dxfId="8" priority="154">
      <formula>COUNTIF($B$18:$B$66, "*grunt*") &gt; 0</formula>
    </cfRule>
  </conditionalFormatting>
  <conditionalFormatting sqref="H23:H24">
    <cfRule type="expression" dxfId="9" priority="155">
      <formula>O17 &lt; 60</formula>
    </cfRule>
  </conditionalFormatting>
  <conditionalFormatting sqref="H23:H24">
    <cfRule type="expression" dxfId="10" priority="156">
      <formula>O17 &lt; 300</formula>
    </cfRule>
  </conditionalFormatting>
  <conditionalFormatting sqref="H23:H24">
    <cfRule type="expression" dxfId="11" priority="157">
      <formula>O17 &lt; 900</formula>
    </cfRule>
  </conditionalFormatting>
  <conditionalFormatting sqref="I23:I24">
    <cfRule type="expression" dxfId="9" priority="158">
      <formula>P17 &lt; 60</formula>
    </cfRule>
  </conditionalFormatting>
  <conditionalFormatting sqref="I23:I24">
    <cfRule type="expression" dxfId="10" priority="159">
      <formula>P17 &lt; 300</formula>
    </cfRule>
  </conditionalFormatting>
  <conditionalFormatting sqref="I23:I24">
    <cfRule type="expression" dxfId="11" priority="160">
      <formula>P17 &lt; 900</formula>
    </cfRule>
  </conditionalFormatting>
  <conditionalFormatting sqref="J20:J22">
    <cfRule type="expression" dxfId="6" priority="161">
      <formula>COUNTIF($B$18:$B$66, "*priest*") &gt; 0</formula>
    </cfRule>
  </conditionalFormatting>
  <conditionalFormatting sqref="J26:J28">
    <cfRule type="expression" dxfId="6" priority="162">
      <formula>COUNTIF($B$18:$B$66, "*trespass*") &gt; 0</formula>
    </cfRule>
  </conditionalFormatting>
  <conditionalFormatting sqref="J38:J40">
    <cfRule type="expression" dxfId="6" priority="163">
      <formula>COUNTIF($B$18:$B$66, "*panther*") &gt; 0</formula>
    </cfRule>
  </conditionalFormatting>
  <conditionalFormatting sqref="L20:L22">
    <cfRule type="expression" dxfId="6" priority="164">
      <formula>COUNTIF($B$18:$B$66, "*low*") &gt; 0</formula>
    </cfRule>
  </conditionalFormatting>
  <conditionalFormatting sqref="K32:K34">
    <cfRule type="expression" dxfId="6" priority="165">
      <formula>COUNTIF($B$18:$B$66, "*ump*") &gt; 0</formula>
    </cfRule>
  </conditionalFormatting>
  <conditionalFormatting sqref="K26:K28">
    <cfRule type="expression" dxfId="6" priority="166">
      <formula>COUNTIF($B$18:$B$66, "*sev*") &gt; 0</formula>
    </cfRule>
  </conditionalFormatting>
  <conditionalFormatting sqref="K2:K4">
    <cfRule type="expression" dxfId="6" priority="167">
      <formula>COUNTIF($B$18:$B$66, "*diablo*") &gt; 0</formula>
    </cfRule>
  </conditionalFormatting>
  <conditionalFormatting sqref="H8:H10">
    <cfRule type="expression" dxfId="6" priority="168">
      <formula>COUNTIF($B$18:$B$66, "*poptart*") &gt; 0</formula>
    </cfRule>
  </conditionalFormatting>
  <conditionalFormatting sqref="G23:G24">
    <cfRule type="expression" dxfId="9" priority="169">
      <formula>N17 &lt; 60</formula>
    </cfRule>
  </conditionalFormatting>
  <conditionalFormatting sqref="G23:G24">
    <cfRule type="expression" dxfId="10" priority="170">
      <formula>N17 &lt; 300</formula>
    </cfRule>
  </conditionalFormatting>
  <conditionalFormatting sqref="G23:G24">
    <cfRule type="expression" dxfId="11" priority="171">
      <formula>N17 &lt; 900</formula>
    </cfRule>
  </conditionalFormatting>
  <conditionalFormatting sqref="G26:G28">
    <cfRule type="expression" dxfId="6" priority="172">
      <formula>COUNTIF($B$18:$B$66, "*sab*") &gt; 0</formula>
    </cfRule>
  </conditionalFormatting>
  <conditionalFormatting sqref="G32:G34">
    <cfRule type="expression" dxfId="6" priority="173">
      <formula>COUNTIF($B$18:$B$66, "*zim*") &gt; 0</formula>
    </cfRule>
  </conditionalFormatting>
  <conditionalFormatting sqref="H26:H28">
    <cfRule type="expression" dxfId="6" priority="174">
      <formula>COUNTIF($B$18:$B$66, "*gingy*") &gt; 0</formula>
    </cfRule>
  </conditionalFormatting>
  <conditionalFormatting sqref="H32:H34">
    <cfRule type="expression" dxfId="6" priority="175">
      <formula>COUNTIF($B$18:$B$66, "*hawk*") &gt; 0</formula>
    </cfRule>
  </conditionalFormatting>
  <conditionalFormatting sqref="L38:L40">
    <cfRule type="expression" dxfId="6" priority="176">
      <formula>COUNTIF($B$18:$B$66, "*penguin*") &gt; 0</formula>
    </cfRule>
  </conditionalFormatting>
  <conditionalFormatting sqref="G29:G30">
    <cfRule type="expression" dxfId="8" priority="177">
      <formula>COUNTIF($B$18:$B$66, "*sab*") &gt; 0</formula>
    </cfRule>
  </conditionalFormatting>
  <conditionalFormatting sqref="H11:H12">
    <cfRule type="expression" dxfId="8" priority="178">
      <formula>COUNTIF($B$18:$B$66, "*poptart*") &gt; 0</formula>
    </cfRule>
  </conditionalFormatting>
  <conditionalFormatting sqref="H29:H30">
    <cfRule type="expression" dxfId="8" priority="179">
      <formula>COUNTIF($B$18:$B$66, "*gingy*") &gt; 0</formula>
    </cfRule>
  </conditionalFormatting>
  <conditionalFormatting sqref="H35:H36">
    <cfRule type="expression" dxfId="8" priority="180">
      <formula>COUNTIF($B$18:$B$66, "*hawk*") &gt; 0</formula>
    </cfRule>
  </conditionalFormatting>
  <conditionalFormatting sqref="J23:J24">
    <cfRule type="expression" dxfId="8" priority="181">
      <formula>COUNTIF($B$18:$B$66, "*priest*") &gt; 0</formula>
    </cfRule>
  </conditionalFormatting>
  <conditionalFormatting sqref="J41:J42">
    <cfRule type="expression" dxfId="8" priority="182">
      <formula>COUNTIF($B$18:$B$66, "*panther*") &gt; 0</formula>
    </cfRule>
  </conditionalFormatting>
  <conditionalFormatting sqref="L41:L42">
    <cfRule type="expression" dxfId="8" priority="183">
      <formula>COUNTIF($B$18:$B$66, "*penguin*") &gt; 0</formula>
    </cfRule>
  </conditionalFormatting>
  <conditionalFormatting sqref="K5:K6">
    <cfRule type="expression" dxfId="10" priority="184">
      <formula>R14 &lt; 300</formula>
    </cfRule>
  </conditionalFormatting>
  <conditionalFormatting sqref="K5:K6">
    <cfRule type="expression" dxfId="11" priority="185">
      <formula>R14 &lt; 900</formula>
    </cfRule>
  </conditionalFormatting>
  <conditionalFormatting sqref="G29:G30">
    <cfRule type="expression" dxfId="9" priority="186">
      <formula>N18 &lt; 60</formula>
    </cfRule>
  </conditionalFormatting>
  <conditionalFormatting sqref="G29:G30">
    <cfRule type="expression" dxfId="10" priority="187">
      <formula>N18 &lt; 300</formula>
    </cfRule>
  </conditionalFormatting>
  <conditionalFormatting sqref="G29:G30">
    <cfRule type="expression" dxfId="11" priority="188">
      <formula>N18 &lt; 900</formula>
    </cfRule>
  </conditionalFormatting>
  <conditionalFormatting sqref="G35:G36">
    <cfRule type="expression" dxfId="9" priority="189">
      <formula>N19 &lt; 60</formula>
    </cfRule>
  </conditionalFormatting>
  <conditionalFormatting sqref="G35:G36">
    <cfRule type="expression" dxfId="10" priority="190">
      <formula>N19 &lt; 300</formula>
    </cfRule>
  </conditionalFormatting>
  <conditionalFormatting sqref="G35:G36">
    <cfRule type="expression" dxfId="11" priority="191">
      <formula>N19 &lt; 900</formula>
    </cfRule>
  </conditionalFormatting>
  <conditionalFormatting sqref="H29:H30">
    <cfRule type="expression" dxfId="9" priority="192">
      <formula>O18 &lt; 60</formula>
    </cfRule>
  </conditionalFormatting>
  <conditionalFormatting sqref="H29:H30">
    <cfRule type="expression" dxfId="10" priority="193">
      <formula>O18 &lt; 300</formula>
    </cfRule>
  </conditionalFormatting>
  <conditionalFormatting sqref="H29:H30">
    <cfRule type="expression" dxfId="11" priority="194">
      <formula>O18 &lt; 900</formula>
    </cfRule>
  </conditionalFormatting>
  <conditionalFormatting sqref="H11:H12">
    <cfRule type="expression" dxfId="9" priority="195">
      <formula>O15 &lt; 60</formula>
    </cfRule>
  </conditionalFormatting>
  <conditionalFormatting sqref="H11:H12">
    <cfRule type="expression" dxfId="10" priority="196">
      <formula>O15 &lt; 300</formula>
    </cfRule>
  </conditionalFormatting>
  <conditionalFormatting sqref="H11:H12">
    <cfRule type="expression" dxfId="11" priority="197">
      <formula>O15 &lt; 900</formula>
    </cfRule>
  </conditionalFormatting>
  <conditionalFormatting sqref="I5:I6">
    <cfRule type="expression" dxfId="9" priority="198">
      <formula>P14 &lt; 60</formula>
    </cfRule>
  </conditionalFormatting>
  <conditionalFormatting sqref="L35:L36">
    <cfRule type="expression" dxfId="9" priority="199">
      <formula>S19 &lt; 60</formula>
    </cfRule>
  </conditionalFormatting>
  <conditionalFormatting sqref="L35:L36">
    <cfRule type="expression" dxfId="10" priority="200">
      <formula>S19 &lt; 300</formula>
    </cfRule>
  </conditionalFormatting>
  <conditionalFormatting sqref="L35:L36">
    <cfRule type="expression" dxfId="11" priority="201">
      <formula>S19 &lt; 900</formula>
    </cfRule>
  </conditionalFormatting>
  <conditionalFormatting sqref="L23:L24">
    <cfRule type="expression" dxfId="9" priority="202">
      <formula>S17 &lt; 60</formula>
    </cfRule>
  </conditionalFormatting>
  <conditionalFormatting sqref="L23:L24">
    <cfRule type="expression" dxfId="10" priority="203">
      <formula>S17 &lt; 300</formula>
    </cfRule>
  </conditionalFormatting>
  <conditionalFormatting sqref="L23:L24">
    <cfRule type="expression" dxfId="11" priority="204">
      <formula>S17 &lt; 900</formula>
    </cfRule>
  </conditionalFormatting>
  <conditionalFormatting sqref="H35:H36">
    <cfRule type="expression" dxfId="9" priority="205">
      <formula>O19 &lt; 60</formula>
    </cfRule>
  </conditionalFormatting>
  <conditionalFormatting sqref="H35:H36">
    <cfRule type="expression" dxfId="10" priority="206">
      <formula>O19 &lt; 300</formula>
    </cfRule>
  </conditionalFormatting>
  <conditionalFormatting sqref="H35:H36">
    <cfRule type="expression" dxfId="11" priority="207">
      <formula>O19 &lt; 900</formula>
    </cfRule>
  </conditionalFormatting>
  <conditionalFormatting sqref="I29:I30">
    <cfRule type="expression" dxfId="9" priority="208">
      <formula>P18 &lt; 60</formula>
    </cfRule>
  </conditionalFormatting>
  <conditionalFormatting sqref="I29:I30">
    <cfRule type="expression" dxfId="10" priority="209">
      <formula>P18 &lt; 300</formula>
    </cfRule>
  </conditionalFormatting>
  <conditionalFormatting sqref="I29:I30">
    <cfRule type="expression" dxfId="11" priority="210">
      <formula>P18 &lt; 900</formula>
    </cfRule>
  </conditionalFormatting>
  <conditionalFormatting sqref="K29:K30">
    <cfRule type="expression" dxfId="9" priority="211">
      <formula>R18 &lt; 60</formula>
    </cfRule>
  </conditionalFormatting>
  <conditionalFormatting sqref="K29:K30">
    <cfRule type="expression" dxfId="10" priority="212">
      <formula>R18 &lt; 300</formula>
    </cfRule>
  </conditionalFormatting>
  <conditionalFormatting sqref="K29:K30">
    <cfRule type="expression" dxfId="11" priority="213">
      <formula>R18 &lt; 900</formula>
    </cfRule>
  </conditionalFormatting>
  <conditionalFormatting sqref="L29:L30">
    <cfRule type="expression" dxfId="9" priority="214">
      <formula>S18 &lt; 60</formula>
    </cfRule>
  </conditionalFormatting>
  <conditionalFormatting sqref="L29:L30">
    <cfRule type="expression" dxfId="10" priority="215">
      <formula>S18 &lt; 300</formula>
    </cfRule>
  </conditionalFormatting>
  <conditionalFormatting sqref="L29:L30">
    <cfRule type="expression" dxfId="11" priority="216">
      <formula>S18 &lt; 900</formula>
    </cfRule>
  </conditionalFormatting>
  <conditionalFormatting sqref="J23:J24">
    <cfRule type="expression" dxfId="9" priority="217">
      <formula>Q17 &lt; 60</formula>
    </cfRule>
  </conditionalFormatting>
  <conditionalFormatting sqref="J23:J24">
    <cfRule type="expression" dxfId="10" priority="218">
      <formula>Q17 &lt; 300</formula>
    </cfRule>
  </conditionalFormatting>
  <conditionalFormatting sqref="J23:J24">
    <cfRule type="expression" dxfId="11" priority="219">
      <formula>Q17 &lt; 900</formula>
    </cfRule>
  </conditionalFormatting>
  <conditionalFormatting sqref="L41:L42">
    <cfRule type="expression" dxfId="9" priority="220">
      <formula>S20 &lt; 60</formula>
    </cfRule>
  </conditionalFormatting>
  <conditionalFormatting sqref="L41:L42">
    <cfRule type="expression" dxfId="10" priority="221">
      <formula>S20 &lt; 300</formula>
    </cfRule>
  </conditionalFormatting>
  <conditionalFormatting sqref="L41:L42">
    <cfRule type="expression" dxfId="11" priority="222">
      <formula>S20 &lt; 900</formula>
    </cfRule>
  </conditionalFormatting>
  <conditionalFormatting sqref="I5:I6">
    <cfRule type="expression" dxfId="10" priority="223">
      <formula>P14 &lt; 300</formula>
    </cfRule>
  </conditionalFormatting>
  <conditionalFormatting sqref="I5:I6">
    <cfRule type="expression" dxfId="11" priority="224">
      <formula>P14 &lt; 900</formula>
    </cfRule>
  </conditionalFormatting>
  <conditionalFormatting sqref="J29:J30">
    <cfRule type="expression" dxfId="9" priority="225">
      <formula>Q18 &lt; 60</formula>
    </cfRule>
  </conditionalFormatting>
  <conditionalFormatting sqref="J29:J30">
    <cfRule type="expression" dxfId="10" priority="226">
      <formula>Q18 &lt; 300</formula>
    </cfRule>
  </conditionalFormatting>
  <conditionalFormatting sqref="J29:J30">
    <cfRule type="expression" dxfId="11" priority="227">
      <formula>Q18 &lt; 900</formula>
    </cfRule>
  </conditionalFormatting>
  <conditionalFormatting sqref="J41:J42">
    <cfRule type="expression" dxfId="9" priority="228">
      <formula>Q20 &lt; 60</formula>
    </cfRule>
  </conditionalFormatting>
  <conditionalFormatting sqref="J41:J42">
    <cfRule type="expression" dxfId="10" priority="229">
      <formula>Q20 &lt; 300</formula>
    </cfRule>
  </conditionalFormatting>
  <conditionalFormatting sqref="J41:J42">
    <cfRule type="expression" dxfId="11" priority="230">
      <formula>Q20 &lt; 900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6" max="6" width="22.75"/>
    <col customWidth="1" min="7" max="7" width="49.75"/>
  </cols>
  <sheetData>
    <row r="1">
      <c r="A1" s="101" t="s">
        <v>96</v>
      </c>
      <c r="B1" s="102" t="s">
        <v>97</v>
      </c>
      <c r="C1" s="103" t="s">
        <v>98</v>
      </c>
      <c r="D1" s="101" t="s">
        <v>99</v>
      </c>
      <c r="E1" s="101" t="s">
        <v>100</v>
      </c>
      <c r="F1" s="101" t="s">
        <v>101</v>
      </c>
      <c r="G1" s="101" t="s">
        <v>102</v>
      </c>
      <c r="H1" s="101" t="s">
        <v>103</v>
      </c>
      <c r="I1" s="104"/>
      <c r="J1" s="104"/>
      <c r="K1" s="104"/>
      <c r="L1" s="105"/>
      <c r="M1" s="105"/>
      <c r="N1" s="105"/>
      <c r="O1" s="105"/>
      <c r="P1" s="105"/>
      <c r="Q1" s="105"/>
      <c r="R1" s="105"/>
    </row>
    <row r="2" ht="18.75" customHeight="1">
      <c r="A2" s="106"/>
      <c r="B2" s="107"/>
      <c r="C2" s="108"/>
      <c r="D2" s="109"/>
      <c r="E2" s="109"/>
      <c r="F2" s="109"/>
      <c r="G2" s="110"/>
      <c r="H2" s="109"/>
      <c r="I2" s="111"/>
      <c r="J2" s="112"/>
      <c r="K2" s="112"/>
      <c r="L2" s="112"/>
      <c r="M2" s="112"/>
      <c r="N2" s="112"/>
      <c r="O2" s="113"/>
      <c r="P2" s="113"/>
      <c r="Q2" s="113"/>
      <c r="R2" s="113"/>
      <c r="S2" s="112"/>
      <c r="T2" s="112"/>
      <c r="U2" s="112"/>
      <c r="V2" s="112"/>
      <c r="W2" s="112"/>
      <c r="X2" s="112"/>
      <c r="Y2" s="112"/>
      <c r="Z2" s="112"/>
    </row>
    <row r="3" ht="18.75" customHeight="1">
      <c r="A3" s="114"/>
      <c r="B3" s="107"/>
      <c r="C3" s="108"/>
      <c r="D3" s="115"/>
      <c r="E3" s="116"/>
      <c r="F3" s="116"/>
      <c r="G3" s="117"/>
      <c r="H3" s="115"/>
      <c r="I3" s="118"/>
      <c r="J3" s="119"/>
      <c r="K3" s="119"/>
      <c r="L3" s="119"/>
      <c r="M3" s="119"/>
      <c r="N3" s="119"/>
      <c r="O3" s="120"/>
      <c r="P3" s="120"/>
      <c r="Q3" s="120"/>
      <c r="R3" s="120"/>
      <c r="S3" s="119"/>
      <c r="T3" s="119"/>
      <c r="U3" s="119"/>
      <c r="V3" s="119"/>
      <c r="W3" s="119"/>
      <c r="X3" s="119"/>
      <c r="Y3" s="119"/>
      <c r="Z3" s="119"/>
    </row>
    <row r="4" ht="18.75" customHeight="1">
      <c r="A4" s="121"/>
      <c r="B4" s="107"/>
      <c r="C4" s="122"/>
      <c r="D4" s="109"/>
      <c r="E4" s="109" t="s">
        <v>104</v>
      </c>
      <c r="F4" s="109"/>
      <c r="G4" s="110"/>
      <c r="H4" s="109"/>
      <c r="I4" s="111"/>
      <c r="J4" s="112"/>
      <c r="K4" s="112"/>
      <c r="L4" s="112"/>
      <c r="M4" s="112"/>
      <c r="N4" s="112"/>
      <c r="O4" s="113"/>
      <c r="P4" s="113"/>
      <c r="Q4" s="113"/>
      <c r="R4" s="113"/>
      <c r="S4" s="112"/>
      <c r="T4" s="112"/>
      <c r="U4" s="112"/>
      <c r="V4" s="112"/>
      <c r="W4" s="112"/>
      <c r="X4" s="112"/>
      <c r="Y4" s="112"/>
      <c r="Z4" s="112"/>
    </row>
    <row r="5" ht="18.75" customHeight="1">
      <c r="A5" s="106"/>
      <c r="B5" s="107"/>
      <c r="C5" s="122"/>
      <c r="D5" s="118"/>
      <c r="E5" s="115"/>
      <c r="F5" s="115"/>
      <c r="G5" s="123"/>
      <c r="H5" s="115"/>
      <c r="I5" s="118"/>
      <c r="J5" s="119"/>
      <c r="K5" s="119"/>
      <c r="L5" s="119"/>
      <c r="M5" s="119"/>
      <c r="N5" s="119"/>
      <c r="O5" s="120"/>
      <c r="P5" s="120"/>
      <c r="Q5" s="120"/>
      <c r="R5" s="120"/>
      <c r="S5" s="119"/>
      <c r="T5" s="119"/>
      <c r="U5" s="119"/>
      <c r="V5" s="119"/>
      <c r="W5" s="119"/>
      <c r="X5" s="119"/>
      <c r="Y5" s="119"/>
      <c r="Z5" s="119"/>
    </row>
    <row r="6" ht="18.75" customHeight="1">
      <c r="A6" s="121"/>
      <c r="B6" s="107"/>
      <c r="C6" s="122"/>
      <c r="D6" s="111"/>
      <c r="E6" s="109"/>
      <c r="F6" s="109"/>
      <c r="G6" s="110"/>
      <c r="H6" s="109"/>
      <c r="I6" s="111"/>
      <c r="J6" s="112"/>
      <c r="K6" s="112"/>
      <c r="L6" s="112"/>
      <c r="M6" s="112"/>
      <c r="N6" s="112"/>
      <c r="O6" s="113"/>
      <c r="P6" s="113"/>
      <c r="Q6" s="113"/>
      <c r="R6" s="113"/>
      <c r="S6" s="112"/>
      <c r="T6" s="112"/>
      <c r="U6" s="112"/>
      <c r="V6" s="112"/>
      <c r="W6" s="112"/>
      <c r="X6" s="112"/>
      <c r="Y6" s="112"/>
      <c r="Z6" s="112"/>
    </row>
    <row r="7" ht="18.75" customHeight="1">
      <c r="A7" s="121"/>
      <c r="B7" s="107"/>
      <c r="C7" s="122"/>
      <c r="D7" s="111"/>
      <c r="E7" s="109"/>
      <c r="F7" s="109"/>
      <c r="G7" s="110"/>
      <c r="H7" s="109"/>
      <c r="I7" s="111"/>
      <c r="J7" s="112"/>
      <c r="K7" s="112"/>
      <c r="L7" s="112"/>
      <c r="M7" s="112"/>
      <c r="N7" s="112"/>
      <c r="O7" s="113"/>
      <c r="P7" s="113"/>
      <c r="Q7" s="113"/>
      <c r="R7" s="113"/>
      <c r="S7" s="112"/>
      <c r="T7" s="112"/>
      <c r="U7" s="112"/>
      <c r="V7" s="112"/>
      <c r="W7" s="112"/>
      <c r="X7" s="112"/>
      <c r="Y7" s="112"/>
      <c r="Z7" s="112"/>
    </row>
    <row r="8" ht="18.75" customHeight="1">
      <c r="A8" s="106"/>
      <c r="B8" s="107"/>
      <c r="C8" s="124"/>
      <c r="D8" s="111"/>
      <c r="E8" s="109"/>
      <c r="F8" s="109"/>
      <c r="G8" s="110"/>
      <c r="H8" s="109"/>
      <c r="I8" s="111"/>
      <c r="J8" s="112"/>
      <c r="K8" s="112"/>
      <c r="L8" s="112"/>
      <c r="M8" s="112"/>
      <c r="N8" s="112"/>
      <c r="O8" s="113"/>
      <c r="P8" s="113"/>
      <c r="Q8" s="113"/>
      <c r="R8" s="113"/>
      <c r="S8" s="112"/>
      <c r="T8" s="112"/>
      <c r="U8" s="112"/>
      <c r="V8" s="112"/>
      <c r="W8" s="112"/>
      <c r="X8" s="112"/>
      <c r="Y8" s="112"/>
      <c r="Z8" s="112"/>
    </row>
    <row r="9" ht="18.75" customHeight="1">
      <c r="A9" s="106"/>
      <c r="B9" s="107"/>
      <c r="C9" s="124"/>
      <c r="D9" s="111"/>
      <c r="E9" s="109"/>
      <c r="F9" s="109"/>
      <c r="G9" s="110"/>
      <c r="H9" s="109"/>
      <c r="I9" s="111"/>
      <c r="J9" s="112"/>
      <c r="K9" s="112"/>
      <c r="L9" s="112"/>
      <c r="M9" s="112"/>
      <c r="N9" s="112"/>
      <c r="O9" s="113"/>
      <c r="P9" s="113"/>
      <c r="Q9" s="113"/>
      <c r="R9" s="113"/>
      <c r="S9" s="112"/>
      <c r="T9" s="112"/>
      <c r="U9" s="112"/>
      <c r="V9" s="112"/>
      <c r="W9" s="112"/>
      <c r="X9" s="112"/>
      <c r="Y9" s="112"/>
      <c r="Z9" s="112"/>
    </row>
    <row r="10" ht="18.75" customHeight="1">
      <c r="A10" s="121"/>
      <c r="B10" s="107"/>
      <c r="C10" s="124"/>
      <c r="D10" s="118"/>
      <c r="E10" s="115"/>
      <c r="F10" s="115"/>
      <c r="G10" s="123"/>
      <c r="H10" s="115"/>
      <c r="I10" s="118"/>
      <c r="J10" s="119"/>
      <c r="K10" s="119"/>
      <c r="L10" s="119"/>
      <c r="M10" s="119"/>
      <c r="N10" s="119"/>
      <c r="O10" s="120"/>
      <c r="P10" s="120"/>
      <c r="Q10" s="120"/>
      <c r="R10" s="120"/>
      <c r="S10" s="119"/>
      <c r="T10" s="119"/>
      <c r="U10" s="119"/>
      <c r="V10" s="119"/>
      <c r="W10" s="119"/>
      <c r="X10" s="119"/>
      <c r="Y10" s="119"/>
      <c r="Z10" s="119"/>
    </row>
    <row r="11" ht="18.75" customHeight="1">
      <c r="A11" s="106"/>
      <c r="B11" s="107"/>
      <c r="C11" s="124"/>
      <c r="D11" s="111"/>
      <c r="E11" s="109"/>
      <c r="F11" s="109"/>
      <c r="G11" s="110"/>
      <c r="H11" s="109"/>
      <c r="I11" s="111"/>
      <c r="J11" s="112"/>
      <c r="K11" s="112"/>
      <c r="L11" s="112"/>
      <c r="M11" s="112"/>
      <c r="N11" s="112"/>
      <c r="O11" s="113"/>
      <c r="P11" s="113"/>
      <c r="Q11" s="113"/>
      <c r="R11" s="113"/>
      <c r="S11" s="112"/>
      <c r="T11" s="112"/>
      <c r="U11" s="112"/>
      <c r="V11" s="112"/>
      <c r="W11" s="112"/>
      <c r="X11" s="112"/>
      <c r="Y11" s="112"/>
      <c r="Z11" s="112"/>
    </row>
    <row r="12" ht="18.75" customHeight="1">
      <c r="A12" s="121"/>
      <c r="B12" s="107"/>
      <c r="C12" s="124"/>
      <c r="D12" s="118"/>
      <c r="E12" s="115"/>
      <c r="F12" s="115"/>
      <c r="G12" s="123"/>
      <c r="H12" s="115"/>
      <c r="I12" s="118"/>
      <c r="J12" s="119"/>
      <c r="K12" s="119"/>
      <c r="L12" s="119"/>
      <c r="M12" s="119"/>
      <c r="N12" s="119"/>
      <c r="O12" s="120"/>
      <c r="P12" s="120"/>
      <c r="Q12" s="120"/>
      <c r="R12" s="120"/>
      <c r="S12" s="119"/>
      <c r="T12" s="119"/>
      <c r="U12" s="119"/>
      <c r="V12" s="119"/>
      <c r="W12" s="119"/>
      <c r="X12" s="119"/>
      <c r="Y12" s="119"/>
      <c r="Z12" s="119"/>
    </row>
    <row r="13" ht="18.75" customHeight="1">
      <c r="A13" s="106"/>
      <c r="B13" s="107"/>
      <c r="C13" s="124"/>
      <c r="D13" s="111"/>
      <c r="E13" s="109"/>
      <c r="F13" s="109"/>
      <c r="G13" s="110"/>
      <c r="H13" s="109"/>
      <c r="I13" s="111"/>
      <c r="J13" s="112"/>
      <c r="K13" s="112"/>
      <c r="L13" s="112"/>
      <c r="M13" s="112"/>
      <c r="N13" s="112"/>
      <c r="O13" s="113"/>
      <c r="P13" s="113"/>
      <c r="Q13" s="113"/>
      <c r="R13" s="113"/>
      <c r="S13" s="112"/>
      <c r="T13" s="112"/>
      <c r="U13" s="112"/>
      <c r="V13" s="112"/>
      <c r="W13" s="112"/>
      <c r="X13" s="112"/>
      <c r="Y13" s="112"/>
      <c r="Z13" s="112"/>
    </row>
    <row r="14" ht="18.75" customHeight="1">
      <c r="A14" s="106"/>
      <c r="B14" s="107"/>
      <c r="C14" s="124"/>
      <c r="D14" s="111"/>
      <c r="E14" s="109"/>
      <c r="F14" s="109"/>
      <c r="G14" s="110"/>
      <c r="H14" s="109"/>
      <c r="I14" s="111"/>
      <c r="J14" s="112"/>
      <c r="K14" s="112"/>
      <c r="L14" s="112"/>
      <c r="M14" s="112"/>
      <c r="N14" s="112"/>
      <c r="O14" s="113"/>
      <c r="P14" s="113"/>
      <c r="Q14" s="113"/>
      <c r="R14" s="113"/>
      <c r="S14" s="112"/>
      <c r="T14" s="112"/>
      <c r="U14" s="112"/>
      <c r="V14" s="112"/>
      <c r="W14" s="112"/>
      <c r="X14" s="112"/>
      <c r="Y14" s="112"/>
      <c r="Z14" s="112"/>
    </row>
    <row r="15" ht="18.75" customHeight="1">
      <c r="A15" s="106"/>
      <c r="B15" s="107"/>
      <c r="C15" s="124"/>
      <c r="D15" s="111"/>
      <c r="E15" s="109"/>
      <c r="F15" s="110"/>
      <c r="G15" s="109"/>
      <c r="H15" s="109"/>
      <c r="I15" s="111"/>
      <c r="J15" s="112"/>
      <c r="K15" s="112"/>
      <c r="L15" s="112"/>
      <c r="M15" s="112"/>
      <c r="N15" s="112"/>
      <c r="O15" s="113"/>
      <c r="P15" s="113"/>
      <c r="Q15" s="113"/>
      <c r="R15" s="113"/>
      <c r="S15" s="112"/>
      <c r="T15" s="112"/>
      <c r="U15" s="112"/>
      <c r="V15" s="112"/>
      <c r="W15" s="112"/>
      <c r="X15" s="112"/>
      <c r="Y15" s="112"/>
      <c r="Z15" s="112"/>
    </row>
    <row r="16" ht="18.75" customHeight="1">
      <c r="A16" s="106"/>
      <c r="B16" s="107"/>
      <c r="C16" s="124"/>
      <c r="D16" s="111"/>
      <c r="E16" s="111"/>
      <c r="F16" s="109"/>
      <c r="G16" s="110"/>
      <c r="H16" s="109"/>
      <c r="I16" s="111"/>
      <c r="J16" s="112"/>
      <c r="K16" s="112"/>
      <c r="L16" s="112"/>
      <c r="M16" s="112"/>
      <c r="N16" s="112"/>
      <c r="O16" s="113"/>
      <c r="P16" s="113"/>
      <c r="Q16" s="113"/>
      <c r="R16" s="113"/>
      <c r="S16" s="112"/>
      <c r="T16" s="112"/>
      <c r="U16" s="112"/>
      <c r="V16" s="112"/>
      <c r="W16" s="112"/>
      <c r="X16" s="112"/>
      <c r="Y16" s="112"/>
      <c r="Z16" s="112"/>
    </row>
    <row r="17" ht="18.75" customHeight="1">
      <c r="A17" s="106"/>
      <c r="B17" s="107"/>
      <c r="C17" s="125"/>
      <c r="D17" s="111"/>
      <c r="E17" s="109"/>
      <c r="F17" s="109"/>
      <c r="G17" s="110"/>
      <c r="H17" s="109"/>
      <c r="I17" s="111"/>
      <c r="J17" s="112"/>
      <c r="K17" s="112"/>
      <c r="L17" s="112"/>
      <c r="M17" s="112"/>
      <c r="N17" s="112"/>
      <c r="O17" s="113"/>
      <c r="P17" s="113"/>
      <c r="Q17" s="113"/>
      <c r="R17" s="113"/>
      <c r="S17" s="112"/>
      <c r="T17" s="112"/>
      <c r="U17" s="112"/>
      <c r="V17" s="112"/>
      <c r="W17" s="112"/>
      <c r="X17" s="112"/>
      <c r="Y17" s="112"/>
      <c r="Z17" s="112"/>
    </row>
    <row r="18" ht="18.75" customHeight="1">
      <c r="A18" s="121"/>
      <c r="B18" s="107"/>
      <c r="C18" s="125"/>
      <c r="D18" s="118"/>
      <c r="E18" s="115"/>
      <c r="F18" s="115"/>
      <c r="G18" s="123"/>
      <c r="H18" s="115"/>
      <c r="I18" s="118"/>
      <c r="J18" s="119"/>
      <c r="K18" s="119"/>
      <c r="L18" s="119"/>
      <c r="M18" s="119"/>
      <c r="N18" s="119"/>
      <c r="O18" s="120"/>
      <c r="P18" s="120"/>
      <c r="Q18" s="120"/>
      <c r="R18" s="120"/>
      <c r="S18" s="119"/>
      <c r="T18" s="119"/>
      <c r="U18" s="119"/>
      <c r="V18" s="119"/>
      <c r="W18" s="119"/>
      <c r="X18" s="119"/>
      <c r="Y18" s="119"/>
      <c r="Z18" s="119"/>
    </row>
    <row r="19" ht="18.75" customHeight="1">
      <c r="A19" s="106"/>
      <c r="B19" s="107"/>
      <c r="C19" s="125"/>
      <c r="D19" s="111"/>
      <c r="E19" s="109"/>
      <c r="F19" s="109"/>
      <c r="G19" s="110"/>
      <c r="H19" s="109"/>
      <c r="I19" s="111"/>
      <c r="J19" s="112"/>
      <c r="K19" s="112"/>
      <c r="L19" s="112"/>
      <c r="M19" s="112"/>
      <c r="N19" s="112"/>
      <c r="O19" s="113"/>
      <c r="P19" s="113"/>
      <c r="Q19" s="113"/>
      <c r="R19" s="113"/>
      <c r="S19" s="112"/>
      <c r="T19" s="112"/>
      <c r="U19" s="112"/>
      <c r="V19" s="112"/>
      <c r="W19" s="112"/>
      <c r="X19" s="112"/>
      <c r="Y19" s="112"/>
      <c r="Z19" s="112"/>
    </row>
    <row r="20" ht="18.75" customHeight="1">
      <c r="A20" s="121"/>
      <c r="B20" s="107"/>
      <c r="C20" s="125"/>
      <c r="D20" s="118"/>
      <c r="E20" s="115"/>
      <c r="F20" s="115"/>
      <c r="G20" s="123"/>
      <c r="H20" s="115"/>
      <c r="I20" s="118"/>
      <c r="J20" s="119"/>
      <c r="K20" s="119"/>
      <c r="L20" s="119"/>
      <c r="M20" s="119"/>
      <c r="N20" s="119"/>
      <c r="O20" s="120"/>
      <c r="P20" s="120"/>
      <c r="Q20" s="120"/>
      <c r="R20" s="120"/>
      <c r="S20" s="119"/>
      <c r="T20" s="119"/>
      <c r="U20" s="119"/>
      <c r="V20" s="119"/>
      <c r="W20" s="119"/>
      <c r="X20" s="119"/>
      <c r="Y20" s="119"/>
      <c r="Z20" s="119"/>
    </row>
    <row r="21" ht="18.75" customHeight="1">
      <c r="A21" s="106"/>
      <c r="B21" s="107"/>
      <c r="C21" s="125"/>
      <c r="D21" s="111"/>
      <c r="E21" s="109"/>
      <c r="F21" s="109"/>
      <c r="G21" s="110"/>
      <c r="H21" s="109"/>
      <c r="I21" s="111"/>
      <c r="J21" s="112"/>
      <c r="K21" s="112"/>
      <c r="L21" s="112"/>
      <c r="M21" s="112"/>
      <c r="N21" s="112"/>
      <c r="O21" s="113"/>
      <c r="P21" s="113"/>
      <c r="Q21" s="113"/>
      <c r="R21" s="113"/>
      <c r="S21" s="112"/>
      <c r="T21" s="112"/>
      <c r="U21" s="112"/>
      <c r="V21" s="112"/>
      <c r="W21" s="112"/>
      <c r="X21" s="112"/>
      <c r="Y21" s="112"/>
      <c r="Z21" s="112"/>
    </row>
    <row r="22" ht="18.75" customHeight="1">
      <c r="A22" s="121"/>
      <c r="B22" s="107"/>
      <c r="C22" s="125"/>
      <c r="D22" s="118"/>
      <c r="E22" s="115"/>
      <c r="F22" s="115"/>
      <c r="G22" s="123"/>
      <c r="H22" s="115"/>
      <c r="I22" s="118"/>
      <c r="J22" s="119"/>
      <c r="K22" s="119"/>
      <c r="L22" s="119"/>
      <c r="M22" s="119"/>
      <c r="N22" s="119"/>
      <c r="O22" s="120"/>
      <c r="P22" s="120"/>
      <c r="Q22" s="120"/>
      <c r="R22" s="120"/>
      <c r="S22" s="119"/>
      <c r="T22" s="119"/>
      <c r="U22" s="119"/>
      <c r="V22" s="119"/>
      <c r="W22" s="119"/>
      <c r="X22" s="119"/>
      <c r="Y22" s="119"/>
      <c r="Z22" s="119"/>
    </row>
    <row r="23" ht="18.75" customHeight="1">
      <c r="A23" s="121"/>
      <c r="B23" s="107"/>
      <c r="C23" s="126"/>
      <c r="D23" s="111"/>
      <c r="E23" s="109"/>
      <c r="F23" s="109"/>
      <c r="G23" s="110"/>
      <c r="H23" s="109"/>
      <c r="I23" s="111"/>
      <c r="J23" s="112"/>
      <c r="K23" s="112"/>
      <c r="L23" s="112"/>
      <c r="M23" s="112"/>
      <c r="N23" s="112"/>
      <c r="O23" s="113"/>
      <c r="P23" s="113"/>
      <c r="Q23" s="113"/>
      <c r="R23" s="113"/>
      <c r="S23" s="112"/>
      <c r="T23" s="112"/>
      <c r="U23" s="112"/>
      <c r="V23" s="112"/>
      <c r="W23" s="112"/>
      <c r="X23" s="112"/>
      <c r="Y23" s="112"/>
      <c r="Z23" s="112"/>
    </row>
    <row r="24" ht="18.75" customHeight="1">
      <c r="A24" s="106"/>
      <c r="B24" s="107"/>
      <c r="C24" s="126"/>
      <c r="D24" s="118"/>
      <c r="E24" s="115"/>
      <c r="F24" s="115"/>
      <c r="G24" s="123"/>
      <c r="H24" s="115"/>
      <c r="I24" s="118"/>
      <c r="J24" s="119"/>
      <c r="K24" s="119"/>
      <c r="L24" s="119"/>
      <c r="M24" s="119"/>
      <c r="N24" s="119"/>
      <c r="O24" s="120"/>
      <c r="P24" s="120"/>
      <c r="Q24" s="120"/>
      <c r="R24" s="120"/>
      <c r="S24" s="119"/>
      <c r="T24" s="119"/>
      <c r="U24" s="119"/>
      <c r="V24" s="119"/>
      <c r="W24" s="119"/>
      <c r="X24" s="119"/>
      <c r="Y24" s="119"/>
      <c r="Z24" s="119"/>
    </row>
    <row r="25" ht="18.75" customHeight="1">
      <c r="A25" s="121"/>
      <c r="B25" s="107"/>
      <c r="C25" s="126"/>
      <c r="D25" s="111"/>
      <c r="E25" s="109"/>
      <c r="F25" s="109"/>
      <c r="G25" s="110"/>
      <c r="H25" s="109"/>
      <c r="I25" s="111"/>
      <c r="J25" s="112"/>
      <c r="K25" s="112"/>
      <c r="L25" s="112"/>
      <c r="M25" s="112"/>
      <c r="N25" s="112"/>
      <c r="O25" s="113"/>
      <c r="P25" s="113"/>
      <c r="Q25" s="113"/>
      <c r="R25" s="113"/>
      <c r="S25" s="112"/>
      <c r="T25" s="112"/>
      <c r="U25" s="112"/>
      <c r="V25" s="112"/>
      <c r="W25" s="112"/>
      <c r="X25" s="112"/>
      <c r="Y25" s="112"/>
      <c r="Z25" s="112"/>
    </row>
    <row r="26" ht="18.75" customHeight="1">
      <c r="A26" s="106"/>
      <c r="B26" s="107"/>
      <c r="C26" s="126"/>
      <c r="D26" s="118"/>
      <c r="E26" s="115"/>
      <c r="F26" s="115"/>
      <c r="G26" s="123"/>
      <c r="H26" s="115"/>
      <c r="I26" s="118"/>
      <c r="J26" s="119"/>
      <c r="K26" s="119"/>
      <c r="L26" s="119"/>
      <c r="M26" s="119"/>
      <c r="N26" s="119"/>
      <c r="O26" s="120"/>
      <c r="P26" s="120"/>
      <c r="Q26" s="120"/>
      <c r="R26" s="120"/>
      <c r="S26" s="119"/>
      <c r="T26" s="119"/>
      <c r="U26" s="119"/>
      <c r="V26" s="119"/>
      <c r="W26" s="119"/>
      <c r="X26" s="119"/>
      <c r="Y26" s="119"/>
      <c r="Z26" s="119"/>
    </row>
    <row r="27" ht="18.75" customHeight="1">
      <c r="A27" s="106"/>
      <c r="B27" s="107"/>
      <c r="C27" s="126"/>
      <c r="D27" s="111"/>
      <c r="E27" s="109"/>
      <c r="F27" s="109"/>
      <c r="G27" s="110"/>
      <c r="H27" s="109"/>
      <c r="I27" s="111"/>
      <c r="J27" s="112"/>
      <c r="K27" s="112"/>
      <c r="L27" s="112"/>
      <c r="M27" s="112"/>
      <c r="N27" s="112"/>
      <c r="O27" s="113"/>
      <c r="P27" s="113"/>
      <c r="Q27" s="113"/>
      <c r="R27" s="113"/>
      <c r="S27" s="112"/>
      <c r="T27" s="112"/>
      <c r="U27" s="112"/>
      <c r="V27" s="112"/>
      <c r="W27" s="112"/>
      <c r="X27" s="112"/>
      <c r="Y27" s="112"/>
      <c r="Z27" s="112"/>
    </row>
    <row r="28" ht="18.75" customHeight="1">
      <c r="A28" s="106"/>
      <c r="B28" s="107"/>
      <c r="C28" s="126"/>
      <c r="D28" s="118"/>
      <c r="E28" s="115"/>
      <c r="F28" s="115"/>
      <c r="G28" s="123"/>
      <c r="H28" s="115"/>
      <c r="I28" s="118"/>
      <c r="J28" s="119"/>
      <c r="K28" s="119"/>
      <c r="L28" s="119"/>
      <c r="M28" s="119"/>
      <c r="N28" s="119"/>
      <c r="O28" s="120"/>
      <c r="P28" s="120"/>
      <c r="Q28" s="120"/>
      <c r="R28" s="120"/>
      <c r="S28" s="119"/>
      <c r="T28" s="119"/>
      <c r="U28" s="119"/>
      <c r="V28" s="119"/>
      <c r="W28" s="119"/>
      <c r="X28" s="119"/>
      <c r="Y28" s="119"/>
      <c r="Z28" s="119"/>
    </row>
    <row r="29" ht="18.75" customHeight="1">
      <c r="A29" s="106"/>
      <c r="B29" s="107"/>
      <c r="C29" s="126"/>
      <c r="D29" s="111"/>
      <c r="E29" s="109"/>
      <c r="F29" s="109"/>
      <c r="G29" s="110"/>
      <c r="H29" s="109"/>
      <c r="I29" s="111"/>
      <c r="J29" s="112"/>
      <c r="K29" s="112"/>
      <c r="L29" s="112"/>
      <c r="M29" s="112"/>
      <c r="N29" s="112"/>
      <c r="O29" s="113"/>
      <c r="P29" s="113"/>
      <c r="Q29" s="113"/>
      <c r="R29" s="113"/>
      <c r="S29" s="112"/>
      <c r="T29" s="112"/>
      <c r="U29" s="112"/>
      <c r="V29" s="112"/>
      <c r="W29" s="112"/>
      <c r="X29" s="112"/>
      <c r="Y29" s="112"/>
      <c r="Z29" s="112"/>
    </row>
    <row r="30" ht="18.75" customHeight="1">
      <c r="A30" s="121"/>
      <c r="B30" s="107"/>
      <c r="C30" s="126"/>
      <c r="D30" s="118"/>
      <c r="E30" s="115"/>
      <c r="F30" s="115"/>
      <c r="G30" s="123"/>
      <c r="H30" s="115"/>
      <c r="I30" s="118"/>
      <c r="J30" s="119"/>
      <c r="K30" s="119"/>
      <c r="L30" s="119"/>
      <c r="M30" s="119"/>
      <c r="N30" s="119"/>
      <c r="O30" s="120"/>
      <c r="P30" s="120"/>
      <c r="Q30" s="120"/>
      <c r="R30" s="120"/>
      <c r="S30" s="119"/>
      <c r="T30" s="119"/>
      <c r="U30" s="119"/>
      <c r="V30" s="119"/>
      <c r="W30" s="119"/>
      <c r="X30" s="119"/>
      <c r="Y30" s="119"/>
      <c r="Z30" s="119"/>
    </row>
    <row r="31" ht="18.75" customHeight="1">
      <c r="A31" s="106"/>
      <c r="B31" s="107"/>
      <c r="C31" s="127"/>
      <c r="D31" s="111"/>
      <c r="E31" s="109"/>
      <c r="F31" s="109"/>
      <c r="G31" s="110"/>
      <c r="H31" s="109"/>
      <c r="I31" s="111"/>
      <c r="J31" s="112"/>
      <c r="K31" s="112"/>
      <c r="L31" s="112"/>
      <c r="M31" s="112"/>
      <c r="N31" s="112"/>
      <c r="O31" s="113"/>
      <c r="P31" s="113"/>
      <c r="Q31" s="113"/>
      <c r="R31" s="113"/>
      <c r="S31" s="112"/>
      <c r="T31" s="112"/>
      <c r="U31" s="112"/>
      <c r="V31" s="112"/>
      <c r="W31" s="112"/>
      <c r="X31" s="112"/>
      <c r="Y31" s="112"/>
      <c r="Z31" s="112"/>
    </row>
    <row r="32" ht="18.75" customHeight="1">
      <c r="A32" s="106"/>
      <c r="B32" s="128"/>
      <c r="C32" s="129"/>
      <c r="D32" s="111"/>
      <c r="E32" s="109"/>
      <c r="F32" s="109"/>
      <c r="G32" s="110"/>
      <c r="H32" s="109"/>
      <c r="I32" s="111"/>
      <c r="J32" s="112"/>
      <c r="K32" s="112"/>
      <c r="L32" s="112"/>
      <c r="M32" s="112"/>
      <c r="N32" s="112"/>
      <c r="O32" s="113"/>
      <c r="P32" s="113"/>
      <c r="Q32" s="113"/>
      <c r="R32" s="113"/>
      <c r="S32" s="112"/>
      <c r="T32" s="112"/>
      <c r="U32" s="112"/>
      <c r="V32" s="112"/>
      <c r="W32" s="112"/>
      <c r="X32" s="112"/>
      <c r="Y32" s="112"/>
      <c r="Z32" s="112"/>
    </row>
    <row r="33" ht="18.75" customHeight="1">
      <c r="A33" s="106"/>
      <c r="B33" s="114"/>
      <c r="C33" s="130"/>
      <c r="D33" s="111"/>
      <c r="E33" s="109"/>
      <c r="F33" s="109"/>
      <c r="G33" s="110"/>
      <c r="H33" s="109"/>
      <c r="I33" s="111"/>
      <c r="J33" s="112"/>
      <c r="K33" s="112"/>
      <c r="L33" s="112"/>
      <c r="M33" s="112"/>
      <c r="N33" s="112"/>
      <c r="O33" s="113"/>
      <c r="P33" s="113"/>
      <c r="Q33" s="113"/>
      <c r="R33" s="113"/>
      <c r="S33" s="112"/>
      <c r="T33" s="112"/>
      <c r="U33" s="112"/>
      <c r="V33" s="112"/>
      <c r="W33" s="112"/>
      <c r="X33" s="112"/>
      <c r="Y33" s="112"/>
      <c r="Z33" s="11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6.38"/>
  </cols>
  <sheetData>
    <row r="1">
      <c r="C1" s="131" t="s">
        <v>105</v>
      </c>
      <c r="D1" s="131"/>
    </row>
    <row r="2">
      <c r="C2" s="131" t="s">
        <v>106</v>
      </c>
      <c r="D2" s="131">
        <v>280.0</v>
      </c>
    </row>
    <row r="3">
      <c r="C3" s="131" t="s">
        <v>107</v>
      </c>
      <c r="D3" s="131">
        <v>140.0</v>
      </c>
    </row>
    <row r="4">
      <c r="C4" s="131" t="s">
        <v>108</v>
      </c>
      <c r="D4" s="131">
        <v>10.0</v>
      </c>
    </row>
    <row r="5">
      <c r="C5" s="131" t="s">
        <v>109</v>
      </c>
      <c r="D5" s="131">
        <v>130.0</v>
      </c>
    </row>
    <row r="6">
      <c r="C6" s="131" t="s">
        <v>110</v>
      </c>
      <c r="D6" s="131">
        <v>150.0</v>
      </c>
    </row>
    <row r="7">
      <c r="C7" s="131" t="s">
        <v>111</v>
      </c>
      <c r="D7" s="131">
        <v>100.0</v>
      </c>
    </row>
    <row r="8">
      <c r="C8" s="131" t="s">
        <v>112</v>
      </c>
      <c r="D8" s="131">
        <v>300.0</v>
      </c>
    </row>
    <row r="9">
      <c r="C9" s="131" t="s">
        <v>113</v>
      </c>
      <c r="D9" s="131">
        <v>270.0</v>
      </c>
    </row>
    <row r="10">
      <c r="C10" s="131" t="s">
        <v>114</v>
      </c>
      <c r="D10" s="131">
        <v>10.0</v>
      </c>
    </row>
    <row r="11">
      <c r="C11" s="131" t="s">
        <v>115</v>
      </c>
      <c r="D11" s="131">
        <v>10.0</v>
      </c>
    </row>
    <row r="12">
      <c r="C12" s="131" t="s">
        <v>116</v>
      </c>
      <c r="D12" s="131">
        <v>100.0</v>
      </c>
    </row>
    <row r="13">
      <c r="C13" s="131" t="s">
        <v>117</v>
      </c>
      <c r="D13" s="131">
        <v>150.0</v>
      </c>
    </row>
    <row r="14">
      <c r="C14" s="131" t="s">
        <v>118</v>
      </c>
      <c r="D14" s="131">
        <v>10.0</v>
      </c>
    </row>
    <row r="15">
      <c r="C15" s="131" t="s">
        <v>106</v>
      </c>
      <c r="D15" s="131">
        <v>330.0</v>
      </c>
    </row>
    <row r="16">
      <c r="C16" s="131" t="s">
        <v>112</v>
      </c>
      <c r="D16" s="131">
        <v>310.0</v>
      </c>
    </row>
    <row r="17">
      <c r="C17" s="131" t="s">
        <v>111</v>
      </c>
      <c r="D17" s="131">
        <v>300.0</v>
      </c>
    </row>
    <row r="18">
      <c r="C18" s="131" t="s">
        <v>119</v>
      </c>
      <c r="D18" s="131">
        <v>150.0</v>
      </c>
    </row>
    <row r="19">
      <c r="C19" s="131" t="s">
        <v>120</v>
      </c>
      <c r="D19" s="131">
        <v>100.0</v>
      </c>
    </row>
    <row r="20">
      <c r="C20" s="131" t="s">
        <v>121</v>
      </c>
      <c r="D20" s="131">
        <v>200.0</v>
      </c>
    </row>
    <row r="21">
      <c r="C21" s="131" t="s">
        <v>122</v>
      </c>
      <c r="D21" s="131">
        <v>10.0</v>
      </c>
    </row>
    <row r="22">
      <c r="C22" s="131" t="s">
        <v>116</v>
      </c>
      <c r="D22" s="131">
        <v>250.0</v>
      </c>
    </row>
    <row r="23">
      <c r="C23" s="131" t="s">
        <v>111</v>
      </c>
      <c r="D23" s="131">
        <v>310.0</v>
      </c>
    </row>
    <row r="24">
      <c r="C24" s="131" t="s">
        <v>117</v>
      </c>
      <c r="D24" s="131">
        <v>160.0</v>
      </c>
    </row>
    <row r="25">
      <c r="C25" s="131" t="s">
        <v>123</v>
      </c>
      <c r="D25" s="131">
        <v>30.0</v>
      </c>
    </row>
    <row r="26">
      <c r="C26" s="131" t="s">
        <v>116</v>
      </c>
      <c r="D26" s="131">
        <v>260.0</v>
      </c>
    </row>
    <row r="27">
      <c r="C27" s="131" t="s">
        <v>124</v>
      </c>
      <c r="D27" s="131">
        <v>80.0</v>
      </c>
    </row>
    <row r="28">
      <c r="C28" s="131" t="s">
        <v>117</v>
      </c>
      <c r="D28" s="131">
        <v>170.0</v>
      </c>
    </row>
    <row r="29">
      <c r="C29" s="131" t="s">
        <v>116</v>
      </c>
      <c r="D29" s="131">
        <v>280.0</v>
      </c>
    </row>
    <row r="30">
      <c r="C30" s="131" t="s">
        <v>122</v>
      </c>
      <c r="D30" s="131">
        <v>110.0</v>
      </c>
    </row>
    <row r="31">
      <c r="C31" s="131" t="s">
        <v>121</v>
      </c>
      <c r="D31" s="131">
        <v>300.0</v>
      </c>
    </row>
    <row r="32">
      <c r="C32" s="131" t="s">
        <v>119</v>
      </c>
      <c r="D32" s="131">
        <v>160.0</v>
      </c>
    </row>
    <row r="33">
      <c r="C33" s="131" t="s">
        <v>110</v>
      </c>
      <c r="D33" s="131">
        <v>170.0</v>
      </c>
    </row>
    <row r="34">
      <c r="C34" s="131" t="s">
        <v>116</v>
      </c>
      <c r="D34" s="131">
        <v>300.0</v>
      </c>
    </row>
    <row r="35">
      <c r="C35" s="131" t="s">
        <v>125</v>
      </c>
      <c r="D35" s="131">
        <v>10.0</v>
      </c>
    </row>
    <row r="36">
      <c r="C36" s="131" t="s">
        <v>119</v>
      </c>
      <c r="D36" s="131">
        <v>180.0</v>
      </c>
    </row>
    <row r="37">
      <c r="C37" s="131" t="s">
        <v>125</v>
      </c>
      <c r="D37" s="131">
        <v>20.0</v>
      </c>
    </row>
    <row r="38">
      <c r="C38" s="131" t="s">
        <v>126</v>
      </c>
      <c r="D38" s="131">
        <v>10.0</v>
      </c>
    </row>
    <row r="39">
      <c r="C39" s="131" t="s">
        <v>110</v>
      </c>
      <c r="D39" s="131">
        <v>180.0</v>
      </c>
    </row>
    <row r="40">
      <c r="C40" s="131" t="s">
        <v>113</v>
      </c>
      <c r="D40" s="131">
        <v>280.0</v>
      </c>
    </row>
    <row r="41">
      <c r="C41" s="131" t="s">
        <v>125</v>
      </c>
      <c r="D41" s="131">
        <v>30.0</v>
      </c>
    </row>
    <row r="42">
      <c r="C42" s="131" t="s">
        <v>127</v>
      </c>
      <c r="D42" s="131">
        <v>90.0</v>
      </c>
    </row>
    <row r="43">
      <c r="C43" s="131" t="s">
        <v>113</v>
      </c>
      <c r="D43" s="131">
        <v>290.0</v>
      </c>
    </row>
    <row r="44">
      <c r="C44" s="131" t="s">
        <v>116</v>
      </c>
      <c r="D44" s="131">
        <v>310.0</v>
      </c>
    </row>
    <row r="45">
      <c r="C45" s="131" t="s">
        <v>117</v>
      </c>
      <c r="D45" s="131">
        <v>180.0</v>
      </c>
    </row>
    <row r="46">
      <c r="C46" s="131" t="s">
        <v>124</v>
      </c>
      <c r="D46" s="131">
        <v>150.0</v>
      </c>
    </row>
    <row r="47">
      <c r="C47" s="131" t="s">
        <v>117</v>
      </c>
      <c r="D47" s="131">
        <v>200.0</v>
      </c>
    </row>
    <row r="48">
      <c r="C48" s="131" t="s">
        <v>124</v>
      </c>
      <c r="D48" s="131">
        <v>180.0</v>
      </c>
    </row>
    <row r="49">
      <c r="C49" s="131" t="s">
        <v>117</v>
      </c>
      <c r="D49" s="131">
        <v>220.0</v>
      </c>
    </row>
    <row r="50">
      <c r="C50" s="131" t="s">
        <v>128</v>
      </c>
      <c r="D50" s="131">
        <v>10.0</v>
      </c>
    </row>
    <row r="51">
      <c r="C51" s="131" t="s">
        <v>117</v>
      </c>
      <c r="D51" s="131">
        <v>250.0</v>
      </c>
    </row>
    <row r="52">
      <c r="C52" s="131" t="s">
        <v>116</v>
      </c>
      <c r="D52" s="131">
        <v>330.0</v>
      </c>
    </row>
    <row r="53">
      <c r="C53" s="131" t="s">
        <v>128</v>
      </c>
      <c r="D53" s="131">
        <v>20.0</v>
      </c>
    </row>
    <row r="54">
      <c r="C54" s="131" t="s">
        <v>117</v>
      </c>
      <c r="D54" s="131">
        <v>260.0</v>
      </c>
    </row>
    <row r="55">
      <c r="C55" s="131" t="s">
        <v>119</v>
      </c>
      <c r="D55" s="131">
        <v>220.0</v>
      </c>
    </row>
    <row r="56">
      <c r="C56" s="131" t="s">
        <v>117</v>
      </c>
      <c r="D56" s="131">
        <v>280.0</v>
      </c>
    </row>
    <row r="57">
      <c r="C57" s="131" t="s">
        <v>113</v>
      </c>
      <c r="D57" s="131">
        <v>300.0</v>
      </c>
    </row>
    <row r="58">
      <c r="C58" s="131" t="s">
        <v>113</v>
      </c>
      <c r="D58" s="131">
        <v>310.0</v>
      </c>
    </row>
    <row r="59">
      <c r="C59" s="131" t="s">
        <v>109</v>
      </c>
      <c r="D59" s="131">
        <v>160.0</v>
      </c>
    </row>
    <row r="60">
      <c r="C60" s="131" t="s">
        <v>121</v>
      </c>
      <c r="D60" s="131">
        <v>320.0</v>
      </c>
    </row>
    <row r="61">
      <c r="C61" s="131" t="s">
        <v>120</v>
      </c>
      <c r="D61" s="131">
        <v>130.0</v>
      </c>
    </row>
    <row r="62">
      <c r="C62" s="131" t="s">
        <v>124</v>
      </c>
      <c r="D62" s="131">
        <v>190.0</v>
      </c>
    </row>
    <row r="63">
      <c r="C63" s="131" t="s">
        <v>120</v>
      </c>
      <c r="D63" s="131">
        <v>140.0</v>
      </c>
    </row>
    <row r="64">
      <c r="C64" s="131" t="s">
        <v>119</v>
      </c>
      <c r="D64" s="131">
        <v>250.0</v>
      </c>
    </row>
    <row r="65">
      <c r="C65" s="131" t="s">
        <v>111</v>
      </c>
      <c r="D65" s="131">
        <v>320.0</v>
      </c>
    </row>
    <row r="66">
      <c r="C66" s="131" t="s">
        <v>128</v>
      </c>
      <c r="D66" s="131">
        <v>30.0</v>
      </c>
    </row>
    <row r="67">
      <c r="C67" s="131" t="s">
        <v>120</v>
      </c>
      <c r="D67" s="131">
        <v>180.0</v>
      </c>
    </row>
    <row r="68">
      <c r="C68" s="131" t="s">
        <v>120</v>
      </c>
      <c r="D68" s="131">
        <v>200.0</v>
      </c>
    </row>
    <row r="69">
      <c r="C69" s="131" t="s">
        <v>129</v>
      </c>
      <c r="D69" s="131">
        <v>100.0</v>
      </c>
    </row>
    <row r="70">
      <c r="C70" s="131" t="s">
        <v>125</v>
      </c>
      <c r="D70" s="131">
        <v>40.0</v>
      </c>
    </row>
    <row r="71">
      <c r="C71" s="131" t="s">
        <v>130</v>
      </c>
      <c r="D71" s="131">
        <v>100.0</v>
      </c>
    </row>
    <row r="72">
      <c r="C72" s="131" t="s">
        <v>120</v>
      </c>
      <c r="D72" s="131">
        <v>220.0</v>
      </c>
    </row>
    <row r="73">
      <c r="C73" s="131" t="s">
        <v>129</v>
      </c>
      <c r="D73" s="131">
        <v>150.0</v>
      </c>
    </row>
    <row r="74">
      <c r="C74" s="131" t="s">
        <v>131</v>
      </c>
      <c r="D74" s="131">
        <v>10.0</v>
      </c>
    </row>
    <row r="75">
      <c r="C75" s="131" t="s">
        <v>129</v>
      </c>
      <c r="D75" s="131">
        <v>160.0</v>
      </c>
    </row>
    <row r="76">
      <c r="C76" s="131" t="s">
        <v>122</v>
      </c>
      <c r="D76" s="131">
        <v>120.0</v>
      </c>
    </row>
    <row r="77">
      <c r="C77" s="131" t="s">
        <v>122</v>
      </c>
      <c r="D77" s="131">
        <v>140.0</v>
      </c>
    </row>
    <row r="78">
      <c r="C78" s="131" t="s">
        <v>109</v>
      </c>
      <c r="D78" s="131">
        <v>170.0</v>
      </c>
    </row>
    <row r="79">
      <c r="C79" s="131" t="s">
        <v>114</v>
      </c>
      <c r="D79" s="131">
        <v>20.0</v>
      </c>
    </row>
    <row r="80">
      <c r="C80" s="131" t="s">
        <v>122</v>
      </c>
      <c r="D80" s="131">
        <v>150.0</v>
      </c>
    </row>
    <row r="81">
      <c r="C81" s="131" t="s">
        <v>128</v>
      </c>
      <c r="D81" s="131">
        <v>40.0</v>
      </c>
    </row>
    <row r="82">
      <c r="C82" s="131" t="s">
        <v>122</v>
      </c>
      <c r="D82" s="131">
        <v>160.0</v>
      </c>
    </row>
    <row r="83">
      <c r="C83" s="131" t="s">
        <v>114</v>
      </c>
      <c r="D83" s="131">
        <v>40.0</v>
      </c>
    </row>
    <row r="84">
      <c r="C84" s="131" t="s">
        <v>131</v>
      </c>
      <c r="D84" s="131">
        <v>40.0</v>
      </c>
    </row>
    <row r="85">
      <c r="C85" s="131" t="s">
        <v>122</v>
      </c>
      <c r="D85" s="131">
        <v>170.0</v>
      </c>
    </row>
    <row r="86">
      <c r="C86" s="131" t="s">
        <v>132</v>
      </c>
      <c r="D86" s="131">
        <v>10.0</v>
      </c>
    </row>
    <row r="87">
      <c r="C87" s="131" t="s">
        <v>114</v>
      </c>
      <c r="D87" s="131">
        <v>50.0</v>
      </c>
    </row>
    <row r="88">
      <c r="C88" s="131" t="s">
        <v>133</v>
      </c>
      <c r="D88" s="131">
        <v>10.0</v>
      </c>
    </row>
    <row r="89">
      <c r="C89" s="131" t="s">
        <v>108</v>
      </c>
      <c r="D89" s="131">
        <v>20.0</v>
      </c>
    </row>
    <row r="90">
      <c r="C90" s="131" t="s">
        <v>107</v>
      </c>
      <c r="D90" s="131">
        <v>150.0</v>
      </c>
    </row>
    <row r="91">
      <c r="C91" s="131" t="s">
        <v>116</v>
      </c>
      <c r="D91" s="131">
        <v>340.0</v>
      </c>
    </row>
    <row r="92">
      <c r="C92" s="131" t="s">
        <v>106</v>
      </c>
      <c r="D92" s="131">
        <v>340.0</v>
      </c>
    </row>
    <row r="93">
      <c r="A93" s="132"/>
      <c r="B93" s="132"/>
      <c r="C93" s="131" t="s">
        <v>106</v>
      </c>
      <c r="D93" s="131">
        <v>380.0</v>
      </c>
    </row>
    <row r="94">
      <c r="A94" s="132"/>
      <c r="B94" s="132"/>
      <c r="C94" s="131" t="s">
        <v>123</v>
      </c>
      <c r="D94" s="131">
        <v>40.0</v>
      </c>
    </row>
    <row r="95">
      <c r="A95" s="132"/>
      <c r="B95" s="132"/>
      <c r="C95" s="131" t="s">
        <v>110</v>
      </c>
      <c r="D95" s="131">
        <v>190.0</v>
      </c>
    </row>
    <row r="96">
      <c r="A96" s="132"/>
      <c r="B96" s="132"/>
      <c r="C96" s="131" t="s">
        <v>127</v>
      </c>
      <c r="D96" s="131">
        <v>100.0</v>
      </c>
    </row>
    <row r="97">
      <c r="A97" s="132"/>
      <c r="B97" s="132"/>
      <c r="C97" s="131" t="s">
        <v>110</v>
      </c>
      <c r="D97" s="131">
        <v>200.0</v>
      </c>
    </row>
    <row r="98">
      <c r="A98" s="132"/>
      <c r="B98" s="132"/>
      <c r="C98" s="131" t="s">
        <v>126</v>
      </c>
      <c r="D98" s="131">
        <v>20.0</v>
      </c>
    </row>
    <row r="99">
      <c r="A99" s="132"/>
      <c r="B99" s="132"/>
      <c r="C99" s="131" t="s">
        <v>134</v>
      </c>
      <c r="D99" s="131">
        <v>10.0</v>
      </c>
    </row>
    <row r="100">
      <c r="A100" s="132"/>
      <c r="B100" s="132"/>
      <c r="C100" s="131" t="s">
        <v>125</v>
      </c>
      <c r="D100" s="131">
        <v>80.0</v>
      </c>
    </row>
    <row r="101">
      <c r="A101" s="132"/>
      <c r="B101" s="132"/>
      <c r="C101" s="131" t="s">
        <v>124</v>
      </c>
      <c r="D101" s="131">
        <v>200.0</v>
      </c>
    </row>
    <row r="102">
      <c r="A102" s="132"/>
      <c r="B102" s="132"/>
      <c r="C102" s="131" t="s">
        <v>116</v>
      </c>
      <c r="D102" s="131">
        <v>350.0</v>
      </c>
    </row>
    <row r="103">
      <c r="A103" s="132"/>
      <c r="B103" s="132"/>
      <c r="C103" s="131" t="s">
        <v>110</v>
      </c>
      <c r="D103" s="131">
        <v>210.0</v>
      </c>
    </row>
    <row r="104">
      <c r="A104" s="132"/>
      <c r="B104" s="132"/>
      <c r="C104" s="131" t="s">
        <v>130</v>
      </c>
      <c r="D104" s="131">
        <v>110.0</v>
      </c>
    </row>
    <row r="105">
      <c r="A105" s="132"/>
      <c r="B105" s="132"/>
      <c r="C105" s="131" t="s">
        <v>123</v>
      </c>
      <c r="D105" s="131">
        <v>50.0</v>
      </c>
    </row>
    <row r="106">
      <c r="A106" s="132"/>
      <c r="B106" s="132"/>
      <c r="C106" s="131" t="s">
        <v>127</v>
      </c>
      <c r="D106" s="131">
        <v>110.0</v>
      </c>
    </row>
    <row r="107">
      <c r="A107" s="132"/>
      <c r="B107" s="132"/>
      <c r="C107" s="131" t="s">
        <v>128</v>
      </c>
      <c r="D107" s="131">
        <v>100.0</v>
      </c>
    </row>
    <row r="108">
      <c r="A108" s="132"/>
      <c r="B108" s="132"/>
      <c r="C108" s="131" t="s">
        <v>135</v>
      </c>
      <c r="D108" s="131">
        <v>10.0</v>
      </c>
    </row>
    <row r="109">
      <c r="A109" s="132"/>
      <c r="B109" s="132"/>
      <c r="C109" s="131" t="s">
        <v>116</v>
      </c>
      <c r="D109" s="131">
        <v>360.0</v>
      </c>
    </row>
    <row r="110">
      <c r="C110" s="131" t="s">
        <v>136</v>
      </c>
      <c r="D110" s="131">
        <v>10.0</v>
      </c>
    </row>
    <row r="111">
      <c r="A111" s="132"/>
      <c r="B111" s="132"/>
      <c r="C111" s="131" t="s">
        <v>106</v>
      </c>
      <c r="D111" s="131">
        <v>400.0</v>
      </c>
    </row>
    <row r="112">
      <c r="C112" s="131" t="s">
        <v>124</v>
      </c>
      <c r="D112" s="131">
        <v>210.0</v>
      </c>
    </row>
    <row r="113">
      <c r="C113" s="131" t="s">
        <v>137</v>
      </c>
      <c r="D113" s="131">
        <v>10.0</v>
      </c>
    </row>
    <row r="114">
      <c r="C114" s="131" t="s">
        <v>106</v>
      </c>
      <c r="D114" s="131">
        <v>450.0</v>
      </c>
    </row>
    <row r="115">
      <c r="C115" s="131" t="s">
        <v>138</v>
      </c>
      <c r="D115" s="131">
        <v>10.0</v>
      </c>
    </row>
    <row r="116">
      <c r="C116" s="131" t="s">
        <v>109</v>
      </c>
      <c r="D116" s="131">
        <v>180.0</v>
      </c>
    </row>
    <row r="117">
      <c r="C117" s="131" t="s">
        <v>116</v>
      </c>
      <c r="D117" s="131">
        <v>370.0</v>
      </c>
    </row>
    <row r="118">
      <c r="C118" s="131" t="s">
        <v>109</v>
      </c>
      <c r="D118" s="131">
        <v>200.0</v>
      </c>
    </row>
    <row r="119">
      <c r="C119" s="131" t="s">
        <v>122</v>
      </c>
      <c r="D119" s="131">
        <v>180.0</v>
      </c>
    </row>
    <row r="120">
      <c r="C120" s="131" t="s">
        <v>125</v>
      </c>
      <c r="D120" s="131">
        <v>170.0</v>
      </c>
    </row>
    <row r="121">
      <c r="C121" s="131" t="s">
        <v>131</v>
      </c>
      <c r="D121" s="131">
        <v>80.0</v>
      </c>
    </row>
    <row r="122">
      <c r="C122" s="131" t="s">
        <v>114</v>
      </c>
      <c r="D122" s="131">
        <v>60.0</v>
      </c>
    </row>
    <row r="123">
      <c r="C123" s="131" t="s">
        <v>108</v>
      </c>
      <c r="D123" s="131">
        <v>30.0</v>
      </c>
    </row>
    <row r="124">
      <c r="C124" s="131" t="s">
        <v>107</v>
      </c>
      <c r="D124" s="131">
        <v>160.0</v>
      </c>
    </row>
    <row r="125">
      <c r="C125" s="131" t="s">
        <v>139</v>
      </c>
      <c r="D125" s="131">
        <v>10.0</v>
      </c>
    </row>
    <row r="126">
      <c r="C126" s="131" t="s">
        <v>128</v>
      </c>
      <c r="D126" s="131">
        <v>110.0</v>
      </c>
    </row>
    <row r="127">
      <c r="C127" s="131" t="s">
        <v>110</v>
      </c>
      <c r="D127" s="131">
        <v>220.0</v>
      </c>
    </row>
    <row r="128">
      <c r="C128" s="131" t="s">
        <v>124</v>
      </c>
      <c r="D128" s="131">
        <v>220.0</v>
      </c>
    </row>
    <row r="129">
      <c r="C129" s="131" t="s">
        <v>114</v>
      </c>
      <c r="D129" s="131">
        <v>70.0</v>
      </c>
    </row>
    <row r="130">
      <c r="C130" s="131" t="s">
        <v>124</v>
      </c>
      <c r="D130" s="131">
        <v>240.0</v>
      </c>
    </row>
    <row r="131">
      <c r="C131" s="131" t="s">
        <v>135</v>
      </c>
      <c r="D131" s="131">
        <v>50.0</v>
      </c>
    </row>
    <row r="132">
      <c r="C132" s="131" t="s">
        <v>140</v>
      </c>
      <c r="D132" s="131">
        <v>10.0</v>
      </c>
    </row>
    <row r="133">
      <c r="C133" s="131" t="s">
        <v>126</v>
      </c>
      <c r="D133" s="131">
        <v>30.0</v>
      </c>
    </row>
    <row r="134">
      <c r="C134" s="131" t="s">
        <v>107</v>
      </c>
      <c r="D134" s="131">
        <v>180.0</v>
      </c>
    </row>
    <row r="135">
      <c r="C135" s="131" t="s">
        <v>137</v>
      </c>
      <c r="D135" s="131">
        <v>20.0</v>
      </c>
    </row>
    <row r="136">
      <c r="C136" s="131" t="s">
        <v>124</v>
      </c>
      <c r="D136" s="131">
        <v>370.0</v>
      </c>
    </row>
    <row r="137">
      <c r="C137" s="131" t="s">
        <v>108</v>
      </c>
      <c r="D137" s="131">
        <v>40.0</v>
      </c>
    </row>
    <row r="138">
      <c r="C138" s="131" t="s">
        <v>109</v>
      </c>
      <c r="D138" s="131">
        <v>210.0</v>
      </c>
    </row>
    <row r="139">
      <c r="C139" s="131" t="s">
        <v>109</v>
      </c>
      <c r="D139" s="131">
        <v>220.0</v>
      </c>
    </row>
    <row r="140">
      <c r="C140" s="131" t="s">
        <v>128</v>
      </c>
      <c r="D140" s="131">
        <v>120.0</v>
      </c>
    </row>
    <row r="141">
      <c r="C141" s="131" t="s">
        <v>109</v>
      </c>
      <c r="D141" s="131">
        <v>240.0</v>
      </c>
    </row>
    <row r="142">
      <c r="C142" s="131" t="s">
        <v>141</v>
      </c>
      <c r="D142" s="131">
        <v>10.0</v>
      </c>
    </row>
    <row r="143">
      <c r="C143" s="131" t="s">
        <v>128</v>
      </c>
      <c r="D143" s="131">
        <v>150.0</v>
      </c>
    </row>
    <row r="144">
      <c r="C144" s="131" t="s">
        <v>125</v>
      </c>
      <c r="D144" s="131">
        <v>180.0</v>
      </c>
    </row>
    <row r="145">
      <c r="C145" s="131" t="s">
        <v>128</v>
      </c>
      <c r="D145" s="131">
        <v>170.0</v>
      </c>
    </row>
    <row r="146">
      <c r="C146" s="131" t="s">
        <v>139</v>
      </c>
      <c r="D146" s="131">
        <v>20.0</v>
      </c>
    </row>
    <row r="147">
      <c r="C147" s="131" t="s">
        <v>109</v>
      </c>
      <c r="D147" s="131">
        <v>270.0</v>
      </c>
    </row>
    <row r="148">
      <c r="C148" s="131" t="s">
        <v>128</v>
      </c>
      <c r="D148" s="131">
        <v>200.0</v>
      </c>
    </row>
    <row r="149">
      <c r="C149" s="131" t="s">
        <v>110</v>
      </c>
      <c r="D149" s="131">
        <v>230.0</v>
      </c>
    </row>
    <row r="150">
      <c r="C150" s="131" t="s">
        <v>110</v>
      </c>
      <c r="D150" s="131">
        <v>240.0</v>
      </c>
    </row>
    <row r="151">
      <c r="C151" s="131" t="s">
        <v>107</v>
      </c>
      <c r="D151" s="131">
        <v>210.0</v>
      </c>
    </row>
    <row r="152">
      <c r="C152" s="131" t="s">
        <v>107</v>
      </c>
      <c r="D152" s="131">
        <v>220.0</v>
      </c>
    </row>
    <row r="153">
      <c r="C153" s="131" t="s">
        <v>107</v>
      </c>
      <c r="D153" s="131">
        <v>240.0</v>
      </c>
    </row>
    <row r="154">
      <c r="C154" s="131" t="s">
        <v>128</v>
      </c>
      <c r="D154" s="131">
        <v>220.0</v>
      </c>
    </row>
    <row r="155">
      <c r="C155" s="131" t="s">
        <v>135</v>
      </c>
      <c r="D155" s="131">
        <v>170.0</v>
      </c>
    </row>
    <row r="156">
      <c r="C156" s="131" t="s">
        <v>126</v>
      </c>
      <c r="D156" s="131">
        <v>40.0</v>
      </c>
    </row>
    <row r="157">
      <c r="C157" s="131" t="s">
        <v>128</v>
      </c>
      <c r="D157" s="131">
        <v>230.0</v>
      </c>
    </row>
    <row r="158">
      <c r="C158" s="131" t="s">
        <v>142</v>
      </c>
      <c r="D158" s="131">
        <v>10.0</v>
      </c>
    </row>
    <row r="159">
      <c r="C159" s="131" t="s">
        <v>135</v>
      </c>
      <c r="D159" s="131">
        <v>200.0</v>
      </c>
    </row>
    <row r="160">
      <c r="C160" s="131" t="s">
        <v>139</v>
      </c>
      <c r="D160" s="131">
        <v>40.0</v>
      </c>
    </row>
    <row r="161">
      <c r="C161" s="131" t="s">
        <v>126</v>
      </c>
      <c r="D161" s="131">
        <v>170.0</v>
      </c>
    </row>
    <row r="162">
      <c r="C162" s="131" t="s">
        <v>110</v>
      </c>
      <c r="D162" s="131">
        <v>250.0</v>
      </c>
    </row>
    <row r="163">
      <c r="C163" s="131" t="s">
        <v>110</v>
      </c>
      <c r="D163" s="131">
        <v>260.0</v>
      </c>
    </row>
    <row r="164">
      <c r="C164" s="131" t="s">
        <v>109</v>
      </c>
      <c r="D164" s="131">
        <v>280.0</v>
      </c>
    </row>
    <row r="165">
      <c r="C165" s="131" t="s">
        <v>108</v>
      </c>
      <c r="D165" s="131">
        <v>120.0</v>
      </c>
    </row>
    <row r="166">
      <c r="C166" s="131" t="s">
        <v>141</v>
      </c>
      <c r="D166" s="131">
        <v>20.0</v>
      </c>
    </row>
    <row r="167">
      <c r="C167" s="131" t="s">
        <v>143</v>
      </c>
      <c r="D167" s="131">
        <v>10.0</v>
      </c>
    </row>
    <row r="168">
      <c r="C168" s="131" t="s">
        <v>139</v>
      </c>
      <c r="D168" s="131">
        <v>50.0</v>
      </c>
    </row>
    <row r="169">
      <c r="C169" s="131" t="s">
        <v>139</v>
      </c>
      <c r="D169" s="131">
        <v>60.0</v>
      </c>
    </row>
    <row r="170">
      <c r="C170" s="131" t="s">
        <v>141</v>
      </c>
      <c r="D170" s="131">
        <v>30.0</v>
      </c>
    </row>
    <row r="171">
      <c r="C171" s="131" t="s">
        <v>135</v>
      </c>
      <c r="D171" s="131">
        <v>270.0</v>
      </c>
    </row>
    <row r="172">
      <c r="C172" s="131" t="s">
        <v>126</v>
      </c>
      <c r="D172" s="131">
        <v>180.0</v>
      </c>
    </row>
    <row r="173">
      <c r="C173" s="131" t="s">
        <v>108</v>
      </c>
      <c r="D173" s="131">
        <v>170.0</v>
      </c>
    </row>
    <row r="174">
      <c r="C174" s="131" t="s">
        <v>139</v>
      </c>
      <c r="D174" s="131">
        <v>150.0</v>
      </c>
    </row>
    <row r="175">
      <c r="C175" s="131" t="s">
        <v>144</v>
      </c>
      <c r="D175" s="131">
        <v>10.0</v>
      </c>
    </row>
    <row r="176">
      <c r="C176" s="131" t="s">
        <v>144</v>
      </c>
      <c r="D176" s="131">
        <v>60.0</v>
      </c>
    </row>
    <row r="177">
      <c r="C177" s="131" t="s">
        <v>141</v>
      </c>
      <c r="D177" s="131">
        <v>60.0</v>
      </c>
    </row>
    <row r="178">
      <c r="C178" s="131" t="s">
        <v>143</v>
      </c>
      <c r="D178" s="131">
        <v>20.0</v>
      </c>
    </row>
    <row r="179">
      <c r="C179" s="131" t="s">
        <v>145</v>
      </c>
      <c r="D179" s="131">
        <v>10.0</v>
      </c>
    </row>
    <row r="180">
      <c r="C180" s="131" t="s">
        <v>146</v>
      </c>
      <c r="D180" s="131">
        <v>10.0</v>
      </c>
    </row>
    <row r="181">
      <c r="C181" s="131" t="s">
        <v>144</v>
      </c>
      <c r="D181" s="131">
        <v>70.0</v>
      </c>
    </row>
    <row r="182">
      <c r="C182" s="131" t="s">
        <v>147</v>
      </c>
      <c r="D182" s="131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2.38"/>
    <col customWidth="1" min="6" max="6" width="12.88"/>
    <col customWidth="1" min="7" max="13" width="15.75"/>
    <col customWidth="1" min="14" max="14" width="14.75"/>
  </cols>
  <sheetData>
    <row r="1">
      <c r="A1" s="133" t="s">
        <v>148</v>
      </c>
      <c r="E1" s="4"/>
      <c r="F1" s="134"/>
      <c r="M1" s="69"/>
      <c r="N1" s="4"/>
      <c r="O1" s="4"/>
      <c r="P1" s="4"/>
      <c r="Q1" s="4"/>
    </row>
    <row r="2">
      <c r="A2" s="135" t="s">
        <v>2</v>
      </c>
      <c r="B2" s="135" t="s">
        <v>3</v>
      </c>
      <c r="C2" s="136" t="s">
        <v>4</v>
      </c>
      <c r="D2" s="137" t="s">
        <v>5</v>
      </c>
      <c r="E2" s="4"/>
      <c r="F2" s="138" t="s">
        <v>81</v>
      </c>
      <c r="G2" s="10" t="s">
        <v>7</v>
      </c>
      <c r="H2" s="11" t="s">
        <v>40</v>
      </c>
      <c r="I2" s="139" t="s">
        <v>9</v>
      </c>
      <c r="J2" s="13" t="s">
        <v>71</v>
      </c>
      <c r="K2" s="13" t="s">
        <v>72</v>
      </c>
      <c r="L2" s="13" t="s">
        <v>11</v>
      </c>
      <c r="M2" s="140" t="s">
        <v>149</v>
      </c>
      <c r="N2" s="2" t="s">
        <v>150</v>
      </c>
      <c r="P2" s="3"/>
      <c r="Q2" s="17"/>
    </row>
    <row r="3">
      <c r="A3" s="18"/>
      <c r="B3" s="18"/>
      <c r="C3" s="19"/>
      <c r="D3" s="20"/>
      <c r="E3" s="4"/>
      <c r="F3" s="3"/>
      <c r="G3" s="3"/>
      <c r="H3" s="3"/>
      <c r="I3" s="3"/>
      <c r="J3" s="3"/>
      <c r="K3" s="3"/>
      <c r="L3" s="3"/>
      <c r="M3" s="3"/>
      <c r="P3" s="3"/>
      <c r="Q3" s="4"/>
    </row>
    <row r="4">
      <c r="A4" s="141" t="s">
        <v>151</v>
      </c>
      <c r="B4" s="141">
        <v>1.0</v>
      </c>
      <c r="C4" s="142">
        <v>0.0</v>
      </c>
      <c r="D4" s="143">
        <f t="shared" ref="D4:D12" si="1">B4-C4</f>
        <v>1</v>
      </c>
      <c r="E4" s="4"/>
      <c r="F4" s="45"/>
      <c r="G4" s="45"/>
      <c r="H4" s="45"/>
      <c r="I4" s="45"/>
      <c r="J4" s="45"/>
      <c r="K4" s="45"/>
      <c r="L4" s="45"/>
      <c r="M4" s="45"/>
      <c r="P4" s="3"/>
      <c r="Q4" s="30"/>
    </row>
    <row r="5">
      <c r="A5" s="22" t="s">
        <v>152</v>
      </c>
      <c r="B5" s="22">
        <v>12.6</v>
      </c>
      <c r="C5" s="144">
        <v>0.0</v>
      </c>
      <c r="D5" s="143">
        <f t="shared" si="1"/>
        <v>12.6</v>
      </c>
      <c r="E5" s="4"/>
      <c r="F5" s="138" t="s">
        <v>153</v>
      </c>
      <c r="G5" s="145" t="s">
        <v>6</v>
      </c>
      <c r="H5" s="146" t="s">
        <v>14</v>
      </c>
      <c r="I5" s="147" t="s">
        <v>15</v>
      </c>
      <c r="J5" s="148" t="s">
        <v>20</v>
      </c>
      <c r="K5" s="148" t="s">
        <v>20</v>
      </c>
      <c r="L5" s="148" t="s">
        <v>20</v>
      </c>
      <c r="M5" s="149" t="s">
        <v>154</v>
      </c>
      <c r="P5" s="3"/>
      <c r="Q5" s="37"/>
    </row>
    <row r="6">
      <c r="A6" s="141" t="s">
        <v>155</v>
      </c>
      <c r="B6" s="141" t="s">
        <v>156</v>
      </c>
      <c r="C6" s="142">
        <v>0.0</v>
      </c>
      <c r="D6" s="150" t="str">
        <f t="shared" si="1"/>
        <v>#VALUE!</v>
      </c>
      <c r="E6" s="4"/>
      <c r="F6" s="151" t="s">
        <v>83</v>
      </c>
      <c r="G6" s="152"/>
      <c r="H6" s="152"/>
      <c r="I6" s="152"/>
      <c r="J6" s="152"/>
      <c r="K6" s="152"/>
      <c r="L6" s="152"/>
      <c r="M6" s="153"/>
      <c r="P6" s="3"/>
      <c r="Q6" s="4"/>
    </row>
    <row r="7">
      <c r="A7" s="22" t="s">
        <v>157</v>
      </c>
      <c r="B7" s="22">
        <v>5555.0</v>
      </c>
      <c r="C7" s="144">
        <v>0.0</v>
      </c>
      <c r="D7" s="143">
        <f t="shared" si="1"/>
        <v>5555</v>
      </c>
      <c r="E7" s="4"/>
      <c r="F7" s="154" t="s">
        <v>86</v>
      </c>
      <c r="G7" s="155"/>
      <c r="H7" s="155"/>
      <c r="I7" s="155"/>
      <c r="J7" s="155"/>
      <c r="K7" s="155"/>
      <c r="L7" s="155"/>
      <c r="M7" s="155"/>
      <c r="P7" s="3"/>
      <c r="Q7" s="4"/>
    </row>
    <row r="8">
      <c r="A8" s="141" t="s">
        <v>158</v>
      </c>
      <c r="B8" s="141">
        <v>1.0E8</v>
      </c>
      <c r="C8" s="142">
        <v>0.0</v>
      </c>
      <c r="D8" s="143">
        <f t="shared" si="1"/>
        <v>100000000</v>
      </c>
      <c r="E8" s="4"/>
      <c r="F8" s="3"/>
      <c r="G8" s="3"/>
      <c r="H8" s="3"/>
      <c r="I8" s="3"/>
      <c r="J8" s="3"/>
      <c r="K8" s="3"/>
      <c r="L8" s="3"/>
      <c r="M8" s="3"/>
      <c r="N8" s="44"/>
      <c r="O8" s="44"/>
      <c r="P8" s="45"/>
      <c r="Q8" s="4"/>
    </row>
    <row r="9">
      <c r="A9" s="22" t="s">
        <v>159</v>
      </c>
      <c r="B9" s="22">
        <v>255.0</v>
      </c>
      <c r="C9" s="144">
        <v>0.0</v>
      </c>
      <c r="D9" s="143">
        <f t="shared" si="1"/>
        <v>255</v>
      </c>
      <c r="E9" s="4"/>
      <c r="F9" s="30"/>
      <c r="N9" s="4"/>
      <c r="O9" s="48"/>
      <c r="P9" s="49"/>
      <c r="Q9" s="4"/>
    </row>
    <row r="10" ht="16.5" customHeight="1">
      <c r="A10" s="141" t="s">
        <v>160</v>
      </c>
      <c r="B10" s="141">
        <v>10.0</v>
      </c>
      <c r="C10" s="142">
        <v>0.0</v>
      </c>
      <c r="D10" s="143">
        <f t="shared" si="1"/>
        <v>10</v>
      </c>
      <c r="E10" s="4"/>
      <c r="F10" s="138" t="s">
        <v>81</v>
      </c>
      <c r="G10" s="10" t="s">
        <v>23</v>
      </c>
      <c r="H10" s="11" t="s">
        <v>161</v>
      </c>
      <c r="I10" s="139" t="s">
        <v>51</v>
      </c>
      <c r="J10" s="139" t="s">
        <v>41</v>
      </c>
      <c r="K10" s="13" t="s">
        <v>10</v>
      </c>
      <c r="L10" s="13" t="s">
        <v>162</v>
      </c>
      <c r="M10" s="140" t="s">
        <v>43</v>
      </c>
      <c r="N10" s="50"/>
      <c r="O10" s="51"/>
      <c r="P10" s="52"/>
      <c r="Q10" s="4"/>
    </row>
    <row r="11" ht="18.0" customHeight="1">
      <c r="A11" s="22"/>
      <c r="B11" s="22">
        <v>0.0</v>
      </c>
      <c r="C11" s="144">
        <v>0.0</v>
      </c>
      <c r="D11" s="143">
        <f t="shared" si="1"/>
        <v>0</v>
      </c>
      <c r="E11" s="4"/>
      <c r="F11" s="3"/>
      <c r="G11" s="3"/>
      <c r="H11" s="3"/>
      <c r="I11" s="3"/>
      <c r="J11" s="3"/>
      <c r="K11" s="3"/>
      <c r="L11" s="3"/>
      <c r="M11" s="3"/>
      <c r="N11" s="50"/>
      <c r="O11" s="51"/>
      <c r="P11" s="52"/>
      <c r="Q11" s="4"/>
    </row>
    <row r="12" ht="16.5" customHeight="1">
      <c r="A12" s="141"/>
      <c r="B12" s="141">
        <v>0.0</v>
      </c>
      <c r="C12" s="142">
        <v>0.0</v>
      </c>
      <c r="D12" s="143">
        <f t="shared" si="1"/>
        <v>0</v>
      </c>
      <c r="E12" s="4"/>
      <c r="F12" s="45"/>
      <c r="G12" s="45"/>
      <c r="H12" s="45"/>
      <c r="I12" s="45"/>
      <c r="J12" s="45"/>
      <c r="K12" s="45"/>
      <c r="L12" s="45"/>
      <c r="M12" s="45"/>
      <c r="N12" s="50"/>
      <c r="O12" s="51"/>
      <c r="P12" s="52"/>
      <c r="Q12" s="4"/>
    </row>
    <row r="13" ht="16.5" customHeight="1">
      <c r="A13" s="156"/>
      <c r="B13" s="157">
        <v>370.0</v>
      </c>
      <c r="C13" s="158">
        <v>0.0</v>
      </c>
      <c r="D13" s="25"/>
      <c r="E13" s="4"/>
      <c r="F13" s="138" t="s">
        <v>153</v>
      </c>
      <c r="G13" s="145" t="s">
        <v>6</v>
      </c>
      <c r="H13" s="146" t="s">
        <v>14</v>
      </c>
      <c r="I13" s="147" t="s">
        <v>15</v>
      </c>
      <c r="J13" s="147" t="s">
        <v>15</v>
      </c>
      <c r="K13" s="148" t="s">
        <v>20</v>
      </c>
      <c r="L13" s="148" t="s">
        <v>20</v>
      </c>
      <c r="M13" s="149" t="s">
        <v>154</v>
      </c>
      <c r="N13" s="50"/>
      <c r="O13" s="51"/>
      <c r="P13" s="56"/>
      <c r="Q13" s="4"/>
    </row>
    <row r="14">
      <c r="A14" s="88" t="s">
        <v>163</v>
      </c>
      <c r="B14" s="88">
        <v>400.0</v>
      </c>
      <c r="C14" s="85">
        <v>0.0</v>
      </c>
      <c r="D14" s="25"/>
      <c r="E14" s="4"/>
      <c r="F14" s="151" t="s">
        <v>83</v>
      </c>
      <c r="G14" s="152"/>
      <c r="H14" s="152"/>
      <c r="I14" s="152"/>
      <c r="J14" s="159"/>
      <c r="K14" s="153"/>
      <c r="L14" s="152"/>
      <c r="M14" s="153"/>
      <c r="N14" s="56"/>
      <c r="O14" s="160"/>
      <c r="P14" s="56"/>
      <c r="Q14" s="4"/>
    </row>
    <row r="15">
      <c r="A15" s="92" t="s">
        <v>164</v>
      </c>
      <c r="B15" s="92">
        <v>540.0</v>
      </c>
      <c r="C15" s="96">
        <v>10.0</v>
      </c>
      <c r="D15" s="161"/>
      <c r="E15" s="4"/>
      <c r="F15" s="154" t="s">
        <v>86</v>
      </c>
      <c r="G15" s="155"/>
      <c r="H15" s="155"/>
      <c r="I15" s="155"/>
      <c r="J15" s="162"/>
      <c r="K15" s="155"/>
      <c r="L15" s="155"/>
      <c r="M15" s="155"/>
      <c r="N15" s="56"/>
      <c r="Q15" s="4"/>
    </row>
    <row r="16">
      <c r="A16" s="163" t="s">
        <v>36</v>
      </c>
      <c r="B16" s="60"/>
      <c r="C16" s="60"/>
      <c r="D16" s="164"/>
      <c r="E16" s="4"/>
      <c r="F16" s="3"/>
      <c r="G16" s="3"/>
      <c r="H16" s="3"/>
      <c r="I16" s="3"/>
      <c r="J16" s="3"/>
      <c r="K16" s="3"/>
      <c r="L16" s="3"/>
      <c r="M16" s="3"/>
      <c r="N16" s="71"/>
      <c r="O16" s="71"/>
      <c r="P16" s="71"/>
      <c r="Q16" s="4"/>
    </row>
    <row r="17">
      <c r="A17" s="62"/>
      <c r="B17" s="63"/>
      <c r="C17" s="63"/>
      <c r="D17" s="20"/>
      <c r="E17" s="4"/>
      <c r="F17" s="17"/>
      <c r="M17" s="69"/>
      <c r="N17" s="79"/>
      <c r="O17" s="71"/>
      <c r="P17" s="71"/>
      <c r="Q17" s="4"/>
    </row>
    <row r="18">
      <c r="A18" s="165" t="s">
        <v>151</v>
      </c>
      <c r="B18" s="166"/>
      <c r="E18" s="4"/>
      <c r="F18" s="138" t="s">
        <v>81</v>
      </c>
      <c r="G18" s="10" t="s">
        <v>30</v>
      </c>
      <c r="H18" s="139" t="s">
        <v>60</v>
      </c>
      <c r="I18" s="13" t="s">
        <v>68</v>
      </c>
      <c r="J18" s="13" t="s">
        <v>26</v>
      </c>
      <c r="K18" s="13" t="s">
        <v>165</v>
      </c>
      <c r="L18" s="140" t="s">
        <v>74</v>
      </c>
      <c r="M18" s="140" t="s">
        <v>75</v>
      </c>
      <c r="N18" s="71"/>
      <c r="O18" s="71"/>
      <c r="P18" s="71"/>
      <c r="Q18" s="4"/>
    </row>
    <row r="19">
      <c r="E19" s="4"/>
      <c r="F19" s="3"/>
      <c r="G19" s="3"/>
      <c r="H19" s="3"/>
      <c r="I19" s="3"/>
      <c r="J19" s="3"/>
      <c r="K19" s="3"/>
      <c r="L19" s="3"/>
      <c r="M19" s="3"/>
      <c r="N19" s="4"/>
      <c r="O19" s="4"/>
      <c r="P19" s="4"/>
      <c r="Q19" s="4"/>
    </row>
    <row r="20">
      <c r="A20" s="72"/>
      <c r="B20" s="4"/>
      <c r="C20" s="4"/>
      <c r="D20" s="4"/>
      <c r="E20" s="4"/>
      <c r="F20" s="45"/>
      <c r="G20" s="45"/>
      <c r="H20" s="45"/>
      <c r="I20" s="45"/>
      <c r="J20" s="45"/>
      <c r="K20" s="45"/>
      <c r="L20" s="45"/>
      <c r="M20" s="45"/>
      <c r="N20" s="4"/>
      <c r="O20" s="4"/>
      <c r="P20" s="4"/>
      <c r="Q20" s="4"/>
    </row>
    <row r="21">
      <c r="A21" s="67" t="s">
        <v>152</v>
      </c>
      <c r="B21" s="167"/>
      <c r="E21" s="4"/>
      <c r="F21" s="138" t="s">
        <v>153</v>
      </c>
      <c r="G21" s="145" t="s">
        <v>6</v>
      </c>
      <c r="H21" s="147" t="s">
        <v>15</v>
      </c>
      <c r="I21" s="148" t="s">
        <v>20</v>
      </c>
      <c r="J21" s="148" t="s">
        <v>20</v>
      </c>
      <c r="K21" s="148" t="s">
        <v>20</v>
      </c>
      <c r="L21" s="149" t="s">
        <v>154</v>
      </c>
      <c r="M21" s="149" t="s">
        <v>154</v>
      </c>
      <c r="N21" s="4"/>
      <c r="O21" s="4"/>
      <c r="P21" s="4"/>
      <c r="Q21" s="4"/>
    </row>
    <row r="22">
      <c r="E22" s="4"/>
      <c r="F22" s="151" t="s">
        <v>83</v>
      </c>
      <c r="G22" s="152"/>
      <c r="H22" s="152"/>
      <c r="I22" s="152"/>
      <c r="J22" s="152"/>
      <c r="K22" s="152"/>
      <c r="L22" s="152"/>
      <c r="M22" s="152"/>
      <c r="N22" s="4"/>
      <c r="O22" s="4"/>
      <c r="P22" s="4"/>
      <c r="Q22" s="4"/>
    </row>
    <row r="23">
      <c r="A23" s="72"/>
      <c r="B23" s="4"/>
      <c r="C23" s="4"/>
      <c r="D23" s="4"/>
      <c r="E23" s="4"/>
      <c r="F23" s="154" t="s">
        <v>86</v>
      </c>
      <c r="G23" s="155"/>
      <c r="H23" s="155"/>
      <c r="I23" s="155"/>
      <c r="J23" s="155"/>
      <c r="K23" s="155"/>
      <c r="L23" s="155"/>
      <c r="M23" s="155"/>
      <c r="N23" s="4"/>
      <c r="O23" s="4"/>
      <c r="P23" s="4"/>
      <c r="Q23" s="4"/>
    </row>
    <row r="24">
      <c r="A24" s="165" t="s">
        <v>155</v>
      </c>
      <c r="B24" s="166"/>
      <c r="E24" s="4"/>
      <c r="F24" s="3"/>
      <c r="G24" s="3"/>
      <c r="H24" s="3"/>
      <c r="I24" s="3"/>
      <c r="J24" s="3"/>
      <c r="K24" s="3"/>
      <c r="L24" s="3"/>
      <c r="M24" s="3"/>
      <c r="N24" s="4"/>
      <c r="O24" s="4"/>
      <c r="P24" s="4"/>
      <c r="Q24" s="4"/>
    </row>
    <row r="25">
      <c r="E25" s="4"/>
      <c r="F25" s="4"/>
      <c r="M25" s="69"/>
      <c r="N25" s="4"/>
      <c r="O25" s="4"/>
      <c r="P25" s="30"/>
      <c r="Q25" s="4"/>
    </row>
    <row r="26">
      <c r="A26" s="72"/>
      <c r="B26" s="4"/>
      <c r="C26" s="4"/>
      <c r="D26" s="4"/>
      <c r="E26" s="4"/>
      <c r="F26" s="138" t="s">
        <v>81</v>
      </c>
      <c r="G26" s="70" t="s">
        <v>166</v>
      </c>
      <c r="H26" s="139" t="s">
        <v>67</v>
      </c>
      <c r="I26" s="139" t="s">
        <v>25</v>
      </c>
      <c r="J26" s="139" t="s">
        <v>32</v>
      </c>
      <c r="K26" s="140" t="s">
        <v>63</v>
      </c>
      <c r="L26" s="140" t="s">
        <v>167</v>
      </c>
      <c r="M26" s="140" t="s">
        <v>34</v>
      </c>
      <c r="N26" s="4"/>
      <c r="O26" s="4"/>
      <c r="P26" s="30"/>
      <c r="Q26" s="4"/>
    </row>
    <row r="27">
      <c r="A27" s="67" t="s">
        <v>157</v>
      </c>
      <c r="B27" s="168"/>
      <c r="E27" s="4"/>
      <c r="F27" s="3"/>
      <c r="G27" s="3"/>
      <c r="H27" s="3"/>
      <c r="I27" s="3"/>
      <c r="J27" s="3"/>
      <c r="K27" s="3"/>
      <c r="L27" s="3"/>
      <c r="M27" s="3"/>
      <c r="N27" s="4"/>
      <c r="O27" s="4"/>
      <c r="P27" s="30"/>
      <c r="Q27" s="4"/>
    </row>
    <row r="28">
      <c r="E28" s="4"/>
      <c r="F28" s="45"/>
      <c r="G28" s="45"/>
      <c r="H28" s="45"/>
      <c r="I28" s="45"/>
      <c r="J28" s="45"/>
      <c r="K28" s="45"/>
      <c r="L28" s="45"/>
      <c r="M28" s="45"/>
      <c r="N28" s="4"/>
      <c r="O28" s="4"/>
      <c r="P28" s="49"/>
      <c r="Q28" s="4"/>
    </row>
    <row r="29">
      <c r="A29" s="72"/>
      <c r="B29" s="4"/>
      <c r="C29" s="4"/>
      <c r="D29" s="4"/>
      <c r="E29" s="4"/>
      <c r="F29" s="138" t="s">
        <v>153</v>
      </c>
      <c r="G29" s="169" t="s">
        <v>13</v>
      </c>
      <c r="H29" s="147" t="s">
        <v>15</v>
      </c>
      <c r="I29" s="147" t="s">
        <v>15</v>
      </c>
      <c r="J29" s="147" t="s">
        <v>15</v>
      </c>
      <c r="K29" s="149" t="s">
        <v>154</v>
      </c>
      <c r="L29" s="149" t="s">
        <v>154</v>
      </c>
      <c r="M29" s="149" t="s">
        <v>154</v>
      </c>
      <c r="N29" s="4"/>
      <c r="O29" s="4"/>
      <c r="P29" s="4"/>
      <c r="Q29" s="4"/>
    </row>
    <row r="30">
      <c r="A30" s="165" t="s">
        <v>158</v>
      </c>
      <c r="B30" s="170"/>
      <c r="E30" s="4"/>
      <c r="F30" s="151" t="s">
        <v>83</v>
      </c>
      <c r="G30" s="152"/>
      <c r="H30" s="152"/>
      <c r="I30" s="152"/>
      <c r="J30" s="153"/>
      <c r="K30" s="153"/>
      <c r="L30" s="153"/>
      <c r="M30" s="152"/>
      <c r="N30" s="4"/>
      <c r="O30" s="4"/>
      <c r="P30" s="4"/>
      <c r="Q30" s="4"/>
    </row>
    <row r="31">
      <c r="E31" s="4"/>
      <c r="F31" s="154" t="s">
        <v>86</v>
      </c>
      <c r="G31" s="155"/>
      <c r="H31" s="155"/>
      <c r="I31" s="155"/>
      <c r="J31" s="155"/>
      <c r="K31" s="155"/>
      <c r="L31" s="155"/>
      <c r="M31" s="155"/>
      <c r="N31" s="4"/>
      <c r="O31" s="4"/>
      <c r="P31" s="4"/>
      <c r="Q31" s="4"/>
    </row>
    <row r="32">
      <c r="A32" s="72"/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4"/>
      <c r="O32" s="4"/>
      <c r="P32" s="4"/>
      <c r="Q32" s="4"/>
    </row>
    <row r="33">
      <c r="A33" s="67" t="s">
        <v>159</v>
      </c>
      <c r="B33" s="168"/>
      <c r="E33" s="4"/>
      <c r="F33" s="30"/>
      <c r="M33" s="69"/>
      <c r="N33" s="4"/>
      <c r="O33" s="4"/>
      <c r="P33" s="4"/>
      <c r="Q33" s="4"/>
    </row>
    <row r="34">
      <c r="E34" s="4"/>
      <c r="F34" s="138" t="s">
        <v>81</v>
      </c>
      <c r="G34" s="70" t="s">
        <v>39</v>
      </c>
      <c r="H34" s="43" t="s">
        <v>24</v>
      </c>
      <c r="I34" s="16" t="s">
        <v>32</v>
      </c>
      <c r="J34" s="16" t="s">
        <v>168</v>
      </c>
      <c r="K34" s="16" t="s">
        <v>34</v>
      </c>
      <c r="L34" s="16" t="s">
        <v>149</v>
      </c>
      <c r="M34" s="85" t="s">
        <v>169</v>
      </c>
      <c r="N34" s="4"/>
      <c r="O34" s="4"/>
      <c r="P34" s="4"/>
      <c r="Q34" s="4"/>
    </row>
    <row r="35">
      <c r="A35" s="72"/>
      <c r="B35" s="4"/>
      <c r="C35" s="4"/>
      <c r="D35" s="4"/>
      <c r="E35" s="4"/>
      <c r="F35" s="3"/>
      <c r="G35" s="3"/>
      <c r="H35" s="3"/>
      <c r="I35" s="3"/>
      <c r="J35" s="3"/>
      <c r="K35" s="3"/>
      <c r="L35" s="3"/>
      <c r="M35" s="69"/>
      <c r="N35" s="4"/>
      <c r="O35" s="4"/>
      <c r="P35" s="4"/>
      <c r="Q35" s="4"/>
    </row>
    <row r="36">
      <c r="A36" s="165" t="s">
        <v>160</v>
      </c>
      <c r="B36" s="166"/>
      <c r="E36" s="4"/>
      <c r="F36" s="45"/>
      <c r="G36" s="45"/>
      <c r="H36" s="45"/>
      <c r="I36" s="45"/>
      <c r="J36" s="45"/>
      <c r="K36" s="45"/>
      <c r="L36" s="45"/>
      <c r="M36" s="90"/>
      <c r="N36" s="4"/>
      <c r="O36" s="4"/>
      <c r="P36" s="4"/>
      <c r="Q36" s="4"/>
    </row>
    <row r="37">
      <c r="E37" s="86"/>
      <c r="F37" s="138" t="s">
        <v>153</v>
      </c>
      <c r="G37" s="169" t="s">
        <v>13</v>
      </c>
      <c r="H37" s="171" t="s">
        <v>14</v>
      </c>
      <c r="I37" s="94" t="s">
        <v>15</v>
      </c>
      <c r="J37" s="172" t="s">
        <v>154</v>
      </c>
      <c r="K37" s="172" t="s">
        <v>154</v>
      </c>
      <c r="L37" s="173" t="s">
        <v>170</v>
      </c>
      <c r="M37" s="95" t="s">
        <v>15</v>
      </c>
      <c r="N37" s="86"/>
      <c r="O37" s="86"/>
      <c r="P37" s="86"/>
      <c r="Q37" s="86"/>
    </row>
    <row r="38">
      <c r="A38" s="72"/>
      <c r="B38" s="4"/>
      <c r="C38" s="89">
        <v>470.0</v>
      </c>
      <c r="D38" s="4"/>
      <c r="E38" s="86"/>
      <c r="F38" s="151" t="s">
        <v>83</v>
      </c>
      <c r="G38" s="174"/>
      <c r="H38" s="153"/>
      <c r="I38" s="66"/>
      <c r="J38" s="66"/>
      <c r="K38" s="77"/>
      <c r="L38" s="66"/>
      <c r="M38" s="85"/>
      <c r="N38" s="86"/>
      <c r="O38" s="86"/>
      <c r="P38" s="86"/>
      <c r="Q38" s="86"/>
    </row>
    <row r="39">
      <c r="A39" s="67"/>
      <c r="B39" s="168"/>
      <c r="E39" s="86"/>
      <c r="F39" s="154" t="s">
        <v>86</v>
      </c>
      <c r="G39" s="175"/>
      <c r="H39" s="155"/>
      <c r="I39" s="41"/>
      <c r="J39" s="41"/>
      <c r="K39" s="41"/>
      <c r="L39" s="41"/>
      <c r="M39" s="85"/>
      <c r="N39" s="86"/>
      <c r="O39" s="86"/>
      <c r="P39" s="86"/>
      <c r="Q39" s="86"/>
    </row>
    <row r="40">
      <c r="E40" s="86"/>
      <c r="F40" s="3"/>
      <c r="G40" s="69"/>
      <c r="H40" s="3"/>
      <c r="I40" s="3"/>
      <c r="J40" s="3"/>
      <c r="K40" s="3"/>
      <c r="L40" s="3"/>
      <c r="M40" s="69"/>
      <c r="N40" s="86"/>
      <c r="O40" s="86"/>
      <c r="P40" s="86"/>
      <c r="Q40" s="86"/>
    </row>
    <row r="41">
      <c r="A41" s="72"/>
      <c r="B41" s="4"/>
      <c r="C41" s="4"/>
      <c r="D41" s="4"/>
      <c r="E41" s="86"/>
      <c r="F41" s="86"/>
      <c r="G41" s="176"/>
      <c r="H41" s="176"/>
      <c r="I41" s="176"/>
      <c r="J41" s="176"/>
      <c r="K41" s="176"/>
      <c r="L41" s="176"/>
      <c r="M41" s="176"/>
      <c r="N41" s="86"/>
      <c r="O41" s="86"/>
      <c r="P41" s="86"/>
      <c r="Q41" s="86"/>
    </row>
    <row r="42">
      <c r="A42" s="165"/>
      <c r="B42" s="166"/>
      <c r="E42" s="86"/>
      <c r="F42" s="57" t="s">
        <v>81</v>
      </c>
      <c r="G42" s="88" t="s">
        <v>159</v>
      </c>
      <c r="H42" s="88" t="s">
        <v>171</v>
      </c>
      <c r="I42" s="88" t="s">
        <v>172</v>
      </c>
      <c r="J42" s="88" t="s">
        <v>173</v>
      </c>
      <c r="K42" s="88" t="s">
        <v>174</v>
      </c>
      <c r="L42" s="88" t="s">
        <v>175</v>
      </c>
      <c r="M42" s="85"/>
      <c r="N42" s="86"/>
      <c r="O42" s="86"/>
      <c r="P42" s="86"/>
      <c r="Q42" s="86"/>
    </row>
    <row r="43">
      <c r="E43" s="86"/>
      <c r="F43" s="3"/>
      <c r="G43" s="3"/>
      <c r="H43" s="3"/>
      <c r="I43" s="3"/>
      <c r="J43" s="3"/>
      <c r="K43" s="3"/>
      <c r="L43" s="3"/>
      <c r="M43" s="69"/>
      <c r="N43" s="86"/>
      <c r="O43" s="86"/>
      <c r="P43" s="86"/>
      <c r="Q43" s="86"/>
    </row>
    <row r="44">
      <c r="A44" s="4"/>
      <c r="B44" s="4"/>
      <c r="C44" s="4"/>
      <c r="D44" s="4"/>
      <c r="E44" s="86"/>
      <c r="F44" s="45"/>
      <c r="G44" s="45"/>
      <c r="H44" s="45"/>
      <c r="I44" s="45"/>
      <c r="J44" s="45"/>
      <c r="K44" s="45"/>
      <c r="L44" s="45"/>
      <c r="M44" s="90"/>
      <c r="N44" s="86"/>
      <c r="O44" s="86"/>
      <c r="P44" s="86"/>
      <c r="Q44" s="86"/>
    </row>
    <row r="45">
      <c r="A45" s="89" t="s">
        <v>176</v>
      </c>
      <c r="B45" s="89"/>
      <c r="E45" s="86"/>
      <c r="F45" s="57" t="s">
        <v>153</v>
      </c>
      <c r="G45" s="94" t="s">
        <v>14</v>
      </c>
      <c r="H45" s="94" t="s">
        <v>15</v>
      </c>
      <c r="I45" s="94" t="s">
        <v>20</v>
      </c>
      <c r="J45" s="94" t="s">
        <v>20</v>
      </c>
      <c r="K45" s="94" t="s">
        <v>20</v>
      </c>
      <c r="L45" s="94" t="s">
        <v>15</v>
      </c>
      <c r="M45" s="95" t="s">
        <v>15</v>
      </c>
      <c r="N45" s="86"/>
      <c r="O45" s="86"/>
      <c r="P45" s="86"/>
      <c r="Q45" s="86"/>
    </row>
    <row r="46">
      <c r="E46" s="86"/>
      <c r="F46" s="57" t="s">
        <v>83</v>
      </c>
      <c r="G46" s="88"/>
      <c r="H46" s="88"/>
      <c r="I46" s="88"/>
      <c r="J46" s="88"/>
      <c r="K46" s="88"/>
      <c r="L46" s="88"/>
      <c r="M46" s="85"/>
      <c r="N46" s="86"/>
      <c r="O46" s="86"/>
      <c r="P46" s="86"/>
      <c r="Q46" s="86"/>
    </row>
    <row r="47">
      <c r="A47" s="4"/>
      <c r="B47" s="4"/>
      <c r="C47" s="4"/>
      <c r="D47" s="4"/>
      <c r="E47" s="86"/>
      <c r="F47" s="177" t="s">
        <v>177</v>
      </c>
      <c r="G47" s="92"/>
      <c r="H47" s="92"/>
      <c r="I47" s="92"/>
      <c r="J47" s="93"/>
      <c r="K47" s="92"/>
      <c r="L47" s="92"/>
      <c r="M47" s="96"/>
      <c r="N47" s="86"/>
      <c r="O47" s="86"/>
      <c r="P47" s="86"/>
      <c r="Q47" s="86"/>
    </row>
    <row r="48">
      <c r="A48" s="89" t="s">
        <v>178</v>
      </c>
      <c r="B48" s="99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91" t="s">
        <v>87</v>
      </c>
      <c r="P48" s="86"/>
      <c r="Q48" s="86"/>
    </row>
    <row r="49"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</row>
    <row r="50">
      <c r="A50" s="4"/>
      <c r="B50" s="4"/>
      <c r="C50" s="4"/>
      <c r="D50" s="4"/>
      <c r="E50" s="86"/>
      <c r="F50" s="57" t="s">
        <v>81</v>
      </c>
      <c r="G50" s="88"/>
      <c r="H50" s="88"/>
      <c r="I50" s="88"/>
      <c r="J50" s="88"/>
      <c r="K50" s="88"/>
      <c r="L50" s="88"/>
      <c r="M50" s="85"/>
      <c r="N50" s="86"/>
      <c r="O50" s="86"/>
      <c r="P50" s="86"/>
      <c r="Q50" s="86"/>
    </row>
    <row r="51">
      <c r="A51" s="89" t="s">
        <v>179</v>
      </c>
      <c r="B51" s="89"/>
      <c r="E51" s="86"/>
      <c r="F51" s="3"/>
      <c r="G51" s="3"/>
      <c r="H51" s="3"/>
      <c r="I51" s="3"/>
      <c r="J51" s="3"/>
      <c r="K51" s="3"/>
      <c r="L51" s="3"/>
      <c r="M51" s="69"/>
      <c r="N51" s="86"/>
      <c r="O51" s="86"/>
      <c r="P51" s="86"/>
      <c r="Q51" s="86"/>
    </row>
    <row r="52">
      <c r="E52" s="86"/>
      <c r="F52" s="45"/>
      <c r="G52" s="45"/>
      <c r="H52" s="45"/>
      <c r="I52" s="45"/>
      <c r="J52" s="45"/>
      <c r="K52" s="45"/>
      <c r="L52" s="45"/>
      <c r="M52" s="90"/>
      <c r="N52" s="86"/>
      <c r="O52" s="86"/>
      <c r="P52" s="86"/>
      <c r="Q52" s="86"/>
    </row>
    <row r="53">
      <c r="A53" s="99"/>
      <c r="B53" s="178"/>
      <c r="C53" s="178"/>
      <c r="D53" s="179"/>
      <c r="E53" s="86"/>
      <c r="F53" s="57" t="s">
        <v>153</v>
      </c>
      <c r="G53" s="94" t="s">
        <v>14</v>
      </c>
      <c r="H53" s="94" t="s">
        <v>15</v>
      </c>
      <c r="I53" s="94" t="s">
        <v>20</v>
      </c>
      <c r="J53" s="94" t="s">
        <v>20</v>
      </c>
      <c r="K53" s="94" t="s">
        <v>20</v>
      </c>
      <c r="L53" s="94" t="s">
        <v>15</v>
      </c>
      <c r="M53" s="95" t="s">
        <v>15</v>
      </c>
      <c r="N53" s="86"/>
      <c r="O53" s="86"/>
      <c r="P53" s="86"/>
      <c r="Q53" s="86"/>
    </row>
    <row r="54">
      <c r="A54" s="99" t="s">
        <v>180</v>
      </c>
      <c r="B54" s="99"/>
      <c r="E54" s="86"/>
      <c r="F54" s="57" t="s">
        <v>83</v>
      </c>
      <c r="G54" s="88"/>
      <c r="H54" s="88"/>
      <c r="I54" s="88"/>
      <c r="J54" s="88"/>
      <c r="K54" s="88"/>
      <c r="L54" s="88"/>
      <c r="M54" s="85"/>
      <c r="N54" s="86"/>
      <c r="O54" s="86"/>
      <c r="P54" s="86"/>
      <c r="Q54" s="86"/>
    </row>
    <row r="55">
      <c r="E55" s="86"/>
      <c r="F55" s="177" t="s">
        <v>177</v>
      </c>
      <c r="G55" s="92"/>
      <c r="H55" s="92"/>
      <c r="I55" s="92"/>
      <c r="J55" s="93"/>
      <c r="K55" s="92"/>
      <c r="L55" s="92"/>
      <c r="M55" s="96"/>
      <c r="N55" s="86"/>
      <c r="O55" s="86"/>
      <c r="P55" s="86"/>
      <c r="Q55" s="86"/>
    </row>
  </sheetData>
  <mergeCells count="135">
    <mergeCell ref="L15:L16"/>
    <mergeCell ref="M15:M16"/>
    <mergeCell ref="N15:P15"/>
    <mergeCell ref="A16:D17"/>
    <mergeCell ref="F17:M17"/>
    <mergeCell ref="A18:A19"/>
    <mergeCell ref="B18:D19"/>
    <mergeCell ref="G18:G20"/>
    <mergeCell ref="H18:H20"/>
    <mergeCell ref="I18:I20"/>
    <mergeCell ref="J18:J20"/>
    <mergeCell ref="K18:K20"/>
    <mergeCell ref="L18:L20"/>
    <mergeCell ref="M18:M20"/>
    <mergeCell ref="I2:I4"/>
    <mergeCell ref="J2:J4"/>
    <mergeCell ref="K2:K4"/>
    <mergeCell ref="L2:L4"/>
    <mergeCell ref="N2:P8"/>
    <mergeCell ref="J7:J8"/>
    <mergeCell ref="K7:K8"/>
    <mergeCell ref="L7:L8"/>
    <mergeCell ref="M7:M8"/>
    <mergeCell ref="A1:D1"/>
    <mergeCell ref="F1:M1"/>
    <mergeCell ref="A2:A3"/>
    <mergeCell ref="B2:B3"/>
    <mergeCell ref="C2:C3"/>
    <mergeCell ref="D2:D3"/>
    <mergeCell ref="F2:F4"/>
    <mergeCell ref="M2:M4"/>
    <mergeCell ref="G2:G4"/>
    <mergeCell ref="H2:H4"/>
    <mergeCell ref="F7:F8"/>
    <mergeCell ref="G7:G8"/>
    <mergeCell ref="H7:H8"/>
    <mergeCell ref="I7:I8"/>
    <mergeCell ref="F9:M9"/>
    <mergeCell ref="G10:G12"/>
    <mergeCell ref="H10:H12"/>
    <mergeCell ref="I10:I12"/>
    <mergeCell ref="J10:J12"/>
    <mergeCell ref="K10:K12"/>
    <mergeCell ref="L10:L12"/>
    <mergeCell ref="M10:M12"/>
    <mergeCell ref="F10:F12"/>
    <mergeCell ref="F15:F16"/>
    <mergeCell ref="G15:G16"/>
    <mergeCell ref="H15:H16"/>
    <mergeCell ref="I15:I16"/>
    <mergeCell ref="J15:J16"/>
    <mergeCell ref="K15:K16"/>
    <mergeCell ref="J23:J24"/>
    <mergeCell ref="K23:K24"/>
    <mergeCell ref="L23:L24"/>
    <mergeCell ref="M23:M24"/>
    <mergeCell ref="F25:M25"/>
    <mergeCell ref="A33:A34"/>
    <mergeCell ref="B33:D34"/>
    <mergeCell ref="F34:F36"/>
    <mergeCell ref="G34:G36"/>
    <mergeCell ref="H34:H36"/>
    <mergeCell ref="I34:I36"/>
    <mergeCell ref="J34:J36"/>
    <mergeCell ref="A36:A37"/>
    <mergeCell ref="B36:D37"/>
    <mergeCell ref="A39:A40"/>
    <mergeCell ref="B39:D40"/>
    <mergeCell ref="F39:F40"/>
    <mergeCell ref="G39:G40"/>
    <mergeCell ref="H39:H40"/>
    <mergeCell ref="K42:K44"/>
    <mergeCell ref="L42:L44"/>
    <mergeCell ref="M42:M44"/>
    <mergeCell ref="A42:A43"/>
    <mergeCell ref="B42:D43"/>
    <mergeCell ref="F42:F44"/>
    <mergeCell ref="G42:G44"/>
    <mergeCell ref="H42:H44"/>
    <mergeCell ref="I42:I44"/>
    <mergeCell ref="J42:J44"/>
    <mergeCell ref="I50:I52"/>
    <mergeCell ref="J50:J52"/>
    <mergeCell ref="K50:K52"/>
    <mergeCell ref="L50:L52"/>
    <mergeCell ref="M50:M52"/>
    <mergeCell ref="A51:A52"/>
    <mergeCell ref="B51:D52"/>
    <mergeCell ref="A54:A55"/>
    <mergeCell ref="B54:D55"/>
    <mergeCell ref="A45:A46"/>
    <mergeCell ref="B45:D46"/>
    <mergeCell ref="A48:A49"/>
    <mergeCell ref="B48:D49"/>
    <mergeCell ref="F50:F52"/>
    <mergeCell ref="G50:G52"/>
    <mergeCell ref="H50:H52"/>
    <mergeCell ref="F18:F20"/>
    <mergeCell ref="A21:A22"/>
    <mergeCell ref="B21:D22"/>
    <mergeCell ref="F23:F24"/>
    <mergeCell ref="G23:G24"/>
    <mergeCell ref="H23:H24"/>
    <mergeCell ref="I23:I24"/>
    <mergeCell ref="K26:K28"/>
    <mergeCell ref="L26:L28"/>
    <mergeCell ref="M26:M28"/>
    <mergeCell ref="A24:A25"/>
    <mergeCell ref="B24:D25"/>
    <mergeCell ref="F26:F28"/>
    <mergeCell ref="G26:G28"/>
    <mergeCell ref="H26:H28"/>
    <mergeCell ref="I26:I28"/>
    <mergeCell ref="J26:J28"/>
    <mergeCell ref="I31:I32"/>
    <mergeCell ref="J31:J32"/>
    <mergeCell ref="K31:K32"/>
    <mergeCell ref="L31:L32"/>
    <mergeCell ref="M31:M32"/>
    <mergeCell ref="F33:M33"/>
    <mergeCell ref="A27:A28"/>
    <mergeCell ref="B27:D28"/>
    <mergeCell ref="A30:A31"/>
    <mergeCell ref="B30:D31"/>
    <mergeCell ref="F31:F32"/>
    <mergeCell ref="G31:G32"/>
    <mergeCell ref="H31:H32"/>
    <mergeCell ref="K34:K36"/>
    <mergeCell ref="L34:L36"/>
    <mergeCell ref="M34:M36"/>
    <mergeCell ref="I39:I40"/>
    <mergeCell ref="J39:J40"/>
    <mergeCell ref="K39:K40"/>
    <mergeCell ref="L39:L40"/>
    <mergeCell ref="M39:M40"/>
  </mergeCells>
  <conditionalFormatting sqref="G6:M6 G14:M14 G22:M22 G30:M30 G38:M38 G46:M46 G54:M54">
    <cfRule type="cellIs" dxfId="0" priority="1" operator="equal">
      <formula>9</formula>
    </cfRule>
  </conditionalFormatting>
  <conditionalFormatting sqref="I2:I4 G18:G20">
    <cfRule type="expression" dxfId="6" priority="2">
      <formula>COUNTIF($B$18:$B$52, "*zim*") &gt; 0</formula>
    </cfRule>
  </conditionalFormatting>
  <conditionalFormatting sqref="D4:D15">
    <cfRule type="cellIs" dxfId="1" priority="3" operator="between">
      <formula>100</formula>
      <formula>200</formula>
    </cfRule>
  </conditionalFormatting>
  <conditionalFormatting sqref="D4:D15">
    <cfRule type="cellIs" dxfId="2" priority="4" operator="greaterThan">
      <formula>349</formula>
    </cfRule>
  </conditionalFormatting>
  <conditionalFormatting sqref="D4:D15">
    <cfRule type="cellIs" dxfId="3" priority="5" operator="between">
      <formula>1</formula>
      <formula>99</formula>
    </cfRule>
  </conditionalFormatting>
  <conditionalFormatting sqref="D4:D15">
    <cfRule type="cellIs" dxfId="4" priority="6" operator="between">
      <formula>200</formula>
      <formula>300</formula>
    </cfRule>
  </conditionalFormatting>
  <conditionalFormatting sqref="D4:D15">
    <cfRule type="cellIs" dxfId="5" priority="7" operator="between">
      <formula>300</formula>
      <formula>349</formula>
    </cfRule>
  </conditionalFormatting>
  <conditionalFormatting sqref="G15:G16">
    <cfRule type="expression" dxfId="8" priority="8">
      <formula>COUNTIF($B$18:$B$52, "*spank*") &gt; 0</formula>
    </cfRule>
  </conditionalFormatting>
  <conditionalFormatting sqref="H7:J8">
    <cfRule type="expression" dxfId="8" priority="9">
      <formula>COUNTIF($B$18:$B$52, "*mav*") &gt; 0</formula>
    </cfRule>
  </conditionalFormatting>
  <conditionalFormatting sqref="K7:K8">
    <cfRule type="expression" dxfId="8" priority="10">
      <formula>COUNTIF($B$18:$B$52, "*chemical*") &gt; 0</formula>
    </cfRule>
  </conditionalFormatting>
  <conditionalFormatting sqref="L7:L8">
    <cfRule type="expression" dxfId="8" priority="11">
      <formula>COUNTIF($B$18:$B$52, "*nfkt*") &gt; 0</formula>
    </cfRule>
  </conditionalFormatting>
  <conditionalFormatting sqref="M7">
    <cfRule type="expression" dxfId="0" priority="12">
      <formula>COUNTIF($B$18:$B$52, "*scullen*") &gt; 0</formula>
    </cfRule>
  </conditionalFormatting>
  <conditionalFormatting sqref="G7:G8">
    <cfRule type="expression" dxfId="8" priority="13">
      <formula>COUNTIF($B$18:$B$52, "*aspence*") &gt; 0</formula>
    </cfRule>
  </conditionalFormatting>
  <conditionalFormatting sqref="G7:M8">
    <cfRule type="notContainsBlanks" dxfId="16" priority="14">
      <formula>LEN(TRIM(G7))&gt;0</formula>
    </cfRule>
  </conditionalFormatting>
  <conditionalFormatting sqref="H15:H16">
    <cfRule type="expression" dxfId="8" priority="15">
      <formula>COUNTIF($B$18:$B$52, "*sev*") &gt; 0</formula>
    </cfRule>
  </conditionalFormatting>
  <conditionalFormatting sqref="I15:I16 H23:H24 H31:H32">
    <cfRule type="expression" dxfId="8" priority="16">
      <formula>COUNTIF($B$18:$B$52, "*death*") &gt; 0</formula>
    </cfRule>
  </conditionalFormatting>
  <conditionalFormatting sqref="J15:J16">
    <cfRule type="expression" dxfId="8" priority="17">
      <formula>COUNTIF($B$18:$B$52, "*havoc*") &gt; 0</formula>
    </cfRule>
  </conditionalFormatting>
  <conditionalFormatting sqref="L15:L16">
    <cfRule type="expression" dxfId="8" priority="18">
      <formula>COUNTIF($B$18:$B$52, "*squirre*") &gt; 0</formula>
    </cfRule>
  </conditionalFormatting>
  <conditionalFormatting sqref="K15:K16">
    <cfRule type="expression" dxfId="8" priority="19">
      <formula>COUNTIF($B$18:$B$52, "*kdskill*") &gt; 0</formula>
    </cfRule>
  </conditionalFormatting>
  <conditionalFormatting sqref="M15:M16">
    <cfRule type="expression" dxfId="8" priority="20">
      <formula>COUNTIF($B$18:$B$52, "*epic*") &gt; 0</formula>
    </cfRule>
  </conditionalFormatting>
  <conditionalFormatting sqref="G15:M15 H23 H31">
    <cfRule type="notContainsBlanks" dxfId="17" priority="21">
      <formula>LEN(TRIM(G15))&gt;0</formula>
    </cfRule>
  </conditionalFormatting>
  <conditionalFormatting sqref="G23:G24">
    <cfRule type="expression" dxfId="8" priority="22">
      <formula>COUNTIF($B$18:$B$52, "*noplex*") &gt; 0</formula>
    </cfRule>
  </conditionalFormatting>
  <conditionalFormatting sqref="H23:H24 H31:H32 L31:M32 K39:K40">
    <cfRule type="expression" dxfId="8" priority="23">
      <formula>COUNTIF($B$18:$B$52, "*ducky*") &gt; 0</formula>
    </cfRule>
  </conditionalFormatting>
  <conditionalFormatting sqref="K15:K16 I23:J24">
    <cfRule type="expression" dxfId="8" priority="24">
      <formula>COUNTIF($B$18:$B$52, "*trespass*") &gt; 0</formula>
    </cfRule>
  </conditionalFormatting>
  <conditionalFormatting sqref="J23:J24">
    <cfRule type="expression" dxfId="8" priority="25">
      <formula>COUNTIF($B$18:$B$52, "*aware*") &gt; 0</formula>
    </cfRule>
  </conditionalFormatting>
  <conditionalFormatting sqref="I23:K24">
    <cfRule type="expression" dxfId="8" priority="26">
      <formula>COUNTIF($B$18:$B$52, "*nick*") &gt; 0</formula>
    </cfRule>
  </conditionalFormatting>
  <conditionalFormatting sqref="L23:M24">
    <cfRule type="expression" dxfId="8" priority="27">
      <formula>COUNTIF($B$18:$B$52, "*grunt*") &gt; 0</formula>
    </cfRule>
  </conditionalFormatting>
  <conditionalFormatting sqref="M23:M24">
    <cfRule type="expression" dxfId="8" priority="28">
      <formula>COUNTIF($B$18:$B$52, "*priest*") &gt; 0</formula>
    </cfRule>
  </conditionalFormatting>
  <conditionalFormatting sqref="K15:K16 G23:M24 H31:H32 L31:M32 K39:K40">
    <cfRule type="notContainsBlanks" dxfId="17" priority="29">
      <formula>LEN(TRIM(K15))&gt;0</formula>
    </cfRule>
  </conditionalFormatting>
  <conditionalFormatting sqref="G31:G32">
    <cfRule type="expression" dxfId="8" priority="30">
      <formula>COUNTIF($B$18:$B$52, "*avenger*") &gt; 0</formula>
    </cfRule>
  </conditionalFormatting>
  <conditionalFormatting sqref="M15 J31:K31">
    <cfRule type="expression" dxfId="8" priority="31">
      <formula>COUNTIF($B$18:$B$52, "*endasis*") &gt; 0</formula>
    </cfRule>
  </conditionalFormatting>
  <conditionalFormatting sqref="H31:H32">
    <cfRule type="expression" dxfId="8" priority="32">
      <formula>COUNTIF($B$18:$B$52, "*frnzh*") &gt; 0</formula>
    </cfRule>
  </conditionalFormatting>
  <conditionalFormatting sqref="H2:I4 K2:L4 G26:G28">
    <cfRule type="expression" dxfId="6" priority="33">
      <formula>COUNTIF($B$18:$B$52, "*chemical*") &gt; 0</formula>
    </cfRule>
  </conditionalFormatting>
  <conditionalFormatting sqref="H2:H4 L2:L4">
    <cfRule type="expression" dxfId="6" priority="34">
      <formula>COUNTIF($B$18:$B$52, "*nfkt*") &gt; 0</formula>
    </cfRule>
  </conditionalFormatting>
  <conditionalFormatting sqref="H2:I2 K2:M2 H10 G26">
    <cfRule type="expression" dxfId="6" priority="35">
      <formula>COUNTIF($B$18:$B$52, "*scullen*") &gt; 0</formula>
    </cfRule>
  </conditionalFormatting>
  <conditionalFormatting sqref="G10:G12 M18:M20">
    <cfRule type="expression" dxfId="6" priority="36">
      <formula>COUNTIF($B$18:$B$52, "*spank*") &gt; 0</formula>
    </cfRule>
  </conditionalFormatting>
  <conditionalFormatting sqref="I2:I4 K2:L4 H10:H12">
    <cfRule type="expression" dxfId="6" priority="37">
      <formula>COUNTIF($B$18:$B$52, "*sev*") &gt; 0</formula>
    </cfRule>
  </conditionalFormatting>
  <conditionalFormatting sqref="I2 K2:L2 H10 I10:I12 H18:H20 H26:I28">
    <cfRule type="expression" dxfId="6" priority="38">
      <formula>COUNTIF($B$18:$B$52, "*death*") &gt; 0</formula>
    </cfRule>
  </conditionalFormatting>
  <conditionalFormatting sqref="J10:J12">
    <cfRule type="expression" dxfId="6" priority="39">
      <formula>COUNTIF($B$18:$B$52, "*havoc*") &gt; 0</formula>
    </cfRule>
  </conditionalFormatting>
  <conditionalFormatting sqref="J10 K10:K12 J26:J28 I34:I36">
    <cfRule type="expression" dxfId="6" priority="40">
      <formula>COUNTIF($B$18:$B$52, "*kdskill*") &gt; 0</formula>
    </cfRule>
  </conditionalFormatting>
  <conditionalFormatting sqref="L10:L12">
    <cfRule type="expression" dxfId="6" priority="41">
      <formula>COUNTIF($B$18:$B$52, "*squirre*") &gt; 0</formula>
    </cfRule>
  </conditionalFormatting>
  <conditionalFormatting sqref="M10:M12">
    <cfRule type="expression" dxfId="6" priority="42">
      <formula>COUNTIF($B$18:$B$52, "*epic*") &gt; 0</formula>
    </cfRule>
  </conditionalFormatting>
  <conditionalFormatting sqref="G18:G20">
    <cfRule type="expression" dxfId="6" priority="43">
      <formula>COUNTIF($B$18:$B$52, "*noplex*") &gt; 0</formula>
    </cfRule>
  </conditionalFormatting>
  <conditionalFormatting sqref="H18:H20 H26:I28 L26:M28 G34:G36 K34:K36">
    <cfRule type="expression" dxfId="6" priority="44">
      <formula>COUNTIF($B$18:$B$52, "*ducky*") &gt; 0</formula>
    </cfRule>
  </conditionalFormatting>
  <conditionalFormatting sqref="K10:K12 I18:J20">
    <cfRule type="expression" dxfId="6" priority="45">
      <formula>COUNTIF($B$18:$B$52, "*trespass*") &gt; 0</formula>
    </cfRule>
  </conditionalFormatting>
  <conditionalFormatting sqref="K10:K12 I18:J20">
    <cfRule type="expression" dxfId="6" priority="46">
      <formula>COUNTIF($B$18:$B$52, "*aware*") &gt; 0</formula>
    </cfRule>
  </conditionalFormatting>
  <conditionalFormatting sqref="I18:K20">
    <cfRule type="expression" dxfId="6" priority="47">
      <formula>COUNTIF($B$18:$B$52, "*nick*") &gt; 0</formula>
    </cfRule>
  </conditionalFormatting>
  <conditionalFormatting sqref="L18:M20">
    <cfRule type="expression" dxfId="6" priority="48">
      <formula>COUNTIF($B$18:$B$52, "*grunt*") &gt; 0</formula>
    </cfRule>
  </conditionalFormatting>
  <conditionalFormatting sqref="M18:M20">
    <cfRule type="expression" dxfId="6" priority="49">
      <formula>COUNTIF($B$18:$B$52, "*priest*") &gt; 0</formula>
    </cfRule>
  </conditionalFormatting>
  <conditionalFormatting sqref="J2:L4 G26:G28">
    <cfRule type="expression" dxfId="6" priority="50">
      <formula>COUNTIF($B$18:$B$52, "*avenger*") &gt; 0</formula>
    </cfRule>
  </conditionalFormatting>
  <conditionalFormatting sqref="M10 J26:K26">
    <cfRule type="expression" dxfId="6" priority="51">
      <formula>COUNTIF($B$18:$B$52, "*endasis*") &gt; 0</formula>
    </cfRule>
  </conditionalFormatting>
  <conditionalFormatting sqref="K26:L26">
    <cfRule type="expression" dxfId="6" priority="52">
      <formula>COUNTIF($B$18:$B$52, "*geo*") &gt; 0</formula>
    </cfRule>
  </conditionalFormatting>
  <conditionalFormatting sqref="L26:M26">
    <cfRule type="expression" dxfId="6" priority="53">
      <formula>COUNTIF($B$18:$B$52, "*kittens*") &gt; 0</formula>
    </cfRule>
  </conditionalFormatting>
  <conditionalFormatting sqref="L18:M18 M26">
    <cfRule type="expression" dxfId="6" priority="54">
      <formula>COUNTIF($B$18:$B$52, "*panther*") &gt; 0</formula>
    </cfRule>
  </conditionalFormatting>
  <conditionalFormatting sqref="H2:I2 L2 G34">
    <cfRule type="expression" dxfId="6" priority="55">
      <formula>COUNTIF($B$18:$B$52, "*reign*") &gt; 0</formula>
    </cfRule>
  </conditionalFormatting>
  <conditionalFormatting sqref="H18 H26:I26 L26:M26 H34 K34">
    <cfRule type="expression" dxfId="6" priority="56">
      <formula>COUNTIF($B$18:$B$52, "*riske*") &gt; 0</formula>
    </cfRule>
  </conditionalFormatting>
  <conditionalFormatting sqref="J2:L2 H26:I26">
    <cfRule type="expression" dxfId="6" priority="57">
      <formula>COUNTIF($B$18:$B$52, "*frnzh*") &gt; 0</formula>
    </cfRule>
  </conditionalFormatting>
  <conditionalFormatting sqref="G2:G4">
    <cfRule type="expression" dxfId="6" priority="58">
      <formula>COUNTIF($B$18:$B$52, "*aspence*") &gt; 0</formula>
    </cfRule>
  </conditionalFormatting>
  <conditionalFormatting sqref="H2:L4 G10:G12 G18:H20 G26:I28 L26:M28 G34:G36 K34:K36">
    <cfRule type="expression" dxfId="6" priority="59">
      <formula>COUNTIF($B$18:$B$52, "*mav*") &gt; 0</formula>
    </cfRule>
  </conditionalFormatting>
  <conditionalFormatting sqref="J26 I34">
    <cfRule type="expression" dxfId="6" priority="60">
      <formula>COUNTIF($B$18:$B$52, "*ram*") &gt; 0</formula>
    </cfRule>
  </conditionalFormatting>
  <conditionalFormatting sqref="D4:D15">
    <cfRule type="cellIs" dxfId="7" priority="61" operator="equal">
      <formula>0</formula>
    </cfRule>
  </conditionalFormatting>
  <conditionalFormatting sqref="I31:I32">
    <cfRule type="expression" dxfId="8" priority="62">
      <formula>COUNTIF($B$18:$B$52, "*bigal*") &gt; 0</formula>
    </cfRule>
  </conditionalFormatting>
  <conditionalFormatting sqref="K31:L32">
    <cfRule type="expression" dxfId="8" priority="63">
      <formula>COUNTIF($B$18:$B$52, "*geo*") &gt; 0</formula>
    </cfRule>
  </conditionalFormatting>
  <conditionalFormatting sqref="L31:M32">
    <cfRule type="expression" dxfId="8" priority="64">
      <formula>COUNTIF($B$18:$B$52, "*kittens*") &gt; 0</formula>
    </cfRule>
  </conditionalFormatting>
  <conditionalFormatting sqref="L23:M24 M31:M32">
    <cfRule type="expression" dxfId="8" priority="65">
      <formula>COUNTIF($B$18:$B$52, "*panther*") &gt; 0</formula>
    </cfRule>
  </conditionalFormatting>
  <conditionalFormatting sqref="M15:M16 L23:M24 G31:M32">
    <cfRule type="notContainsBlanks" dxfId="16" priority="66">
      <formula>LEN(TRIM(M15))&gt;0</formula>
    </cfRule>
  </conditionalFormatting>
  <conditionalFormatting sqref="G39:G40">
    <cfRule type="expression" dxfId="8" priority="67">
      <formula>COUNTIF($B$18:$B$52, "*reign*") &gt; 0</formula>
    </cfRule>
  </conditionalFormatting>
  <conditionalFormatting sqref="H39:H40">
    <cfRule type="expression" dxfId="8" priority="68">
      <formula>COUNTIF($B$18:$B$52, "*riske*") &gt; 0</formula>
    </cfRule>
  </conditionalFormatting>
  <conditionalFormatting sqref="J31:J32 I39:I40">
    <cfRule type="expression" dxfId="8" priority="69">
      <formula>COUNTIF($B$18:$B$52, "*ram*") &gt; 0</formula>
    </cfRule>
  </conditionalFormatting>
  <conditionalFormatting sqref="L40">
    <cfRule type="expression" dxfId="8" priority="70">
      <formula>COUNTIF($B$18:$B$52, "*daedric*") &gt; 0</formula>
    </cfRule>
  </conditionalFormatting>
  <conditionalFormatting sqref="L31:M32 K39:K40">
    <cfRule type="expression" dxfId="8" priority="71">
      <formula>COUNTIF($B$18:$B$52, "*clutch*") &gt; 0</formula>
    </cfRule>
  </conditionalFormatting>
  <conditionalFormatting sqref="J39:J40">
    <cfRule type="expression" dxfId="8" priority="72">
      <formula>COUNTIF($B$18:$B$52, "*hawk*") &gt; 0</formula>
    </cfRule>
  </conditionalFormatting>
  <conditionalFormatting sqref="M7:M8 J31:J32 L31:M32 G39:L40">
    <cfRule type="notContainsBlanks" dxfId="17" priority="73">
      <formula>LEN(TRIM(M7))&gt;0</formula>
    </cfRule>
  </conditionalFormatting>
  <conditionalFormatting sqref="J34">
    <cfRule type="expression" dxfId="6" priority="74">
      <formula>COUNTIF($B$18:$B$52, "*hawk*") &gt; 0</formula>
    </cfRule>
  </conditionalFormatting>
  <conditionalFormatting sqref="L26:M26 K34">
    <cfRule type="expression" dxfId="6" priority="75">
      <formula>COUNTIF($B$18:$B$52, "*clutch") &gt; 0</formula>
    </cfRule>
  </conditionalFormatting>
  <conditionalFormatting sqref="M2:M4 M26:M28 L34:L36">
    <cfRule type="expression" dxfId="6" priority="76">
      <formula>COUNTIF($B$18:$B$52, "*daedric*") &gt; 0</formula>
    </cfRule>
  </conditionalFormatting>
  <conditionalFormatting sqref="N2:N4">
    <cfRule type="expression" dxfId="6" priority="77">
      <formula>COUNTIF($B$18:$B$52, "*dhlyn*") &gt; 0</formula>
    </cfRule>
  </conditionalFormatting>
  <drawing r:id="rId1"/>
</worksheet>
</file>