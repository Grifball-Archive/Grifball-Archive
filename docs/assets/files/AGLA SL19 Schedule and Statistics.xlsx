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Team and Player Stats" sheetId="2" r:id="rId5"/>
    <sheet state="visible" name="Most Goals" sheetId="3" r:id="rId6"/>
    <sheet state="visible" name="Biggest Spread" sheetId="4" r:id="rId7"/>
    <sheet state="visible" name="Highest KD" sheetId="5" r:id="rId8"/>
    <sheet state="visible" name="Most Carrier Killers" sheetId="6" r:id="rId9"/>
    <sheet state="hidden" name="Goals per Game" sheetId="7" r:id="rId10"/>
    <sheet state="hidden" name="Kills per Min" sheetId="8" r:id="rId11"/>
    <sheet state="hidden" name="Deaths per Min" sheetId="9" r:id="rId12"/>
    <sheet state="hidden" name="Spread per Min" sheetId="10" r:id="rId13"/>
    <sheet state="hidden" name="Medals per Min" sheetId="11" r:id="rId14"/>
    <sheet state="hidden" name="Carrier Kills per Min" sheetId="12" r:id="rId15"/>
    <sheet state="visible" name="Game Results" sheetId="13" r:id="rId16"/>
  </sheets>
  <definedNames/>
  <calcPr/>
</workbook>
</file>

<file path=xl/sharedStrings.xml><?xml version="1.0" encoding="utf-8"?>
<sst xmlns="http://schemas.openxmlformats.org/spreadsheetml/2006/main" count="7545" uniqueCount="363">
  <si>
    <t xml:space="preserve"> 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</si>
  <si>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</si>
  <si>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</si>
  <si>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</si>
  <si>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</si>
  <si>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</si>
  <si>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</si>
  <si>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</si>
  <si>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</si>
  <si>
    <t>8:00pm est</t>
  </si>
  <si>
    <t>Mon over Junk 5-3</t>
  </si>
  <si>
    <t>Team Name</t>
  </si>
  <si>
    <t>Abb.</t>
  </si>
  <si>
    <t>Wins</t>
  </si>
  <si>
    <t>Losses</t>
  </si>
  <si>
    <t>Goals</t>
  </si>
  <si>
    <t>Opp Goals</t>
  </si>
  <si>
    <t>Goal Eff</t>
  </si>
  <si>
    <t>Win %</t>
  </si>
  <si>
    <t>Mon over Junk 5-0</t>
  </si>
  <si>
    <t>Monstars</t>
  </si>
  <si>
    <t>Mon</t>
  </si>
  <si>
    <t>9:00pm est</t>
  </si>
  <si>
    <t>Standings to the right of Calendar</t>
  </si>
  <si>
    <t>MP over Hype 5-3</t>
  </si>
  <si>
    <t>Doc over TT 5-1</t>
  </si>
  <si>
    <t>MP over Med 5-3</t>
  </si>
  <si>
    <t>WDR over Def 5-3</t>
  </si>
  <si>
    <t>Defiance</t>
  </si>
  <si>
    <t>Def</t>
  </si>
  <si>
    <t>MP over Hype 5-2</t>
  </si>
  <si>
    <t>Doc over TT 5-2</t>
  </si>
  <si>
    <t>MP over Med 5-4</t>
  </si>
  <si>
    <t>WDR over Def 5-1</t>
  </si>
  <si>
    <t>Hypest</t>
  </si>
  <si>
    <t>Hype</t>
  </si>
  <si>
    <t>10:00pm est</t>
  </si>
  <si>
    <t>Med over FTL 5-0</t>
  </si>
  <si>
    <t>WDR over OTF 5-3</t>
  </si>
  <si>
    <t>Hype over Mon 5-1</t>
  </si>
  <si>
    <t>Failure to Launch</t>
  </si>
  <si>
    <t>FTL</t>
  </si>
  <si>
    <t>OTF over WDR 5-2</t>
  </si>
  <si>
    <t>Mon over Hype 5-4</t>
  </si>
  <si>
    <t>In MuNgO We Trust</t>
  </si>
  <si>
    <t>MP</t>
  </si>
  <si>
    <t>11:00pm est</t>
  </si>
  <si>
    <t>Mediocre at Best</t>
  </si>
  <si>
    <t>Med</t>
  </si>
  <si>
    <t>9th Wonders</t>
  </si>
  <si>
    <t>WDR</t>
  </si>
  <si>
    <t>Silva's Connection</t>
  </si>
  <si>
    <t>Doc</t>
  </si>
  <si>
    <t>Junkyard Dogs</t>
  </si>
  <si>
    <t>Junk</t>
  </si>
  <si>
    <t>WDR over Junk 5-3</t>
  </si>
  <si>
    <t>Truthless and the Truthlessettes</t>
  </si>
  <si>
    <t>TT</t>
  </si>
  <si>
    <t>On the Fence</t>
  </si>
  <si>
    <t>OTF</t>
  </si>
  <si>
    <t>Def over Med 5-1</t>
  </si>
  <si>
    <t>Med over Doc 5-3</t>
  </si>
  <si>
    <t>Def over TT 5-0</t>
  </si>
  <si>
    <t>Junk over MP 5-3</t>
  </si>
  <si>
    <t>Def over Med 5-3</t>
  </si>
  <si>
    <t>Med over Doc 5-1</t>
  </si>
  <si>
    <t>Def over TT 5-1</t>
  </si>
  <si>
    <t>MP over Junk 5-2</t>
  </si>
  <si>
    <t>Color=Rescheduled</t>
  </si>
  <si>
    <t>Doc over OTF 5-2</t>
  </si>
  <si>
    <t>Monstars over OTF 5-2</t>
  </si>
  <si>
    <t>Hype over WDR 5-1</t>
  </si>
  <si>
    <t>FTL over TT 5-2</t>
  </si>
  <si>
    <t>Monstars over OTF 5-1</t>
  </si>
  <si>
    <t>TT over FTL 5-2</t>
  </si>
  <si>
    <t>Mon over WDR 5-1</t>
  </si>
  <si>
    <t>Med over TT 5-1</t>
  </si>
  <si>
    <t>Junk over Med 5-3</t>
  </si>
  <si>
    <t>Def over Hype 5-3</t>
  </si>
  <si>
    <t>Doc over Junk 5-3</t>
  </si>
  <si>
    <t>TT over MP 5-4</t>
  </si>
  <si>
    <t>MP over OTF 5-2</t>
  </si>
  <si>
    <t>Mon over Doc 5-0</t>
  </si>
  <si>
    <t>Med over TT 5-0</t>
  </si>
  <si>
    <t>Med over Junk 5-4</t>
  </si>
  <si>
    <t>Hype over Def 5-0</t>
  </si>
  <si>
    <t>Junk over Doc 5-4</t>
  </si>
  <si>
    <t>MP over TT 5-4</t>
  </si>
  <si>
    <t>MP over OTF 5-0</t>
  </si>
  <si>
    <t>FTL over Def 5-4</t>
  </si>
  <si>
    <t>FTL over OTF 5-1</t>
  </si>
  <si>
    <t>Def over FTL 5-2</t>
  </si>
  <si>
    <t>FTL over OTF 5-4</t>
  </si>
  <si>
    <t>Def over Junk 5-1</t>
  </si>
  <si>
    <t>Med over WDR 5-0</t>
  </si>
  <si>
    <t>Hype over Doc 5-0</t>
  </si>
  <si>
    <t>Mon over MP 5-3</t>
  </si>
  <si>
    <t>WDR over TT 5-0</t>
  </si>
  <si>
    <t>Junk over Def 5-4</t>
  </si>
  <si>
    <t>WDR over Med 5-1</t>
  </si>
  <si>
    <t>Hype over Doc 5-1</t>
  </si>
  <si>
    <t>Mon over MP 5-1</t>
  </si>
  <si>
    <t>TT over WDR 5-3</t>
  </si>
  <si>
    <t>Med over OTF 5-1</t>
  </si>
  <si>
    <t>FTL over Hype 5-3</t>
  </si>
  <si>
    <t>Mon over TT 5-0</t>
  </si>
  <si>
    <t>FTL over Junk 5-1</t>
  </si>
  <si>
    <t>Med over OTF 5-3</t>
  </si>
  <si>
    <t>FTL over Hype 5-0</t>
  </si>
  <si>
    <t>Mon over TT 5-1</t>
  </si>
  <si>
    <t>Hype over Med 5-1</t>
  </si>
  <si>
    <t>WDR over Doc 5-1</t>
  </si>
  <si>
    <t>Junk over TT 5-1</t>
  </si>
  <si>
    <t>Def over Mon 5-2</t>
  </si>
  <si>
    <t>Doc over MP 5-2</t>
  </si>
  <si>
    <t>Hype over Med 5-2</t>
  </si>
  <si>
    <t>WDR over FTL 5-3</t>
  </si>
  <si>
    <t>Doc over WDR 5-1</t>
  </si>
  <si>
    <t>Def over Mon 5-3</t>
  </si>
  <si>
    <t>Doc over MP 5-4</t>
  </si>
  <si>
    <t>Def over OTF 5-0</t>
  </si>
  <si>
    <t>Hype over TT 5-0</t>
  </si>
  <si>
    <t>WDR over FTL 5-4</t>
  </si>
  <si>
    <t>OTF over Junk 5-1</t>
  </si>
  <si>
    <t>FTL over MP 5-2</t>
  </si>
  <si>
    <t>Def over OTF 5-3</t>
  </si>
  <si>
    <t>Hype over TT 5-1</t>
  </si>
  <si>
    <t>Junk over OTF 5-4</t>
  </si>
  <si>
    <t>MP over FTL 5-1</t>
  </si>
  <si>
    <t>Mon over Med 5-3</t>
  </si>
  <si>
    <t>Mon over Med 5-4</t>
  </si>
  <si>
    <t>Junk over Hype 5-4</t>
  </si>
  <si>
    <t>Def over Doc 5-2</t>
  </si>
  <si>
    <t>Def over MP 5-4</t>
  </si>
  <si>
    <t>Hype over Junk 5-1</t>
  </si>
  <si>
    <t>FTL over Mon 5-4</t>
  </si>
  <si>
    <t>Def over Doc 5-4</t>
  </si>
  <si>
    <t>Def over MP 5-1</t>
  </si>
  <si>
    <t>FTL over Doc 5-1</t>
  </si>
  <si>
    <t>Hype over OTF 5-0</t>
  </si>
  <si>
    <t>TT over OTF 5-1</t>
  </si>
  <si>
    <t>Mon over FTL 5-0</t>
  </si>
  <si>
    <t>MP over WDR 5-0</t>
  </si>
  <si>
    <t>FTL over Doc 5-2</t>
  </si>
  <si>
    <t>Hype over OTF 5-3</t>
  </si>
  <si>
    <t>TT over OTF 5-0</t>
  </si>
  <si>
    <t>MP over WDR 5-3</t>
  </si>
  <si>
    <t>AGLA SL19 Rosters and Regular Season Statistics</t>
  </si>
  <si>
    <t>Team</t>
  </si>
  <si>
    <t>Player</t>
  </si>
  <si>
    <t>Games Played</t>
  </si>
  <si>
    <t>Minutes</t>
  </si>
  <si>
    <t>Kills</t>
  </si>
  <si>
    <t>Assists</t>
  </si>
  <si>
    <t>Deaths</t>
  </si>
  <si>
    <t>Spread</t>
  </si>
  <si>
    <t>K/D Ratio</t>
  </si>
  <si>
    <t>Average Life</t>
  </si>
  <si>
    <t>Medals</t>
  </si>
  <si>
    <t>Games with Medals</t>
  </si>
  <si>
    <t>Carrier Kills</t>
  </si>
  <si>
    <t>Beatdown</t>
  </si>
  <si>
    <t>Bulltrue</t>
  </si>
  <si>
    <t>Killjoys</t>
  </si>
  <si>
    <t>Double Kill</t>
  </si>
  <si>
    <t>Triple Kill</t>
  </si>
  <si>
    <t>Overkill</t>
  </si>
  <si>
    <t>Killtacular</t>
  </si>
  <si>
    <t>Killtrocity</t>
  </si>
  <si>
    <t>Killmanjaro</t>
  </si>
  <si>
    <t>Killpocalypse</t>
  </si>
  <si>
    <t>Killtastrophe</t>
  </si>
  <si>
    <t>Killionaire</t>
  </si>
  <si>
    <t>Killing Spree</t>
  </si>
  <si>
    <t>Killing Frenzy</t>
  </si>
  <si>
    <t>Running Riot</t>
  </si>
  <si>
    <t>Rampage</t>
  </si>
  <si>
    <t>Extermination</t>
  </si>
  <si>
    <t>Sword Spree</t>
  </si>
  <si>
    <t xml:space="preserve">Trespa5s </t>
  </si>
  <si>
    <t>DIGITAL PAIN</t>
  </si>
  <si>
    <t>Sabasauros Rex</t>
  </si>
  <si>
    <t>ThumpingHawk</t>
  </si>
  <si>
    <t>The Eastbrook</t>
  </si>
  <si>
    <t>MASTER CH3IF</t>
  </si>
  <si>
    <t>Totals:</t>
  </si>
  <si>
    <t>MuNgO PuNgO</t>
  </si>
  <si>
    <t>Saintz the God</t>
  </si>
  <si>
    <t>The Corn Ninja</t>
  </si>
  <si>
    <t>AtoneMilitant</t>
  </si>
  <si>
    <t>DCleak</t>
  </si>
  <si>
    <t>DLGITAL PAIN</t>
  </si>
  <si>
    <t>nkotb4evah</t>
  </si>
  <si>
    <t>AJ DaJuiceMayne</t>
  </si>
  <si>
    <t>Gilded Grams</t>
  </si>
  <si>
    <t>PoisonxPoptart</t>
  </si>
  <si>
    <t>caleb loves you</t>
  </si>
  <si>
    <t>Zeg/Priest</t>
  </si>
  <si>
    <t>x Zeg x</t>
  </si>
  <si>
    <t>T RICH DA KING</t>
  </si>
  <si>
    <t>oScet</t>
  </si>
  <si>
    <t>x Greenthumb</t>
  </si>
  <si>
    <t>Yuhxi</t>
  </si>
  <si>
    <t>Truthless IHero</t>
  </si>
  <si>
    <t>El Diablo x230x</t>
  </si>
  <si>
    <t>TwitchTvSnipezz</t>
  </si>
  <si>
    <t>Myst The Cold</t>
  </si>
  <si>
    <t>Molotov Ghost</t>
  </si>
  <si>
    <t>Zeg/nkot</t>
  </si>
  <si>
    <t>Juc</t>
  </si>
  <si>
    <t>Ace B S1lentND1</t>
  </si>
  <si>
    <t>Itz Rainin MenZ</t>
  </si>
  <si>
    <t>blim</t>
  </si>
  <si>
    <t>Hoffa 88</t>
  </si>
  <si>
    <t>Sub</t>
  </si>
  <si>
    <t>Atone/Priest/Hawk</t>
  </si>
  <si>
    <t>Priest XYZ</t>
  </si>
  <si>
    <t>the man canon</t>
  </si>
  <si>
    <t xml:space="preserve"> SILV3RI34CK</t>
  </si>
  <si>
    <t>THEXILEDRAGON</t>
  </si>
  <si>
    <t>Almighty Tycoon</t>
  </si>
  <si>
    <t>AtoneMilitant/blim</t>
  </si>
  <si>
    <t>Doc Status</t>
  </si>
  <si>
    <t>TnTaylor</t>
  </si>
  <si>
    <t>Elementary</t>
  </si>
  <si>
    <t>xxRebs</t>
  </si>
  <si>
    <t>TheOneHawk</t>
  </si>
  <si>
    <t>Regresser TTV</t>
  </si>
  <si>
    <t>Blootzy</t>
  </si>
  <si>
    <t>Perturbingly</t>
  </si>
  <si>
    <t>Melvishdon</t>
  </si>
  <si>
    <t>TheNastyWithin</t>
  </si>
  <si>
    <t>imShad</t>
  </si>
  <si>
    <t>ActiveHate</t>
  </si>
  <si>
    <t>Liion Wiins</t>
  </si>
  <si>
    <t>TITAN MAN 23</t>
  </si>
  <si>
    <t>RealSlimSheep</t>
  </si>
  <si>
    <t>Rage More Nerd</t>
  </si>
  <si>
    <t>iRobot 9000</t>
  </si>
  <si>
    <t>LiquideNitrogen</t>
  </si>
  <si>
    <t>MsMeowlla</t>
  </si>
  <si>
    <t>MachinimistLuke</t>
  </si>
  <si>
    <t>ThumpingHawk/Blim</t>
  </si>
  <si>
    <t>AGLA WL19 Player Statistics by Goals</t>
  </si>
  <si>
    <t>AGLA WL19 Player Statistics by Spread</t>
  </si>
  <si>
    <t>AGLA WL19 Player Statistics by K/D</t>
  </si>
  <si>
    <t>AGLA WL19 Player Statistics by Carrier Kills</t>
  </si>
  <si>
    <t>AGLA WL19 Per Game Statistics</t>
  </si>
  <si>
    <t>AGLA WL19 Per Minute Statistics</t>
  </si>
  <si>
    <t>AGLA SL19 Per Minute Statistics</t>
  </si>
  <si>
    <t>Template</t>
  </si>
  <si>
    <t>Postgame Page 1</t>
  </si>
  <si>
    <t>Postgame Page 3</t>
  </si>
  <si>
    <t>Medal Pages</t>
  </si>
  <si>
    <t>Medals Recorded?</t>
  </si>
  <si>
    <t>1 if Yes, 0 if No</t>
  </si>
  <si>
    <t>Week 1 - In MuNgO We Trust over Hypest 5-3 https://gamerdvr.com/gamer/ace-b-s1lentnd1/video/74952798</t>
  </si>
  <si>
    <t>Week 1 - In MuNgO We Trust over Hypest 5-2 https://www.twitch.tv/videos/427670979</t>
  </si>
  <si>
    <t>Week 1 - Monstars over Junkyard Dogs 5-3 https://www.twitch.tv/videos/428565971</t>
  </si>
  <si>
    <t>Week 1 - Monstars over Junkyard Dogs 5-0 https://gamerdvr.com/gamer/imshad/video/75020111</t>
  </si>
  <si>
    <t>Week 1 - Silva's Connection over Truthless and the Truthlessettes 5-2 https://gamerdvr.com/gamer/doc-status/video/75026408</t>
  </si>
  <si>
    <r>
      <rPr>
        <b/>
        <sz val="18.0"/>
      </rPr>
      <t xml:space="preserve">Week 1 - Silva's Connection over Truthless and the Truthlessettes 5-3 </t>
    </r>
    <r>
      <rPr>
        <b/>
        <sz val="18.0"/>
        <u/>
      </rPr>
      <t>https://gamerdvr.com/gamer/doc-status/video/75026409</t>
    </r>
  </si>
  <si>
    <r>
      <rPr>
        <b/>
        <sz val="18.0"/>
      </rPr>
      <t xml:space="preserve">Week 1 - Mediocre at Best over Failure to Launch 5-0 </t>
    </r>
    <r>
      <rPr>
        <b/>
        <sz val="18.0"/>
        <u/>
      </rPr>
      <t>https://gamerdvr.com/gamer/rage-more-nerd/video/76557279</t>
    </r>
  </si>
  <si>
    <r>
      <rPr>
        <b/>
        <sz val="18.0"/>
      </rPr>
      <t xml:space="preserve">Week 1 - Mediocre at Best over Failure to Launch 5-0 </t>
    </r>
    <r>
      <rPr>
        <b/>
        <sz val="18.0"/>
        <u/>
      </rPr>
      <t>https://gamerdvr.com/gamer/rage-more-nerd/video/76557282</t>
    </r>
  </si>
  <si>
    <t>Week 1 - 9th Wonders over On The Fence 5-3 https://www.twitch.tv/videos/428570464</t>
  </si>
  <si>
    <t>Week 1 - On The Fence over 9th Wonders 5-2 https://www.twitch.tv/videos/428570819</t>
  </si>
  <si>
    <t>Week 1 - In Mungo We Trust over Mediocre at Best 5-3 https://gamerdvr.com/gamer/rage-more-nerd/video/75336002</t>
  </si>
  <si>
    <t>Week 1 - In Mungo We Trust over Mediocre at Best 5-4 https://gamerdvr.com/gamer/rage-more-nerd/video/75734801</t>
  </si>
  <si>
    <t>Week 1 - 9th Wonders over Defiance 5-3 https://gamerdvr.com/gamer/x-zeg-x/video/75069150</t>
  </si>
  <si>
    <t>Week 1 - 9th Wonders over Defiance 5-1 https://www.twitch.tv/videos/451068401</t>
  </si>
  <si>
    <t>Week 1 - Monstars over Hypest 5-4 https://xboxclips.com/ActiveHate/7c1a3028-a407-4337-95e3-602631ec132b</t>
  </si>
  <si>
    <t>Week 1 - Hypest over Monstars 5-1 Only Goals Recorded</t>
  </si>
  <si>
    <t>Week 2 - Defiance over Mediocre at Best 5-1 https://gamerdvr.com/gamer/rage-more-nerd/video/76189660</t>
  </si>
  <si>
    <t>Week 2 - Defiance over Mediocre at Best 5-3 https://gamerdvr.com/gamer/rage-more-nerd/video/76189657</t>
  </si>
  <si>
    <t>Week 2 - Silva's Connection over On the Fence 5-2 https://gamerdvr.com/gamer/doc-status/video/75880296</t>
  </si>
  <si>
    <t>Week 2 - Silva's Connection over On the Fence 5-2 https://gamerdvr.com/gamer/doc-status/video/75880252</t>
  </si>
  <si>
    <t>Week 2 - 9th Wonders over Junkyard Dogs 5-3 https://gamerdvr.com/gamer/x-zeg-x/video/75333158</t>
  </si>
  <si>
    <t>Week 2 - 9th Wonders over Junkyard Dogs 5-3 https://gamerdvr.com/gamer/x-zeg-x/video/75333180</t>
  </si>
  <si>
    <t>Week 2 - Mediocre at Best over Silva's Connection 5-3 https://gamerdvr.com/gamer/rage-more-nerd/video/75336263</t>
  </si>
  <si>
    <t>Week 2 - Mediocre at Best over Silva's Connection 5-1 https://gamerdvr.com/gamer/rage-more-nerd/video/77123828</t>
  </si>
  <si>
    <t>Week 2 - Defiance over Truthless and the Truthlessettes 5-1 NO STATS</t>
  </si>
  <si>
    <t>Week 2 - Defiance over Truthless and the Truthlessettes 5-0 https://gamerdvr.com/gamer/ace-b-s1lentnd1/video/76897844</t>
  </si>
  <si>
    <t>Zeg/Nkot</t>
  </si>
  <si>
    <t>Week 2 - Monstars over On the Fence 5-2 https://gamerdvr.com/gamer/imshad/video/75284814</t>
  </si>
  <si>
    <t>Week 2 - Monstars over On the Fence 5-1 https://gamerdvr.com/gamer/imshad/video/75284892</t>
  </si>
  <si>
    <t>Week 2 - Junkyard Dogs over In Mungo We Trust 5-3 https://www.twitch.tv/videos/432305079</t>
  </si>
  <si>
    <t>Week 2 - In Mungo We Trust over Junkyard Dogs 5-2 https://www.twitch.tv/videos/432305079</t>
  </si>
  <si>
    <t>Week 2 - Hypest over 9th Wonders 5-1 https://clips.twitch.tv/PoisedOpenVultureOpieOP</t>
  </si>
  <si>
    <t>Week 2 - Hypest over 9th Wonders 5-1 https://www.youtube.com/watch?v=iwHPew_sQL0&amp;feature=youtu.be</t>
  </si>
  <si>
    <t>Week 2 - Failure to Launch over Truthless and the Truthlessettes 5-2 https://www.twitch.tv/videos/432330606</t>
  </si>
  <si>
    <t>Week 2 - Truthless and the Truthlessettes over Failure to Launch 5-2 https://www.twitch.tv/videos/432330606</t>
  </si>
  <si>
    <t>Week 3 - Mediocre at Best over Truthless and the Truthlessettes 5-1 https://gamerdvr.com/gamer/rage-more-nerd/video/75557038</t>
  </si>
  <si>
    <t>Week 3 - Mediocre at Best over Truthless and the Truthlessettes 5-0 https://gamerdvr.com/gamer/rage-more-nerd/video/75557036</t>
  </si>
  <si>
    <t>Week 3 - Failure to Launch over Defiance 5-4 https://www.twitch.tv/videos/434187674</t>
  </si>
  <si>
    <t>Week 3 - Defiance over Failure to Launch 5-2 https://www.twitch.tv/videos/434187674</t>
  </si>
  <si>
    <t>Week 3 - On the Fence over Failure to Launch 5-1 https://gamerdvr.com/gamer/priest-xyz/video/75734996</t>
  </si>
  <si>
    <t>Week 3 - Failure to Launch over On the Fence 5-4 https://gamerdvr.com/gamer/its-rainin-menz/video/75741253</t>
  </si>
  <si>
    <r>
      <rPr>
        <b/>
        <color rgb="FF000000"/>
        <sz val="18.0"/>
      </rPr>
      <t xml:space="preserve">Weel 3 - Junyard Dogs over Mediocre at Best 5-3 </t>
    </r>
    <r>
      <rPr>
        <b/>
        <color rgb="FF1155CC"/>
        <sz val="18.0"/>
        <u/>
      </rPr>
      <t>https://gamerdvr.com/gamer/rage-more-nerd/video/76409267</t>
    </r>
  </si>
  <si>
    <r>
      <rPr>
        <b/>
        <color rgb="FF000000"/>
        <sz val="18.0"/>
      </rPr>
      <t xml:space="preserve">Weel 3 - Mediocre at Best over Junkyard Dogs 5-4 </t>
    </r>
    <r>
      <rPr>
        <b/>
        <color rgb="FF1155CC"/>
        <sz val="18.0"/>
        <u/>
      </rPr>
      <t>https://gamerdvr.com/gamer/rage-more-nerd/video/76409264</t>
    </r>
  </si>
  <si>
    <t>Week 3 - Defiance over Hypest 5-3 https://gamerdvr.com/gamer/thumpinghawk/video/75642336</t>
  </si>
  <si>
    <t>Week 3 - Hypest over Defiance 5-0 https://www.twitch.tv/videos/435075946?t=01h28m01s</t>
  </si>
  <si>
    <t>Week 3 - Monstars over 9th Wonders 5-1 https://gamerdvr.com/gamer/imshad/video/75684548</t>
  </si>
  <si>
    <t>Week 3 - Monstars over 9th Wonders 5-1 https://gamerdvr.com/gamer/imshad/video/75684573</t>
  </si>
  <si>
    <t>Week 3 - Silva's Connection over Junkyard Dogs 5-3 https://gamerdvr.com/gamer/doc-status/video/75880260</t>
  </si>
  <si>
    <t>Week 3 - Junkyard Dogs over Silva's Connection 5-4 https://gamerdvr.com/gamer/poisonxpoptart/video/75883358</t>
  </si>
  <si>
    <t>Week 3 - Truthless and the Truthlessettes over In Mungo We Trust 5-4 https://gamerdvr.com/gamer/truthless-ihero/video/75685873</t>
  </si>
  <si>
    <t>Week 3 - In Mungo We Trust over Truthless and the Truthlessettes 5-4 https://gamerdvr.com/gamer/atonemilitant/video/75801316</t>
  </si>
  <si>
    <r>
      <rPr>
        <b/>
        <sz val="18.0"/>
      </rPr>
      <t xml:space="preserve">Week 3 - In Mungo We Trust over On the Fence 5-0 </t>
    </r>
    <r>
      <rPr>
        <b/>
        <sz val="18.0"/>
        <u/>
      </rPr>
      <t>https://www.twitch.tv/videos/441059403</t>
    </r>
  </si>
  <si>
    <t>Week 3 - In Mungo We Trust over On the Fence NO STATS</t>
  </si>
  <si>
    <t>Week 3 - Monstars over Silva's Connection 5-0 https://clips.twitch.tv/GoldenBrainyPanShadyLulu</t>
  </si>
  <si>
    <t>Week 3 - Monstars over Silva's Connection 5-0 https://clips.twitch.tv/FaithfulInspiringStapleKeepo</t>
  </si>
  <si>
    <t>Week 4 - Mediocre at Best over On the Fence 5-1 https://gamerdvr.com/gamer/rage-more-nerd/video/75882827</t>
  </si>
  <si>
    <t>Week 4 - Mediocre at Best over On the Fence 5-3 https://gamerdvr.com/gamer/rage-more-nerd/video/75874171</t>
  </si>
  <si>
    <t>Week 4 - Defiance over Junkyard Dogs 5-1 https://gamerdvr.com/gamer/trespa5s/video/75883783</t>
  </si>
  <si>
    <t>Week 4 - Junkyard Dogs over Defiance 5-4 https://gamerdvr.com/gamer/poisonxpoptart/video/75883561 https://gamerdvr.com/gamer/nkotb4evah/video/76036046</t>
  </si>
  <si>
    <t>Week 4 - Failure to Launch over Hypest 5-3 https://gamerdvr.com/gamer/priest-xyz/video/75882350</t>
  </si>
  <si>
    <t>Week 4 - Failure to Launch over Hypest 5-0 https://gamerdvr.com/gamer/priest-xyz/video/75882406</t>
  </si>
  <si>
    <t>Week 4 - Mediocre at Best over 9th Wonders 5-0 https://gamerdvr.com/gamer/rage-more-nerd/video/76036554</t>
  </si>
  <si>
    <t>Week 4 - 9th Wonders over Mediocre at Best 5-1 https://gamerdvr.com/gamer/x-zeg-x/video/75917137</t>
  </si>
  <si>
    <r>
      <rPr>
        <b/>
        <sz val="18.0"/>
      </rPr>
      <t xml:space="preserve">Week 4 - Hypest over Silva's Connection 5-0 </t>
    </r>
    <r>
      <rPr>
        <b/>
        <sz val="18.0"/>
        <u/>
      </rPr>
      <t>https://www.twitch.tv/videos/441512812</t>
    </r>
  </si>
  <si>
    <t>Week 4 - Hypest over Silva's Connection 5-1 https://www.twitch.tv/videos/441512812</t>
  </si>
  <si>
    <t>Week 4 - Monstars over Truthless and the Truthlessettes 5-0 https://www.twitch.tv/videos/438280173</t>
  </si>
  <si>
    <t>Week 4 - Monstars over Truthless and the Truthlessettes 5-1 https://www.twitch.tv/videos/438280173</t>
  </si>
  <si>
    <t>Week 4 - Failure to Launch over Junkyard Dogs 5-1 https://gamerdvr.com/gamer/priest-xyz/video/76004569</t>
  </si>
  <si>
    <t>Week 4 - Junkyard Dogs vs Failure to Launch No Stats</t>
  </si>
  <si>
    <t>Week 4 - Monstars over In Mungo We Trust 5-3 https://gamerdvr.com/gamer/imshad/video/75854633</t>
  </si>
  <si>
    <t>Week 4 - Monstars over In Mungo We Trust 5-1 https://www.twitch.tv/videos/438238489</t>
  </si>
  <si>
    <t>Week 4 - 9th Wonders over Truthless and the Truthlessettes 5-0 https://gamerdvr.com/gamer/x-zeg-x/video/75928840</t>
  </si>
  <si>
    <t>Week 4 - Truthless and the Truthlessettes over 9th Wonders 5-3 https://gamerdvr.com/gamer/truthless-ihero/video/76035966</t>
  </si>
  <si>
    <r>
      <rPr>
        <b/>
        <color rgb="FF000000"/>
        <sz val="18.0"/>
      </rPr>
      <t xml:space="preserve">Week 5 - Hypest over Mediocre at Best 5-1 </t>
    </r>
    <r>
      <rPr>
        <b/>
        <color rgb="FF1155CC"/>
        <sz val="18.0"/>
        <u/>
      </rPr>
      <t>https://gamerdvr.com/gamer/rage-more-nerd/video/76444712</t>
    </r>
  </si>
  <si>
    <r>
      <rPr>
        <b/>
        <color rgb="FF000000"/>
        <sz val="18.0"/>
      </rPr>
      <t xml:space="preserve">Week 5 - Hypest over Mediocre at Best 5-2 </t>
    </r>
    <r>
      <rPr>
        <b/>
        <color rgb="FF1155CC"/>
        <sz val="18.0"/>
        <u/>
      </rPr>
      <t>https://gamerdvr.com/gamer/rage-more-nerd/video/76444711</t>
    </r>
  </si>
  <si>
    <t>Week 5 - Defiance over On the Fence 5-0 NO STATS</t>
  </si>
  <si>
    <t>Week 5 - Defiance over On the Fence 5-3 NO STATS</t>
  </si>
  <si>
    <t>Week 5 - Hypest over Truthless and the Truthlessettes 5-0</t>
  </si>
  <si>
    <t>Week 5 - Hypest over Truthless and the Truthlessettes 5-1</t>
  </si>
  <si>
    <t>Week 5 - 9th Wonders over Failure to Launch 5-3 https://gamerdvr.com/gamer/x-zeg-x/video/76188211</t>
  </si>
  <si>
    <t>Week 5 - 9th Wonders over Failure to Launch 5-4 https://gamerdvr.com/gamer/x-zeg-x/video/76188290</t>
  </si>
  <si>
    <t>Week 5 - On the Fence over Junkyard Dogs 5-1 https://gamerdvr.com/gamer/its-rainin-menz/video/76676542</t>
  </si>
  <si>
    <t>Week 5 - Junkyard Dogs over On the Fence 5-4 https://gamerdvr.com/gamer/its-rainin-menz/video/76678097</t>
  </si>
  <si>
    <r>
      <rPr>
        <b/>
        <sz val="18.0"/>
      </rPr>
      <t xml:space="preserve">Week 5 - 9th Wonders over Silva's Connection 5-1 </t>
    </r>
    <r>
      <rPr>
        <b/>
        <sz val="18.0"/>
        <u/>
      </rPr>
      <t>https://gamerdvr.com/gamer/x-zeg-x/video/76186339</t>
    </r>
  </si>
  <si>
    <r>
      <rPr>
        <b/>
        <sz val="18.0"/>
      </rPr>
      <t xml:space="preserve">Week 5 - Silva's Connection over 9th Wonders 5-1 </t>
    </r>
    <r>
      <rPr>
        <b/>
        <sz val="18.0"/>
        <u/>
      </rPr>
      <t>https://gamerdvr.com/gamer/el-diablo-x230x/video/76208500</t>
    </r>
  </si>
  <si>
    <t>Week 5 - In Mungo We Trust vs Failure to Launch No Stats</t>
  </si>
  <si>
    <t>Week 5 - Junkyard Dogs vs Truthless and the Truthlessettes No Stats</t>
  </si>
  <si>
    <t>Week 5 - Defiance over Monstars 5-2 https://clips.twitch.tv/SpeedyGleamingHedgehogImGlitch</t>
  </si>
  <si>
    <t>Week 5 - Defiance over Monstars 5-3 https://clips.twitch.tv/GlamorousGiftedTarsierMVGame</t>
  </si>
  <si>
    <r>
      <rPr>
        <b/>
        <sz val="18.0"/>
      </rPr>
      <t xml:space="preserve">Week 5 - Silva's Connection over In Mungo We Trust 5-2 </t>
    </r>
    <r>
      <rPr>
        <b/>
        <sz val="18.0"/>
        <u/>
      </rPr>
      <t>https://gamerdvr.com/gamer/doc-status/video/76280514</t>
    </r>
  </si>
  <si>
    <r>
      <rPr>
        <b/>
        <sz val="18.0"/>
      </rPr>
      <t xml:space="preserve">Week 5 - Silva's Connection over In Mungo We Trust 5-4 </t>
    </r>
    <r>
      <rPr>
        <b/>
        <sz val="18.0"/>
        <u/>
      </rPr>
      <t>https://gamerdvr.com/gamer/doc-status/video/76280534</t>
    </r>
  </si>
  <si>
    <t>Week 6 - Failure to Launch over Silva's Connection 5-2 https://gamerdvr.com/gamer/priest-xyz/video/77072131</t>
  </si>
  <si>
    <t>Week 6 - Failure to Launch over Silva's Connection 5-3 https://gamerdvr.com/gamer/priest-xyz/video/77072130</t>
  </si>
  <si>
    <t>Week 6 - Hypest vs On the Fence 5-0 https://www.twitch.tv/videos/444309344</t>
  </si>
  <si>
    <t>Week 6 - Hypest vs On the Fence 5-3 https://www.twitch.tv/videos/444309344</t>
  </si>
  <si>
    <t>Week 6 - Monstars over Mediocre at Best 5-3 https://clips.twitch.tv/PlayfulOilyFiddleheadsDoubleRainbow</t>
  </si>
  <si>
    <t>Week 6 - Monstars over Mediocre at Best 5-4 https://clips.twitch.tv/ProtectiveObservantToothSquadGoals</t>
  </si>
  <si>
    <t>Week 6 - Junkyard Dogs over Hypest 5-4 https://www.twitch.tv/videos/446990184</t>
  </si>
  <si>
    <t>Week 6 - Hypest over Junkyard Dogs 5-1 https://www.twitch.tv/videos/446990184</t>
  </si>
  <si>
    <t>Week 6 - Truthless and the Truthlessettes vs On the Fence No Stats</t>
  </si>
  <si>
    <t>Week 6 - Monstars over Failure to Launch 5-0 https://gamerdvr.com/gamer/imshad/video/76770551</t>
  </si>
  <si>
    <t>Week 6 - Failure to Launch over Monstars 5-4 https://gamerdvr.com/gamer/priest-xyz/video/77124795</t>
  </si>
  <si>
    <r>
      <rPr>
        <b/>
        <sz val="18.0"/>
      </rPr>
      <t xml:space="preserve">Week 6 - Defiance over Silva's Connection 5-2 </t>
    </r>
    <r>
      <rPr>
        <b/>
        <sz val="18.0"/>
        <u/>
      </rPr>
      <t>https://gamerdvr.com/gamer/trespa5s/video/76525257</t>
    </r>
  </si>
  <si>
    <r>
      <rPr>
        <b/>
        <sz val="18.0"/>
      </rPr>
      <t xml:space="preserve">Week 6 - Defiance over Silva's Connection 5-4 </t>
    </r>
    <r>
      <rPr>
        <b/>
        <sz val="18.0"/>
        <u/>
      </rPr>
      <t>https://gamerdvr.com/gamer/trespa5s/video/76525284</t>
    </r>
  </si>
  <si>
    <t>Week 6 - In Mungo We Trust vs 9th Wonders 5-0 NO STATS</t>
  </si>
  <si>
    <t>Week 6 - In Mungo We Trust vs 9th Wonders 5-3 NO STATS</t>
  </si>
  <si>
    <t>Week 6 - Defiance vs In Mungo We Trust No Stats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</si>
</sst>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-d"/>
    <numFmt numFmtId="166" formatCode="0.0"/>
  </numFmts>
  <fonts count="15">
    <font>
      <sz val="10.0"/>
      <color rgb="FF000000"/>
      <name val="Arial"/>
    </font>
    <font>
      <name val="Arial"/>
    </font>
    <font>
      <b/>
      <sz val="24.0"/>
      <name val="Arial"/>
    </font>
    <font/>
    <font>
      <b/>
      <name val="Arial"/>
    </font>
    <font>
      <b/>
      <sz val="18.0"/>
      <color rgb="FF000000"/>
      <name val="Arial"/>
    </font>
    <font>
      <b/>
      <color rgb="FF000000"/>
      <name val="Arial"/>
    </font>
    <font>
      <b/>
    </font>
    <font>
      <b/>
      <sz val="36.0"/>
      <name val="Arial"/>
    </font>
    <font>
      <color rgb="FFFFFFFF"/>
      <name val="Arial"/>
    </font>
    <font>
      <b/>
      <sz val="18.0"/>
      <color rgb="FF000000"/>
    </font>
    <font>
      <color rgb="FF000000"/>
    </font>
    <font>
      <b/>
      <color rgb="FF000000"/>
    </font>
    <font>
      <b/>
      <u/>
      <sz val="18.0"/>
      <color rgb="FF0000FF"/>
    </font>
    <font>
      <b/>
      <u/>
      <sz val="18.0"/>
      <color rgb="FF000000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</fills>
  <borders count="14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3" fillId="2" fontId="1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readingOrder="0" vertical="bottom"/>
    </xf>
    <xf borderId="7" fillId="5" fontId="1" numFmtId="164" xfId="0" applyAlignment="1" applyBorder="1" applyFill="1" applyFont="1" applyNumberFormat="1">
      <alignment horizontal="center" readingOrder="0" vertical="bottom"/>
    </xf>
    <xf borderId="8" fillId="0" fontId="3" numFmtId="0" xfId="0" applyBorder="1" applyFont="1"/>
    <xf borderId="9" fillId="2" fontId="4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horizontal="center" vertical="bottom"/>
    </xf>
    <xf borderId="3" fillId="6" fontId="4" numFmtId="0" xfId="0" applyAlignment="1" applyBorder="1" applyFill="1" applyFont="1">
      <alignment horizontal="center" readingOrder="0" vertical="bottom"/>
    </xf>
    <xf borderId="6" fillId="0" fontId="3" numFmtId="0" xfId="0" applyBorder="1" applyFont="1"/>
    <xf borderId="6" fillId="6" fontId="4" numFmtId="0" xfId="0" applyAlignment="1" applyBorder="1" applyFont="1">
      <alignment horizontal="center" vertical="bottom"/>
    </xf>
    <xf borderId="9" fillId="2" fontId="4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/>
    </xf>
    <xf borderId="3" fillId="0" fontId="3" numFmtId="0" xfId="0" applyBorder="1" applyFont="1"/>
    <xf borderId="3" fillId="6" fontId="4" numFmtId="0" xfId="0" applyAlignment="1" applyBorder="1" applyFont="1">
      <alignment horizontal="center" readingOrder="0" vertical="bottom"/>
    </xf>
    <xf borderId="3" fillId="7" fontId="3" numFmtId="0" xfId="0" applyAlignment="1" applyBorder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7" fontId="3" numFmtId="2" xfId="0" applyAlignment="1" applyFont="1" applyNumberFormat="1">
      <alignment horizont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center" readingOrder="0" vertical="bottom"/>
    </xf>
    <xf borderId="6" fillId="6" fontId="6" numFmtId="0" xfId="0" applyAlignment="1" applyBorder="1" applyFont="1">
      <alignment horizontal="center" vertical="bottom"/>
    </xf>
    <xf borderId="6" fillId="6" fontId="6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horizontal="center" readingOrder="0"/>
    </xf>
    <xf borderId="3" fillId="6" fontId="6" numFmtId="0" xfId="0" applyAlignment="1" applyBorder="1" applyFont="1">
      <alignment horizontal="center" readingOrder="0" vertical="bottom"/>
    </xf>
    <xf borderId="3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readingOrder="0" vertical="bottom"/>
    </xf>
    <xf borderId="3" fillId="6" fontId="4" numFmtId="0" xfId="0" applyAlignment="1" applyBorder="1" applyFont="1">
      <alignment horizontal="center" vertical="bottom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3" numFmtId="2" xfId="0" applyAlignment="1" applyBorder="1" applyFont="1" applyNumberFormat="1">
      <alignment horizontal="center" readingOrder="0"/>
    </xf>
    <xf borderId="4" fillId="6" fontId="4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7" fillId="5" fontId="4" numFmtId="164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8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0" fillId="0" fontId="4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6" fillId="6" fontId="6" numFmtId="0" xfId="0" applyAlignment="1" applyBorder="1" applyFont="1">
      <alignment horizontal="center" readingOrder="0" vertical="bottom"/>
    </xf>
    <xf borderId="9" fillId="2" fontId="4" numFmtId="0" xfId="0" applyAlignment="1" applyBorder="1" applyFont="1">
      <alignment horizontal="center" vertical="bottom"/>
    </xf>
    <xf borderId="13" fillId="5" fontId="4" numFmtId="164" xfId="0" applyAlignment="1" applyBorder="1" applyFont="1" applyNumberForma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6" fillId="2" fontId="4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10" fillId="5" fontId="4" numFmtId="164" xfId="0" applyAlignment="1" applyBorder="1" applyFont="1" applyNumberFormat="1">
      <alignment horizontal="center" readingOrder="0" vertical="bottom"/>
    </xf>
    <xf borderId="3" fillId="6" fontId="6" numFmtId="0" xfId="0" applyAlignment="1" applyBorder="1" applyFont="1">
      <alignment horizontal="center" readingOrder="0" vertical="bottom"/>
    </xf>
    <xf borderId="13" fillId="0" fontId="3" numFmtId="0" xfId="0" applyBorder="1" applyFont="1"/>
    <xf borderId="0" fillId="0" fontId="4" numFmtId="0" xfId="0" applyAlignment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center" readingOrder="0"/>
    </xf>
    <xf borderId="0" fillId="9" fontId="8" numFmtId="0" xfId="0" applyAlignment="1" applyFill="1" applyFont="1">
      <alignment horizontal="center" readingOrder="0" vertical="bottom"/>
    </xf>
    <xf borderId="0" fillId="10" fontId="9" numFmtId="0" xfId="0" applyAlignment="1" applyFill="1" applyFont="1">
      <alignment horizontal="center" vertical="bottom"/>
    </xf>
    <xf borderId="0" fillId="10" fontId="9" numFmtId="1" xfId="0" applyAlignment="1" applyFont="1" applyNumberFormat="1">
      <alignment horizontal="center" vertical="bottom"/>
    </xf>
    <xf borderId="0" fillId="8" fontId="9" numFmtId="0" xfId="0" applyAlignment="1" applyFont="1">
      <alignment horizontal="center" vertical="bottom"/>
    </xf>
    <xf borderId="0" fillId="8" fontId="9" numFmtId="2" xfId="0" applyAlignment="1" applyFont="1" applyNumberFormat="1">
      <alignment horizontal="center" vertical="bottom"/>
    </xf>
    <xf borderId="0" fillId="11" fontId="9" numFmtId="0" xfId="0" applyAlignment="1" applyFill="1" applyFont="1">
      <alignment horizontal="center" vertical="bottom"/>
    </xf>
    <xf borderId="0" fillId="12" fontId="9" numFmtId="0" xfId="0" applyAlignment="1" applyFill="1" applyFont="1">
      <alignment horizontal="center" vertical="bottom"/>
    </xf>
    <xf borderId="0" fillId="12" fontId="9" numFmtId="0" xfId="0" applyAlignment="1" applyFont="1">
      <alignment horizontal="center" readingOrder="0" vertical="bottom"/>
    </xf>
    <xf borderId="0" fillId="6" fontId="1" numFmtId="0" xfId="0" applyAlignment="1" applyFont="1">
      <alignment horizontal="center" readingOrder="0" vertical="bottom"/>
    </xf>
    <xf borderId="0" fillId="13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readingOrder="0" vertical="bottom"/>
    </xf>
    <xf borderId="0" fillId="14" fontId="4" numFmtId="0" xfId="0" applyAlignment="1" applyFill="1" applyFont="1">
      <alignment horizontal="center" vertical="bottom"/>
    </xf>
    <xf borderId="0" fillId="14" fontId="1" numFmtId="0" xfId="0" applyAlignment="1" applyFont="1">
      <alignment horizontal="center" vertical="bottom"/>
    </xf>
    <xf borderId="0" fillId="14" fontId="1" numFmtId="1" xfId="0" applyAlignment="1" applyFont="1" applyNumberFormat="1">
      <alignment horizontal="center" vertical="bottom"/>
    </xf>
    <xf borderId="0" fillId="14" fontId="1" numFmtId="2" xfId="0" applyAlignment="1" applyFont="1" applyNumberFormat="1">
      <alignment horizontal="center" vertical="bottom"/>
    </xf>
    <xf borderId="0" fillId="13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15" fontId="3" numFmtId="0" xfId="0" applyFill="1" applyFont="1"/>
    <xf borderId="0" fillId="15" fontId="3" numFmtId="1" xfId="0" applyFont="1" applyNumberFormat="1"/>
    <xf borderId="0" fillId="15" fontId="3" numFmtId="2" xfId="0" applyFont="1" applyNumberFormat="1"/>
    <xf borderId="0" fillId="15" fontId="3" numFmtId="166" xfId="0" applyFont="1" applyNumberFormat="1"/>
    <xf borderId="0" fillId="0" fontId="3" numFmtId="1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16" fontId="10" numFmtId="0" xfId="0" applyAlignment="1" applyFill="1" applyFont="1">
      <alignment horizontal="left" readingOrder="0"/>
    </xf>
    <xf borderId="0" fillId="10" fontId="11" numFmtId="0" xfId="0" applyAlignment="1" applyFont="1">
      <alignment horizontal="center" readingOrder="0" vertical="bottom"/>
    </xf>
    <xf borderId="0" fillId="8" fontId="12" numFmtId="0" xfId="0" applyAlignment="1" applyFont="1">
      <alignment horizontal="center" readingOrder="0" vertical="bottom"/>
    </xf>
    <xf borderId="0" fillId="11" fontId="12" numFmtId="0" xfId="0" applyAlignment="1" applyFont="1">
      <alignment horizontal="center" readingOrder="0" vertical="bottom"/>
    </xf>
    <xf borderId="0" fillId="12" fontId="12" numFmtId="0" xfId="0" applyAlignment="1" applyFont="1">
      <alignment horizontal="center" readingOrder="0"/>
    </xf>
    <xf borderId="0" fillId="6" fontId="1" numFmtId="0" xfId="0" applyAlignment="1" applyFon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14" fontId="1" numFmtId="0" xfId="0" applyAlignment="1" applyFont="1">
      <alignment horizontal="center" vertical="bottom"/>
    </xf>
    <xf borderId="0" fillId="14" fontId="1" numFmtId="166" xfId="0" applyAlignment="1" applyFont="1" applyNumberFormat="1">
      <alignment horizontal="center" vertical="bottom"/>
    </xf>
    <xf borderId="0" fillId="16" fontId="13" numFmtId="0" xfId="0" applyAlignment="1" applyFont="1">
      <alignment horizontal="left" readingOrder="0"/>
    </xf>
    <xf borderId="0" fillId="13" fontId="1" numFmtId="0" xfId="0" applyAlignment="1" applyFont="1">
      <alignment horizontal="center" vertical="bottom"/>
    </xf>
    <xf borderId="0" fillId="16" fontId="14" numFmtId="0" xfId="0" applyAlignment="1" applyFont="1">
      <alignment horizontal="left" readingOrder="0"/>
    </xf>
    <xf borderId="0" fillId="1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gamerdvr.com/gamer/doc-status/video/76280534" TargetMode="External"/><Relationship Id="rId22" Type="http://schemas.openxmlformats.org/officeDocument/2006/relationships/hyperlink" Target="https://www.twitch.tv/videos/444309344" TargetMode="External"/><Relationship Id="rId21" Type="http://schemas.openxmlformats.org/officeDocument/2006/relationships/hyperlink" Target="https://www.twitch.tv/videos/444309344" TargetMode="External"/><Relationship Id="rId24" Type="http://schemas.openxmlformats.org/officeDocument/2006/relationships/hyperlink" Target="https://gamerdvr.com/gamer/trespa5s/video/76525284" TargetMode="External"/><Relationship Id="rId23" Type="http://schemas.openxmlformats.org/officeDocument/2006/relationships/hyperlink" Target="https://gamerdvr.com/gamer/trespa5s/video/76525257" TargetMode="External"/><Relationship Id="rId1" Type="http://schemas.openxmlformats.org/officeDocument/2006/relationships/hyperlink" Target="https://gamerdvr.com/gamer/doc-status/video/75026409" TargetMode="External"/><Relationship Id="rId2" Type="http://schemas.openxmlformats.org/officeDocument/2006/relationships/hyperlink" Target="https://gamerdvr.com/gamer/rage-more-nerd/video/76557279" TargetMode="External"/><Relationship Id="rId3" Type="http://schemas.openxmlformats.org/officeDocument/2006/relationships/hyperlink" Target="https://gamerdvr.com/gamer/rage-more-nerd/video/76557282" TargetMode="External"/><Relationship Id="rId4" Type="http://schemas.openxmlformats.org/officeDocument/2006/relationships/hyperlink" Target="https://gamerdvr.com/gamer/rage-more-nerd/video/75734801" TargetMode="External"/><Relationship Id="rId9" Type="http://schemas.openxmlformats.org/officeDocument/2006/relationships/hyperlink" Target="https://gamerdvr.com/gamer/atonemilitant/video/75801316" TargetMode="External"/><Relationship Id="rId25" Type="http://schemas.openxmlformats.org/officeDocument/2006/relationships/drawing" Target="../drawings/drawing13.xml"/><Relationship Id="rId5" Type="http://schemas.openxmlformats.org/officeDocument/2006/relationships/hyperlink" Target="https://gamerdvr.com/gamer/rage-more-nerd/video/76189660" TargetMode="External"/><Relationship Id="rId6" Type="http://schemas.openxmlformats.org/officeDocument/2006/relationships/hyperlink" Target="https://gamerdvr.com/gamer/rage-more-nerd/video/76189657" TargetMode="External"/><Relationship Id="rId7" Type="http://schemas.openxmlformats.org/officeDocument/2006/relationships/hyperlink" Target="https://gamerdvr.com/gamer/rage-more-nerd/video/76409267" TargetMode="External"/><Relationship Id="rId8" Type="http://schemas.openxmlformats.org/officeDocument/2006/relationships/hyperlink" Target="https://gamerdvr.com/gamer/rage-more-nerd/video/76409264" TargetMode="External"/><Relationship Id="rId11" Type="http://schemas.openxmlformats.org/officeDocument/2006/relationships/hyperlink" Target="https://www.twitch.tv/videos/441512812" TargetMode="External"/><Relationship Id="rId10" Type="http://schemas.openxmlformats.org/officeDocument/2006/relationships/hyperlink" Target="https://www.twitch.tv/videos/441059403" TargetMode="External"/><Relationship Id="rId13" Type="http://schemas.openxmlformats.org/officeDocument/2006/relationships/hyperlink" Target="https://gamerdvr.com/gamer/rage-more-nerd/video/76444712" TargetMode="External"/><Relationship Id="rId12" Type="http://schemas.openxmlformats.org/officeDocument/2006/relationships/hyperlink" Target="https://www.twitch.tv/videos/441512812" TargetMode="External"/><Relationship Id="rId15" Type="http://schemas.openxmlformats.org/officeDocument/2006/relationships/hyperlink" Target="https://gamerdvr.com/gamer/x-zeg-x/video/76188211" TargetMode="External"/><Relationship Id="rId14" Type="http://schemas.openxmlformats.org/officeDocument/2006/relationships/hyperlink" Target="https://gamerdvr.com/gamer/rage-more-nerd/video/76444711" TargetMode="External"/><Relationship Id="rId17" Type="http://schemas.openxmlformats.org/officeDocument/2006/relationships/hyperlink" Target="https://gamerdvr.com/gamer/x-zeg-x/video/76186339" TargetMode="External"/><Relationship Id="rId16" Type="http://schemas.openxmlformats.org/officeDocument/2006/relationships/hyperlink" Target="https://gamerdvr.com/gamer/x-zeg-x/video/76188290" TargetMode="External"/><Relationship Id="rId19" Type="http://schemas.openxmlformats.org/officeDocument/2006/relationships/hyperlink" Target="https://gamerdvr.com/gamer/doc-status/video/76280514" TargetMode="External"/><Relationship Id="rId18" Type="http://schemas.openxmlformats.org/officeDocument/2006/relationships/hyperlink" Target="https://gamerdvr.com/gamer/el-diablo-x230x/video/76208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6.38"/>
    <col customWidth="1" min="3" max="3" width="12.75"/>
    <col customWidth="1" min="4" max="4" width="20.13"/>
    <col customWidth="1" min="5" max="5" width="18.75"/>
    <col customWidth="1" min="6" max="6" width="21.13"/>
    <col customWidth="1" min="7" max="7" width="19.13"/>
    <col customWidth="1" min="8" max="8" width="19.5"/>
    <col customWidth="1" min="9" max="9" width="16.63"/>
    <col customWidth="1" min="10" max="10" width="21.5"/>
    <col customWidth="1" min="11" max="11" width="17.75"/>
    <col customWidth="1" min="12" max="12" width="16.88"/>
    <col customWidth="1" min="13" max="13" width="14.63"/>
    <col customWidth="1" min="14" max="14" width="13.5"/>
    <col customWidth="1" min="15" max="15" width="12.88"/>
    <col customWidth="1" min="16" max="16" width="11.13"/>
    <col customWidth="1" min="17" max="17" width="24.13"/>
    <col customWidth="1" min="18" max="18" width="4.88"/>
    <col customWidth="1" min="19" max="19" width="4.63"/>
    <col customWidth="1" min="20" max="20" width="6.13"/>
    <col customWidth="1" min="21" max="21" width="5.25"/>
    <col customWidth="1" min="22" max="22" width="8.75"/>
    <col customWidth="1" min="23" max="24" width="6.88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5" t="s">
        <v>3</v>
      </c>
      <c r="G1" s="3"/>
      <c r="H1" s="4" t="s">
        <v>4</v>
      </c>
      <c r="I1" s="3"/>
      <c r="J1" s="5" t="s">
        <v>5</v>
      </c>
      <c r="K1" s="3"/>
      <c r="L1" s="4" t="s">
        <v>6</v>
      </c>
      <c r="M1" s="3"/>
      <c r="N1" s="2" t="s">
        <v>7</v>
      </c>
      <c r="O1" s="3"/>
      <c r="P1" s="6"/>
      <c r="Q1" s="7"/>
      <c r="R1" s="7"/>
      <c r="S1" s="7"/>
      <c r="T1" s="7"/>
      <c r="U1" s="7"/>
      <c r="V1" s="7"/>
      <c r="W1" s="7"/>
      <c r="X1" s="7"/>
    </row>
    <row r="2">
      <c r="A2" s="8"/>
      <c r="B2" s="9"/>
      <c r="C2" s="10"/>
      <c r="D2" s="9"/>
      <c r="E2" s="10"/>
      <c r="F2" s="9"/>
      <c r="G2" s="10"/>
      <c r="H2" s="9"/>
      <c r="I2" s="10"/>
      <c r="J2" s="9"/>
      <c r="K2" s="10"/>
      <c r="L2" s="9"/>
      <c r="M2" s="10"/>
      <c r="N2" s="9"/>
      <c r="O2" s="10"/>
      <c r="P2" s="11"/>
      <c r="Q2" s="7"/>
      <c r="R2" s="7"/>
      <c r="S2" s="7"/>
      <c r="T2" s="7"/>
      <c r="U2" s="7"/>
      <c r="V2" s="7"/>
      <c r="W2" s="7"/>
      <c r="X2" s="7"/>
    </row>
    <row r="3">
      <c r="A3" s="12" t="s">
        <v>8</v>
      </c>
      <c r="B3" s="13">
        <v>43604.0</v>
      </c>
      <c r="C3" s="14"/>
      <c r="D3" s="13">
        <v>43605.0</v>
      </c>
      <c r="E3" s="14"/>
      <c r="F3" s="13">
        <v>43606.0</v>
      </c>
      <c r="G3" s="14"/>
      <c r="H3" s="13">
        <v>43607.0</v>
      </c>
      <c r="I3" s="14"/>
      <c r="J3" s="13">
        <v>43608.0</v>
      </c>
      <c r="K3" s="14"/>
      <c r="L3" s="13">
        <v>43609.0</v>
      </c>
      <c r="M3" s="14"/>
      <c r="N3" s="13">
        <v>43610.0</v>
      </c>
      <c r="O3" s="14"/>
      <c r="P3" s="15" t="s">
        <v>8</v>
      </c>
      <c r="Q3" s="7"/>
      <c r="R3" s="7"/>
      <c r="S3" s="7"/>
      <c r="T3" s="7"/>
      <c r="U3" s="7"/>
      <c r="V3" s="7"/>
      <c r="W3" s="7"/>
      <c r="X3" s="7"/>
    </row>
    <row r="4">
      <c r="A4" s="16" t="s">
        <v>9</v>
      </c>
      <c r="B4" s="17"/>
      <c r="C4" s="18"/>
      <c r="D4" s="17"/>
      <c r="E4" s="19"/>
      <c r="F4" s="17"/>
      <c r="G4" s="19"/>
      <c r="H4" s="17" t="s">
        <v>10</v>
      </c>
      <c r="I4" s="19"/>
      <c r="J4" s="17"/>
      <c r="K4" s="19"/>
      <c r="L4" s="17"/>
      <c r="M4" s="19"/>
      <c r="N4" s="17"/>
      <c r="O4" s="19"/>
      <c r="P4" s="20" t="s">
        <v>9</v>
      </c>
      <c r="Q4" s="21" t="s">
        <v>11</v>
      </c>
      <c r="R4" s="21" t="s">
        <v>12</v>
      </c>
      <c r="S4" s="21" t="s">
        <v>13</v>
      </c>
      <c r="T4" s="21" t="s">
        <v>14</v>
      </c>
      <c r="U4" s="21" t="s">
        <v>15</v>
      </c>
      <c r="V4" s="21" t="s">
        <v>16</v>
      </c>
      <c r="W4" s="21" t="s">
        <v>17</v>
      </c>
      <c r="X4" s="21" t="s">
        <v>18</v>
      </c>
    </row>
    <row r="5">
      <c r="A5" s="16" t="s">
        <v>9</v>
      </c>
      <c r="B5" s="22"/>
      <c r="C5" s="18"/>
      <c r="D5" s="23"/>
      <c r="E5" s="19"/>
      <c r="F5" s="23"/>
      <c r="G5" s="19"/>
      <c r="H5" s="23" t="s">
        <v>19</v>
      </c>
      <c r="I5" s="19"/>
      <c r="J5" s="23"/>
      <c r="K5" s="19"/>
      <c r="L5" s="23"/>
      <c r="M5" s="19"/>
      <c r="N5" s="23"/>
      <c r="O5" s="19"/>
      <c r="P5" s="20" t="s">
        <v>9</v>
      </c>
      <c r="Q5" s="24" t="s">
        <v>20</v>
      </c>
      <c r="R5" s="25" t="s">
        <v>21</v>
      </c>
      <c r="S5" s="26">
        <v>16.0</v>
      </c>
      <c r="T5" s="26">
        <v>4.0</v>
      </c>
      <c r="U5" s="26">
        <v>90.0</v>
      </c>
      <c r="V5" s="26">
        <v>44.0</v>
      </c>
      <c r="W5" s="27">
        <f t="shared" ref="W5:W15" si="1">SUM(U5/(U5+V5))</f>
        <v>0.671641791</v>
      </c>
      <c r="X5" s="27">
        <f t="shared" ref="X5:X15" si="2">S5/(S5+T5)</f>
        <v>0.8</v>
      </c>
    </row>
    <row r="6">
      <c r="A6" s="16" t="s">
        <v>22</v>
      </c>
      <c r="B6" s="28" t="s">
        <v>23</v>
      </c>
      <c r="C6" s="18"/>
      <c r="D6" s="29"/>
      <c r="E6" s="30"/>
      <c r="F6" s="29" t="s">
        <v>24</v>
      </c>
      <c r="G6" s="30"/>
      <c r="H6" s="29" t="s">
        <v>25</v>
      </c>
      <c r="I6" s="30"/>
      <c r="J6" s="29" t="s">
        <v>26</v>
      </c>
      <c r="K6" s="31" t="s">
        <v>27</v>
      </c>
      <c r="L6" s="29"/>
      <c r="M6" s="30"/>
      <c r="N6" s="29"/>
      <c r="O6" s="30"/>
      <c r="P6" s="20" t="s">
        <v>22</v>
      </c>
      <c r="Q6" s="32" t="s">
        <v>28</v>
      </c>
      <c r="R6" s="33" t="s">
        <v>29</v>
      </c>
      <c r="S6" s="34">
        <v>15.0</v>
      </c>
      <c r="T6" s="34">
        <v>5.0</v>
      </c>
      <c r="U6" s="34">
        <v>87.0</v>
      </c>
      <c r="V6" s="34">
        <v>55.0</v>
      </c>
      <c r="W6" s="35">
        <f t="shared" si="1"/>
        <v>0.6126760563</v>
      </c>
      <c r="X6" s="35">
        <f t="shared" si="2"/>
        <v>0.75</v>
      </c>
    </row>
    <row r="7">
      <c r="A7" s="16" t="s">
        <v>22</v>
      </c>
      <c r="B7" s="22"/>
      <c r="C7" s="18"/>
      <c r="D7" s="36"/>
      <c r="E7" s="30"/>
      <c r="F7" s="36" t="s">
        <v>30</v>
      </c>
      <c r="G7" s="30"/>
      <c r="H7" s="36" t="s">
        <v>31</v>
      </c>
      <c r="I7" s="30"/>
      <c r="J7" s="36" t="s">
        <v>32</v>
      </c>
      <c r="K7" s="31" t="s">
        <v>33</v>
      </c>
      <c r="L7" s="36"/>
      <c r="M7" s="30"/>
      <c r="N7" s="36"/>
      <c r="O7" s="30"/>
      <c r="P7" s="16" t="s">
        <v>22</v>
      </c>
      <c r="Q7" s="24" t="s">
        <v>34</v>
      </c>
      <c r="R7" s="25" t="s">
        <v>35</v>
      </c>
      <c r="S7" s="26">
        <v>13.0</v>
      </c>
      <c r="T7" s="26">
        <v>7.0</v>
      </c>
      <c r="U7" s="26">
        <v>84.0</v>
      </c>
      <c r="V7" s="26">
        <v>47.0</v>
      </c>
      <c r="W7" s="27">
        <f t="shared" si="1"/>
        <v>0.641221374</v>
      </c>
      <c r="X7" s="27">
        <f t="shared" si="2"/>
        <v>0.65</v>
      </c>
    </row>
    <row r="8">
      <c r="A8" s="16" t="s">
        <v>36</v>
      </c>
      <c r="B8" s="22"/>
      <c r="C8" s="18"/>
      <c r="D8" s="37"/>
      <c r="E8" s="31"/>
      <c r="F8" s="37"/>
      <c r="G8" s="31"/>
      <c r="H8" s="38" t="s">
        <v>37</v>
      </c>
      <c r="I8" s="31" t="s">
        <v>38</v>
      </c>
      <c r="J8" s="38" t="s">
        <v>39</v>
      </c>
      <c r="K8" s="31"/>
      <c r="L8" s="37"/>
      <c r="M8" s="31"/>
      <c r="N8" s="37"/>
      <c r="O8" s="31"/>
      <c r="P8" s="20" t="s">
        <v>36</v>
      </c>
      <c r="Q8" s="32" t="s">
        <v>40</v>
      </c>
      <c r="R8" s="33" t="s">
        <v>41</v>
      </c>
      <c r="S8" s="34">
        <v>12.0</v>
      </c>
      <c r="T8" s="34">
        <v>8.0</v>
      </c>
      <c r="U8" s="34">
        <v>71.0</v>
      </c>
      <c r="V8" s="34">
        <v>65.0</v>
      </c>
      <c r="W8" s="35">
        <f t="shared" si="1"/>
        <v>0.5220588235</v>
      </c>
      <c r="X8" s="35">
        <f t="shared" si="2"/>
        <v>0.6</v>
      </c>
    </row>
    <row r="9">
      <c r="A9" s="16" t="s">
        <v>36</v>
      </c>
      <c r="B9" s="22"/>
      <c r="C9" s="18"/>
      <c r="D9" s="36"/>
      <c r="E9" s="30"/>
      <c r="F9" s="36"/>
      <c r="G9" s="30"/>
      <c r="H9" s="38" t="s">
        <v>37</v>
      </c>
      <c r="I9" s="31" t="s">
        <v>42</v>
      </c>
      <c r="J9" s="36" t="s">
        <v>43</v>
      </c>
      <c r="K9" s="30"/>
      <c r="L9" s="36"/>
      <c r="M9" s="30"/>
      <c r="N9" s="36"/>
      <c r="O9" s="30"/>
      <c r="P9" s="20" t="s">
        <v>36</v>
      </c>
      <c r="Q9" s="24" t="s">
        <v>44</v>
      </c>
      <c r="R9" s="25" t="s">
        <v>45</v>
      </c>
      <c r="S9" s="26">
        <v>11.0</v>
      </c>
      <c r="T9" s="26">
        <v>9.0</v>
      </c>
      <c r="U9" s="26">
        <v>80.0</v>
      </c>
      <c r="V9" s="26">
        <v>69.0</v>
      </c>
      <c r="W9" s="27">
        <f t="shared" si="1"/>
        <v>0.5369127517</v>
      </c>
      <c r="X9" s="27">
        <f t="shared" si="2"/>
        <v>0.55</v>
      </c>
    </row>
    <row r="10">
      <c r="A10" s="16" t="s">
        <v>46</v>
      </c>
      <c r="B10" s="17"/>
      <c r="C10" s="18"/>
      <c r="D10" s="39"/>
      <c r="E10" s="19"/>
      <c r="F10" s="39"/>
      <c r="G10" s="19"/>
      <c r="H10" s="39"/>
      <c r="I10" s="19"/>
      <c r="J10" s="39"/>
      <c r="K10" s="19"/>
      <c r="L10" s="39"/>
      <c r="M10" s="19"/>
      <c r="N10" s="39"/>
      <c r="O10" s="19"/>
      <c r="P10" s="20" t="s">
        <v>46</v>
      </c>
      <c r="Q10" s="40" t="s">
        <v>47</v>
      </c>
      <c r="R10" s="41" t="s">
        <v>48</v>
      </c>
      <c r="S10" s="42">
        <v>10.0</v>
      </c>
      <c r="T10" s="42">
        <v>10.0</v>
      </c>
      <c r="U10" s="42">
        <v>75.0</v>
      </c>
      <c r="V10" s="42">
        <v>63.0</v>
      </c>
      <c r="W10" s="43">
        <f t="shared" si="1"/>
        <v>0.5434782609</v>
      </c>
      <c r="X10" s="43">
        <f t="shared" si="2"/>
        <v>0.5</v>
      </c>
    </row>
    <row r="11">
      <c r="A11" s="16" t="s">
        <v>46</v>
      </c>
      <c r="B11" s="9"/>
      <c r="C11" s="10"/>
      <c r="D11" s="44"/>
      <c r="E11" s="45"/>
      <c r="F11" s="44"/>
      <c r="G11" s="45"/>
      <c r="H11" s="44"/>
      <c r="I11" s="45"/>
      <c r="J11" s="44"/>
      <c r="K11" s="45"/>
      <c r="L11" s="44"/>
      <c r="M11" s="45"/>
      <c r="N11" s="44"/>
      <c r="O11" s="45"/>
      <c r="P11" s="16" t="s">
        <v>46</v>
      </c>
      <c r="Q11" s="24" t="s">
        <v>49</v>
      </c>
      <c r="R11" s="25" t="s">
        <v>50</v>
      </c>
      <c r="S11" s="26">
        <v>10.0</v>
      </c>
      <c r="T11" s="26">
        <v>10.0</v>
      </c>
      <c r="U11" s="26">
        <v>63.0</v>
      </c>
      <c r="V11" s="26">
        <v>72.0</v>
      </c>
      <c r="W11" s="27">
        <f t="shared" si="1"/>
        <v>0.4666666667</v>
      </c>
      <c r="X11" s="27">
        <f t="shared" si="2"/>
        <v>0.5</v>
      </c>
    </row>
    <row r="12">
      <c r="A12" s="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11"/>
      <c r="Q12" s="32" t="s">
        <v>51</v>
      </c>
      <c r="R12" s="33" t="s">
        <v>52</v>
      </c>
      <c r="S12" s="34">
        <v>8.0</v>
      </c>
      <c r="T12" s="34">
        <v>12.0</v>
      </c>
      <c r="U12" s="34">
        <v>59.0</v>
      </c>
      <c r="V12" s="34">
        <v>77.0</v>
      </c>
      <c r="W12" s="35">
        <f t="shared" si="1"/>
        <v>0.4338235294</v>
      </c>
      <c r="X12" s="35">
        <f t="shared" si="2"/>
        <v>0.4</v>
      </c>
    </row>
    <row r="13">
      <c r="A13" s="15" t="s">
        <v>8</v>
      </c>
      <c r="B13" s="47">
        <v>43611.0</v>
      </c>
      <c r="C13" s="14"/>
      <c r="D13" s="47">
        <v>43612.0</v>
      </c>
      <c r="E13" s="14"/>
      <c r="F13" s="47">
        <v>43613.0</v>
      </c>
      <c r="G13" s="14"/>
      <c r="H13" s="47">
        <v>43614.0</v>
      </c>
      <c r="I13" s="14"/>
      <c r="J13" s="47">
        <v>43615.0</v>
      </c>
      <c r="K13" s="14"/>
      <c r="L13" s="47">
        <v>43616.0</v>
      </c>
      <c r="M13" s="14"/>
      <c r="N13" s="47">
        <v>43617.0</v>
      </c>
      <c r="O13" s="14"/>
      <c r="P13" s="15" t="s">
        <v>8</v>
      </c>
      <c r="Q13" s="24" t="s">
        <v>53</v>
      </c>
      <c r="R13" s="25" t="s">
        <v>54</v>
      </c>
      <c r="S13" s="26">
        <v>8.0</v>
      </c>
      <c r="T13" s="26">
        <v>12.0</v>
      </c>
      <c r="U13" s="26">
        <v>63.0</v>
      </c>
      <c r="V13" s="26">
        <v>84.0</v>
      </c>
      <c r="W13" s="27">
        <f t="shared" si="1"/>
        <v>0.4285714286</v>
      </c>
      <c r="X13" s="27">
        <f t="shared" si="2"/>
        <v>0.4</v>
      </c>
    </row>
    <row r="14">
      <c r="A14" s="16" t="s">
        <v>9</v>
      </c>
      <c r="B14" s="17"/>
      <c r="C14" s="19"/>
      <c r="D14" s="17"/>
      <c r="E14" s="19"/>
      <c r="F14" s="17"/>
      <c r="G14" s="19"/>
      <c r="H14" s="17" t="s">
        <v>55</v>
      </c>
      <c r="I14" s="19"/>
      <c r="J14" s="17"/>
      <c r="K14" s="19"/>
      <c r="L14" s="17"/>
      <c r="M14" s="19"/>
      <c r="N14" s="17"/>
      <c r="O14" s="19"/>
      <c r="P14" s="20" t="s">
        <v>9</v>
      </c>
      <c r="Q14" s="32" t="s">
        <v>56</v>
      </c>
      <c r="R14" s="33" t="s">
        <v>57</v>
      </c>
      <c r="S14" s="34">
        <v>5.0</v>
      </c>
      <c r="T14" s="34">
        <v>15.0</v>
      </c>
      <c r="U14" s="34">
        <v>40.0</v>
      </c>
      <c r="V14" s="34">
        <v>85.0</v>
      </c>
      <c r="W14" s="35">
        <f t="shared" si="1"/>
        <v>0.32</v>
      </c>
      <c r="X14" s="35">
        <f t="shared" si="2"/>
        <v>0.25</v>
      </c>
    </row>
    <row r="15">
      <c r="A15" s="16" t="s">
        <v>9</v>
      </c>
      <c r="B15" s="23"/>
      <c r="C15" s="19"/>
      <c r="D15" s="23"/>
      <c r="E15" s="19"/>
      <c r="F15" s="23"/>
      <c r="G15" s="19"/>
      <c r="H15" s="17" t="s">
        <v>55</v>
      </c>
      <c r="I15" s="19"/>
      <c r="J15" s="23"/>
      <c r="K15" s="19"/>
      <c r="L15" s="23"/>
      <c r="M15" s="19"/>
      <c r="N15" s="23"/>
      <c r="O15" s="19"/>
      <c r="P15" s="20" t="s">
        <v>9</v>
      </c>
      <c r="Q15" s="24" t="s">
        <v>58</v>
      </c>
      <c r="R15" s="25" t="s">
        <v>59</v>
      </c>
      <c r="S15" s="26">
        <v>2.0</v>
      </c>
      <c r="T15" s="26">
        <v>18.0</v>
      </c>
      <c r="U15" s="26">
        <v>42.0</v>
      </c>
      <c r="V15" s="26">
        <v>93.0</v>
      </c>
      <c r="W15" s="27">
        <f t="shared" si="1"/>
        <v>0.3111111111</v>
      </c>
      <c r="X15" s="27">
        <f t="shared" si="2"/>
        <v>0.1</v>
      </c>
    </row>
    <row r="16">
      <c r="A16" s="16" t="s">
        <v>22</v>
      </c>
      <c r="B16" s="29"/>
      <c r="C16" s="30"/>
      <c r="D16" s="29" t="s">
        <v>60</v>
      </c>
      <c r="E16" s="30"/>
      <c r="F16" s="29"/>
      <c r="G16" s="30"/>
      <c r="H16" s="29" t="s">
        <v>61</v>
      </c>
      <c r="I16" s="31" t="s">
        <v>62</v>
      </c>
      <c r="J16" s="29" t="s">
        <v>63</v>
      </c>
      <c r="K16" s="30"/>
      <c r="L16" s="29"/>
      <c r="M16" s="30"/>
      <c r="N16" s="29"/>
      <c r="O16" s="30"/>
      <c r="P16" s="20" t="s">
        <v>22</v>
      </c>
      <c r="Q16" s="48"/>
      <c r="R16" s="49"/>
      <c r="S16" s="50">
        <f t="shared" ref="S16:V16" si="3">SUM(S5:S15)</f>
        <v>110</v>
      </c>
      <c r="T16" s="50">
        <f t="shared" si="3"/>
        <v>110</v>
      </c>
      <c r="U16" s="50">
        <f t="shared" si="3"/>
        <v>754</v>
      </c>
      <c r="V16" s="50">
        <f t="shared" si="3"/>
        <v>754</v>
      </c>
      <c r="W16" s="35"/>
      <c r="X16" s="35"/>
    </row>
    <row r="17">
      <c r="A17" s="16" t="s">
        <v>22</v>
      </c>
      <c r="B17" s="36"/>
      <c r="C17" s="30"/>
      <c r="D17" s="36" t="s">
        <v>64</v>
      </c>
      <c r="E17" s="30"/>
      <c r="F17" s="36"/>
      <c r="G17" s="30"/>
      <c r="H17" s="29" t="s">
        <v>65</v>
      </c>
      <c r="I17" s="31" t="s">
        <v>66</v>
      </c>
      <c r="J17" s="36" t="s">
        <v>67</v>
      </c>
      <c r="K17" s="30"/>
      <c r="L17" s="36"/>
      <c r="M17" s="30"/>
      <c r="N17" s="36"/>
      <c r="O17" s="30"/>
      <c r="P17" s="20" t="s">
        <v>22</v>
      </c>
      <c r="Q17" s="51" t="s">
        <v>68</v>
      </c>
      <c r="R17" s="52"/>
      <c r="S17" s="52"/>
      <c r="T17" s="50"/>
      <c r="U17" s="52"/>
      <c r="V17" s="52"/>
      <c r="W17" s="52"/>
      <c r="X17" s="52"/>
    </row>
    <row r="18">
      <c r="A18" s="16" t="s">
        <v>36</v>
      </c>
      <c r="B18" s="37"/>
      <c r="C18" s="31"/>
      <c r="D18" s="37"/>
      <c r="E18" s="31"/>
      <c r="F18" s="38" t="s">
        <v>69</v>
      </c>
      <c r="G18" s="31"/>
      <c r="H18" s="38" t="s">
        <v>70</v>
      </c>
      <c r="I18" s="31"/>
      <c r="J18" s="38" t="s">
        <v>71</v>
      </c>
      <c r="K18" s="31" t="s">
        <v>72</v>
      </c>
      <c r="L18" s="37"/>
      <c r="M18" s="31"/>
      <c r="N18" s="37"/>
      <c r="O18" s="31"/>
      <c r="P18" s="20" t="s">
        <v>36</v>
      </c>
      <c r="Q18" s="22"/>
    </row>
    <row r="19">
      <c r="A19" s="16" t="s">
        <v>36</v>
      </c>
      <c r="B19" s="36"/>
      <c r="C19" s="30"/>
      <c r="D19" s="36"/>
      <c r="E19" s="30"/>
      <c r="F19" s="38" t="s">
        <v>69</v>
      </c>
      <c r="G19" s="30"/>
      <c r="H19" s="36" t="s">
        <v>73</v>
      </c>
      <c r="I19" s="30"/>
      <c r="J19" s="38" t="s">
        <v>71</v>
      </c>
      <c r="K19" s="31" t="s">
        <v>74</v>
      </c>
      <c r="L19" s="36"/>
      <c r="M19" s="30"/>
      <c r="N19" s="36"/>
      <c r="O19" s="30"/>
      <c r="P19" s="16" t="s">
        <v>36</v>
      </c>
      <c r="Q19" s="22"/>
    </row>
    <row r="20">
      <c r="A20" s="16" t="s">
        <v>46</v>
      </c>
      <c r="B20" s="39"/>
      <c r="C20" s="19"/>
      <c r="D20" s="39"/>
      <c r="E20" s="19"/>
      <c r="F20" s="39"/>
      <c r="G20" s="19"/>
      <c r="H20" s="39"/>
      <c r="I20" s="19"/>
      <c r="J20" s="39"/>
      <c r="K20" s="19"/>
      <c r="L20" s="39"/>
      <c r="M20" s="19"/>
      <c r="N20" s="39"/>
      <c r="O20" s="19"/>
      <c r="P20" s="16" t="s">
        <v>46</v>
      </c>
      <c r="Q20" s="22"/>
    </row>
    <row r="21">
      <c r="A21" s="16" t="s">
        <v>46</v>
      </c>
      <c r="B21" s="44"/>
      <c r="C21" s="45"/>
      <c r="D21" s="44"/>
      <c r="E21" s="45"/>
      <c r="F21" s="44"/>
      <c r="G21" s="45"/>
      <c r="H21" s="44"/>
      <c r="I21" s="45"/>
      <c r="J21" s="44"/>
      <c r="K21" s="45"/>
      <c r="L21" s="44"/>
      <c r="M21" s="45"/>
      <c r="N21" s="44"/>
      <c r="O21" s="45"/>
      <c r="P21" s="16" t="s">
        <v>46</v>
      </c>
      <c r="Q21" s="22"/>
    </row>
    <row r="22">
      <c r="A22" s="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22"/>
    </row>
    <row r="23">
      <c r="A23" s="15" t="s">
        <v>8</v>
      </c>
      <c r="B23" s="47">
        <v>43618.0</v>
      </c>
      <c r="C23" s="14"/>
      <c r="D23" s="47">
        <v>43619.0</v>
      </c>
      <c r="E23" s="14"/>
      <c r="F23" s="47">
        <v>43620.0</v>
      </c>
      <c r="G23" s="14"/>
      <c r="H23" s="47">
        <v>43621.0</v>
      </c>
      <c r="I23" s="14"/>
      <c r="J23" s="47">
        <v>43622.0</v>
      </c>
      <c r="K23" s="14"/>
      <c r="L23" s="47">
        <v>43623.0</v>
      </c>
      <c r="M23" s="14"/>
      <c r="N23" s="47">
        <v>43624.0</v>
      </c>
      <c r="O23" s="14"/>
      <c r="P23" s="12" t="s">
        <v>8</v>
      </c>
      <c r="Q23" s="22"/>
    </row>
    <row r="24">
      <c r="A24" s="16" t="s">
        <v>9</v>
      </c>
      <c r="B24" s="17"/>
      <c r="C24" s="19"/>
      <c r="D24" s="17"/>
      <c r="E24" s="19"/>
      <c r="F24" s="17"/>
      <c r="G24" s="19"/>
      <c r="H24" s="17"/>
      <c r="I24" s="19"/>
      <c r="J24" s="17" t="s">
        <v>75</v>
      </c>
      <c r="K24" s="19"/>
      <c r="L24" s="17"/>
      <c r="M24" s="19"/>
      <c r="N24" s="17"/>
      <c r="O24" s="19"/>
      <c r="P24" s="16" t="s">
        <v>9</v>
      </c>
      <c r="Q24" s="22"/>
    </row>
    <row r="25">
      <c r="A25" s="16" t="s">
        <v>9</v>
      </c>
      <c r="B25" s="23"/>
      <c r="C25" s="19"/>
      <c r="D25" s="23"/>
      <c r="E25" s="19"/>
      <c r="F25" s="23"/>
      <c r="G25" s="19"/>
      <c r="H25" s="23"/>
      <c r="I25" s="19"/>
      <c r="J25" s="17" t="s">
        <v>75</v>
      </c>
      <c r="K25" s="19"/>
      <c r="L25" s="23"/>
      <c r="M25" s="19"/>
      <c r="N25" s="23"/>
      <c r="O25" s="19"/>
      <c r="P25" s="16" t="s">
        <v>9</v>
      </c>
      <c r="Q25" s="22"/>
    </row>
    <row r="26">
      <c r="A26" s="16" t="s">
        <v>22</v>
      </c>
      <c r="B26" s="29"/>
      <c r="C26" s="30"/>
      <c r="D26" s="29" t="s">
        <v>76</v>
      </c>
      <c r="E26" s="55"/>
      <c r="F26" s="29"/>
      <c r="G26" s="30"/>
      <c r="H26" s="29" t="s">
        <v>77</v>
      </c>
      <c r="I26" s="31" t="s">
        <v>78</v>
      </c>
      <c r="J26" s="29" t="s">
        <v>79</v>
      </c>
      <c r="K26" s="31" t="s">
        <v>80</v>
      </c>
      <c r="L26" s="29" t="s">
        <v>81</v>
      </c>
      <c r="M26" s="31" t="s">
        <v>82</v>
      </c>
      <c r="N26" s="29"/>
      <c r="O26" s="30"/>
      <c r="P26" s="16" t="s">
        <v>22</v>
      </c>
      <c r="Q26" s="22"/>
    </row>
    <row r="27">
      <c r="A27" s="16" t="s">
        <v>22</v>
      </c>
      <c r="B27" s="36"/>
      <c r="C27" s="30"/>
      <c r="D27" s="29" t="s">
        <v>83</v>
      </c>
      <c r="E27" s="55"/>
      <c r="F27" s="36"/>
      <c r="G27" s="30"/>
      <c r="H27" s="36" t="s">
        <v>84</v>
      </c>
      <c r="I27" s="31" t="s">
        <v>85</v>
      </c>
      <c r="J27" s="36" t="s">
        <v>86</v>
      </c>
      <c r="K27" s="31" t="s">
        <v>87</v>
      </c>
      <c r="L27" s="36" t="s">
        <v>88</v>
      </c>
      <c r="M27" s="31" t="s">
        <v>82</v>
      </c>
      <c r="N27" s="36"/>
      <c r="O27" s="30"/>
      <c r="P27" s="16" t="s">
        <v>22</v>
      </c>
      <c r="Q27" s="22"/>
    </row>
    <row r="28">
      <c r="A28" s="16" t="s">
        <v>36</v>
      </c>
      <c r="B28" s="37"/>
      <c r="C28" s="31"/>
      <c r="D28" s="38" t="s">
        <v>89</v>
      </c>
      <c r="E28" s="31"/>
      <c r="F28" s="38" t="s">
        <v>90</v>
      </c>
      <c r="G28" s="31"/>
      <c r="H28" s="37"/>
      <c r="I28" s="31"/>
      <c r="J28" s="37"/>
      <c r="K28" s="31"/>
      <c r="L28" s="37"/>
      <c r="M28" s="31"/>
      <c r="N28" s="37"/>
      <c r="O28" s="31"/>
      <c r="P28" s="16" t="s">
        <v>36</v>
      </c>
      <c r="Q28" s="22"/>
    </row>
    <row r="29">
      <c r="A29" s="16" t="s">
        <v>36</v>
      </c>
      <c r="B29" s="36"/>
      <c r="C29" s="30"/>
      <c r="D29" s="36" t="s">
        <v>91</v>
      </c>
      <c r="E29" s="30"/>
      <c r="F29" s="36" t="s">
        <v>92</v>
      </c>
      <c r="G29" s="30"/>
      <c r="H29" s="36"/>
      <c r="I29" s="30"/>
      <c r="J29" s="36"/>
      <c r="K29" s="30"/>
      <c r="L29" s="36"/>
      <c r="M29" s="30"/>
      <c r="N29" s="36"/>
      <c r="O29" s="30"/>
      <c r="P29" s="16" t="s">
        <v>36</v>
      </c>
      <c r="Q29" s="22"/>
    </row>
    <row r="30">
      <c r="A30" s="16" t="s">
        <v>46</v>
      </c>
      <c r="B30" s="39"/>
      <c r="C30" s="19"/>
      <c r="D30" s="39"/>
      <c r="E30" s="19"/>
      <c r="F30" s="39"/>
      <c r="G30" s="19"/>
      <c r="H30" s="39"/>
      <c r="I30" s="19"/>
      <c r="J30" s="39"/>
      <c r="K30" s="19"/>
      <c r="L30" s="39"/>
      <c r="M30" s="19"/>
      <c r="N30" s="39"/>
      <c r="O30" s="19"/>
      <c r="P30" s="16" t="s">
        <v>46</v>
      </c>
      <c r="Q30" s="22"/>
      <c r="R30" s="50"/>
      <c r="S30" s="7"/>
      <c r="T30" s="7"/>
      <c r="U30" s="7"/>
      <c r="V30" s="7"/>
      <c r="W30" s="35"/>
      <c r="X30" s="35"/>
    </row>
    <row r="31">
      <c r="A31" s="16" t="s">
        <v>46</v>
      </c>
      <c r="B31" s="44"/>
      <c r="C31" s="45"/>
      <c r="D31" s="44"/>
      <c r="E31" s="45"/>
      <c r="F31" s="44"/>
      <c r="G31" s="45"/>
      <c r="H31" s="44"/>
      <c r="I31" s="45"/>
      <c r="J31" s="44"/>
      <c r="K31" s="45"/>
      <c r="L31" s="44"/>
      <c r="M31" s="45"/>
      <c r="N31" s="44"/>
      <c r="O31" s="45"/>
      <c r="P31" s="16" t="s">
        <v>46</v>
      </c>
      <c r="Q31" s="22"/>
      <c r="R31" s="50"/>
      <c r="S31" s="7"/>
      <c r="T31" s="7"/>
      <c r="U31" s="7"/>
      <c r="V31" s="7"/>
      <c r="W31" s="35"/>
      <c r="X31" s="35"/>
    </row>
    <row r="32">
      <c r="A32" s="8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/>
      <c r="Q32" s="22"/>
      <c r="R32" s="50"/>
      <c r="S32" s="7"/>
      <c r="T32" s="7"/>
      <c r="U32" s="7"/>
      <c r="V32" s="7"/>
      <c r="W32" s="35"/>
      <c r="X32" s="35"/>
    </row>
    <row r="33">
      <c r="A33" s="56" t="s">
        <v>8</v>
      </c>
      <c r="B33" s="57">
        <v>43625.0</v>
      </c>
      <c r="C33" s="14"/>
      <c r="D33" s="57">
        <v>43626.0</v>
      </c>
      <c r="E33" s="14"/>
      <c r="F33" s="57">
        <v>43627.0</v>
      </c>
      <c r="G33" s="14"/>
      <c r="H33" s="57">
        <v>43628.0</v>
      </c>
      <c r="I33" s="14"/>
      <c r="J33" s="57">
        <v>43629.0</v>
      </c>
      <c r="K33" s="14"/>
      <c r="L33" s="57">
        <v>43630.0</v>
      </c>
      <c r="M33" s="14"/>
      <c r="N33" s="57">
        <v>43631.0</v>
      </c>
      <c r="O33" s="14"/>
      <c r="P33" s="58" t="s">
        <v>8</v>
      </c>
      <c r="Q33" s="22"/>
      <c r="R33" s="50"/>
      <c r="S33" s="7"/>
      <c r="T33" s="7"/>
      <c r="U33" s="7"/>
      <c r="V33" s="7"/>
      <c r="W33" s="35"/>
      <c r="X33" s="35"/>
    </row>
    <row r="34">
      <c r="A34" s="20" t="s">
        <v>9</v>
      </c>
      <c r="B34" s="17"/>
      <c r="C34" s="19"/>
      <c r="D34" s="17"/>
      <c r="E34" s="19"/>
      <c r="F34" s="17"/>
      <c r="G34" s="19"/>
      <c r="H34" s="17"/>
      <c r="I34" s="19"/>
      <c r="J34" s="17"/>
      <c r="K34" s="19"/>
      <c r="L34" s="17"/>
      <c r="M34" s="19"/>
      <c r="N34" s="17"/>
      <c r="O34" s="19"/>
      <c r="P34" s="59" t="s">
        <v>9</v>
      </c>
      <c r="Q34" s="22"/>
      <c r="R34" s="50"/>
      <c r="S34" s="7"/>
      <c r="T34" s="7"/>
      <c r="U34" s="7"/>
      <c r="V34" s="7"/>
      <c r="W34" s="35"/>
      <c r="X34" s="35"/>
    </row>
    <row r="35">
      <c r="A35" s="20" t="s">
        <v>9</v>
      </c>
      <c r="B35" s="23"/>
      <c r="C35" s="19"/>
      <c r="D35" s="23"/>
      <c r="E35" s="19"/>
      <c r="F35" s="23"/>
      <c r="G35" s="19"/>
      <c r="H35" s="23"/>
      <c r="I35" s="19"/>
      <c r="J35" s="23"/>
      <c r="K35" s="19"/>
      <c r="L35" s="23"/>
      <c r="M35" s="19"/>
      <c r="N35" s="23"/>
      <c r="O35" s="19"/>
      <c r="P35" s="60" t="s">
        <v>9</v>
      </c>
      <c r="Q35" s="22"/>
    </row>
    <row r="36">
      <c r="A36" s="20" t="s">
        <v>22</v>
      </c>
      <c r="B36" s="29"/>
      <c r="C36" s="30"/>
      <c r="D36" s="29"/>
      <c r="E36" s="30"/>
      <c r="F36" s="29" t="s">
        <v>93</v>
      </c>
      <c r="G36" s="30"/>
      <c r="H36" s="29" t="s">
        <v>94</v>
      </c>
      <c r="I36" s="31" t="s">
        <v>95</v>
      </c>
      <c r="J36" s="29" t="s">
        <v>96</v>
      </c>
      <c r="K36" s="31" t="s">
        <v>97</v>
      </c>
      <c r="L36" s="29"/>
      <c r="M36" s="30"/>
      <c r="N36" s="29"/>
      <c r="O36" s="30"/>
      <c r="P36" s="60" t="s">
        <v>22</v>
      </c>
      <c r="Q36" s="22"/>
    </row>
    <row r="37">
      <c r="A37" s="20" t="s">
        <v>22</v>
      </c>
      <c r="B37" s="36"/>
      <c r="C37" s="30"/>
      <c r="D37" s="36"/>
      <c r="E37" s="30"/>
      <c r="F37" s="36" t="s">
        <v>98</v>
      </c>
      <c r="G37" s="30"/>
      <c r="H37" s="36" t="s">
        <v>99</v>
      </c>
      <c r="I37" s="31" t="s">
        <v>100</v>
      </c>
      <c r="J37" s="36" t="s">
        <v>101</v>
      </c>
      <c r="K37" s="31" t="s">
        <v>102</v>
      </c>
      <c r="L37" s="36"/>
      <c r="M37" s="30"/>
      <c r="N37" s="36"/>
      <c r="O37" s="30"/>
      <c r="P37" s="60" t="s">
        <v>22</v>
      </c>
    </row>
    <row r="38">
      <c r="A38" s="20" t="s">
        <v>36</v>
      </c>
      <c r="B38" s="37"/>
      <c r="C38" s="31"/>
      <c r="D38" s="38" t="s">
        <v>103</v>
      </c>
      <c r="E38" s="31"/>
      <c r="F38" s="38" t="s">
        <v>104</v>
      </c>
      <c r="G38" s="31"/>
      <c r="H38" s="38" t="s">
        <v>105</v>
      </c>
      <c r="I38" s="31" t="s">
        <v>106</v>
      </c>
      <c r="J38" s="37"/>
      <c r="K38" s="31"/>
      <c r="L38" s="37"/>
      <c r="M38" s="31"/>
      <c r="N38" s="37"/>
      <c r="O38" s="31"/>
      <c r="P38" s="60" t="s">
        <v>36</v>
      </c>
    </row>
    <row r="39">
      <c r="A39" s="20" t="s">
        <v>36</v>
      </c>
      <c r="B39" s="36"/>
      <c r="C39" s="30"/>
      <c r="D39" s="36" t="s">
        <v>107</v>
      </c>
      <c r="E39" s="30"/>
      <c r="F39" s="36" t="s">
        <v>108</v>
      </c>
      <c r="G39" s="55"/>
      <c r="H39" s="36" t="s">
        <v>109</v>
      </c>
      <c r="I39" s="31" t="s">
        <v>106</v>
      </c>
      <c r="J39" s="36"/>
      <c r="K39" s="30"/>
      <c r="L39" s="36"/>
      <c r="M39" s="30"/>
      <c r="N39" s="36"/>
      <c r="O39" s="30"/>
      <c r="P39" s="60" t="s">
        <v>36</v>
      </c>
    </row>
    <row r="40">
      <c r="A40" s="20" t="s">
        <v>46</v>
      </c>
      <c r="B40" s="39"/>
      <c r="C40" s="19"/>
      <c r="D40" s="39"/>
      <c r="E40" s="19"/>
      <c r="F40" s="39"/>
      <c r="G40" s="19"/>
      <c r="H40" s="39"/>
      <c r="I40" s="19"/>
      <c r="J40" s="39"/>
      <c r="K40" s="19"/>
      <c r="L40" s="39"/>
      <c r="M40" s="19"/>
      <c r="N40" s="39"/>
      <c r="O40" s="19"/>
      <c r="P40" s="60" t="s">
        <v>46</v>
      </c>
    </row>
    <row r="41">
      <c r="A41" s="20" t="s">
        <v>46</v>
      </c>
      <c r="B41" s="44"/>
      <c r="C41" s="45"/>
      <c r="D41" s="44"/>
      <c r="E41" s="45"/>
      <c r="F41" s="44"/>
      <c r="G41" s="45"/>
      <c r="H41" s="44"/>
      <c r="I41" s="45"/>
      <c r="J41" s="44"/>
      <c r="K41" s="45"/>
      <c r="L41" s="44"/>
      <c r="M41" s="45"/>
      <c r="N41" s="44"/>
      <c r="O41" s="45"/>
      <c r="P41" s="60" t="s">
        <v>46</v>
      </c>
    </row>
    <row r="42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  <c r="R42" s="50"/>
      <c r="S42" s="50"/>
      <c r="T42" s="50"/>
      <c r="U42" s="50"/>
      <c r="V42" s="50"/>
      <c r="W42" s="35"/>
      <c r="X42" s="35"/>
    </row>
    <row r="43">
      <c r="A43" s="20" t="s">
        <v>8</v>
      </c>
      <c r="B43" s="64">
        <v>43632.0</v>
      </c>
      <c r="C43" s="10"/>
      <c r="D43" s="64">
        <v>43633.0</v>
      </c>
      <c r="E43" s="10"/>
      <c r="F43" s="64">
        <v>43634.0</v>
      </c>
      <c r="G43" s="10"/>
      <c r="H43" s="64">
        <v>43635.0</v>
      </c>
      <c r="I43" s="10"/>
      <c r="J43" s="64">
        <v>43636.0</v>
      </c>
      <c r="K43" s="10"/>
      <c r="L43" s="64">
        <v>43637.0</v>
      </c>
      <c r="M43" s="10"/>
      <c r="N43" s="64">
        <v>43638.0</v>
      </c>
      <c r="O43" s="10"/>
      <c r="P43" s="60" t="s">
        <v>8</v>
      </c>
      <c r="R43" s="50"/>
      <c r="S43" s="50"/>
      <c r="T43" s="50"/>
      <c r="U43" s="50"/>
      <c r="V43" s="50"/>
      <c r="W43" s="35"/>
      <c r="X43" s="35"/>
    </row>
    <row r="44">
      <c r="A44" s="20" t="s">
        <v>9</v>
      </c>
      <c r="B44" s="17"/>
      <c r="C44" s="19"/>
      <c r="D44" s="17"/>
      <c r="E44" s="19"/>
      <c r="F44" s="17"/>
      <c r="G44" s="19"/>
      <c r="H44" s="17"/>
      <c r="I44" s="19"/>
      <c r="J44" s="17"/>
      <c r="K44" s="19"/>
      <c r="L44" s="17"/>
      <c r="M44" s="19"/>
      <c r="N44" s="17"/>
      <c r="O44" s="19"/>
      <c r="P44" s="60" t="s">
        <v>9</v>
      </c>
      <c r="R44" s="50"/>
      <c r="S44" s="50"/>
      <c r="T44" s="50"/>
      <c r="U44" s="50"/>
      <c r="V44" s="50"/>
      <c r="W44" s="35"/>
      <c r="X44" s="35"/>
    </row>
    <row r="45">
      <c r="A45" s="20" t="s">
        <v>9</v>
      </c>
      <c r="B45" s="23"/>
      <c r="C45" s="19"/>
      <c r="D45" s="23"/>
      <c r="E45" s="19"/>
      <c r="F45" s="23"/>
      <c r="G45" s="19"/>
      <c r="H45" s="23"/>
      <c r="I45" s="19"/>
      <c r="J45" s="23"/>
      <c r="K45" s="19"/>
      <c r="L45" s="23"/>
      <c r="M45" s="19"/>
      <c r="N45" s="23"/>
      <c r="O45" s="19"/>
      <c r="P45" s="60" t="s">
        <v>9</v>
      </c>
      <c r="R45" s="50"/>
      <c r="S45" s="50"/>
      <c r="T45" s="50"/>
      <c r="U45" s="50"/>
      <c r="V45" s="50"/>
      <c r="W45" s="35"/>
      <c r="X45" s="35"/>
    </row>
    <row r="46">
      <c r="A46" s="20" t="s">
        <v>22</v>
      </c>
      <c r="B46" s="29"/>
      <c r="C46" s="30"/>
      <c r="D46" s="29" t="s">
        <v>110</v>
      </c>
      <c r="E46" s="30"/>
      <c r="F46" s="29"/>
      <c r="G46" s="30"/>
      <c r="H46" s="29"/>
      <c r="I46" s="30"/>
      <c r="J46" s="29" t="s">
        <v>111</v>
      </c>
      <c r="K46" s="31" t="s">
        <v>112</v>
      </c>
      <c r="L46" s="29" t="s">
        <v>113</v>
      </c>
      <c r="M46" s="31" t="s">
        <v>114</v>
      </c>
      <c r="N46" s="29"/>
      <c r="O46" s="30"/>
      <c r="P46" s="60" t="s">
        <v>22</v>
      </c>
      <c r="R46" s="50"/>
      <c r="S46" s="50"/>
      <c r="T46" s="50"/>
      <c r="U46" s="50"/>
      <c r="V46" s="50"/>
      <c r="W46" s="35"/>
      <c r="X46" s="35"/>
    </row>
    <row r="47">
      <c r="A47" s="20" t="s">
        <v>22</v>
      </c>
      <c r="B47" s="36"/>
      <c r="C47" s="30"/>
      <c r="D47" s="36" t="s">
        <v>115</v>
      </c>
      <c r="E47" s="30"/>
      <c r="F47" s="36"/>
      <c r="G47" s="30"/>
      <c r="H47" s="36" t="s">
        <v>116</v>
      </c>
      <c r="I47" s="30"/>
      <c r="J47" s="36" t="s">
        <v>117</v>
      </c>
      <c r="K47" s="31" t="s">
        <v>112</v>
      </c>
      <c r="L47" s="36" t="s">
        <v>118</v>
      </c>
      <c r="M47" s="31" t="s">
        <v>119</v>
      </c>
      <c r="N47" s="36"/>
      <c r="O47" s="30"/>
      <c r="P47" s="60" t="s">
        <v>22</v>
      </c>
      <c r="R47" s="50"/>
      <c r="S47" s="50"/>
      <c r="T47" s="50"/>
      <c r="U47" s="50"/>
      <c r="V47" s="50"/>
      <c r="W47" s="35"/>
      <c r="X47" s="35"/>
    </row>
    <row r="48">
      <c r="A48" s="20" t="s">
        <v>36</v>
      </c>
      <c r="B48" s="37"/>
      <c r="C48" s="31"/>
      <c r="D48" s="65"/>
      <c r="E48" s="31"/>
      <c r="F48" s="38" t="s">
        <v>120</v>
      </c>
      <c r="G48" s="31" t="s">
        <v>121</v>
      </c>
      <c r="H48" s="38" t="s">
        <v>122</v>
      </c>
      <c r="I48" s="31" t="s">
        <v>123</v>
      </c>
      <c r="J48" s="38" t="s">
        <v>124</v>
      </c>
      <c r="K48" s="31"/>
      <c r="L48" s="37"/>
      <c r="M48" s="31"/>
      <c r="N48" s="37"/>
      <c r="O48" s="31"/>
      <c r="P48" s="60" t="s">
        <v>36</v>
      </c>
      <c r="R48" s="52"/>
      <c r="S48" s="50"/>
      <c r="T48" s="50"/>
      <c r="U48" s="50"/>
      <c r="V48" s="50"/>
      <c r="W48" s="35"/>
      <c r="X48" s="35"/>
    </row>
    <row r="49">
      <c r="A49" s="20" t="s">
        <v>36</v>
      </c>
      <c r="B49" s="36"/>
      <c r="C49" s="30"/>
      <c r="D49" s="36"/>
      <c r="E49" s="30"/>
      <c r="F49" s="36" t="s">
        <v>125</v>
      </c>
      <c r="G49" s="31" t="s">
        <v>126</v>
      </c>
      <c r="H49" s="36"/>
      <c r="I49" s="31" t="s">
        <v>127</v>
      </c>
      <c r="J49" s="36" t="s">
        <v>128</v>
      </c>
      <c r="K49" s="30"/>
      <c r="L49" s="36"/>
      <c r="M49" s="30"/>
      <c r="N49" s="36"/>
      <c r="O49" s="30"/>
      <c r="P49" s="60" t="s">
        <v>36</v>
      </c>
      <c r="R49" s="50"/>
      <c r="S49" s="50"/>
      <c r="T49" s="50"/>
      <c r="U49" s="50"/>
      <c r="V49" s="50"/>
      <c r="W49" s="35"/>
      <c r="X49" s="35"/>
    </row>
    <row r="50">
      <c r="A50" s="20" t="s">
        <v>46</v>
      </c>
      <c r="B50" s="39"/>
      <c r="C50" s="19"/>
      <c r="D50" s="39"/>
      <c r="E50" s="19"/>
      <c r="F50" s="39"/>
      <c r="G50" s="19"/>
      <c r="H50" s="39"/>
      <c r="I50" s="19"/>
      <c r="J50" s="39"/>
      <c r="K50" s="19"/>
      <c r="L50" s="39"/>
      <c r="M50" s="19"/>
      <c r="N50" s="39"/>
      <c r="O50" s="19"/>
      <c r="P50" s="60" t="s">
        <v>46</v>
      </c>
      <c r="R50" s="52"/>
      <c r="S50" s="50"/>
      <c r="T50" s="50"/>
      <c r="U50" s="50"/>
      <c r="V50" s="50"/>
      <c r="W50" s="35"/>
      <c r="X50" s="35"/>
    </row>
    <row r="51">
      <c r="A51" s="20" t="s">
        <v>46</v>
      </c>
      <c r="B51" s="44"/>
      <c r="C51" s="45"/>
      <c r="D51" s="44"/>
      <c r="E51" s="45"/>
      <c r="F51" s="44"/>
      <c r="G51" s="45"/>
      <c r="H51" s="44"/>
      <c r="I51" s="45"/>
      <c r="J51" s="44"/>
      <c r="K51" s="45"/>
      <c r="L51" s="44"/>
      <c r="M51" s="45"/>
      <c r="N51" s="44"/>
      <c r="O51" s="45"/>
      <c r="P51" s="60" t="s">
        <v>46</v>
      </c>
      <c r="R51" s="50"/>
      <c r="S51" s="50"/>
      <c r="T51" s="50"/>
      <c r="U51" s="50"/>
      <c r="V51" s="50"/>
      <c r="W51" s="35"/>
      <c r="X51" s="35"/>
    </row>
    <row r="52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3"/>
      <c r="R52" s="52"/>
      <c r="S52" s="50"/>
      <c r="T52" s="50"/>
      <c r="U52" s="50"/>
      <c r="V52" s="50"/>
      <c r="W52" s="35"/>
      <c r="X52" s="35"/>
    </row>
    <row r="53">
      <c r="A53" s="15" t="s">
        <v>8</v>
      </c>
      <c r="B53" s="47">
        <v>43639.0</v>
      </c>
      <c r="C53" s="66"/>
      <c r="D53" s="47">
        <v>43640.0</v>
      </c>
      <c r="E53" s="66"/>
      <c r="F53" s="47">
        <v>43641.0</v>
      </c>
      <c r="G53" s="66"/>
      <c r="H53" s="47">
        <v>43642.0</v>
      </c>
      <c r="I53" s="66"/>
      <c r="J53" s="47">
        <v>43643.0</v>
      </c>
      <c r="K53" s="66"/>
      <c r="L53" s="47">
        <v>43644.0</v>
      </c>
      <c r="M53" s="66"/>
      <c r="N53" s="47">
        <v>43645.0</v>
      </c>
      <c r="O53" s="66"/>
      <c r="P53" s="15" t="s">
        <v>8</v>
      </c>
      <c r="R53" s="50"/>
      <c r="S53" s="50"/>
      <c r="T53" s="50"/>
      <c r="U53" s="50"/>
      <c r="V53" s="50"/>
      <c r="W53" s="35"/>
      <c r="X53" s="35"/>
    </row>
    <row r="54">
      <c r="A54" s="16" t="s">
        <v>9</v>
      </c>
      <c r="B54" s="17"/>
      <c r="C54" s="19"/>
      <c r="D54" s="17"/>
      <c r="E54" s="19"/>
      <c r="F54" s="17"/>
      <c r="G54" s="19"/>
      <c r="H54" s="17" t="s">
        <v>129</v>
      </c>
      <c r="I54" s="19"/>
      <c r="J54" s="17"/>
      <c r="K54" s="19"/>
      <c r="L54" s="17"/>
      <c r="M54" s="19"/>
      <c r="N54" s="17"/>
      <c r="O54" s="19"/>
      <c r="P54" s="20" t="s">
        <v>9</v>
      </c>
      <c r="R54" s="52"/>
      <c r="S54" s="50"/>
      <c r="T54" s="52"/>
      <c r="U54" s="50"/>
      <c r="V54" s="50"/>
      <c r="W54" s="35"/>
      <c r="X54" s="35"/>
    </row>
    <row r="55">
      <c r="A55" s="16" t="s">
        <v>9</v>
      </c>
      <c r="B55" s="23"/>
      <c r="C55" s="19"/>
      <c r="D55" s="23"/>
      <c r="E55" s="19"/>
      <c r="F55" s="23"/>
      <c r="G55" s="19"/>
      <c r="H55" s="23" t="s">
        <v>130</v>
      </c>
      <c r="I55" s="19"/>
      <c r="J55" s="23"/>
      <c r="K55" s="19"/>
      <c r="L55" s="23"/>
      <c r="M55" s="19"/>
      <c r="N55" s="23"/>
      <c r="O55" s="19"/>
      <c r="P55" s="20" t="s">
        <v>9</v>
      </c>
      <c r="R55" s="7"/>
      <c r="S55" s="67"/>
      <c r="T55" s="67"/>
      <c r="U55" s="67"/>
      <c r="V55" s="67"/>
      <c r="W55" s="67"/>
      <c r="X55" s="67"/>
    </row>
    <row r="56">
      <c r="A56" s="16" t="s">
        <v>22</v>
      </c>
      <c r="B56" s="29"/>
      <c r="C56" s="30"/>
      <c r="D56" s="29"/>
      <c r="E56" s="30"/>
      <c r="F56" s="29"/>
      <c r="G56" s="30"/>
      <c r="H56" s="29" t="s">
        <v>131</v>
      </c>
      <c r="I56" s="55"/>
      <c r="J56" s="29"/>
      <c r="K56" s="31" t="s">
        <v>132</v>
      </c>
      <c r="L56" s="29" t="s">
        <v>133</v>
      </c>
      <c r="M56" s="30"/>
      <c r="N56" s="29"/>
      <c r="O56" s="30"/>
      <c r="P56" s="20" t="s">
        <v>22</v>
      </c>
      <c r="R56" s="7"/>
      <c r="S56" s="67"/>
      <c r="T56" s="67"/>
      <c r="U56" s="67"/>
      <c r="V56" s="67"/>
      <c r="W56" s="67"/>
      <c r="X56" s="67"/>
    </row>
    <row r="57">
      <c r="A57" s="16" t="s">
        <v>22</v>
      </c>
      <c r="B57" s="36"/>
      <c r="C57" s="30"/>
      <c r="D57" s="36"/>
      <c r="E57" s="30"/>
      <c r="F57" s="36"/>
      <c r="G57" s="30"/>
      <c r="H57" s="36" t="s">
        <v>134</v>
      </c>
      <c r="I57" s="55"/>
      <c r="J57" s="36" t="s">
        <v>135</v>
      </c>
      <c r="K57" s="31" t="s">
        <v>136</v>
      </c>
      <c r="L57" s="36" t="s">
        <v>137</v>
      </c>
      <c r="M57" s="30"/>
      <c r="N57" s="36"/>
      <c r="O57" s="30"/>
      <c r="P57" s="20" t="s">
        <v>22</v>
      </c>
      <c r="R57" s="7"/>
      <c r="S57" s="67"/>
      <c r="T57" s="67"/>
      <c r="U57" s="67"/>
      <c r="V57" s="67"/>
      <c r="W57" s="67"/>
      <c r="X57" s="67"/>
    </row>
    <row r="58">
      <c r="A58" s="16" t="s">
        <v>36</v>
      </c>
      <c r="B58" s="37"/>
      <c r="C58" s="31"/>
      <c r="D58" s="37"/>
      <c r="E58" s="31"/>
      <c r="F58" s="38" t="s">
        <v>138</v>
      </c>
      <c r="G58" s="31" t="s">
        <v>139</v>
      </c>
      <c r="H58" s="38" t="s">
        <v>140</v>
      </c>
      <c r="I58" s="31"/>
      <c r="J58" s="38" t="s">
        <v>141</v>
      </c>
      <c r="K58" s="31" t="s">
        <v>142</v>
      </c>
      <c r="L58" s="37"/>
      <c r="M58" s="31"/>
      <c r="N58" s="37"/>
      <c r="O58" s="31"/>
      <c r="P58" s="20" t="s">
        <v>36</v>
      </c>
      <c r="R58" s="7"/>
      <c r="S58" s="67"/>
      <c r="T58" s="67"/>
      <c r="U58" s="67"/>
      <c r="V58" s="67"/>
      <c r="W58" s="67"/>
      <c r="X58" s="67"/>
    </row>
    <row r="59">
      <c r="A59" s="16" t="s">
        <v>36</v>
      </c>
      <c r="B59" s="36"/>
      <c r="C59" s="30"/>
      <c r="D59" s="36"/>
      <c r="E59" s="30"/>
      <c r="F59" s="36" t="s">
        <v>143</v>
      </c>
      <c r="G59" s="31" t="s">
        <v>144</v>
      </c>
      <c r="H59" s="36" t="s">
        <v>145</v>
      </c>
      <c r="I59" s="30"/>
      <c r="J59" s="36"/>
      <c r="K59" s="31" t="s">
        <v>146</v>
      </c>
      <c r="L59" s="36"/>
      <c r="M59" s="30"/>
      <c r="N59" s="36"/>
      <c r="O59" s="30"/>
      <c r="P59" s="20" t="s">
        <v>36</v>
      </c>
      <c r="R59" s="7"/>
      <c r="S59" s="67"/>
      <c r="T59" s="67"/>
      <c r="U59" s="67"/>
      <c r="V59" s="67"/>
      <c r="W59" s="67"/>
      <c r="X59" s="67"/>
    </row>
    <row r="60">
      <c r="A60" s="16" t="s">
        <v>46</v>
      </c>
      <c r="B60" s="39"/>
      <c r="C60" s="19"/>
      <c r="D60" s="39"/>
      <c r="E60" s="19"/>
      <c r="F60" s="39"/>
      <c r="G60" s="19"/>
      <c r="H60" s="39"/>
      <c r="I60" s="19"/>
      <c r="J60" s="39"/>
      <c r="K60" s="19"/>
      <c r="L60" s="39"/>
      <c r="M60" s="19"/>
      <c r="N60" s="39"/>
      <c r="O60" s="19"/>
      <c r="P60" s="20" t="s">
        <v>46</v>
      </c>
      <c r="R60" s="7"/>
      <c r="S60" s="67"/>
      <c r="T60" s="67"/>
      <c r="U60" s="67"/>
      <c r="V60" s="67"/>
      <c r="W60" s="67"/>
      <c r="X60" s="67"/>
    </row>
    <row r="61">
      <c r="A61" s="16" t="s">
        <v>46</v>
      </c>
      <c r="B61" s="44"/>
      <c r="C61" s="45"/>
      <c r="D61" s="44"/>
      <c r="E61" s="45"/>
      <c r="F61" s="44"/>
      <c r="G61" s="45"/>
      <c r="H61" s="44"/>
      <c r="I61" s="45"/>
      <c r="J61" s="44"/>
      <c r="K61" s="45"/>
      <c r="L61" s="44"/>
      <c r="M61" s="45"/>
      <c r="N61" s="44"/>
      <c r="O61" s="45"/>
      <c r="P61" s="20" t="s">
        <v>46</v>
      </c>
      <c r="R61" s="7"/>
      <c r="S61" s="67"/>
      <c r="T61" s="67"/>
      <c r="U61" s="67"/>
      <c r="V61" s="67"/>
      <c r="W61" s="67"/>
      <c r="X61" s="67"/>
    </row>
    <row r="62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70"/>
      <c r="R62" s="7"/>
      <c r="S62" s="7"/>
      <c r="T62" s="7"/>
      <c r="U62" s="7"/>
      <c r="V62" s="7"/>
      <c r="W62" s="7"/>
      <c r="X62" s="7"/>
    </row>
    <row r="63">
      <c r="A63" s="7"/>
      <c r="B63" s="7"/>
      <c r="C63" s="50"/>
      <c r="D63" s="50"/>
      <c r="E63" s="50"/>
      <c r="F63" s="50"/>
      <c r="G63" s="50"/>
      <c r="H63" s="50"/>
      <c r="I63" s="50"/>
      <c r="J63" s="7"/>
      <c r="K63" s="7"/>
      <c r="L63" s="7"/>
      <c r="R63" s="7"/>
      <c r="S63" s="7"/>
      <c r="T63" s="7"/>
      <c r="U63" s="7"/>
      <c r="V63" s="7"/>
      <c r="W63" s="7"/>
      <c r="X63" s="7"/>
    </row>
    <row r="64">
      <c r="A64" s="7"/>
      <c r="B64" s="34"/>
      <c r="C64" s="50"/>
      <c r="D64" s="50"/>
      <c r="E64" s="50"/>
      <c r="F64" s="50"/>
      <c r="G64" s="50"/>
      <c r="H64" s="71"/>
      <c r="I64" s="7"/>
      <c r="J64" s="7"/>
      <c r="R64" s="7"/>
      <c r="S64" s="7"/>
      <c r="T64" s="7"/>
      <c r="U64" s="7"/>
      <c r="V64" s="7"/>
      <c r="W64" s="7"/>
      <c r="X64" s="7"/>
    </row>
    <row r="65">
      <c r="A65" s="7"/>
      <c r="B65" s="34"/>
      <c r="C65" s="50"/>
      <c r="D65" s="50"/>
      <c r="E65" s="50"/>
      <c r="F65" s="50"/>
      <c r="G65" s="50"/>
      <c r="H65" s="71"/>
      <c r="I65" s="7"/>
      <c r="J65" s="7"/>
      <c r="R65" s="7"/>
      <c r="S65" s="7"/>
      <c r="T65" s="7"/>
      <c r="U65" s="7"/>
      <c r="V65" s="7"/>
      <c r="W65" s="7"/>
      <c r="X65" s="7"/>
    </row>
    <row r="66">
      <c r="A66" s="7"/>
      <c r="B66" s="34"/>
      <c r="C66" s="50"/>
      <c r="D66" s="50"/>
      <c r="E66" s="50"/>
      <c r="F66" s="50"/>
      <c r="G66" s="50"/>
      <c r="H66" s="71"/>
      <c r="I66" s="7"/>
      <c r="J66" s="7"/>
      <c r="R66" s="7"/>
      <c r="S66" s="7"/>
      <c r="T66" s="7"/>
      <c r="U66" s="7"/>
      <c r="V66" s="7"/>
      <c r="W66" s="7"/>
      <c r="X66" s="7"/>
    </row>
    <row r="67">
      <c r="A67" s="7"/>
      <c r="B67" s="34"/>
      <c r="C67" s="50"/>
      <c r="D67" s="50"/>
      <c r="E67" s="50"/>
      <c r="F67" s="50"/>
      <c r="G67" s="50"/>
      <c r="H67" s="71"/>
      <c r="I67" s="7"/>
      <c r="J67" s="7"/>
      <c r="R67" s="7"/>
      <c r="S67" s="7"/>
      <c r="T67" s="7"/>
      <c r="U67" s="7"/>
      <c r="V67" s="7"/>
      <c r="W67" s="7"/>
      <c r="X67" s="7"/>
    </row>
    <row r="68">
      <c r="A68" s="7"/>
      <c r="B68" s="34"/>
      <c r="C68" s="50"/>
      <c r="D68" s="50"/>
      <c r="E68" s="50"/>
      <c r="F68" s="50"/>
      <c r="G68" s="50"/>
      <c r="H68" s="71"/>
      <c r="I68" s="7"/>
      <c r="J68" s="7"/>
      <c r="R68" s="7"/>
      <c r="S68" s="7"/>
      <c r="T68" s="7"/>
      <c r="U68" s="7"/>
      <c r="V68" s="7"/>
      <c r="W68" s="7"/>
      <c r="X68" s="7"/>
    </row>
    <row r="69">
      <c r="A69" s="7"/>
      <c r="B69" s="34"/>
      <c r="C69" s="50"/>
      <c r="D69" s="50"/>
      <c r="E69" s="50"/>
      <c r="F69" s="50"/>
      <c r="G69" s="50"/>
      <c r="H69" s="71"/>
      <c r="I69" s="7"/>
      <c r="J69" s="7"/>
      <c r="R69" s="7"/>
      <c r="S69" s="7"/>
      <c r="T69" s="7"/>
      <c r="U69" s="7"/>
      <c r="V69" s="7"/>
      <c r="W69" s="7"/>
      <c r="X69" s="7"/>
    </row>
    <row r="70">
      <c r="A70" s="7"/>
      <c r="B70" s="34"/>
      <c r="C70" s="50"/>
      <c r="D70" s="50"/>
      <c r="E70" s="50"/>
      <c r="F70" s="50"/>
      <c r="G70" s="50"/>
      <c r="H70" s="71"/>
      <c r="I70" s="7"/>
      <c r="J70" s="7"/>
      <c r="R70" s="7"/>
      <c r="S70" s="7"/>
      <c r="T70" s="7"/>
      <c r="U70" s="7"/>
      <c r="V70" s="7"/>
      <c r="W70" s="7"/>
      <c r="X70" s="7"/>
    </row>
    <row r="71">
      <c r="A71" s="7"/>
      <c r="B71" s="34"/>
      <c r="C71" s="72"/>
      <c r="D71" s="72"/>
      <c r="E71" s="72"/>
      <c r="F71" s="72"/>
      <c r="G71" s="50"/>
      <c r="H71" s="71"/>
      <c r="I71" s="7"/>
      <c r="J71" s="7"/>
      <c r="R71" s="7"/>
      <c r="S71" s="7"/>
      <c r="T71" s="7"/>
      <c r="U71" s="7"/>
      <c r="V71" s="7"/>
      <c r="W71" s="7"/>
      <c r="X71" s="7"/>
    </row>
    <row r="72">
      <c r="A72" s="7"/>
      <c r="B72" s="34"/>
      <c r="C72" s="50"/>
      <c r="D72" s="50"/>
      <c r="E72" s="50"/>
      <c r="F72" s="50"/>
      <c r="G72" s="50"/>
      <c r="H72" s="71"/>
      <c r="I72" s="7"/>
      <c r="J72" s="7"/>
      <c r="R72" s="7"/>
      <c r="S72" s="7"/>
      <c r="T72" s="7"/>
      <c r="U72" s="7"/>
      <c r="V72" s="7"/>
      <c r="W72" s="7"/>
      <c r="X72" s="7"/>
    </row>
    <row r="73">
      <c r="A73" s="7"/>
      <c r="B73" s="34"/>
      <c r="C73" s="50"/>
      <c r="D73" s="50"/>
      <c r="E73" s="50"/>
      <c r="F73" s="50"/>
      <c r="G73" s="50"/>
      <c r="H73" s="71"/>
      <c r="I73" s="7"/>
      <c r="J73" s="7"/>
      <c r="R73" s="7"/>
      <c r="S73" s="7"/>
      <c r="T73" s="7"/>
      <c r="U73" s="7"/>
      <c r="V73" s="7"/>
      <c r="W73" s="7"/>
      <c r="X73" s="7"/>
    </row>
    <row r="74">
      <c r="A74" s="7"/>
      <c r="B74" s="34"/>
      <c r="C74" s="50"/>
      <c r="D74" s="50"/>
      <c r="E74" s="7"/>
      <c r="F74" s="50"/>
      <c r="G74" s="50"/>
      <c r="H74" s="71"/>
      <c r="I74" s="7"/>
      <c r="J74" s="7"/>
      <c r="R74" s="7"/>
      <c r="S74" s="7"/>
      <c r="T74" s="7"/>
      <c r="U74" s="7"/>
      <c r="V74" s="7"/>
      <c r="W74" s="7"/>
      <c r="X74" s="7"/>
    </row>
    <row r="75">
      <c r="A75" s="7"/>
      <c r="B75" s="34"/>
      <c r="C75" s="7"/>
      <c r="D75" s="50"/>
      <c r="E75" s="7"/>
      <c r="F75" s="50"/>
      <c r="G75" s="50"/>
      <c r="H75" s="73"/>
      <c r="I75" s="7"/>
      <c r="J75" s="7"/>
      <c r="R75" s="7"/>
      <c r="S75" s="7"/>
      <c r="T75" s="7"/>
      <c r="U75" s="7"/>
      <c r="V75" s="7"/>
      <c r="W75" s="7"/>
      <c r="X75" s="7"/>
    </row>
    <row r="76">
      <c r="A76" s="7"/>
      <c r="B76" s="34"/>
      <c r="C76" s="7"/>
      <c r="D76" s="50"/>
      <c r="E76" s="7"/>
      <c r="F76" s="50"/>
      <c r="G76" s="50"/>
      <c r="H76" s="73"/>
      <c r="I76" s="7"/>
      <c r="J76" s="7"/>
      <c r="R76" s="7"/>
      <c r="S76" s="7"/>
      <c r="T76" s="7"/>
      <c r="U76" s="7"/>
      <c r="V76" s="7"/>
      <c r="W76" s="7"/>
      <c r="X76" s="7"/>
    </row>
    <row r="77">
      <c r="A77" s="7"/>
      <c r="B77" s="34"/>
      <c r="C77" s="7"/>
      <c r="D77" s="50"/>
      <c r="E77" s="7"/>
      <c r="F77" s="50"/>
      <c r="G77" s="50"/>
      <c r="H77" s="73"/>
      <c r="I77" s="7"/>
      <c r="J77" s="7"/>
      <c r="R77" s="7"/>
      <c r="S77" s="7"/>
      <c r="T77" s="7"/>
      <c r="U77" s="7"/>
      <c r="V77" s="7"/>
      <c r="W77" s="7"/>
      <c r="X77" s="7"/>
    </row>
    <row r="78">
      <c r="A78" s="7"/>
      <c r="B78" s="34"/>
      <c r="C78" s="7"/>
      <c r="D78" s="50"/>
      <c r="E78" s="7"/>
      <c r="F78" s="50"/>
      <c r="G78" s="50"/>
      <c r="H78" s="73"/>
      <c r="I78" s="7"/>
      <c r="J78" s="7"/>
      <c r="R78" s="7"/>
      <c r="S78" s="7"/>
      <c r="T78" s="7"/>
      <c r="U78" s="7"/>
      <c r="V78" s="7"/>
      <c r="W78" s="7"/>
      <c r="X78" s="7"/>
    </row>
    <row r="79">
      <c r="A79" s="7"/>
      <c r="B79" s="34"/>
      <c r="C79" s="7"/>
      <c r="D79" s="50"/>
      <c r="E79" s="7"/>
      <c r="F79" s="50"/>
      <c r="G79" s="50"/>
      <c r="H79" s="73"/>
      <c r="I79" s="7"/>
      <c r="J79" s="7"/>
      <c r="R79" s="7"/>
      <c r="S79" s="7"/>
      <c r="T79" s="7"/>
      <c r="U79" s="7"/>
      <c r="V79" s="7"/>
      <c r="W79" s="7"/>
      <c r="X79" s="7"/>
    </row>
    <row r="80">
      <c r="A80" s="7"/>
      <c r="B80" s="34"/>
      <c r="C80" s="7"/>
      <c r="D80" s="50"/>
      <c r="E80" s="7"/>
      <c r="F80" s="50"/>
      <c r="G80" s="50"/>
      <c r="H80" s="73"/>
      <c r="I80" s="7"/>
      <c r="J80" s="7"/>
      <c r="R80" s="7"/>
      <c r="S80" s="7"/>
      <c r="T80" s="7"/>
      <c r="U80" s="7"/>
      <c r="V80" s="7"/>
      <c r="W80" s="7"/>
      <c r="X80" s="7"/>
    </row>
    <row r="81">
      <c r="A81" s="7"/>
      <c r="B81" s="34"/>
      <c r="C81" s="7"/>
      <c r="D81" s="50"/>
      <c r="E81" s="7"/>
      <c r="F81" s="50"/>
      <c r="G81" s="50"/>
      <c r="H81" s="73"/>
      <c r="I81" s="7"/>
      <c r="J81" s="7"/>
      <c r="R81" s="7"/>
      <c r="S81" s="7"/>
      <c r="T81" s="7"/>
      <c r="U81" s="7"/>
      <c r="V81" s="7"/>
      <c r="W81" s="7"/>
      <c r="X81" s="7"/>
    </row>
    <row r="82">
      <c r="A82" s="7"/>
      <c r="B82" s="34"/>
      <c r="C82" s="7"/>
      <c r="D82" s="50"/>
      <c r="E82" s="7"/>
      <c r="F82" s="50"/>
      <c r="G82" s="50"/>
      <c r="H82" s="73"/>
      <c r="I82" s="7"/>
      <c r="J82" s="7"/>
      <c r="R82" s="7"/>
      <c r="S82" s="7"/>
      <c r="T82" s="7"/>
      <c r="U82" s="7"/>
      <c r="V82" s="7"/>
      <c r="W82" s="7"/>
      <c r="X82" s="7"/>
    </row>
    <row r="83">
      <c r="A83" s="7"/>
      <c r="B83" s="34"/>
      <c r="C83" s="7"/>
      <c r="D83" s="50"/>
      <c r="E83" s="52"/>
      <c r="F83" s="52"/>
      <c r="G83" s="7"/>
      <c r="H83" s="73"/>
      <c r="I83" s="7"/>
      <c r="J83" s="7"/>
      <c r="R83" s="7"/>
      <c r="S83" s="7"/>
      <c r="T83" s="7"/>
      <c r="U83" s="7"/>
      <c r="V83" s="7"/>
      <c r="W83" s="7"/>
      <c r="X83" s="7"/>
    </row>
    <row r="84">
      <c r="A84" s="7"/>
      <c r="B84" s="34"/>
      <c r="C84" s="7"/>
      <c r="D84" s="50"/>
      <c r="E84" s="50"/>
      <c r="F84" s="50"/>
      <c r="G84" s="7"/>
      <c r="H84" s="73"/>
      <c r="I84" s="7"/>
      <c r="J84" s="7"/>
      <c r="R84" s="7"/>
      <c r="S84" s="7"/>
      <c r="T84" s="7"/>
      <c r="U84" s="7"/>
      <c r="V84" s="7"/>
      <c r="W84" s="7"/>
      <c r="X84" s="7"/>
    </row>
    <row r="85">
      <c r="A85" s="7"/>
      <c r="B85" s="34"/>
      <c r="C85" s="7"/>
      <c r="D85" s="50"/>
      <c r="E85" s="50"/>
      <c r="F85" s="52"/>
      <c r="G85" s="7"/>
      <c r="H85" s="73"/>
      <c r="I85" s="7"/>
      <c r="J85" s="7"/>
      <c r="R85" s="7"/>
      <c r="S85" s="7"/>
      <c r="T85" s="7"/>
      <c r="U85" s="7"/>
      <c r="V85" s="7"/>
      <c r="W85" s="7"/>
      <c r="X85" s="7"/>
    </row>
    <row r="86">
      <c r="A86" s="7"/>
      <c r="B86" s="34"/>
      <c r="C86" s="7"/>
      <c r="D86" s="50"/>
      <c r="E86" s="50"/>
      <c r="F86" s="50"/>
      <c r="G86" s="7"/>
      <c r="H86" s="73"/>
      <c r="I86" s="7"/>
      <c r="J86" s="7"/>
      <c r="R86" s="7"/>
      <c r="S86" s="7"/>
      <c r="T86" s="7"/>
      <c r="U86" s="7"/>
      <c r="V86" s="7"/>
      <c r="W86" s="7"/>
      <c r="X86" s="7"/>
    </row>
    <row r="87">
      <c r="A87" s="7"/>
      <c r="B87" s="34"/>
      <c r="C87" s="7"/>
      <c r="D87" s="50"/>
      <c r="E87" s="50"/>
      <c r="F87" s="50"/>
      <c r="G87" s="7"/>
      <c r="H87" s="73"/>
      <c r="I87" s="7"/>
      <c r="J87" s="7"/>
      <c r="O87" s="34"/>
      <c r="R87" s="7"/>
      <c r="S87" s="7"/>
      <c r="T87" s="7"/>
      <c r="U87" s="7"/>
      <c r="V87" s="7"/>
      <c r="W87" s="7"/>
      <c r="X87" s="7"/>
    </row>
    <row r="88">
      <c r="A88" s="7"/>
      <c r="B88" s="34"/>
      <c r="C88" s="7"/>
      <c r="D88" s="72"/>
      <c r="E88" s="72"/>
      <c r="F88" s="72"/>
      <c r="G88" s="7"/>
      <c r="H88" s="73"/>
      <c r="I88" s="7"/>
      <c r="J88" s="7"/>
      <c r="O88" s="34"/>
      <c r="R88" s="7"/>
      <c r="S88" s="7"/>
      <c r="T88" s="7"/>
      <c r="U88" s="7"/>
      <c r="V88" s="7"/>
      <c r="W88" s="7"/>
      <c r="X88" s="7"/>
    </row>
    <row r="89">
      <c r="A89" s="7"/>
      <c r="B89" s="34"/>
      <c r="C89" s="7"/>
      <c r="D89" s="52"/>
      <c r="E89" s="52"/>
      <c r="F89" s="52"/>
      <c r="G89" s="7"/>
      <c r="H89" s="73"/>
      <c r="I89" s="7"/>
      <c r="J89" s="7"/>
      <c r="O89" s="34"/>
      <c r="R89" s="7"/>
      <c r="S89" s="7"/>
      <c r="T89" s="7"/>
      <c r="U89" s="7"/>
      <c r="V89" s="7"/>
      <c r="W89" s="7"/>
      <c r="X89" s="7"/>
    </row>
    <row r="90">
      <c r="A90" s="7"/>
      <c r="B90" s="34"/>
      <c r="C90" s="7"/>
      <c r="D90" s="52"/>
      <c r="E90" s="50"/>
      <c r="F90" s="52"/>
      <c r="G90" s="7"/>
      <c r="H90" s="73"/>
      <c r="I90" s="7"/>
      <c r="J90" s="7"/>
      <c r="O90" s="34"/>
      <c r="R90" s="7"/>
      <c r="S90" s="7"/>
      <c r="T90" s="7"/>
      <c r="U90" s="7"/>
      <c r="V90" s="7"/>
      <c r="W90" s="7"/>
      <c r="X90" s="7"/>
    </row>
    <row r="91">
      <c r="A91" s="7"/>
      <c r="B91" s="34"/>
      <c r="C91" s="50"/>
      <c r="D91" s="50"/>
      <c r="E91" s="50"/>
      <c r="F91" s="50"/>
      <c r="G91" s="7"/>
      <c r="H91" s="73"/>
      <c r="I91" s="7"/>
      <c r="J91" s="7"/>
      <c r="O91" s="34"/>
      <c r="R91" s="7"/>
      <c r="S91" s="7"/>
      <c r="T91" s="7"/>
      <c r="U91" s="7"/>
      <c r="V91" s="7"/>
      <c r="W91" s="7"/>
      <c r="X91" s="7"/>
    </row>
    <row r="92">
      <c r="A92" s="7"/>
      <c r="B92" s="34"/>
      <c r="C92" s="50"/>
      <c r="D92" s="50"/>
      <c r="E92" s="50"/>
      <c r="F92" s="50"/>
      <c r="G92" s="7"/>
      <c r="H92" s="73"/>
      <c r="I92" s="7"/>
      <c r="J92" s="7"/>
      <c r="O92" s="34"/>
      <c r="R92" s="7"/>
      <c r="S92" s="7"/>
      <c r="T92" s="7"/>
      <c r="U92" s="7"/>
      <c r="V92" s="7"/>
      <c r="W92" s="7"/>
      <c r="X92" s="7"/>
    </row>
    <row r="93">
      <c r="A93" s="7"/>
      <c r="B93" s="34"/>
      <c r="C93" s="50"/>
      <c r="D93" s="50"/>
      <c r="E93" s="50"/>
      <c r="F93" s="50"/>
      <c r="G93" s="7"/>
      <c r="H93" s="73"/>
      <c r="I93" s="7"/>
      <c r="J93" s="7"/>
      <c r="O93" s="34"/>
      <c r="R93" s="7"/>
      <c r="S93" s="7"/>
      <c r="T93" s="7"/>
      <c r="U93" s="7"/>
      <c r="V93" s="7"/>
      <c r="W93" s="7"/>
      <c r="X93" s="7"/>
    </row>
    <row r="94">
      <c r="A94" s="7"/>
      <c r="B94" s="34"/>
      <c r="C94" s="50"/>
      <c r="D94" s="50"/>
      <c r="E94" s="50"/>
      <c r="F94" s="50"/>
      <c r="G94" s="7"/>
      <c r="H94" s="73"/>
      <c r="I94" s="7"/>
      <c r="J94" s="7"/>
      <c r="O94" s="34"/>
      <c r="R94" s="7"/>
      <c r="S94" s="7"/>
      <c r="T94" s="7"/>
      <c r="U94" s="7"/>
      <c r="V94" s="7"/>
      <c r="W94" s="7"/>
      <c r="X94" s="7"/>
    </row>
    <row r="95">
      <c r="A95" s="7"/>
      <c r="B95" s="34"/>
      <c r="C95" s="72"/>
      <c r="D95" s="72"/>
      <c r="E95" s="50"/>
      <c r="F95" s="50"/>
      <c r="G95" s="7"/>
      <c r="H95" s="73"/>
      <c r="I95" s="7"/>
      <c r="J95" s="7"/>
      <c r="O95" s="34"/>
      <c r="R95" s="7"/>
      <c r="S95" s="7"/>
      <c r="T95" s="7"/>
      <c r="U95" s="7"/>
      <c r="V95" s="7"/>
      <c r="W95" s="7"/>
      <c r="X95" s="7"/>
    </row>
    <row r="96">
      <c r="A96" s="7"/>
      <c r="B96" s="34"/>
      <c r="C96" s="50"/>
      <c r="D96" s="50"/>
      <c r="E96" s="50"/>
      <c r="F96" s="50"/>
      <c r="G96" s="7"/>
      <c r="H96" s="73"/>
      <c r="I96" s="7"/>
      <c r="J96" s="7"/>
      <c r="O96" s="34"/>
      <c r="R96" s="7"/>
      <c r="S96" s="7"/>
      <c r="T96" s="7"/>
      <c r="U96" s="7"/>
      <c r="V96" s="7"/>
      <c r="W96" s="7"/>
      <c r="X96" s="7"/>
    </row>
    <row r="97">
      <c r="A97" s="7"/>
      <c r="B97" s="34"/>
      <c r="C97" s="50"/>
      <c r="D97" s="50"/>
      <c r="E97" s="50"/>
      <c r="F97" s="50"/>
      <c r="G97" s="7"/>
      <c r="H97" s="73"/>
      <c r="I97" s="7"/>
      <c r="J97" s="7"/>
      <c r="O97" s="34"/>
      <c r="R97" s="7"/>
      <c r="S97" s="7"/>
      <c r="T97" s="7"/>
      <c r="U97" s="7"/>
      <c r="V97" s="7"/>
      <c r="W97" s="7"/>
      <c r="X97" s="7"/>
    </row>
    <row r="98">
      <c r="A98" s="7"/>
      <c r="B98" s="34"/>
      <c r="C98" s="50"/>
      <c r="D98" s="50"/>
      <c r="E98" s="50"/>
      <c r="F98" s="50"/>
      <c r="G98" s="7"/>
      <c r="H98" s="73"/>
      <c r="I98" s="7"/>
      <c r="J98" s="7"/>
      <c r="O98" s="34"/>
      <c r="R98" s="7"/>
      <c r="S98" s="7"/>
      <c r="T98" s="7"/>
      <c r="U98" s="7"/>
      <c r="V98" s="7"/>
      <c r="W98" s="7"/>
      <c r="X98" s="7"/>
    </row>
    <row r="99">
      <c r="A99" s="7"/>
      <c r="B99" s="34"/>
      <c r="C99" s="50"/>
      <c r="D99" s="50"/>
      <c r="E99" s="50"/>
      <c r="F99" s="50"/>
      <c r="G99" s="7"/>
      <c r="H99" s="73"/>
      <c r="I99" s="7"/>
      <c r="J99" s="7"/>
      <c r="O99" s="34"/>
      <c r="R99" s="7"/>
      <c r="S99" s="7"/>
      <c r="T99" s="7"/>
      <c r="U99" s="7"/>
      <c r="V99" s="7"/>
      <c r="W99" s="7"/>
      <c r="X99" s="7"/>
    </row>
    <row r="100">
      <c r="A100" s="7"/>
      <c r="B100" s="34"/>
      <c r="C100" s="50"/>
      <c r="D100" s="50"/>
      <c r="E100" s="50"/>
      <c r="F100" s="50"/>
      <c r="G100" s="7"/>
      <c r="H100" s="73"/>
      <c r="I100" s="7"/>
      <c r="J100" s="7"/>
      <c r="O100" s="34"/>
      <c r="R100" s="7"/>
      <c r="S100" s="7"/>
      <c r="T100" s="7"/>
      <c r="U100" s="7"/>
      <c r="V100" s="7"/>
      <c r="W100" s="7"/>
      <c r="X100" s="7"/>
    </row>
    <row r="101">
      <c r="A101" s="7"/>
      <c r="B101" s="34"/>
      <c r="C101" s="72"/>
      <c r="D101" s="72"/>
      <c r="E101" s="72"/>
      <c r="F101" s="72"/>
      <c r="G101" s="7"/>
      <c r="H101" s="73"/>
      <c r="I101" s="7"/>
      <c r="J101" s="7"/>
      <c r="O101" s="34"/>
      <c r="R101" s="7"/>
      <c r="S101" s="7"/>
      <c r="T101" s="7"/>
      <c r="U101" s="7"/>
      <c r="V101" s="7"/>
      <c r="W101" s="7"/>
      <c r="X101" s="7"/>
    </row>
    <row r="102">
      <c r="A102" s="7"/>
      <c r="B102" s="34"/>
      <c r="C102" s="50"/>
      <c r="D102" s="50"/>
      <c r="E102" s="50"/>
      <c r="F102" s="50"/>
      <c r="G102" s="7"/>
      <c r="H102" s="73"/>
      <c r="I102" s="7"/>
      <c r="J102" s="7"/>
      <c r="O102" s="34"/>
      <c r="R102" s="7"/>
      <c r="S102" s="7"/>
      <c r="T102" s="7"/>
      <c r="U102" s="7"/>
      <c r="V102" s="7"/>
      <c r="W102" s="7"/>
      <c r="X102" s="7"/>
    </row>
    <row r="103">
      <c r="A103" s="7"/>
      <c r="B103" s="34"/>
      <c r="C103" s="50"/>
      <c r="D103" s="50"/>
      <c r="E103" s="50"/>
      <c r="F103" s="50"/>
      <c r="G103" s="7"/>
      <c r="H103" s="73"/>
      <c r="I103" s="7"/>
      <c r="J103" s="7"/>
      <c r="O103" s="34"/>
      <c r="R103" s="7"/>
      <c r="S103" s="7"/>
      <c r="T103" s="7"/>
      <c r="U103" s="7"/>
      <c r="V103" s="7"/>
      <c r="W103" s="7"/>
      <c r="X103" s="7"/>
    </row>
    <row r="104">
      <c r="A104" s="7"/>
      <c r="B104" s="34"/>
      <c r="C104" s="50"/>
      <c r="D104" s="50"/>
      <c r="E104" s="50"/>
      <c r="F104" s="7"/>
      <c r="G104" s="50"/>
      <c r="H104" s="71"/>
      <c r="I104" s="7"/>
      <c r="J104" s="7"/>
      <c r="O104" s="34"/>
      <c r="R104" s="7"/>
      <c r="S104" s="7"/>
      <c r="T104" s="7"/>
      <c r="U104" s="7"/>
      <c r="V104" s="7"/>
      <c r="W104" s="7"/>
      <c r="X104" s="7"/>
    </row>
    <row r="105">
      <c r="A105" s="7"/>
      <c r="B105" s="34"/>
      <c r="C105" s="74"/>
      <c r="D105" s="50"/>
      <c r="E105" s="74"/>
      <c r="F105" s="7"/>
      <c r="G105" s="74"/>
      <c r="H105" s="71"/>
      <c r="I105" s="7"/>
      <c r="J105" s="7"/>
      <c r="O105" s="34"/>
      <c r="R105" s="7"/>
      <c r="S105" s="7"/>
      <c r="T105" s="7"/>
      <c r="U105" s="7"/>
      <c r="V105" s="7"/>
      <c r="W105" s="7"/>
      <c r="X105" s="7"/>
    </row>
    <row r="106">
      <c r="A106" s="7"/>
      <c r="B106" s="34"/>
      <c r="C106" s="72"/>
      <c r="D106" s="72"/>
      <c r="E106" s="72"/>
      <c r="F106" s="7"/>
      <c r="G106" s="50"/>
      <c r="H106" s="71"/>
      <c r="I106" s="7"/>
      <c r="J106" s="7"/>
      <c r="O106" s="34"/>
      <c r="R106" s="7"/>
      <c r="S106" s="7"/>
      <c r="T106" s="7"/>
      <c r="U106" s="7"/>
      <c r="V106" s="7"/>
      <c r="W106" s="7"/>
      <c r="X106" s="7"/>
    </row>
    <row r="107">
      <c r="A107" s="7"/>
      <c r="B107" s="34"/>
      <c r="C107" s="50"/>
      <c r="D107" s="50"/>
      <c r="E107" s="50"/>
      <c r="F107" s="7"/>
      <c r="G107" s="50"/>
      <c r="H107" s="71"/>
      <c r="I107" s="7"/>
      <c r="J107" s="7"/>
      <c r="O107" s="34"/>
      <c r="R107" s="7"/>
      <c r="S107" s="7"/>
      <c r="T107" s="7"/>
      <c r="U107" s="7"/>
      <c r="V107" s="7"/>
      <c r="W107" s="7"/>
      <c r="X107" s="7"/>
    </row>
    <row r="108">
      <c r="A108" s="7"/>
      <c r="B108" s="34"/>
      <c r="C108" s="50"/>
      <c r="D108" s="50"/>
      <c r="E108" s="50"/>
      <c r="F108" s="7"/>
      <c r="G108" s="50"/>
      <c r="H108" s="71"/>
      <c r="I108" s="7"/>
      <c r="J108" s="7"/>
      <c r="O108" s="34"/>
      <c r="R108" s="7"/>
      <c r="S108" s="7"/>
      <c r="T108" s="7"/>
      <c r="U108" s="7"/>
      <c r="V108" s="7"/>
      <c r="W108" s="7"/>
      <c r="X108" s="7"/>
    </row>
    <row r="109">
      <c r="A109" s="7"/>
      <c r="B109" s="34"/>
      <c r="C109" s="74"/>
      <c r="D109" s="74"/>
      <c r="E109" s="74"/>
      <c r="F109" s="74"/>
      <c r="G109" s="7"/>
      <c r="H109" s="71"/>
      <c r="I109" s="7"/>
      <c r="J109" s="7"/>
      <c r="O109" s="34"/>
      <c r="R109" s="7"/>
      <c r="S109" s="7"/>
      <c r="T109" s="7"/>
      <c r="U109" s="7"/>
      <c r="V109" s="7"/>
      <c r="W109" s="7"/>
      <c r="X109" s="7"/>
    </row>
    <row r="110">
      <c r="A110" s="7"/>
      <c r="B110" s="34"/>
      <c r="C110" s="50"/>
      <c r="D110" s="50"/>
      <c r="E110" s="50"/>
      <c r="F110" s="50"/>
      <c r="G110" s="7"/>
      <c r="H110" s="71"/>
      <c r="I110" s="7"/>
      <c r="J110" s="7"/>
      <c r="O110" s="34"/>
      <c r="R110" s="7"/>
      <c r="S110" s="7"/>
      <c r="T110" s="7"/>
      <c r="U110" s="7"/>
      <c r="V110" s="7"/>
      <c r="W110" s="7"/>
      <c r="X110" s="7"/>
    </row>
    <row r="111">
      <c r="A111" s="7"/>
      <c r="B111" s="34"/>
      <c r="C111" s="50"/>
      <c r="D111" s="50"/>
      <c r="E111" s="50"/>
      <c r="F111" s="50"/>
      <c r="G111" s="7"/>
      <c r="H111" s="71"/>
      <c r="I111" s="7"/>
      <c r="J111" s="7"/>
      <c r="O111" s="34"/>
      <c r="R111" s="7"/>
      <c r="S111" s="7"/>
      <c r="T111" s="7"/>
      <c r="U111" s="7"/>
      <c r="V111" s="7"/>
      <c r="W111" s="7"/>
      <c r="X111" s="7"/>
    </row>
    <row r="112">
      <c r="A112" s="7"/>
      <c r="B112" s="34"/>
      <c r="C112" s="50"/>
      <c r="D112" s="50"/>
      <c r="E112" s="50"/>
      <c r="F112" s="50"/>
      <c r="G112" s="7"/>
      <c r="H112" s="71"/>
      <c r="I112" s="7"/>
      <c r="J112" s="7"/>
      <c r="O112" s="34"/>
      <c r="R112" s="7"/>
      <c r="S112" s="7"/>
      <c r="T112" s="7"/>
      <c r="U112" s="7"/>
      <c r="V112" s="7"/>
      <c r="W112" s="7"/>
      <c r="X112" s="7"/>
    </row>
    <row r="113">
      <c r="A113" s="7"/>
      <c r="B113" s="34"/>
      <c r="C113" s="50"/>
      <c r="D113" s="50"/>
      <c r="E113" s="50"/>
      <c r="F113" s="50"/>
      <c r="G113" s="50"/>
      <c r="H113" s="73"/>
      <c r="I113" s="7"/>
      <c r="J113" s="7"/>
      <c r="O113" s="34"/>
      <c r="R113" s="7"/>
      <c r="S113" s="7"/>
      <c r="T113" s="7"/>
      <c r="U113" s="7"/>
      <c r="V113" s="7"/>
      <c r="W113" s="7"/>
      <c r="X113" s="7"/>
    </row>
    <row r="114">
      <c r="A114" s="7"/>
      <c r="B114" s="34"/>
      <c r="C114" s="50"/>
      <c r="D114" s="50"/>
      <c r="E114" s="50"/>
      <c r="F114" s="50"/>
      <c r="G114" s="50"/>
      <c r="H114" s="73"/>
      <c r="I114" s="7"/>
      <c r="J114" s="7"/>
      <c r="O114" s="34"/>
      <c r="R114" s="7"/>
      <c r="S114" s="7"/>
      <c r="T114" s="7"/>
      <c r="U114" s="7"/>
      <c r="V114" s="7"/>
      <c r="W114" s="7"/>
      <c r="X114" s="7"/>
    </row>
    <row r="115">
      <c r="A115" s="7"/>
      <c r="B115" s="34"/>
      <c r="C115" s="50"/>
      <c r="D115" s="50"/>
      <c r="E115" s="50"/>
      <c r="F115" s="50"/>
      <c r="G115" s="50"/>
      <c r="H115" s="73"/>
      <c r="I115" s="7"/>
      <c r="J115" s="7"/>
      <c r="O115" s="34"/>
      <c r="R115" s="7"/>
      <c r="S115" s="7"/>
      <c r="T115" s="7"/>
      <c r="U115" s="7"/>
      <c r="V115" s="7"/>
      <c r="W115" s="7"/>
      <c r="X115" s="7"/>
    </row>
    <row r="116">
      <c r="A116" s="7"/>
      <c r="B116" s="34"/>
      <c r="C116" s="50"/>
      <c r="D116" s="50"/>
      <c r="E116" s="50"/>
      <c r="F116" s="50"/>
      <c r="G116" s="7"/>
      <c r="H116" s="73"/>
      <c r="I116" s="7"/>
      <c r="J116" s="7"/>
      <c r="O116" s="34"/>
      <c r="R116" s="7"/>
      <c r="S116" s="7"/>
      <c r="T116" s="7"/>
      <c r="U116" s="7"/>
      <c r="V116" s="7"/>
      <c r="W116" s="7"/>
      <c r="X116" s="7"/>
    </row>
    <row r="117">
      <c r="A117" s="7"/>
      <c r="B117" s="34"/>
      <c r="C117" s="50"/>
      <c r="D117" s="50"/>
      <c r="E117" s="50"/>
      <c r="F117" s="50"/>
      <c r="G117" s="7"/>
      <c r="H117" s="7"/>
      <c r="I117" s="7"/>
      <c r="J117" s="7"/>
      <c r="O117" s="34"/>
      <c r="R117" s="7"/>
      <c r="S117" s="7"/>
      <c r="T117" s="7"/>
      <c r="U117" s="7"/>
      <c r="V117" s="7"/>
      <c r="W117" s="7"/>
      <c r="X117" s="7"/>
    </row>
    <row r="118">
      <c r="A118" s="7"/>
      <c r="B118" s="34"/>
      <c r="C118" s="7"/>
      <c r="D118" s="7"/>
      <c r="E118" s="50"/>
      <c r="F118" s="50"/>
      <c r="G118" s="50"/>
      <c r="H118" s="50"/>
      <c r="I118" s="7"/>
      <c r="J118" s="7"/>
      <c r="O118" s="34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Q119" s="34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Q120" s="34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Q121" s="34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Q122" s="34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Q123" s="34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Q124" s="34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Q125" s="34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Q791" s="7"/>
      <c r="R791" s="7"/>
      <c r="S791" s="7"/>
      <c r="T791" s="7"/>
      <c r="U791" s="7"/>
      <c r="V791" s="7"/>
      <c r="W791" s="7"/>
      <c r="X791" s="7"/>
    </row>
  </sheetData>
  <mergeCells count="52">
    <mergeCell ref="B1:C2"/>
    <mergeCell ref="D1:E2"/>
    <mergeCell ref="F1:G2"/>
    <mergeCell ref="H1:I2"/>
    <mergeCell ref="J1:K2"/>
    <mergeCell ref="L1:M2"/>
    <mergeCell ref="N1:O2"/>
    <mergeCell ref="B3:C3"/>
    <mergeCell ref="D3:E3"/>
    <mergeCell ref="F3:G3"/>
    <mergeCell ref="H3:I3"/>
    <mergeCell ref="J3:K3"/>
    <mergeCell ref="L3:M3"/>
    <mergeCell ref="N3:O3"/>
    <mergeCell ref="J13:K13"/>
    <mergeCell ref="L13:M13"/>
    <mergeCell ref="N13:O13"/>
    <mergeCell ref="B4:C5"/>
    <mergeCell ref="B6:C9"/>
    <mergeCell ref="B10:C11"/>
    <mergeCell ref="B13:C13"/>
    <mergeCell ref="D13:E13"/>
    <mergeCell ref="F13:G13"/>
    <mergeCell ref="H13:I13"/>
    <mergeCell ref="B23:C23"/>
    <mergeCell ref="D23:E23"/>
    <mergeCell ref="F23:G23"/>
    <mergeCell ref="H23:I23"/>
    <mergeCell ref="J23:K23"/>
    <mergeCell ref="L23:M23"/>
    <mergeCell ref="N23:O23"/>
    <mergeCell ref="B33:C33"/>
    <mergeCell ref="D33:E33"/>
    <mergeCell ref="F33:G33"/>
    <mergeCell ref="H33:I33"/>
    <mergeCell ref="J33:K33"/>
    <mergeCell ref="L33:M33"/>
    <mergeCell ref="N33:O33"/>
    <mergeCell ref="B53:C53"/>
    <mergeCell ref="D53:E53"/>
    <mergeCell ref="F53:G53"/>
    <mergeCell ref="H53:I53"/>
    <mergeCell ref="J53:K53"/>
    <mergeCell ref="L53:M53"/>
    <mergeCell ref="N53:O53"/>
    <mergeCell ref="B43:C43"/>
    <mergeCell ref="D43:E43"/>
    <mergeCell ref="F43:G43"/>
    <mergeCell ref="H43:I43"/>
    <mergeCell ref="J43:K43"/>
    <mergeCell ref="L43:M43"/>
    <mergeCell ref="N43:O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2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147</v>
      </c>
    </row>
    <row r="2" ht="30.75" customHeight="1">
      <c r="A2" s="76" t="s">
        <v>148</v>
      </c>
      <c r="B2" s="76" t="s">
        <v>149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2" t="s">
        <v>178</v>
      </c>
    </row>
    <row r="3">
      <c r="A3" s="83" t="s">
        <v>28</v>
      </c>
      <c r="B3" s="84" t="s">
        <v>179</v>
      </c>
      <c r="C3" s="85">
        <f>SUM('Game Results'!C246+'Game Results'!C678+'Game Results'!C779+'Game Results'!C804+'Game Results'!C696+'Game Results'!C1049+'Game Results'!C1031+'Game Results'!C1049+'Game Results'!C311+'Game Results'!C329+'Game Results'!C1913+'Game Results'!C1895+'Game Results'!C1625+'Game Results'!C1607+'Game Results'!C257+'Game Results'!C473)</f>
        <v>14</v>
      </c>
      <c r="D3" s="85">
        <f>SUM('Game Results'!D246+'Game Results'!D678+'Game Results'!D779+'Game Results'!D804+'Game Results'!D696+'Game Results'!D1049+'Game Results'!D1031+'Game Results'!D1049+'Game Results'!D311+'Game Results'!D329+'Game Results'!D1913+'Game Results'!D1895+'Game Results'!D1625+'Game Results'!D1607+'Game Results'!D257+'Game Results'!D473)</f>
        <v>8</v>
      </c>
      <c r="E3" s="86">
        <f>SUM('Game Results'!E246+'Game Results'!E678+'Game Results'!E779+'Game Results'!E804+'Game Results'!E696+'Game Results'!E1049+'Game Results'!E1031+'Game Results'!E1049+'Game Results'!E311+'Game Results'!E329+'Game Results'!E1913+'Game Results'!E1895+'Game Results'!E1625+'Game Results'!E1607+'Game Results'!E257+'Game Results'!E473)</f>
        <v>419</v>
      </c>
      <c r="F3" s="85">
        <f>SUM('Game Results'!F246+'Game Results'!F678+'Game Results'!F779+'Game Results'!F804+'Game Results'!F696+'Game Results'!F1049+'Game Results'!F1031+'Game Results'!F1049+'Game Results'!F311+'Game Results'!F329+'Game Results'!F1913+'Game Results'!F1895+'Game Results'!F1625+'Game Results'!F1607+'Game Results'!F257+'Game Results'!F473)</f>
        <v>4</v>
      </c>
      <c r="G3" s="85">
        <f>SUM('Game Results'!G246+'Game Results'!G678+'Game Results'!G779+'Game Results'!G804+'Game Results'!G696+'Game Results'!G1049+'Game Results'!G1031+'Game Results'!G1049+'Game Results'!G311+'Game Results'!G329+'Game Results'!G1913+'Game Results'!G1895+'Game Results'!G1625+'Game Results'!G1607+'Game Results'!G257+'Game Results'!G473)</f>
        <v>1276</v>
      </c>
      <c r="H3" s="85">
        <f>SUM('Game Results'!H246+'Game Results'!H678+'Game Results'!H779+'Game Results'!H804+'Game Results'!H696+'Game Results'!H1049+'Game Results'!H1031+'Game Results'!H1049+'Game Results'!H311+'Game Results'!H329+'Game Results'!H1913+'Game Results'!H1895+'Game Results'!H1625+'Game Results'!H1607+'Game Results'!H257+'Game Results'!H473)</f>
        <v>2</v>
      </c>
      <c r="I3" s="85">
        <f>SUM('Game Results'!I246+'Game Results'!I678+'Game Results'!I779+'Game Results'!I804+'Game Results'!I696+'Game Results'!I1049+'Game Results'!I1031+'Game Results'!I1049+'Game Results'!I311+'Game Results'!I329+'Game Results'!I1913+'Game Results'!I1895+'Game Results'!I1625+'Game Results'!I1607+'Game Results'!I257+'Game Results'!I473)</f>
        <v>1388</v>
      </c>
      <c r="J3" s="85">
        <f>SUM('Game Results'!J246+'Game Results'!J678+'Game Results'!J779+'Game Results'!J804+'Game Results'!J696+'Game Results'!J1049+'Game Results'!J1031+'Game Results'!J1049+'Game Results'!J311+'Game Results'!J329+'Game Results'!J1913+'Game Results'!J1895+'Game Results'!J1625+'Game Results'!J1607+'Game Results'!J257+'Game Results'!J473)</f>
        <v>-112</v>
      </c>
      <c r="K3" s="87">
        <f t="shared" ref="K3:K79" si="1">SUM(G3/I3)</f>
        <v>0.9193083573</v>
      </c>
      <c r="L3" s="85">
        <f>SUM('Game Results'!L246+'Game Results'!L678+'Game Results'!L779+'Game Results'!L804+'Game Results'!L696+'Game Results'!L1049+'Game Results'!L1031+'Game Results'!L1049+'Game Results'!L311+'Game Results'!L329+'Game Results'!L1913+'Game Results'!L1895+'Game Results'!L1625+'Game Results'!L1607+'Game Results'!L257+'Game Results'!L473)</f>
        <v>239</v>
      </c>
      <c r="M3" s="85">
        <f>SUM('Game Results'!M246+'Game Results'!M678+'Game Results'!M779+'Game Results'!M804+'Game Results'!M696+'Game Results'!M1049+'Game Results'!M1031+'Game Results'!M1049+'Game Results'!M311+'Game Results'!M329+'Game Results'!M1913+'Game Results'!M1895+'Game Results'!M1625+'Game Results'!M1607+'Game Results'!M257+'Game Results'!M473)</f>
        <v>1527</v>
      </c>
      <c r="N3" s="85">
        <f>SUM('Game Results'!N246+'Game Results'!N678+'Game Results'!N779+'Game Results'!N804+'Game Results'!N696+'Game Results'!N1049+'Game Results'!N1031+'Game Results'!N1049+'Game Results'!N311+'Game Results'!N329+'Game Results'!N1913+'Game Results'!N1895+'Game Results'!N1625+'Game Results'!N1607+'Game Results'!N257+'Game Results'!N473)</f>
        <v>13</v>
      </c>
      <c r="O3" s="88">
        <f>SUM('Game Results'!O246+'Game Results'!O678+'Game Results'!O779+'Game Results'!O804+'Game Results'!O696+'Game Results'!O1049+'Game Results'!O1031+'Game Results'!O1049+'Game Results'!O311+'Game Results'!O329+'Game Results'!O1913+'Game Results'!O1895+'Game Results'!O1625+'Game Results'!O1607+'Game Results'!O257+'Game Results'!O473)</f>
        <v>419</v>
      </c>
      <c r="P3" s="85">
        <f>SUM('Game Results'!P246+'Game Results'!P678+'Game Results'!P779+'Game Results'!P804+'Game Results'!P696+'Game Results'!P1049+'Game Results'!P1031+'Game Results'!P1049+'Game Results'!P311+'Game Results'!P329+'Game Results'!P1913+'Game Results'!P1895+'Game Results'!P1625+'Game Results'!P1607+'Game Results'!P257+'Game Results'!P473)</f>
        <v>29</v>
      </c>
      <c r="Q3" s="85">
        <f>SUM('Game Results'!Q246+'Game Results'!Q678+'Game Results'!Q779+'Game Results'!Q804+'Game Results'!Q696+'Game Results'!Q1049+'Game Results'!Q1031+'Game Results'!Q1049+'Game Results'!Q311+'Game Results'!Q329+'Game Results'!Q1913+'Game Results'!Q1895+'Game Results'!Q1625+'Game Results'!Q1607+'Game Results'!Q257+'Game Results'!Q473)</f>
        <v>9</v>
      </c>
      <c r="R3" s="85">
        <f>SUM('Game Results'!R246+'Game Results'!R678+'Game Results'!R779+'Game Results'!R804+'Game Results'!R696+'Game Results'!R1049+'Game Results'!R1031+'Game Results'!R1049+'Game Results'!R311+'Game Results'!R329+'Game Results'!R1913+'Game Results'!R1895+'Game Results'!R1625+'Game Results'!R1607+'Game Results'!R257+'Game Results'!R473)</f>
        <v>98</v>
      </c>
      <c r="S3" s="85">
        <f>SUM('Game Results'!S246+'Game Results'!S678+'Game Results'!S779+'Game Results'!S804+'Game Results'!S696+'Game Results'!S1049+'Game Results'!S1031+'Game Results'!S1049+'Game Results'!S311+'Game Results'!S329+'Game Results'!S1913+'Game Results'!S1895+'Game Results'!S1625+'Game Results'!S1607+'Game Results'!S257+'Game Results'!S473)</f>
        <v>18</v>
      </c>
      <c r="T3" s="85">
        <f>SUM('Game Results'!T246+'Game Results'!T678+'Game Results'!T779+'Game Results'!T804+'Game Results'!T696+'Game Results'!T1049+'Game Results'!T1031+'Game Results'!T1049+'Game Results'!T311+'Game Results'!T329+'Game Results'!T1913+'Game Results'!T1895+'Game Results'!T1625+'Game Results'!T1607+'Game Results'!T257+'Game Results'!T473)</f>
        <v>151</v>
      </c>
      <c r="U3" s="85">
        <f>SUM('Game Results'!U246+'Game Results'!U678+'Game Results'!U779+'Game Results'!U804+'Game Results'!U696+'Game Results'!U1049+'Game Results'!U1031+'Game Results'!U1049+'Game Results'!U311+'Game Results'!U329+'Game Results'!U1913+'Game Results'!U1895+'Game Results'!U1625+'Game Results'!U1607+'Game Results'!U257+'Game Results'!U473)</f>
        <v>26</v>
      </c>
      <c r="V3" s="85">
        <f>SUM('Game Results'!V246+'Game Results'!V678+'Game Results'!V779+'Game Results'!V804+'Game Results'!V696+'Game Results'!V1049+'Game Results'!V1031+'Game Results'!V1049+'Game Results'!V311+'Game Results'!V329+'Game Results'!V1913+'Game Results'!V1895+'Game Results'!V1625+'Game Results'!V1607+'Game Results'!V257+'Game Results'!V473)</f>
        <v>7</v>
      </c>
      <c r="W3" s="85">
        <f>SUM('Game Results'!W246+'Game Results'!W678+'Game Results'!W779+'Game Results'!W804+'Game Results'!W696+'Game Results'!W1049+'Game Results'!W1031+'Game Results'!W1049+'Game Results'!W311+'Game Results'!W329+'Game Results'!W1913+'Game Results'!W1895+'Game Results'!W1625+'Game Results'!W1607+'Game Results'!W257+'Game Results'!W473)</f>
        <v>1</v>
      </c>
      <c r="X3" s="85">
        <f>SUM('Game Results'!X246+'Game Results'!X678+'Game Results'!X779+'Game Results'!X804+'Game Results'!X696+'Game Results'!X1049+'Game Results'!X1031+'Game Results'!X1049+'Game Results'!X311+'Game Results'!X329+'Game Results'!X1913+'Game Results'!X1895+'Game Results'!X1625+'Game Results'!X1607+'Game Results'!X257+'Game Results'!X473)</f>
        <v>1</v>
      </c>
      <c r="Y3" s="85">
        <f>SUM('Game Results'!Y246+'Game Results'!Y678+'Game Results'!Y779+'Game Results'!Y804+'Game Results'!Y696+'Game Results'!Y1049+'Game Results'!Y1031+'Game Results'!Y1049+'Game Results'!Y311+'Game Results'!Y329+'Game Results'!Y1913+'Game Results'!Y1895+'Game Results'!Y1625+'Game Results'!Y1607+'Game Results'!Y257+'Game Results'!Y473)</f>
        <v>0</v>
      </c>
      <c r="Z3" s="85">
        <f>SUM('Game Results'!Z246+'Game Results'!Z678+'Game Results'!Z779+'Game Results'!Z804+'Game Results'!Z696+'Game Results'!Z1049+'Game Results'!Z1031+'Game Results'!Z1049+'Game Results'!Z311+'Game Results'!Z329+'Game Results'!Z1913+'Game Results'!Z1895+'Game Results'!Z1625+'Game Results'!Z1607+'Game Results'!Z257+'Game Results'!Z473)</f>
        <v>0</v>
      </c>
      <c r="AA3" s="85">
        <f>SUM('Game Results'!AA246+'Game Results'!AA678+'Game Results'!AA779+'Game Results'!AA804+'Game Results'!AA696+'Game Results'!AA1049+'Game Results'!AA1031+'Game Results'!AA1049+'Game Results'!AA311+'Game Results'!AA329+'Game Results'!AA1913+'Game Results'!AA1895+'Game Results'!AA1625+'Game Results'!AA1607+'Game Results'!AA257+'Game Results'!AA473)</f>
        <v>0</v>
      </c>
      <c r="AB3" s="85">
        <f>SUM('Game Results'!AB246+'Game Results'!AB678+'Game Results'!AB779+'Game Results'!AB804+'Game Results'!AB696+'Game Results'!AB1049+'Game Results'!AB1031+'Game Results'!AB1049+'Game Results'!AB311+'Game Results'!AB329+'Game Results'!AB1913+'Game Results'!AB1895+'Game Results'!AB1625+'Game Results'!AB1607+'Game Results'!AB257+'Game Results'!AB473)</f>
        <v>0</v>
      </c>
      <c r="AC3" s="85">
        <f>SUM('Game Results'!AC246+'Game Results'!AC678+'Game Results'!AC779+'Game Results'!AC804+'Game Results'!AC696+'Game Results'!AC1049+'Game Results'!AC1031+'Game Results'!AC1049+'Game Results'!AC311+'Game Results'!AC329+'Game Results'!AC1913+'Game Results'!AC1895+'Game Results'!AC1625+'Game Results'!AC1607+'Game Results'!AC257+'Game Results'!AC473)</f>
        <v>19</v>
      </c>
      <c r="AD3" s="85">
        <f>SUM('Game Results'!AD246+'Game Results'!AD678+'Game Results'!AD779+'Game Results'!AD804+'Game Results'!AD696+'Game Results'!AD1049+'Game Results'!AD1031+'Game Results'!AD1049+'Game Results'!AD311+'Game Results'!AD329+'Game Results'!AD1913+'Game Results'!AD1895+'Game Results'!AD1625+'Game Results'!AD1607+'Game Results'!AD257+'Game Results'!AD473)</f>
        <v>0</v>
      </c>
      <c r="AE3" s="85">
        <f>SUM('Game Results'!AE246+'Game Results'!AE678+'Game Results'!AE779+'Game Results'!AE804+'Game Results'!AE696+'Game Results'!AE1049+'Game Results'!AE1031+'Game Results'!AE1049+'Game Results'!AE311+'Game Results'!AE329+'Game Results'!AE1913+'Game Results'!AE1895+'Game Results'!AE1625+'Game Results'!AE1607+'Game Results'!AE257+'Game Results'!AE473)</f>
        <v>0</v>
      </c>
      <c r="AF3" s="85">
        <f>SUM('Game Results'!AF246+'Game Results'!AF678+'Game Results'!AF779+'Game Results'!AF804+'Game Results'!AF696+'Game Results'!AF1049+'Game Results'!AF1031+'Game Results'!AF1049+'Game Results'!AF311+'Game Results'!AF329+'Game Results'!AF1913+'Game Results'!AF1895+'Game Results'!AF1625+'Game Results'!AF1607+'Game Results'!AF257+'Game Results'!AF473)</f>
        <v>0</v>
      </c>
      <c r="AG3" s="85">
        <f>SUM('Game Results'!AG246+'Game Results'!AG678+'Game Results'!AG779+'Game Results'!AG804+'Game Results'!AG696+'Game Results'!AG1049+'Game Results'!AG1031+'Game Results'!AG1049+'Game Results'!AG311+'Game Results'!AG329+'Game Results'!AG1913+'Game Results'!AG1895+'Game Results'!AG1625+'Game Results'!AG1607+'Game Results'!AG257+'Game Results'!AG473)</f>
        <v>1</v>
      </c>
      <c r="AH3" s="85">
        <f>SUM('Game Results'!AH246+'Game Results'!AH678+'Game Results'!AH779+'Game Results'!AH804+'Game Results'!AH696+'Game Results'!AH1049+'Game Results'!AH1031+'Game Results'!AH1049+'Game Results'!AH311+'Game Results'!AH329+'Game Results'!AH1913+'Game Results'!AH1895+'Game Results'!AH1625+'Game Results'!AH1607+'Game Results'!AH257+'Game Results'!AH473)</f>
        <v>0</v>
      </c>
    </row>
    <row r="4">
      <c r="A4" s="83" t="s">
        <v>28</v>
      </c>
      <c r="B4" s="84" t="s">
        <v>180</v>
      </c>
      <c r="C4" s="85">
        <f>SUM('Game Results'!C247+'Game Results'!C679+'Game Results'!C780+'Game Results'!C805+'Game Results'!C697+'Game Results'!C1050+'Game Results'!C1032+'Game Results'!C1050+'Game Results'!C312+'Game Results'!C330+'Game Results'!C1914+'Game Results'!C1896+'Game Results'!C1626+'Game Results'!C1608+'Game Results'!C258+'Game Results'!C474)</f>
        <v>16</v>
      </c>
      <c r="D4" s="85">
        <f>SUM('Game Results'!D247+'Game Results'!D679+'Game Results'!D780+'Game Results'!D805+'Game Results'!D697+'Game Results'!D1050+'Game Results'!D1032+'Game Results'!D1050+'Game Results'!D312+'Game Results'!D330+'Game Results'!D1914+'Game Results'!D1896+'Game Results'!D1626+'Game Results'!D1608+'Game Results'!D258+'Game Results'!D474)</f>
        <v>10</v>
      </c>
      <c r="E4" s="86">
        <f>SUM('Game Results'!E247+'Game Results'!E679+'Game Results'!E780+'Game Results'!E805+'Game Results'!E697+'Game Results'!E1050+'Game Results'!E1032+'Game Results'!E1050+'Game Results'!E312+'Game Results'!E330+'Game Results'!E1914+'Game Results'!E1896+'Game Results'!E1626+'Game Results'!E1608+'Game Results'!E258+'Game Results'!E474)</f>
        <v>454</v>
      </c>
      <c r="F4" s="85">
        <f>SUM('Game Results'!F247+'Game Results'!F679+'Game Results'!F780+'Game Results'!F805+'Game Results'!F697+'Game Results'!F1050+'Game Results'!F1032+'Game Results'!F1050+'Game Results'!F312+'Game Results'!F330+'Game Results'!F1914+'Game Results'!F1896+'Game Results'!F1626+'Game Results'!F1608+'Game Results'!F258+'Game Results'!F474)</f>
        <v>5</v>
      </c>
      <c r="G4" s="85">
        <f>SUM('Game Results'!G247+'Game Results'!G679+'Game Results'!G780+'Game Results'!G805+'Game Results'!G697+'Game Results'!G1050+'Game Results'!G1032+'Game Results'!G1050+'Game Results'!G312+'Game Results'!G330+'Game Results'!G1914+'Game Results'!G1896+'Game Results'!G1626+'Game Results'!G1608+'Game Results'!G258+'Game Results'!G474)</f>
        <v>1723</v>
      </c>
      <c r="H4" s="85">
        <f>SUM('Game Results'!H247+'Game Results'!H679+'Game Results'!H780+'Game Results'!H805+'Game Results'!H697+'Game Results'!H1050+'Game Results'!H1032+'Game Results'!H1050+'Game Results'!H312+'Game Results'!H330+'Game Results'!H1914+'Game Results'!H1896+'Game Results'!H1626+'Game Results'!H1608+'Game Results'!H258+'Game Results'!H474)</f>
        <v>6</v>
      </c>
      <c r="I4" s="85">
        <f>SUM('Game Results'!I247+'Game Results'!I679+'Game Results'!I780+'Game Results'!I805+'Game Results'!I697+'Game Results'!I1050+'Game Results'!I1032+'Game Results'!I1050+'Game Results'!I312+'Game Results'!I330+'Game Results'!I1914+'Game Results'!I1896+'Game Results'!I1626+'Game Results'!I1608+'Game Results'!I258+'Game Results'!I474)</f>
        <v>1499</v>
      </c>
      <c r="J4" s="85">
        <f>SUM('Game Results'!J247+'Game Results'!J679+'Game Results'!J780+'Game Results'!J805+'Game Results'!J697+'Game Results'!J1050+'Game Results'!J1032+'Game Results'!J1050+'Game Results'!J312+'Game Results'!J330+'Game Results'!J1914+'Game Results'!J1896+'Game Results'!J1626+'Game Results'!J1608+'Game Results'!J258+'Game Results'!J474)</f>
        <v>224</v>
      </c>
      <c r="K4" s="87">
        <f t="shared" si="1"/>
        <v>1.149432955</v>
      </c>
      <c r="L4" s="85">
        <f>SUM('Game Results'!L247+'Game Results'!L679+'Game Results'!L780+'Game Results'!L805+'Game Results'!L697+'Game Results'!L1050+'Game Results'!L1032+'Game Results'!L1050+'Game Results'!L312+'Game Results'!L330+'Game Results'!L1914+'Game Results'!L1896+'Game Results'!L1626+'Game Results'!L1608+'Game Results'!L258+'Game Results'!L474)</f>
        <v>263</v>
      </c>
      <c r="M4" s="85">
        <f>SUM('Game Results'!M247+'Game Results'!M679+'Game Results'!M780+'Game Results'!M805+'Game Results'!M697+'Game Results'!M1050+'Game Results'!M1032+'Game Results'!M1050+'Game Results'!M312+'Game Results'!M330+'Game Results'!M1914+'Game Results'!M1896+'Game Results'!M1626+'Game Results'!M1608+'Game Results'!M258+'Game Results'!M474)</f>
        <v>2175</v>
      </c>
      <c r="N4" s="85">
        <f>SUM('Game Results'!N247+'Game Results'!N679+'Game Results'!N780+'Game Results'!N805+'Game Results'!N697+'Game Results'!N1050+'Game Results'!N1032+'Game Results'!N1050+'Game Results'!N312+'Game Results'!N330+'Game Results'!N1914+'Game Results'!N1896+'Game Results'!N1626+'Game Results'!N1608+'Game Results'!N258+'Game Results'!N474)</f>
        <v>13</v>
      </c>
      <c r="O4" s="88">
        <f>SUM('Game Results'!O247+'Game Results'!O679+'Game Results'!O780+'Game Results'!O805+'Game Results'!O697+'Game Results'!O1050+'Game Results'!O1032+'Game Results'!O1050+'Game Results'!O312+'Game Results'!O330+'Game Results'!O1914+'Game Results'!O1896+'Game Results'!O1626+'Game Results'!O1608+'Game Results'!O258+'Game Results'!O474)</f>
        <v>419</v>
      </c>
      <c r="P4" s="85">
        <f>SUM('Game Results'!P247+'Game Results'!P679+'Game Results'!P780+'Game Results'!P805+'Game Results'!P697+'Game Results'!P1050+'Game Results'!P1032+'Game Results'!P1050+'Game Results'!P312+'Game Results'!P330+'Game Results'!P1914+'Game Results'!P1896+'Game Results'!P1626+'Game Results'!P1608+'Game Results'!P258+'Game Results'!P474)</f>
        <v>84</v>
      </c>
      <c r="Q4" s="85">
        <f>SUM('Game Results'!Q247+'Game Results'!Q679+'Game Results'!Q780+'Game Results'!Q805+'Game Results'!Q697+'Game Results'!Q1050+'Game Results'!Q1032+'Game Results'!Q1050+'Game Results'!Q312+'Game Results'!Q330+'Game Results'!Q1914+'Game Results'!Q1896+'Game Results'!Q1626+'Game Results'!Q1608+'Game Results'!Q258+'Game Results'!Q474)</f>
        <v>29</v>
      </c>
      <c r="R4" s="85">
        <f>SUM('Game Results'!R247+'Game Results'!R679+'Game Results'!R780+'Game Results'!R805+'Game Results'!R697+'Game Results'!R1050+'Game Results'!R1032+'Game Results'!R1050+'Game Results'!R312+'Game Results'!R330+'Game Results'!R1914+'Game Results'!R1896+'Game Results'!R1626+'Game Results'!R1608+'Game Results'!R258+'Game Results'!R474)</f>
        <v>141</v>
      </c>
      <c r="S4" s="85">
        <f>SUM('Game Results'!S247+'Game Results'!S679+'Game Results'!S780+'Game Results'!S805+'Game Results'!S697+'Game Results'!S1050+'Game Results'!S1032+'Game Results'!S1050+'Game Results'!S312+'Game Results'!S330+'Game Results'!S1914+'Game Results'!S1896+'Game Results'!S1626+'Game Results'!S1608+'Game Results'!S258+'Game Results'!S474)</f>
        <v>20</v>
      </c>
      <c r="T4" s="85">
        <f>SUM('Game Results'!T247+'Game Results'!T679+'Game Results'!T780+'Game Results'!T805+'Game Results'!T697+'Game Results'!T1050+'Game Results'!T1032+'Game Results'!T1050+'Game Results'!T312+'Game Results'!T330+'Game Results'!T1914+'Game Results'!T1896+'Game Results'!T1626+'Game Results'!T1608+'Game Results'!T258+'Game Results'!T474)</f>
        <v>203</v>
      </c>
      <c r="U4" s="85">
        <f>SUM('Game Results'!U247+'Game Results'!U679+'Game Results'!U780+'Game Results'!U805+'Game Results'!U697+'Game Results'!U1050+'Game Results'!U1032+'Game Results'!U1050+'Game Results'!U312+'Game Results'!U330+'Game Results'!U1914+'Game Results'!U1896+'Game Results'!U1626+'Game Results'!U1608+'Game Results'!U258+'Game Results'!U474)</f>
        <v>30</v>
      </c>
      <c r="V4" s="85">
        <f>SUM('Game Results'!V247+'Game Results'!V679+'Game Results'!V780+'Game Results'!V805+'Game Results'!V697+'Game Results'!V1050+'Game Results'!V1032+'Game Results'!V1050+'Game Results'!V312+'Game Results'!V330+'Game Results'!V1914+'Game Results'!V1896+'Game Results'!V1626+'Game Results'!V1608+'Game Results'!V258+'Game Results'!V474)</f>
        <v>9</v>
      </c>
      <c r="W4" s="85">
        <f>SUM('Game Results'!W247+'Game Results'!W679+'Game Results'!W780+'Game Results'!W805+'Game Results'!W697+'Game Results'!W1050+'Game Results'!W1032+'Game Results'!W1050+'Game Results'!W312+'Game Results'!W330+'Game Results'!W1914+'Game Results'!W1896+'Game Results'!W1626+'Game Results'!W1608+'Game Results'!W258+'Game Results'!W474)</f>
        <v>4</v>
      </c>
      <c r="X4" s="85">
        <f>SUM('Game Results'!X247+'Game Results'!X679+'Game Results'!X780+'Game Results'!X805+'Game Results'!X697+'Game Results'!X1050+'Game Results'!X1032+'Game Results'!X1050+'Game Results'!X312+'Game Results'!X330+'Game Results'!X1914+'Game Results'!X1896+'Game Results'!X1626+'Game Results'!X1608+'Game Results'!X258+'Game Results'!X474)</f>
        <v>1</v>
      </c>
      <c r="Y4" s="85">
        <f>SUM('Game Results'!Y247+'Game Results'!Y679+'Game Results'!Y780+'Game Results'!Y805+'Game Results'!Y697+'Game Results'!Y1050+'Game Results'!Y1032+'Game Results'!Y1050+'Game Results'!Y312+'Game Results'!Y330+'Game Results'!Y1914+'Game Results'!Y1896+'Game Results'!Y1626+'Game Results'!Y1608+'Game Results'!Y258+'Game Results'!Y474)</f>
        <v>0</v>
      </c>
      <c r="Z4" s="85">
        <f>SUM('Game Results'!Z247+'Game Results'!Z679+'Game Results'!Z780+'Game Results'!Z805+'Game Results'!Z697+'Game Results'!Z1050+'Game Results'!Z1032+'Game Results'!Z1050+'Game Results'!Z312+'Game Results'!Z330+'Game Results'!Z1914+'Game Results'!Z1896+'Game Results'!Z1626+'Game Results'!Z1608+'Game Results'!Z258+'Game Results'!Z474)</f>
        <v>0</v>
      </c>
      <c r="AA4" s="85">
        <f>SUM('Game Results'!AA247+'Game Results'!AA679+'Game Results'!AA780+'Game Results'!AA805+'Game Results'!AA697+'Game Results'!AA1050+'Game Results'!AA1032+'Game Results'!AA1050+'Game Results'!AA312+'Game Results'!AA330+'Game Results'!AA1914+'Game Results'!AA1896+'Game Results'!AA1626+'Game Results'!AA1608+'Game Results'!AA258+'Game Results'!AA474)</f>
        <v>0</v>
      </c>
      <c r="AB4" s="85">
        <f>SUM('Game Results'!AB247+'Game Results'!AB679+'Game Results'!AB780+'Game Results'!AB805+'Game Results'!AB697+'Game Results'!AB1050+'Game Results'!AB1032+'Game Results'!AB1050+'Game Results'!AB312+'Game Results'!AB330+'Game Results'!AB1914+'Game Results'!AB1896+'Game Results'!AB1626+'Game Results'!AB1608+'Game Results'!AB258+'Game Results'!AB474)</f>
        <v>0</v>
      </c>
      <c r="AC4" s="85">
        <f>SUM('Game Results'!AC247+'Game Results'!AC679+'Game Results'!AC780+'Game Results'!AC805+'Game Results'!AC697+'Game Results'!AC1050+'Game Results'!AC1032+'Game Results'!AC1050+'Game Results'!AC312+'Game Results'!AC330+'Game Results'!AC1914+'Game Results'!AC1896+'Game Results'!AC1626+'Game Results'!AC1608+'Game Results'!AC258+'Game Results'!AC474)</f>
        <v>44</v>
      </c>
      <c r="AD4" s="85">
        <f>SUM('Game Results'!AD247+'Game Results'!AD679+'Game Results'!AD780+'Game Results'!AD805+'Game Results'!AD697+'Game Results'!AD1050+'Game Results'!AD1032+'Game Results'!AD1050+'Game Results'!AD312+'Game Results'!AD330+'Game Results'!AD1914+'Game Results'!AD1896+'Game Results'!AD1626+'Game Results'!AD1608+'Game Results'!AD258+'Game Results'!AD474)</f>
        <v>1</v>
      </c>
      <c r="AE4" s="85">
        <f>SUM('Game Results'!AE247+'Game Results'!AE679+'Game Results'!AE780+'Game Results'!AE805+'Game Results'!AE697+'Game Results'!AE1050+'Game Results'!AE1032+'Game Results'!AE1050+'Game Results'!AE312+'Game Results'!AE330+'Game Results'!AE1914+'Game Results'!AE1896+'Game Results'!AE1626+'Game Results'!AE1608+'Game Results'!AE258+'Game Results'!AE474)</f>
        <v>0</v>
      </c>
      <c r="AF4" s="85">
        <f>SUM('Game Results'!AF247+'Game Results'!AF679+'Game Results'!AF780+'Game Results'!AF805+'Game Results'!AF697+'Game Results'!AF1050+'Game Results'!AF1032+'Game Results'!AF1050+'Game Results'!AF312+'Game Results'!AF330+'Game Results'!AF1914+'Game Results'!AF1896+'Game Results'!AF1626+'Game Results'!AF1608+'Game Results'!AF258+'Game Results'!AF474)</f>
        <v>0</v>
      </c>
      <c r="AG4" s="85">
        <f>SUM('Game Results'!AG247+'Game Results'!AG679+'Game Results'!AG780+'Game Results'!AG805+'Game Results'!AG697+'Game Results'!AG1050+'Game Results'!AG1032+'Game Results'!AG1050+'Game Results'!AG312+'Game Results'!AG330+'Game Results'!AG1914+'Game Results'!AG1896+'Game Results'!AG1626+'Game Results'!AG1608+'Game Results'!AG258+'Game Results'!AG474)</f>
        <v>1</v>
      </c>
      <c r="AH4" s="85">
        <f>SUM('Game Results'!AH247+'Game Results'!AH679+'Game Results'!AH780+'Game Results'!AH805+'Game Results'!AH697+'Game Results'!AH1050+'Game Results'!AH1032+'Game Results'!AH1050+'Game Results'!AH312+'Game Results'!AH330+'Game Results'!AH1914+'Game Results'!AH1896+'Game Results'!AH1626+'Game Results'!AH1608+'Game Results'!AH258+'Game Results'!AH474)</f>
        <v>2</v>
      </c>
    </row>
    <row r="5">
      <c r="A5" s="83" t="s">
        <v>28</v>
      </c>
      <c r="B5" s="84" t="s">
        <v>181</v>
      </c>
      <c r="C5" s="85">
        <f>SUM('Game Results'!C248+'Game Results'!C680+'Game Results'!C781+'Game Results'!C806+'Game Results'!C698+'Game Results'!C1051+'Game Results'!C1033+'Game Results'!C1051+'Game Results'!C313+'Game Results'!C331+'Game Results'!C1915+'Game Results'!C1897+'Game Results'!C1627+'Game Results'!C1609+'Game Results'!C259+'Game Results'!C475)</f>
        <v>16</v>
      </c>
      <c r="D5" s="85">
        <f>SUM('Game Results'!D248+'Game Results'!D680+'Game Results'!D781+'Game Results'!D806+'Game Results'!D698+'Game Results'!D1051+'Game Results'!D1033+'Game Results'!D1051+'Game Results'!D313+'Game Results'!D331+'Game Results'!D1915+'Game Results'!D1897+'Game Results'!D1627+'Game Results'!D1609+'Game Results'!D259+'Game Results'!D475)</f>
        <v>10</v>
      </c>
      <c r="E5" s="86">
        <f>SUM('Game Results'!E248+'Game Results'!E680+'Game Results'!E781+'Game Results'!E806+'Game Results'!E698+'Game Results'!E1051+'Game Results'!E1033+'Game Results'!E1051+'Game Results'!E313+'Game Results'!E331+'Game Results'!E1915+'Game Results'!E1897+'Game Results'!E1627+'Game Results'!E1609+'Game Results'!E259+'Game Results'!E475)</f>
        <v>454</v>
      </c>
      <c r="F5" s="85">
        <f>SUM('Game Results'!F248+'Game Results'!F680+'Game Results'!F781+'Game Results'!F806+'Game Results'!F698+'Game Results'!F1051+'Game Results'!F1033+'Game Results'!F1051+'Game Results'!F313+'Game Results'!F331+'Game Results'!F1915+'Game Results'!F1897+'Game Results'!F1627+'Game Results'!F1609+'Game Results'!F259+'Game Results'!F475)</f>
        <v>13</v>
      </c>
      <c r="G5" s="85">
        <f>SUM('Game Results'!G248+'Game Results'!G680+'Game Results'!G781+'Game Results'!G806+'Game Results'!G698+'Game Results'!G1051+'Game Results'!G1033+'Game Results'!G1051+'Game Results'!G313+'Game Results'!G331+'Game Results'!G1915+'Game Results'!G1897+'Game Results'!G1627+'Game Results'!G1609+'Game Results'!G259+'Game Results'!G475)</f>
        <v>1748</v>
      </c>
      <c r="H5" s="85">
        <f>SUM('Game Results'!H248+'Game Results'!H680+'Game Results'!H781+'Game Results'!H806+'Game Results'!H698+'Game Results'!H1051+'Game Results'!H1033+'Game Results'!H1051+'Game Results'!H313+'Game Results'!H331+'Game Results'!H1915+'Game Results'!H1897+'Game Results'!H1627+'Game Results'!H1609+'Game Results'!H259+'Game Results'!H475)</f>
        <v>11</v>
      </c>
      <c r="I5" s="85">
        <f>SUM('Game Results'!I248+'Game Results'!I680+'Game Results'!I781+'Game Results'!I806+'Game Results'!I698+'Game Results'!I1051+'Game Results'!I1033+'Game Results'!I1051+'Game Results'!I313+'Game Results'!I331+'Game Results'!I1915+'Game Results'!I1897+'Game Results'!I1627+'Game Results'!I1609+'Game Results'!I259+'Game Results'!I475)</f>
        <v>1684</v>
      </c>
      <c r="J5" s="85">
        <f>SUM('Game Results'!J248+'Game Results'!J680+'Game Results'!J781+'Game Results'!J806+'Game Results'!J698+'Game Results'!J1051+'Game Results'!J1033+'Game Results'!J1051+'Game Results'!J313+'Game Results'!J331+'Game Results'!J1915+'Game Results'!J1897+'Game Results'!J1627+'Game Results'!J1609+'Game Results'!J259+'Game Results'!J475)</f>
        <v>64</v>
      </c>
      <c r="K5" s="87">
        <f t="shared" si="1"/>
        <v>1.038004751</v>
      </c>
      <c r="L5" s="85">
        <f>SUM('Game Results'!L248+'Game Results'!L680+'Game Results'!L781+'Game Results'!L806+'Game Results'!L698+'Game Results'!L1051+'Game Results'!L1033+'Game Results'!L1051+'Game Results'!L313+'Game Results'!L331+'Game Results'!L1915+'Game Results'!L1897+'Game Results'!L1627+'Game Results'!L1609+'Game Results'!L259+'Game Results'!L475)</f>
        <v>226</v>
      </c>
      <c r="M5" s="85">
        <f>SUM('Game Results'!M248+'Game Results'!M680+'Game Results'!M781+'Game Results'!M806+'Game Results'!M698+'Game Results'!M1051+'Game Results'!M1033+'Game Results'!M1051+'Game Results'!M313+'Game Results'!M331+'Game Results'!M1915+'Game Results'!M1897+'Game Results'!M1627+'Game Results'!M1609+'Game Results'!M259+'Game Results'!M475)</f>
        <v>2216</v>
      </c>
      <c r="N5" s="85">
        <f>SUM('Game Results'!N248+'Game Results'!N680+'Game Results'!N781+'Game Results'!N806+'Game Results'!N698+'Game Results'!N1051+'Game Results'!N1033+'Game Results'!N1051+'Game Results'!N313+'Game Results'!N331+'Game Results'!N1915+'Game Results'!N1897+'Game Results'!N1627+'Game Results'!N1609+'Game Results'!N259+'Game Results'!N475)</f>
        <v>13</v>
      </c>
      <c r="O5" s="88">
        <f>SUM('Game Results'!O248+'Game Results'!O680+'Game Results'!O781+'Game Results'!O806+'Game Results'!O698+'Game Results'!O1051+'Game Results'!O1033+'Game Results'!O1051+'Game Results'!O313+'Game Results'!O331+'Game Results'!O1915+'Game Results'!O1897+'Game Results'!O1627+'Game Results'!O1609+'Game Results'!O259+'Game Results'!O475)</f>
        <v>419</v>
      </c>
      <c r="P5" s="85">
        <f>SUM('Game Results'!P248+'Game Results'!P680+'Game Results'!P781+'Game Results'!P806+'Game Results'!P698+'Game Results'!P1051+'Game Results'!P1033+'Game Results'!P1051+'Game Results'!P313+'Game Results'!P331+'Game Results'!P1915+'Game Results'!P1897+'Game Results'!P1627+'Game Results'!P1609+'Game Results'!P259+'Game Results'!P475)</f>
        <v>75</v>
      </c>
      <c r="Q5" s="85">
        <f>SUM('Game Results'!Q248+'Game Results'!Q680+'Game Results'!Q781+'Game Results'!Q806+'Game Results'!Q698+'Game Results'!Q1051+'Game Results'!Q1033+'Game Results'!Q1051+'Game Results'!Q313+'Game Results'!Q331+'Game Results'!Q1915+'Game Results'!Q1897+'Game Results'!Q1627+'Game Results'!Q1609+'Game Results'!Q259+'Game Results'!Q475)</f>
        <v>25</v>
      </c>
      <c r="R5" s="85">
        <f>SUM('Game Results'!R248+'Game Results'!R680+'Game Results'!R781+'Game Results'!R806+'Game Results'!R698+'Game Results'!R1051+'Game Results'!R1033+'Game Results'!R1051+'Game Results'!R313+'Game Results'!R331+'Game Results'!R1915+'Game Results'!R1897+'Game Results'!R1627+'Game Results'!R1609+'Game Results'!R259+'Game Results'!R475)</f>
        <v>128</v>
      </c>
      <c r="S5" s="85">
        <f>SUM('Game Results'!S248+'Game Results'!S680+'Game Results'!S781+'Game Results'!S806+'Game Results'!S698+'Game Results'!S1051+'Game Results'!S1033+'Game Results'!S1051+'Game Results'!S313+'Game Results'!S331+'Game Results'!S1915+'Game Results'!S1897+'Game Results'!S1627+'Game Results'!S1609+'Game Results'!S259+'Game Results'!S475)</f>
        <v>27</v>
      </c>
      <c r="T5" s="85">
        <f>SUM('Game Results'!T248+'Game Results'!T680+'Game Results'!T781+'Game Results'!T806+'Game Results'!T698+'Game Results'!T1051+'Game Results'!T1033+'Game Results'!T1051+'Game Results'!T313+'Game Results'!T331+'Game Results'!T1915+'Game Results'!T1897+'Game Results'!T1627+'Game Results'!T1609+'Game Results'!T259+'Game Results'!T475)</f>
        <v>219</v>
      </c>
      <c r="U5" s="85">
        <f>SUM('Game Results'!U248+'Game Results'!U680+'Game Results'!U781+'Game Results'!U806+'Game Results'!U698+'Game Results'!U1051+'Game Results'!U1033+'Game Results'!U1051+'Game Results'!U313+'Game Results'!U331+'Game Results'!U1915+'Game Results'!U1897+'Game Results'!U1627+'Game Results'!U1609+'Game Results'!U259+'Game Results'!U475)</f>
        <v>51</v>
      </c>
      <c r="V5" s="85">
        <f>SUM('Game Results'!V248+'Game Results'!V680+'Game Results'!V781+'Game Results'!V806+'Game Results'!V698+'Game Results'!V1051+'Game Results'!V1033+'Game Results'!V1051+'Game Results'!V313+'Game Results'!V331+'Game Results'!V1915+'Game Results'!V1897+'Game Results'!V1627+'Game Results'!V1609+'Game Results'!V259+'Game Results'!V475)</f>
        <v>10</v>
      </c>
      <c r="W5" s="85">
        <f>SUM('Game Results'!W248+'Game Results'!W680+'Game Results'!W781+'Game Results'!W806+'Game Results'!W698+'Game Results'!W1051+'Game Results'!W1033+'Game Results'!W1051+'Game Results'!W313+'Game Results'!W331+'Game Results'!W1915+'Game Results'!W1897+'Game Results'!W1627+'Game Results'!W1609+'Game Results'!W259+'Game Results'!W475)</f>
        <v>1</v>
      </c>
      <c r="X5" s="85">
        <f>SUM('Game Results'!X248+'Game Results'!X680+'Game Results'!X781+'Game Results'!X806+'Game Results'!X698+'Game Results'!X1051+'Game Results'!X1033+'Game Results'!X1051+'Game Results'!X313+'Game Results'!X331+'Game Results'!X1915+'Game Results'!X1897+'Game Results'!X1627+'Game Results'!X1609+'Game Results'!X259+'Game Results'!X475)</f>
        <v>0</v>
      </c>
      <c r="Y5" s="85">
        <f>SUM('Game Results'!Y248+'Game Results'!Y680+'Game Results'!Y781+'Game Results'!Y806+'Game Results'!Y698+'Game Results'!Y1051+'Game Results'!Y1033+'Game Results'!Y1051+'Game Results'!Y313+'Game Results'!Y331+'Game Results'!Y1915+'Game Results'!Y1897+'Game Results'!Y1627+'Game Results'!Y1609+'Game Results'!Y259+'Game Results'!Y475)</f>
        <v>0</v>
      </c>
      <c r="Z5" s="85">
        <f>SUM('Game Results'!Z248+'Game Results'!Z680+'Game Results'!Z781+'Game Results'!Z806+'Game Results'!Z698+'Game Results'!Z1051+'Game Results'!Z1033+'Game Results'!Z1051+'Game Results'!Z313+'Game Results'!Z331+'Game Results'!Z1915+'Game Results'!Z1897+'Game Results'!Z1627+'Game Results'!Z1609+'Game Results'!Z259+'Game Results'!Z475)</f>
        <v>0</v>
      </c>
      <c r="AA5" s="85">
        <f>SUM('Game Results'!AA248+'Game Results'!AA680+'Game Results'!AA781+'Game Results'!AA806+'Game Results'!AA698+'Game Results'!AA1051+'Game Results'!AA1033+'Game Results'!AA1051+'Game Results'!AA313+'Game Results'!AA331+'Game Results'!AA1915+'Game Results'!AA1897+'Game Results'!AA1627+'Game Results'!AA1609+'Game Results'!AA259+'Game Results'!AA475)</f>
        <v>0</v>
      </c>
      <c r="AB5" s="85">
        <f>SUM('Game Results'!AB248+'Game Results'!AB680+'Game Results'!AB781+'Game Results'!AB806+'Game Results'!AB698+'Game Results'!AB1051+'Game Results'!AB1033+'Game Results'!AB1051+'Game Results'!AB313+'Game Results'!AB331+'Game Results'!AB1915+'Game Results'!AB1897+'Game Results'!AB1627+'Game Results'!AB1609+'Game Results'!AB259+'Game Results'!AB475)</f>
        <v>0</v>
      </c>
      <c r="AC5" s="85">
        <f>SUM('Game Results'!AC248+'Game Results'!AC680+'Game Results'!AC781+'Game Results'!AC806+'Game Results'!AC698+'Game Results'!AC1051+'Game Results'!AC1033+'Game Results'!AC1051+'Game Results'!AC313+'Game Results'!AC331+'Game Results'!AC1915+'Game Results'!AC1897+'Game Results'!AC1627+'Game Results'!AC1609+'Game Results'!AC259+'Game Results'!AC475)</f>
        <v>36</v>
      </c>
      <c r="AD5" s="85">
        <f>SUM('Game Results'!AD248+'Game Results'!AD680+'Game Results'!AD781+'Game Results'!AD806+'Game Results'!AD698+'Game Results'!AD1051+'Game Results'!AD1033+'Game Results'!AD1051+'Game Results'!AD313+'Game Results'!AD331+'Game Results'!AD1915+'Game Results'!AD1897+'Game Results'!AD1627+'Game Results'!AD1609+'Game Results'!AD259+'Game Results'!AD475)</f>
        <v>2</v>
      </c>
      <c r="AE5" s="85">
        <f>SUM('Game Results'!AE248+'Game Results'!AE680+'Game Results'!AE781+'Game Results'!AE806+'Game Results'!AE698+'Game Results'!AE1051+'Game Results'!AE1033+'Game Results'!AE1051+'Game Results'!AE313+'Game Results'!AE331+'Game Results'!AE1915+'Game Results'!AE1897+'Game Results'!AE1627+'Game Results'!AE1609+'Game Results'!AE259+'Game Results'!AE475)</f>
        <v>0</v>
      </c>
      <c r="AF5" s="85">
        <f>SUM('Game Results'!AF248+'Game Results'!AF680+'Game Results'!AF781+'Game Results'!AF806+'Game Results'!AF698+'Game Results'!AF1051+'Game Results'!AF1033+'Game Results'!AF1051+'Game Results'!AF313+'Game Results'!AF331+'Game Results'!AF1915+'Game Results'!AF1897+'Game Results'!AF1627+'Game Results'!AF1609+'Game Results'!AF259+'Game Results'!AF475)</f>
        <v>0</v>
      </c>
      <c r="AG5" s="85">
        <f>SUM('Game Results'!AG248+'Game Results'!AG680+'Game Results'!AG781+'Game Results'!AG806+'Game Results'!AG698+'Game Results'!AG1051+'Game Results'!AG1033+'Game Results'!AG1051+'Game Results'!AG313+'Game Results'!AG331+'Game Results'!AG1915+'Game Results'!AG1897+'Game Results'!AG1627+'Game Results'!AG1609+'Game Results'!AG259+'Game Results'!AG475)</f>
        <v>2</v>
      </c>
      <c r="AH5" s="85">
        <f>SUM('Game Results'!AH248+'Game Results'!AH680+'Game Results'!AH781+'Game Results'!AH806+'Game Results'!AH698+'Game Results'!AH1051+'Game Results'!AH1033+'Game Results'!AH1051+'Game Results'!AH313+'Game Results'!AH331+'Game Results'!AH1915+'Game Results'!AH1897+'Game Results'!AH1627+'Game Results'!AH1609+'Game Results'!AH259+'Game Results'!AH475)</f>
        <v>0</v>
      </c>
    </row>
    <row r="6">
      <c r="A6" s="83" t="s">
        <v>28</v>
      </c>
      <c r="B6" s="84" t="s">
        <v>182</v>
      </c>
      <c r="C6" s="85">
        <f>SUM('Game Results'!C249+'Game Results'!C681+'Game Results'!C782+'Game Results'!C807+'Game Results'!C699+'Game Results'!C1052+'Game Results'!C1034+'Game Results'!C1052+'Game Results'!C314+'Game Results'!C332+'Game Results'!C1916+'Game Results'!C1898+'Game Results'!C1628+'Game Results'!C1610+'Game Results'!C260+'Game Results'!C476)</f>
        <v>12</v>
      </c>
      <c r="D6" s="85">
        <f>SUM('Game Results'!D249+'Game Results'!D681+'Game Results'!D782+'Game Results'!D807+'Game Results'!D699+'Game Results'!D1052+'Game Results'!D1034+'Game Results'!D1052+'Game Results'!D314+'Game Results'!D332+'Game Results'!D1916+'Game Results'!D1898+'Game Results'!D1628+'Game Results'!D1610+'Game Results'!D260+'Game Results'!D476)</f>
        <v>6</v>
      </c>
      <c r="E6" s="86">
        <f>SUM('Game Results'!E249+'Game Results'!E681+'Game Results'!E782+'Game Results'!E807+'Game Results'!E699+'Game Results'!E1052+'Game Results'!E1034+'Game Results'!E1052+'Game Results'!E314+'Game Results'!E332+'Game Results'!E1916+'Game Results'!E1898+'Game Results'!E1628+'Game Results'!E1610+'Game Results'!E260+'Game Results'!E476)</f>
        <v>339</v>
      </c>
      <c r="F6" s="85">
        <f>SUM('Game Results'!F249+'Game Results'!F681+'Game Results'!F782+'Game Results'!F807+'Game Results'!F699+'Game Results'!F1052+'Game Results'!F1034+'Game Results'!F1052+'Game Results'!F314+'Game Results'!F332+'Game Results'!F1916+'Game Results'!F1898+'Game Results'!F1628+'Game Results'!F1610+'Game Results'!F260+'Game Results'!F476)</f>
        <v>23</v>
      </c>
      <c r="G6" s="85">
        <f>SUM('Game Results'!G249+'Game Results'!G681+'Game Results'!G782+'Game Results'!G807+'Game Results'!G699+'Game Results'!G1052+'Game Results'!G1034+'Game Results'!G1052+'Game Results'!G314+'Game Results'!G332+'Game Results'!G1916+'Game Results'!G1898+'Game Results'!G1628+'Game Results'!G1610+'Game Results'!G260+'Game Results'!G476)</f>
        <v>880</v>
      </c>
      <c r="H6" s="85">
        <f>SUM('Game Results'!H249+'Game Results'!H681+'Game Results'!H782+'Game Results'!H807+'Game Results'!H699+'Game Results'!H1052+'Game Results'!H1034+'Game Results'!H1052+'Game Results'!H314+'Game Results'!H332+'Game Results'!H1916+'Game Results'!H1898+'Game Results'!H1628+'Game Results'!H1610+'Game Results'!H260+'Game Results'!H476)</f>
        <v>2</v>
      </c>
      <c r="I6" s="85">
        <f>SUM('Game Results'!I249+'Game Results'!I681+'Game Results'!I782+'Game Results'!I807+'Game Results'!I699+'Game Results'!I1052+'Game Results'!I1034+'Game Results'!I1052+'Game Results'!I314+'Game Results'!I332+'Game Results'!I1916+'Game Results'!I1898+'Game Results'!I1628+'Game Results'!I1610+'Game Results'!I260+'Game Results'!I476)</f>
        <v>923</v>
      </c>
      <c r="J6" s="85">
        <f>SUM('Game Results'!J249+'Game Results'!J681+'Game Results'!J782+'Game Results'!J807+'Game Results'!J699+'Game Results'!J1052+'Game Results'!J1034+'Game Results'!J1052+'Game Results'!J314+'Game Results'!J332+'Game Results'!J1916+'Game Results'!J1898+'Game Results'!J1628+'Game Results'!J1610+'Game Results'!J260+'Game Results'!J476)</f>
        <v>-43</v>
      </c>
      <c r="K6" s="87">
        <f t="shared" si="1"/>
        <v>0.9534127844</v>
      </c>
      <c r="L6" s="85">
        <f>SUM('Game Results'!L249+'Game Results'!L681+'Game Results'!L782+'Game Results'!L807+'Game Results'!L699+'Game Results'!L1052+'Game Results'!L1034+'Game Results'!L1052+'Game Results'!L314+'Game Results'!L332+'Game Results'!L1916+'Game Results'!L1898+'Game Results'!L1628+'Game Results'!L1610+'Game Results'!L260+'Game Results'!L476)</f>
        <v>254</v>
      </c>
      <c r="M6" s="85">
        <f>SUM('Game Results'!M249+'Game Results'!M681+'Game Results'!M782+'Game Results'!M807+'Game Results'!M699+'Game Results'!M1052+'Game Results'!M1034+'Game Results'!M1052+'Game Results'!M314+'Game Results'!M332+'Game Results'!M1916+'Game Results'!M1898+'Game Results'!M1628+'Game Results'!M1610+'Game Results'!M260+'Game Results'!M476)</f>
        <v>1128</v>
      </c>
      <c r="N6" s="85">
        <f>SUM('Game Results'!N249+'Game Results'!N681+'Game Results'!N782+'Game Results'!N807+'Game Results'!N699+'Game Results'!N1052+'Game Results'!N1034+'Game Results'!N1052+'Game Results'!N314+'Game Results'!N332+'Game Results'!N1916+'Game Results'!N1898+'Game Results'!N1628+'Game Results'!N1610+'Game Results'!N260+'Game Results'!N476)</f>
        <v>9</v>
      </c>
      <c r="O6" s="88">
        <f>SUM('Game Results'!O249+'Game Results'!O681+'Game Results'!O782+'Game Results'!O807+'Game Results'!O699+'Game Results'!O1052+'Game Results'!O1034+'Game Results'!O1052+'Game Results'!O314+'Game Results'!O332+'Game Results'!O1916+'Game Results'!O1898+'Game Results'!O1628+'Game Results'!O1610+'Game Results'!O260+'Game Results'!O476)</f>
        <v>304</v>
      </c>
      <c r="P6" s="85">
        <f>SUM('Game Results'!P249+'Game Results'!P681+'Game Results'!P782+'Game Results'!P807+'Game Results'!P699+'Game Results'!P1052+'Game Results'!P1034+'Game Results'!P1052+'Game Results'!P314+'Game Results'!P332+'Game Results'!P1916+'Game Results'!P1898+'Game Results'!P1628+'Game Results'!P1610+'Game Results'!P260+'Game Results'!P476)</f>
        <v>37</v>
      </c>
      <c r="Q6" s="85">
        <f>SUM('Game Results'!Q249+'Game Results'!Q681+'Game Results'!Q782+'Game Results'!Q807+'Game Results'!Q699+'Game Results'!Q1052+'Game Results'!Q1034+'Game Results'!Q1052+'Game Results'!Q314+'Game Results'!Q332+'Game Results'!Q1916+'Game Results'!Q1898+'Game Results'!Q1628+'Game Results'!Q1610+'Game Results'!Q260+'Game Results'!Q476)</f>
        <v>18</v>
      </c>
      <c r="R6" s="85">
        <f>SUM('Game Results'!R249+'Game Results'!R681+'Game Results'!R782+'Game Results'!R807+'Game Results'!R699+'Game Results'!R1052+'Game Results'!R1034+'Game Results'!R1052+'Game Results'!R314+'Game Results'!R332+'Game Results'!R1916+'Game Results'!R1898+'Game Results'!R1628+'Game Results'!R1610+'Game Results'!R260+'Game Results'!R476)</f>
        <v>49</v>
      </c>
      <c r="S6" s="85">
        <f>SUM('Game Results'!S249+'Game Results'!S681+'Game Results'!S782+'Game Results'!S807+'Game Results'!S699+'Game Results'!S1052+'Game Results'!S1034+'Game Results'!S1052+'Game Results'!S314+'Game Results'!S332+'Game Results'!S1916+'Game Results'!S1898+'Game Results'!S1628+'Game Results'!S1610+'Game Results'!S260+'Game Results'!S476)</f>
        <v>24</v>
      </c>
      <c r="T6" s="85">
        <f>SUM('Game Results'!T249+'Game Results'!T681+'Game Results'!T782+'Game Results'!T807+'Game Results'!T699+'Game Results'!T1052+'Game Results'!T1034+'Game Results'!T1052+'Game Results'!T314+'Game Results'!T332+'Game Results'!T1916+'Game Results'!T1898+'Game Results'!T1628+'Game Results'!T1610+'Game Results'!T260+'Game Results'!T476)</f>
        <v>93</v>
      </c>
      <c r="U6" s="85">
        <f>SUM('Game Results'!U249+'Game Results'!U681+'Game Results'!U782+'Game Results'!U807+'Game Results'!U699+'Game Results'!U1052+'Game Results'!U1034+'Game Results'!U1052+'Game Results'!U314+'Game Results'!U332+'Game Results'!U1916+'Game Results'!U1898+'Game Results'!U1628+'Game Results'!U1610+'Game Results'!U260+'Game Results'!U476)</f>
        <v>11</v>
      </c>
      <c r="V6" s="85">
        <f>SUM('Game Results'!V249+'Game Results'!V681+'Game Results'!V782+'Game Results'!V807+'Game Results'!V699+'Game Results'!V1052+'Game Results'!V1034+'Game Results'!V1052+'Game Results'!V314+'Game Results'!V332+'Game Results'!V1916+'Game Results'!V1898+'Game Results'!V1628+'Game Results'!V1610+'Game Results'!V260+'Game Results'!V476)</f>
        <v>3</v>
      </c>
      <c r="W6" s="85">
        <f>SUM('Game Results'!W249+'Game Results'!W681+'Game Results'!W782+'Game Results'!W807+'Game Results'!W699+'Game Results'!W1052+'Game Results'!W1034+'Game Results'!W1052+'Game Results'!W314+'Game Results'!W332+'Game Results'!W1916+'Game Results'!W1898+'Game Results'!W1628+'Game Results'!W1610+'Game Results'!W260+'Game Results'!W476)</f>
        <v>0</v>
      </c>
      <c r="X6" s="85">
        <f>SUM('Game Results'!X249+'Game Results'!X681+'Game Results'!X782+'Game Results'!X807+'Game Results'!X699+'Game Results'!X1052+'Game Results'!X1034+'Game Results'!X1052+'Game Results'!X314+'Game Results'!X332+'Game Results'!X1916+'Game Results'!X1898+'Game Results'!X1628+'Game Results'!X1610+'Game Results'!X260+'Game Results'!X476)</f>
        <v>0</v>
      </c>
      <c r="Y6" s="85">
        <f>SUM('Game Results'!Y249+'Game Results'!Y681+'Game Results'!Y782+'Game Results'!Y807+'Game Results'!Y699+'Game Results'!Y1052+'Game Results'!Y1034+'Game Results'!Y1052+'Game Results'!Y314+'Game Results'!Y332+'Game Results'!Y1916+'Game Results'!Y1898+'Game Results'!Y1628+'Game Results'!Y1610+'Game Results'!Y260+'Game Results'!Y476)</f>
        <v>0</v>
      </c>
      <c r="Z6" s="85">
        <f>SUM('Game Results'!Z249+'Game Results'!Z681+'Game Results'!Z782+'Game Results'!Z807+'Game Results'!Z699+'Game Results'!Z1052+'Game Results'!Z1034+'Game Results'!Z1052+'Game Results'!Z314+'Game Results'!Z332+'Game Results'!Z1916+'Game Results'!Z1898+'Game Results'!Z1628+'Game Results'!Z1610+'Game Results'!Z260+'Game Results'!Z476)</f>
        <v>0</v>
      </c>
      <c r="AA6" s="85">
        <f>SUM('Game Results'!AA249+'Game Results'!AA681+'Game Results'!AA782+'Game Results'!AA807+'Game Results'!AA699+'Game Results'!AA1052+'Game Results'!AA1034+'Game Results'!AA1052+'Game Results'!AA314+'Game Results'!AA332+'Game Results'!AA1916+'Game Results'!AA1898+'Game Results'!AA1628+'Game Results'!AA1610+'Game Results'!AA260+'Game Results'!AA476)</f>
        <v>0</v>
      </c>
      <c r="AB6" s="85">
        <f>SUM('Game Results'!AB249+'Game Results'!AB681+'Game Results'!AB782+'Game Results'!AB807+'Game Results'!AB699+'Game Results'!AB1052+'Game Results'!AB1034+'Game Results'!AB1052+'Game Results'!AB314+'Game Results'!AB332+'Game Results'!AB1916+'Game Results'!AB1898+'Game Results'!AB1628+'Game Results'!AB1610+'Game Results'!AB260+'Game Results'!AB476)</f>
        <v>0</v>
      </c>
      <c r="AC6" s="85">
        <f>SUM('Game Results'!AC249+'Game Results'!AC681+'Game Results'!AC782+'Game Results'!AC807+'Game Results'!AC699+'Game Results'!AC1052+'Game Results'!AC1034+'Game Results'!AC1052+'Game Results'!AC314+'Game Results'!AC332+'Game Results'!AC1916+'Game Results'!AC1898+'Game Results'!AC1628+'Game Results'!AC1610+'Game Results'!AC260+'Game Results'!AC476)</f>
        <v>21</v>
      </c>
      <c r="AD6" s="85">
        <f>SUM('Game Results'!AD249+'Game Results'!AD681+'Game Results'!AD782+'Game Results'!AD807+'Game Results'!AD699+'Game Results'!AD1052+'Game Results'!AD1034+'Game Results'!AD1052+'Game Results'!AD314+'Game Results'!AD332+'Game Results'!AD1916+'Game Results'!AD1898+'Game Results'!AD1628+'Game Results'!AD1610+'Game Results'!AD260+'Game Results'!AD476)</f>
        <v>1</v>
      </c>
      <c r="AE6" s="85">
        <f>SUM('Game Results'!AE249+'Game Results'!AE681+'Game Results'!AE782+'Game Results'!AE807+'Game Results'!AE699+'Game Results'!AE1052+'Game Results'!AE1034+'Game Results'!AE1052+'Game Results'!AE314+'Game Results'!AE332+'Game Results'!AE1916+'Game Results'!AE1898+'Game Results'!AE1628+'Game Results'!AE1610+'Game Results'!AE260+'Game Results'!AE476)</f>
        <v>0</v>
      </c>
      <c r="AF6" s="85">
        <f>SUM('Game Results'!AF249+'Game Results'!AF681+'Game Results'!AF782+'Game Results'!AF807+'Game Results'!AF699+'Game Results'!AF1052+'Game Results'!AF1034+'Game Results'!AF1052+'Game Results'!AF314+'Game Results'!AF332+'Game Results'!AF1916+'Game Results'!AF1898+'Game Results'!AF1628+'Game Results'!AF1610+'Game Results'!AF260+'Game Results'!AF476)</f>
        <v>0</v>
      </c>
      <c r="AG6" s="85">
        <f>SUM('Game Results'!AG249+'Game Results'!AG681+'Game Results'!AG782+'Game Results'!AG807+'Game Results'!AG699+'Game Results'!AG1052+'Game Results'!AG1034+'Game Results'!AG1052+'Game Results'!AG314+'Game Results'!AG332+'Game Results'!AG1916+'Game Results'!AG1898+'Game Results'!AG1628+'Game Results'!AG1610+'Game Results'!AG260+'Game Results'!AG476)</f>
        <v>0</v>
      </c>
      <c r="AH6" s="85">
        <f>SUM('Game Results'!AH249+'Game Results'!AH681+'Game Results'!AH782+'Game Results'!AH807+'Game Results'!AH699+'Game Results'!AH1052+'Game Results'!AH1034+'Game Results'!AH1052+'Game Results'!AH314+'Game Results'!AH332+'Game Results'!AH1916+'Game Results'!AH1898+'Game Results'!AH1628+'Game Results'!AH1610+'Game Results'!AH260+'Game Results'!AH476)</f>
        <v>0</v>
      </c>
    </row>
    <row r="7">
      <c r="A7" s="83" t="s">
        <v>28</v>
      </c>
      <c r="B7" s="84" t="s">
        <v>183</v>
      </c>
      <c r="C7" s="85">
        <f>SUM('Game Results'!C250+'Game Results'!C682+'Game Results'!C783+'Game Results'!C808+'Game Results'!C700+'Game Results'!C1053+'Game Results'!C1035+'Game Results'!C1053+'Game Results'!C315+'Game Results'!C333+'Game Results'!C1917+'Game Results'!C1899+'Game Results'!C1629+'Game Results'!C1611+'Game Results'!C261+'Game Results'!C477)</f>
        <v>6</v>
      </c>
      <c r="D7" s="85">
        <f>SUM('Game Results'!D250+'Game Results'!D682+'Game Results'!D783+'Game Results'!D808+'Game Results'!D700+'Game Results'!D1053+'Game Results'!D1035+'Game Results'!D1053+'Game Results'!D315+'Game Results'!D333+'Game Results'!D1917+'Game Results'!D1899+'Game Results'!D1629+'Game Results'!D1611+'Game Results'!D261+'Game Results'!D477)</f>
        <v>6</v>
      </c>
      <c r="E7" s="86">
        <f>SUM('Game Results'!E250+'Game Results'!E682+'Game Results'!E783+'Game Results'!E808+'Game Results'!E700+'Game Results'!E1053+'Game Results'!E1035+'Game Results'!E1053+'Game Results'!E315+'Game Results'!E333+'Game Results'!E1917+'Game Results'!E1899+'Game Results'!E1629+'Game Results'!E1611+'Game Results'!E261+'Game Results'!E477)</f>
        <v>150</v>
      </c>
      <c r="F7" s="85">
        <f>SUM('Game Results'!F250+'Game Results'!F682+'Game Results'!F783+'Game Results'!F808+'Game Results'!F700+'Game Results'!F1053+'Game Results'!F1035+'Game Results'!F1053+'Game Results'!F315+'Game Results'!F333+'Game Results'!F1917+'Game Results'!F1899+'Game Results'!F1629+'Game Results'!F1611+'Game Results'!F261+'Game Results'!F477)</f>
        <v>21</v>
      </c>
      <c r="G7" s="85">
        <f>SUM('Game Results'!G250+'Game Results'!G682+'Game Results'!G783+'Game Results'!G808+'Game Results'!G700+'Game Results'!G1053+'Game Results'!G1035+'Game Results'!G1053+'Game Results'!G315+'Game Results'!G333+'Game Results'!G1917+'Game Results'!G1899+'Game Results'!G1629+'Game Results'!G1611+'Game Results'!G261+'Game Results'!G477)</f>
        <v>371</v>
      </c>
      <c r="H7" s="85">
        <f>SUM('Game Results'!H250+'Game Results'!H682+'Game Results'!H783+'Game Results'!H808+'Game Results'!H700+'Game Results'!H1053+'Game Results'!H1035+'Game Results'!H1053+'Game Results'!H315+'Game Results'!H333+'Game Results'!H1917+'Game Results'!H1899+'Game Results'!H1629+'Game Results'!H1611+'Game Results'!H261+'Game Results'!H477)</f>
        <v>3</v>
      </c>
      <c r="I7" s="85">
        <f>SUM('Game Results'!I250+'Game Results'!I682+'Game Results'!I783+'Game Results'!I808+'Game Results'!I700+'Game Results'!I1053+'Game Results'!I1035+'Game Results'!I1053+'Game Results'!I315+'Game Results'!I333+'Game Results'!I1917+'Game Results'!I1899+'Game Results'!I1629+'Game Results'!I1611+'Game Results'!I261+'Game Results'!I477)</f>
        <v>424</v>
      </c>
      <c r="J7" s="85">
        <f>SUM('Game Results'!J250+'Game Results'!J682+'Game Results'!J783+'Game Results'!J808+'Game Results'!J700+'Game Results'!J1053+'Game Results'!J1035+'Game Results'!J1053+'Game Results'!J315+'Game Results'!J333+'Game Results'!J1917+'Game Results'!J1899+'Game Results'!J1629+'Game Results'!J1611+'Game Results'!J261+'Game Results'!J477)</f>
        <v>-53</v>
      </c>
      <c r="K7" s="87">
        <f t="shared" si="1"/>
        <v>0.875</v>
      </c>
      <c r="L7" s="85">
        <f>SUM('Game Results'!L250+'Game Results'!L682+'Game Results'!L783+'Game Results'!L808+'Game Results'!L700+'Game Results'!L1053+'Game Results'!L1035+'Game Results'!L1053+'Game Results'!L315+'Game Results'!L333+'Game Results'!L1917+'Game Results'!L1899+'Game Results'!L1629+'Game Results'!L1611+'Game Results'!L261+'Game Results'!L477)</f>
        <v>101</v>
      </c>
      <c r="M7" s="85">
        <f>SUM('Game Results'!M250+'Game Results'!M682+'Game Results'!M783+'Game Results'!M808+'Game Results'!M700+'Game Results'!M1053+'Game Results'!M1035+'Game Results'!M1053+'Game Results'!M315+'Game Results'!M333+'Game Results'!M1917+'Game Results'!M1899+'Game Results'!M1629+'Game Results'!M1611+'Game Results'!M261+'Game Results'!M477)</f>
        <v>478</v>
      </c>
      <c r="N7" s="85">
        <f>SUM('Game Results'!N250+'Game Results'!N682+'Game Results'!N783+'Game Results'!N808+'Game Results'!N700+'Game Results'!N1053+'Game Results'!N1035+'Game Results'!N1053+'Game Results'!N315+'Game Results'!N333+'Game Results'!N1917+'Game Results'!N1899+'Game Results'!N1629+'Game Results'!N1611+'Game Results'!N261+'Game Results'!N477)</f>
        <v>4</v>
      </c>
      <c r="O7" s="88">
        <f>SUM('Game Results'!O250+'Game Results'!O682+'Game Results'!O783+'Game Results'!O808+'Game Results'!O700+'Game Results'!O1053+'Game Results'!O1035+'Game Results'!O1053+'Game Results'!O315+'Game Results'!O333+'Game Results'!O1917+'Game Results'!O1899+'Game Results'!O1629+'Game Results'!O1611+'Game Results'!O261+'Game Results'!O477)</f>
        <v>115</v>
      </c>
      <c r="P7" s="85">
        <f>SUM('Game Results'!P250+'Game Results'!P682+'Game Results'!P783+'Game Results'!P808+'Game Results'!P700+'Game Results'!P1053+'Game Results'!P1035+'Game Results'!P1053+'Game Results'!P315+'Game Results'!P333+'Game Results'!P1917+'Game Results'!P1899+'Game Results'!P1629+'Game Results'!P1611+'Game Results'!P261+'Game Results'!P477)</f>
        <v>16</v>
      </c>
      <c r="Q7" s="85">
        <f>SUM('Game Results'!Q250+'Game Results'!Q682+'Game Results'!Q783+'Game Results'!Q808+'Game Results'!Q700+'Game Results'!Q1053+'Game Results'!Q1035+'Game Results'!Q1053+'Game Results'!Q315+'Game Results'!Q333+'Game Results'!Q1917+'Game Results'!Q1899+'Game Results'!Q1629+'Game Results'!Q1611+'Game Results'!Q261+'Game Results'!Q477)</f>
        <v>16</v>
      </c>
      <c r="R7" s="85">
        <f>SUM('Game Results'!R250+'Game Results'!R682+'Game Results'!R783+'Game Results'!R808+'Game Results'!R700+'Game Results'!R1053+'Game Results'!R1035+'Game Results'!R1053+'Game Results'!R315+'Game Results'!R333+'Game Results'!R1917+'Game Results'!R1899+'Game Results'!R1629+'Game Results'!R1611+'Game Results'!R261+'Game Results'!R477)</f>
        <v>4</v>
      </c>
      <c r="S7" s="85">
        <f>SUM('Game Results'!S250+'Game Results'!S682+'Game Results'!S783+'Game Results'!S808+'Game Results'!S700+'Game Results'!S1053+'Game Results'!S1035+'Game Results'!S1053+'Game Results'!S315+'Game Results'!S333+'Game Results'!S1917+'Game Results'!S1899+'Game Results'!S1629+'Game Results'!S1611+'Game Results'!S261+'Game Results'!S477)</f>
        <v>6</v>
      </c>
      <c r="T7" s="85">
        <f>SUM('Game Results'!T250+'Game Results'!T682+'Game Results'!T783+'Game Results'!T808+'Game Results'!T700+'Game Results'!T1053+'Game Results'!T1035+'Game Results'!T1053+'Game Results'!T315+'Game Results'!T333+'Game Results'!T1917+'Game Results'!T1899+'Game Results'!T1629+'Game Results'!T1611+'Game Results'!T261+'Game Results'!T477)</f>
        <v>29</v>
      </c>
      <c r="U7" s="85">
        <f>SUM('Game Results'!U250+'Game Results'!U682+'Game Results'!U783+'Game Results'!U808+'Game Results'!U700+'Game Results'!U1053+'Game Results'!U1035+'Game Results'!U1053+'Game Results'!U315+'Game Results'!U333+'Game Results'!U1917+'Game Results'!U1899+'Game Results'!U1629+'Game Results'!U1611+'Game Results'!U261+'Game Results'!U477)</f>
        <v>5</v>
      </c>
      <c r="V7" s="85">
        <f>SUM('Game Results'!V250+'Game Results'!V682+'Game Results'!V783+'Game Results'!V808+'Game Results'!V700+'Game Results'!V1053+'Game Results'!V1035+'Game Results'!V1053+'Game Results'!V315+'Game Results'!V333+'Game Results'!V1917+'Game Results'!V1899+'Game Results'!V1629+'Game Results'!V1611+'Game Results'!V261+'Game Results'!V477)</f>
        <v>0</v>
      </c>
      <c r="W7" s="85">
        <f>SUM('Game Results'!W250+'Game Results'!W682+'Game Results'!W783+'Game Results'!W808+'Game Results'!W700+'Game Results'!W1053+'Game Results'!W1035+'Game Results'!W1053+'Game Results'!W315+'Game Results'!W333+'Game Results'!W1917+'Game Results'!W1899+'Game Results'!W1629+'Game Results'!W1611+'Game Results'!W261+'Game Results'!W477)</f>
        <v>0</v>
      </c>
      <c r="X7" s="85">
        <f>SUM('Game Results'!X250+'Game Results'!X682+'Game Results'!X783+'Game Results'!X808+'Game Results'!X700+'Game Results'!X1053+'Game Results'!X1035+'Game Results'!X1053+'Game Results'!X315+'Game Results'!X333+'Game Results'!X1917+'Game Results'!X1899+'Game Results'!X1629+'Game Results'!X1611+'Game Results'!X261+'Game Results'!X477)</f>
        <v>0</v>
      </c>
      <c r="Y7" s="85">
        <f>SUM('Game Results'!Y250+'Game Results'!Y682+'Game Results'!Y783+'Game Results'!Y808+'Game Results'!Y700+'Game Results'!Y1053+'Game Results'!Y1035+'Game Results'!Y1053+'Game Results'!Y315+'Game Results'!Y333+'Game Results'!Y1917+'Game Results'!Y1899+'Game Results'!Y1629+'Game Results'!Y1611+'Game Results'!Y261+'Game Results'!Y477)</f>
        <v>0</v>
      </c>
      <c r="Z7" s="85">
        <f>SUM('Game Results'!Z250+'Game Results'!Z682+'Game Results'!Z783+'Game Results'!Z808+'Game Results'!Z700+'Game Results'!Z1053+'Game Results'!Z1035+'Game Results'!Z1053+'Game Results'!Z315+'Game Results'!Z333+'Game Results'!Z1917+'Game Results'!Z1899+'Game Results'!Z1629+'Game Results'!Z1611+'Game Results'!Z261+'Game Results'!Z477)</f>
        <v>0</v>
      </c>
      <c r="AA7" s="85">
        <f>SUM('Game Results'!AA250+'Game Results'!AA682+'Game Results'!AA783+'Game Results'!AA808+'Game Results'!AA700+'Game Results'!AA1053+'Game Results'!AA1035+'Game Results'!AA1053+'Game Results'!AA315+'Game Results'!AA333+'Game Results'!AA1917+'Game Results'!AA1899+'Game Results'!AA1629+'Game Results'!AA1611+'Game Results'!AA261+'Game Results'!AA477)</f>
        <v>0</v>
      </c>
      <c r="AB7" s="85">
        <f>SUM('Game Results'!AB250+'Game Results'!AB682+'Game Results'!AB783+'Game Results'!AB808+'Game Results'!AB700+'Game Results'!AB1053+'Game Results'!AB1035+'Game Results'!AB1053+'Game Results'!AB315+'Game Results'!AB333+'Game Results'!AB1917+'Game Results'!AB1899+'Game Results'!AB1629+'Game Results'!AB1611+'Game Results'!AB261+'Game Results'!AB477)</f>
        <v>0</v>
      </c>
      <c r="AC7" s="85">
        <f>SUM('Game Results'!AC250+'Game Results'!AC682+'Game Results'!AC783+'Game Results'!AC808+'Game Results'!AC700+'Game Results'!AC1053+'Game Results'!AC1035+'Game Results'!AC1053+'Game Results'!AC315+'Game Results'!AC333+'Game Results'!AC1917+'Game Results'!AC1899+'Game Results'!AC1629+'Game Results'!AC1611+'Game Results'!AC261+'Game Results'!AC477)</f>
        <v>5</v>
      </c>
      <c r="AD7" s="85">
        <f>SUM('Game Results'!AD250+'Game Results'!AD682+'Game Results'!AD783+'Game Results'!AD808+'Game Results'!AD700+'Game Results'!AD1053+'Game Results'!AD1035+'Game Results'!AD1053+'Game Results'!AD315+'Game Results'!AD333+'Game Results'!AD1917+'Game Results'!AD1899+'Game Results'!AD1629+'Game Results'!AD1611+'Game Results'!AD261+'Game Results'!AD477)</f>
        <v>0</v>
      </c>
      <c r="AE7" s="85">
        <f>SUM('Game Results'!AE250+'Game Results'!AE682+'Game Results'!AE783+'Game Results'!AE808+'Game Results'!AE700+'Game Results'!AE1053+'Game Results'!AE1035+'Game Results'!AE1053+'Game Results'!AE315+'Game Results'!AE333+'Game Results'!AE1917+'Game Results'!AE1899+'Game Results'!AE1629+'Game Results'!AE1611+'Game Results'!AE261+'Game Results'!AE477)</f>
        <v>0</v>
      </c>
      <c r="AF7" s="85">
        <f>SUM('Game Results'!AF250+'Game Results'!AF682+'Game Results'!AF783+'Game Results'!AF808+'Game Results'!AF700+'Game Results'!AF1053+'Game Results'!AF1035+'Game Results'!AF1053+'Game Results'!AF315+'Game Results'!AF333+'Game Results'!AF1917+'Game Results'!AF1899+'Game Results'!AF1629+'Game Results'!AF1611+'Game Results'!AF261+'Game Results'!AF477)</f>
        <v>0</v>
      </c>
      <c r="AG7" s="85">
        <f>SUM('Game Results'!AG250+'Game Results'!AG682+'Game Results'!AG783+'Game Results'!AG808+'Game Results'!AG700+'Game Results'!AG1053+'Game Results'!AG1035+'Game Results'!AG1053+'Game Results'!AG315+'Game Results'!AG333+'Game Results'!AG1917+'Game Results'!AG1899+'Game Results'!AG1629+'Game Results'!AG1611+'Game Results'!AG261+'Game Results'!AG477)</f>
        <v>0</v>
      </c>
      <c r="AH7" s="85">
        <f>SUM('Game Results'!AH250+'Game Results'!AH682+'Game Results'!AH783+'Game Results'!AH808+'Game Results'!AH700+'Game Results'!AH1053+'Game Results'!AH1035+'Game Results'!AH1053+'Game Results'!AH315+'Game Results'!AH333+'Game Results'!AH1917+'Game Results'!AH1899+'Game Results'!AH1629+'Game Results'!AH1611+'Game Results'!AH261+'Game Results'!AH477)</f>
        <v>1</v>
      </c>
    </row>
    <row r="8">
      <c r="A8" s="83" t="s">
        <v>28</v>
      </c>
      <c r="B8" s="84" t="s">
        <v>184</v>
      </c>
      <c r="C8" s="85">
        <f>SUM('Game Results'!C251+'Game Results'!C683+'Game Results'!C784+'Game Results'!C809+'Game Results'!C701+'Game Results'!C1054+'Game Results'!C1036+'Game Results'!C1054+'Game Results'!C316+'Game Results'!C334+'Game Results'!C1918+'Game Results'!C1900+'Game Results'!C1630+'Game Results'!C1612+'Game Results'!C262+'Game Results'!C478)</f>
        <v>0</v>
      </c>
      <c r="D8" s="85">
        <f>SUM('Game Results'!D251+'Game Results'!D683+'Game Results'!D784+'Game Results'!D809+'Game Results'!D701+'Game Results'!D1054+'Game Results'!D1036+'Game Results'!D1054+'Game Results'!D316+'Game Results'!D334+'Game Results'!D1918+'Game Results'!D1900+'Game Results'!D1630+'Game Results'!D1612+'Game Results'!D262+'Game Results'!D478)</f>
        <v>0</v>
      </c>
      <c r="E8" s="86">
        <f>SUM('Game Results'!E251+'Game Results'!E683+'Game Results'!E784+'Game Results'!E809+'Game Results'!E701+'Game Results'!E1054+'Game Results'!E1036+'Game Results'!E1054+'Game Results'!E316+'Game Results'!E334+'Game Results'!E1918+'Game Results'!E1900+'Game Results'!E1630+'Game Results'!E1612+'Game Results'!E262+'Game Results'!E478)</f>
        <v>0</v>
      </c>
      <c r="F8" s="85">
        <f>SUM('Game Results'!F251+'Game Results'!F683+'Game Results'!F784+'Game Results'!F809+'Game Results'!F701+'Game Results'!F1054+'Game Results'!F1036+'Game Results'!F1054+'Game Results'!F316+'Game Results'!F334+'Game Results'!F1918+'Game Results'!F1900+'Game Results'!F1630+'Game Results'!F1612+'Game Results'!F262+'Game Results'!F478)</f>
        <v>0</v>
      </c>
      <c r="G8" s="85">
        <f>SUM('Game Results'!G251+'Game Results'!G683+'Game Results'!G784+'Game Results'!G809+'Game Results'!G701+'Game Results'!G1054+'Game Results'!G1036+'Game Results'!G1054+'Game Results'!G316+'Game Results'!G334+'Game Results'!G1918+'Game Results'!G1900+'Game Results'!G1630+'Game Results'!G1612+'Game Results'!G262+'Game Results'!G478)</f>
        <v>0</v>
      </c>
      <c r="H8" s="85">
        <f>SUM('Game Results'!H251+'Game Results'!H683+'Game Results'!H784+'Game Results'!H809+'Game Results'!H701+'Game Results'!H1054+'Game Results'!H1036+'Game Results'!H1054+'Game Results'!H316+'Game Results'!H334+'Game Results'!H1918+'Game Results'!H1900+'Game Results'!H1630+'Game Results'!H1612+'Game Results'!H262+'Game Results'!H478)</f>
        <v>0</v>
      </c>
      <c r="I8" s="85">
        <f>SUM('Game Results'!I251+'Game Results'!I683+'Game Results'!I784+'Game Results'!I809+'Game Results'!I701+'Game Results'!I1054+'Game Results'!I1036+'Game Results'!I1054+'Game Results'!I316+'Game Results'!I334+'Game Results'!I1918+'Game Results'!I1900+'Game Results'!I1630+'Game Results'!I1612+'Game Results'!I262+'Game Results'!I478)</f>
        <v>0</v>
      </c>
      <c r="J8" s="85">
        <f>SUM('Game Results'!J251+'Game Results'!J683+'Game Results'!J784+'Game Results'!J809+'Game Results'!J701+'Game Results'!J1054+'Game Results'!J1036+'Game Results'!J1054+'Game Results'!J316+'Game Results'!J334+'Game Results'!J1918+'Game Results'!J1900+'Game Results'!J1630+'Game Results'!J1612+'Game Results'!J262+'Game Results'!J478)</f>
        <v>0</v>
      </c>
      <c r="K8" s="87" t="str">
        <f t="shared" si="1"/>
        <v>#DIV/0!</v>
      </c>
      <c r="L8" s="85">
        <f>SUM('Game Results'!L251+'Game Results'!L683+'Game Results'!L784+'Game Results'!L809+'Game Results'!L701+'Game Results'!L1054+'Game Results'!L1036+'Game Results'!L1054+'Game Results'!L316+'Game Results'!L334+'Game Results'!L1918+'Game Results'!L1900+'Game Results'!L1630+'Game Results'!L1612+'Game Results'!L262+'Game Results'!L478)</f>
        <v>0</v>
      </c>
      <c r="M8" s="85">
        <f>SUM('Game Results'!M251+'Game Results'!M683+'Game Results'!M784+'Game Results'!M809+'Game Results'!M701+'Game Results'!M1054+'Game Results'!M1036+'Game Results'!M1054+'Game Results'!M316+'Game Results'!M334+'Game Results'!M1918+'Game Results'!M1900+'Game Results'!M1630+'Game Results'!M1612+'Game Results'!M262+'Game Results'!M478)</f>
        <v>0</v>
      </c>
      <c r="N8" s="85">
        <f>SUM('Game Results'!N251+'Game Results'!N683+'Game Results'!N784+'Game Results'!N809+'Game Results'!N701+'Game Results'!N1054+'Game Results'!N1036+'Game Results'!N1054+'Game Results'!N316+'Game Results'!N334+'Game Results'!N1918+'Game Results'!N1900+'Game Results'!N1630+'Game Results'!N1612+'Game Results'!N262+'Game Results'!N478)</f>
        <v>0</v>
      </c>
      <c r="O8" s="88">
        <f>SUM('Game Results'!O251+'Game Results'!O683+'Game Results'!O784+'Game Results'!O809+'Game Results'!O701+'Game Results'!O1054+'Game Results'!O1036+'Game Results'!O1054+'Game Results'!O316+'Game Results'!O334+'Game Results'!O1918+'Game Results'!O1900+'Game Results'!O1630+'Game Results'!O1612+'Game Results'!O262+'Game Results'!O478)</f>
        <v>0</v>
      </c>
      <c r="P8" s="85">
        <f>SUM('Game Results'!P251+'Game Results'!P683+'Game Results'!P784+'Game Results'!P809+'Game Results'!P701+'Game Results'!P1054+'Game Results'!P1036+'Game Results'!P1054+'Game Results'!P316+'Game Results'!P334+'Game Results'!P1918+'Game Results'!P1900+'Game Results'!P1630+'Game Results'!P1612+'Game Results'!P262+'Game Results'!P478)</f>
        <v>1</v>
      </c>
      <c r="Q8" s="85">
        <f>SUM('Game Results'!Q251+'Game Results'!Q683+'Game Results'!Q784+'Game Results'!Q809+'Game Results'!Q701+'Game Results'!Q1054+'Game Results'!Q1036+'Game Results'!Q1054+'Game Results'!Q316+'Game Results'!Q334+'Game Results'!Q1918+'Game Results'!Q1900+'Game Results'!Q1630+'Game Results'!Q1612+'Game Results'!Q262+'Game Results'!Q478)</f>
        <v>0</v>
      </c>
      <c r="R8" s="85">
        <f>SUM('Game Results'!R251+'Game Results'!R683+'Game Results'!R784+'Game Results'!R809+'Game Results'!R701+'Game Results'!R1054+'Game Results'!R1036+'Game Results'!R1054+'Game Results'!R316+'Game Results'!R334+'Game Results'!R1918+'Game Results'!R1900+'Game Results'!R1630+'Game Results'!R1612+'Game Results'!R262+'Game Results'!R478)</f>
        <v>2</v>
      </c>
      <c r="S8" s="85">
        <f>SUM('Game Results'!S251+'Game Results'!S683+'Game Results'!S784+'Game Results'!S809+'Game Results'!S701+'Game Results'!S1054+'Game Results'!S1036+'Game Results'!S1054+'Game Results'!S316+'Game Results'!S334+'Game Results'!S1918+'Game Results'!S1900+'Game Results'!S1630+'Game Results'!S1612+'Game Results'!S262+'Game Results'!S478)</f>
        <v>0</v>
      </c>
      <c r="T8" s="85">
        <f>SUM('Game Results'!T251+'Game Results'!T683+'Game Results'!T784+'Game Results'!T809+'Game Results'!T701+'Game Results'!T1054+'Game Results'!T1036+'Game Results'!T1054+'Game Results'!T316+'Game Results'!T334+'Game Results'!T1918+'Game Results'!T1900+'Game Results'!T1630+'Game Results'!T1612+'Game Results'!T262+'Game Results'!T478)</f>
        <v>4</v>
      </c>
      <c r="U8" s="85">
        <f>SUM('Game Results'!U251+'Game Results'!U683+'Game Results'!U784+'Game Results'!U809+'Game Results'!U701+'Game Results'!U1054+'Game Results'!U1036+'Game Results'!U1054+'Game Results'!U316+'Game Results'!U334+'Game Results'!U1918+'Game Results'!U1900+'Game Results'!U1630+'Game Results'!U1612+'Game Results'!U262+'Game Results'!U478)</f>
        <v>1</v>
      </c>
      <c r="V8" s="85">
        <f>SUM('Game Results'!V251+'Game Results'!V683+'Game Results'!V784+'Game Results'!V809+'Game Results'!V701+'Game Results'!V1054+'Game Results'!V1036+'Game Results'!V1054+'Game Results'!V316+'Game Results'!V334+'Game Results'!V1918+'Game Results'!V1900+'Game Results'!V1630+'Game Results'!V1612+'Game Results'!V262+'Game Results'!V478)</f>
        <v>1</v>
      </c>
      <c r="W8" s="85">
        <f>SUM('Game Results'!W251+'Game Results'!W683+'Game Results'!W784+'Game Results'!W809+'Game Results'!W701+'Game Results'!W1054+'Game Results'!W1036+'Game Results'!W1054+'Game Results'!W316+'Game Results'!W334+'Game Results'!W1918+'Game Results'!W1900+'Game Results'!W1630+'Game Results'!W1612+'Game Results'!W262+'Game Results'!W478)</f>
        <v>1</v>
      </c>
      <c r="X8" s="85">
        <f>SUM('Game Results'!X251+'Game Results'!X683+'Game Results'!X784+'Game Results'!X809+'Game Results'!X701+'Game Results'!X1054+'Game Results'!X1036+'Game Results'!X1054+'Game Results'!X316+'Game Results'!X334+'Game Results'!X1918+'Game Results'!X1900+'Game Results'!X1630+'Game Results'!X1612+'Game Results'!X262+'Game Results'!X478)</f>
        <v>0</v>
      </c>
      <c r="Y8" s="85">
        <f>SUM('Game Results'!Y251+'Game Results'!Y683+'Game Results'!Y784+'Game Results'!Y809+'Game Results'!Y701+'Game Results'!Y1054+'Game Results'!Y1036+'Game Results'!Y1054+'Game Results'!Y316+'Game Results'!Y334+'Game Results'!Y1918+'Game Results'!Y1900+'Game Results'!Y1630+'Game Results'!Y1612+'Game Results'!Y262+'Game Results'!Y478)</f>
        <v>0</v>
      </c>
      <c r="Z8" s="85">
        <f>SUM('Game Results'!Z251+'Game Results'!Z683+'Game Results'!Z784+'Game Results'!Z809+'Game Results'!Z701+'Game Results'!Z1054+'Game Results'!Z1036+'Game Results'!Z1054+'Game Results'!Z316+'Game Results'!Z334+'Game Results'!Z1918+'Game Results'!Z1900+'Game Results'!Z1630+'Game Results'!Z1612+'Game Results'!Z262+'Game Results'!Z478)</f>
        <v>0</v>
      </c>
      <c r="AA8" s="85">
        <f>SUM('Game Results'!AA251+'Game Results'!AA683+'Game Results'!AA784+'Game Results'!AA809+'Game Results'!AA701+'Game Results'!AA1054+'Game Results'!AA1036+'Game Results'!AA1054+'Game Results'!AA316+'Game Results'!AA334+'Game Results'!AA1918+'Game Results'!AA1900+'Game Results'!AA1630+'Game Results'!AA1612+'Game Results'!AA262+'Game Results'!AA478)</f>
        <v>0</v>
      </c>
      <c r="AB8" s="85">
        <f>SUM('Game Results'!AB251+'Game Results'!AB683+'Game Results'!AB784+'Game Results'!AB809+'Game Results'!AB701+'Game Results'!AB1054+'Game Results'!AB1036+'Game Results'!AB1054+'Game Results'!AB316+'Game Results'!AB334+'Game Results'!AB1918+'Game Results'!AB1900+'Game Results'!AB1630+'Game Results'!AB1612+'Game Results'!AB262+'Game Results'!AB478)</f>
        <v>0</v>
      </c>
      <c r="AC8" s="85">
        <f>SUM('Game Results'!AC251+'Game Results'!AC683+'Game Results'!AC784+'Game Results'!AC809+'Game Results'!AC701+'Game Results'!AC1054+'Game Results'!AC1036+'Game Results'!AC1054+'Game Results'!AC316+'Game Results'!AC334+'Game Results'!AC1918+'Game Results'!AC1900+'Game Results'!AC1630+'Game Results'!AC1612+'Game Results'!AC262+'Game Results'!AC478)</f>
        <v>2</v>
      </c>
      <c r="AD8" s="85">
        <f>SUM('Game Results'!AD251+'Game Results'!AD683+'Game Results'!AD784+'Game Results'!AD809+'Game Results'!AD701+'Game Results'!AD1054+'Game Results'!AD1036+'Game Results'!AD1054+'Game Results'!AD316+'Game Results'!AD334+'Game Results'!AD1918+'Game Results'!AD1900+'Game Results'!AD1630+'Game Results'!AD1612+'Game Results'!AD262+'Game Results'!AD478)</f>
        <v>0</v>
      </c>
      <c r="AE8" s="85">
        <f>SUM('Game Results'!AE251+'Game Results'!AE683+'Game Results'!AE784+'Game Results'!AE809+'Game Results'!AE701+'Game Results'!AE1054+'Game Results'!AE1036+'Game Results'!AE1054+'Game Results'!AE316+'Game Results'!AE334+'Game Results'!AE1918+'Game Results'!AE1900+'Game Results'!AE1630+'Game Results'!AE1612+'Game Results'!AE262+'Game Results'!AE478)</f>
        <v>0</v>
      </c>
      <c r="AF8" s="85">
        <f>SUM('Game Results'!AF251+'Game Results'!AF683+'Game Results'!AF784+'Game Results'!AF809+'Game Results'!AF701+'Game Results'!AF1054+'Game Results'!AF1036+'Game Results'!AF1054+'Game Results'!AF316+'Game Results'!AF334+'Game Results'!AF1918+'Game Results'!AF1900+'Game Results'!AF1630+'Game Results'!AF1612+'Game Results'!AF262+'Game Results'!AF478)</f>
        <v>0</v>
      </c>
      <c r="AG8" s="85">
        <f>SUM('Game Results'!AG251+'Game Results'!AG683+'Game Results'!AG784+'Game Results'!AG809+'Game Results'!AG701+'Game Results'!AG1054+'Game Results'!AG1036+'Game Results'!AG1054+'Game Results'!AG316+'Game Results'!AG334+'Game Results'!AG1918+'Game Results'!AG1900+'Game Results'!AG1630+'Game Results'!AG1612+'Game Results'!AG262+'Game Results'!AG478)</f>
        <v>1</v>
      </c>
      <c r="AH8" s="85">
        <f>SUM('Game Results'!AH251+'Game Results'!AH683+'Game Results'!AH784+'Game Results'!AH809+'Game Results'!AH701+'Game Results'!AH1054+'Game Results'!AH1036+'Game Results'!AH1054+'Game Results'!AH316+'Game Results'!AH334+'Game Results'!AH1918+'Game Results'!AH1900+'Game Results'!AH1630+'Game Results'!AH1612+'Game Results'!AH262+'Game Results'!AH478)</f>
        <v>0</v>
      </c>
    </row>
    <row r="9">
      <c r="A9" s="89" t="s">
        <v>185</v>
      </c>
      <c r="B9" s="90"/>
      <c r="C9" s="90">
        <f t="shared" ref="C9:E9" si="2">SUM(C3:C8)/4</f>
        <v>16</v>
      </c>
      <c r="D9" s="90">
        <f t="shared" si="2"/>
        <v>10</v>
      </c>
      <c r="E9" s="90">
        <f t="shared" si="2"/>
        <v>454</v>
      </c>
      <c r="F9" s="91">
        <f t="shared" ref="F9:J9" si="3">SUM(F3:F8)</f>
        <v>66</v>
      </c>
      <c r="G9" s="91">
        <f t="shared" si="3"/>
        <v>5998</v>
      </c>
      <c r="H9" s="91">
        <f t="shared" si="3"/>
        <v>24</v>
      </c>
      <c r="I9" s="91">
        <f t="shared" si="3"/>
        <v>5918</v>
      </c>
      <c r="J9" s="91">
        <f t="shared" si="3"/>
        <v>80</v>
      </c>
      <c r="K9" s="92">
        <f t="shared" si="1"/>
        <v>1.01351808</v>
      </c>
      <c r="L9" s="90">
        <f>SUM(L3:L8)/4</f>
        <v>270.75</v>
      </c>
      <c r="M9" s="91">
        <f>SUM(M3:M8)</f>
        <v>7524</v>
      </c>
      <c r="N9" s="90">
        <f>SUM(N3:N8)/4</f>
        <v>13</v>
      </c>
      <c r="O9" s="91">
        <f>SUM(O2:O8)</f>
        <v>1676</v>
      </c>
      <c r="P9" s="91">
        <f t="shared" ref="P9:AH9" si="4">SUM(P3:P8)</f>
        <v>242</v>
      </c>
      <c r="Q9" s="91">
        <f t="shared" si="4"/>
        <v>97</v>
      </c>
      <c r="R9" s="91">
        <f t="shared" si="4"/>
        <v>422</v>
      </c>
      <c r="S9" s="91">
        <f t="shared" si="4"/>
        <v>95</v>
      </c>
      <c r="T9" s="91">
        <f t="shared" si="4"/>
        <v>699</v>
      </c>
      <c r="U9" s="91">
        <f t="shared" si="4"/>
        <v>124</v>
      </c>
      <c r="V9" s="91">
        <f t="shared" si="4"/>
        <v>30</v>
      </c>
      <c r="W9" s="91">
        <f t="shared" si="4"/>
        <v>7</v>
      </c>
      <c r="X9" s="91">
        <f t="shared" si="4"/>
        <v>2</v>
      </c>
      <c r="Y9" s="91">
        <f t="shared" si="4"/>
        <v>0</v>
      </c>
      <c r="Z9" s="91">
        <f t="shared" si="4"/>
        <v>0</v>
      </c>
      <c r="AA9" s="91">
        <f t="shared" si="4"/>
        <v>0</v>
      </c>
      <c r="AB9" s="91">
        <f t="shared" si="4"/>
        <v>0</v>
      </c>
      <c r="AC9" s="91">
        <f t="shared" si="4"/>
        <v>127</v>
      </c>
      <c r="AD9" s="91">
        <f t="shared" si="4"/>
        <v>4</v>
      </c>
      <c r="AE9" s="91">
        <f t="shared" si="4"/>
        <v>0</v>
      </c>
      <c r="AF9" s="91">
        <f t="shared" si="4"/>
        <v>0</v>
      </c>
      <c r="AG9" s="91">
        <f t="shared" si="4"/>
        <v>5</v>
      </c>
      <c r="AH9" s="91">
        <f t="shared" si="4"/>
        <v>3</v>
      </c>
    </row>
    <row r="10">
      <c r="A10" s="83" t="s">
        <v>44</v>
      </c>
      <c r="B10" s="84" t="s">
        <v>186</v>
      </c>
      <c r="C10" s="85">
        <f>SUM('Game Results'!C23+'Game Results'!C41+'Game Results'!C203+'Game Results'!C527+'Game Results'!C545+'Game Results'!C221+'Game Results'!C887+'Game Results'!C1247+'Game Results'!C1265+'Game Results'!C905+'Game Results'!C923+'Game Results'!C941+'Game Results'!C1661+'Game Results'!C1643)</f>
        <v>12</v>
      </c>
      <c r="D10" s="85">
        <f>SUM('Game Results'!D23+'Game Results'!D41+'Game Results'!D203+'Game Results'!D527+'Game Results'!D545+'Game Results'!D221+'Game Results'!D887+'Game Results'!D1247+'Game Results'!D1265+'Game Results'!D905+'Game Results'!D923+'Game Results'!D941+'Game Results'!D1661+'Game Results'!D1643)</f>
        <v>7</v>
      </c>
      <c r="E10" s="86">
        <f>SUM('Game Results'!E23+'Game Results'!E41+'Game Results'!E203+'Game Results'!E527+'Game Results'!E545+'Game Results'!E221+'Game Results'!E887+'Game Results'!E1247+'Game Results'!E1265+'Game Results'!E905+'Game Results'!E923+'Game Results'!E941+'Game Results'!E1661+'Game Results'!E1643)</f>
        <v>392.85</v>
      </c>
      <c r="F10" s="85">
        <f>SUM('Game Results'!F23+'Game Results'!F41+'Game Results'!F203+'Game Results'!F527+'Game Results'!F545+'Game Results'!F221+'Game Results'!F887+'Game Results'!F1247+'Game Results'!F1265+'Game Results'!F905+'Game Results'!F923+'Game Results'!F941+'Game Results'!F1661+'Game Results'!F1643)</f>
        <v>0</v>
      </c>
      <c r="G10" s="85">
        <f>SUM('Game Results'!G23+'Game Results'!G41+'Game Results'!G203+'Game Results'!G527+'Game Results'!G545+'Game Results'!G221+'Game Results'!G887+'Game Results'!G1247+'Game Results'!G1265+'Game Results'!G905+'Game Results'!G923+'Game Results'!G941+'Game Results'!G1661+'Game Results'!G1643)</f>
        <v>1234</v>
      </c>
      <c r="H10" s="85">
        <f>SUM('Game Results'!H23+'Game Results'!H41+'Game Results'!H203+'Game Results'!H527+'Game Results'!H545+'Game Results'!H221+'Game Results'!H887+'Game Results'!H1247+'Game Results'!H1265+'Game Results'!H905+'Game Results'!H923+'Game Results'!H941+'Game Results'!H1661+'Game Results'!H1643)</f>
        <v>3</v>
      </c>
      <c r="I10" s="85">
        <f>SUM('Game Results'!I23+'Game Results'!I41+'Game Results'!I203+'Game Results'!I527+'Game Results'!I545+'Game Results'!I221+'Game Results'!I887+'Game Results'!I1247+'Game Results'!I1265+'Game Results'!I905+'Game Results'!I923+'Game Results'!I941+'Game Results'!I1661+'Game Results'!I1643)</f>
        <v>1718</v>
      </c>
      <c r="J10" s="85">
        <f>SUM('Game Results'!J23+'Game Results'!J41+'Game Results'!J203+'Game Results'!J527+'Game Results'!J545+'Game Results'!J221+'Game Results'!J887+'Game Results'!J1247+'Game Results'!J1265+'Game Results'!J905+'Game Results'!J923+'Game Results'!J941+'Game Results'!J1661+'Game Results'!J1643)</f>
        <v>-484</v>
      </c>
      <c r="K10" s="87">
        <f t="shared" si="1"/>
        <v>0.7182770664</v>
      </c>
      <c r="L10" s="85">
        <f>SUM('Game Results'!L23+'Game Results'!L41+'Game Results'!L203+'Game Results'!L527+'Game Results'!L545+'Game Results'!L221+'Game Results'!L887+'Game Results'!L1247+'Game Results'!L1265+'Game Results'!L905+'Game Results'!L923+'Game Results'!L941+'Game Results'!L1661+'Game Results'!L1643)</f>
        <v>133</v>
      </c>
      <c r="M10" s="85">
        <f>SUM('Game Results'!M23+'Game Results'!M41+'Game Results'!M203+'Game Results'!M527+'Game Results'!M545+'Game Results'!M221+'Game Results'!M887+'Game Results'!M1247+'Game Results'!M1265+'Game Results'!M905+'Game Results'!M923+'Game Results'!M941+'Game Results'!M1661+'Game Results'!M1643)</f>
        <v>1551</v>
      </c>
      <c r="N10" s="85">
        <f>SUM('Game Results'!N23+'Game Results'!N41+'Game Results'!N203+'Game Results'!N527+'Game Results'!N545+'Game Results'!N221+'Game Results'!N887+'Game Results'!N1247+'Game Results'!N1265+'Game Results'!N905+'Game Results'!N923+'Game Results'!N941+'Game Results'!N1661+'Game Results'!N1643)</f>
        <v>12</v>
      </c>
      <c r="O10" s="88">
        <f>SUM('Game Results'!O23+'Game Results'!O41+'Game Results'!O203+'Game Results'!O527+'Game Results'!O545+'Game Results'!O221+'Game Results'!O887+'Game Results'!O1247+'Game Results'!O1265+'Game Results'!O905+'Game Results'!O923+'Game Results'!O941+'Game Results'!O1661+'Game Results'!O1643)</f>
        <v>392.85</v>
      </c>
      <c r="P10" s="85">
        <f>SUM('Game Results'!P23+'Game Results'!P41+'Game Results'!P203+'Game Results'!P527+'Game Results'!P545+'Game Results'!P221+'Game Results'!P887+'Game Results'!P1247+'Game Results'!P1265+'Game Results'!P905+'Game Results'!P923+'Game Results'!P941+'Game Results'!P1661+'Game Results'!P1643)</f>
        <v>32</v>
      </c>
      <c r="Q10" s="85">
        <f>SUM('Game Results'!Q23+'Game Results'!Q41+'Game Results'!Q203+'Game Results'!Q527+'Game Results'!Q545+'Game Results'!Q221+'Game Results'!Q887+'Game Results'!Q1247+'Game Results'!Q1265+'Game Results'!Q905+'Game Results'!Q923+'Game Results'!Q941+'Game Results'!Q1661+'Game Results'!Q1643)</f>
        <v>22</v>
      </c>
      <c r="R10" s="85">
        <f>SUM('Game Results'!R23+'Game Results'!R41+'Game Results'!R203+'Game Results'!R527+'Game Results'!R545+'Game Results'!R221+'Game Results'!R887+'Game Results'!R1247+'Game Results'!R1265+'Game Results'!R905+'Game Results'!R923+'Game Results'!R941+'Game Results'!R1661+'Game Results'!R1643)</f>
        <v>114</v>
      </c>
      <c r="S10" s="85">
        <f>SUM('Game Results'!S23+'Game Results'!S41+'Game Results'!S203+'Game Results'!S527+'Game Results'!S545+'Game Results'!S221+'Game Results'!S887+'Game Results'!S1247+'Game Results'!S1265+'Game Results'!S905+'Game Results'!S923+'Game Results'!S941+'Game Results'!S1661+'Game Results'!S1643)</f>
        <v>24</v>
      </c>
      <c r="T10" s="85">
        <f>SUM('Game Results'!T23+'Game Results'!T41+'Game Results'!T203+'Game Results'!T527+'Game Results'!T545+'Game Results'!T221+'Game Results'!T887+'Game Results'!T1247+'Game Results'!T1265+'Game Results'!T905+'Game Results'!T923+'Game Results'!T941+'Game Results'!T1661+'Game Results'!T1643)</f>
        <v>172</v>
      </c>
      <c r="U10" s="85">
        <f>SUM('Game Results'!U23+'Game Results'!U41+'Game Results'!U203+'Game Results'!U527+'Game Results'!U545+'Game Results'!U221+'Game Results'!U887+'Game Results'!U1247+'Game Results'!U1265+'Game Results'!U905+'Game Results'!U923+'Game Results'!U941+'Game Results'!U1661+'Game Results'!U1643)</f>
        <v>21</v>
      </c>
      <c r="V10" s="85">
        <f>SUM('Game Results'!V23+'Game Results'!V41+'Game Results'!V203+'Game Results'!V527+'Game Results'!V545+'Game Results'!V221+'Game Results'!V887+'Game Results'!V1247+'Game Results'!V1265+'Game Results'!V905+'Game Results'!V923+'Game Results'!V941+'Game Results'!V1661+'Game Results'!V1643)</f>
        <v>1</v>
      </c>
      <c r="W10" s="85">
        <f>SUM('Game Results'!W23+'Game Results'!W41+'Game Results'!W203+'Game Results'!W527+'Game Results'!W545+'Game Results'!W221+'Game Results'!W887+'Game Results'!W1247+'Game Results'!W1265+'Game Results'!W905+'Game Results'!W923+'Game Results'!W941+'Game Results'!W1661+'Game Results'!W1643)</f>
        <v>0</v>
      </c>
      <c r="X10" s="85">
        <f>SUM('Game Results'!X23+'Game Results'!X41+'Game Results'!X203+'Game Results'!X527+'Game Results'!X545+'Game Results'!X221+'Game Results'!X887+'Game Results'!X1247+'Game Results'!X1265+'Game Results'!X905+'Game Results'!X923+'Game Results'!X941+'Game Results'!X1661+'Game Results'!X1643)</f>
        <v>0</v>
      </c>
      <c r="Y10" s="85">
        <f>SUM('Game Results'!Y23+'Game Results'!Y41+'Game Results'!Y203+'Game Results'!Y527+'Game Results'!Y545+'Game Results'!Y221+'Game Results'!Y887+'Game Results'!Y1247+'Game Results'!Y1265+'Game Results'!Y905+'Game Results'!Y923+'Game Results'!Y941+'Game Results'!Y1661+'Game Results'!Y1643)</f>
        <v>0</v>
      </c>
      <c r="Z10" s="85">
        <f>SUM('Game Results'!Z23+'Game Results'!Z41+'Game Results'!Z203+'Game Results'!Z527+'Game Results'!Z545+'Game Results'!Z221+'Game Results'!Z887+'Game Results'!Z1247+'Game Results'!Z1265+'Game Results'!Z905+'Game Results'!Z923+'Game Results'!Z941+'Game Results'!Z1661+'Game Results'!Z1643)</f>
        <v>0</v>
      </c>
      <c r="AA10" s="85">
        <f>SUM('Game Results'!AA23+'Game Results'!AA41+'Game Results'!AA203+'Game Results'!AA527+'Game Results'!AA545+'Game Results'!AA221+'Game Results'!AA887+'Game Results'!AA1247+'Game Results'!AA1265+'Game Results'!AA905+'Game Results'!AA923+'Game Results'!AA941+'Game Results'!AA1661+'Game Results'!AA1643)</f>
        <v>0</v>
      </c>
      <c r="AB10" s="85">
        <f>SUM('Game Results'!AB23+'Game Results'!AB41+'Game Results'!AB203+'Game Results'!AB527+'Game Results'!AB545+'Game Results'!AB221+'Game Results'!AB887+'Game Results'!AB1247+'Game Results'!AB1265+'Game Results'!AB905+'Game Results'!AB923+'Game Results'!AB941+'Game Results'!AB1661+'Game Results'!AB1643)</f>
        <v>0</v>
      </c>
      <c r="AC10" s="85">
        <f>SUM('Game Results'!AC23+'Game Results'!AC41+'Game Results'!AC203+'Game Results'!AC527+'Game Results'!AC545+'Game Results'!AC221+'Game Results'!AC887+'Game Results'!AC1247+'Game Results'!AC1265+'Game Results'!AC905+'Game Results'!AC923+'Game Results'!AC941+'Game Results'!AC1661+'Game Results'!AC1643)</f>
        <v>4</v>
      </c>
      <c r="AD10" s="85">
        <f>SUM('Game Results'!AD23+'Game Results'!AD41+'Game Results'!AD203+'Game Results'!AD527+'Game Results'!AD545+'Game Results'!AD221+'Game Results'!AD887+'Game Results'!AD1247+'Game Results'!AD1265+'Game Results'!AD905+'Game Results'!AD923+'Game Results'!AD941+'Game Results'!AD1661+'Game Results'!AD1643)</f>
        <v>0</v>
      </c>
      <c r="AE10" s="85">
        <f>SUM('Game Results'!AE23+'Game Results'!AE41+'Game Results'!AE203+'Game Results'!AE527+'Game Results'!AE545+'Game Results'!AE221+'Game Results'!AE887+'Game Results'!AE1247+'Game Results'!AE1265+'Game Results'!AE905+'Game Results'!AE923+'Game Results'!AE941+'Game Results'!AE1661+'Game Results'!AE1643)</f>
        <v>0</v>
      </c>
      <c r="AF10" s="85">
        <f>SUM('Game Results'!AF23+'Game Results'!AF41+'Game Results'!AF203+'Game Results'!AF527+'Game Results'!AF545+'Game Results'!AF221+'Game Results'!AF887+'Game Results'!AF1247+'Game Results'!AF1265+'Game Results'!AF905+'Game Results'!AF923+'Game Results'!AF941+'Game Results'!AF1661+'Game Results'!AF1643)</f>
        <v>0</v>
      </c>
      <c r="AG10" s="85">
        <f>SUM('Game Results'!AG23+'Game Results'!AG41+'Game Results'!AG203+'Game Results'!AG527+'Game Results'!AG545+'Game Results'!AG221+'Game Results'!AG887+'Game Results'!AG1247+'Game Results'!AG1265+'Game Results'!AG905+'Game Results'!AG923+'Game Results'!AG941+'Game Results'!AG1661+'Game Results'!AG1643)</f>
        <v>0</v>
      </c>
      <c r="AH10" s="85">
        <f>SUM('Game Results'!AH23+'Game Results'!AH41+'Game Results'!AH203+'Game Results'!AH527+'Game Results'!AH545+'Game Results'!AH221+'Game Results'!AH887+'Game Results'!AH1247+'Game Results'!AH1265+'Game Results'!AH905+'Game Results'!AH923+'Game Results'!AH941+'Game Results'!AH1661+'Game Results'!AH1643)</f>
        <v>0</v>
      </c>
    </row>
    <row r="11">
      <c r="A11" s="83" t="s">
        <v>44</v>
      </c>
      <c r="B11" s="84" t="s">
        <v>187</v>
      </c>
      <c r="C11" s="85">
        <f>SUM('Game Results'!C24+'Game Results'!C42+'Game Results'!C204+'Game Results'!C528+'Game Results'!C546+'Game Results'!C222+'Game Results'!C888+'Game Results'!C1248+'Game Results'!C1266+'Game Results'!C906+'Game Results'!C924+'Game Results'!C942+'Game Results'!C1662+'Game Results'!C1644)</f>
        <v>12</v>
      </c>
      <c r="D11" s="85">
        <f>SUM('Game Results'!D24+'Game Results'!D42+'Game Results'!D204+'Game Results'!D528+'Game Results'!D546+'Game Results'!D222+'Game Results'!D888+'Game Results'!D1248+'Game Results'!D1266+'Game Results'!D906+'Game Results'!D924+'Game Results'!D942+'Game Results'!D1662+'Game Results'!D1644)</f>
        <v>7</v>
      </c>
      <c r="E11" s="86">
        <f>SUM('Game Results'!E24+'Game Results'!E42+'Game Results'!E204+'Game Results'!E528+'Game Results'!E546+'Game Results'!E222+'Game Results'!E888+'Game Results'!E1248+'Game Results'!E1266+'Game Results'!E906+'Game Results'!E924+'Game Results'!E942+'Game Results'!E1662+'Game Results'!E1644)</f>
        <v>371.5</v>
      </c>
      <c r="F11" s="85">
        <f>SUM('Game Results'!F24+'Game Results'!F42+'Game Results'!F204+'Game Results'!F528+'Game Results'!F546+'Game Results'!F222+'Game Results'!F888+'Game Results'!F1248+'Game Results'!F1266+'Game Results'!F906+'Game Results'!F924+'Game Results'!F942+'Game Results'!F1662+'Game Results'!F1644)</f>
        <v>5</v>
      </c>
      <c r="G11" s="85">
        <f>SUM('Game Results'!G24+'Game Results'!G42+'Game Results'!G204+'Game Results'!G528+'Game Results'!G546+'Game Results'!G222+'Game Results'!G888+'Game Results'!G1248+'Game Results'!G1266+'Game Results'!G906+'Game Results'!G924+'Game Results'!G942+'Game Results'!G1662+'Game Results'!G1644)</f>
        <v>1527</v>
      </c>
      <c r="H11" s="85">
        <f>SUM('Game Results'!H24+'Game Results'!H42+'Game Results'!H204+'Game Results'!H528+'Game Results'!H546+'Game Results'!H222+'Game Results'!H888+'Game Results'!H1248+'Game Results'!H1266+'Game Results'!H906+'Game Results'!H924+'Game Results'!H942+'Game Results'!H1662+'Game Results'!H1644)</f>
        <v>6</v>
      </c>
      <c r="I11" s="85">
        <f>SUM('Game Results'!I24+'Game Results'!I42+'Game Results'!I204+'Game Results'!I528+'Game Results'!I546+'Game Results'!I222+'Game Results'!I888+'Game Results'!I1248+'Game Results'!I1266+'Game Results'!I906+'Game Results'!I924+'Game Results'!I942+'Game Results'!I1662+'Game Results'!I1644)</f>
        <v>1261</v>
      </c>
      <c r="J11" s="85">
        <f>SUM('Game Results'!J24+'Game Results'!J42+'Game Results'!J204+'Game Results'!J528+'Game Results'!J546+'Game Results'!J222+'Game Results'!J888+'Game Results'!J1248+'Game Results'!J1266+'Game Results'!J906+'Game Results'!J924+'Game Results'!J942+'Game Results'!J1662+'Game Results'!J1644)</f>
        <v>266</v>
      </c>
      <c r="K11" s="87">
        <f t="shared" si="1"/>
        <v>1.210943695</v>
      </c>
      <c r="L11" s="85">
        <f>SUM('Game Results'!L24+'Game Results'!L42+'Game Results'!L204+'Game Results'!L528+'Game Results'!L546+'Game Results'!L222+'Game Results'!L888+'Game Results'!L1248+'Game Results'!L1266+'Game Results'!L906+'Game Results'!L924+'Game Results'!L942+'Game Results'!L1662+'Game Results'!L1644)</f>
        <v>181</v>
      </c>
      <c r="M11" s="85">
        <f>SUM('Game Results'!M24+'Game Results'!M42+'Game Results'!M204+'Game Results'!M528+'Game Results'!M546+'Game Results'!M222+'Game Results'!M888+'Game Results'!M1248+'Game Results'!M1266+'Game Results'!M906+'Game Results'!M924+'Game Results'!M942+'Game Results'!M1662+'Game Results'!M1644)</f>
        <v>2001</v>
      </c>
      <c r="N11" s="85">
        <f>SUM('Game Results'!N24+'Game Results'!N42+'Game Results'!N204+'Game Results'!N528+'Game Results'!N546+'Game Results'!N222+'Game Results'!N888+'Game Results'!N1248+'Game Results'!N1266+'Game Results'!N906+'Game Results'!N924+'Game Results'!N942+'Game Results'!N1662+'Game Results'!N1644)</f>
        <v>12</v>
      </c>
      <c r="O11" s="88">
        <f>SUM('Game Results'!O24+'Game Results'!O42+'Game Results'!O204+'Game Results'!O528+'Game Results'!O546+'Game Results'!O222+'Game Results'!O888+'Game Results'!O1248+'Game Results'!O1266+'Game Results'!O906+'Game Results'!O924+'Game Results'!O942+'Game Results'!O1662+'Game Results'!O1644)</f>
        <v>371.5</v>
      </c>
      <c r="P11" s="85">
        <f>SUM('Game Results'!P24+'Game Results'!P42+'Game Results'!P204+'Game Results'!P528+'Game Results'!P546+'Game Results'!P222+'Game Results'!P888+'Game Results'!P1248+'Game Results'!P1266+'Game Results'!P906+'Game Results'!P924+'Game Results'!P942+'Game Results'!P1662+'Game Results'!P1644)</f>
        <v>53</v>
      </c>
      <c r="Q11" s="85">
        <f>SUM('Game Results'!Q24+'Game Results'!Q42+'Game Results'!Q204+'Game Results'!Q528+'Game Results'!Q546+'Game Results'!Q222+'Game Results'!Q888+'Game Results'!Q1248+'Game Results'!Q1266+'Game Results'!Q906+'Game Results'!Q924+'Game Results'!Q942+'Game Results'!Q1662+'Game Results'!Q1644)</f>
        <v>24</v>
      </c>
      <c r="R11" s="85">
        <f>SUM('Game Results'!R24+'Game Results'!R42+'Game Results'!R204+'Game Results'!R528+'Game Results'!R546+'Game Results'!R222+'Game Results'!R888+'Game Results'!R1248+'Game Results'!R1266+'Game Results'!R906+'Game Results'!R924+'Game Results'!R942+'Game Results'!R1662+'Game Results'!R1644)</f>
        <v>125</v>
      </c>
      <c r="S11" s="85">
        <f>SUM('Game Results'!S24+'Game Results'!S42+'Game Results'!S204+'Game Results'!S528+'Game Results'!S546+'Game Results'!S222+'Game Results'!S888+'Game Results'!S1248+'Game Results'!S1266+'Game Results'!S906+'Game Results'!S924+'Game Results'!S942+'Game Results'!S1662+'Game Results'!S1644)</f>
        <v>22</v>
      </c>
      <c r="T11" s="85">
        <f>SUM('Game Results'!T24+'Game Results'!T42+'Game Results'!T204+'Game Results'!T528+'Game Results'!T546+'Game Results'!T222+'Game Results'!T888+'Game Results'!T1248+'Game Results'!T1266+'Game Results'!T906+'Game Results'!T924+'Game Results'!T942+'Game Results'!T1662+'Game Results'!T1644)</f>
        <v>240</v>
      </c>
      <c r="U11" s="85">
        <f>SUM('Game Results'!U24+'Game Results'!U42+'Game Results'!U204+'Game Results'!U528+'Game Results'!U546+'Game Results'!U222+'Game Results'!U888+'Game Results'!U1248+'Game Results'!U1266+'Game Results'!U906+'Game Results'!U924+'Game Results'!U942+'Game Results'!U1662+'Game Results'!U1644)</f>
        <v>57</v>
      </c>
      <c r="V11" s="85">
        <f>SUM('Game Results'!V24+'Game Results'!V42+'Game Results'!V204+'Game Results'!V528+'Game Results'!V546+'Game Results'!V222+'Game Results'!V888+'Game Results'!V1248+'Game Results'!V1266+'Game Results'!V906+'Game Results'!V924+'Game Results'!V942+'Game Results'!V1662+'Game Results'!V1644)</f>
        <v>16</v>
      </c>
      <c r="W11" s="85">
        <f>SUM('Game Results'!W24+'Game Results'!W42+'Game Results'!W204+'Game Results'!W528+'Game Results'!W546+'Game Results'!W222+'Game Results'!W888+'Game Results'!W1248+'Game Results'!W1266+'Game Results'!W906+'Game Results'!W924+'Game Results'!W942+'Game Results'!W1662+'Game Results'!W1644)</f>
        <v>5</v>
      </c>
      <c r="X11" s="85">
        <f>SUM('Game Results'!X24+'Game Results'!X42+'Game Results'!X204+'Game Results'!X528+'Game Results'!X546+'Game Results'!X222+'Game Results'!X888+'Game Results'!X1248+'Game Results'!X1266+'Game Results'!X906+'Game Results'!X924+'Game Results'!X942+'Game Results'!X1662+'Game Results'!X1644)</f>
        <v>2</v>
      </c>
      <c r="Y11" s="85">
        <f>SUM('Game Results'!Y24+'Game Results'!Y42+'Game Results'!Y204+'Game Results'!Y528+'Game Results'!Y546+'Game Results'!Y222+'Game Results'!Y888+'Game Results'!Y1248+'Game Results'!Y1266+'Game Results'!Y906+'Game Results'!Y924+'Game Results'!Y942+'Game Results'!Y1662+'Game Results'!Y1644)</f>
        <v>1</v>
      </c>
      <c r="Z11" s="85">
        <f>SUM('Game Results'!Z24+'Game Results'!Z42+'Game Results'!Z204+'Game Results'!Z528+'Game Results'!Z546+'Game Results'!Z222+'Game Results'!Z888+'Game Results'!Z1248+'Game Results'!Z1266+'Game Results'!Z906+'Game Results'!Z924+'Game Results'!Z942+'Game Results'!Z1662+'Game Results'!Z1644)</f>
        <v>1</v>
      </c>
      <c r="AA11" s="85">
        <f>SUM('Game Results'!AA24+'Game Results'!AA42+'Game Results'!AA204+'Game Results'!AA528+'Game Results'!AA546+'Game Results'!AA222+'Game Results'!AA888+'Game Results'!AA1248+'Game Results'!AA1266+'Game Results'!AA906+'Game Results'!AA924+'Game Results'!AA942+'Game Results'!AA1662+'Game Results'!AA1644)</f>
        <v>1</v>
      </c>
      <c r="AB11" s="85">
        <f>SUM('Game Results'!AB24+'Game Results'!AB42+'Game Results'!AB204+'Game Results'!AB528+'Game Results'!AB546+'Game Results'!AB222+'Game Results'!AB888+'Game Results'!AB1248+'Game Results'!AB1266+'Game Results'!AB906+'Game Results'!AB924+'Game Results'!AB942+'Game Results'!AB1662+'Game Results'!AB1644)</f>
        <v>1</v>
      </c>
      <c r="AC11" s="85">
        <f>SUM('Game Results'!AC24+'Game Results'!AC42+'Game Results'!AC204+'Game Results'!AC528+'Game Results'!AC546+'Game Results'!AC222+'Game Results'!AC888+'Game Results'!AC1248+'Game Results'!AC1266+'Game Results'!AC906+'Game Results'!AC924+'Game Results'!AC942+'Game Results'!AC1662+'Game Results'!AC1644)</f>
        <v>41</v>
      </c>
      <c r="AD11" s="85">
        <f>SUM('Game Results'!AD24+'Game Results'!AD42+'Game Results'!AD204+'Game Results'!AD528+'Game Results'!AD546+'Game Results'!AD222+'Game Results'!AD888+'Game Results'!AD1248+'Game Results'!AD1266+'Game Results'!AD906+'Game Results'!AD924+'Game Results'!AD942+'Game Results'!AD1662+'Game Results'!AD1644)</f>
        <v>3</v>
      </c>
      <c r="AE11" s="85">
        <f>SUM('Game Results'!AE24+'Game Results'!AE42+'Game Results'!AE204+'Game Results'!AE528+'Game Results'!AE546+'Game Results'!AE222+'Game Results'!AE888+'Game Results'!AE1248+'Game Results'!AE1266+'Game Results'!AE906+'Game Results'!AE924+'Game Results'!AE942+'Game Results'!AE1662+'Game Results'!AE1644)</f>
        <v>0</v>
      </c>
      <c r="AF11" s="85">
        <f>SUM('Game Results'!AF24+'Game Results'!AF42+'Game Results'!AF204+'Game Results'!AF528+'Game Results'!AF546+'Game Results'!AF222+'Game Results'!AF888+'Game Results'!AF1248+'Game Results'!AF1266+'Game Results'!AF906+'Game Results'!AF924+'Game Results'!AF942+'Game Results'!AF1662+'Game Results'!AF1644)</f>
        <v>0</v>
      </c>
      <c r="AG11" s="85">
        <f>SUM('Game Results'!AG24+'Game Results'!AG42+'Game Results'!AG204+'Game Results'!AG528+'Game Results'!AG546+'Game Results'!AG222+'Game Results'!AG888+'Game Results'!AG1248+'Game Results'!AG1266+'Game Results'!AG906+'Game Results'!AG924+'Game Results'!AG942+'Game Results'!AG1662+'Game Results'!AG1644)</f>
        <v>1</v>
      </c>
      <c r="AH11" s="85">
        <f>SUM('Game Results'!AH24+'Game Results'!AH42+'Game Results'!AH204+'Game Results'!AH528+'Game Results'!AH546+'Game Results'!AH222+'Game Results'!AH888+'Game Results'!AH1248+'Game Results'!AH1266+'Game Results'!AH906+'Game Results'!AH924+'Game Results'!AH942+'Game Results'!AH1662+'Game Results'!AH1644)</f>
        <v>1</v>
      </c>
    </row>
    <row r="12">
      <c r="A12" s="83" t="s">
        <v>44</v>
      </c>
      <c r="B12" s="84" t="s">
        <v>188</v>
      </c>
      <c r="C12" s="85">
        <f>SUM('Game Results'!C25+'Game Results'!C43+'Game Results'!C205+'Game Results'!C529+'Game Results'!C547+'Game Results'!C223+'Game Results'!C889+'Game Results'!C1249+'Game Results'!C1267+'Game Results'!C907+'Game Results'!C925+'Game Results'!C943+'Game Results'!C1663+'Game Results'!C1645)</f>
        <v>13</v>
      </c>
      <c r="D12" s="85">
        <f>SUM('Game Results'!D25+'Game Results'!D43+'Game Results'!D205+'Game Results'!D529+'Game Results'!D547+'Game Results'!D223+'Game Results'!D889+'Game Results'!D1249+'Game Results'!D1267+'Game Results'!D907+'Game Results'!D925+'Game Results'!D943+'Game Results'!D1663+'Game Results'!D1645)</f>
        <v>7</v>
      </c>
      <c r="E12" s="86">
        <f>SUM('Game Results'!E25+'Game Results'!E43+'Game Results'!E205+'Game Results'!E529+'Game Results'!E547+'Game Results'!E223+'Game Results'!E889+'Game Results'!E1249+'Game Results'!E1267+'Game Results'!E907+'Game Results'!E925+'Game Results'!E943+'Game Results'!E1663+'Game Results'!E1645)</f>
        <v>439.9666667</v>
      </c>
      <c r="F12" s="85">
        <f>SUM('Game Results'!F25+'Game Results'!F43+'Game Results'!F205+'Game Results'!F529+'Game Results'!F547+'Game Results'!F223+'Game Results'!F889+'Game Results'!F1249+'Game Results'!F1267+'Game Results'!F907+'Game Results'!F925+'Game Results'!F943+'Game Results'!F1663+'Game Results'!F1645)</f>
        <v>42</v>
      </c>
      <c r="G12" s="85">
        <f>SUM('Game Results'!G25+'Game Results'!G43+'Game Results'!G205+'Game Results'!G529+'Game Results'!G547+'Game Results'!G223+'Game Results'!G889+'Game Results'!G1249+'Game Results'!G1267+'Game Results'!G907+'Game Results'!G925+'Game Results'!G943+'Game Results'!G1663+'Game Results'!G1645)</f>
        <v>969</v>
      </c>
      <c r="H12" s="85">
        <f>SUM('Game Results'!H25+'Game Results'!H43+'Game Results'!H205+'Game Results'!H529+'Game Results'!H547+'Game Results'!H223+'Game Results'!H889+'Game Results'!H1249+'Game Results'!H1267+'Game Results'!H907+'Game Results'!H925+'Game Results'!H943+'Game Results'!H1663+'Game Results'!H1645)</f>
        <v>4</v>
      </c>
      <c r="I12" s="85">
        <f>SUM('Game Results'!I25+'Game Results'!I43+'Game Results'!I205+'Game Results'!I529+'Game Results'!I547+'Game Results'!I223+'Game Results'!I889+'Game Results'!I1249+'Game Results'!I1267+'Game Results'!I907+'Game Results'!I925+'Game Results'!I943+'Game Results'!I1663+'Game Results'!I1645)</f>
        <v>1039</v>
      </c>
      <c r="J12" s="85">
        <f>SUM('Game Results'!J25+'Game Results'!J43+'Game Results'!J205+'Game Results'!J529+'Game Results'!J547+'Game Results'!J223+'Game Results'!J889+'Game Results'!J1249+'Game Results'!J1267+'Game Results'!J907+'Game Results'!J925+'Game Results'!J943+'Game Results'!J1663+'Game Results'!J1645)</f>
        <v>-70</v>
      </c>
      <c r="K12" s="87">
        <f t="shared" si="1"/>
        <v>0.9326275265</v>
      </c>
      <c r="L12" s="85">
        <f>SUM('Game Results'!L25+'Game Results'!L43+'Game Results'!L205+'Game Results'!L529+'Game Results'!L547+'Game Results'!L223+'Game Results'!L889+'Game Results'!L1249+'Game Results'!L1267+'Game Results'!L907+'Game Results'!L925+'Game Results'!L943+'Game Results'!L1663+'Game Results'!L1645)</f>
        <v>295</v>
      </c>
      <c r="M12" s="85">
        <f>SUM('Game Results'!M25+'Game Results'!M43+'Game Results'!M205+'Game Results'!M529+'Game Results'!M547+'Game Results'!M223+'Game Results'!M889+'Game Results'!M1249+'Game Results'!M1267+'Game Results'!M907+'Game Results'!M925+'Game Results'!M943+'Game Results'!M1663+'Game Results'!M1645)</f>
        <v>1224</v>
      </c>
      <c r="N12" s="85">
        <f>SUM('Game Results'!N25+'Game Results'!N43+'Game Results'!N205+'Game Results'!N529+'Game Results'!N547+'Game Results'!N223+'Game Results'!N889+'Game Results'!N1249+'Game Results'!N1267+'Game Results'!N907+'Game Results'!N925+'Game Results'!N943+'Game Results'!N1663+'Game Results'!N1645)</f>
        <v>13</v>
      </c>
      <c r="O12" s="88">
        <f>SUM('Game Results'!O25+'Game Results'!O43+'Game Results'!O205+'Game Results'!O529+'Game Results'!O547+'Game Results'!O223+'Game Results'!O889+'Game Results'!O1249+'Game Results'!O1267+'Game Results'!O907+'Game Results'!O925+'Game Results'!O943+'Game Results'!O1663+'Game Results'!O1645)</f>
        <v>439.9666667</v>
      </c>
      <c r="P12" s="85">
        <f>SUM('Game Results'!P25+'Game Results'!P43+'Game Results'!P205+'Game Results'!P529+'Game Results'!P547+'Game Results'!P223+'Game Results'!P889+'Game Results'!P1249+'Game Results'!P1267+'Game Results'!P907+'Game Results'!P925+'Game Results'!P943+'Game Results'!P1663+'Game Results'!P1645)</f>
        <v>59</v>
      </c>
      <c r="Q12" s="85">
        <f>SUM('Game Results'!Q25+'Game Results'!Q43+'Game Results'!Q205+'Game Results'!Q529+'Game Results'!Q547+'Game Results'!Q223+'Game Results'!Q889+'Game Results'!Q1249+'Game Results'!Q1267+'Game Results'!Q907+'Game Results'!Q925+'Game Results'!Q943+'Game Results'!Q1663+'Game Results'!Q1645)</f>
        <v>13</v>
      </c>
      <c r="R12" s="85">
        <f>SUM('Game Results'!R25+'Game Results'!R43+'Game Results'!R205+'Game Results'!R529+'Game Results'!R547+'Game Results'!R223+'Game Results'!R889+'Game Results'!R1249+'Game Results'!R1267+'Game Results'!R907+'Game Results'!R925+'Game Results'!R943+'Game Results'!R1663+'Game Results'!R1645)</f>
        <v>31</v>
      </c>
      <c r="S12" s="85">
        <f>SUM('Game Results'!S25+'Game Results'!S43+'Game Results'!S205+'Game Results'!S529+'Game Results'!S547+'Game Results'!S223+'Game Results'!S889+'Game Results'!S1249+'Game Results'!S1267+'Game Results'!S907+'Game Results'!S925+'Game Results'!S943+'Game Results'!S1663+'Game Results'!S1645)</f>
        <v>30</v>
      </c>
      <c r="T12" s="85">
        <f>SUM('Game Results'!T25+'Game Results'!T43+'Game Results'!T205+'Game Results'!T529+'Game Results'!T547+'Game Results'!T223+'Game Results'!T889+'Game Results'!T1249+'Game Results'!T1267+'Game Results'!T907+'Game Results'!T925+'Game Results'!T943+'Game Results'!T1663+'Game Results'!T1645)</f>
        <v>89</v>
      </c>
      <c r="U12" s="85">
        <f>SUM('Game Results'!U25+'Game Results'!U43+'Game Results'!U205+'Game Results'!U529+'Game Results'!U547+'Game Results'!U223+'Game Results'!U889+'Game Results'!U1249+'Game Results'!U1267+'Game Results'!U907+'Game Results'!U925+'Game Results'!U943+'Game Results'!U1663+'Game Results'!U1645)</f>
        <v>15</v>
      </c>
      <c r="V12" s="85">
        <f>SUM('Game Results'!V25+'Game Results'!V43+'Game Results'!V205+'Game Results'!V529+'Game Results'!V547+'Game Results'!V223+'Game Results'!V889+'Game Results'!V1249+'Game Results'!V1267+'Game Results'!V907+'Game Results'!V925+'Game Results'!V943+'Game Results'!V1663+'Game Results'!V1645)</f>
        <v>5</v>
      </c>
      <c r="W12" s="85">
        <f>SUM('Game Results'!W25+'Game Results'!W43+'Game Results'!W205+'Game Results'!W529+'Game Results'!W547+'Game Results'!W223+'Game Results'!W889+'Game Results'!W1249+'Game Results'!W1267+'Game Results'!W907+'Game Results'!W925+'Game Results'!W943+'Game Results'!W1663+'Game Results'!W1645)</f>
        <v>0</v>
      </c>
      <c r="X12" s="85">
        <f>SUM('Game Results'!X25+'Game Results'!X43+'Game Results'!X205+'Game Results'!X529+'Game Results'!X547+'Game Results'!X223+'Game Results'!X889+'Game Results'!X1249+'Game Results'!X1267+'Game Results'!X907+'Game Results'!X925+'Game Results'!X943+'Game Results'!X1663+'Game Results'!X1645)</f>
        <v>0</v>
      </c>
      <c r="Y12" s="85">
        <f>SUM('Game Results'!Y25+'Game Results'!Y43+'Game Results'!Y205+'Game Results'!Y529+'Game Results'!Y547+'Game Results'!Y223+'Game Results'!Y889+'Game Results'!Y1249+'Game Results'!Y1267+'Game Results'!Y907+'Game Results'!Y925+'Game Results'!Y943+'Game Results'!Y1663+'Game Results'!Y1645)</f>
        <v>0</v>
      </c>
      <c r="Z12" s="85">
        <f>SUM('Game Results'!Z25+'Game Results'!Z43+'Game Results'!Z205+'Game Results'!Z529+'Game Results'!Z547+'Game Results'!Z223+'Game Results'!Z889+'Game Results'!Z1249+'Game Results'!Z1267+'Game Results'!Z907+'Game Results'!Z925+'Game Results'!Z943+'Game Results'!Z1663+'Game Results'!Z1645)</f>
        <v>0</v>
      </c>
      <c r="AA12" s="85">
        <f>SUM('Game Results'!AA25+'Game Results'!AA43+'Game Results'!AA205+'Game Results'!AA529+'Game Results'!AA547+'Game Results'!AA223+'Game Results'!AA889+'Game Results'!AA1249+'Game Results'!AA1267+'Game Results'!AA907+'Game Results'!AA925+'Game Results'!AA943+'Game Results'!AA1663+'Game Results'!AA1645)</f>
        <v>0</v>
      </c>
      <c r="AB12" s="85">
        <f>SUM('Game Results'!AB25+'Game Results'!AB43+'Game Results'!AB205+'Game Results'!AB529+'Game Results'!AB547+'Game Results'!AB223+'Game Results'!AB889+'Game Results'!AB1249+'Game Results'!AB1267+'Game Results'!AB907+'Game Results'!AB925+'Game Results'!AB943+'Game Results'!AB1663+'Game Results'!AB1645)</f>
        <v>0</v>
      </c>
      <c r="AC12" s="85">
        <f>SUM('Game Results'!AC25+'Game Results'!AC43+'Game Results'!AC205+'Game Results'!AC529+'Game Results'!AC547+'Game Results'!AC223+'Game Results'!AC889+'Game Results'!AC1249+'Game Results'!AC1267+'Game Results'!AC907+'Game Results'!AC925+'Game Results'!AC943+'Game Results'!AC1663+'Game Results'!AC1645)</f>
        <v>16</v>
      </c>
      <c r="AD12" s="85">
        <f>SUM('Game Results'!AD25+'Game Results'!AD43+'Game Results'!AD205+'Game Results'!AD529+'Game Results'!AD547+'Game Results'!AD223+'Game Results'!AD889+'Game Results'!AD1249+'Game Results'!AD1267+'Game Results'!AD907+'Game Results'!AD925+'Game Results'!AD943+'Game Results'!AD1663+'Game Results'!AD1645)</f>
        <v>0</v>
      </c>
      <c r="AE12" s="85">
        <f>SUM('Game Results'!AE25+'Game Results'!AE43+'Game Results'!AE205+'Game Results'!AE529+'Game Results'!AE547+'Game Results'!AE223+'Game Results'!AE889+'Game Results'!AE1249+'Game Results'!AE1267+'Game Results'!AE907+'Game Results'!AE925+'Game Results'!AE943+'Game Results'!AE1663+'Game Results'!AE1645)</f>
        <v>0</v>
      </c>
      <c r="AF12" s="85">
        <f>SUM('Game Results'!AF25+'Game Results'!AF43+'Game Results'!AF205+'Game Results'!AF529+'Game Results'!AF547+'Game Results'!AF223+'Game Results'!AF889+'Game Results'!AF1249+'Game Results'!AF1267+'Game Results'!AF907+'Game Results'!AF925+'Game Results'!AF943+'Game Results'!AF1663+'Game Results'!AF1645)</f>
        <v>0</v>
      </c>
      <c r="AG12" s="85">
        <f>SUM('Game Results'!AG25+'Game Results'!AG43+'Game Results'!AG205+'Game Results'!AG529+'Game Results'!AG547+'Game Results'!AG223+'Game Results'!AG889+'Game Results'!AG1249+'Game Results'!AG1267+'Game Results'!AG907+'Game Results'!AG925+'Game Results'!AG943+'Game Results'!AG1663+'Game Results'!AG1645)</f>
        <v>0</v>
      </c>
      <c r="AH12" s="85">
        <f>SUM('Game Results'!AH25+'Game Results'!AH43+'Game Results'!AH205+'Game Results'!AH529+'Game Results'!AH547+'Game Results'!AH223+'Game Results'!AH889+'Game Results'!AH1249+'Game Results'!AH1267+'Game Results'!AH907+'Game Results'!AH925+'Game Results'!AH943+'Game Results'!AH1663+'Game Results'!AH1645)</f>
        <v>0</v>
      </c>
    </row>
    <row r="13">
      <c r="A13" s="83" t="s">
        <v>44</v>
      </c>
      <c r="B13" s="84" t="s">
        <v>189</v>
      </c>
      <c r="C13" s="85">
        <f>SUM('Game Results'!C26+'Game Results'!C44+'Game Results'!C206+'Game Results'!C530+'Game Results'!C548+'Game Results'!C224+'Game Results'!C890+'Game Results'!C1250+'Game Results'!C1268+'Game Results'!C908+'Game Results'!C926+'Game Results'!C944+'Game Results'!C1664+'Game Results'!C1646)</f>
        <v>13</v>
      </c>
      <c r="D13" s="85">
        <f>SUM('Game Results'!D26+'Game Results'!D44+'Game Results'!D206+'Game Results'!D530+'Game Results'!D548+'Game Results'!D224+'Game Results'!D890+'Game Results'!D1250+'Game Results'!D1268+'Game Results'!D908+'Game Results'!D926+'Game Results'!D944+'Game Results'!D1664+'Game Results'!D1646)</f>
        <v>7</v>
      </c>
      <c r="E13" s="86">
        <f>SUM('Game Results'!E26+'Game Results'!E44+'Game Results'!E206+'Game Results'!E530+'Game Results'!E548+'Game Results'!E224+'Game Results'!E890+'Game Results'!E1250+'Game Results'!E1268+'Game Results'!E908+'Game Results'!E926+'Game Results'!E944+'Game Results'!E1664+'Game Results'!E1646)</f>
        <v>457.9166667</v>
      </c>
      <c r="F13" s="85">
        <f>SUM('Game Results'!F26+'Game Results'!F44+'Game Results'!F206+'Game Results'!F530+'Game Results'!F548+'Game Results'!F224+'Game Results'!F890+'Game Results'!F1250+'Game Results'!F1268+'Game Results'!F908+'Game Results'!F926+'Game Results'!F944+'Game Results'!F1664+'Game Results'!F1646)</f>
        <v>4</v>
      </c>
      <c r="G13" s="85">
        <f>SUM('Game Results'!G26+'Game Results'!G44+'Game Results'!G206+'Game Results'!G530+'Game Results'!G548+'Game Results'!G224+'Game Results'!G890+'Game Results'!G1250+'Game Results'!G1268+'Game Results'!G908+'Game Results'!G926+'Game Results'!G944+'Game Results'!G1664+'Game Results'!G1646)</f>
        <v>1481</v>
      </c>
      <c r="H13" s="85">
        <f>SUM('Game Results'!H26+'Game Results'!H44+'Game Results'!H206+'Game Results'!H530+'Game Results'!H548+'Game Results'!H224+'Game Results'!H890+'Game Results'!H1250+'Game Results'!H1268+'Game Results'!H908+'Game Results'!H926+'Game Results'!H944+'Game Results'!H1664+'Game Results'!H1646)</f>
        <v>12</v>
      </c>
      <c r="I13" s="85">
        <f>SUM('Game Results'!I26+'Game Results'!I44+'Game Results'!I206+'Game Results'!I530+'Game Results'!I548+'Game Results'!I224+'Game Results'!I890+'Game Results'!I1250+'Game Results'!I1268+'Game Results'!I908+'Game Results'!I926+'Game Results'!I944+'Game Results'!I1664+'Game Results'!I1646)</f>
        <v>1595</v>
      </c>
      <c r="J13" s="85">
        <f>SUM('Game Results'!J26+'Game Results'!J44+'Game Results'!J206+'Game Results'!J530+'Game Results'!J548+'Game Results'!J224+'Game Results'!J890+'Game Results'!J1250+'Game Results'!J1268+'Game Results'!J908+'Game Results'!J926+'Game Results'!J944+'Game Results'!J1664+'Game Results'!J1646)</f>
        <v>-114</v>
      </c>
      <c r="K13" s="87">
        <f t="shared" si="1"/>
        <v>0.9285266458</v>
      </c>
      <c r="L13" s="85">
        <f>SUM('Game Results'!L26+'Game Results'!L44+'Game Results'!L206+'Game Results'!L530+'Game Results'!L548+'Game Results'!L224+'Game Results'!L890+'Game Results'!L1250+'Game Results'!L1268+'Game Results'!L908+'Game Results'!L926+'Game Results'!L944+'Game Results'!L1664+'Game Results'!L1646)</f>
        <v>186</v>
      </c>
      <c r="M13" s="85">
        <f>SUM('Game Results'!M26+'Game Results'!M44+'Game Results'!M206+'Game Results'!M530+'Game Results'!M548+'Game Results'!M224+'Game Results'!M890+'Game Results'!M1250+'Game Results'!M1268+'Game Results'!M908+'Game Results'!M926+'Game Results'!M944+'Game Results'!M1664+'Game Results'!M1646)</f>
        <v>1871</v>
      </c>
      <c r="N13" s="85">
        <f>SUM('Game Results'!N26+'Game Results'!N44+'Game Results'!N206+'Game Results'!N530+'Game Results'!N548+'Game Results'!N224+'Game Results'!N890+'Game Results'!N1250+'Game Results'!N1268+'Game Results'!N908+'Game Results'!N926+'Game Results'!N944+'Game Results'!N1664+'Game Results'!N1646)</f>
        <v>13</v>
      </c>
      <c r="O13" s="88">
        <f>SUM('Game Results'!O26+'Game Results'!O44+'Game Results'!O206+'Game Results'!O530+'Game Results'!O548+'Game Results'!O224+'Game Results'!O890+'Game Results'!O1250+'Game Results'!O1268+'Game Results'!O908+'Game Results'!O926+'Game Results'!O944+'Game Results'!O1664+'Game Results'!O1646)</f>
        <v>457.9166667</v>
      </c>
      <c r="P13" s="85">
        <f>SUM('Game Results'!P26+'Game Results'!P44+'Game Results'!P206+'Game Results'!P530+'Game Results'!P548+'Game Results'!P224+'Game Results'!P890+'Game Results'!P1250+'Game Results'!P1268+'Game Results'!P908+'Game Results'!P926+'Game Results'!P944+'Game Results'!P1664+'Game Results'!P1646)</f>
        <v>42</v>
      </c>
      <c r="Q13" s="85">
        <f>SUM('Game Results'!Q26+'Game Results'!Q44+'Game Results'!Q206+'Game Results'!Q530+'Game Results'!Q548+'Game Results'!Q224+'Game Results'!Q890+'Game Results'!Q1250+'Game Results'!Q1268+'Game Results'!Q908+'Game Results'!Q926+'Game Results'!Q944+'Game Results'!Q1664+'Game Results'!Q1646)</f>
        <v>27</v>
      </c>
      <c r="R13" s="85">
        <f>SUM('Game Results'!R26+'Game Results'!R44+'Game Results'!R206+'Game Results'!R530+'Game Results'!R548+'Game Results'!R224+'Game Results'!R890+'Game Results'!R1250+'Game Results'!R1268+'Game Results'!R908+'Game Results'!R926+'Game Results'!R944+'Game Results'!R1664+'Game Results'!R1646)</f>
        <v>137</v>
      </c>
      <c r="S13" s="85">
        <f>SUM('Game Results'!S26+'Game Results'!S44+'Game Results'!S206+'Game Results'!S530+'Game Results'!S548+'Game Results'!S224+'Game Results'!S890+'Game Results'!S1250+'Game Results'!S1268+'Game Results'!S908+'Game Results'!S926+'Game Results'!S944+'Game Results'!S1664+'Game Results'!S1646)</f>
        <v>31</v>
      </c>
      <c r="T13" s="85">
        <f>SUM('Game Results'!T26+'Game Results'!T44+'Game Results'!T206+'Game Results'!T530+'Game Results'!T548+'Game Results'!T224+'Game Results'!T890+'Game Results'!T1250+'Game Results'!T1268+'Game Results'!T908+'Game Results'!T926+'Game Results'!T944+'Game Results'!T1664+'Game Results'!T1646)</f>
        <v>206</v>
      </c>
      <c r="U13" s="85">
        <f>SUM('Game Results'!U26+'Game Results'!U44+'Game Results'!U206+'Game Results'!U530+'Game Results'!U548+'Game Results'!U224+'Game Results'!U890+'Game Results'!U1250+'Game Results'!U1268+'Game Results'!U908+'Game Results'!U926+'Game Results'!U944+'Game Results'!U1664+'Game Results'!U1646)</f>
        <v>33</v>
      </c>
      <c r="V13" s="85">
        <f>SUM('Game Results'!V26+'Game Results'!V44+'Game Results'!V206+'Game Results'!V530+'Game Results'!V548+'Game Results'!V224+'Game Results'!V890+'Game Results'!V1250+'Game Results'!V1268+'Game Results'!V908+'Game Results'!V926+'Game Results'!V944+'Game Results'!V1664+'Game Results'!V1646)</f>
        <v>8</v>
      </c>
      <c r="W13" s="85">
        <f>SUM('Game Results'!W26+'Game Results'!W44+'Game Results'!W206+'Game Results'!W530+'Game Results'!W548+'Game Results'!W224+'Game Results'!W890+'Game Results'!W1250+'Game Results'!W1268+'Game Results'!W908+'Game Results'!W926+'Game Results'!W944+'Game Results'!W1664+'Game Results'!W1646)</f>
        <v>3</v>
      </c>
      <c r="X13" s="85">
        <f>SUM('Game Results'!X26+'Game Results'!X44+'Game Results'!X206+'Game Results'!X530+'Game Results'!X548+'Game Results'!X224+'Game Results'!X890+'Game Results'!X1250+'Game Results'!X1268+'Game Results'!X908+'Game Results'!X926+'Game Results'!X944+'Game Results'!X1664+'Game Results'!X1646)</f>
        <v>1</v>
      </c>
      <c r="Y13" s="85">
        <f>SUM('Game Results'!Y26+'Game Results'!Y44+'Game Results'!Y206+'Game Results'!Y530+'Game Results'!Y548+'Game Results'!Y224+'Game Results'!Y890+'Game Results'!Y1250+'Game Results'!Y1268+'Game Results'!Y908+'Game Results'!Y926+'Game Results'!Y944+'Game Results'!Y1664+'Game Results'!Y1646)</f>
        <v>0</v>
      </c>
      <c r="Z13" s="85">
        <f>SUM('Game Results'!Z26+'Game Results'!Z44+'Game Results'!Z206+'Game Results'!Z530+'Game Results'!Z548+'Game Results'!Z224+'Game Results'!Z890+'Game Results'!Z1250+'Game Results'!Z1268+'Game Results'!Z908+'Game Results'!Z926+'Game Results'!Z944+'Game Results'!Z1664+'Game Results'!Z1646)</f>
        <v>0</v>
      </c>
      <c r="AA13" s="85">
        <f>SUM('Game Results'!AA26+'Game Results'!AA44+'Game Results'!AA206+'Game Results'!AA530+'Game Results'!AA548+'Game Results'!AA224+'Game Results'!AA890+'Game Results'!AA1250+'Game Results'!AA1268+'Game Results'!AA908+'Game Results'!AA926+'Game Results'!AA944+'Game Results'!AA1664+'Game Results'!AA1646)</f>
        <v>0</v>
      </c>
      <c r="AB13" s="85">
        <f>SUM('Game Results'!AB26+'Game Results'!AB44+'Game Results'!AB206+'Game Results'!AB530+'Game Results'!AB548+'Game Results'!AB224+'Game Results'!AB890+'Game Results'!AB1250+'Game Results'!AB1268+'Game Results'!AB908+'Game Results'!AB926+'Game Results'!AB944+'Game Results'!AB1664+'Game Results'!AB1646)</f>
        <v>0</v>
      </c>
      <c r="AC13" s="85">
        <f>SUM('Game Results'!AC26+'Game Results'!AC44+'Game Results'!AC206+'Game Results'!AC530+'Game Results'!AC548+'Game Results'!AC224+'Game Results'!AC890+'Game Results'!AC1250+'Game Results'!AC1268+'Game Results'!AC908+'Game Results'!AC926+'Game Results'!AC944+'Game Results'!AC1664+'Game Results'!AC1646)</f>
        <v>27</v>
      </c>
      <c r="AD13" s="85">
        <f>SUM('Game Results'!AD26+'Game Results'!AD44+'Game Results'!AD206+'Game Results'!AD530+'Game Results'!AD548+'Game Results'!AD224+'Game Results'!AD890+'Game Results'!AD1250+'Game Results'!AD1268+'Game Results'!AD908+'Game Results'!AD926+'Game Results'!AD944+'Game Results'!AD1664+'Game Results'!AD1646)</f>
        <v>0</v>
      </c>
      <c r="AE13" s="85">
        <f>SUM('Game Results'!AE26+'Game Results'!AE44+'Game Results'!AE206+'Game Results'!AE530+'Game Results'!AE548+'Game Results'!AE224+'Game Results'!AE890+'Game Results'!AE1250+'Game Results'!AE1268+'Game Results'!AE908+'Game Results'!AE926+'Game Results'!AE944+'Game Results'!AE1664+'Game Results'!AE1646)</f>
        <v>0</v>
      </c>
      <c r="AF13" s="85">
        <f>SUM('Game Results'!AF26+'Game Results'!AF44+'Game Results'!AF206+'Game Results'!AF530+'Game Results'!AF548+'Game Results'!AF224+'Game Results'!AF890+'Game Results'!AF1250+'Game Results'!AF1268+'Game Results'!AF908+'Game Results'!AF926+'Game Results'!AF944+'Game Results'!AF1664+'Game Results'!AF1646)</f>
        <v>0</v>
      </c>
      <c r="AG13" s="85">
        <f>SUM('Game Results'!AG26+'Game Results'!AG44+'Game Results'!AG206+'Game Results'!AG530+'Game Results'!AG548+'Game Results'!AG224+'Game Results'!AG890+'Game Results'!AG1250+'Game Results'!AG1268+'Game Results'!AG908+'Game Results'!AG926+'Game Results'!AG944+'Game Results'!AG1664+'Game Results'!AG1646)</f>
        <v>0</v>
      </c>
      <c r="AH13" s="85">
        <f>SUM('Game Results'!AH26+'Game Results'!AH44+'Game Results'!AH206+'Game Results'!AH530+'Game Results'!AH548+'Game Results'!AH224+'Game Results'!AH890+'Game Results'!AH1250+'Game Results'!AH1268+'Game Results'!AH908+'Game Results'!AH926+'Game Results'!AH944+'Game Results'!AH1664+'Game Results'!AH1646)</f>
        <v>0</v>
      </c>
    </row>
    <row r="14">
      <c r="A14" s="83" t="s">
        <v>44</v>
      </c>
      <c r="B14" s="84" t="s">
        <v>190</v>
      </c>
      <c r="C14" s="85">
        <f>SUM('Game Results'!C27+'Game Results'!C45+'Game Results'!C207+'Game Results'!C531+'Game Results'!C549+'Game Results'!C225+'Game Results'!C891+'Game Results'!C1251+'Game Results'!C1269+'Game Results'!C909+'Game Results'!C927+'Game Results'!C945+'Game Results'!C1665+'Game Results'!C1647)</f>
        <v>1</v>
      </c>
      <c r="D14" s="85">
        <f>SUM('Game Results'!D27+'Game Results'!D45+'Game Results'!D207+'Game Results'!D531+'Game Results'!D549+'Game Results'!D225+'Game Results'!D891+'Game Results'!D1251+'Game Results'!D1269+'Game Results'!D909+'Game Results'!D927+'Game Results'!D945+'Game Results'!D1665+'Game Results'!D1647)</f>
        <v>0</v>
      </c>
      <c r="E14" s="86">
        <f>SUM('Game Results'!E27+'Game Results'!E45+'Game Results'!E207+'Game Results'!E531+'Game Results'!E549+'Game Results'!E225+'Game Results'!E891+'Game Results'!E1251+'Game Results'!E1269+'Game Results'!E909+'Game Results'!E927+'Game Results'!E945+'Game Results'!E1665+'Game Results'!E1647)</f>
        <v>42</v>
      </c>
      <c r="F14" s="85">
        <f>SUM('Game Results'!F27+'Game Results'!F45+'Game Results'!F207+'Game Results'!F531+'Game Results'!F549+'Game Results'!F225+'Game Results'!F891+'Game Results'!F1251+'Game Results'!F1269+'Game Results'!F909+'Game Results'!F927+'Game Results'!F945+'Game Results'!F1665+'Game Results'!F1647)</f>
        <v>1</v>
      </c>
      <c r="G14" s="85">
        <f>SUM('Game Results'!G27+'Game Results'!G45+'Game Results'!G207+'Game Results'!G531+'Game Results'!G549+'Game Results'!G225+'Game Results'!G891+'Game Results'!G1251+'Game Results'!G1269+'Game Results'!G909+'Game Results'!G927+'Game Results'!G945+'Game Results'!G1665+'Game Results'!G1647)</f>
        <v>124</v>
      </c>
      <c r="H14" s="85">
        <f>SUM('Game Results'!H27+'Game Results'!H45+'Game Results'!H207+'Game Results'!H531+'Game Results'!H549+'Game Results'!H225+'Game Results'!H891+'Game Results'!H1251+'Game Results'!H1269+'Game Results'!H909+'Game Results'!H927+'Game Results'!H945+'Game Results'!H1665+'Game Results'!H1647)</f>
        <v>0</v>
      </c>
      <c r="I14" s="85">
        <f>SUM('Game Results'!I27+'Game Results'!I45+'Game Results'!I207+'Game Results'!I531+'Game Results'!I549+'Game Results'!I225+'Game Results'!I891+'Game Results'!I1251+'Game Results'!I1269+'Game Results'!I909+'Game Results'!I927+'Game Results'!I945+'Game Results'!I1665+'Game Results'!I1647)</f>
        <v>187</v>
      </c>
      <c r="J14" s="85">
        <f>SUM('Game Results'!J27+'Game Results'!J45+'Game Results'!J207+'Game Results'!J531+'Game Results'!J549+'Game Results'!J225+'Game Results'!J891+'Game Results'!J1251+'Game Results'!J1269+'Game Results'!J909+'Game Results'!J927+'Game Results'!J945+'Game Results'!J1665+'Game Results'!J1647)</f>
        <v>-63</v>
      </c>
      <c r="K14" s="87">
        <f t="shared" si="1"/>
        <v>0.6631016043</v>
      </c>
      <c r="L14" s="85">
        <f>SUM('Game Results'!L27+'Game Results'!L45+'Game Results'!L207+'Game Results'!L531+'Game Results'!L549+'Game Results'!L225+'Game Results'!L891+'Game Results'!L1251+'Game Results'!L1269+'Game Results'!L909+'Game Results'!L927+'Game Results'!L945+'Game Results'!L1665+'Game Results'!L1647)</f>
        <v>10</v>
      </c>
      <c r="M14" s="85">
        <f>SUM('Game Results'!M27+'Game Results'!M45+'Game Results'!M207+'Game Results'!M531+'Game Results'!M549+'Game Results'!M225+'Game Results'!M891+'Game Results'!M1251+'Game Results'!M1269+'Game Results'!M909+'Game Results'!M927+'Game Results'!M945+'Game Results'!M1665+'Game Results'!M1647)</f>
        <v>152</v>
      </c>
      <c r="N14" s="85">
        <f>SUM('Game Results'!N27+'Game Results'!N45+'Game Results'!N207+'Game Results'!N531+'Game Results'!N549+'Game Results'!N225+'Game Results'!N891+'Game Results'!N1251+'Game Results'!N1269+'Game Results'!N909+'Game Results'!N927+'Game Results'!N945+'Game Results'!N1665+'Game Results'!N1647)</f>
        <v>1</v>
      </c>
      <c r="O14" s="88">
        <f>SUM('Game Results'!O27+'Game Results'!O45+'Game Results'!O207+'Game Results'!O531+'Game Results'!O549+'Game Results'!O225+'Game Results'!O891+'Game Results'!O1251+'Game Results'!O1269+'Game Results'!O909+'Game Results'!O927+'Game Results'!O945+'Game Results'!O1665+'Game Results'!O1647)</f>
        <v>42</v>
      </c>
      <c r="P14" s="85">
        <f>SUM('Game Results'!P27+'Game Results'!P45+'Game Results'!P207+'Game Results'!P531+'Game Results'!P549+'Game Results'!P225+'Game Results'!P891+'Game Results'!P1251+'Game Results'!P1269+'Game Results'!P909+'Game Results'!P927+'Game Results'!P945+'Game Results'!P1665+'Game Results'!P1647)</f>
        <v>4</v>
      </c>
      <c r="Q14" s="85">
        <f>SUM('Game Results'!Q27+'Game Results'!Q45+'Game Results'!Q207+'Game Results'!Q531+'Game Results'!Q549+'Game Results'!Q225+'Game Results'!Q891+'Game Results'!Q1251+'Game Results'!Q1269+'Game Results'!Q909+'Game Results'!Q927+'Game Results'!Q945+'Game Results'!Q1665+'Game Results'!Q1647)</f>
        <v>0</v>
      </c>
      <c r="R14" s="85">
        <f>SUM('Game Results'!R27+'Game Results'!R45+'Game Results'!R207+'Game Results'!R531+'Game Results'!R549+'Game Results'!R225+'Game Results'!R891+'Game Results'!R1251+'Game Results'!R1269+'Game Results'!R909+'Game Results'!R927+'Game Results'!R945+'Game Results'!R1665+'Game Results'!R1647)</f>
        <v>5</v>
      </c>
      <c r="S14" s="85">
        <f>SUM('Game Results'!S27+'Game Results'!S45+'Game Results'!S207+'Game Results'!S531+'Game Results'!S549+'Game Results'!S225+'Game Results'!S891+'Game Results'!S1251+'Game Results'!S1269+'Game Results'!S909+'Game Results'!S927+'Game Results'!S945+'Game Results'!S1665+'Game Results'!S1647)</f>
        <v>5</v>
      </c>
      <c r="T14" s="85">
        <f>SUM('Game Results'!T27+'Game Results'!T45+'Game Results'!T207+'Game Results'!T531+'Game Results'!T549+'Game Results'!T225+'Game Results'!T891+'Game Results'!T1251+'Game Results'!T1269+'Game Results'!T909+'Game Results'!T927+'Game Results'!T945+'Game Results'!T1665+'Game Results'!T1647)</f>
        <v>14</v>
      </c>
      <c r="U14" s="85">
        <f>SUM('Game Results'!U27+'Game Results'!U45+'Game Results'!U207+'Game Results'!U531+'Game Results'!U549+'Game Results'!U225+'Game Results'!U891+'Game Results'!U1251+'Game Results'!U1269+'Game Results'!U909+'Game Results'!U927+'Game Results'!U945+'Game Results'!U1665+'Game Results'!U1647)</f>
        <v>2</v>
      </c>
      <c r="V14" s="85">
        <f>SUM('Game Results'!V27+'Game Results'!V45+'Game Results'!V207+'Game Results'!V531+'Game Results'!V549+'Game Results'!V225+'Game Results'!V891+'Game Results'!V1251+'Game Results'!V1269+'Game Results'!V909+'Game Results'!V927+'Game Results'!V945+'Game Results'!V1665+'Game Results'!V1647)</f>
        <v>0</v>
      </c>
      <c r="W14" s="85">
        <f>SUM('Game Results'!W27+'Game Results'!W45+'Game Results'!W207+'Game Results'!W531+'Game Results'!W549+'Game Results'!W225+'Game Results'!W891+'Game Results'!W1251+'Game Results'!W1269+'Game Results'!W909+'Game Results'!W927+'Game Results'!W945+'Game Results'!W1665+'Game Results'!W1647)</f>
        <v>0</v>
      </c>
      <c r="X14" s="85">
        <f>SUM('Game Results'!X27+'Game Results'!X45+'Game Results'!X207+'Game Results'!X531+'Game Results'!X549+'Game Results'!X225+'Game Results'!X891+'Game Results'!X1251+'Game Results'!X1269+'Game Results'!X909+'Game Results'!X927+'Game Results'!X945+'Game Results'!X1665+'Game Results'!X1647)</f>
        <v>0</v>
      </c>
      <c r="Y14" s="85">
        <f>SUM('Game Results'!Y27+'Game Results'!Y45+'Game Results'!Y207+'Game Results'!Y531+'Game Results'!Y549+'Game Results'!Y225+'Game Results'!Y891+'Game Results'!Y1251+'Game Results'!Y1269+'Game Results'!Y909+'Game Results'!Y927+'Game Results'!Y945+'Game Results'!Y1665+'Game Results'!Y1647)</f>
        <v>0</v>
      </c>
      <c r="Z14" s="85">
        <f>SUM('Game Results'!Z27+'Game Results'!Z45+'Game Results'!Z207+'Game Results'!Z531+'Game Results'!Z549+'Game Results'!Z225+'Game Results'!Z891+'Game Results'!Z1251+'Game Results'!Z1269+'Game Results'!Z909+'Game Results'!Z927+'Game Results'!Z945+'Game Results'!Z1665+'Game Results'!Z1647)</f>
        <v>0</v>
      </c>
      <c r="AA14" s="85">
        <f>SUM('Game Results'!AA27+'Game Results'!AA45+'Game Results'!AA207+'Game Results'!AA531+'Game Results'!AA549+'Game Results'!AA225+'Game Results'!AA891+'Game Results'!AA1251+'Game Results'!AA1269+'Game Results'!AA909+'Game Results'!AA927+'Game Results'!AA945+'Game Results'!AA1665+'Game Results'!AA1647)</f>
        <v>0</v>
      </c>
      <c r="AB14" s="85">
        <f>SUM('Game Results'!AB27+'Game Results'!AB45+'Game Results'!AB207+'Game Results'!AB531+'Game Results'!AB549+'Game Results'!AB225+'Game Results'!AB891+'Game Results'!AB1251+'Game Results'!AB1269+'Game Results'!AB909+'Game Results'!AB927+'Game Results'!AB945+'Game Results'!AB1665+'Game Results'!AB1647)</f>
        <v>0</v>
      </c>
      <c r="AC14" s="85">
        <f>SUM('Game Results'!AC27+'Game Results'!AC45+'Game Results'!AC207+'Game Results'!AC531+'Game Results'!AC549+'Game Results'!AC225+'Game Results'!AC891+'Game Results'!AC1251+'Game Results'!AC1269+'Game Results'!AC909+'Game Results'!AC927+'Game Results'!AC945+'Game Results'!AC1665+'Game Results'!AC1647)</f>
        <v>0</v>
      </c>
      <c r="AD14" s="85">
        <f>SUM('Game Results'!AD27+'Game Results'!AD45+'Game Results'!AD207+'Game Results'!AD531+'Game Results'!AD549+'Game Results'!AD225+'Game Results'!AD891+'Game Results'!AD1251+'Game Results'!AD1269+'Game Results'!AD909+'Game Results'!AD927+'Game Results'!AD945+'Game Results'!AD1665+'Game Results'!AD1647)</f>
        <v>0</v>
      </c>
      <c r="AE14" s="85">
        <f>SUM('Game Results'!AE27+'Game Results'!AE45+'Game Results'!AE207+'Game Results'!AE531+'Game Results'!AE549+'Game Results'!AE225+'Game Results'!AE891+'Game Results'!AE1251+'Game Results'!AE1269+'Game Results'!AE909+'Game Results'!AE927+'Game Results'!AE945+'Game Results'!AE1665+'Game Results'!AE1647)</f>
        <v>0</v>
      </c>
      <c r="AF14" s="85">
        <f>SUM('Game Results'!AF27+'Game Results'!AF45+'Game Results'!AF207+'Game Results'!AF531+'Game Results'!AF549+'Game Results'!AF225+'Game Results'!AF891+'Game Results'!AF1251+'Game Results'!AF1269+'Game Results'!AF909+'Game Results'!AF927+'Game Results'!AF945+'Game Results'!AF1665+'Game Results'!AF1647)</f>
        <v>0</v>
      </c>
      <c r="AG14" s="85">
        <f>SUM('Game Results'!AG27+'Game Results'!AG45+'Game Results'!AG207+'Game Results'!AG531+'Game Results'!AG549+'Game Results'!AG225+'Game Results'!AG891+'Game Results'!AG1251+'Game Results'!AG1269+'Game Results'!AG909+'Game Results'!AG927+'Game Results'!AG945+'Game Results'!AG1665+'Game Results'!AG1647)</f>
        <v>0</v>
      </c>
      <c r="AH14" s="85">
        <f>SUM('Game Results'!AH27+'Game Results'!AH45+'Game Results'!AH207+'Game Results'!AH531+'Game Results'!AH549+'Game Results'!AH225+'Game Results'!AH891+'Game Results'!AH1251+'Game Results'!AH1269+'Game Results'!AH909+'Game Results'!AH927+'Game Results'!AH945+'Game Results'!AH1665+'Game Results'!AH1647)</f>
        <v>0</v>
      </c>
    </row>
    <row r="15">
      <c r="A15" s="83" t="s">
        <v>44</v>
      </c>
      <c r="B15" s="84" t="s">
        <v>191</v>
      </c>
      <c r="C15" s="85">
        <f>SUM('Game Results'!C28+'Game Results'!C46+'Game Results'!C208+'Game Results'!C532+'Game Results'!C550+'Game Results'!C226+'Game Results'!C892+'Game Results'!C1252+'Game Results'!C1270+'Game Results'!C910+'Game Results'!C928+'Game Results'!C946+'Game Results'!C1666+'Game Results'!C1648)</f>
        <v>1</v>
      </c>
      <c r="D15" s="85">
        <f>SUM('Game Results'!D28+'Game Results'!D46+'Game Results'!D208+'Game Results'!D532+'Game Results'!D550+'Game Results'!D226+'Game Results'!D892+'Game Results'!D1252+'Game Results'!D1270+'Game Results'!D910+'Game Results'!D928+'Game Results'!D946+'Game Results'!D1666+'Game Results'!D1648)</f>
        <v>0</v>
      </c>
      <c r="E15" s="86">
        <f>SUM('Game Results'!E28+'Game Results'!E46+'Game Results'!E208+'Game Results'!E532+'Game Results'!E550+'Game Results'!E226+'Game Results'!E892+'Game Results'!E1252+'Game Results'!E1270+'Game Results'!E910+'Game Results'!E928+'Game Results'!E946+'Game Results'!E1666+'Game Results'!E1648)</f>
        <v>66</v>
      </c>
      <c r="F15" s="85">
        <f>SUM('Game Results'!F28+'Game Results'!F46+'Game Results'!F208+'Game Results'!F532+'Game Results'!F550+'Game Results'!F226+'Game Results'!F892+'Game Results'!F1252+'Game Results'!F1270+'Game Results'!F910+'Game Results'!F928+'Game Results'!F946+'Game Results'!F1666+'Game Results'!F1648)</f>
        <v>0</v>
      </c>
      <c r="G15" s="85">
        <f>SUM('Game Results'!G28+'Game Results'!G46+'Game Results'!G208+'Game Results'!G532+'Game Results'!G550+'Game Results'!G226+'Game Results'!G892+'Game Results'!G1252+'Game Results'!G1270+'Game Results'!G910+'Game Results'!G928+'Game Results'!G946+'Game Results'!G1666+'Game Results'!G1648)</f>
        <v>281</v>
      </c>
      <c r="H15" s="85">
        <f>SUM('Game Results'!H28+'Game Results'!H46+'Game Results'!H208+'Game Results'!H532+'Game Results'!H550+'Game Results'!H226+'Game Results'!H892+'Game Results'!H1252+'Game Results'!H1270+'Game Results'!H910+'Game Results'!H928+'Game Results'!H946+'Game Results'!H1666+'Game Results'!H1648)</f>
        <v>0</v>
      </c>
      <c r="I15" s="85">
        <f>SUM('Game Results'!I28+'Game Results'!I46+'Game Results'!I208+'Game Results'!I532+'Game Results'!I550+'Game Results'!I226+'Game Results'!I892+'Game Results'!I1252+'Game Results'!I1270+'Game Results'!I910+'Game Results'!I928+'Game Results'!I946+'Game Results'!I1666+'Game Results'!I1648)</f>
        <v>219</v>
      </c>
      <c r="J15" s="85">
        <f>SUM('Game Results'!J28+'Game Results'!J46+'Game Results'!J208+'Game Results'!J532+'Game Results'!J550+'Game Results'!J226+'Game Results'!J892+'Game Results'!J1252+'Game Results'!J1270+'Game Results'!J910+'Game Results'!J928+'Game Results'!J946+'Game Results'!J1666+'Game Results'!J1648)</f>
        <v>62</v>
      </c>
      <c r="K15" s="87">
        <f t="shared" si="1"/>
        <v>1.283105023</v>
      </c>
      <c r="L15" s="85">
        <f>SUM('Game Results'!L28+'Game Results'!L46+'Game Results'!L208+'Game Results'!L532+'Game Results'!L550+'Game Results'!L226+'Game Results'!L892+'Game Results'!L1252+'Game Results'!L1270+'Game Results'!L910+'Game Results'!L928+'Game Results'!L946+'Game Results'!L1666+'Game Results'!L1648)</f>
        <v>15</v>
      </c>
      <c r="M15" s="85">
        <f>SUM('Game Results'!M28+'Game Results'!M46+'Game Results'!M208+'Game Results'!M532+'Game Results'!M550+'Game Results'!M226+'Game Results'!M892+'Game Results'!M1252+'Game Results'!M1270+'Game Results'!M910+'Game Results'!M928+'Game Results'!M946+'Game Results'!M1666+'Game Results'!M1648)</f>
        <v>393</v>
      </c>
      <c r="N15" s="85">
        <f>SUM('Game Results'!N28+'Game Results'!N46+'Game Results'!N208+'Game Results'!N532+'Game Results'!N550+'Game Results'!N226+'Game Results'!N892+'Game Results'!N1252+'Game Results'!N1270+'Game Results'!N910+'Game Results'!N928+'Game Results'!N946+'Game Results'!N1666+'Game Results'!N1648)</f>
        <v>1</v>
      </c>
      <c r="O15" s="88">
        <f>SUM('Game Results'!O28+'Game Results'!O46+'Game Results'!O208+'Game Results'!O532+'Game Results'!O550+'Game Results'!O226+'Game Results'!O892+'Game Results'!O1252+'Game Results'!O1270+'Game Results'!O910+'Game Results'!O928+'Game Results'!O946+'Game Results'!O1666+'Game Results'!O1648)</f>
        <v>66</v>
      </c>
      <c r="P15" s="85">
        <f>SUM('Game Results'!P28+'Game Results'!P46+'Game Results'!P208+'Game Results'!P532+'Game Results'!P550+'Game Results'!P226+'Game Results'!P892+'Game Results'!P1252+'Game Results'!P1270+'Game Results'!P910+'Game Results'!P928+'Game Results'!P946+'Game Results'!P1666+'Game Results'!P1648)</f>
        <v>7</v>
      </c>
      <c r="Q15" s="85">
        <f>SUM('Game Results'!Q28+'Game Results'!Q46+'Game Results'!Q208+'Game Results'!Q532+'Game Results'!Q550+'Game Results'!Q226+'Game Results'!Q892+'Game Results'!Q1252+'Game Results'!Q1270+'Game Results'!Q910+'Game Results'!Q928+'Game Results'!Q946+'Game Results'!Q1666+'Game Results'!Q1648)</f>
        <v>11</v>
      </c>
      <c r="R15" s="85">
        <f>SUM('Game Results'!R28+'Game Results'!R46+'Game Results'!R208+'Game Results'!R532+'Game Results'!R550+'Game Results'!R226+'Game Results'!R892+'Game Results'!R1252+'Game Results'!R1270+'Game Results'!R910+'Game Results'!R928+'Game Results'!R946+'Game Results'!R1666+'Game Results'!R1648)</f>
        <v>46</v>
      </c>
      <c r="S15" s="85">
        <f>SUM('Game Results'!S28+'Game Results'!S46+'Game Results'!S208+'Game Results'!S532+'Game Results'!S550+'Game Results'!S226+'Game Results'!S892+'Game Results'!S1252+'Game Results'!S1270+'Game Results'!S910+'Game Results'!S928+'Game Results'!S946+'Game Results'!S1666+'Game Results'!S1648)</f>
        <v>6</v>
      </c>
      <c r="T15" s="85">
        <f>SUM('Game Results'!T28+'Game Results'!T46+'Game Results'!T208+'Game Results'!T532+'Game Results'!T550+'Game Results'!T226+'Game Results'!T892+'Game Results'!T1252+'Game Results'!T1270+'Game Results'!T910+'Game Results'!T928+'Game Results'!T946+'Game Results'!T1666+'Game Results'!T1648)</f>
        <v>44</v>
      </c>
      <c r="U15" s="85">
        <f>SUM('Game Results'!U28+'Game Results'!U46+'Game Results'!U208+'Game Results'!U532+'Game Results'!U550+'Game Results'!U226+'Game Results'!U892+'Game Results'!U1252+'Game Results'!U1270+'Game Results'!U910+'Game Results'!U928+'Game Results'!U946+'Game Results'!U1666+'Game Results'!U1648)</f>
        <v>11</v>
      </c>
      <c r="V15" s="85">
        <f>SUM('Game Results'!V28+'Game Results'!V46+'Game Results'!V208+'Game Results'!V532+'Game Results'!V550+'Game Results'!V226+'Game Results'!V892+'Game Results'!V1252+'Game Results'!V1270+'Game Results'!V910+'Game Results'!V928+'Game Results'!V946+'Game Results'!V1666+'Game Results'!V1648)</f>
        <v>1</v>
      </c>
      <c r="W15" s="85">
        <f>SUM('Game Results'!W28+'Game Results'!W46+'Game Results'!W208+'Game Results'!W532+'Game Results'!W550+'Game Results'!W226+'Game Results'!W892+'Game Results'!W1252+'Game Results'!W1270+'Game Results'!W910+'Game Results'!W928+'Game Results'!W946+'Game Results'!W1666+'Game Results'!W1648)</f>
        <v>1</v>
      </c>
      <c r="X15" s="85">
        <f>SUM('Game Results'!X28+'Game Results'!X46+'Game Results'!X208+'Game Results'!X532+'Game Results'!X550+'Game Results'!X226+'Game Results'!X892+'Game Results'!X1252+'Game Results'!X1270+'Game Results'!X910+'Game Results'!X928+'Game Results'!X946+'Game Results'!X1666+'Game Results'!X1648)</f>
        <v>0</v>
      </c>
      <c r="Y15" s="85">
        <f>SUM('Game Results'!Y28+'Game Results'!Y46+'Game Results'!Y208+'Game Results'!Y532+'Game Results'!Y550+'Game Results'!Y226+'Game Results'!Y892+'Game Results'!Y1252+'Game Results'!Y1270+'Game Results'!Y910+'Game Results'!Y928+'Game Results'!Y946+'Game Results'!Y1666+'Game Results'!Y1648)</f>
        <v>0</v>
      </c>
      <c r="Z15" s="85">
        <f>SUM('Game Results'!Z28+'Game Results'!Z46+'Game Results'!Z208+'Game Results'!Z532+'Game Results'!Z550+'Game Results'!Z226+'Game Results'!Z892+'Game Results'!Z1252+'Game Results'!Z1270+'Game Results'!Z910+'Game Results'!Z928+'Game Results'!Z946+'Game Results'!Z1666+'Game Results'!Z1648)</f>
        <v>0</v>
      </c>
      <c r="AA15" s="85">
        <f>SUM('Game Results'!AA28+'Game Results'!AA46+'Game Results'!AA208+'Game Results'!AA532+'Game Results'!AA550+'Game Results'!AA226+'Game Results'!AA892+'Game Results'!AA1252+'Game Results'!AA1270+'Game Results'!AA910+'Game Results'!AA928+'Game Results'!AA946+'Game Results'!AA1666+'Game Results'!AA1648)</f>
        <v>0</v>
      </c>
      <c r="AB15" s="85">
        <f>SUM('Game Results'!AB28+'Game Results'!AB46+'Game Results'!AB208+'Game Results'!AB532+'Game Results'!AB550+'Game Results'!AB226+'Game Results'!AB892+'Game Results'!AB1252+'Game Results'!AB1270+'Game Results'!AB910+'Game Results'!AB928+'Game Results'!AB946+'Game Results'!AB1666+'Game Results'!AB1648)</f>
        <v>0</v>
      </c>
      <c r="AC15" s="85">
        <f>SUM('Game Results'!AC28+'Game Results'!AC46+'Game Results'!AC208+'Game Results'!AC532+'Game Results'!AC550+'Game Results'!AC226+'Game Results'!AC892+'Game Results'!AC1252+'Game Results'!AC1270+'Game Results'!AC910+'Game Results'!AC928+'Game Results'!AC946+'Game Results'!AC1666+'Game Results'!AC1648)</f>
        <v>11</v>
      </c>
      <c r="AD15" s="85">
        <f>SUM('Game Results'!AD28+'Game Results'!AD46+'Game Results'!AD208+'Game Results'!AD532+'Game Results'!AD550+'Game Results'!AD226+'Game Results'!AD892+'Game Results'!AD1252+'Game Results'!AD1270+'Game Results'!AD910+'Game Results'!AD928+'Game Results'!AD946+'Game Results'!AD1666+'Game Results'!AD1648)</f>
        <v>0</v>
      </c>
      <c r="AE15" s="85">
        <f>SUM('Game Results'!AE28+'Game Results'!AE46+'Game Results'!AE208+'Game Results'!AE532+'Game Results'!AE550+'Game Results'!AE226+'Game Results'!AE892+'Game Results'!AE1252+'Game Results'!AE1270+'Game Results'!AE910+'Game Results'!AE928+'Game Results'!AE946+'Game Results'!AE1666+'Game Results'!AE1648)</f>
        <v>0</v>
      </c>
      <c r="AF15" s="85">
        <f>SUM('Game Results'!AF28+'Game Results'!AF46+'Game Results'!AF208+'Game Results'!AF532+'Game Results'!AF550+'Game Results'!AF226+'Game Results'!AF892+'Game Results'!AF1252+'Game Results'!AF1270+'Game Results'!AF910+'Game Results'!AF928+'Game Results'!AF946+'Game Results'!AF1666+'Game Results'!AF1648)</f>
        <v>0</v>
      </c>
      <c r="AG15" s="85">
        <f>SUM('Game Results'!AG28+'Game Results'!AG46+'Game Results'!AG208+'Game Results'!AG532+'Game Results'!AG550+'Game Results'!AG226+'Game Results'!AG892+'Game Results'!AG1252+'Game Results'!AG1270+'Game Results'!AG910+'Game Results'!AG928+'Game Results'!AG946+'Game Results'!AG1666+'Game Results'!AG1648)</f>
        <v>0</v>
      </c>
      <c r="AH15" s="85">
        <f>SUM('Game Results'!AH28+'Game Results'!AH46+'Game Results'!AH208+'Game Results'!AH532+'Game Results'!AH550+'Game Results'!AH226+'Game Results'!AH892+'Game Results'!AH1252+'Game Results'!AH1270+'Game Results'!AH910+'Game Results'!AH928+'Game Results'!AH946+'Game Results'!AH1666+'Game Results'!AH1648)</f>
        <v>0</v>
      </c>
    </row>
    <row r="16">
      <c r="A16" s="89" t="s">
        <v>185</v>
      </c>
      <c r="B16" s="90"/>
      <c r="C16" s="90">
        <f t="shared" ref="C16:E16" si="5">SUM(C10:C15)/4</f>
        <v>13</v>
      </c>
      <c r="D16" s="90">
        <f t="shared" si="5"/>
        <v>7</v>
      </c>
      <c r="E16" s="91">
        <f t="shared" si="5"/>
        <v>442.5583333</v>
      </c>
      <c r="F16" s="91">
        <f t="shared" ref="F16:J16" si="6">SUM(F10:F15)</f>
        <v>52</v>
      </c>
      <c r="G16" s="91">
        <f t="shared" si="6"/>
        <v>5616</v>
      </c>
      <c r="H16" s="91">
        <f t="shared" si="6"/>
        <v>25</v>
      </c>
      <c r="I16" s="91">
        <f t="shared" si="6"/>
        <v>6019</v>
      </c>
      <c r="J16" s="91">
        <f t="shared" si="6"/>
        <v>-403</v>
      </c>
      <c r="K16" s="92">
        <f t="shared" si="1"/>
        <v>0.9330453564</v>
      </c>
      <c r="L16" s="90">
        <f>SUM(L10:L15)/4</f>
        <v>205</v>
      </c>
      <c r="M16" s="91">
        <f>SUM(M10:M15)</f>
        <v>7192</v>
      </c>
      <c r="N16" s="90">
        <f>SUM(N10:N15)/4</f>
        <v>13</v>
      </c>
      <c r="O16" s="91">
        <f>SUM(O9:O15)</f>
        <v>3446.233333</v>
      </c>
      <c r="P16" s="91">
        <f t="shared" ref="P16:AH16" si="7">SUM(P10:P15)</f>
        <v>197</v>
      </c>
      <c r="Q16" s="91">
        <f t="shared" si="7"/>
        <v>97</v>
      </c>
      <c r="R16" s="91">
        <f t="shared" si="7"/>
        <v>458</v>
      </c>
      <c r="S16" s="91">
        <f t="shared" si="7"/>
        <v>118</v>
      </c>
      <c r="T16" s="91">
        <f t="shared" si="7"/>
        <v>765</v>
      </c>
      <c r="U16" s="91">
        <f t="shared" si="7"/>
        <v>139</v>
      </c>
      <c r="V16" s="91">
        <f t="shared" si="7"/>
        <v>31</v>
      </c>
      <c r="W16" s="91">
        <f t="shared" si="7"/>
        <v>9</v>
      </c>
      <c r="X16" s="91">
        <f t="shared" si="7"/>
        <v>3</v>
      </c>
      <c r="Y16" s="91">
        <f t="shared" si="7"/>
        <v>1</v>
      </c>
      <c r="Z16" s="91">
        <f t="shared" si="7"/>
        <v>1</v>
      </c>
      <c r="AA16" s="91">
        <f t="shared" si="7"/>
        <v>1</v>
      </c>
      <c r="AB16" s="91">
        <f t="shared" si="7"/>
        <v>1</v>
      </c>
      <c r="AC16" s="91">
        <f t="shared" si="7"/>
        <v>99</v>
      </c>
      <c r="AD16" s="91">
        <f t="shared" si="7"/>
        <v>3</v>
      </c>
      <c r="AE16" s="91">
        <f t="shared" si="7"/>
        <v>0</v>
      </c>
      <c r="AF16" s="91">
        <f t="shared" si="7"/>
        <v>0</v>
      </c>
      <c r="AG16" s="91">
        <f t="shared" si="7"/>
        <v>1</v>
      </c>
      <c r="AH16" s="91">
        <f t="shared" si="7"/>
        <v>1</v>
      </c>
    </row>
    <row r="17">
      <c r="A17" s="83" t="s">
        <v>53</v>
      </c>
      <c r="B17" s="84" t="s">
        <v>192</v>
      </c>
      <c r="C17" s="85">
        <f>SUM('Game Results'!C66+'Game Results'!C84+'Game Results'!C390+'Game Results'!C408+'Game Results'!C534+'Game Results'!C552+'Game Results'!C851+'Game Results'!C869+'Game Results'!C1038+'Game Results'!C1056+'Game Results'!C1056+'Game Results'!C1211+'Game Results'!C743+'Game Results'!C761+'Game Results'!C1463+'Game Results'!C1481+'Game Results'!C1787+'Game Results'!C1805)</f>
        <v>18</v>
      </c>
      <c r="D17" s="85">
        <f>SUM('Game Results'!D66+'Game Results'!D84+'Game Results'!D390+'Game Results'!D408+'Game Results'!D534+'Game Results'!D552+'Game Results'!D851+'Game Results'!D869+'Game Results'!D1038+'Game Results'!D1056+'Game Results'!D1056+'Game Results'!D1211+'Game Results'!D743+'Game Results'!D761+'Game Results'!D1463+'Game Results'!D1481+'Game Results'!D1787+'Game Results'!D1805)</f>
        <v>6</v>
      </c>
      <c r="E17" s="86">
        <f>SUM('Game Results'!E66+'Game Results'!E84+'Game Results'!E390+'Game Results'!E408+'Game Results'!E534+'Game Results'!E552+'Game Results'!E851+'Game Results'!E869+'Game Results'!E1038+'Game Results'!E1056+'Game Results'!E1056+'Game Results'!E1211+'Game Results'!E743+'Game Results'!E761+'Game Results'!E1463+'Game Results'!E1481+'Game Results'!E1787+'Game Results'!E1805)</f>
        <v>528.05</v>
      </c>
      <c r="F17" s="85">
        <f>SUM('Game Results'!F66+'Game Results'!F84+'Game Results'!F390+'Game Results'!F408+'Game Results'!F534+'Game Results'!F552+'Game Results'!F851+'Game Results'!F869+'Game Results'!F1038+'Game Results'!F1056+'Game Results'!F1056+'Game Results'!F1211+'Game Results'!F743+'Game Results'!F761+'Game Results'!F1463+'Game Results'!F1481+'Game Results'!F1787+'Game Results'!F1805)</f>
        <v>41</v>
      </c>
      <c r="G17" s="85">
        <f>SUM('Game Results'!G66+'Game Results'!G84+'Game Results'!G390+'Game Results'!G408+'Game Results'!G534+'Game Results'!G552+'Game Results'!G851+'Game Results'!G869+'Game Results'!G1038+'Game Results'!G1056+'Game Results'!G1056+'Game Results'!G1211+'Game Results'!G743+'Game Results'!G761+'Game Results'!G1463+'Game Results'!G1481+'Game Results'!G1787+'Game Results'!G1805)</f>
        <v>1114</v>
      </c>
      <c r="H17" s="85">
        <f>SUM('Game Results'!H66+'Game Results'!H84+'Game Results'!H390+'Game Results'!H408+'Game Results'!H534+'Game Results'!H552+'Game Results'!H851+'Game Results'!H869+'Game Results'!H1038+'Game Results'!H1056+'Game Results'!H1056+'Game Results'!H1211+'Game Results'!H743+'Game Results'!H761+'Game Results'!H1463+'Game Results'!H1481+'Game Results'!H1787+'Game Results'!H1805)</f>
        <v>9</v>
      </c>
      <c r="I17" s="85">
        <f>SUM('Game Results'!I66+'Game Results'!I84+'Game Results'!I390+'Game Results'!I408+'Game Results'!I534+'Game Results'!I552+'Game Results'!I851+'Game Results'!I869+'Game Results'!I1038+'Game Results'!I1056+'Game Results'!I1056+'Game Results'!I1211+'Game Results'!I743+'Game Results'!I761+'Game Results'!I1463+'Game Results'!I1481+'Game Results'!I1787+'Game Results'!I1805)</f>
        <v>1599</v>
      </c>
      <c r="J17" s="85">
        <f>SUM('Game Results'!J66+'Game Results'!J84+'Game Results'!J390+'Game Results'!J408+'Game Results'!J534+'Game Results'!J552+'Game Results'!J851+'Game Results'!J869+'Game Results'!J1038+'Game Results'!J1056+'Game Results'!J1056+'Game Results'!J1211+'Game Results'!J743+'Game Results'!J761+'Game Results'!J1463+'Game Results'!J1481+'Game Results'!J1787+'Game Results'!J1805)</f>
        <v>-485</v>
      </c>
      <c r="K17" s="87">
        <f t="shared" si="1"/>
        <v>0.6966854284</v>
      </c>
      <c r="L17" s="85">
        <f>SUM('Game Results'!L66+'Game Results'!L84+'Game Results'!L390+'Game Results'!L408+'Game Results'!L534+'Game Results'!L552+'Game Results'!L851+'Game Results'!L869+'Game Results'!L1038+'Game Results'!L1056+'Game Results'!L1056+'Game Results'!L1211+'Game Results'!L743+'Game Results'!L761+'Game Results'!L1463+'Game Results'!L1481+'Game Results'!L1787+'Game Results'!L1805)</f>
        <v>330</v>
      </c>
      <c r="M17" s="85">
        <f>SUM('Game Results'!M66+'Game Results'!M84+'Game Results'!M390+'Game Results'!M408+'Game Results'!M534+'Game Results'!M552+'Game Results'!M851+'Game Results'!M869+'Game Results'!M1038+'Game Results'!M1056+'Game Results'!M1056+'Game Results'!M1211+'Game Results'!M743+'Game Results'!M761+'Game Results'!M1463+'Game Results'!M1481+'Game Results'!M1787+'Game Results'!M1805)</f>
        <v>1454</v>
      </c>
      <c r="N17" s="85">
        <f>SUM('Game Results'!N66+'Game Results'!N84+'Game Results'!N390+'Game Results'!N408+'Game Results'!N534+'Game Results'!N552+'Game Results'!N851+'Game Results'!N869+'Game Results'!N1038+'Game Results'!N1056+'Game Results'!N1056+'Game Results'!N1211+'Game Results'!N743+'Game Results'!N761+'Game Results'!N1463+'Game Results'!N1481+'Game Results'!N1787+'Game Results'!N1805)</f>
        <v>18</v>
      </c>
      <c r="O17" s="88">
        <f>SUM('Game Results'!O66+'Game Results'!O84+'Game Results'!O390+'Game Results'!O408+'Game Results'!O534+'Game Results'!O552+'Game Results'!O851+'Game Results'!O869+'Game Results'!O1038+'Game Results'!O1056+'Game Results'!O1056+'Game Results'!O1211+'Game Results'!O743+'Game Results'!O761+'Game Results'!O1463+'Game Results'!O1481+'Game Results'!O1787+'Game Results'!O1805)</f>
        <v>528.05</v>
      </c>
      <c r="P17" s="85">
        <f>SUM('Game Results'!P66+'Game Results'!P84+'Game Results'!P390+'Game Results'!P408+'Game Results'!P534+'Game Results'!P552+'Game Results'!P851+'Game Results'!P869+'Game Results'!P1038+'Game Results'!P1056+'Game Results'!P1056+'Game Results'!P1211+'Game Results'!P743+'Game Results'!P761+'Game Results'!P1463+'Game Results'!P1481+'Game Results'!P1787+'Game Results'!P1805)</f>
        <v>96</v>
      </c>
      <c r="Q17" s="85">
        <f>SUM('Game Results'!Q66+'Game Results'!Q84+'Game Results'!Q390+'Game Results'!Q408+'Game Results'!Q534+'Game Results'!Q552+'Game Results'!Q851+'Game Results'!Q869+'Game Results'!Q1038+'Game Results'!Q1056+'Game Results'!Q1056+'Game Results'!Q1211+'Game Results'!Q743+'Game Results'!Q761+'Game Results'!Q1463+'Game Results'!Q1481+'Game Results'!Q1787+'Game Results'!Q1805)</f>
        <v>37</v>
      </c>
      <c r="R17" s="85">
        <f>SUM('Game Results'!R66+'Game Results'!R84+'Game Results'!R390+'Game Results'!R408+'Game Results'!R534+'Game Results'!R552+'Game Results'!R851+'Game Results'!R869+'Game Results'!R1038+'Game Results'!R1056+'Game Results'!R1056+'Game Results'!R1211+'Game Results'!R743+'Game Results'!R761+'Game Results'!R1463+'Game Results'!R1481+'Game Results'!R1787+'Game Results'!R1805)</f>
        <v>42</v>
      </c>
      <c r="S17" s="85">
        <f>SUM('Game Results'!S66+'Game Results'!S84+'Game Results'!S390+'Game Results'!S408+'Game Results'!S534+'Game Results'!S552+'Game Results'!S851+'Game Results'!S869+'Game Results'!S1038+'Game Results'!S1056+'Game Results'!S1056+'Game Results'!S1211+'Game Results'!S743+'Game Results'!S761+'Game Results'!S1463+'Game Results'!S1481+'Game Results'!S1787+'Game Results'!S1805)</f>
        <v>34</v>
      </c>
      <c r="T17" s="85">
        <f>SUM('Game Results'!T66+'Game Results'!T84+'Game Results'!T390+'Game Results'!T408+'Game Results'!T534+'Game Results'!T552+'Game Results'!T851+'Game Results'!T869+'Game Results'!T1038+'Game Results'!T1056+'Game Results'!T1056+'Game Results'!T1211+'Game Results'!T743+'Game Results'!T761+'Game Results'!T1463+'Game Results'!T1481+'Game Results'!T1787+'Game Results'!T1805)</f>
        <v>117</v>
      </c>
      <c r="U17" s="85">
        <f>SUM('Game Results'!U66+'Game Results'!U84+'Game Results'!U390+'Game Results'!U408+'Game Results'!U534+'Game Results'!U552+'Game Results'!U851+'Game Results'!U869+'Game Results'!U1038+'Game Results'!U1056+'Game Results'!U1056+'Game Results'!U1211+'Game Results'!U743+'Game Results'!U761+'Game Results'!U1463+'Game Results'!U1481+'Game Results'!U1787+'Game Results'!U1805)</f>
        <v>16</v>
      </c>
      <c r="V17" s="85">
        <f>SUM('Game Results'!V66+'Game Results'!V84+'Game Results'!V390+'Game Results'!V408+'Game Results'!V534+'Game Results'!V552+'Game Results'!V851+'Game Results'!V869+'Game Results'!V1038+'Game Results'!V1056+'Game Results'!V1056+'Game Results'!V1211+'Game Results'!V743+'Game Results'!V761+'Game Results'!V1463+'Game Results'!V1481+'Game Results'!V1787+'Game Results'!V1805)</f>
        <v>1</v>
      </c>
      <c r="W17" s="85">
        <f>SUM('Game Results'!W66+'Game Results'!W84+'Game Results'!W390+'Game Results'!W408+'Game Results'!W534+'Game Results'!W552+'Game Results'!W851+'Game Results'!W869+'Game Results'!W1038+'Game Results'!W1056+'Game Results'!W1056+'Game Results'!W1211+'Game Results'!W743+'Game Results'!W761+'Game Results'!W1463+'Game Results'!W1481+'Game Results'!W1787+'Game Results'!W1805)</f>
        <v>0</v>
      </c>
      <c r="X17" s="85">
        <f>SUM('Game Results'!X66+'Game Results'!X84+'Game Results'!X390+'Game Results'!X408+'Game Results'!X534+'Game Results'!X552+'Game Results'!X851+'Game Results'!X869+'Game Results'!X1038+'Game Results'!X1056+'Game Results'!X1056+'Game Results'!X1211+'Game Results'!X743+'Game Results'!X761+'Game Results'!X1463+'Game Results'!X1481+'Game Results'!X1787+'Game Results'!X1805)</f>
        <v>0</v>
      </c>
      <c r="Y17" s="85">
        <f>SUM('Game Results'!Y66+'Game Results'!Y84+'Game Results'!Y390+'Game Results'!Y408+'Game Results'!Y534+'Game Results'!Y552+'Game Results'!Y851+'Game Results'!Y869+'Game Results'!Y1038+'Game Results'!Y1056+'Game Results'!Y1056+'Game Results'!Y1211+'Game Results'!Y743+'Game Results'!Y761+'Game Results'!Y1463+'Game Results'!Y1481+'Game Results'!Y1787+'Game Results'!Y1805)</f>
        <v>0</v>
      </c>
      <c r="Z17" s="85">
        <f>SUM('Game Results'!Z66+'Game Results'!Z84+'Game Results'!Z390+'Game Results'!Z408+'Game Results'!Z534+'Game Results'!Z552+'Game Results'!Z851+'Game Results'!Z869+'Game Results'!Z1038+'Game Results'!Z1056+'Game Results'!Z1056+'Game Results'!Z1211+'Game Results'!Z743+'Game Results'!Z761+'Game Results'!Z1463+'Game Results'!Z1481+'Game Results'!Z1787+'Game Results'!Z1805)</f>
        <v>0</v>
      </c>
      <c r="AA17" s="85">
        <f>SUM('Game Results'!AA66+'Game Results'!AA84+'Game Results'!AA390+'Game Results'!AA408+'Game Results'!AA534+'Game Results'!AA552+'Game Results'!AA851+'Game Results'!AA869+'Game Results'!AA1038+'Game Results'!AA1056+'Game Results'!AA1056+'Game Results'!AA1211+'Game Results'!AA743+'Game Results'!AA761+'Game Results'!AA1463+'Game Results'!AA1481+'Game Results'!AA1787+'Game Results'!AA1805)</f>
        <v>0</v>
      </c>
      <c r="AB17" s="85">
        <f>SUM('Game Results'!AB66+'Game Results'!AB84+'Game Results'!AB390+'Game Results'!AB408+'Game Results'!AB534+'Game Results'!AB552+'Game Results'!AB851+'Game Results'!AB869+'Game Results'!AB1038+'Game Results'!AB1056+'Game Results'!AB1056+'Game Results'!AB1211+'Game Results'!AB743+'Game Results'!AB761+'Game Results'!AB1463+'Game Results'!AB1481+'Game Results'!AB1787+'Game Results'!AB1805)</f>
        <v>0</v>
      </c>
      <c r="AC17" s="85">
        <f>SUM('Game Results'!AC66+'Game Results'!AC84+'Game Results'!AC390+'Game Results'!AC408+'Game Results'!AC534+'Game Results'!AC552+'Game Results'!AC851+'Game Results'!AC869+'Game Results'!AC1038+'Game Results'!AC1056+'Game Results'!AC1056+'Game Results'!AC1211+'Game Results'!AC743+'Game Results'!AC761+'Game Results'!AC1463+'Game Results'!AC1481+'Game Results'!AC1787+'Game Results'!AC1805)</f>
        <v>19</v>
      </c>
      <c r="AD17" s="85">
        <f>SUM('Game Results'!AD66+'Game Results'!AD84+'Game Results'!AD390+'Game Results'!AD408+'Game Results'!AD534+'Game Results'!AD552+'Game Results'!AD851+'Game Results'!AD869+'Game Results'!AD1038+'Game Results'!AD1056+'Game Results'!AD1056+'Game Results'!AD1211+'Game Results'!AD743+'Game Results'!AD761+'Game Results'!AD1463+'Game Results'!AD1481+'Game Results'!AD1787+'Game Results'!AD1805)</f>
        <v>1</v>
      </c>
      <c r="AE17" s="85">
        <f>SUM('Game Results'!AE66+'Game Results'!AE84+'Game Results'!AE390+'Game Results'!AE408+'Game Results'!AE534+'Game Results'!AE552+'Game Results'!AE851+'Game Results'!AE869+'Game Results'!AE1038+'Game Results'!AE1056+'Game Results'!AE1056+'Game Results'!AE1211+'Game Results'!AE743+'Game Results'!AE761+'Game Results'!AE1463+'Game Results'!AE1481+'Game Results'!AE1787+'Game Results'!AE1805)</f>
        <v>0</v>
      </c>
      <c r="AF17" s="85">
        <f>SUM('Game Results'!AF66+'Game Results'!AF84+'Game Results'!AF390+'Game Results'!AF408+'Game Results'!AF534+'Game Results'!AF552+'Game Results'!AF851+'Game Results'!AF869+'Game Results'!AF1038+'Game Results'!AF1056+'Game Results'!AF1056+'Game Results'!AF1211+'Game Results'!AF743+'Game Results'!AF761+'Game Results'!AF1463+'Game Results'!AF1481+'Game Results'!AF1787+'Game Results'!AF1805)</f>
        <v>0</v>
      </c>
      <c r="AG17" s="85">
        <f>SUM('Game Results'!AG66+'Game Results'!AG84+'Game Results'!AG390+'Game Results'!AG408+'Game Results'!AG534+'Game Results'!AG552+'Game Results'!AG851+'Game Results'!AG869+'Game Results'!AG1038+'Game Results'!AG1056+'Game Results'!AG1056+'Game Results'!AG1211+'Game Results'!AG743+'Game Results'!AG761+'Game Results'!AG1463+'Game Results'!AG1481+'Game Results'!AG1787+'Game Results'!AG1805)</f>
        <v>0</v>
      </c>
      <c r="AH17" s="85">
        <f>SUM('Game Results'!AH66+'Game Results'!AH84+'Game Results'!AH390+'Game Results'!AH408+'Game Results'!AH534+'Game Results'!AH552+'Game Results'!AH851+'Game Results'!AH869+'Game Results'!AH1038+'Game Results'!AH1056+'Game Results'!AH1056+'Game Results'!AH1211+'Game Results'!AH743+'Game Results'!AH761+'Game Results'!AH1463+'Game Results'!AH1481+'Game Results'!AH1787+'Game Results'!AH1805)</f>
        <v>2</v>
      </c>
    </row>
    <row r="18">
      <c r="A18" s="83" t="s">
        <v>53</v>
      </c>
      <c r="B18" s="84" t="s">
        <v>193</v>
      </c>
      <c r="C18" s="85">
        <f>SUM('Game Results'!C67+'Game Results'!C85+'Game Results'!C391+'Game Results'!C409+'Game Results'!C535+'Game Results'!C553+'Game Results'!C852+'Game Results'!C870+'Game Results'!C1039+'Game Results'!C1057+'Game Results'!C1057+'Game Results'!C1212+'Game Results'!C744+'Game Results'!C762+'Game Results'!C1464+'Game Results'!C1482+'Game Results'!C1788+'Game Results'!C1806)</f>
        <v>16</v>
      </c>
      <c r="D18" s="85">
        <f>SUM('Game Results'!D67+'Game Results'!D85+'Game Results'!D391+'Game Results'!D409+'Game Results'!D535+'Game Results'!D553+'Game Results'!D852+'Game Results'!D870+'Game Results'!D1039+'Game Results'!D1057+'Game Results'!D1057+'Game Results'!D1212+'Game Results'!D744+'Game Results'!D762+'Game Results'!D1464+'Game Results'!D1482+'Game Results'!D1788+'Game Results'!D1806)</f>
        <v>6</v>
      </c>
      <c r="E18" s="86">
        <f>SUM('Game Results'!E67+'Game Results'!E85+'Game Results'!E391+'Game Results'!E409+'Game Results'!E535+'Game Results'!E553+'Game Results'!E852+'Game Results'!E870+'Game Results'!E1039+'Game Results'!E1057+'Game Results'!E1057+'Game Results'!E1212+'Game Results'!E744+'Game Results'!E762+'Game Results'!E1464+'Game Results'!E1482+'Game Results'!E1788+'Game Results'!E1806)</f>
        <v>490.1333333</v>
      </c>
      <c r="F18" s="85">
        <f>SUM('Game Results'!F67+'Game Results'!F85+'Game Results'!F391+'Game Results'!F409+'Game Results'!F535+'Game Results'!F553+'Game Results'!F852+'Game Results'!F870+'Game Results'!F1039+'Game Results'!F1057+'Game Results'!F1057+'Game Results'!F1212+'Game Results'!F744+'Game Results'!F762+'Game Results'!F1464+'Game Results'!F1482+'Game Results'!F1788+'Game Results'!F1806)</f>
        <v>5</v>
      </c>
      <c r="G18" s="85">
        <f>SUM('Game Results'!G67+'Game Results'!G85+'Game Results'!G391+'Game Results'!G409+'Game Results'!G535+'Game Results'!G553+'Game Results'!G852+'Game Results'!G870+'Game Results'!G1039+'Game Results'!G1057+'Game Results'!G1057+'Game Results'!G1212+'Game Results'!G744+'Game Results'!G762+'Game Results'!G1464+'Game Results'!G1482+'Game Results'!G1788+'Game Results'!G1806)</f>
        <v>2238</v>
      </c>
      <c r="H18" s="85">
        <f>SUM('Game Results'!H67+'Game Results'!H85+'Game Results'!H391+'Game Results'!H409+'Game Results'!H535+'Game Results'!H553+'Game Results'!H852+'Game Results'!H870+'Game Results'!H1039+'Game Results'!H1057+'Game Results'!H1057+'Game Results'!H1212+'Game Results'!H744+'Game Results'!H762+'Game Results'!H1464+'Game Results'!H1482+'Game Results'!H1788+'Game Results'!H1806)</f>
        <v>13</v>
      </c>
      <c r="I18" s="85">
        <f>SUM('Game Results'!I67+'Game Results'!I85+'Game Results'!I391+'Game Results'!I409+'Game Results'!I535+'Game Results'!I553+'Game Results'!I852+'Game Results'!I870+'Game Results'!I1039+'Game Results'!I1057+'Game Results'!I1057+'Game Results'!I1212+'Game Results'!I744+'Game Results'!I762+'Game Results'!I1464+'Game Results'!I1482+'Game Results'!I1788+'Game Results'!I1806)</f>
        <v>1945</v>
      </c>
      <c r="J18" s="85">
        <f>SUM('Game Results'!J67+'Game Results'!J85+'Game Results'!J391+'Game Results'!J409+'Game Results'!J535+'Game Results'!J553+'Game Results'!J852+'Game Results'!J870+'Game Results'!J1039+'Game Results'!J1057+'Game Results'!J1057+'Game Results'!J1212+'Game Results'!J744+'Game Results'!J762+'Game Results'!J1464+'Game Results'!J1482+'Game Results'!J1788+'Game Results'!J1806)</f>
        <v>293</v>
      </c>
      <c r="K18" s="87">
        <f t="shared" si="1"/>
        <v>1.150642674</v>
      </c>
      <c r="L18" s="85">
        <f>SUM('Game Results'!L67+'Game Results'!L85+'Game Results'!L391+'Game Results'!L409+'Game Results'!L535+'Game Results'!L553+'Game Results'!L852+'Game Results'!L870+'Game Results'!L1039+'Game Results'!L1057+'Game Results'!L1057+'Game Results'!L1212+'Game Results'!L744+'Game Results'!L762+'Game Results'!L1464+'Game Results'!L1482+'Game Results'!L1788+'Game Results'!L1806)</f>
        <v>218</v>
      </c>
      <c r="M18" s="85">
        <f>SUM('Game Results'!M67+'Game Results'!M85+'Game Results'!M391+'Game Results'!M409+'Game Results'!M535+'Game Results'!M553+'Game Results'!M852+'Game Results'!M870+'Game Results'!M1039+'Game Results'!M1057+'Game Results'!M1057+'Game Results'!M1212+'Game Results'!M744+'Game Results'!M762+'Game Results'!M1464+'Game Results'!M1482+'Game Results'!M1788+'Game Results'!M1806)</f>
        <v>2963</v>
      </c>
      <c r="N18" s="85">
        <f>SUM('Game Results'!N67+'Game Results'!N85+'Game Results'!N391+'Game Results'!N409+'Game Results'!N535+'Game Results'!N553+'Game Results'!N852+'Game Results'!N870+'Game Results'!N1039+'Game Results'!N1057+'Game Results'!N1057+'Game Results'!N1212+'Game Results'!N744+'Game Results'!N762+'Game Results'!N1464+'Game Results'!N1482+'Game Results'!N1788+'Game Results'!N1806)</f>
        <v>16</v>
      </c>
      <c r="O18" s="88">
        <f>SUM('Game Results'!O67+'Game Results'!O85+'Game Results'!O391+'Game Results'!O409+'Game Results'!O535+'Game Results'!O553+'Game Results'!O852+'Game Results'!O870+'Game Results'!O1039+'Game Results'!O1057+'Game Results'!O1057+'Game Results'!O1212+'Game Results'!O744+'Game Results'!O762+'Game Results'!O1464+'Game Results'!O1482+'Game Results'!O1788+'Game Results'!O1806)</f>
        <v>490.1333333</v>
      </c>
      <c r="P18" s="85">
        <f>SUM('Game Results'!P67+'Game Results'!P85+'Game Results'!P391+'Game Results'!P409+'Game Results'!P535+'Game Results'!P553+'Game Results'!P852+'Game Results'!P870+'Game Results'!P1039+'Game Results'!P1057+'Game Results'!P1057+'Game Results'!P1212+'Game Results'!P744+'Game Results'!P762+'Game Results'!P1464+'Game Results'!P1482+'Game Results'!P1788+'Game Results'!P1806)</f>
        <v>74</v>
      </c>
      <c r="Q18" s="85">
        <f>SUM('Game Results'!Q67+'Game Results'!Q85+'Game Results'!Q391+'Game Results'!Q409+'Game Results'!Q535+'Game Results'!Q553+'Game Results'!Q852+'Game Results'!Q870+'Game Results'!Q1039+'Game Results'!Q1057+'Game Results'!Q1057+'Game Results'!Q1212+'Game Results'!Q744+'Game Results'!Q762+'Game Results'!Q1464+'Game Results'!Q1482+'Game Results'!Q1788+'Game Results'!Q1806)</f>
        <v>32</v>
      </c>
      <c r="R18" s="85">
        <f>SUM('Game Results'!R67+'Game Results'!R85+'Game Results'!R391+'Game Results'!R409+'Game Results'!R535+'Game Results'!R553+'Game Results'!R852+'Game Results'!R870+'Game Results'!R1039+'Game Results'!R1057+'Game Results'!R1057+'Game Results'!R1212+'Game Results'!R744+'Game Results'!R762+'Game Results'!R1464+'Game Results'!R1482+'Game Results'!R1788+'Game Results'!R1806)</f>
        <v>147</v>
      </c>
      <c r="S18" s="85">
        <f>SUM('Game Results'!S67+'Game Results'!S85+'Game Results'!S391+'Game Results'!S409+'Game Results'!S535+'Game Results'!S553+'Game Results'!S852+'Game Results'!S870+'Game Results'!S1039+'Game Results'!S1057+'Game Results'!S1057+'Game Results'!S1212+'Game Results'!S744+'Game Results'!S762+'Game Results'!S1464+'Game Results'!S1482+'Game Results'!S1788+'Game Results'!S1806)</f>
        <v>25</v>
      </c>
      <c r="T18" s="85">
        <f>SUM('Game Results'!T67+'Game Results'!T85+'Game Results'!T391+'Game Results'!T409+'Game Results'!T535+'Game Results'!T553+'Game Results'!T852+'Game Results'!T870+'Game Results'!T1039+'Game Results'!T1057+'Game Results'!T1057+'Game Results'!T1212+'Game Results'!T744+'Game Results'!T762+'Game Results'!T1464+'Game Results'!T1482+'Game Results'!T1788+'Game Results'!T1806)</f>
        <v>373</v>
      </c>
      <c r="U18" s="85">
        <f>SUM('Game Results'!U67+'Game Results'!U85+'Game Results'!U391+'Game Results'!U409+'Game Results'!U535+'Game Results'!U553+'Game Results'!U852+'Game Results'!U870+'Game Results'!U1039+'Game Results'!U1057+'Game Results'!U1057+'Game Results'!U1212+'Game Results'!U744+'Game Results'!U762+'Game Results'!U1464+'Game Results'!U1482+'Game Results'!U1788+'Game Results'!U1806)</f>
        <v>92</v>
      </c>
      <c r="V18" s="85">
        <f>SUM('Game Results'!V67+'Game Results'!V85+'Game Results'!V391+'Game Results'!V409+'Game Results'!V535+'Game Results'!V553+'Game Results'!V852+'Game Results'!V870+'Game Results'!V1039+'Game Results'!V1057+'Game Results'!V1057+'Game Results'!V1212+'Game Results'!V744+'Game Results'!V762+'Game Results'!V1464+'Game Results'!V1482+'Game Results'!V1788+'Game Results'!V1806)</f>
        <v>29</v>
      </c>
      <c r="W18" s="85">
        <f>SUM('Game Results'!W67+'Game Results'!W85+'Game Results'!W391+'Game Results'!W409+'Game Results'!W535+'Game Results'!W553+'Game Results'!W852+'Game Results'!W870+'Game Results'!W1039+'Game Results'!W1057+'Game Results'!W1057+'Game Results'!W1212+'Game Results'!W744+'Game Results'!W762+'Game Results'!W1464+'Game Results'!W1482+'Game Results'!W1788+'Game Results'!W1806)</f>
        <v>5</v>
      </c>
      <c r="X18" s="85">
        <f>SUM('Game Results'!X67+'Game Results'!X85+'Game Results'!X391+'Game Results'!X409+'Game Results'!X535+'Game Results'!X553+'Game Results'!X852+'Game Results'!X870+'Game Results'!X1039+'Game Results'!X1057+'Game Results'!X1057+'Game Results'!X1212+'Game Results'!X744+'Game Results'!X762+'Game Results'!X1464+'Game Results'!X1482+'Game Results'!X1788+'Game Results'!X1806)</f>
        <v>1</v>
      </c>
      <c r="Y18" s="85">
        <f>SUM('Game Results'!Y67+'Game Results'!Y85+'Game Results'!Y391+'Game Results'!Y409+'Game Results'!Y535+'Game Results'!Y553+'Game Results'!Y852+'Game Results'!Y870+'Game Results'!Y1039+'Game Results'!Y1057+'Game Results'!Y1057+'Game Results'!Y1212+'Game Results'!Y744+'Game Results'!Y762+'Game Results'!Y1464+'Game Results'!Y1482+'Game Results'!Y1788+'Game Results'!Y1806)</f>
        <v>1</v>
      </c>
      <c r="Z18" s="85">
        <f>SUM('Game Results'!Z67+'Game Results'!Z85+'Game Results'!Z391+'Game Results'!Z409+'Game Results'!Z535+'Game Results'!Z553+'Game Results'!Z852+'Game Results'!Z870+'Game Results'!Z1039+'Game Results'!Z1057+'Game Results'!Z1057+'Game Results'!Z1212+'Game Results'!Z744+'Game Results'!Z762+'Game Results'!Z1464+'Game Results'!Z1482+'Game Results'!Z1788+'Game Results'!Z1806)</f>
        <v>0</v>
      </c>
      <c r="AA18" s="85">
        <f>SUM('Game Results'!AA67+'Game Results'!AA85+'Game Results'!AA391+'Game Results'!AA409+'Game Results'!AA535+'Game Results'!AA553+'Game Results'!AA852+'Game Results'!AA870+'Game Results'!AA1039+'Game Results'!AA1057+'Game Results'!AA1057+'Game Results'!AA1212+'Game Results'!AA744+'Game Results'!AA762+'Game Results'!AA1464+'Game Results'!AA1482+'Game Results'!AA1788+'Game Results'!AA1806)</f>
        <v>0</v>
      </c>
      <c r="AB18" s="85">
        <f>SUM('Game Results'!AB67+'Game Results'!AB85+'Game Results'!AB391+'Game Results'!AB409+'Game Results'!AB535+'Game Results'!AB553+'Game Results'!AB852+'Game Results'!AB870+'Game Results'!AB1039+'Game Results'!AB1057+'Game Results'!AB1057+'Game Results'!AB1212+'Game Results'!AB744+'Game Results'!AB762+'Game Results'!AB1464+'Game Results'!AB1482+'Game Results'!AB1788+'Game Results'!AB1806)</f>
        <v>0</v>
      </c>
      <c r="AC18" s="85">
        <f>SUM('Game Results'!AC67+'Game Results'!AC85+'Game Results'!AC391+'Game Results'!AC409+'Game Results'!AC535+'Game Results'!AC553+'Game Results'!AC852+'Game Results'!AC870+'Game Results'!AC1039+'Game Results'!AC1057+'Game Results'!AC1057+'Game Results'!AC1212+'Game Results'!AC744+'Game Results'!AC762+'Game Results'!AC1464+'Game Results'!AC1482+'Game Results'!AC1788+'Game Results'!AC1806)</f>
        <v>72</v>
      </c>
      <c r="AD18" s="85">
        <f>SUM('Game Results'!AD67+'Game Results'!AD85+'Game Results'!AD391+'Game Results'!AD409+'Game Results'!AD535+'Game Results'!AD553+'Game Results'!AD852+'Game Results'!AD870+'Game Results'!AD1039+'Game Results'!AD1057+'Game Results'!AD1057+'Game Results'!AD1212+'Game Results'!AD744+'Game Results'!AD762+'Game Results'!AD1464+'Game Results'!AD1482+'Game Results'!AD1788+'Game Results'!AD1806)</f>
        <v>2</v>
      </c>
      <c r="AE18" s="85">
        <f>SUM('Game Results'!AE67+'Game Results'!AE85+'Game Results'!AE391+'Game Results'!AE409+'Game Results'!AE535+'Game Results'!AE553+'Game Results'!AE852+'Game Results'!AE870+'Game Results'!AE1039+'Game Results'!AE1057+'Game Results'!AE1057+'Game Results'!AE1212+'Game Results'!AE744+'Game Results'!AE762+'Game Results'!AE1464+'Game Results'!AE1482+'Game Results'!AE1788+'Game Results'!AE1806)</f>
        <v>0</v>
      </c>
      <c r="AF18" s="85">
        <f>SUM('Game Results'!AF67+'Game Results'!AF85+'Game Results'!AF391+'Game Results'!AF409+'Game Results'!AF535+'Game Results'!AF553+'Game Results'!AF852+'Game Results'!AF870+'Game Results'!AF1039+'Game Results'!AF1057+'Game Results'!AF1057+'Game Results'!AF1212+'Game Results'!AF744+'Game Results'!AF762+'Game Results'!AF1464+'Game Results'!AF1482+'Game Results'!AF1788+'Game Results'!AF1806)</f>
        <v>0</v>
      </c>
      <c r="AG18" s="85">
        <f>SUM('Game Results'!AG67+'Game Results'!AG85+'Game Results'!AG391+'Game Results'!AG409+'Game Results'!AG535+'Game Results'!AG553+'Game Results'!AG852+'Game Results'!AG870+'Game Results'!AG1039+'Game Results'!AG1057+'Game Results'!AG1057+'Game Results'!AG1212+'Game Results'!AG744+'Game Results'!AG762+'Game Results'!AG1464+'Game Results'!AG1482+'Game Results'!AG1788+'Game Results'!AG1806)</f>
        <v>1</v>
      </c>
      <c r="AH18" s="85">
        <f>SUM('Game Results'!AH67+'Game Results'!AH85+'Game Results'!AH391+'Game Results'!AH409+'Game Results'!AH535+'Game Results'!AH553+'Game Results'!AH852+'Game Results'!AH870+'Game Results'!AH1039+'Game Results'!AH1057+'Game Results'!AH1057+'Game Results'!AH1212+'Game Results'!AH744+'Game Results'!AH762+'Game Results'!AH1464+'Game Results'!AH1482+'Game Results'!AH1788+'Game Results'!AH1806)</f>
        <v>0</v>
      </c>
    </row>
    <row r="19">
      <c r="A19" s="83" t="s">
        <v>53</v>
      </c>
      <c r="B19" s="84" t="s">
        <v>194</v>
      </c>
      <c r="C19" s="85">
        <f>SUM('Game Results'!C68+'Game Results'!C86+'Game Results'!C392+'Game Results'!C410+'Game Results'!C536+'Game Results'!C554+'Game Results'!C853+'Game Results'!C871+'Game Results'!C1040+'Game Results'!C1058+'Game Results'!C1058+'Game Results'!C1213+'Game Results'!C745+'Game Results'!C763+'Game Results'!C1465+'Game Results'!C1483+'Game Results'!C1789+'Game Results'!C1807)</f>
        <v>18</v>
      </c>
      <c r="D19" s="85">
        <f>SUM('Game Results'!D68+'Game Results'!D86+'Game Results'!D392+'Game Results'!D410+'Game Results'!D536+'Game Results'!D554+'Game Results'!D853+'Game Results'!D871+'Game Results'!D1040+'Game Results'!D1058+'Game Results'!D1058+'Game Results'!D1213+'Game Results'!D745+'Game Results'!D763+'Game Results'!D1465+'Game Results'!D1483+'Game Results'!D1789+'Game Results'!D1807)</f>
        <v>6</v>
      </c>
      <c r="E19" s="86">
        <f>SUM('Game Results'!E68+'Game Results'!E86+'Game Results'!E392+'Game Results'!E410+'Game Results'!E536+'Game Results'!E554+'Game Results'!E853+'Game Results'!E871+'Game Results'!E1040+'Game Results'!E1058+'Game Results'!E1058+'Game Results'!E1213+'Game Results'!E745+'Game Results'!E763+'Game Results'!E1465+'Game Results'!E1483+'Game Results'!E1789+'Game Results'!E1807)</f>
        <v>525.4666667</v>
      </c>
      <c r="F19" s="85">
        <f>SUM('Game Results'!F68+'Game Results'!F86+'Game Results'!F392+'Game Results'!F410+'Game Results'!F536+'Game Results'!F554+'Game Results'!F853+'Game Results'!F871+'Game Results'!F1040+'Game Results'!F1058+'Game Results'!F1058+'Game Results'!F1213+'Game Results'!F745+'Game Results'!F763+'Game Results'!F1465+'Game Results'!F1483+'Game Results'!F1789+'Game Results'!F1807)</f>
        <v>6</v>
      </c>
      <c r="G19" s="85">
        <f>SUM('Game Results'!G68+'Game Results'!G86+'Game Results'!G392+'Game Results'!G410+'Game Results'!G536+'Game Results'!G554+'Game Results'!G853+'Game Results'!G871+'Game Results'!G1040+'Game Results'!G1058+'Game Results'!G1058+'Game Results'!G1213+'Game Results'!G745+'Game Results'!G763+'Game Results'!G1465+'Game Results'!G1483+'Game Results'!G1789+'Game Results'!G1807)</f>
        <v>2263</v>
      </c>
      <c r="H19" s="85">
        <f>SUM('Game Results'!H68+'Game Results'!H86+'Game Results'!H392+'Game Results'!H410+'Game Results'!H536+'Game Results'!H554+'Game Results'!H853+'Game Results'!H871+'Game Results'!H1040+'Game Results'!H1058+'Game Results'!H1058+'Game Results'!H1213+'Game Results'!H745+'Game Results'!H763+'Game Results'!H1465+'Game Results'!H1483+'Game Results'!H1789+'Game Results'!H1807)</f>
        <v>7</v>
      </c>
      <c r="I19" s="85">
        <f>SUM('Game Results'!I68+'Game Results'!I86+'Game Results'!I392+'Game Results'!I410+'Game Results'!I536+'Game Results'!I554+'Game Results'!I853+'Game Results'!I871+'Game Results'!I1040+'Game Results'!I1058+'Game Results'!I1058+'Game Results'!I1213+'Game Results'!I745+'Game Results'!I763+'Game Results'!I1465+'Game Results'!I1483+'Game Results'!I1789+'Game Results'!I1807)</f>
        <v>1972</v>
      </c>
      <c r="J19" s="85">
        <f>SUM('Game Results'!J68+'Game Results'!J86+'Game Results'!J392+'Game Results'!J410+'Game Results'!J536+'Game Results'!J554+'Game Results'!J853+'Game Results'!J871+'Game Results'!J1040+'Game Results'!J1058+'Game Results'!J1058+'Game Results'!J1213+'Game Results'!J745+'Game Results'!J763+'Game Results'!J1465+'Game Results'!J1483+'Game Results'!J1789+'Game Results'!J1807)</f>
        <v>291</v>
      </c>
      <c r="K19" s="87">
        <f t="shared" si="1"/>
        <v>1.147565923</v>
      </c>
      <c r="L19" s="85">
        <f>SUM('Game Results'!L68+'Game Results'!L86+'Game Results'!L392+'Game Results'!L410+'Game Results'!L536+'Game Results'!L554+'Game Results'!L853+'Game Results'!L871+'Game Results'!L1040+'Game Results'!L1058+'Game Results'!L1058+'Game Results'!L1213+'Game Results'!L745+'Game Results'!L763+'Game Results'!L1465+'Game Results'!L1483+'Game Results'!L1789+'Game Results'!L1807)</f>
        <v>253</v>
      </c>
      <c r="M19" s="85">
        <f>SUM('Game Results'!M68+'Game Results'!M86+'Game Results'!M392+'Game Results'!M410+'Game Results'!M536+'Game Results'!M554+'Game Results'!M853+'Game Results'!M871+'Game Results'!M1040+'Game Results'!M1058+'Game Results'!M1058+'Game Results'!M1213+'Game Results'!M745+'Game Results'!M763+'Game Results'!M1465+'Game Results'!M1483+'Game Results'!M1789+'Game Results'!M1807)</f>
        <v>2928</v>
      </c>
      <c r="N19" s="85">
        <f>SUM('Game Results'!N68+'Game Results'!N86+'Game Results'!N392+'Game Results'!N410+'Game Results'!N536+'Game Results'!N554+'Game Results'!N853+'Game Results'!N871+'Game Results'!N1040+'Game Results'!N1058+'Game Results'!N1058+'Game Results'!N1213+'Game Results'!N745+'Game Results'!N763+'Game Results'!N1465+'Game Results'!N1483+'Game Results'!N1789+'Game Results'!N1807)</f>
        <v>18</v>
      </c>
      <c r="O19" s="88">
        <f>SUM('Game Results'!O68+'Game Results'!O86+'Game Results'!O392+'Game Results'!O410+'Game Results'!O536+'Game Results'!O554+'Game Results'!O853+'Game Results'!O871+'Game Results'!O1040+'Game Results'!O1058+'Game Results'!O1058+'Game Results'!O1213+'Game Results'!O745+'Game Results'!O763+'Game Results'!O1465+'Game Results'!O1483+'Game Results'!O1789+'Game Results'!O1807)</f>
        <v>525.4666667</v>
      </c>
      <c r="P19" s="85">
        <f>SUM('Game Results'!P68+'Game Results'!P86+'Game Results'!P392+'Game Results'!P410+'Game Results'!P536+'Game Results'!P554+'Game Results'!P853+'Game Results'!P871+'Game Results'!P1040+'Game Results'!P1058+'Game Results'!P1058+'Game Results'!P1213+'Game Results'!P745+'Game Results'!P763+'Game Results'!P1465+'Game Results'!P1483+'Game Results'!P1789+'Game Results'!P1807)</f>
        <v>83</v>
      </c>
      <c r="Q19" s="85">
        <f>SUM('Game Results'!Q68+'Game Results'!Q86+'Game Results'!Q392+'Game Results'!Q410+'Game Results'!Q536+'Game Results'!Q554+'Game Results'!Q853+'Game Results'!Q871+'Game Results'!Q1040+'Game Results'!Q1058+'Game Results'!Q1058+'Game Results'!Q1213+'Game Results'!Q745+'Game Results'!Q763+'Game Results'!Q1465+'Game Results'!Q1483+'Game Results'!Q1789+'Game Results'!Q1807)</f>
        <v>74</v>
      </c>
      <c r="R19" s="85">
        <f>SUM('Game Results'!R68+'Game Results'!R86+'Game Results'!R392+'Game Results'!R410+'Game Results'!R536+'Game Results'!R554+'Game Results'!R853+'Game Results'!R871+'Game Results'!R1040+'Game Results'!R1058+'Game Results'!R1058+'Game Results'!R1213+'Game Results'!R745+'Game Results'!R763+'Game Results'!R1465+'Game Results'!R1483+'Game Results'!R1789+'Game Results'!R1807)</f>
        <v>115</v>
      </c>
      <c r="S19" s="85">
        <f>SUM('Game Results'!S68+'Game Results'!S86+'Game Results'!S392+'Game Results'!S410+'Game Results'!S536+'Game Results'!S554+'Game Results'!S853+'Game Results'!S871+'Game Results'!S1040+'Game Results'!S1058+'Game Results'!S1058+'Game Results'!S1213+'Game Results'!S745+'Game Results'!S763+'Game Results'!S1465+'Game Results'!S1483+'Game Results'!S1789+'Game Results'!S1807)</f>
        <v>36</v>
      </c>
      <c r="T19" s="85">
        <f>SUM('Game Results'!T68+'Game Results'!T86+'Game Results'!T392+'Game Results'!T410+'Game Results'!T536+'Game Results'!T554+'Game Results'!T853+'Game Results'!T871+'Game Results'!T1040+'Game Results'!T1058+'Game Results'!T1058+'Game Results'!T1213+'Game Results'!T745+'Game Results'!T763+'Game Results'!T1465+'Game Results'!T1483+'Game Results'!T1789+'Game Results'!T1807)</f>
        <v>360</v>
      </c>
      <c r="U19" s="85">
        <f>SUM('Game Results'!U68+'Game Results'!U86+'Game Results'!U392+'Game Results'!U410+'Game Results'!U536+'Game Results'!U554+'Game Results'!U853+'Game Results'!U871+'Game Results'!U1040+'Game Results'!U1058+'Game Results'!U1058+'Game Results'!U1213+'Game Results'!U745+'Game Results'!U763+'Game Results'!U1465+'Game Results'!U1483+'Game Results'!U1789+'Game Results'!U1807)</f>
        <v>59</v>
      </c>
      <c r="V19" s="85">
        <f>SUM('Game Results'!V68+'Game Results'!V86+'Game Results'!V392+'Game Results'!V410+'Game Results'!V536+'Game Results'!V554+'Game Results'!V853+'Game Results'!V871+'Game Results'!V1040+'Game Results'!V1058+'Game Results'!V1058+'Game Results'!V1213+'Game Results'!V745+'Game Results'!V763+'Game Results'!V1465+'Game Results'!V1483+'Game Results'!V1789+'Game Results'!V1807)</f>
        <v>11</v>
      </c>
      <c r="W19" s="85">
        <f>SUM('Game Results'!W68+'Game Results'!W86+'Game Results'!W392+'Game Results'!W410+'Game Results'!W536+'Game Results'!W554+'Game Results'!W853+'Game Results'!W871+'Game Results'!W1040+'Game Results'!W1058+'Game Results'!W1058+'Game Results'!W1213+'Game Results'!W745+'Game Results'!W763+'Game Results'!W1465+'Game Results'!W1483+'Game Results'!W1789+'Game Results'!W1807)</f>
        <v>3</v>
      </c>
      <c r="X19" s="85">
        <f>SUM('Game Results'!X68+'Game Results'!X86+'Game Results'!X392+'Game Results'!X410+'Game Results'!X536+'Game Results'!X554+'Game Results'!X853+'Game Results'!X871+'Game Results'!X1040+'Game Results'!X1058+'Game Results'!X1058+'Game Results'!X1213+'Game Results'!X745+'Game Results'!X763+'Game Results'!X1465+'Game Results'!X1483+'Game Results'!X1789+'Game Results'!X1807)</f>
        <v>0</v>
      </c>
      <c r="Y19" s="85">
        <f>SUM('Game Results'!Y68+'Game Results'!Y86+'Game Results'!Y392+'Game Results'!Y410+'Game Results'!Y536+'Game Results'!Y554+'Game Results'!Y853+'Game Results'!Y871+'Game Results'!Y1040+'Game Results'!Y1058+'Game Results'!Y1058+'Game Results'!Y1213+'Game Results'!Y745+'Game Results'!Y763+'Game Results'!Y1465+'Game Results'!Y1483+'Game Results'!Y1789+'Game Results'!Y1807)</f>
        <v>0</v>
      </c>
      <c r="Z19" s="85">
        <f>SUM('Game Results'!Z68+'Game Results'!Z86+'Game Results'!Z392+'Game Results'!Z410+'Game Results'!Z536+'Game Results'!Z554+'Game Results'!Z853+'Game Results'!Z871+'Game Results'!Z1040+'Game Results'!Z1058+'Game Results'!Z1058+'Game Results'!Z1213+'Game Results'!Z745+'Game Results'!Z763+'Game Results'!Z1465+'Game Results'!Z1483+'Game Results'!Z1789+'Game Results'!Z1807)</f>
        <v>0</v>
      </c>
      <c r="AA19" s="85">
        <f>SUM('Game Results'!AA68+'Game Results'!AA86+'Game Results'!AA392+'Game Results'!AA410+'Game Results'!AA536+'Game Results'!AA554+'Game Results'!AA853+'Game Results'!AA871+'Game Results'!AA1040+'Game Results'!AA1058+'Game Results'!AA1058+'Game Results'!AA1213+'Game Results'!AA745+'Game Results'!AA763+'Game Results'!AA1465+'Game Results'!AA1483+'Game Results'!AA1789+'Game Results'!AA1807)</f>
        <v>0</v>
      </c>
      <c r="AB19" s="85">
        <f>SUM('Game Results'!AB68+'Game Results'!AB86+'Game Results'!AB392+'Game Results'!AB410+'Game Results'!AB536+'Game Results'!AB554+'Game Results'!AB853+'Game Results'!AB871+'Game Results'!AB1040+'Game Results'!AB1058+'Game Results'!AB1058+'Game Results'!AB1213+'Game Results'!AB745+'Game Results'!AB763+'Game Results'!AB1465+'Game Results'!AB1483+'Game Results'!AB1789+'Game Results'!AB1807)</f>
        <v>0</v>
      </c>
      <c r="AC19" s="85">
        <f>SUM('Game Results'!AC68+'Game Results'!AC86+'Game Results'!AC392+'Game Results'!AC410+'Game Results'!AC536+'Game Results'!AC554+'Game Results'!AC853+'Game Results'!AC871+'Game Results'!AC1040+'Game Results'!AC1058+'Game Results'!AC1058+'Game Results'!AC1213+'Game Results'!AC745+'Game Results'!AC763+'Game Results'!AC1465+'Game Results'!AC1483+'Game Results'!AC1789+'Game Results'!AC1807)</f>
        <v>68</v>
      </c>
      <c r="AD19" s="85">
        <f>SUM('Game Results'!AD68+'Game Results'!AD86+'Game Results'!AD392+'Game Results'!AD410+'Game Results'!AD536+'Game Results'!AD554+'Game Results'!AD853+'Game Results'!AD871+'Game Results'!AD1040+'Game Results'!AD1058+'Game Results'!AD1058+'Game Results'!AD1213+'Game Results'!AD745+'Game Results'!AD763+'Game Results'!AD1465+'Game Results'!AD1483+'Game Results'!AD1789+'Game Results'!AD1807)</f>
        <v>1</v>
      </c>
      <c r="AE19" s="85">
        <f>SUM('Game Results'!AE68+'Game Results'!AE86+'Game Results'!AE392+'Game Results'!AE410+'Game Results'!AE536+'Game Results'!AE554+'Game Results'!AE853+'Game Results'!AE871+'Game Results'!AE1040+'Game Results'!AE1058+'Game Results'!AE1058+'Game Results'!AE1213+'Game Results'!AE745+'Game Results'!AE763+'Game Results'!AE1465+'Game Results'!AE1483+'Game Results'!AE1789+'Game Results'!AE1807)</f>
        <v>0</v>
      </c>
      <c r="AF19" s="85">
        <f>SUM('Game Results'!AF68+'Game Results'!AF86+'Game Results'!AF392+'Game Results'!AF410+'Game Results'!AF536+'Game Results'!AF554+'Game Results'!AF853+'Game Results'!AF871+'Game Results'!AF1040+'Game Results'!AF1058+'Game Results'!AF1058+'Game Results'!AF1213+'Game Results'!AF745+'Game Results'!AF763+'Game Results'!AF1465+'Game Results'!AF1483+'Game Results'!AF1789+'Game Results'!AF1807)</f>
        <v>0</v>
      </c>
      <c r="AG19" s="85">
        <f>SUM('Game Results'!AG68+'Game Results'!AG86+'Game Results'!AG392+'Game Results'!AG410+'Game Results'!AG536+'Game Results'!AG554+'Game Results'!AG853+'Game Results'!AG871+'Game Results'!AG1040+'Game Results'!AG1058+'Game Results'!AG1058+'Game Results'!AG1213+'Game Results'!AG745+'Game Results'!AG763+'Game Results'!AG1465+'Game Results'!AG1483+'Game Results'!AG1789+'Game Results'!AG1807)</f>
        <v>2</v>
      </c>
      <c r="AH19" s="85">
        <f>SUM('Game Results'!AH68+'Game Results'!AH86+'Game Results'!AH392+'Game Results'!AH410+'Game Results'!AH536+'Game Results'!AH554+'Game Results'!AH853+'Game Results'!AH871+'Game Results'!AH1040+'Game Results'!AH1058+'Game Results'!AH1058+'Game Results'!AH1213+'Game Results'!AH745+'Game Results'!AH763+'Game Results'!AH1465+'Game Results'!AH1483+'Game Results'!AH1789+'Game Results'!AH1807)</f>
        <v>9</v>
      </c>
    </row>
    <row r="20">
      <c r="A20" s="83" t="s">
        <v>53</v>
      </c>
      <c r="B20" s="84" t="s">
        <v>195</v>
      </c>
      <c r="C20" s="85">
        <f>SUM('Game Results'!C69+'Game Results'!C87+'Game Results'!C393+'Game Results'!C411+'Game Results'!C537+'Game Results'!C555+'Game Results'!C854+'Game Results'!C872+'Game Results'!C1041+'Game Results'!C1059+'Game Results'!C1059+'Game Results'!C1214+'Game Results'!C746+'Game Results'!C764+'Game Results'!C1466+'Game Results'!C1484+'Game Results'!C1790+'Game Results'!C1808)</f>
        <v>16</v>
      </c>
      <c r="D20" s="85">
        <f>SUM('Game Results'!D69+'Game Results'!D87+'Game Results'!D393+'Game Results'!D411+'Game Results'!D537+'Game Results'!D555+'Game Results'!D854+'Game Results'!D872+'Game Results'!D1041+'Game Results'!D1059+'Game Results'!D1059+'Game Results'!D1214+'Game Results'!D746+'Game Results'!D764+'Game Results'!D1466+'Game Results'!D1484+'Game Results'!D1790+'Game Results'!D1808)</f>
        <v>6</v>
      </c>
      <c r="E20" s="86">
        <f>SUM('Game Results'!E69+'Game Results'!E87+'Game Results'!E393+'Game Results'!E411+'Game Results'!E537+'Game Results'!E555+'Game Results'!E854+'Game Results'!E872+'Game Results'!E1041+'Game Results'!E1059+'Game Results'!E1059+'Game Results'!E1214+'Game Results'!E746+'Game Results'!E764+'Game Results'!E1466+'Game Results'!E1484+'Game Results'!E1790+'Game Results'!E1808)</f>
        <v>490.4333333</v>
      </c>
      <c r="F20" s="85">
        <f>SUM('Game Results'!F69+'Game Results'!F87+'Game Results'!F393+'Game Results'!F411+'Game Results'!F537+'Game Results'!F555+'Game Results'!F854+'Game Results'!F872+'Game Results'!F1041+'Game Results'!F1059+'Game Results'!F1059+'Game Results'!F1214+'Game Results'!F746+'Game Results'!F764+'Game Results'!F1466+'Game Results'!F1484+'Game Results'!F1790+'Game Results'!F1808)</f>
        <v>5</v>
      </c>
      <c r="G20" s="85">
        <f>SUM('Game Results'!G69+'Game Results'!G87+'Game Results'!G393+'Game Results'!G411+'Game Results'!G537+'Game Results'!G555+'Game Results'!G854+'Game Results'!G872+'Game Results'!G1041+'Game Results'!G1059+'Game Results'!G1059+'Game Results'!G1214+'Game Results'!G746+'Game Results'!G764+'Game Results'!G1466+'Game Results'!G1484+'Game Results'!G1790+'Game Results'!G1808)</f>
        <v>1559</v>
      </c>
      <c r="H20" s="85">
        <f>SUM('Game Results'!H69+'Game Results'!H87+'Game Results'!H393+'Game Results'!H411+'Game Results'!H537+'Game Results'!H555+'Game Results'!H854+'Game Results'!H872+'Game Results'!H1041+'Game Results'!H1059+'Game Results'!H1059+'Game Results'!H1214+'Game Results'!H746+'Game Results'!H764+'Game Results'!H1466+'Game Results'!H1484+'Game Results'!H1790+'Game Results'!H1808)</f>
        <v>7</v>
      </c>
      <c r="I20" s="85">
        <f>SUM('Game Results'!I69+'Game Results'!I87+'Game Results'!I393+'Game Results'!I411+'Game Results'!I537+'Game Results'!I555+'Game Results'!I854+'Game Results'!I872+'Game Results'!I1041+'Game Results'!I1059+'Game Results'!I1059+'Game Results'!I1214+'Game Results'!I746+'Game Results'!I764+'Game Results'!I1466+'Game Results'!I1484+'Game Results'!I1790+'Game Results'!I1808)</f>
        <v>1564</v>
      </c>
      <c r="J20" s="85">
        <f>SUM('Game Results'!J69+'Game Results'!J87+'Game Results'!J393+'Game Results'!J411+'Game Results'!J537+'Game Results'!J555+'Game Results'!J854+'Game Results'!J872+'Game Results'!J1041+'Game Results'!J1059+'Game Results'!J1059+'Game Results'!J1214+'Game Results'!J746+'Game Results'!J764+'Game Results'!J1466+'Game Results'!J1484+'Game Results'!J1790+'Game Results'!J1808)</f>
        <v>-5</v>
      </c>
      <c r="K20" s="87">
        <f t="shared" si="1"/>
        <v>0.9968030691</v>
      </c>
      <c r="L20" s="85">
        <f>SUM('Game Results'!L69+'Game Results'!L87+'Game Results'!L393+'Game Results'!L411+'Game Results'!L537+'Game Results'!L555+'Game Results'!L854+'Game Results'!L872+'Game Results'!L1041+'Game Results'!L1059+'Game Results'!L1059+'Game Results'!L1214+'Game Results'!L746+'Game Results'!L764+'Game Results'!L1466+'Game Results'!L1484+'Game Results'!L1790+'Game Results'!L1808)</f>
        <v>283</v>
      </c>
      <c r="M20" s="85">
        <f>SUM('Game Results'!M69+'Game Results'!M87+'Game Results'!M393+'Game Results'!M411+'Game Results'!M537+'Game Results'!M555+'Game Results'!M854+'Game Results'!M872+'Game Results'!M1041+'Game Results'!M1059+'Game Results'!M1059+'Game Results'!M1214+'Game Results'!M746+'Game Results'!M764+'Game Results'!M1466+'Game Results'!M1484+'Game Results'!M1790+'Game Results'!M1808)</f>
        <v>1938</v>
      </c>
      <c r="N20" s="85">
        <f>SUM('Game Results'!N69+'Game Results'!N87+'Game Results'!N393+'Game Results'!N411+'Game Results'!N537+'Game Results'!N555+'Game Results'!N854+'Game Results'!N872+'Game Results'!N1041+'Game Results'!N1059+'Game Results'!N1059+'Game Results'!N1214+'Game Results'!N746+'Game Results'!N764+'Game Results'!N1466+'Game Results'!N1484+'Game Results'!N1790+'Game Results'!N1808)</f>
        <v>16</v>
      </c>
      <c r="O20" s="88">
        <f>SUM('Game Results'!O69+'Game Results'!O87+'Game Results'!O393+'Game Results'!O411+'Game Results'!O537+'Game Results'!O555+'Game Results'!O854+'Game Results'!O872+'Game Results'!O1041+'Game Results'!O1059+'Game Results'!O1059+'Game Results'!O1214+'Game Results'!O746+'Game Results'!O764+'Game Results'!O1466+'Game Results'!O1484+'Game Results'!O1790+'Game Results'!O1808)</f>
        <v>490.4333333</v>
      </c>
      <c r="P20" s="85">
        <f>SUM('Game Results'!P69+'Game Results'!P87+'Game Results'!P393+'Game Results'!P411+'Game Results'!P537+'Game Results'!P555+'Game Results'!P854+'Game Results'!P872+'Game Results'!P1041+'Game Results'!P1059+'Game Results'!P1059+'Game Results'!P1214+'Game Results'!P746+'Game Results'!P764+'Game Results'!P1466+'Game Results'!P1484+'Game Results'!P1790+'Game Results'!P1808)</f>
        <v>55</v>
      </c>
      <c r="Q20" s="85">
        <f>SUM('Game Results'!Q69+'Game Results'!Q87+'Game Results'!Q393+'Game Results'!Q411+'Game Results'!Q537+'Game Results'!Q555+'Game Results'!Q854+'Game Results'!Q872+'Game Results'!Q1041+'Game Results'!Q1059+'Game Results'!Q1059+'Game Results'!Q1214+'Game Results'!Q746+'Game Results'!Q764+'Game Results'!Q1466+'Game Results'!Q1484+'Game Results'!Q1790+'Game Results'!Q1808)</f>
        <v>48</v>
      </c>
      <c r="R20" s="85">
        <f>SUM('Game Results'!R69+'Game Results'!R87+'Game Results'!R393+'Game Results'!R411+'Game Results'!R537+'Game Results'!R555+'Game Results'!R854+'Game Results'!R872+'Game Results'!R1041+'Game Results'!R1059+'Game Results'!R1059+'Game Results'!R1214+'Game Results'!R746+'Game Results'!R764+'Game Results'!R1466+'Game Results'!R1484+'Game Results'!R1790+'Game Results'!R1808)</f>
        <v>104</v>
      </c>
      <c r="S20" s="85">
        <f>SUM('Game Results'!S69+'Game Results'!S87+'Game Results'!S393+'Game Results'!S411+'Game Results'!S537+'Game Results'!S555+'Game Results'!S854+'Game Results'!S872+'Game Results'!S1041+'Game Results'!S1059+'Game Results'!S1059+'Game Results'!S1214+'Game Results'!S746+'Game Results'!S764+'Game Results'!S1466+'Game Results'!S1484+'Game Results'!S1790+'Game Results'!S1808)</f>
        <v>29</v>
      </c>
      <c r="T20" s="85">
        <f>SUM('Game Results'!T69+'Game Results'!T87+'Game Results'!T393+'Game Results'!T411+'Game Results'!T537+'Game Results'!T555+'Game Results'!T854+'Game Results'!T872+'Game Results'!T1041+'Game Results'!T1059+'Game Results'!T1059+'Game Results'!T1214+'Game Results'!T746+'Game Results'!T764+'Game Results'!T1466+'Game Results'!T1484+'Game Results'!T1790+'Game Results'!T1808)</f>
        <v>188</v>
      </c>
      <c r="U20" s="85">
        <f>SUM('Game Results'!U69+'Game Results'!U87+'Game Results'!U393+'Game Results'!U411+'Game Results'!U537+'Game Results'!U555+'Game Results'!U854+'Game Results'!U872+'Game Results'!U1041+'Game Results'!U1059+'Game Results'!U1059+'Game Results'!U1214+'Game Results'!U746+'Game Results'!U764+'Game Results'!U1466+'Game Results'!U1484+'Game Results'!U1790+'Game Results'!U1808)</f>
        <v>24</v>
      </c>
      <c r="V20" s="85">
        <f>SUM('Game Results'!V69+'Game Results'!V87+'Game Results'!V393+'Game Results'!V411+'Game Results'!V537+'Game Results'!V555+'Game Results'!V854+'Game Results'!V872+'Game Results'!V1041+'Game Results'!V1059+'Game Results'!V1059+'Game Results'!V1214+'Game Results'!V746+'Game Results'!V764+'Game Results'!V1466+'Game Results'!V1484+'Game Results'!V1790+'Game Results'!V1808)</f>
        <v>3</v>
      </c>
      <c r="W20" s="85">
        <f>SUM('Game Results'!W69+'Game Results'!W87+'Game Results'!W393+'Game Results'!W411+'Game Results'!W537+'Game Results'!W555+'Game Results'!W854+'Game Results'!W872+'Game Results'!W1041+'Game Results'!W1059+'Game Results'!W1059+'Game Results'!W1214+'Game Results'!W746+'Game Results'!W764+'Game Results'!W1466+'Game Results'!W1484+'Game Results'!W1790+'Game Results'!W1808)</f>
        <v>1</v>
      </c>
      <c r="X20" s="85">
        <f>SUM('Game Results'!X69+'Game Results'!X87+'Game Results'!X393+'Game Results'!X411+'Game Results'!X537+'Game Results'!X555+'Game Results'!X854+'Game Results'!X872+'Game Results'!X1041+'Game Results'!X1059+'Game Results'!X1059+'Game Results'!X1214+'Game Results'!X746+'Game Results'!X764+'Game Results'!X1466+'Game Results'!X1484+'Game Results'!X1790+'Game Results'!X1808)</f>
        <v>0</v>
      </c>
      <c r="Y20" s="85">
        <f>SUM('Game Results'!Y69+'Game Results'!Y87+'Game Results'!Y393+'Game Results'!Y411+'Game Results'!Y537+'Game Results'!Y555+'Game Results'!Y854+'Game Results'!Y872+'Game Results'!Y1041+'Game Results'!Y1059+'Game Results'!Y1059+'Game Results'!Y1214+'Game Results'!Y746+'Game Results'!Y764+'Game Results'!Y1466+'Game Results'!Y1484+'Game Results'!Y1790+'Game Results'!Y1808)</f>
        <v>0</v>
      </c>
      <c r="Z20" s="85">
        <f>SUM('Game Results'!Z69+'Game Results'!Z87+'Game Results'!Z393+'Game Results'!Z411+'Game Results'!Z537+'Game Results'!Z555+'Game Results'!Z854+'Game Results'!Z872+'Game Results'!Z1041+'Game Results'!Z1059+'Game Results'!Z1059+'Game Results'!Z1214+'Game Results'!Z746+'Game Results'!Z764+'Game Results'!Z1466+'Game Results'!Z1484+'Game Results'!Z1790+'Game Results'!Z1808)</f>
        <v>0</v>
      </c>
      <c r="AA20" s="85">
        <f>SUM('Game Results'!AA69+'Game Results'!AA87+'Game Results'!AA393+'Game Results'!AA411+'Game Results'!AA537+'Game Results'!AA555+'Game Results'!AA854+'Game Results'!AA872+'Game Results'!AA1041+'Game Results'!AA1059+'Game Results'!AA1059+'Game Results'!AA1214+'Game Results'!AA746+'Game Results'!AA764+'Game Results'!AA1466+'Game Results'!AA1484+'Game Results'!AA1790+'Game Results'!AA1808)</f>
        <v>0</v>
      </c>
      <c r="AB20" s="85">
        <f>SUM('Game Results'!AB69+'Game Results'!AB87+'Game Results'!AB393+'Game Results'!AB411+'Game Results'!AB537+'Game Results'!AB555+'Game Results'!AB854+'Game Results'!AB872+'Game Results'!AB1041+'Game Results'!AB1059+'Game Results'!AB1059+'Game Results'!AB1214+'Game Results'!AB746+'Game Results'!AB764+'Game Results'!AB1466+'Game Results'!AB1484+'Game Results'!AB1790+'Game Results'!AB1808)</f>
        <v>0</v>
      </c>
      <c r="AC20" s="85">
        <f>SUM('Game Results'!AC69+'Game Results'!AC87+'Game Results'!AC393+'Game Results'!AC411+'Game Results'!AC537+'Game Results'!AC555+'Game Results'!AC854+'Game Results'!AC872+'Game Results'!AC1041+'Game Results'!AC1059+'Game Results'!AC1059+'Game Results'!AC1214+'Game Results'!AC746+'Game Results'!AC764+'Game Results'!AC1466+'Game Results'!AC1484+'Game Results'!AC1790+'Game Results'!AC1808)</f>
        <v>25</v>
      </c>
      <c r="AD20" s="85">
        <f>SUM('Game Results'!AD69+'Game Results'!AD87+'Game Results'!AD393+'Game Results'!AD411+'Game Results'!AD537+'Game Results'!AD555+'Game Results'!AD854+'Game Results'!AD872+'Game Results'!AD1041+'Game Results'!AD1059+'Game Results'!AD1059+'Game Results'!AD1214+'Game Results'!AD746+'Game Results'!AD764+'Game Results'!AD1466+'Game Results'!AD1484+'Game Results'!AD1790+'Game Results'!AD1808)</f>
        <v>0</v>
      </c>
      <c r="AE20" s="85">
        <f>SUM('Game Results'!AE69+'Game Results'!AE87+'Game Results'!AE393+'Game Results'!AE411+'Game Results'!AE537+'Game Results'!AE555+'Game Results'!AE854+'Game Results'!AE872+'Game Results'!AE1041+'Game Results'!AE1059+'Game Results'!AE1059+'Game Results'!AE1214+'Game Results'!AE746+'Game Results'!AE764+'Game Results'!AE1466+'Game Results'!AE1484+'Game Results'!AE1790+'Game Results'!AE1808)</f>
        <v>0</v>
      </c>
      <c r="AF20" s="85">
        <f>SUM('Game Results'!AF69+'Game Results'!AF87+'Game Results'!AF393+'Game Results'!AF411+'Game Results'!AF537+'Game Results'!AF555+'Game Results'!AF854+'Game Results'!AF872+'Game Results'!AF1041+'Game Results'!AF1059+'Game Results'!AF1059+'Game Results'!AF1214+'Game Results'!AF746+'Game Results'!AF764+'Game Results'!AF1466+'Game Results'!AF1484+'Game Results'!AF1790+'Game Results'!AF1808)</f>
        <v>0</v>
      </c>
      <c r="AG20" s="85">
        <f>SUM('Game Results'!AG69+'Game Results'!AG87+'Game Results'!AG393+'Game Results'!AG411+'Game Results'!AG537+'Game Results'!AG555+'Game Results'!AG854+'Game Results'!AG872+'Game Results'!AG1041+'Game Results'!AG1059+'Game Results'!AG1059+'Game Results'!AG1214+'Game Results'!AG746+'Game Results'!AG764+'Game Results'!AG1466+'Game Results'!AG1484+'Game Results'!AG1790+'Game Results'!AG1808)</f>
        <v>0</v>
      </c>
      <c r="AH20" s="85">
        <f>SUM('Game Results'!AH69+'Game Results'!AH87+'Game Results'!AH393+'Game Results'!AH411+'Game Results'!AH537+'Game Results'!AH555+'Game Results'!AH854+'Game Results'!AH872+'Game Results'!AH1041+'Game Results'!AH1059+'Game Results'!AH1059+'Game Results'!AH1214+'Game Results'!AH746+'Game Results'!AH764+'Game Results'!AH1466+'Game Results'!AH1484+'Game Results'!AH1790+'Game Results'!AH1808)</f>
        <v>3</v>
      </c>
    </row>
    <row r="21">
      <c r="A21" s="83" t="s">
        <v>53</v>
      </c>
      <c r="B21" s="84" t="s">
        <v>196</v>
      </c>
      <c r="C21" s="85">
        <f>SUM('Game Results'!C70+'Game Results'!C88+'Game Results'!C394+'Game Results'!C412+'Game Results'!C538+'Game Results'!C556+'Game Results'!C855+'Game Results'!C873+'Game Results'!C1042+'Game Results'!C1060+'Game Results'!C1060+'Game Results'!C1215+'Game Results'!C747+'Game Results'!C765+'Game Results'!C1467+'Game Results'!C1485+'Game Results'!C1791+'Game Results'!C1809)</f>
        <v>2</v>
      </c>
      <c r="D21" s="85">
        <f>SUM('Game Results'!D70+'Game Results'!D88+'Game Results'!D394+'Game Results'!D412+'Game Results'!D538+'Game Results'!D556+'Game Results'!D855+'Game Results'!D873+'Game Results'!D1042+'Game Results'!D1060+'Game Results'!D1060+'Game Results'!D1215+'Game Results'!D747+'Game Results'!D765+'Game Results'!D1467+'Game Results'!D1485+'Game Results'!D1791+'Game Results'!D1809)</f>
        <v>0</v>
      </c>
      <c r="E21" s="86">
        <f>SUM('Game Results'!E70+'Game Results'!E88+'Game Results'!E394+'Game Results'!E412+'Game Results'!E538+'Game Results'!E556+'Game Results'!E855+'Game Results'!E873+'Game Results'!E1042+'Game Results'!E1060+'Game Results'!E1060+'Game Results'!E1215+'Game Results'!E747+'Game Results'!E765+'Game Results'!E1467+'Game Results'!E1485+'Game Results'!E1791+'Game Results'!E1809)</f>
        <v>36</v>
      </c>
      <c r="F21" s="85">
        <f>SUM('Game Results'!F70+'Game Results'!F88+'Game Results'!F394+'Game Results'!F412+'Game Results'!F538+'Game Results'!F556+'Game Results'!F855+'Game Results'!F873+'Game Results'!F1042+'Game Results'!F1060+'Game Results'!F1060+'Game Results'!F1215+'Game Results'!F747+'Game Results'!F765+'Game Results'!F1467+'Game Results'!F1485+'Game Results'!F1791+'Game Results'!F1809)</f>
        <v>0</v>
      </c>
      <c r="G21" s="85">
        <f>SUM('Game Results'!G70+'Game Results'!G88+'Game Results'!G394+'Game Results'!G412+'Game Results'!G538+'Game Results'!G556+'Game Results'!G855+'Game Results'!G873+'Game Results'!G1042+'Game Results'!G1060+'Game Results'!G1060+'Game Results'!G1215+'Game Results'!G747+'Game Results'!G765+'Game Results'!G1467+'Game Results'!G1485+'Game Results'!G1791+'Game Results'!G1809)</f>
        <v>109</v>
      </c>
      <c r="H21" s="85">
        <f>SUM('Game Results'!H70+'Game Results'!H88+'Game Results'!H394+'Game Results'!H412+'Game Results'!H538+'Game Results'!H556+'Game Results'!H855+'Game Results'!H873+'Game Results'!H1042+'Game Results'!H1060+'Game Results'!H1060+'Game Results'!H1215+'Game Results'!H747+'Game Results'!H765+'Game Results'!H1467+'Game Results'!H1485+'Game Results'!H1791+'Game Results'!H1809)</f>
        <v>0</v>
      </c>
      <c r="I21" s="85">
        <f>SUM('Game Results'!I70+'Game Results'!I88+'Game Results'!I394+'Game Results'!I412+'Game Results'!I538+'Game Results'!I556+'Game Results'!I855+'Game Results'!I873+'Game Results'!I1042+'Game Results'!I1060+'Game Results'!I1060+'Game Results'!I1215+'Game Results'!I747+'Game Results'!I765+'Game Results'!I1467+'Game Results'!I1485+'Game Results'!I1791+'Game Results'!I1809)</f>
        <v>115</v>
      </c>
      <c r="J21" s="85">
        <f>SUM('Game Results'!J70+'Game Results'!J88+'Game Results'!J394+'Game Results'!J412+'Game Results'!J538+'Game Results'!J556+'Game Results'!J855+'Game Results'!J873+'Game Results'!J1042+'Game Results'!J1060+'Game Results'!J1060+'Game Results'!J1215+'Game Results'!J747+'Game Results'!J765+'Game Results'!J1467+'Game Results'!J1485+'Game Results'!J1791+'Game Results'!J1809)</f>
        <v>-6</v>
      </c>
      <c r="K21" s="87">
        <f t="shared" si="1"/>
        <v>0.947826087</v>
      </c>
      <c r="L21" s="85">
        <f>SUM('Game Results'!L70+'Game Results'!L88+'Game Results'!L394+'Game Results'!L412+'Game Results'!L538+'Game Results'!L556+'Game Results'!L855+'Game Results'!L873+'Game Results'!L1042+'Game Results'!L1060+'Game Results'!L1060+'Game Results'!L1215+'Game Results'!L747+'Game Results'!L765+'Game Results'!L1467+'Game Results'!L1485+'Game Results'!L1791+'Game Results'!L1809)</f>
        <v>31</v>
      </c>
      <c r="M21" s="85">
        <f>SUM('Game Results'!M70+'Game Results'!M88+'Game Results'!M394+'Game Results'!M412+'Game Results'!M538+'Game Results'!M556+'Game Results'!M855+'Game Results'!M873+'Game Results'!M1042+'Game Results'!M1060+'Game Results'!M1060+'Game Results'!M1215+'Game Results'!M747+'Game Results'!M765+'Game Results'!M1467+'Game Results'!M1485+'Game Results'!M1791+'Game Results'!M1809)</f>
        <v>130</v>
      </c>
      <c r="N21" s="85">
        <f>SUM('Game Results'!N70+'Game Results'!N88+'Game Results'!N394+'Game Results'!N412+'Game Results'!N538+'Game Results'!N556+'Game Results'!N855+'Game Results'!N873+'Game Results'!N1042+'Game Results'!N1060+'Game Results'!N1060+'Game Results'!N1215+'Game Results'!N747+'Game Results'!N765+'Game Results'!N1467+'Game Results'!N1485+'Game Results'!N1791+'Game Results'!N1809)</f>
        <v>2</v>
      </c>
      <c r="O21" s="88">
        <f>SUM('Game Results'!O70+'Game Results'!O88+'Game Results'!O394+'Game Results'!O412+'Game Results'!O538+'Game Results'!O556+'Game Results'!O855+'Game Results'!O873+'Game Results'!O1042+'Game Results'!O1060+'Game Results'!O1060+'Game Results'!O1215+'Game Results'!O747+'Game Results'!O765+'Game Results'!O1467+'Game Results'!O1485+'Game Results'!O1791+'Game Results'!O1809)</f>
        <v>36</v>
      </c>
      <c r="P21" s="85">
        <f>SUM('Game Results'!P70+'Game Results'!P88+'Game Results'!P394+'Game Results'!P412+'Game Results'!P538+'Game Results'!P556+'Game Results'!P855+'Game Results'!P873+'Game Results'!P1042+'Game Results'!P1060+'Game Results'!P1060+'Game Results'!P1215+'Game Results'!P747+'Game Results'!P765+'Game Results'!P1467+'Game Results'!P1485+'Game Results'!P1791+'Game Results'!P1809)</f>
        <v>2</v>
      </c>
      <c r="Q21" s="85">
        <f>SUM('Game Results'!Q70+'Game Results'!Q88+'Game Results'!Q394+'Game Results'!Q412+'Game Results'!Q538+'Game Results'!Q556+'Game Results'!Q855+'Game Results'!Q873+'Game Results'!Q1042+'Game Results'!Q1060+'Game Results'!Q1060+'Game Results'!Q1215+'Game Results'!Q747+'Game Results'!Q765+'Game Results'!Q1467+'Game Results'!Q1485+'Game Results'!Q1791+'Game Results'!Q1809)</f>
        <v>2</v>
      </c>
      <c r="R21" s="85">
        <f>SUM('Game Results'!R70+'Game Results'!R88+'Game Results'!R394+'Game Results'!R412+'Game Results'!R538+'Game Results'!R556+'Game Results'!R855+'Game Results'!R873+'Game Results'!R1042+'Game Results'!R1060+'Game Results'!R1060+'Game Results'!R1215+'Game Results'!R747+'Game Results'!R765+'Game Results'!R1467+'Game Results'!R1485+'Game Results'!R1791+'Game Results'!R1809)</f>
        <v>7</v>
      </c>
      <c r="S21" s="85">
        <f>SUM('Game Results'!S70+'Game Results'!S88+'Game Results'!S394+'Game Results'!S412+'Game Results'!S538+'Game Results'!S556+'Game Results'!S855+'Game Results'!S873+'Game Results'!S1042+'Game Results'!S1060+'Game Results'!S1060+'Game Results'!S1215+'Game Results'!S747+'Game Results'!S765+'Game Results'!S1467+'Game Results'!S1485+'Game Results'!S1791+'Game Results'!S1809)</f>
        <v>2</v>
      </c>
      <c r="T21" s="85">
        <f>SUM('Game Results'!T70+'Game Results'!T88+'Game Results'!T394+'Game Results'!T412+'Game Results'!T538+'Game Results'!T556+'Game Results'!T855+'Game Results'!T873+'Game Results'!T1042+'Game Results'!T1060+'Game Results'!T1060+'Game Results'!T1215+'Game Results'!T747+'Game Results'!T765+'Game Results'!T1467+'Game Results'!T1485+'Game Results'!T1791+'Game Results'!T1809)</f>
        <v>16</v>
      </c>
      <c r="U21" s="85">
        <f>SUM('Game Results'!U70+'Game Results'!U88+'Game Results'!U394+'Game Results'!U412+'Game Results'!U538+'Game Results'!U556+'Game Results'!U855+'Game Results'!U873+'Game Results'!U1042+'Game Results'!U1060+'Game Results'!U1060+'Game Results'!U1215+'Game Results'!U747+'Game Results'!U765+'Game Results'!U1467+'Game Results'!U1485+'Game Results'!U1791+'Game Results'!U1809)</f>
        <v>5</v>
      </c>
      <c r="V21" s="85">
        <f>SUM('Game Results'!V70+'Game Results'!V88+'Game Results'!V394+'Game Results'!V412+'Game Results'!V538+'Game Results'!V556+'Game Results'!V855+'Game Results'!V873+'Game Results'!V1042+'Game Results'!V1060+'Game Results'!V1060+'Game Results'!V1215+'Game Results'!V747+'Game Results'!V765+'Game Results'!V1467+'Game Results'!V1485+'Game Results'!V1791+'Game Results'!V1809)</f>
        <v>2</v>
      </c>
      <c r="W21" s="85">
        <f>SUM('Game Results'!W70+'Game Results'!W88+'Game Results'!W394+'Game Results'!W412+'Game Results'!W538+'Game Results'!W556+'Game Results'!W855+'Game Results'!W873+'Game Results'!W1042+'Game Results'!W1060+'Game Results'!W1060+'Game Results'!W1215+'Game Results'!W747+'Game Results'!W765+'Game Results'!W1467+'Game Results'!W1485+'Game Results'!W1791+'Game Results'!W1809)</f>
        <v>0</v>
      </c>
      <c r="X21" s="85">
        <f>SUM('Game Results'!X70+'Game Results'!X88+'Game Results'!X394+'Game Results'!X412+'Game Results'!X538+'Game Results'!X556+'Game Results'!X855+'Game Results'!X873+'Game Results'!X1042+'Game Results'!X1060+'Game Results'!X1060+'Game Results'!X1215+'Game Results'!X747+'Game Results'!X765+'Game Results'!X1467+'Game Results'!X1485+'Game Results'!X1791+'Game Results'!X1809)</f>
        <v>0</v>
      </c>
      <c r="Y21" s="85">
        <f>SUM('Game Results'!Y70+'Game Results'!Y88+'Game Results'!Y394+'Game Results'!Y412+'Game Results'!Y538+'Game Results'!Y556+'Game Results'!Y855+'Game Results'!Y873+'Game Results'!Y1042+'Game Results'!Y1060+'Game Results'!Y1060+'Game Results'!Y1215+'Game Results'!Y747+'Game Results'!Y765+'Game Results'!Y1467+'Game Results'!Y1485+'Game Results'!Y1791+'Game Results'!Y1809)</f>
        <v>0</v>
      </c>
      <c r="Z21" s="85">
        <f>SUM('Game Results'!Z70+'Game Results'!Z88+'Game Results'!Z394+'Game Results'!Z412+'Game Results'!Z538+'Game Results'!Z556+'Game Results'!Z855+'Game Results'!Z873+'Game Results'!Z1042+'Game Results'!Z1060+'Game Results'!Z1060+'Game Results'!Z1215+'Game Results'!Z747+'Game Results'!Z765+'Game Results'!Z1467+'Game Results'!Z1485+'Game Results'!Z1791+'Game Results'!Z1809)</f>
        <v>0</v>
      </c>
      <c r="AA21" s="85">
        <f>SUM('Game Results'!AA70+'Game Results'!AA88+'Game Results'!AA394+'Game Results'!AA412+'Game Results'!AA538+'Game Results'!AA556+'Game Results'!AA855+'Game Results'!AA873+'Game Results'!AA1042+'Game Results'!AA1060+'Game Results'!AA1060+'Game Results'!AA1215+'Game Results'!AA747+'Game Results'!AA765+'Game Results'!AA1467+'Game Results'!AA1485+'Game Results'!AA1791+'Game Results'!AA1809)</f>
        <v>0</v>
      </c>
      <c r="AB21" s="85">
        <f>SUM('Game Results'!AB70+'Game Results'!AB88+'Game Results'!AB394+'Game Results'!AB412+'Game Results'!AB538+'Game Results'!AB556+'Game Results'!AB855+'Game Results'!AB873+'Game Results'!AB1042+'Game Results'!AB1060+'Game Results'!AB1060+'Game Results'!AB1215+'Game Results'!AB747+'Game Results'!AB765+'Game Results'!AB1467+'Game Results'!AB1485+'Game Results'!AB1791+'Game Results'!AB1809)</f>
        <v>0</v>
      </c>
      <c r="AC21" s="85">
        <f>SUM('Game Results'!AC70+'Game Results'!AC88+'Game Results'!AC394+'Game Results'!AC412+'Game Results'!AC538+'Game Results'!AC556+'Game Results'!AC855+'Game Results'!AC873+'Game Results'!AC1042+'Game Results'!AC1060+'Game Results'!AC1060+'Game Results'!AC1215+'Game Results'!AC747+'Game Results'!AC765+'Game Results'!AC1467+'Game Results'!AC1485+'Game Results'!AC1791+'Game Results'!AC1809)</f>
        <v>2</v>
      </c>
      <c r="AD21" s="85">
        <f>SUM('Game Results'!AD70+'Game Results'!AD88+'Game Results'!AD394+'Game Results'!AD412+'Game Results'!AD538+'Game Results'!AD556+'Game Results'!AD855+'Game Results'!AD873+'Game Results'!AD1042+'Game Results'!AD1060+'Game Results'!AD1060+'Game Results'!AD1215+'Game Results'!AD747+'Game Results'!AD765+'Game Results'!AD1467+'Game Results'!AD1485+'Game Results'!AD1791+'Game Results'!AD1809)</f>
        <v>0</v>
      </c>
      <c r="AE21" s="85">
        <f>SUM('Game Results'!AE70+'Game Results'!AE88+'Game Results'!AE394+'Game Results'!AE412+'Game Results'!AE538+'Game Results'!AE556+'Game Results'!AE855+'Game Results'!AE873+'Game Results'!AE1042+'Game Results'!AE1060+'Game Results'!AE1060+'Game Results'!AE1215+'Game Results'!AE747+'Game Results'!AE765+'Game Results'!AE1467+'Game Results'!AE1485+'Game Results'!AE1791+'Game Results'!AE1809)</f>
        <v>0</v>
      </c>
      <c r="AF21" s="85">
        <f>SUM('Game Results'!AF70+'Game Results'!AF88+'Game Results'!AF394+'Game Results'!AF412+'Game Results'!AF538+'Game Results'!AF556+'Game Results'!AF855+'Game Results'!AF873+'Game Results'!AF1042+'Game Results'!AF1060+'Game Results'!AF1060+'Game Results'!AF1215+'Game Results'!AF747+'Game Results'!AF765+'Game Results'!AF1467+'Game Results'!AF1485+'Game Results'!AF1791+'Game Results'!AF1809)</f>
        <v>0</v>
      </c>
      <c r="AG21" s="85">
        <f>SUM('Game Results'!AG70+'Game Results'!AG88+'Game Results'!AG394+'Game Results'!AG412+'Game Results'!AG538+'Game Results'!AG556+'Game Results'!AG855+'Game Results'!AG873+'Game Results'!AG1042+'Game Results'!AG1060+'Game Results'!AG1060+'Game Results'!AG1215+'Game Results'!AG747+'Game Results'!AG765+'Game Results'!AG1467+'Game Results'!AG1485+'Game Results'!AG1791+'Game Results'!AG1809)</f>
        <v>0</v>
      </c>
      <c r="AH21" s="85">
        <f>SUM('Game Results'!AH70+'Game Results'!AH88+'Game Results'!AH394+'Game Results'!AH412+'Game Results'!AH538+'Game Results'!AH556+'Game Results'!AH855+'Game Results'!AH873+'Game Results'!AH1042+'Game Results'!AH1060+'Game Results'!AH1060+'Game Results'!AH1215+'Game Results'!AH747+'Game Results'!AH765+'Game Results'!AH1467+'Game Results'!AH1485+'Game Results'!AH1791+'Game Results'!AH1809)</f>
        <v>0</v>
      </c>
    </row>
    <row r="22">
      <c r="A22" s="83" t="s">
        <v>53</v>
      </c>
      <c r="B22" s="84" t="s">
        <v>197</v>
      </c>
      <c r="C22" s="85">
        <f>SUM('Game Results'!C71+'Game Results'!C89+'Game Results'!C395+'Game Results'!C413+'Game Results'!C539+'Game Results'!C557+'Game Results'!C856+'Game Results'!C874+'Game Results'!C1043+'Game Results'!C1061+'Game Results'!C1061+'Game Results'!C1216+'Game Results'!C748+'Game Results'!C766+'Game Results'!C1468+'Game Results'!C1486+'Game Results'!C1792+'Game Results'!C1810)</f>
        <v>2</v>
      </c>
      <c r="D22" s="85">
        <f>SUM('Game Results'!D71+'Game Results'!D89+'Game Results'!D395+'Game Results'!D413+'Game Results'!D539+'Game Results'!D557+'Game Results'!D856+'Game Results'!D874+'Game Results'!D1043+'Game Results'!D1061+'Game Results'!D1061+'Game Results'!D1216+'Game Results'!D748+'Game Results'!D766+'Game Results'!D1468+'Game Results'!D1486+'Game Results'!D1792+'Game Results'!D1810)</f>
        <v>0</v>
      </c>
      <c r="E22" s="86">
        <f>SUM('Game Results'!E71+'Game Results'!E89+'Game Results'!E395+'Game Results'!E413+'Game Results'!E539+'Game Results'!E557+'Game Results'!E856+'Game Results'!E874+'Game Results'!E1043+'Game Results'!E1061+'Game Results'!E1061+'Game Results'!E1216+'Game Results'!E748+'Game Results'!E766+'Game Results'!E1468+'Game Results'!E1486+'Game Results'!E1792+'Game Results'!E1810)</f>
        <v>36</v>
      </c>
      <c r="F22" s="85">
        <f>SUM('Game Results'!F71+'Game Results'!F89+'Game Results'!F395+'Game Results'!F413+'Game Results'!F539+'Game Results'!F557+'Game Results'!F856+'Game Results'!F874+'Game Results'!F1043+'Game Results'!F1061+'Game Results'!F1061+'Game Results'!F1216+'Game Results'!F748+'Game Results'!F766+'Game Results'!F1468+'Game Results'!F1486+'Game Results'!F1792+'Game Results'!F1810)</f>
        <v>0</v>
      </c>
      <c r="G22" s="85">
        <f>SUM('Game Results'!G71+'Game Results'!G89+'Game Results'!G395+'Game Results'!G413+'Game Results'!G539+'Game Results'!G557+'Game Results'!G856+'Game Results'!G874+'Game Results'!G1043+'Game Results'!G1061+'Game Results'!G1061+'Game Results'!G1216+'Game Results'!G748+'Game Results'!G766+'Game Results'!G1468+'Game Results'!G1486+'Game Results'!G1792+'Game Results'!G1810)</f>
        <v>102</v>
      </c>
      <c r="H22" s="85">
        <f>SUM('Game Results'!H71+'Game Results'!H89+'Game Results'!H395+'Game Results'!H413+'Game Results'!H539+'Game Results'!H557+'Game Results'!H856+'Game Results'!H874+'Game Results'!H1043+'Game Results'!H1061+'Game Results'!H1061+'Game Results'!H1216+'Game Results'!H748+'Game Results'!H766+'Game Results'!H1468+'Game Results'!H1486+'Game Results'!H1792+'Game Results'!H1810)</f>
        <v>3</v>
      </c>
      <c r="I22" s="85">
        <f>SUM('Game Results'!I71+'Game Results'!I89+'Game Results'!I395+'Game Results'!I413+'Game Results'!I539+'Game Results'!I557+'Game Results'!I856+'Game Results'!I874+'Game Results'!I1043+'Game Results'!I1061+'Game Results'!I1061+'Game Results'!I1216+'Game Results'!I748+'Game Results'!I766+'Game Results'!I1468+'Game Results'!I1486+'Game Results'!I1792+'Game Results'!I1810)</f>
        <v>115</v>
      </c>
      <c r="J22" s="85">
        <f>SUM('Game Results'!J71+'Game Results'!J89+'Game Results'!J395+'Game Results'!J413+'Game Results'!J539+'Game Results'!J557+'Game Results'!J856+'Game Results'!J874+'Game Results'!J1043+'Game Results'!J1061+'Game Results'!J1061+'Game Results'!J1216+'Game Results'!J748+'Game Results'!J766+'Game Results'!J1468+'Game Results'!J1486+'Game Results'!J1792+'Game Results'!J1810)</f>
        <v>-13</v>
      </c>
      <c r="K22" s="87">
        <f t="shared" si="1"/>
        <v>0.8869565217</v>
      </c>
      <c r="L22" s="85">
        <f>SUM('Game Results'!L71+'Game Results'!L89+'Game Results'!L395+'Game Results'!L413+'Game Results'!L539+'Game Results'!L557+'Game Results'!L856+'Game Results'!L874+'Game Results'!L1043+'Game Results'!L1061+'Game Results'!L1061+'Game Results'!L1216+'Game Results'!L748+'Game Results'!L766+'Game Results'!L1468+'Game Results'!L1486+'Game Results'!L1792+'Game Results'!L1810)</f>
        <v>30</v>
      </c>
      <c r="M22" s="85">
        <f>SUM('Game Results'!M71+'Game Results'!M89+'Game Results'!M395+'Game Results'!M413+'Game Results'!M539+'Game Results'!M557+'Game Results'!M856+'Game Results'!M874+'Game Results'!M1043+'Game Results'!M1061+'Game Results'!M1061+'Game Results'!M1216+'Game Results'!M748+'Game Results'!M766+'Game Results'!M1468+'Game Results'!M1486+'Game Results'!M1792+'Game Results'!M1810)</f>
        <v>138</v>
      </c>
      <c r="N22" s="85">
        <f>SUM('Game Results'!N71+'Game Results'!N89+'Game Results'!N395+'Game Results'!N413+'Game Results'!N539+'Game Results'!N557+'Game Results'!N856+'Game Results'!N874+'Game Results'!N1043+'Game Results'!N1061+'Game Results'!N1061+'Game Results'!N1216+'Game Results'!N748+'Game Results'!N766+'Game Results'!N1468+'Game Results'!N1486+'Game Results'!N1792+'Game Results'!N1810)</f>
        <v>2</v>
      </c>
      <c r="O22" s="88">
        <f>SUM('Game Results'!O71+'Game Results'!O89+'Game Results'!O395+'Game Results'!O413+'Game Results'!O539+'Game Results'!O557+'Game Results'!O856+'Game Results'!O874+'Game Results'!O1043+'Game Results'!O1061+'Game Results'!O1061+'Game Results'!O1216+'Game Results'!O748+'Game Results'!O766+'Game Results'!O1468+'Game Results'!O1486+'Game Results'!O1792+'Game Results'!O1810)</f>
        <v>36</v>
      </c>
      <c r="P22" s="85">
        <f>SUM('Game Results'!P71+'Game Results'!P89+'Game Results'!P395+'Game Results'!P413+'Game Results'!P539+'Game Results'!P557+'Game Results'!P856+'Game Results'!P874+'Game Results'!P1043+'Game Results'!P1061+'Game Results'!P1061+'Game Results'!P1216+'Game Results'!P748+'Game Results'!P766+'Game Results'!P1468+'Game Results'!P1486+'Game Results'!P1792+'Game Results'!P1810)</f>
        <v>7</v>
      </c>
      <c r="Q22" s="85">
        <f>SUM('Game Results'!Q71+'Game Results'!Q89+'Game Results'!Q395+'Game Results'!Q413+'Game Results'!Q539+'Game Results'!Q557+'Game Results'!Q856+'Game Results'!Q874+'Game Results'!Q1043+'Game Results'!Q1061+'Game Results'!Q1061+'Game Results'!Q1216+'Game Results'!Q748+'Game Results'!Q766+'Game Results'!Q1468+'Game Results'!Q1486+'Game Results'!Q1792+'Game Results'!Q1810)</f>
        <v>3</v>
      </c>
      <c r="R22" s="85">
        <f>SUM('Game Results'!R71+'Game Results'!R89+'Game Results'!R395+'Game Results'!R413+'Game Results'!R539+'Game Results'!R557+'Game Results'!R856+'Game Results'!R874+'Game Results'!R1043+'Game Results'!R1061+'Game Results'!R1061+'Game Results'!R1216+'Game Results'!R748+'Game Results'!R766+'Game Results'!R1468+'Game Results'!R1486+'Game Results'!R1792+'Game Results'!R1810)</f>
        <v>2</v>
      </c>
      <c r="S22" s="85">
        <f>SUM('Game Results'!S71+'Game Results'!S89+'Game Results'!S395+'Game Results'!S413+'Game Results'!S539+'Game Results'!S557+'Game Results'!S856+'Game Results'!S874+'Game Results'!S1043+'Game Results'!S1061+'Game Results'!S1061+'Game Results'!S1216+'Game Results'!S748+'Game Results'!S766+'Game Results'!S1468+'Game Results'!S1486+'Game Results'!S1792+'Game Results'!S1810)</f>
        <v>3</v>
      </c>
      <c r="T22" s="85">
        <f>SUM('Game Results'!T71+'Game Results'!T89+'Game Results'!T395+'Game Results'!T413+'Game Results'!T539+'Game Results'!T557+'Game Results'!T856+'Game Results'!T874+'Game Results'!T1043+'Game Results'!T1061+'Game Results'!T1061+'Game Results'!T1216+'Game Results'!T748+'Game Results'!T766+'Game Results'!T1468+'Game Results'!T1486+'Game Results'!T1792+'Game Results'!T1810)</f>
        <v>14</v>
      </c>
      <c r="U22" s="85">
        <f>SUM('Game Results'!U71+'Game Results'!U89+'Game Results'!U395+'Game Results'!U413+'Game Results'!U539+'Game Results'!U557+'Game Results'!U856+'Game Results'!U874+'Game Results'!U1043+'Game Results'!U1061+'Game Results'!U1061+'Game Results'!U1216+'Game Results'!U748+'Game Results'!U766+'Game Results'!U1468+'Game Results'!U1486+'Game Results'!U1792+'Game Results'!U1810)</f>
        <v>4</v>
      </c>
      <c r="V22" s="85">
        <f>SUM('Game Results'!V71+'Game Results'!V89+'Game Results'!V395+'Game Results'!V413+'Game Results'!V539+'Game Results'!V557+'Game Results'!V856+'Game Results'!V874+'Game Results'!V1043+'Game Results'!V1061+'Game Results'!V1061+'Game Results'!V1216+'Game Results'!V748+'Game Results'!V766+'Game Results'!V1468+'Game Results'!V1486+'Game Results'!V1792+'Game Results'!V1810)</f>
        <v>2</v>
      </c>
      <c r="W22" s="85">
        <f>SUM('Game Results'!W71+'Game Results'!W89+'Game Results'!W395+'Game Results'!W413+'Game Results'!W539+'Game Results'!W557+'Game Results'!W856+'Game Results'!W874+'Game Results'!W1043+'Game Results'!W1061+'Game Results'!W1061+'Game Results'!W1216+'Game Results'!W748+'Game Results'!W766+'Game Results'!W1468+'Game Results'!W1486+'Game Results'!W1792+'Game Results'!W1810)</f>
        <v>2</v>
      </c>
      <c r="X22" s="85">
        <f>SUM('Game Results'!X71+'Game Results'!X89+'Game Results'!X395+'Game Results'!X413+'Game Results'!X539+'Game Results'!X557+'Game Results'!X856+'Game Results'!X874+'Game Results'!X1043+'Game Results'!X1061+'Game Results'!X1061+'Game Results'!X1216+'Game Results'!X748+'Game Results'!X766+'Game Results'!X1468+'Game Results'!X1486+'Game Results'!X1792+'Game Results'!X1810)</f>
        <v>1</v>
      </c>
      <c r="Y22" s="85">
        <f>SUM('Game Results'!Y71+'Game Results'!Y89+'Game Results'!Y395+'Game Results'!Y413+'Game Results'!Y539+'Game Results'!Y557+'Game Results'!Y856+'Game Results'!Y874+'Game Results'!Y1043+'Game Results'!Y1061+'Game Results'!Y1061+'Game Results'!Y1216+'Game Results'!Y748+'Game Results'!Y766+'Game Results'!Y1468+'Game Results'!Y1486+'Game Results'!Y1792+'Game Results'!Y1810)</f>
        <v>1</v>
      </c>
      <c r="Z22" s="85">
        <f>SUM('Game Results'!Z71+'Game Results'!Z89+'Game Results'!Z395+'Game Results'!Z413+'Game Results'!Z539+'Game Results'!Z557+'Game Results'!Z856+'Game Results'!Z874+'Game Results'!Z1043+'Game Results'!Z1061+'Game Results'!Z1061+'Game Results'!Z1216+'Game Results'!Z748+'Game Results'!Z766+'Game Results'!Z1468+'Game Results'!Z1486+'Game Results'!Z1792+'Game Results'!Z1810)</f>
        <v>1</v>
      </c>
      <c r="AA22" s="85">
        <f>SUM('Game Results'!AA71+'Game Results'!AA89+'Game Results'!AA395+'Game Results'!AA413+'Game Results'!AA539+'Game Results'!AA557+'Game Results'!AA856+'Game Results'!AA874+'Game Results'!AA1043+'Game Results'!AA1061+'Game Results'!AA1061+'Game Results'!AA1216+'Game Results'!AA748+'Game Results'!AA766+'Game Results'!AA1468+'Game Results'!AA1486+'Game Results'!AA1792+'Game Results'!AA1810)</f>
        <v>1</v>
      </c>
      <c r="AB22" s="85">
        <f>SUM('Game Results'!AB71+'Game Results'!AB89+'Game Results'!AB395+'Game Results'!AB413+'Game Results'!AB539+'Game Results'!AB557+'Game Results'!AB856+'Game Results'!AB874+'Game Results'!AB1043+'Game Results'!AB1061+'Game Results'!AB1061+'Game Results'!AB1216+'Game Results'!AB748+'Game Results'!AB766+'Game Results'!AB1468+'Game Results'!AB1486+'Game Results'!AB1792+'Game Results'!AB1810)</f>
        <v>1</v>
      </c>
      <c r="AC22" s="85">
        <f>SUM('Game Results'!AC71+'Game Results'!AC89+'Game Results'!AC395+'Game Results'!AC413+'Game Results'!AC539+'Game Results'!AC557+'Game Results'!AC856+'Game Results'!AC874+'Game Results'!AC1043+'Game Results'!AC1061+'Game Results'!AC1061+'Game Results'!AC1216+'Game Results'!AC748+'Game Results'!AC766+'Game Results'!AC1468+'Game Results'!AC1486+'Game Results'!AC1792+'Game Results'!AC1810)</f>
        <v>3</v>
      </c>
      <c r="AD22" s="85">
        <f>SUM('Game Results'!AD71+'Game Results'!AD89+'Game Results'!AD395+'Game Results'!AD413+'Game Results'!AD539+'Game Results'!AD557+'Game Results'!AD856+'Game Results'!AD874+'Game Results'!AD1043+'Game Results'!AD1061+'Game Results'!AD1061+'Game Results'!AD1216+'Game Results'!AD748+'Game Results'!AD766+'Game Results'!AD1468+'Game Results'!AD1486+'Game Results'!AD1792+'Game Results'!AD1810)</f>
        <v>1</v>
      </c>
      <c r="AE22" s="85">
        <f>SUM('Game Results'!AE71+'Game Results'!AE89+'Game Results'!AE395+'Game Results'!AE413+'Game Results'!AE539+'Game Results'!AE557+'Game Results'!AE856+'Game Results'!AE874+'Game Results'!AE1043+'Game Results'!AE1061+'Game Results'!AE1061+'Game Results'!AE1216+'Game Results'!AE748+'Game Results'!AE766+'Game Results'!AE1468+'Game Results'!AE1486+'Game Results'!AE1792+'Game Results'!AE1810)</f>
        <v>0</v>
      </c>
      <c r="AF22" s="85">
        <f>SUM('Game Results'!AF71+'Game Results'!AF89+'Game Results'!AF395+'Game Results'!AF413+'Game Results'!AF539+'Game Results'!AF557+'Game Results'!AF856+'Game Results'!AF874+'Game Results'!AF1043+'Game Results'!AF1061+'Game Results'!AF1061+'Game Results'!AF1216+'Game Results'!AF748+'Game Results'!AF766+'Game Results'!AF1468+'Game Results'!AF1486+'Game Results'!AF1792+'Game Results'!AF1810)</f>
        <v>0</v>
      </c>
      <c r="AG22" s="85">
        <f>SUM('Game Results'!AG71+'Game Results'!AG89+'Game Results'!AG395+'Game Results'!AG413+'Game Results'!AG539+'Game Results'!AG557+'Game Results'!AG856+'Game Results'!AG874+'Game Results'!AG1043+'Game Results'!AG1061+'Game Results'!AG1061+'Game Results'!AG1216+'Game Results'!AG748+'Game Results'!AG766+'Game Results'!AG1468+'Game Results'!AG1486+'Game Results'!AG1792+'Game Results'!AG1810)</f>
        <v>0</v>
      </c>
      <c r="AH22" s="85">
        <f>SUM('Game Results'!AH71+'Game Results'!AH89+'Game Results'!AH395+'Game Results'!AH413+'Game Results'!AH539+'Game Results'!AH557+'Game Results'!AH856+'Game Results'!AH874+'Game Results'!AH1043+'Game Results'!AH1061+'Game Results'!AH1061+'Game Results'!AH1216+'Game Results'!AH748+'Game Results'!AH766+'Game Results'!AH1468+'Game Results'!AH1486+'Game Results'!AH1792+'Game Results'!AH1810)</f>
        <v>0</v>
      </c>
    </row>
    <row r="23">
      <c r="A23" s="89" t="s">
        <v>185</v>
      </c>
      <c r="B23" s="90"/>
      <c r="C23" s="90">
        <f t="shared" ref="C23:E23" si="8">SUM(C17:C22)/4</f>
        <v>18</v>
      </c>
      <c r="D23" s="90">
        <f t="shared" si="8"/>
        <v>6</v>
      </c>
      <c r="E23" s="91">
        <f t="shared" si="8"/>
        <v>526.5208333</v>
      </c>
      <c r="F23" s="91">
        <f t="shared" ref="F23:J23" si="9">SUM(F17:F22)</f>
        <v>57</v>
      </c>
      <c r="G23" s="91">
        <f t="shared" si="9"/>
        <v>7385</v>
      </c>
      <c r="H23" s="91">
        <f t="shared" si="9"/>
        <v>39</v>
      </c>
      <c r="I23" s="91">
        <f t="shared" si="9"/>
        <v>7310</v>
      </c>
      <c r="J23" s="91">
        <f t="shared" si="9"/>
        <v>75</v>
      </c>
      <c r="K23" s="92">
        <f t="shared" si="1"/>
        <v>1.010259918</v>
      </c>
      <c r="L23" s="91">
        <f>SUM(L17:L22)/4</f>
        <v>286.25</v>
      </c>
      <c r="M23" s="91">
        <f>SUM(M17:M22)</f>
        <v>9551</v>
      </c>
      <c r="N23" s="91">
        <f>SUM(N17:N22)/4</f>
        <v>18</v>
      </c>
      <c r="O23" s="91">
        <f>SUM(O16:O22)</f>
        <v>5552.316667</v>
      </c>
      <c r="P23" s="91">
        <f t="shared" ref="P23:AH23" si="10">SUM(P17:P22)</f>
        <v>317</v>
      </c>
      <c r="Q23" s="91">
        <f t="shared" si="10"/>
        <v>196</v>
      </c>
      <c r="R23" s="91">
        <f t="shared" si="10"/>
        <v>417</v>
      </c>
      <c r="S23" s="91">
        <f t="shared" si="10"/>
        <v>129</v>
      </c>
      <c r="T23" s="91">
        <f t="shared" si="10"/>
        <v>1068</v>
      </c>
      <c r="U23" s="91">
        <f t="shared" si="10"/>
        <v>200</v>
      </c>
      <c r="V23" s="91">
        <f t="shared" si="10"/>
        <v>48</v>
      </c>
      <c r="W23" s="91">
        <f t="shared" si="10"/>
        <v>11</v>
      </c>
      <c r="X23" s="91">
        <f t="shared" si="10"/>
        <v>2</v>
      </c>
      <c r="Y23" s="91">
        <f t="shared" si="10"/>
        <v>2</v>
      </c>
      <c r="Z23" s="91">
        <f t="shared" si="10"/>
        <v>1</v>
      </c>
      <c r="AA23" s="91">
        <f t="shared" si="10"/>
        <v>1</v>
      </c>
      <c r="AB23" s="91">
        <f t="shared" si="10"/>
        <v>1</v>
      </c>
      <c r="AC23" s="91">
        <f t="shared" si="10"/>
        <v>189</v>
      </c>
      <c r="AD23" s="91">
        <f t="shared" si="10"/>
        <v>5</v>
      </c>
      <c r="AE23" s="91">
        <f t="shared" si="10"/>
        <v>0</v>
      </c>
      <c r="AF23" s="91">
        <f t="shared" si="10"/>
        <v>0</v>
      </c>
      <c r="AG23" s="91">
        <f t="shared" si="10"/>
        <v>3</v>
      </c>
      <c r="AH23" s="91">
        <f t="shared" si="10"/>
        <v>14</v>
      </c>
    </row>
    <row r="24">
      <c r="A24" s="83" t="s">
        <v>49</v>
      </c>
      <c r="B24" s="84" t="s">
        <v>198</v>
      </c>
      <c r="C24" s="85">
        <f>SUM('Game Results'!C167+'Game Results'!C192+'Game Results'!C239+'Game Results'!C383+'Game Results'!C401+'Game Results'!C570+'Game Results'!C588+'Game Results'!C815+'Game Results'!C833+'Game Results'!C1103+'Game Results'!C1121+'Game Results'!C1301+'Game Results'!C1283+'Game Results'!C1427+'Game Results'!C1445+'Game Results'!C1499+'Game Results'!C1517+'Game Results'!C264)</f>
        <v>18</v>
      </c>
      <c r="D24" s="85">
        <f>SUM('Game Results'!D167+'Game Results'!D192+'Game Results'!D239+'Game Results'!D383+'Game Results'!D401+'Game Results'!D570+'Game Results'!D588+'Game Results'!D815+'Game Results'!D833+'Game Results'!D1103+'Game Results'!D1121+'Game Results'!D1301+'Game Results'!D1283+'Game Results'!D1427+'Game Results'!D1445+'Game Results'!D1499+'Game Results'!D1517+'Game Results'!D264)</f>
        <v>10</v>
      </c>
      <c r="E24" s="86">
        <f>SUM('Game Results'!E167+'Game Results'!E192+'Game Results'!E239+'Game Results'!E383+'Game Results'!E401+'Game Results'!E570+'Game Results'!E588+'Game Results'!E815+'Game Results'!E833+'Game Results'!E1103+'Game Results'!E1121+'Game Results'!E1301+'Game Results'!E1283+'Game Results'!E1427+'Game Results'!E1445+'Game Results'!E1499+'Game Results'!E1517+'Game Results'!E264)</f>
        <v>498.2833333</v>
      </c>
      <c r="F24" s="85">
        <f>SUM('Game Results'!F167+'Game Results'!F192+'Game Results'!F239+'Game Results'!F383+'Game Results'!F401+'Game Results'!F570+'Game Results'!F588+'Game Results'!F815+'Game Results'!F833+'Game Results'!F1103+'Game Results'!F1121+'Game Results'!F1301+'Game Results'!F1283+'Game Results'!F1427+'Game Results'!F1445+'Game Results'!F1499+'Game Results'!F1517+'Game Results'!F264)</f>
        <v>13</v>
      </c>
      <c r="G24" s="85">
        <f>SUM('Game Results'!G167+'Game Results'!G192+'Game Results'!G239+'Game Results'!G383+'Game Results'!G401+'Game Results'!G570+'Game Results'!G588+'Game Results'!G815+'Game Results'!G833+'Game Results'!G1103+'Game Results'!G1121+'Game Results'!G1301+'Game Results'!G1283+'Game Results'!G1427+'Game Results'!G1445+'Game Results'!G1499+'Game Results'!G1517+'Game Results'!G264)</f>
        <v>1594</v>
      </c>
      <c r="H24" s="85">
        <f>SUM('Game Results'!H167+'Game Results'!H192+'Game Results'!H239+'Game Results'!H383+'Game Results'!H401+'Game Results'!H570+'Game Results'!H588+'Game Results'!H815+'Game Results'!H833+'Game Results'!H1103+'Game Results'!H1121+'Game Results'!H1301+'Game Results'!H1283+'Game Results'!H1427+'Game Results'!H1445+'Game Results'!H1499+'Game Results'!H1517+'Game Results'!H264)</f>
        <v>12</v>
      </c>
      <c r="I24" s="85">
        <f>SUM('Game Results'!I167+'Game Results'!I192+'Game Results'!I239+'Game Results'!I383+'Game Results'!I401+'Game Results'!I570+'Game Results'!I588+'Game Results'!I815+'Game Results'!I833+'Game Results'!I1103+'Game Results'!I1121+'Game Results'!I1301+'Game Results'!I1283+'Game Results'!I1427+'Game Results'!I1445+'Game Results'!I1499+'Game Results'!I1517+'Game Results'!I264)</f>
        <v>1585</v>
      </c>
      <c r="J24" s="85">
        <f>SUM('Game Results'!J167+'Game Results'!J192+'Game Results'!J239+'Game Results'!J383+'Game Results'!J401+'Game Results'!J570+'Game Results'!J588+'Game Results'!J815+'Game Results'!J833+'Game Results'!J1103+'Game Results'!J1121+'Game Results'!J1301+'Game Results'!J1283+'Game Results'!J1427+'Game Results'!J1445+'Game Results'!J1499+'Game Results'!J1517+'Game Results'!J264)</f>
        <v>9</v>
      </c>
      <c r="K24" s="87">
        <f t="shared" si="1"/>
        <v>1.005678233</v>
      </c>
      <c r="L24" s="85">
        <f>SUM('Game Results'!L167+'Game Results'!L192+'Game Results'!L239+'Game Results'!L383+'Game Results'!L401+'Game Results'!L570+'Game Results'!L588+'Game Results'!L815+'Game Results'!L833+'Game Results'!L1103+'Game Results'!L1121+'Game Results'!L1301+'Game Results'!L1283+'Game Results'!L1427+'Game Results'!L1445+'Game Results'!L1499+'Game Results'!L1517+'Game Results'!L264)</f>
        <v>302</v>
      </c>
      <c r="M24" s="85">
        <f>SUM('Game Results'!M167+'Game Results'!M192+'Game Results'!M239+'Game Results'!M383+'Game Results'!M401+'Game Results'!M570+'Game Results'!M588+'Game Results'!M815+'Game Results'!M833+'Game Results'!M1103+'Game Results'!M1121+'Game Results'!M1301+'Game Results'!M1283+'Game Results'!M1427+'Game Results'!M1445+'Game Results'!M1499+'Game Results'!M1517+'Game Results'!M264)</f>
        <v>1845</v>
      </c>
      <c r="N24" s="85">
        <f>SUM('Game Results'!N167+'Game Results'!N192+'Game Results'!N239+'Game Results'!N383+'Game Results'!N401+'Game Results'!N570+'Game Results'!N588+'Game Results'!N815+'Game Results'!N833+'Game Results'!N1103+'Game Results'!N1121+'Game Results'!N1301+'Game Results'!N1283+'Game Results'!N1427+'Game Results'!N1445+'Game Results'!N1499+'Game Results'!N1517+'Game Results'!N264)</f>
        <v>17</v>
      </c>
      <c r="O24" s="88">
        <f>SUM('Game Results'!O167+'Game Results'!O192+'Game Results'!O239+'Game Results'!O383+'Game Results'!O401+'Game Results'!O570+'Game Results'!O588+'Game Results'!O815+'Game Results'!O833+'Game Results'!O1103+'Game Results'!O1121+'Game Results'!O1301+'Game Results'!O1283+'Game Results'!O1427+'Game Results'!O1445+'Game Results'!O1499+'Game Results'!O1517+'Game Results'!O264)</f>
        <v>498.2833333</v>
      </c>
      <c r="P24" s="85">
        <f>SUM('Game Results'!P167+'Game Results'!P192+'Game Results'!P239+'Game Results'!P383+'Game Results'!P401+'Game Results'!P570+'Game Results'!P588+'Game Results'!P815+'Game Results'!P833+'Game Results'!P1103+'Game Results'!P1121+'Game Results'!P1301+'Game Results'!P1283+'Game Results'!P1427+'Game Results'!P1445+'Game Results'!P1499+'Game Results'!P1517+'Game Results'!P264)</f>
        <v>54</v>
      </c>
      <c r="Q24" s="85">
        <f>SUM('Game Results'!Q167+'Game Results'!Q192+'Game Results'!Q239+'Game Results'!Q383+'Game Results'!Q401+'Game Results'!Q570+'Game Results'!Q588+'Game Results'!Q815+'Game Results'!Q833+'Game Results'!Q1103+'Game Results'!Q1121+'Game Results'!Q1301+'Game Results'!Q1283+'Game Results'!Q1427+'Game Results'!Q1445+'Game Results'!Q1499+'Game Results'!Q1517+'Game Results'!Q264)</f>
        <v>22</v>
      </c>
      <c r="R24" s="85">
        <f>SUM('Game Results'!R167+'Game Results'!R192+'Game Results'!R239+'Game Results'!R383+'Game Results'!R401+'Game Results'!R570+'Game Results'!R588+'Game Results'!R815+'Game Results'!R833+'Game Results'!R1103+'Game Results'!R1121+'Game Results'!R1301+'Game Results'!R1283+'Game Results'!R1427+'Game Results'!R1445+'Game Results'!R1499+'Game Results'!R1517+'Game Results'!R264)</f>
        <v>116</v>
      </c>
      <c r="S24" s="85">
        <f>SUM('Game Results'!S167+'Game Results'!S192+'Game Results'!S239+'Game Results'!S383+'Game Results'!S401+'Game Results'!S570+'Game Results'!S588+'Game Results'!S815+'Game Results'!S833+'Game Results'!S1103+'Game Results'!S1121+'Game Results'!S1301+'Game Results'!S1283+'Game Results'!S1427+'Game Results'!S1445+'Game Results'!S1499+'Game Results'!S1517+'Game Results'!S264)</f>
        <v>35</v>
      </c>
      <c r="T24" s="85">
        <f>SUM('Game Results'!T167+'Game Results'!T192+'Game Results'!T239+'Game Results'!T383+'Game Results'!T401+'Game Results'!T570+'Game Results'!T588+'Game Results'!T815+'Game Results'!T833+'Game Results'!T1103+'Game Results'!T1121+'Game Results'!T1301+'Game Results'!T1283+'Game Results'!T1427+'Game Results'!T1445+'Game Results'!T1499+'Game Results'!T1517+'Game Results'!T264)</f>
        <v>192</v>
      </c>
      <c r="U24" s="85">
        <f>SUM('Game Results'!U167+'Game Results'!U192+'Game Results'!U239+'Game Results'!U383+'Game Results'!U401+'Game Results'!U570+'Game Results'!U588+'Game Results'!U815+'Game Results'!U833+'Game Results'!U1103+'Game Results'!U1121+'Game Results'!U1301+'Game Results'!U1283+'Game Results'!U1427+'Game Results'!U1445+'Game Results'!U1499+'Game Results'!U1517+'Game Results'!U264)</f>
        <v>35</v>
      </c>
      <c r="V24" s="85">
        <f>SUM('Game Results'!V167+'Game Results'!V192+'Game Results'!V239+'Game Results'!V383+'Game Results'!V401+'Game Results'!V570+'Game Results'!V588+'Game Results'!V815+'Game Results'!V833+'Game Results'!V1103+'Game Results'!V1121+'Game Results'!V1301+'Game Results'!V1283+'Game Results'!V1427+'Game Results'!V1445+'Game Results'!V1499+'Game Results'!V1517+'Game Results'!V264)</f>
        <v>8</v>
      </c>
      <c r="W24" s="85">
        <f>SUM('Game Results'!W167+'Game Results'!W192+'Game Results'!W239+'Game Results'!W383+'Game Results'!W401+'Game Results'!W570+'Game Results'!W588+'Game Results'!W815+'Game Results'!W833+'Game Results'!W1103+'Game Results'!W1121+'Game Results'!W1301+'Game Results'!W1283+'Game Results'!W1427+'Game Results'!W1445+'Game Results'!W1499+'Game Results'!W1517+'Game Results'!W264)</f>
        <v>3</v>
      </c>
      <c r="X24" s="85">
        <f>SUM('Game Results'!X167+'Game Results'!X192+'Game Results'!X239+'Game Results'!X383+'Game Results'!X401+'Game Results'!X570+'Game Results'!X588+'Game Results'!X815+'Game Results'!X833+'Game Results'!X1103+'Game Results'!X1121+'Game Results'!X1301+'Game Results'!X1283+'Game Results'!X1427+'Game Results'!X1445+'Game Results'!X1499+'Game Results'!X1517+'Game Results'!X264)</f>
        <v>2</v>
      </c>
      <c r="Y24" s="85">
        <f>SUM('Game Results'!Y167+'Game Results'!Y192+'Game Results'!Y239+'Game Results'!Y383+'Game Results'!Y401+'Game Results'!Y570+'Game Results'!Y588+'Game Results'!Y815+'Game Results'!Y833+'Game Results'!Y1103+'Game Results'!Y1121+'Game Results'!Y1301+'Game Results'!Y1283+'Game Results'!Y1427+'Game Results'!Y1445+'Game Results'!Y1499+'Game Results'!Y1517+'Game Results'!Y264)</f>
        <v>0</v>
      </c>
      <c r="Z24" s="85">
        <f>SUM('Game Results'!Z167+'Game Results'!Z192+'Game Results'!Z239+'Game Results'!Z383+'Game Results'!Z401+'Game Results'!Z570+'Game Results'!Z588+'Game Results'!Z815+'Game Results'!Z833+'Game Results'!Z1103+'Game Results'!Z1121+'Game Results'!Z1301+'Game Results'!Z1283+'Game Results'!Z1427+'Game Results'!Z1445+'Game Results'!Z1499+'Game Results'!Z1517+'Game Results'!Z264)</f>
        <v>0</v>
      </c>
      <c r="AA24" s="85">
        <f>SUM('Game Results'!AA167+'Game Results'!AA192+'Game Results'!AA239+'Game Results'!AA383+'Game Results'!AA401+'Game Results'!AA570+'Game Results'!AA588+'Game Results'!AA815+'Game Results'!AA833+'Game Results'!AA1103+'Game Results'!AA1121+'Game Results'!AA1301+'Game Results'!AA1283+'Game Results'!AA1427+'Game Results'!AA1445+'Game Results'!AA1499+'Game Results'!AA1517+'Game Results'!AA264)</f>
        <v>0</v>
      </c>
      <c r="AB24" s="85">
        <f>SUM('Game Results'!AB167+'Game Results'!AB192+'Game Results'!AB239+'Game Results'!AB383+'Game Results'!AB401+'Game Results'!AB570+'Game Results'!AB588+'Game Results'!AB815+'Game Results'!AB833+'Game Results'!AB1103+'Game Results'!AB1121+'Game Results'!AB1301+'Game Results'!AB1283+'Game Results'!AB1427+'Game Results'!AB1445+'Game Results'!AB1499+'Game Results'!AB1517+'Game Results'!AB264)</f>
        <v>0</v>
      </c>
      <c r="AC24" s="85">
        <f>SUM('Game Results'!AC167+'Game Results'!AC192+'Game Results'!AC239+'Game Results'!AC383+'Game Results'!AC401+'Game Results'!AC570+'Game Results'!AC588+'Game Results'!AC815+'Game Results'!AC833+'Game Results'!AC1103+'Game Results'!AC1121+'Game Results'!AC1301+'Game Results'!AC1283+'Game Results'!AC1427+'Game Results'!AC1445+'Game Results'!AC1499+'Game Results'!AC1517+'Game Results'!AC264)</f>
        <v>34</v>
      </c>
      <c r="AD24" s="85">
        <f>SUM('Game Results'!AD167+'Game Results'!AD192+'Game Results'!AD239+'Game Results'!AD383+'Game Results'!AD401+'Game Results'!AD570+'Game Results'!AD588+'Game Results'!AD815+'Game Results'!AD833+'Game Results'!AD1103+'Game Results'!AD1121+'Game Results'!AD1301+'Game Results'!AD1283+'Game Results'!AD1427+'Game Results'!AD1445+'Game Results'!AD1499+'Game Results'!AD1517+'Game Results'!AD264)</f>
        <v>1</v>
      </c>
      <c r="AE24" s="85">
        <f>SUM('Game Results'!AE167+'Game Results'!AE192+'Game Results'!AE239+'Game Results'!AE383+'Game Results'!AE401+'Game Results'!AE570+'Game Results'!AE588+'Game Results'!AE815+'Game Results'!AE833+'Game Results'!AE1103+'Game Results'!AE1121+'Game Results'!AE1301+'Game Results'!AE1283+'Game Results'!AE1427+'Game Results'!AE1445+'Game Results'!AE1499+'Game Results'!AE1517+'Game Results'!AE264)</f>
        <v>0</v>
      </c>
      <c r="AF24" s="85">
        <f>SUM('Game Results'!AF167+'Game Results'!AF192+'Game Results'!AF239+'Game Results'!AF383+'Game Results'!AF401+'Game Results'!AF570+'Game Results'!AF588+'Game Results'!AF815+'Game Results'!AF833+'Game Results'!AF1103+'Game Results'!AF1121+'Game Results'!AF1301+'Game Results'!AF1283+'Game Results'!AF1427+'Game Results'!AF1445+'Game Results'!AF1499+'Game Results'!AF1517+'Game Results'!AF264)</f>
        <v>0</v>
      </c>
      <c r="AG24" s="85">
        <f>SUM('Game Results'!AG167+'Game Results'!AG192+'Game Results'!AG239+'Game Results'!AG383+'Game Results'!AG401+'Game Results'!AG570+'Game Results'!AG588+'Game Results'!AG815+'Game Results'!AG833+'Game Results'!AG1103+'Game Results'!AG1121+'Game Results'!AG1301+'Game Results'!AG1283+'Game Results'!AG1427+'Game Results'!AG1445+'Game Results'!AG1499+'Game Results'!AG1517+'Game Results'!AG264)</f>
        <v>0</v>
      </c>
      <c r="AH24" s="85">
        <f>SUM('Game Results'!AH167+'Game Results'!AH192+'Game Results'!AH239+'Game Results'!AH383+'Game Results'!AH401+'Game Results'!AH570+'Game Results'!AH588+'Game Results'!AH815+'Game Results'!AH833+'Game Results'!AH1103+'Game Results'!AH1121+'Game Results'!AH1301+'Game Results'!AH1283+'Game Results'!AH1427+'Game Results'!AH1445+'Game Results'!AH1499+'Game Results'!AH1517+'Game Results'!AH264)</f>
        <v>0</v>
      </c>
    </row>
    <row r="25">
      <c r="A25" s="83" t="s">
        <v>49</v>
      </c>
      <c r="B25" s="84" t="s">
        <v>199</v>
      </c>
      <c r="C25" s="85">
        <f>SUM('Game Results'!C168+'Game Results'!C193+'Game Results'!C240+'Game Results'!C384+'Game Results'!C402+'Game Results'!C571+'Game Results'!C589+'Game Results'!C816+'Game Results'!C834+'Game Results'!C1104+'Game Results'!C1122+'Game Results'!C1302+'Game Results'!C1284+'Game Results'!C1428+'Game Results'!C1446+'Game Results'!C1500+'Game Results'!C1518+'Game Results'!C265)</f>
        <v>18</v>
      </c>
      <c r="D25" s="85">
        <f>SUM('Game Results'!D168+'Game Results'!D193+'Game Results'!D240+'Game Results'!D384+'Game Results'!D402+'Game Results'!D571+'Game Results'!D589+'Game Results'!D816+'Game Results'!D834+'Game Results'!D1104+'Game Results'!D1122+'Game Results'!D1302+'Game Results'!D1284+'Game Results'!D1428+'Game Results'!D1446+'Game Results'!D1500+'Game Results'!D1518+'Game Results'!D265)</f>
        <v>10</v>
      </c>
      <c r="E25" s="86">
        <f>SUM('Game Results'!E168+'Game Results'!E193+'Game Results'!E240+'Game Results'!E384+'Game Results'!E402+'Game Results'!E571+'Game Results'!E589+'Game Results'!E816+'Game Results'!E834+'Game Results'!E1104+'Game Results'!E1122+'Game Results'!E1302+'Game Results'!E1284+'Game Results'!E1428+'Game Results'!E1446+'Game Results'!E1500+'Game Results'!E1518+'Game Results'!E265)</f>
        <v>496.0333333</v>
      </c>
      <c r="F25" s="85">
        <f>SUM('Game Results'!F168+'Game Results'!F193+'Game Results'!F240+'Game Results'!F384+'Game Results'!F402+'Game Results'!F571+'Game Results'!F589+'Game Results'!F816+'Game Results'!F834+'Game Results'!F1104+'Game Results'!F1122+'Game Results'!F1302+'Game Results'!F1284+'Game Results'!F1428+'Game Results'!F1446+'Game Results'!F1500+'Game Results'!F1518+'Game Results'!F265)</f>
        <v>4</v>
      </c>
      <c r="G25" s="85">
        <f>SUM('Game Results'!G168+'Game Results'!G193+'Game Results'!G240+'Game Results'!G384+'Game Results'!G402+'Game Results'!G571+'Game Results'!G589+'Game Results'!G816+'Game Results'!G834+'Game Results'!G1104+'Game Results'!G1122+'Game Results'!G1302+'Game Results'!G1284+'Game Results'!G1428+'Game Results'!G1446+'Game Results'!G1500+'Game Results'!G1518+'Game Results'!G265)</f>
        <v>1785</v>
      </c>
      <c r="H25" s="85">
        <f>SUM('Game Results'!H168+'Game Results'!H193+'Game Results'!H240+'Game Results'!H384+'Game Results'!H402+'Game Results'!H571+'Game Results'!H589+'Game Results'!H816+'Game Results'!H834+'Game Results'!H1104+'Game Results'!H1122+'Game Results'!H1302+'Game Results'!H1284+'Game Results'!H1428+'Game Results'!H1446+'Game Results'!H1500+'Game Results'!H1518+'Game Results'!H265)</f>
        <v>9</v>
      </c>
      <c r="I25" s="85">
        <f>SUM('Game Results'!I168+'Game Results'!I193+'Game Results'!I240+'Game Results'!I384+'Game Results'!I402+'Game Results'!I571+'Game Results'!I589+'Game Results'!I816+'Game Results'!I834+'Game Results'!I1104+'Game Results'!I1122+'Game Results'!I1302+'Game Results'!I1284+'Game Results'!I1428+'Game Results'!I1446+'Game Results'!I1500+'Game Results'!I1518+'Game Results'!I265)</f>
        <v>1524</v>
      </c>
      <c r="J25" s="85">
        <f>SUM('Game Results'!J168+'Game Results'!J193+'Game Results'!J240+'Game Results'!J384+'Game Results'!J402+'Game Results'!J571+'Game Results'!J589+'Game Results'!J816+'Game Results'!J834+'Game Results'!J1104+'Game Results'!J1122+'Game Results'!J1302+'Game Results'!J1284+'Game Results'!J1428+'Game Results'!J1446+'Game Results'!J1500+'Game Results'!J1518+'Game Results'!J265)</f>
        <v>261</v>
      </c>
      <c r="K25" s="87">
        <f t="shared" si="1"/>
        <v>1.171259843</v>
      </c>
      <c r="L25" s="85">
        <f>SUM('Game Results'!L168+'Game Results'!L193+'Game Results'!L240+'Game Results'!L384+'Game Results'!L402+'Game Results'!L571+'Game Results'!L589+'Game Results'!L816+'Game Results'!L834+'Game Results'!L1104+'Game Results'!L1122+'Game Results'!L1302+'Game Results'!L1284+'Game Results'!L1428+'Game Results'!L1446+'Game Results'!L1500+'Game Results'!L1518+'Game Results'!L265)</f>
        <v>285</v>
      </c>
      <c r="M25" s="85">
        <f>SUM('Game Results'!M168+'Game Results'!M193+'Game Results'!M240+'Game Results'!M384+'Game Results'!M402+'Game Results'!M571+'Game Results'!M589+'Game Results'!M816+'Game Results'!M834+'Game Results'!M1104+'Game Results'!M1122+'Game Results'!M1302+'Game Results'!M1284+'Game Results'!M1428+'Game Results'!M1446+'Game Results'!M1500+'Game Results'!M1518+'Game Results'!M265)</f>
        <v>2091</v>
      </c>
      <c r="N25" s="85">
        <f>SUM('Game Results'!N168+'Game Results'!N193+'Game Results'!N240+'Game Results'!N384+'Game Results'!N402+'Game Results'!N571+'Game Results'!N589+'Game Results'!N816+'Game Results'!N834+'Game Results'!N1104+'Game Results'!N1122+'Game Results'!N1302+'Game Results'!N1284+'Game Results'!N1428+'Game Results'!N1446+'Game Results'!N1500+'Game Results'!N1518+'Game Results'!N265)</f>
        <v>17</v>
      </c>
      <c r="O25" s="88">
        <f>SUM('Game Results'!O168+'Game Results'!O193+'Game Results'!O240+'Game Results'!O384+'Game Results'!O402+'Game Results'!O571+'Game Results'!O589+'Game Results'!O816+'Game Results'!O834+'Game Results'!O1104+'Game Results'!O1122+'Game Results'!O1302+'Game Results'!O1284+'Game Results'!O1428+'Game Results'!O1446+'Game Results'!O1500+'Game Results'!O1518+'Game Results'!O265)</f>
        <v>496.0333333</v>
      </c>
      <c r="P25" s="85">
        <f>SUM('Game Results'!P168+'Game Results'!P193+'Game Results'!P240+'Game Results'!P384+'Game Results'!P402+'Game Results'!P571+'Game Results'!P589+'Game Results'!P816+'Game Results'!P834+'Game Results'!P1104+'Game Results'!P1122+'Game Results'!P1302+'Game Results'!P1284+'Game Results'!P1428+'Game Results'!P1446+'Game Results'!P1500+'Game Results'!P1518+'Game Results'!P265)</f>
        <v>73</v>
      </c>
      <c r="Q25" s="85">
        <f>SUM('Game Results'!Q168+'Game Results'!Q193+'Game Results'!Q240+'Game Results'!Q384+'Game Results'!Q402+'Game Results'!Q571+'Game Results'!Q589+'Game Results'!Q816+'Game Results'!Q834+'Game Results'!Q1104+'Game Results'!Q1122+'Game Results'!Q1302+'Game Results'!Q1284+'Game Results'!Q1428+'Game Results'!Q1446+'Game Results'!Q1500+'Game Results'!Q1518+'Game Results'!Q265)</f>
        <v>59</v>
      </c>
      <c r="R25" s="85">
        <f>SUM('Game Results'!R168+'Game Results'!R193+'Game Results'!R240+'Game Results'!R384+'Game Results'!R402+'Game Results'!R571+'Game Results'!R589+'Game Results'!R816+'Game Results'!R834+'Game Results'!R1104+'Game Results'!R1122+'Game Results'!R1302+'Game Results'!R1284+'Game Results'!R1428+'Game Results'!R1446+'Game Results'!R1500+'Game Results'!R1518+'Game Results'!R265)</f>
        <v>121</v>
      </c>
      <c r="S25" s="85">
        <f>SUM('Game Results'!S168+'Game Results'!S193+'Game Results'!S240+'Game Results'!S384+'Game Results'!S402+'Game Results'!S571+'Game Results'!S589+'Game Results'!S816+'Game Results'!S834+'Game Results'!S1104+'Game Results'!S1122+'Game Results'!S1302+'Game Results'!S1284+'Game Results'!S1428+'Game Results'!S1446+'Game Results'!S1500+'Game Results'!S1518+'Game Results'!S265)</f>
        <v>29</v>
      </c>
      <c r="T25" s="85">
        <f>SUM('Game Results'!T168+'Game Results'!T193+'Game Results'!T240+'Game Results'!T384+'Game Results'!T402+'Game Results'!T571+'Game Results'!T589+'Game Results'!T816+'Game Results'!T834+'Game Results'!T1104+'Game Results'!T1122+'Game Results'!T1302+'Game Results'!T1284+'Game Results'!T1428+'Game Results'!T1446+'Game Results'!T1500+'Game Results'!T1518+'Game Results'!T265)</f>
        <v>233</v>
      </c>
      <c r="U25" s="85">
        <f>SUM('Game Results'!U168+'Game Results'!U193+'Game Results'!U240+'Game Results'!U384+'Game Results'!U402+'Game Results'!U571+'Game Results'!U589+'Game Results'!U816+'Game Results'!U834+'Game Results'!U1104+'Game Results'!U1122+'Game Results'!U1302+'Game Results'!U1284+'Game Results'!U1428+'Game Results'!U1446+'Game Results'!U1500+'Game Results'!U1518+'Game Results'!U265)</f>
        <v>43</v>
      </c>
      <c r="V25" s="85">
        <f>SUM('Game Results'!V168+'Game Results'!V193+'Game Results'!V240+'Game Results'!V384+'Game Results'!V402+'Game Results'!V571+'Game Results'!V589+'Game Results'!V816+'Game Results'!V834+'Game Results'!V1104+'Game Results'!V1122+'Game Results'!V1302+'Game Results'!V1284+'Game Results'!V1428+'Game Results'!V1446+'Game Results'!V1500+'Game Results'!V1518+'Game Results'!V265)</f>
        <v>9</v>
      </c>
      <c r="W25" s="85">
        <f>SUM('Game Results'!W168+'Game Results'!W193+'Game Results'!W240+'Game Results'!W384+'Game Results'!W402+'Game Results'!W571+'Game Results'!W589+'Game Results'!W816+'Game Results'!W834+'Game Results'!W1104+'Game Results'!W1122+'Game Results'!W1302+'Game Results'!W1284+'Game Results'!W1428+'Game Results'!W1446+'Game Results'!W1500+'Game Results'!W1518+'Game Results'!W265)</f>
        <v>2</v>
      </c>
      <c r="X25" s="85">
        <f>SUM('Game Results'!X168+'Game Results'!X193+'Game Results'!X240+'Game Results'!X384+'Game Results'!X402+'Game Results'!X571+'Game Results'!X589+'Game Results'!X816+'Game Results'!X834+'Game Results'!X1104+'Game Results'!X1122+'Game Results'!X1302+'Game Results'!X1284+'Game Results'!X1428+'Game Results'!X1446+'Game Results'!X1500+'Game Results'!X1518+'Game Results'!X265)</f>
        <v>2</v>
      </c>
      <c r="Y25" s="85">
        <f>SUM('Game Results'!Y168+'Game Results'!Y193+'Game Results'!Y240+'Game Results'!Y384+'Game Results'!Y402+'Game Results'!Y571+'Game Results'!Y589+'Game Results'!Y816+'Game Results'!Y834+'Game Results'!Y1104+'Game Results'!Y1122+'Game Results'!Y1302+'Game Results'!Y1284+'Game Results'!Y1428+'Game Results'!Y1446+'Game Results'!Y1500+'Game Results'!Y1518+'Game Results'!Y265)</f>
        <v>0</v>
      </c>
      <c r="Z25" s="85">
        <f>SUM('Game Results'!Z168+'Game Results'!Z193+'Game Results'!Z240+'Game Results'!Z384+'Game Results'!Z402+'Game Results'!Z571+'Game Results'!Z589+'Game Results'!Z816+'Game Results'!Z834+'Game Results'!Z1104+'Game Results'!Z1122+'Game Results'!Z1302+'Game Results'!Z1284+'Game Results'!Z1428+'Game Results'!Z1446+'Game Results'!Z1500+'Game Results'!Z1518+'Game Results'!Z265)</f>
        <v>0</v>
      </c>
      <c r="AA25" s="85">
        <f>SUM('Game Results'!AA168+'Game Results'!AA193+'Game Results'!AA240+'Game Results'!AA384+'Game Results'!AA402+'Game Results'!AA571+'Game Results'!AA589+'Game Results'!AA816+'Game Results'!AA834+'Game Results'!AA1104+'Game Results'!AA1122+'Game Results'!AA1302+'Game Results'!AA1284+'Game Results'!AA1428+'Game Results'!AA1446+'Game Results'!AA1500+'Game Results'!AA1518+'Game Results'!AA265)</f>
        <v>0</v>
      </c>
      <c r="AB25" s="85">
        <f>SUM('Game Results'!AB168+'Game Results'!AB193+'Game Results'!AB240+'Game Results'!AB384+'Game Results'!AB402+'Game Results'!AB571+'Game Results'!AB589+'Game Results'!AB816+'Game Results'!AB834+'Game Results'!AB1104+'Game Results'!AB1122+'Game Results'!AB1302+'Game Results'!AB1284+'Game Results'!AB1428+'Game Results'!AB1446+'Game Results'!AB1500+'Game Results'!AB1518+'Game Results'!AB265)</f>
        <v>0</v>
      </c>
      <c r="AC25" s="85">
        <f>SUM('Game Results'!AC168+'Game Results'!AC193+'Game Results'!AC240+'Game Results'!AC384+'Game Results'!AC402+'Game Results'!AC571+'Game Results'!AC589+'Game Results'!AC816+'Game Results'!AC834+'Game Results'!AC1104+'Game Results'!AC1122+'Game Results'!AC1302+'Game Results'!AC1284+'Game Results'!AC1428+'Game Results'!AC1446+'Game Results'!AC1500+'Game Results'!AC1518+'Game Results'!AC265)</f>
        <v>49</v>
      </c>
      <c r="AD25" s="85">
        <f>SUM('Game Results'!AD168+'Game Results'!AD193+'Game Results'!AD240+'Game Results'!AD384+'Game Results'!AD402+'Game Results'!AD571+'Game Results'!AD589+'Game Results'!AD816+'Game Results'!AD834+'Game Results'!AD1104+'Game Results'!AD1122+'Game Results'!AD1302+'Game Results'!AD1284+'Game Results'!AD1428+'Game Results'!AD1446+'Game Results'!AD1500+'Game Results'!AD1518+'Game Results'!AD265)</f>
        <v>2</v>
      </c>
      <c r="AE25" s="85">
        <f>SUM('Game Results'!AE168+'Game Results'!AE193+'Game Results'!AE240+'Game Results'!AE384+'Game Results'!AE402+'Game Results'!AE571+'Game Results'!AE589+'Game Results'!AE816+'Game Results'!AE834+'Game Results'!AE1104+'Game Results'!AE1122+'Game Results'!AE1302+'Game Results'!AE1284+'Game Results'!AE1428+'Game Results'!AE1446+'Game Results'!AE1500+'Game Results'!AE1518+'Game Results'!AE265)</f>
        <v>0</v>
      </c>
      <c r="AF25" s="85">
        <f>SUM('Game Results'!AF168+'Game Results'!AF193+'Game Results'!AF240+'Game Results'!AF384+'Game Results'!AF402+'Game Results'!AF571+'Game Results'!AF589+'Game Results'!AF816+'Game Results'!AF834+'Game Results'!AF1104+'Game Results'!AF1122+'Game Results'!AF1302+'Game Results'!AF1284+'Game Results'!AF1428+'Game Results'!AF1446+'Game Results'!AF1500+'Game Results'!AF1518+'Game Results'!AF265)</f>
        <v>0</v>
      </c>
      <c r="AG25" s="85">
        <f>SUM('Game Results'!AG168+'Game Results'!AG193+'Game Results'!AG240+'Game Results'!AG384+'Game Results'!AG402+'Game Results'!AG571+'Game Results'!AG589+'Game Results'!AG816+'Game Results'!AG834+'Game Results'!AG1104+'Game Results'!AG1122+'Game Results'!AG1302+'Game Results'!AG1284+'Game Results'!AG1428+'Game Results'!AG1446+'Game Results'!AG1500+'Game Results'!AG1518+'Game Results'!AG265)</f>
        <v>0</v>
      </c>
      <c r="AH25" s="85">
        <f>SUM('Game Results'!AH168+'Game Results'!AH193+'Game Results'!AH240+'Game Results'!AH384+'Game Results'!AH402+'Game Results'!AH571+'Game Results'!AH589+'Game Results'!AH816+'Game Results'!AH834+'Game Results'!AH1104+'Game Results'!AH1122+'Game Results'!AH1302+'Game Results'!AH1284+'Game Results'!AH1428+'Game Results'!AH1446+'Game Results'!AH1500+'Game Results'!AH1518+'Game Results'!AH265)</f>
        <v>1</v>
      </c>
    </row>
    <row r="26">
      <c r="A26" s="83" t="s">
        <v>49</v>
      </c>
      <c r="B26" s="84" t="s">
        <v>200</v>
      </c>
      <c r="C26" s="85">
        <f>SUM('Game Results'!C169+'Game Results'!C194+'Game Results'!C241+'Game Results'!C385+'Game Results'!C403+'Game Results'!C572+'Game Results'!C590+'Game Results'!C817+'Game Results'!C835+'Game Results'!C1105+'Game Results'!C1123+'Game Results'!C1303+'Game Results'!C1285+'Game Results'!C1429+'Game Results'!C1447+'Game Results'!C1501+'Game Results'!C1519+'Game Results'!C266)</f>
        <v>18</v>
      </c>
      <c r="D26" s="85">
        <f>SUM('Game Results'!D169+'Game Results'!D194+'Game Results'!D241+'Game Results'!D385+'Game Results'!D403+'Game Results'!D572+'Game Results'!D590+'Game Results'!D817+'Game Results'!D835+'Game Results'!D1105+'Game Results'!D1123+'Game Results'!D1303+'Game Results'!D1285+'Game Results'!D1429+'Game Results'!D1447+'Game Results'!D1501+'Game Results'!D1519+'Game Results'!D266)</f>
        <v>10</v>
      </c>
      <c r="E26" s="86">
        <f>SUM('Game Results'!E169+'Game Results'!E194+'Game Results'!E241+'Game Results'!E385+'Game Results'!E403+'Game Results'!E572+'Game Results'!E590+'Game Results'!E817+'Game Results'!E835+'Game Results'!E1105+'Game Results'!E1123+'Game Results'!E1303+'Game Results'!E1285+'Game Results'!E1429+'Game Results'!E1447+'Game Results'!E1501+'Game Results'!E1519+'Game Results'!E266)</f>
        <v>496.6</v>
      </c>
      <c r="F26" s="85">
        <f>SUM('Game Results'!F169+'Game Results'!F194+'Game Results'!F241+'Game Results'!F385+'Game Results'!F403+'Game Results'!F572+'Game Results'!F590+'Game Results'!F817+'Game Results'!F835+'Game Results'!F1105+'Game Results'!F1123+'Game Results'!F1303+'Game Results'!F1285+'Game Results'!F1429+'Game Results'!F1447+'Game Results'!F1501+'Game Results'!F1519+'Game Results'!F266)</f>
        <v>26</v>
      </c>
      <c r="G26" s="85">
        <f>SUM('Game Results'!G169+'Game Results'!G194+'Game Results'!G241+'Game Results'!G385+'Game Results'!G403+'Game Results'!G572+'Game Results'!G590+'Game Results'!G817+'Game Results'!G835+'Game Results'!G1105+'Game Results'!G1123+'Game Results'!G1303+'Game Results'!G1285+'Game Results'!G1429+'Game Results'!G1447+'Game Results'!G1501+'Game Results'!G1519+'Game Results'!G266)</f>
        <v>1434</v>
      </c>
      <c r="H26" s="85">
        <f>SUM('Game Results'!H169+'Game Results'!H194+'Game Results'!H241+'Game Results'!H385+'Game Results'!H403+'Game Results'!H572+'Game Results'!H590+'Game Results'!H817+'Game Results'!H835+'Game Results'!H1105+'Game Results'!H1123+'Game Results'!H1303+'Game Results'!H1285+'Game Results'!H1429+'Game Results'!H1447+'Game Results'!H1501+'Game Results'!H1519+'Game Results'!H266)</f>
        <v>5</v>
      </c>
      <c r="I26" s="85">
        <f>SUM('Game Results'!I169+'Game Results'!I194+'Game Results'!I241+'Game Results'!I385+'Game Results'!I403+'Game Results'!I572+'Game Results'!I590+'Game Results'!I817+'Game Results'!I835+'Game Results'!I1105+'Game Results'!I1123+'Game Results'!I1303+'Game Results'!I1285+'Game Results'!I1429+'Game Results'!I1447+'Game Results'!I1501+'Game Results'!I1519+'Game Results'!I266)</f>
        <v>1439</v>
      </c>
      <c r="J26" s="85">
        <f>SUM('Game Results'!J169+'Game Results'!J194+'Game Results'!J241+'Game Results'!J385+'Game Results'!J403+'Game Results'!J572+'Game Results'!J590+'Game Results'!J817+'Game Results'!J835+'Game Results'!J1105+'Game Results'!J1123+'Game Results'!J1303+'Game Results'!J1285+'Game Results'!J1429+'Game Results'!J1447+'Game Results'!J1501+'Game Results'!J1519+'Game Results'!J266)</f>
        <v>-5</v>
      </c>
      <c r="K26" s="87">
        <f t="shared" si="1"/>
        <v>0.9965253648</v>
      </c>
      <c r="L26" s="85">
        <f>SUM('Game Results'!L169+'Game Results'!L194+'Game Results'!L241+'Game Results'!L385+'Game Results'!L403+'Game Results'!L572+'Game Results'!L590+'Game Results'!L817+'Game Results'!L835+'Game Results'!L1105+'Game Results'!L1123+'Game Results'!L1303+'Game Results'!L1285+'Game Results'!L1429+'Game Results'!L1447+'Game Results'!L1501+'Game Results'!L1519+'Game Results'!L266)</f>
        <v>311</v>
      </c>
      <c r="M26" s="85">
        <f>SUM('Game Results'!M169+'Game Results'!M194+'Game Results'!M241+'Game Results'!M385+'Game Results'!M403+'Game Results'!M572+'Game Results'!M590+'Game Results'!M817+'Game Results'!M835+'Game Results'!M1105+'Game Results'!M1123+'Game Results'!M1303+'Game Results'!M1285+'Game Results'!M1429+'Game Results'!M1447+'Game Results'!M1501+'Game Results'!M1519+'Game Results'!M266)</f>
        <v>1741</v>
      </c>
      <c r="N26" s="85">
        <f>SUM('Game Results'!N169+'Game Results'!N194+'Game Results'!N241+'Game Results'!N385+'Game Results'!N403+'Game Results'!N572+'Game Results'!N590+'Game Results'!N817+'Game Results'!N835+'Game Results'!N1105+'Game Results'!N1123+'Game Results'!N1303+'Game Results'!N1285+'Game Results'!N1429+'Game Results'!N1447+'Game Results'!N1501+'Game Results'!N1519+'Game Results'!N266)</f>
        <v>17</v>
      </c>
      <c r="O26" s="88">
        <f>SUM('Game Results'!O169+'Game Results'!O194+'Game Results'!O241+'Game Results'!O385+'Game Results'!O403+'Game Results'!O572+'Game Results'!O590+'Game Results'!O817+'Game Results'!O835+'Game Results'!O1105+'Game Results'!O1123+'Game Results'!O1303+'Game Results'!O1285+'Game Results'!O1429+'Game Results'!O1447+'Game Results'!O1501+'Game Results'!O1519+'Game Results'!O266)</f>
        <v>496.6</v>
      </c>
      <c r="P26" s="85">
        <f>SUM('Game Results'!P169+'Game Results'!P194+'Game Results'!P241+'Game Results'!P385+'Game Results'!P403+'Game Results'!P572+'Game Results'!P590+'Game Results'!P817+'Game Results'!P835+'Game Results'!P1105+'Game Results'!P1123+'Game Results'!P1303+'Game Results'!P1285+'Game Results'!P1429+'Game Results'!P1447+'Game Results'!P1501+'Game Results'!P1519+'Game Results'!P266)</f>
        <v>74</v>
      </c>
      <c r="Q26" s="85">
        <f>SUM('Game Results'!Q169+'Game Results'!Q194+'Game Results'!Q241+'Game Results'!Q385+'Game Results'!Q403+'Game Results'!Q572+'Game Results'!Q590+'Game Results'!Q817+'Game Results'!Q835+'Game Results'!Q1105+'Game Results'!Q1123+'Game Results'!Q1303+'Game Results'!Q1285+'Game Results'!Q1429+'Game Results'!Q1447+'Game Results'!Q1501+'Game Results'!Q1519+'Game Results'!Q266)</f>
        <v>43</v>
      </c>
      <c r="R26" s="85">
        <f>SUM('Game Results'!R169+'Game Results'!R194+'Game Results'!R241+'Game Results'!R385+'Game Results'!R403+'Game Results'!R572+'Game Results'!R590+'Game Results'!R817+'Game Results'!R835+'Game Results'!R1105+'Game Results'!R1123+'Game Results'!R1303+'Game Results'!R1285+'Game Results'!R1429+'Game Results'!R1447+'Game Results'!R1501+'Game Results'!R1519+'Game Results'!R266)</f>
        <v>93</v>
      </c>
      <c r="S26" s="85">
        <f>SUM('Game Results'!S169+'Game Results'!S194+'Game Results'!S241+'Game Results'!S385+'Game Results'!S403+'Game Results'!S572+'Game Results'!S590+'Game Results'!S817+'Game Results'!S835+'Game Results'!S1105+'Game Results'!S1123+'Game Results'!S1303+'Game Results'!S1285+'Game Results'!S1429+'Game Results'!S1447+'Game Results'!S1501+'Game Results'!S1519+'Game Results'!S266)</f>
        <v>32</v>
      </c>
      <c r="T26" s="85">
        <f>SUM('Game Results'!T169+'Game Results'!T194+'Game Results'!T241+'Game Results'!T385+'Game Results'!T403+'Game Results'!T572+'Game Results'!T590+'Game Results'!T817+'Game Results'!T835+'Game Results'!T1105+'Game Results'!T1123+'Game Results'!T1303+'Game Results'!T1285+'Game Results'!T1429+'Game Results'!T1447+'Game Results'!T1501+'Game Results'!T1519+'Game Results'!T266)</f>
        <v>199</v>
      </c>
      <c r="U26" s="85">
        <f>SUM('Game Results'!U169+'Game Results'!U194+'Game Results'!U241+'Game Results'!U385+'Game Results'!U403+'Game Results'!U572+'Game Results'!U590+'Game Results'!U817+'Game Results'!U835+'Game Results'!U1105+'Game Results'!U1123+'Game Results'!U1303+'Game Results'!U1285+'Game Results'!U1429+'Game Results'!U1447+'Game Results'!U1501+'Game Results'!U1519+'Game Results'!U266)</f>
        <v>36</v>
      </c>
      <c r="V26" s="85">
        <f>SUM('Game Results'!V169+'Game Results'!V194+'Game Results'!V241+'Game Results'!V385+'Game Results'!V403+'Game Results'!V572+'Game Results'!V590+'Game Results'!V817+'Game Results'!V835+'Game Results'!V1105+'Game Results'!V1123+'Game Results'!V1303+'Game Results'!V1285+'Game Results'!V1429+'Game Results'!V1447+'Game Results'!V1501+'Game Results'!V1519+'Game Results'!V266)</f>
        <v>5</v>
      </c>
      <c r="W26" s="85">
        <f>SUM('Game Results'!W169+'Game Results'!W194+'Game Results'!W241+'Game Results'!W385+'Game Results'!W403+'Game Results'!W572+'Game Results'!W590+'Game Results'!W817+'Game Results'!W835+'Game Results'!W1105+'Game Results'!W1123+'Game Results'!W1303+'Game Results'!W1285+'Game Results'!W1429+'Game Results'!W1447+'Game Results'!W1501+'Game Results'!W1519+'Game Results'!W266)</f>
        <v>3</v>
      </c>
      <c r="X26" s="85">
        <f>SUM('Game Results'!X169+'Game Results'!X194+'Game Results'!X241+'Game Results'!X385+'Game Results'!X403+'Game Results'!X572+'Game Results'!X590+'Game Results'!X817+'Game Results'!X835+'Game Results'!X1105+'Game Results'!X1123+'Game Results'!X1303+'Game Results'!X1285+'Game Results'!X1429+'Game Results'!X1447+'Game Results'!X1501+'Game Results'!X1519+'Game Results'!X266)</f>
        <v>2</v>
      </c>
      <c r="Y26" s="85">
        <f>SUM('Game Results'!Y169+'Game Results'!Y194+'Game Results'!Y241+'Game Results'!Y385+'Game Results'!Y403+'Game Results'!Y572+'Game Results'!Y590+'Game Results'!Y817+'Game Results'!Y835+'Game Results'!Y1105+'Game Results'!Y1123+'Game Results'!Y1303+'Game Results'!Y1285+'Game Results'!Y1429+'Game Results'!Y1447+'Game Results'!Y1501+'Game Results'!Y1519+'Game Results'!Y266)</f>
        <v>2</v>
      </c>
      <c r="Z26" s="85">
        <f>SUM('Game Results'!Z169+'Game Results'!Z194+'Game Results'!Z241+'Game Results'!Z385+'Game Results'!Z403+'Game Results'!Z572+'Game Results'!Z590+'Game Results'!Z817+'Game Results'!Z835+'Game Results'!Z1105+'Game Results'!Z1123+'Game Results'!Z1303+'Game Results'!Z1285+'Game Results'!Z1429+'Game Results'!Z1447+'Game Results'!Z1501+'Game Results'!Z1519+'Game Results'!Z266)</f>
        <v>0</v>
      </c>
      <c r="AA26" s="85">
        <f>SUM('Game Results'!AA169+'Game Results'!AA194+'Game Results'!AA241+'Game Results'!AA385+'Game Results'!AA403+'Game Results'!AA572+'Game Results'!AA590+'Game Results'!AA817+'Game Results'!AA835+'Game Results'!AA1105+'Game Results'!AA1123+'Game Results'!AA1303+'Game Results'!AA1285+'Game Results'!AA1429+'Game Results'!AA1447+'Game Results'!AA1501+'Game Results'!AA1519+'Game Results'!AA266)</f>
        <v>0</v>
      </c>
      <c r="AB26" s="85">
        <f>SUM('Game Results'!AB169+'Game Results'!AB194+'Game Results'!AB241+'Game Results'!AB385+'Game Results'!AB403+'Game Results'!AB572+'Game Results'!AB590+'Game Results'!AB817+'Game Results'!AB835+'Game Results'!AB1105+'Game Results'!AB1123+'Game Results'!AB1303+'Game Results'!AB1285+'Game Results'!AB1429+'Game Results'!AB1447+'Game Results'!AB1501+'Game Results'!AB1519+'Game Results'!AB266)</f>
        <v>0</v>
      </c>
      <c r="AC26" s="85">
        <f>SUM('Game Results'!AC169+'Game Results'!AC194+'Game Results'!AC241+'Game Results'!AC385+'Game Results'!AC403+'Game Results'!AC572+'Game Results'!AC590+'Game Results'!AC817+'Game Results'!AC835+'Game Results'!AC1105+'Game Results'!AC1123+'Game Results'!AC1303+'Game Results'!AC1285+'Game Results'!AC1429+'Game Results'!AC1447+'Game Results'!AC1501+'Game Results'!AC1519+'Game Results'!AC266)</f>
        <v>28</v>
      </c>
      <c r="AD26" s="85">
        <f>SUM('Game Results'!AD169+'Game Results'!AD194+'Game Results'!AD241+'Game Results'!AD385+'Game Results'!AD403+'Game Results'!AD572+'Game Results'!AD590+'Game Results'!AD817+'Game Results'!AD835+'Game Results'!AD1105+'Game Results'!AD1123+'Game Results'!AD1303+'Game Results'!AD1285+'Game Results'!AD1429+'Game Results'!AD1447+'Game Results'!AD1501+'Game Results'!AD1519+'Game Results'!AD266)</f>
        <v>4</v>
      </c>
      <c r="AE26" s="85">
        <f>SUM('Game Results'!AE169+'Game Results'!AE194+'Game Results'!AE241+'Game Results'!AE385+'Game Results'!AE403+'Game Results'!AE572+'Game Results'!AE590+'Game Results'!AE817+'Game Results'!AE835+'Game Results'!AE1105+'Game Results'!AE1123+'Game Results'!AE1303+'Game Results'!AE1285+'Game Results'!AE1429+'Game Results'!AE1447+'Game Results'!AE1501+'Game Results'!AE1519+'Game Results'!AE266)</f>
        <v>0</v>
      </c>
      <c r="AF26" s="85">
        <f>SUM('Game Results'!AF169+'Game Results'!AF194+'Game Results'!AF241+'Game Results'!AF385+'Game Results'!AF403+'Game Results'!AF572+'Game Results'!AF590+'Game Results'!AF817+'Game Results'!AF835+'Game Results'!AF1105+'Game Results'!AF1123+'Game Results'!AF1303+'Game Results'!AF1285+'Game Results'!AF1429+'Game Results'!AF1447+'Game Results'!AF1501+'Game Results'!AF1519+'Game Results'!AF266)</f>
        <v>0</v>
      </c>
      <c r="AG26" s="85">
        <f>SUM('Game Results'!AG169+'Game Results'!AG194+'Game Results'!AG241+'Game Results'!AG385+'Game Results'!AG403+'Game Results'!AG572+'Game Results'!AG590+'Game Results'!AG817+'Game Results'!AG835+'Game Results'!AG1105+'Game Results'!AG1123+'Game Results'!AG1303+'Game Results'!AG1285+'Game Results'!AG1429+'Game Results'!AG1447+'Game Results'!AG1501+'Game Results'!AG1519+'Game Results'!AG266)</f>
        <v>2</v>
      </c>
      <c r="AH26" s="85">
        <f>SUM('Game Results'!AH169+'Game Results'!AH194+'Game Results'!AH241+'Game Results'!AH385+'Game Results'!AH403+'Game Results'!AH572+'Game Results'!AH590+'Game Results'!AH817+'Game Results'!AH835+'Game Results'!AH1105+'Game Results'!AH1123+'Game Results'!AH1303+'Game Results'!AH1285+'Game Results'!AH1429+'Game Results'!AH1447+'Game Results'!AH1501+'Game Results'!AH1519+'Game Results'!AH266)</f>
        <v>2</v>
      </c>
    </row>
    <row r="27">
      <c r="A27" s="83" t="s">
        <v>49</v>
      </c>
      <c r="B27" s="84" t="s">
        <v>201</v>
      </c>
      <c r="C27" s="85">
        <f>SUM('Game Results'!C170+'Game Results'!C195+'Game Results'!C242+'Game Results'!C386+'Game Results'!C404+'Game Results'!C573+'Game Results'!C591+'Game Results'!C818+'Game Results'!C836+'Game Results'!C1106+'Game Results'!C1124+'Game Results'!C1304+'Game Results'!C1286+'Game Results'!C1430+'Game Results'!C1448+'Game Results'!C1502+'Game Results'!C1520+'Game Results'!C267)</f>
        <v>7</v>
      </c>
      <c r="D27" s="85">
        <f>SUM('Game Results'!D170+'Game Results'!D195+'Game Results'!D242+'Game Results'!D386+'Game Results'!D404+'Game Results'!D573+'Game Results'!D591+'Game Results'!D818+'Game Results'!D836+'Game Results'!D1106+'Game Results'!D1124+'Game Results'!D1304+'Game Results'!D1286+'Game Results'!D1430+'Game Results'!D1448+'Game Results'!D1502+'Game Results'!D1520+'Game Results'!D267)</f>
        <v>4</v>
      </c>
      <c r="E27" s="86">
        <f>SUM('Game Results'!E170+'Game Results'!E195+'Game Results'!E242+'Game Results'!E386+'Game Results'!E404+'Game Results'!E573+'Game Results'!E591+'Game Results'!E818+'Game Results'!E836+'Game Results'!E1106+'Game Results'!E1124+'Game Results'!E1304+'Game Results'!E1286+'Game Results'!E1430+'Game Results'!E1448+'Game Results'!E1502+'Game Results'!E1520+'Game Results'!E267)</f>
        <v>247.9833333</v>
      </c>
      <c r="F27" s="85">
        <f>SUM('Game Results'!F170+'Game Results'!F195+'Game Results'!F242+'Game Results'!F386+'Game Results'!F404+'Game Results'!F573+'Game Results'!F591+'Game Results'!F818+'Game Results'!F836+'Game Results'!F1106+'Game Results'!F1124+'Game Results'!F1304+'Game Results'!F1286+'Game Results'!F1430+'Game Results'!F1448+'Game Results'!F1502+'Game Results'!F1520+'Game Results'!F267)</f>
        <v>0</v>
      </c>
      <c r="G27" s="85">
        <f>SUM('Game Results'!G170+'Game Results'!G195+'Game Results'!G242+'Game Results'!G386+'Game Results'!G404+'Game Results'!G573+'Game Results'!G591+'Game Results'!G818+'Game Results'!G836+'Game Results'!G1106+'Game Results'!G1124+'Game Results'!G1304+'Game Results'!G1286+'Game Results'!G1430+'Game Results'!G1448+'Game Results'!G1502+'Game Results'!G1520+'Game Results'!G267)</f>
        <v>701</v>
      </c>
      <c r="H27" s="85">
        <f>SUM('Game Results'!H170+'Game Results'!H195+'Game Results'!H242+'Game Results'!H386+'Game Results'!H404+'Game Results'!H573+'Game Results'!H591+'Game Results'!H818+'Game Results'!H836+'Game Results'!H1106+'Game Results'!H1124+'Game Results'!H1304+'Game Results'!H1286+'Game Results'!H1430+'Game Results'!H1448+'Game Results'!H1502+'Game Results'!H1520+'Game Results'!H267)</f>
        <v>3</v>
      </c>
      <c r="I27" s="85">
        <f>SUM('Game Results'!I170+'Game Results'!I195+'Game Results'!I242+'Game Results'!I386+'Game Results'!I404+'Game Results'!I573+'Game Results'!I591+'Game Results'!I818+'Game Results'!I836+'Game Results'!I1106+'Game Results'!I1124+'Game Results'!I1304+'Game Results'!I1286+'Game Results'!I1430+'Game Results'!I1448+'Game Results'!I1502+'Game Results'!I1520+'Game Results'!I267)</f>
        <v>834</v>
      </c>
      <c r="J27" s="85">
        <f>SUM('Game Results'!J170+'Game Results'!J195+'Game Results'!J242+'Game Results'!J386+'Game Results'!J404+'Game Results'!J573+'Game Results'!J591+'Game Results'!J818+'Game Results'!J836+'Game Results'!J1106+'Game Results'!J1124+'Game Results'!J1304+'Game Results'!J1286+'Game Results'!J1430+'Game Results'!J1448+'Game Results'!J1502+'Game Results'!J1520+'Game Results'!J267)</f>
        <v>-133</v>
      </c>
      <c r="K27" s="87">
        <f t="shared" si="1"/>
        <v>0.8405275779</v>
      </c>
      <c r="L27" s="85">
        <f>SUM('Game Results'!L170+'Game Results'!L195+'Game Results'!L242+'Game Results'!L386+'Game Results'!L404+'Game Results'!L573+'Game Results'!L591+'Game Results'!L818+'Game Results'!L836+'Game Results'!L1106+'Game Results'!L1124+'Game Results'!L1304+'Game Results'!L1286+'Game Results'!L1430+'Game Results'!L1448+'Game Results'!L1502+'Game Results'!L1520+'Game Results'!L267)</f>
        <v>85</v>
      </c>
      <c r="M27" s="85">
        <f>SUM('Game Results'!M170+'Game Results'!M195+'Game Results'!M242+'Game Results'!M386+'Game Results'!M404+'Game Results'!M573+'Game Results'!M591+'Game Results'!M818+'Game Results'!M836+'Game Results'!M1106+'Game Results'!M1124+'Game Results'!M1304+'Game Results'!M1286+'Game Results'!M1430+'Game Results'!M1448+'Game Results'!M1502+'Game Results'!M1520+'Game Results'!M267)</f>
        <v>888</v>
      </c>
      <c r="N27" s="85">
        <f>SUM('Game Results'!N170+'Game Results'!N195+'Game Results'!N242+'Game Results'!N386+'Game Results'!N404+'Game Results'!N573+'Game Results'!N591+'Game Results'!N818+'Game Results'!N836+'Game Results'!N1106+'Game Results'!N1124+'Game Results'!N1304+'Game Results'!N1286+'Game Results'!N1430+'Game Results'!N1448+'Game Results'!N1502+'Game Results'!N1520+'Game Results'!N267)</f>
        <v>8</v>
      </c>
      <c r="O27" s="88">
        <f>SUM('Game Results'!O170+'Game Results'!O195+'Game Results'!O242+'Game Results'!O386+'Game Results'!O404+'Game Results'!O573+'Game Results'!O591+'Game Results'!O818+'Game Results'!O836+'Game Results'!O1106+'Game Results'!O1124+'Game Results'!O1304+'Game Results'!O1286+'Game Results'!O1430+'Game Results'!O1448+'Game Results'!O1502+'Game Results'!O1520+'Game Results'!O267)</f>
        <v>247.9833333</v>
      </c>
      <c r="P27" s="85">
        <f>SUM('Game Results'!P170+'Game Results'!P195+'Game Results'!P242+'Game Results'!P386+'Game Results'!P404+'Game Results'!P573+'Game Results'!P591+'Game Results'!P818+'Game Results'!P836+'Game Results'!P1106+'Game Results'!P1124+'Game Results'!P1304+'Game Results'!P1286+'Game Results'!P1430+'Game Results'!P1448+'Game Results'!P1502+'Game Results'!P1520+'Game Results'!P267)</f>
        <v>27</v>
      </c>
      <c r="Q27" s="85">
        <f>SUM('Game Results'!Q170+'Game Results'!Q195+'Game Results'!Q242+'Game Results'!Q386+'Game Results'!Q404+'Game Results'!Q573+'Game Results'!Q591+'Game Results'!Q818+'Game Results'!Q836+'Game Results'!Q1106+'Game Results'!Q1124+'Game Results'!Q1304+'Game Results'!Q1286+'Game Results'!Q1430+'Game Results'!Q1448+'Game Results'!Q1502+'Game Results'!Q1520+'Game Results'!Q267)</f>
        <v>14</v>
      </c>
      <c r="R27" s="85">
        <f>SUM('Game Results'!R170+'Game Results'!R195+'Game Results'!R242+'Game Results'!R386+'Game Results'!R404+'Game Results'!R573+'Game Results'!R591+'Game Results'!R818+'Game Results'!R836+'Game Results'!R1106+'Game Results'!R1124+'Game Results'!R1304+'Game Results'!R1286+'Game Results'!R1430+'Game Results'!R1448+'Game Results'!R1502+'Game Results'!R1520+'Game Results'!R267)</f>
        <v>54</v>
      </c>
      <c r="S27" s="85">
        <f>SUM('Game Results'!S170+'Game Results'!S195+'Game Results'!S242+'Game Results'!S386+'Game Results'!S404+'Game Results'!S573+'Game Results'!S591+'Game Results'!S818+'Game Results'!S836+'Game Results'!S1106+'Game Results'!S1124+'Game Results'!S1304+'Game Results'!S1286+'Game Results'!S1430+'Game Results'!S1448+'Game Results'!S1502+'Game Results'!S1520+'Game Results'!S267)</f>
        <v>14</v>
      </c>
      <c r="T27" s="85">
        <f>SUM('Game Results'!T170+'Game Results'!T195+'Game Results'!T242+'Game Results'!T386+'Game Results'!T404+'Game Results'!T573+'Game Results'!T591+'Game Results'!T818+'Game Results'!T836+'Game Results'!T1106+'Game Results'!T1124+'Game Results'!T1304+'Game Results'!T1286+'Game Results'!T1430+'Game Results'!T1448+'Game Results'!T1502+'Game Results'!T1520+'Game Results'!T267)</f>
        <v>115</v>
      </c>
      <c r="U27" s="85">
        <f>SUM('Game Results'!U170+'Game Results'!U195+'Game Results'!U242+'Game Results'!U386+'Game Results'!U404+'Game Results'!U573+'Game Results'!U591+'Game Results'!U818+'Game Results'!U836+'Game Results'!U1106+'Game Results'!U1124+'Game Results'!U1304+'Game Results'!U1286+'Game Results'!U1430+'Game Results'!U1448+'Game Results'!U1502+'Game Results'!U1520+'Game Results'!U267)</f>
        <v>14</v>
      </c>
      <c r="V27" s="85">
        <f>SUM('Game Results'!V170+'Game Results'!V195+'Game Results'!V242+'Game Results'!V386+'Game Results'!V404+'Game Results'!V573+'Game Results'!V591+'Game Results'!V818+'Game Results'!V836+'Game Results'!V1106+'Game Results'!V1124+'Game Results'!V1304+'Game Results'!V1286+'Game Results'!V1430+'Game Results'!V1448+'Game Results'!V1502+'Game Results'!V1520+'Game Results'!V267)</f>
        <v>1</v>
      </c>
      <c r="W27" s="85">
        <f>SUM('Game Results'!W170+'Game Results'!W195+'Game Results'!W242+'Game Results'!W386+'Game Results'!W404+'Game Results'!W573+'Game Results'!W591+'Game Results'!W818+'Game Results'!W836+'Game Results'!W1106+'Game Results'!W1124+'Game Results'!W1304+'Game Results'!W1286+'Game Results'!W1430+'Game Results'!W1448+'Game Results'!W1502+'Game Results'!W1520+'Game Results'!W267)</f>
        <v>0</v>
      </c>
      <c r="X27" s="85">
        <f>SUM('Game Results'!X170+'Game Results'!X195+'Game Results'!X242+'Game Results'!X386+'Game Results'!X404+'Game Results'!X573+'Game Results'!X591+'Game Results'!X818+'Game Results'!X836+'Game Results'!X1106+'Game Results'!X1124+'Game Results'!X1304+'Game Results'!X1286+'Game Results'!X1430+'Game Results'!X1448+'Game Results'!X1502+'Game Results'!X1520+'Game Results'!X267)</f>
        <v>0</v>
      </c>
      <c r="Y27" s="85">
        <f>SUM('Game Results'!Y170+'Game Results'!Y195+'Game Results'!Y242+'Game Results'!Y386+'Game Results'!Y404+'Game Results'!Y573+'Game Results'!Y591+'Game Results'!Y818+'Game Results'!Y836+'Game Results'!Y1106+'Game Results'!Y1124+'Game Results'!Y1304+'Game Results'!Y1286+'Game Results'!Y1430+'Game Results'!Y1448+'Game Results'!Y1502+'Game Results'!Y1520+'Game Results'!Y267)</f>
        <v>0</v>
      </c>
      <c r="Z27" s="85">
        <f>SUM('Game Results'!Z170+'Game Results'!Z195+'Game Results'!Z242+'Game Results'!Z386+'Game Results'!Z404+'Game Results'!Z573+'Game Results'!Z591+'Game Results'!Z818+'Game Results'!Z836+'Game Results'!Z1106+'Game Results'!Z1124+'Game Results'!Z1304+'Game Results'!Z1286+'Game Results'!Z1430+'Game Results'!Z1448+'Game Results'!Z1502+'Game Results'!Z1520+'Game Results'!Z267)</f>
        <v>0</v>
      </c>
      <c r="AA27" s="85">
        <f>SUM('Game Results'!AA170+'Game Results'!AA195+'Game Results'!AA242+'Game Results'!AA386+'Game Results'!AA404+'Game Results'!AA573+'Game Results'!AA591+'Game Results'!AA818+'Game Results'!AA836+'Game Results'!AA1106+'Game Results'!AA1124+'Game Results'!AA1304+'Game Results'!AA1286+'Game Results'!AA1430+'Game Results'!AA1448+'Game Results'!AA1502+'Game Results'!AA1520+'Game Results'!AA267)</f>
        <v>0</v>
      </c>
      <c r="AB27" s="85">
        <f>SUM('Game Results'!AB170+'Game Results'!AB195+'Game Results'!AB242+'Game Results'!AB386+'Game Results'!AB404+'Game Results'!AB573+'Game Results'!AB591+'Game Results'!AB818+'Game Results'!AB836+'Game Results'!AB1106+'Game Results'!AB1124+'Game Results'!AB1304+'Game Results'!AB1286+'Game Results'!AB1430+'Game Results'!AB1448+'Game Results'!AB1502+'Game Results'!AB1520+'Game Results'!AB267)</f>
        <v>0</v>
      </c>
      <c r="AC27" s="85">
        <f>SUM('Game Results'!AC170+'Game Results'!AC195+'Game Results'!AC242+'Game Results'!AC386+'Game Results'!AC404+'Game Results'!AC573+'Game Results'!AC591+'Game Results'!AC818+'Game Results'!AC836+'Game Results'!AC1106+'Game Results'!AC1124+'Game Results'!AC1304+'Game Results'!AC1286+'Game Results'!AC1430+'Game Results'!AC1448+'Game Results'!AC1502+'Game Results'!AC1520+'Game Results'!AC267)</f>
        <v>9</v>
      </c>
      <c r="AD27" s="85">
        <f>SUM('Game Results'!AD170+'Game Results'!AD195+'Game Results'!AD242+'Game Results'!AD386+'Game Results'!AD404+'Game Results'!AD573+'Game Results'!AD591+'Game Results'!AD818+'Game Results'!AD836+'Game Results'!AD1106+'Game Results'!AD1124+'Game Results'!AD1304+'Game Results'!AD1286+'Game Results'!AD1430+'Game Results'!AD1448+'Game Results'!AD1502+'Game Results'!AD1520+'Game Results'!AD267)</f>
        <v>0</v>
      </c>
      <c r="AE27" s="85">
        <f>SUM('Game Results'!AE170+'Game Results'!AE195+'Game Results'!AE242+'Game Results'!AE386+'Game Results'!AE404+'Game Results'!AE573+'Game Results'!AE591+'Game Results'!AE818+'Game Results'!AE836+'Game Results'!AE1106+'Game Results'!AE1124+'Game Results'!AE1304+'Game Results'!AE1286+'Game Results'!AE1430+'Game Results'!AE1448+'Game Results'!AE1502+'Game Results'!AE1520+'Game Results'!AE267)</f>
        <v>0</v>
      </c>
      <c r="AF27" s="85">
        <f>SUM('Game Results'!AF170+'Game Results'!AF195+'Game Results'!AF242+'Game Results'!AF386+'Game Results'!AF404+'Game Results'!AF573+'Game Results'!AF591+'Game Results'!AF818+'Game Results'!AF836+'Game Results'!AF1106+'Game Results'!AF1124+'Game Results'!AF1304+'Game Results'!AF1286+'Game Results'!AF1430+'Game Results'!AF1448+'Game Results'!AF1502+'Game Results'!AF1520+'Game Results'!AF267)</f>
        <v>0</v>
      </c>
      <c r="AG27" s="85">
        <f>SUM('Game Results'!AG170+'Game Results'!AG195+'Game Results'!AG242+'Game Results'!AG386+'Game Results'!AG404+'Game Results'!AG573+'Game Results'!AG591+'Game Results'!AG818+'Game Results'!AG836+'Game Results'!AG1106+'Game Results'!AG1124+'Game Results'!AG1304+'Game Results'!AG1286+'Game Results'!AG1430+'Game Results'!AG1448+'Game Results'!AG1502+'Game Results'!AG1520+'Game Results'!AG267)</f>
        <v>1</v>
      </c>
      <c r="AH27" s="85">
        <f>SUM('Game Results'!AH170+'Game Results'!AH195+'Game Results'!AH242+'Game Results'!AH386+'Game Results'!AH404+'Game Results'!AH573+'Game Results'!AH591+'Game Results'!AH818+'Game Results'!AH836+'Game Results'!AH1106+'Game Results'!AH1124+'Game Results'!AH1304+'Game Results'!AH1286+'Game Results'!AH1430+'Game Results'!AH1448+'Game Results'!AH1502+'Game Results'!AH1520+'Game Results'!AH267)</f>
        <v>1</v>
      </c>
    </row>
    <row r="28">
      <c r="A28" s="83" t="s">
        <v>49</v>
      </c>
      <c r="B28" s="84" t="s">
        <v>202</v>
      </c>
      <c r="C28" s="85">
        <f>SUM('Game Results'!C171+'Game Results'!C196+'Game Results'!C243+'Game Results'!C387+'Game Results'!C405+'Game Results'!C574+'Game Results'!C592+'Game Results'!C819+'Game Results'!C837+'Game Results'!C1107+'Game Results'!C1125+'Game Results'!C1305+'Game Results'!C1287+'Game Results'!C1431+'Game Results'!C1449+'Game Results'!C1503+'Game Results'!C1521+'Game Results'!C268)</f>
        <v>11</v>
      </c>
      <c r="D28" s="85">
        <f>SUM('Game Results'!D171+'Game Results'!D196+'Game Results'!D243+'Game Results'!D387+'Game Results'!D405+'Game Results'!D574+'Game Results'!D592+'Game Results'!D819+'Game Results'!D837+'Game Results'!D1107+'Game Results'!D1125+'Game Results'!D1305+'Game Results'!D1287+'Game Results'!D1431+'Game Results'!D1449+'Game Results'!D1503+'Game Results'!D1521+'Game Results'!D268)</f>
        <v>6</v>
      </c>
      <c r="E28" s="86">
        <f>SUM('Game Results'!E171+'Game Results'!E196+'Game Results'!E243+'Game Results'!E387+'Game Results'!E405+'Game Results'!E574+'Game Results'!E592+'Game Results'!E819+'Game Results'!E837+'Game Results'!E1107+'Game Results'!E1125+'Game Results'!E1305+'Game Results'!E1287+'Game Results'!E1431+'Game Results'!E1449+'Game Results'!E1503+'Game Results'!E1521+'Game Results'!E268)</f>
        <v>244.3333333</v>
      </c>
      <c r="F28" s="85">
        <f>SUM('Game Results'!F171+'Game Results'!F196+'Game Results'!F243+'Game Results'!F387+'Game Results'!F405+'Game Results'!F574+'Game Results'!F592+'Game Results'!F819+'Game Results'!F837+'Game Results'!F1107+'Game Results'!F1125+'Game Results'!F1305+'Game Results'!F1287+'Game Results'!F1431+'Game Results'!F1449+'Game Results'!F1503+'Game Results'!F1521+'Game Results'!F268)</f>
        <v>17</v>
      </c>
      <c r="G28" s="85">
        <f>SUM('Game Results'!G171+'Game Results'!G196+'Game Results'!G243+'Game Results'!G387+'Game Results'!G405+'Game Results'!G574+'Game Results'!G592+'Game Results'!G819+'Game Results'!G837+'Game Results'!G1107+'Game Results'!G1125+'Game Results'!G1305+'Game Results'!G1287+'Game Results'!G1431+'Game Results'!G1449+'Game Results'!G1503+'Game Results'!G1521+'Game Results'!G268)</f>
        <v>823</v>
      </c>
      <c r="H28" s="85">
        <f>SUM('Game Results'!H171+'Game Results'!H196+'Game Results'!H243+'Game Results'!H387+'Game Results'!H405+'Game Results'!H574+'Game Results'!H592+'Game Results'!H819+'Game Results'!H837+'Game Results'!H1107+'Game Results'!H1125+'Game Results'!H1305+'Game Results'!H1287+'Game Results'!H1431+'Game Results'!H1449+'Game Results'!H1503+'Game Results'!H1521+'Game Results'!H268)</f>
        <v>3</v>
      </c>
      <c r="I28" s="85">
        <f>SUM('Game Results'!I171+'Game Results'!I196+'Game Results'!I243+'Game Results'!I387+'Game Results'!I405+'Game Results'!I574+'Game Results'!I592+'Game Results'!I819+'Game Results'!I837+'Game Results'!I1107+'Game Results'!I1125+'Game Results'!I1305+'Game Results'!I1287+'Game Results'!I1431+'Game Results'!I1449+'Game Results'!I1503+'Game Results'!I1521+'Game Results'!I268)</f>
        <v>984</v>
      </c>
      <c r="J28" s="85">
        <f>SUM('Game Results'!J171+'Game Results'!J196+'Game Results'!J243+'Game Results'!J387+'Game Results'!J405+'Game Results'!J574+'Game Results'!J592+'Game Results'!J819+'Game Results'!J837+'Game Results'!J1107+'Game Results'!J1125+'Game Results'!J1305+'Game Results'!J1287+'Game Results'!J1431+'Game Results'!J1449+'Game Results'!J1503+'Game Results'!J1521+'Game Results'!J268)</f>
        <v>-161</v>
      </c>
      <c r="K28" s="87">
        <f t="shared" si="1"/>
        <v>0.8363821138</v>
      </c>
      <c r="L28" s="85">
        <f>SUM('Game Results'!L171+'Game Results'!L196+'Game Results'!L243+'Game Results'!L387+'Game Results'!L405+'Game Results'!L574+'Game Results'!L592+'Game Results'!L819+'Game Results'!L837+'Game Results'!L1107+'Game Results'!L1125+'Game Results'!L1305+'Game Results'!L1287+'Game Results'!L1431+'Game Results'!L1449+'Game Results'!L1503+'Game Results'!L1521+'Game Results'!L268)</f>
        <v>123</v>
      </c>
      <c r="M28" s="85">
        <f>SUM('Game Results'!M171+'Game Results'!M196+'Game Results'!M243+'Game Results'!M387+'Game Results'!M405+'Game Results'!M574+'Game Results'!M592+'Game Results'!M819+'Game Results'!M837+'Game Results'!M1107+'Game Results'!M1125+'Game Results'!M1305+'Game Results'!M1287+'Game Results'!M1431+'Game Results'!M1449+'Game Results'!M1503+'Game Results'!M1521+'Game Results'!M268)</f>
        <v>867</v>
      </c>
      <c r="N28" s="85">
        <f>SUM('Game Results'!N171+'Game Results'!N196+'Game Results'!N243+'Game Results'!N387+'Game Results'!N405+'Game Results'!N574+'Game Results'!N592+'Game Results'!N819+'Game Results'!N837+'Game Results'!N1107+'Game Results'!N1125+'Game Results'!N1305+'Game Results'!N1287+'Game Results'!N1431+'Game Results'!N1449+'Game Results'!N1503+'Game Results'!N1521+'Game Results'!N268)</f>
        <v>8</v>
      </c>
      <c r="O28" s="88">
        <f>SUM('Game Results'!O171+'Game Results'!O196+'Game Results'!O243+'Game Results'!O387+'Game Results'!O405+'Game Results'!O574+'Game Results'!O592+'Game Results'!O819+'Game Results'!O837+'Game Results'!O1107+'Game Results'!O1125+'Game Results'!O1305+'Game Results'!O1287+'Game Results'!O1431+'Game Results'!O1449+'Game Results'!O1503+'Game Results'!O1521+'Game Results'!O268)</f>
        <v>226.3333333</v>
      </c>
      <c r="P28" s="85">
        <f>SUM('Game Results'!P171+'Game Results'!P196+'Game Results'!P243+'Game Results'!P387+'Game Results'!P405+'Game Results'!P574+'Game Results'!P592+'Game Results'!P819+'Game Results'!P837+'Game Results'!P1107+'Game Results'!P1125+'Game Results'!P1305+'Game Results'!P1287+'Game Results'!P1431+'Game Results'!P1449+'Game Results'!P1503+'Game Results'!P1521+'Game Results'!P268)</f>
        <v>31</v>
      </c>
      <c r="Q28" s="85">
        <f>SUM('Game Results'!Q171+'Game Results'!Q196+'Game Results'!Q243+'Game Results'!Q387+'Game Results'!Q405+'Game Results'!Q574+'Game Results'!Q592+'Game Results'!Q819+'Game Results'!Q837+'Game Results'!Q1107+'Game Results'!Q1125+'Game Results'!Q1305+'Game Results'!Q1287+'Game Results'!Q1431+'Game Results'!Q1449+'Game Results'!Q1503+'Game Results'!Q1521+'Game Results'!Q268)</f>
        <v>9</v>
      </c>
      <c r="R28" s="85">
        <f>SUM('Game Results'!R171+'Game Results'!R196+'Game Results'!R243+'Game Results'!R387+'Game Results'!R405+'Game Results'!R574+'Game Results'!R592+'Game Results'!R819+'Game Results'!R837+'Game Results'!R1107+'Game Results'!R1125+'Game Results'!R1305+'Game Results'!R1287+'Game Results'!R1431+'Game Results'!R1449+'Game Results'!R1503+'Game Results'!R1521+'Game Results'!R268)</f>
        <v>30</v>
      </c>
      <c r="S28" s="85">
        <f>SUM('Game Results'!S171+'Game Results'!S196+'Game Results'!S243+'Game Results'!S387+'Game Results'!S405+'Game Results'!S574+'Game Results'!S592+'Game Results'!S819+'Game Results'!S837+'Game Results'!S1107+'Game Results'!S1125+'Game Results'!S1305+'Game Results'!S1287+'Game Results'!S1431+'Game Results'!S1449+'Game Results'!S1503+'Game Results'!S1521+'Game Results'!S268)</f>
        <v>14</v>
      </c>
      <c r="T28" s="85">
        <f>SUM('Game Results'!T171+'Game Results'!T196+'Game Results'!T243+'Game Results'!T387+'Game Results'!T405+'Game Results'!T574+'Game Results'!T592+'Game Results'!T819+'Game Results'!T837+'Game Results'!T1107+'Game Results'!T1125+'Game Results'!T1305+'Game Results'!T1287+'Game Results'!T1431+'Game Results'!T1449+'Game Results'!T1503+'Game Results'!T1521+'Game Results'!T268)</f>
        <v>104</v>
      </c>
      <c r="U28" s="85">
        <f>SUM('Game Results'!U171+'Game Results'!U196+'Game Results'!U243+'Game Results'!U387+'Game Results'!U405+'Game Results'!U574+'Game Results'!U592+'Game Results'!U819+'Game Results'!U837+'Game Results'!U1107+'Game Results'!U1125+'Game Results'!U1305+'Game Results'!U1287+'Game Results'!U1431+'Game Results'!U1449+'Game Results'!U1503+'Game Results'!U1521+'Game Results'!U268)</f>
        <v>31</v>
      </c>
      <c r="V28" s="85">
        <f>SUM('Game Results'!V171+'Game Results'!V196+'Game Results'!V243+'Game Results'!V387+'Game Results'!V405+'Game Results'!V574+'Game Results'!V592+'Game Results'!V819+'Game Results'!V837+'Game Results'!V1107+'Game Results'!V1125+'Game Results'!V1305+'Game Results'!V1287+'Game Results'!V1431+'Game Results'!V1449+'Game Results'!V1503+'Game Results'!V1521+'Game Results'!V268)</f>
        <v>6</v>
      </c>
      <c r="W28" s="85">
        <f>SUM('Game Results'!W171+'Game Results'!W196+'Game Results'!W243+'Game Results'!W387+'Game Results'!W405+'Game Results'!W574+'Game Results'!W592+'Game Results'!W819+'Game Results'!W837+'Game Results'!W1107+'Game Results'!W1125+'Game Results'!W1305+'Game Results'!W1287+'Game Results'!W1431+'Game Results'!W1449+'Game Results'!W1503+'Game Results'!W1521+'Game Results'!W268)</f>
        <v>3</v>
      </c>
      <c r="X28" s="85">
        <f>SUM('Game Results'!X171+'Game Results'!X196+'Game Results'!X243+'Game Results'!X387+'Game Results'!X405+'Game Results'!X574+'Game Results'!X592+'Game Results'!X819+'Game Results'!X837+'Game Results'!X1107+'Game Results'!X1125+'Game Results'!X1305+'Game Results'!X1287+'Game Results'!X1431+'Game Results'!X1449+'Game Results'!X1503+'Game Results'!X1521+'Game Results'!X268)</f>
        <v>0</v>
      </c>
      <c r="Y28" s="85">
        <f>SUM('Game Results'!Y171+'Game Results'!Y196+'Game Results'!Y243+'Game Results'!Y387+'Game Results'!Y405+'Game Results'!Y574+'Game Results'!Y592+'Game Results'!Y819+'Game Results'!Y837+'Game Results'!Y1107+'Game Results'!Y1125+'Game Results'!Y1305+'Game Results'!Y1287+'Game Results'!Y1431+'Game Results'!Y1449+'Game Results'!Y1503+'Game Results'!Y1521+'Game Results'!Y268)</f>
        <v>0</v>
      </c>
      <c r="Z28" s="85">
        <f>SUM('Game Results'!Z171+'Game Results'!Z196+'Game Results'!Z243+'Game Results'!Z387+'Game Results'!Z405+'Game Results'!Z574+'Game Results'!Z592+'Game Results'!Z819+'Game Results'!Z837+'Game Results'!Z1107+'Game Results'!Z1125+'Game Results'!Z1305+'Game Results'!Z1287+'Game Results'!Z1431+'Game Results'!Z1449+'Game Results'!Z1503+'Game Results'!Z1521+'Game Results'!Z268)</f>
        <v>0</v>
      </c>
      <c r="AA28" s="85">
        <f>SUM('Game Results'!AA171+'Game Results'!AA196+'Game Results'!AA243+'Game Results'!AA387+'Game Results'!AA405+'Game Results'!AA574+'Game Results'!AA592+'Game Results'!AA819+'Game Results'!AA837+'Game Results'!AA1107+'Game Results'!AA1125+'Game Results'!AA1305+'Game Results'!AA1287+'Game Results'!AA1431+'Game Results'!AA1449+'Game Results'!AA1503+'Game Results'!AA1521+'Game Results'!AA268)</f>
        <v>0</v>
      </c>
      <c r="AB28" s="85">
        <f>SUM('Game Results'!AB171+'Game Results'!AB196+'Game Results'!AB243+'Game Results'!AB387+'Game Results'!AB405+'Game Results'!AB574+'Game Results'!AB592+'Game Results'!AB819+'Game Results'!AB837+'Game Results'!AB1107+'Game Results'!AB1125+'Game Results'!AB1305+'Game Results'!AB1287+'Game Results'!AB1431+'Game Results'!AB1449+'Game Results'!AB1503+'Game Results'!AB1521+'Game Results'!AB268)</f>
        <v>0</v>
      </c>
      <c r="AC28" s="85">
        <f>SUM('Game Results'!AC171+'Game Results'!AC196+'Game Results'!AC243+'Game Results'!AC387+'Game Results'!AC405+'Game Results'!AC574+'Game Results'!AC592+'Game Results'!AC819+'Game Results'!AC837+'Game Results'!AC1107+'Game Results'!AC1125+'Game Results'!AC1305+'Game Results'!AC1287+'Game Results'!AC1431+'Game Results'!AC1449+'Game Results'!AC1503+'Game Results'!AC1521+'Game Results'!AC268)</f>
        <v>13</v>
      </c>
      <c r="AD28" s="85">
        <f>SUM('Game Results'!AD171+'Game Results'!AD196+'Game Results'!AD243+'Game Results'!AD387+'Game Results'!AD405+'Game Results'!AD574+'Game Results'!AD592+'Game Results'!AD819+'Game Results'!AD837+'Game Results'!AD1107+'Game Results'!AD1125+'Game Results'!AD1305+'Game Results'!AD1287+'Game Results'!AD1431+'Game Results'!AD1449+'Game Results'!AD1503+'Game Results'!AD1521+'Game Results'!AD268)</f>
        <v>0</v>
      </c>
      <c r="AE28" s="85">
        <f>SUM('Game Results'!AE171+'Game Results'!AE196+'Game Results'!AE243+'Game Results'!AE387+'Game Results'!AE405+'Game Results'!AE574+'Game Results'!AE592+'Game Results'!AE819+'Game Results'!AE837+'Game Results'!AE1107+'Game Results'!AE1125+'Game Results'!AE1305+'Game Results'!AE1287+'Game Results'!AE1431+'Game Results'!AE1449+'Game Results'!AE1503+'Game Results'!AE1521+'Game Results'!AE268)</f>
        <v>0</v>
      </c>
      <c r="AF28" s="85">
        <f>SUM('Game Results'!AF171+'Game Results'!AF196+'Game Results'!AF243+'Game Results'!AF387+'Game Results'!AF405+'Game Results'!AF574+'Game Results'!AF592+'Game Results'!AF819+'Game Results'!AF837+'Game Results'!AF1107+'Game Results'!AF1125+'Game Results'!AF1305+'Game Results'!AF1287+'Game Results'!AF1431+'Game Results'!AF1449+'Game Results'!AF1503+'Game Results'!AF1521+'Game Results'!AF268)</f>
        <v>0</v>
      </c>
      <c r="AG28" s="85">
        <f>SUM('Game Results'!AG171+'Game Results'!AG196+'Game Results'!AG243+'Game Results'!AG387+'Game Results'!AG405+'Game Results'!AG574+'Game Results'!AG592+'Game Results'!AG819+'Game Results'!AG837+'Game Results'!AG1107+'Game Results'!AG1125+'Game Results'!AG1305+'Game Results'!AG1287+'Game Results'!AG1431+'Game Results'!AG1449+'Game Results'!AG1503+'Game Results'!AG1521+'Game Results'!AG268)</f>
        <v>1</v>
      </c>
      <c r="AH28" s="85">
        <f>SUM('Game Results'!AH171+'Game Results'!AH196+'Game Results'!AH243+'Game Results'!AH387+'Game Results'!AH405+'Game Results'!AH574+'Game Results'!AH592+'Game Results'!AH819+'Game Results'!AH837+'Game Results'!AH1107+'Game Results'!AH1125+'Game Results'!AH1305+'Game Results'!AH1287+'Game Results'!AH1431+'Game Results'!AH1449+'Game Results'!AH1503+'Game Results'!AH1521+'Game Results'!AH268)</f>
        <v>0</v>
      </c>
    </row>
    <row r="29">
      <c r="A29" s="83" t="s">
        <v>49</v>
      </c>
      <c r="B29" s="93"/>
      <c r="C29" s="85">
        <f>SUM('Game Results'!C172+'Game Results'!C197+'Game Results'!C244+'Game Results'!C388+'Game Results'!C406+'Game Results'!C575+'Game Results'!C593+'Game Results'!C820+'Game Results'!C838+'Game Results'!C1108+'Game Results'!C1126+'Game Results'!C1306+'Game Results'!C1288+'Game Results'!C1432+'Game Results'!C1450+'Game Results'!C1504+'Game Results'!C1522+'Game Results'!C269)</f>
        <v>0</v>
      </c>
      <c r="D29" s="85">
        <f>SUM('Game Results'!D172+'Game Results'!D197+'Game Results'!D244+'Game Results'!D388+'Game Results'!D406+'Game Results'!D575+'Game Results'!D593+'Game Results'!D820+'Game Results'!D838+'Game Results'!D1108+'Game Results'!D1126+'Game Results'!D1306+'Game Results'!D1288+'Game Results'!D1432+'Game Results'!D1450+'Game Results'!D1504+'Game Results'!D1522+'Game Results'!D269)</f>
        <v>0</v>
      </c>
      <c r="E29" s="86">
        <f>SUM('Game Results'!E172+'Game Results'!E197+'Game Results'!E244+'Game Results'!E388+'Game Results'!E406+'Game Results'!E575+'Game Results'!E593+'Game Results'!E820+'Game Results'!E838+'Game Results'!E1108+'Game Results'!E1126+'Game Results'!E1306+'Game Results'!E1288+'Game Results'!E1432+'Game Results'!E1450+'Game Results'!E1504+'Game Results'!E1522+'Game Results'!E269)</f>
        <v>0</v>
      </c>
      <c r="F29" s="85">
        <f>SUM('Game Results'!F172+'Game Results'!F197+'Game Results'!F244+'Game Results'!F388+'Game Results'!F406+'Game Results'!F575+'Game Results'!F593+'Game Results'!F820+'Game Results'!F838+'Game Results'!F1108+'Game Results'!F1126+'Game Results'!F1306+'Game Results'!F1288+'Game Results'!F1432+'Game Results'!F1450+'Game Results'!F1504+'Game Results'!F1522+'Game Results'!F269)</f>
        <v>0</v>
      </c>
      <c r="G29" s="85">
        <f>SUM('Game Results'!G172+'Game Results'!G197+'Game Results'!G244+'Game Results'!G388+'Game Results'!G406+'Game Results'!G575+'Game Results'!G593+'Game Results'!G820+'Game Results'!G838+'Game Results'!G1108+'Game Results'!G1126+'Game Results'!G1306+'Game Results'!G1288+'Game Results'!G1432+'Game Results'!G1450+'Game Results'!G1504+'Game Results'!G1522+'Game Results'!G269)</f>
        <v>0</v>
      </c>
      <c r="H29" s="85">
        <f>SUM('Game Results'!H172+'Game Results'!H197+'Game Results'!H244+'Game Results'!H388+'Game Results'!H406+'Game Results'!H575+'Game Results'!H593+'Game Results'!H820+'Game Results'!H838+'Game Results'!H1108+'Game Results'!H1126+'Game Results'!H1306+'Game Results'!H1288+'Game Results'!H1432+'Game Results'!H1450+'Game Results'!H1504+'Game Results'!H1522+'Game Results'!H269)</f>
        <v>0</v>
      </c>
      <c r="I29" s="85">
        <f>SUM('Game Results'!I172+'Game Results'!I197+'Game Results'!I244+'Game Results'!I388+'Game Results'!I406+'Game Results'!I575+'Game Results'!I593+'Game Results'!I820+'Game Results'!I838+'Game Results'!I1108+'Game Results'!I1126+'Game Results'!I1306+'Game Results'!I1288+'Game Results'!I1432+'Game Results'!I1450+'Game Results'!I1504+'Game Results'!I1522+'Game Results'!I269)</f>
        <v>0</v>
      </c>
      <c r="J29" s="85">
        <f>SUM('Game Results'!J172+'Game Results'!J197+'Game Results'!J244+'Game Results'!J388+'Game Results'!J406+'Game Results'!J575+'Game Results'!J593+'Game Results'!J820+'Game Results'!J838+'Game Results'!J1108+'Game Results'!J1126+'Game Results'!J1306+'Game Results'!J1288+'Game Results'!J1432+'Game Results'!J1450+'Game Results'!J1504+'Game Results'!J1522+'Game Results'!J269)</f>
        <v>0</v>
      </c>
      <c r="K29" s="87" t="str">
        <f t="shared" si="1"/>
        <v>#DIV/0!</v>
      </c>
      <c r="L29" s="85">
        <f>SUM('Game Results'!L172+'Game Results'!L197+'Game Results'!L244+'Game Results'!L388+'Game Results'!L406+'Game Results'!L575+'Game Results'!L593+'Game Results'!L820+'Game Results'!L838+'Game Results'!L1108+'Game Results'!L1126+'Game Results'!L1306+'Game Results'!L1288+'Game Results'!L1432+'Game Results'!L1450+'Game Results'!L1504+'Game Results'!L1522+'Game Results'!L269)</f>
        <v>15</v>
      </c>
      <c r="M29" s="85">
        <f>SUM('Game Results'!M172+'Game Results'!M197+'Game Results'!M244+'Game Results'!M388+'Game Results'!M406+'Game Results'!M575+'Game Results'!M593+'Game Results'!M820+'Game Results'!M838+'Game Results'!M1108+'Game Results'!M1126+'Game Results'!M1306+'Game Results'!M1288+'Game Results'!M1432+'Game Results'!M1450+'Game Results'!M1504+'Game Results'!M1522+'Game Results'!M269)</f>
        <v>47</v>
      </c>
      <c r="N29" s="85">
        <f>SUM('Game Results'!N172+'Game Results'!N197+'Game Results'!N244+'Game Results'!N388+'Game Results'!N406+'Game Results'!N575+'Game Results'!N593+'Game Results'!N820+'Game Results'!N838+'Game Results'!N1108+'Game Results'!N1126+'Game Results'!N1306+'Game Results'!N1288+'Game Results'!N1432+'Game Results'!N1450+'Game Results'!N1504+'Game Results'!N1522+'Game Results'!N269)</f>
        <v>1</v>
      </c>
      <c r="O29" s="88">
        <f>SUM('Game Results'!O172+'Game Results'!O197+'Game Results'!O244+'Game Results'!O388+'Game Results'!O406+'Game Results'!O575+'Game Results'!O593+'Game Results'!O820+'Game Results'!O838+'Game Results'!O1108+'Game Results'!O1126+'Game Results'!O1306+'Game Results'!O1288+'Game Results'!O1432+'Game Results'!O1450+'Game Results'!O1504+'Game Results'!O1522+'Game Results'!O269)</f>
        <v>0</v>
      </c>
      <c r="P29" s="85">
        <f>SUM('Game Results'!P172+'Game Results'!P197+'Game Results'!P244+'Game Results'!P388+'Game Results'!P406+'Game Results'!P575+'Game Results'!P593+'Game Results'!P820+'Game Results'!P838+'Game Results'!P1108+'Game Results'!P1126+'Game Results'!P1306+'Game Results'!P1288+'Game Results'!P1432+'Game Results'!P1450+'Game Results'!P1504+'Game Results'!P1522+'Game Results'!P269)</f>
        <v>0</v>
      </c>
      <c r="Q29" s="85">
        <f>SUM('Game Results'!Q172+'Game Results'!Q197+'Game Results'!Q244+'Game Results'!Q388+'Game Results'!Q406+'Game Results'!Q575+'Game Results'!Q593+'Game Results'!Q820+'Game Results'!Q838+'Game Results'!Q1108+'Game Results'!Q1126+'Game Results'!Q1306+'Game Results'!Q1288+'Game Results'!Q1432+'Game Results'!Q1450+'Game Results'!Q1504+'Game Results'!Q1522+'Game Results'!Q269)</f>
        <v>0</v>
      </c>
      <c r="R29" s="85">
        <f>SUM('Game Results'!R172+'Game Results'!R197+'Game Results'!R244+'Game Results'!R388+'Game Results'!R406+'Game Results'!R575+'Game Results'!R593+'Game Results'!R820+'Game Results'!R838+'Game Results'!R1108+'Game Results'!R1126+'Game Results'!R1306+'Game Results'!R1288+'Game Results'!R1432+'Game Results'!R1450+'Game Results'!R1504+'Game Results'!R1522+'Game Results'!R269)</f>
        <v>0</v>
      </c>
      <c r="S29" s="85">
        <f>SUM('Game Results'!S172+'Game Results'!S197+'Game Results'!S244+'Game Results'!S388+'Game Results'!S406+'Game Results'!S575+'Game Results'!S593+'Game Results'!S820+'Game Results'!S838+'Game Results'!S1108+'Game Results'!S1126+'Game Results'!S1306+'Game Results'!S1288+'Game Results'!S1432+'Game Results'!S1450+'Game Results'!S1504+'Game Results'!S1522+'Game Results'!S269)</f>
        <v>0</v>
      </c>
      <c r="T29" s="85">
        <f>SUM('Game Results'!T172+'Game Results'!T197+'Game Results'!T244+'Game Results'!T388+'Game Results'!T406+'Game Results'!T575+'Game Results'!T593+'Game Results'!T820+'Game Results'!T838+'Game Results'!T1108+'Game Results'!T1126+'Game Results'!T1306+'Game Results'!T1288+'Game Results'!T1432+'Game Results'!T1450+'Game Results'!T1504+'Game Results'!T1522+'Game Results'!T269)</f>
        <v>0</v>
      </c>
      <c r="U29" s="85">
        <f>SUM('Game Results'!U172+'Game Results'!U197+'Game Results'!U244+'Game Results'!U388+'Game Results'!U406+'Game Results'!U575+'Game Results'!U593+'Game Results'!U820+'Game Results'!U838+'Game Results'!U1108+'Game Results'!U1126+'Game Results'!U1306+'Game Results'!U1288+'Game Results'!U1432+'Game Results'!U1450+'Game Results'!U1504+'Game Results'!U1522+'Game Results'!U269)</f>
        <v>0</v>
      </c>
      <c r="V29" s="85">
        <f>SUM('Game Results'!V172+'Game Results'!V197+'Game Results'!V244+'Game Results'!V388+'Game Results'!V406+'Game Results'!V575+'Game Results'!V593+'Game Results'!V820+'Game Results'!V838+'Game Results'!V1108+'Game Results'!V1126+'Game Results'!V1306+'Game Results'!V1288+'Game Results'!V1432+'Game Results'!V1450+'Game Results'!V1504+'Game Results'!V1522+'Game Results'!V269)</f>
        <v>0</v>
      </c>
      <c r="W29" s="85">
        <f>SUM('Game Results'!W172+'Game Results'!W197+'Game Results'!W244+'Game Results'!W388+'Game Results'!W406+'Game Results'!W575+'Game Results'!W593+'Game Results'!W820+'Game Results'!W838+'Game Results'!W1108+'Game Results'!W1126+'Game Results'!W1306+'Game Results'!W1288+'Game Results'!W1432+'Game Results'!W1450+'Game Results'!W1504+'Game Results'!W1522+'Game Results'!W269)</f>
        <v>0</v>
      </c>
      <c r="X29" s="85">
        <f>SUM('Game Results'!X172+'Game Results'!X197+'Game Results'!X244+'Game Results'!X388+'Game Results'!X406+'Game Results'!X575+'Game Results'!X593+'Game Results'!X820+'Game Results'!X838+'Game Results'!X1108+'Game Results'!X1126+'Game Results'!X1306+'Game Results'!X1288+'Game Results'!X1432+'Game Results'!X1450+'Game Results'!X1504+'Game Results'!X1522+'Game Results'!X269)</f>
        <v>0</v>
      </c>
      <c r="Y29" s="85">
        <f>SUM('Game Results'!Y172+'Game Results'!Y197+'Game Results'!Y244+'Game Results'!Y388+'Game Results'!Y406+'Game Results'!Y575+'Game Results'!Y593+'Game Results'!Y820+'Game Results'!Y838+'Game Results'!Y1108+'Game Results'!Y1126+'Game Results'!Y1306+'Game Results'!Y1288+'Game Results'!Y1432+'Game Results'!Y1450+'Game Results'!Y1504+'Game Results'!Y1522+'Game Results'!Y269)</f>
        <v>0</v>
      </c>
      <c r="Z29" s="85">
        <f>SUM('Game Results'!Z172+'Game Results'!Z197+'Game Results'!Z244+'Game Results'!Z388+'Game Results'!Z406+'Game Results'!Z575+'Game Results'!Z593+'Game Results'!Z820+'Game Results'!Z838+'Game Results'!Z1108+'Game Results'!Z1126+'Game Results'!Z1306+'Game Results'!Z1288+'Game Results'!Z1432+'Game Results'!Z1450+'Game Results'!Z1504+'Game Results'!Z1522+'Game Results'!Z269)</f>
        <v>0</v>
      </c>
      <c r="AA29" s="85">
        <f>SUM('Game Results'!AA172+'Game Results'!AA197+'Game Results'!AA244+'Game Results'!AA388+'Game Results'!AA406+'Game Results'!AA575+'Game Results'!AA593+'Game Results'!AA820+'Game Results'!AA838+'Game Results'!AA1108+'Game Results'!AA1126+'Game Results'!AA1306+'Game Results'!AA1288+'Game Results'!AA1432+'Game Results'!AA1450+'Game Results'!AA1504+'Game Results'!AA1522+'Game Results'!AA269)</f>
        <v>0</v>
      </c>
      <c r="AB29" s="85">
        <f>SUM('Game Results'!AB172+'Game Results'!AB197+'Game Results'!AB244+'Game Results'!AB388+'Game Results'!AB406+'Game Results'!AB575+'Game Results'!AB593+'Game Results'!AB820+'Game Results'!AB838+'Game Results'!AB1108+'Game Results'!AB1126+'Game Results'!AB1306+'Game Results'!AB1288+'Game Results'!AB1432+'Game Results'!AB1450+'Game Results'!AB1504+'Game Results'!AB1522+'Game Results'!AB269)</f>
        <v>0</v>
      </c>
      <c r="AC29" s="85">
        <f>SUM('Game Results'!AC172+'Game Results'!AC197+'Game Results'!AC244+'Game Results'!AC388+'Game Results'!AC406+'Game Results'!AC575+'Game Results'!AC593+'Game Results'!AC820+'Game Results'!AC838+'Game Results'!AC1108+'Game Results'!AC1126+'Game Results'!AC1306+'Game Results'!AC1288+'Game Results'!AC1432+'Game Results'!AC1450+'Game Results'!AC1504+'Game Results'!AC1522+'Game Results'!AC269)</f>
        <v>0</v>
      </c>
      <c r="AD29" s="85">
        <f>SUM('Game Results'!AD172+'Game Results'!AD197+'Game Results'!AD244+'Game Results'!AD388+'Game Results'!AD406+'Game Results'!AD575+'Game Results'!AD593+'Game Results'!AD820+'Game Results'!AD838+'Game Results'!AD1108+'Game Results'!AD1126+'Game Results'!AD1306+'Game Results'!AD1288+'Game Results'!AD1432+'Game Results'!AD1450+'Game Results'!AD1504+'Game Results'!AD1522+'Game Results'!AD269)</f>
        <v>0</v>
      </c>
      <c r="AE29" s="85">
        <f>SUM('Game Results'!AE172+'Game Results'!AE197+'Game Results'!AE244+'Game Results'!AE388+'Game Results'!AE406+'Game Results'!AE575+'Game Results'!AE593+'Game Results'!AE820+'Game Results'!AE838+'Game Results'!AE1108+'Game Results'!AE1126+'Game Results'!AE1306+'Game Results'!AE1288+'Game Results'!AE1432+'Game Results'!AE1450+'Game Results'!AE1504+'Game Results'!AE1522+'Game Results'!AE269)</f>
        <v>0</v>
      </c>
      <c r="AF29" s="85">
        <f>SUM('Game Results'!AF172+'Game Results'!AF197+'Game Results'!AF244+'Game Results'!AF388+'Game Results'!AF406+'Game Results'!AF575+'Game Results'!AF593+'Game Results'!AF820+'Game Results'!AF838+'Game Results'!AF1108+'Game Results'!AF1126+'Game Results'!AF1306+'Game Results'!AF1288+'Game Results'!AF1432+'Game Results'!AF1450+'Game Results'!AF1504+'Game Results'!AF1522+'Game Results'!AF269)</f>
        <v>0</v>
      </c>
      <c r="AG29" s="85">
        <f>SUM('Game Results'!AG172+'Game Results'!AG197+'Game Results'!AG244+'Game Results'!AG388+'Game Results'!AG406+'Game Results'!AG575+'Game Results'!AG593+'Game Results'!AG820+'Game Results'!AG838+'Game Results'!AG1108+'Game Results'!AG1126+'Game Results'!AG1306+'Game Results'!AG1288+'Game Results'!AG1432+'Game Results'!AG1450+'Game Results'!AG1504+'Game Results'!AG1522+'Game Results'!AG269)</f>
        <v>0</v>
      </c>
      <c r="AH29" s="85">
        <f>SUM('Game Results'!AH172+'Game Results'!AH197+'Game Results'!AH244+'Game Results'!AH388+'Game Results'!AH406+'Game Results'!AH575+'Game Results'!AH593+'Game Results'!AH820+'Game Results'!AH838+'Game Results'!AH1108+'Game Results'!AH1126+'Game Results'!AH1306+'Game Results'!AH1288+'Game Results'!AH1432+'Game Results'!AH1450+'Game Results'!AH1504+'Game Results'!AH1522+'Game Results'!AH269)</f>
        <v>0</v>
      </c>
    </row>
    <row r="30">
      <c r="A30" s="89" t="s">
        <v>185</v>
      </c>
      <c r="B30" s="90"/>
      <c r="C30" s="90">
        <f t="shared" ref="C30:E30" si="11">SUM(C24:C29)/4</f>
        <v>18</v>
      </c>
      <c r="D30" s="90">
        <f t="shared" si="11"/>
        <v>10</v>
      </c>
      <c r="E30" s="91">
        <f t="shared" si="11"/>
        <v>495.8083333</v>
      </c>
      <c r="F30" s="91">
        <f t="shared" ref="F30:J30" si="12">SUM(F24:F29)</f>
        <v>60</v>
      </c>
      <c r="G30" s="91">
        <f t="shared" si="12"/>
        <v>6337</v>
      </c>
      <c r="H30" s="91">
        <f t="shared" si="12"/>
        <v>32</v>
      </c>
      <c r="I30" s="91">
        <f t="shared" si="12"/>
        <v>6366</v>
      </c>
      <c r="J30" s="91">
        <f t="shared" si="12"/>
        <v>-29</v>
      </c>
      <c r="K30" s="92">
        <f t="shared" si="1"/>
        <v>0.9954445492</v>
      </c>
      <c r="L30" s="91">
        <f>SUM(L24:L29)/4</f>
        <v>280.25</v>
      </c>
      <c r="M30" s="91">
        <f>SUM(M24:M29)</f>
        <v>7479</v>
      </c>
      <c r="N30" s="91">
        <f>SUM(N24:N29)/4</f>
        <v>17</v>
      </c>
      <c r="O30" s="91">
        <f>SUM(O23:O29)</f>
        <v>7517.55</v>
      </c>
      <c r="P30" s="91">
        <f t="shared" ref="P30:AH30" si="13">SUM(P24:P29)</f>
        <v>259</v>
      </c>
      <c r="Q30" s="91">
        <f t="shared" si="13"/>
        <v>147</v>
      </c>
      <c r="R30" s="91">
        <f t="shared" si="13"/>
        <v>414</v>
      </c>
      <c r="S30" s="91">
        <f t="shared" si="13"/>
        <v>124</v>
      </c>
      <c r="T30" s="91">
        <f t="shared" si="13"/>
        <v>843</v>
      </c>
      <c r="U30" s="91">
        <f t="shared" si="13"/>
        <v>159</v>
      </c>
      <c r="V30" s="91">
        <f t="shared" si="13"/>
        <v>29</v>
      </c>
      <c r="W30" s="91">
        <f t="shared" si="13"/>
        <v>11</v>
      </c>
      <c r="X30" s="91">
        <f t="shared" si="13"/>
        <v>6</v>
      </c>
      <c r="Y30" s="91">
        <f t="shared" si="13"/>
        <v>2</v>
      </c>
      <c r="Z30" s="91">
        <f t="shared" si="13"/>
        <v>0</v>
      </c>
      <c r="AA30" s="91">
        <f t="shared" si="13"/>
        <v>0</v>
      </c>
      <c r="AB30" s="91">
        <f t="shared" si="13"/>
        <v>0</v>
      </c>
      <c r="AC30" s="91">
        <f t="shared" si="13"/>
        <v>133</v>
      </c>
      <c r="AD30" s="91">
        <f t="shared" si="13"/>
        <v>7</v>
      </c>
      <c r="AE30" s="91">
        <f t="shared" si="13"/>
        <v>0</v>
      </c>
      <c r="AF30" s="91">
        <f t="shared" si="13"/>
        <v>0</v>
      </c>
      <c r="AG30" s="91">
        <f t="shared" si="13"/>
        <v>4</v>
      </c>
      <c r="AH30" s="91">
        <f t="shared" si="13"/>
        <v>4</v>
      </c>
    </row>
    <row r="31">
      <c r="A31" s="83" t="s">
        <v>56</v>
      </c>
      <c r="B31" s="84" t="s">
        <v>203</v>
      </c>
      <c r="C31" s="85">
        <f>SUM('Game Results'!C102+'Game Results'!C120+'Game Results'!C599+'Game Results'!C617+'Game Results'!C642+'Game Results'!C660+'Game Results'!C894+'Game Results'!C1193+'Game Results'!C1175+'Game Results'!C1308+'Game Results'!C1290+'Game Results'!C912+'Game Results'!C1409+'Game Results'!C1391+'Game Results'!C480)</f>
        <v>15</v>
      </c>
      <c r="D31" s="85">
        <f>SUM('Game Results'!D102+'Game Results'!D120+'Game Results'!D599+'Game Results'!D617+'Game Results'!D642+'Game Results'!D660+'Game Results'!D894+'Game Results'!D1193+'Game Results'!D1175+'Game Results'!D1308+'Game Results'!D1290+'Game Results'!D912+'Game Results'!D1409+'Game Results'!D1391+'Game Results'!D480)</f>
        <v>3</v>
      </c>
      <c r="E31" s="86">
        <f>SUM('Game Results'!E102+'Game Results'!E120+'Game Results'!E599+'Game Results'!E617+'Game Results'!E642+'Game Results'!E660+'Game Results'!E894+'Game Results'!E1193+'Game Results'!E1175+'Game Results'!E1308+'Game Results'!E1290+'Game Results'!E912+'Game Results'!E1409+'Game Results'!E1391+'Game Results'!E480)</f>
        <v>319.1333333</v>
      </c>
      <c r="F31" s="85">
        <f>SUM('Game Results'!F102+'Game Results'!F120+'Game Results'!F599+'Game Results'!F617+'Game Results'!F642+'Game Results'!F660+'Game Results'!F894+'Game Results'!F1193+'Game Results'!F1175+'Game Results'!F1308+'Game Results'!F1290+'Game Results'!F912+'Game Results'!F1409+'Game Results'!F1391+'Game Results'!F480)</f>
        <v>3</v>
      </c>
      <c r="G31" s="85">
        <f>SUM('Game Results'!G102+'Game Results'!G120+'Game Results'!G599+'Game Results'!G617+'Game Results'!G642+'Game Results'!G660+'Game Results'!G894+'Game Results'!G1193+'Game Results'!G1175+'Game Results'!G1308+'Game Results'!G1290+'Game Results'!G912+'Game Results'!G1409+'Game Results'!G1391+'Game Results'!G480)</f>
        <v>1274</v>
      </c>
      <c r="H31" s="85">
        <f>SUM('Game Results'!H102+'Game Results'!H120+'Game Results'!H599+'Game Results'!H617+'Game Results'!H642+'Game Results'!H660+'Game Results'!H894+'Game Results'!H1193+'Game Results'!H1175+'Game Results'!H1308+'Game Results'!H1290+'Game Results'!H912+'Game Results'!H1409+'Game Results'!H1391+'Game Results'!H480)</f>
        <v>5</v>
      </c>
      <c r="I31" s="85">
        <f>SUM('Game Results'!I102+'Game Results'!I120+'Game Results'!I599+'Game Results'!I617+'Game Results'!I642+'Game Results'!I660+'Game Results'!I894+'Game Results'!I1193+'Game Results'!I1175+'Game Results'!I1308+'Game Results'!I1290+'Game Results'!I912+'Game Results'!I1409+'Game Results'!I1391+'Game Results'!I480)</f>
        <v>1274</v>
      </c>
      <c r="J31" s="85">
        <f>SUM('Game Results'!J102+'Game Results'!J120+'Game Results'!J599+'Game Results'!J617+'Game Results'!J642+'Game Results'!J660+'Game Results'!J894+'Game Results'!J1193+'Game Results'!J1175+'Game Results'!J1308+'Game Results'!J1290+'Game Results'!J912+'Game Results'!J1409+'Game Results'!J1391+'Game Results'!J480)</f>
        <v>0</v>
      </c>
      <c r="K31" s="87">
        <f t="shared" si="1"/>
        <v>1</v>
      </c>
      <c r="L31" s="85">
        <f>SUM('Game Results'!L102+'Game Results'!L120+'Game Results'!L599+'Game Results'!L617+'Game Results'!L642+'Game Results'!L660+'Game Results'!L894+'Game Results'!L1193+'Game Results'!L1175+'Game Results'!L1308+'Game Results'!L1290+'Game Results'!L912+'Game Results'!L1409+'Game Results'!L1391+'Game Results'!L480)</f>
        <v>185</v>
      </c>
      <c r="M31" s="85">
        <f>SUM('Game Results'!M102+'Game Results'!M120+'Game Results'!M599+'Game Results'!M617+'Game Results'!M642+'Game Results'!M660+'Game Results'!M894+'Game Results'!M1193+'Game Results'!M1175+'Game Results'!M1308+'Game Results'!M1290+'Game Results'!M912+'Game Results'!M1409+'Game Results'!M1391+'Game Results'!M480)</f>
        <v>1656</v>
      </c>
      <c r="N31" s="85">
        <f>SUM('Game Results'!N102+'Game Results'!N120+'Game Results'!N599+'Game Results'!N617+'Game Results'!N642+'Game Results'!N660+'Game Results'!N894+'Game Results'!N1193+'Game Results'!N1175+'Game Results'!N1308+'Game Results'!N1290+'Game Results'!N912+'Game Results'!N1409+'Game Results'!N1391+'Game Results'!N480)</f>
        <v>15</v>
      </c>
      <c r="O31" s="88">
        <f>SUM('Game Results'!O102+'Game Results'!O120+'Game Results'!O599+'Game Results'!O617+'Game Results'!O642+'Game Results'!O660+'Game Results'!O894+'Game Results'!O1193+'Game Results'!O1175+'Game Results'!O1308+'Game Results'!O1290+'Game Results'!O912+'Game Results'!O1409+'Game Results'!O1391+'Game Results'!O480)</f>
        <v>319.1333333</v>
      </c>
      <c r="P31" s="85">
        <f>SUM('Game Results'!P102+'Game Results'!P120+'Game Results'!P599+'Game Results'!P617+'Game Results'!P642+'Game Results'!P660+'Game Results'!P894+'Game Results'!P1193+'Game Results'!P1175+'Game Results'!P1308+'Game Results'!P1290+'Game Results'!P912+'Game Results'!P1409+'Game Results'!P1391+'Game Results'!P480)</f>
        <v>50</v>
      </c>
      <c r="Q31" s="85">
        <f>SUM('Game Results'!Q102+'Game Results'!Q120+'Game Results'!Q599+'Game Results'!Q617+'Game Results'!Q642+'Game Results'!Q660+'Game Results'!Q894+'Game Results'!Q1193+'Game Results'!Q1175+'Game Results'!Q1308+'Game Results'!Q1290+'Game Results'!Q912+'Game Results'!Q1409+'Game Results'!Q1391+'Game Results'!Q480)</f>
        <v>22</v>
      </c>
      <c r="R31" s="85">
        <f>SUM('Game Results'!R102+'Game Results'!R120+'Game Results'!R599+'Game Results'!R617+'Game Results'!R642+'Game Results'!R660+'Game Results'!R894+'Game Results'!R1193+'Game Results'!R1175+'Game Results'!R1308+'Game Results'!R1290+'Game Results'!R912+'Game Results'!R1409+'Game Results'!R1391+'Game Results'!R480)</f>
        <v>57</v>
      </c>
      <c r="S31" s="85">
        <f>SUM('Game Results'!S102+'Game Results'!S120+'Game Results'!S599+'Game Results'!S617+'Game Results'!S642+'Game Results'!S660+'Game Results'!S894+'Game Results'!S1193+'Game Results'!S1175+'Game Results'!S1308+'Game Results'!S1290+'Game Results'!S912+'Game Results'!S1409+'Game Results'!S1391+'Game Results'!S480)</f>
        <v>31</v>
      </c>
      <c r="T31" s="85">
        <f>SUM('Game Results'!T102+'Game Results'!T120+'Game Results'!T599+'Game Results'!T617+'Game Results'!T642+'Game Results'!T660+'Game Results'!T894+'Game Results'!T1193+'Game Results'!T1175+'Game Results'!T1308+'Game Results'!T1290+'Game Results'!T912+'Game Results'!T1409+'Game Results'!T1391+'Game Results'!T480)</f>
        <v>189</v>
      </c>
      <c r="U31" s="85">
        <f>SUM('Game Results'!U102+'Game Results'!U120+'Game Results'!U599+'Game Results'!U617+'Game Results'!U642+'Game Results'!U660+'Game Results'!U894+'Game Results'!U1193+'Game Results'!U1175+'Game Results'!U1308+'Game Results'!U1290+'Game Results'!U912+'Game Results'!U1409+'Game Results'!U1391+'Game Results'!U480)</f>
        <v>48</v>
      </c>
      <c r="V31" s="85">
        <f>SUM('Game Results'!V102+'Game Results'!V120+'Game Results'!V599+'Game Results'!V617+'Game Results'!V642+'Game Results'!V660+'Game Results'!V894+'Game Results'!V1193+'Game Results'!V1175+'Game Results'!V1308+'Game Results'!V1290+'Game Results'!V912+'Game Results'!V1409+'Game Results'!V1391+'Game Results'!V480)</f>
        <v>18</v>
      </c>
      <c r="W31" s="85">
        <f>SUM('Game Results'!W102+'Game Results'!W120+'Game Results'!W599+'Game Results'!W617+'Game Results'!W642+'Game Results'!W660+'Game Results'!W894+'Game Results'!W1193+'Game Results'!W1175+'Game Results'!W1308+'Game Results'!W1290+'Game Results'!W912+'Game Results'!W1409+'Game Results'!W1391+'Game Results'!W480)</f>
        <v>2</v>
      </c>
      <c r="X31" s="85">
        <f>SUM('Game Results'!X102+'Game Results'!X120+'Game Results'!X599+'Game Results'!X617+'Game Results'!X642+'Game Results'!X660+'Game Results'!X894+'Game Results'!X1193+'Game Results'!X1175+'Game Results'!X1308+'Game Results'!X1290+'Game Results'!X912+'Game Results'!X1409+'Game Results'!X1391+'Game Results'!X480)</f>
        <v>0</v>
      </c>
      <c r="Y31" s="85">
        <f>SUM('Game Results'!Y102+'Game Results'!Y120+'Game Results'!Y599+'Game Results'!Y617+'Game Results'!Y642+'Game Results'!Y660+'Game Results'!Y894+'Game Results'!Y1193+'Game Results'!Y1175+'Game Results'!Y1308+'Game Results'!Y1290+'Game Results'!Y912+'Game Results'!Y1409+'Game Results'!Y1391+'Game Results'!Y480)</f>
        <v>0</v>
      </c>
      <c r="Z31" s="85">
        <f>SUM('Game Results'!Z102+'Game Results'!Z120+'Game Results'!Z599+'Game Results'!Z617+'Game Results'!Z642+'Game Results'!Z660+'Game Results'!Z894+'Game Results'!Z1193+'Game Results'!Z1175+'Game Results'!Z1308+'Game Results'!Z1290+'Game Results'!Z912+'Game Results'!Z1409+'Game Results'!Z1391+'Game Results'!Z480)</f>
        <v>0</v>
      </c>
      <c r="AA31" s="85">
        <f>SUM('Game Results'!AA102+'Game Results'!AA120+'Game Results'!AA599+'Game Results'!AA617+'Game Results'!AA642+'Game Results'!AA660+'Game Results'!AA894+'Game Results'!AA1193+'Game Results'!AA1175+'Game Results'!AA1308+'Game Results'!AA1290+'Game Results'!AA912+'Game Results'!AA1409+'Game Results'!AA1391+'Game Results'!AA480)</f>
        <v>0</v>
      </c>
      <c r="AB31" s="85">
        <f>SUM('Game Results'!AB102+'Game Results'!AB120+'Game Results'!AB599+'Game Results'!AB617+'Game Results'!AB642+'Game Results'!AB660+'Game Results'!AB894+'Game Results'!AB1193+'Game Results'!AB1175+'Game Results'!AB1308+'Game Results'!AB1290+'Game Results'!AB912+'Game Results'!AB1409+'Game Results'!AB1391+'Game Results'!AB480)</f>
        <v>0</v>
      </c>
      <c r="AC31" s="85">
        <f>SUM('Game Results'!AC102+'Game Results'!AC120+'Game Results'!AC599+'Game Results'!AC617+'Game Results'!AC642+'Game Results'!AC660+'Game Results'!AC894+'Game Results'!AC1193+'Game Results'!AC1175+'Game Results'!AC1308+'Game Results'!AC1290+'Game Results'!AC912+'Game Results'!AC1409+'Game Results'!AC1391+'Game Results'!AC480)</f>
        <v>33</v>
      </c>
      <c r="AD31" s="85">
        <f>SUM('Game Results'!AD102+'Game Results'!AD120+'Game Results'!AD599+'Game Results'!AD617+'Game Results'!AD642+'Game Results'!AD660+'Game Results'!AD894+'Game Results'!AD1193+'Game Results'!AD1175+'Game Results'!AD1308+'Game Results'!AD1290+'Game Results'!AD912+'Game Results'!AD1409+'Game Results'!AD1391+'Game Results'!AD480)</f>
        <v>1</v>
      </c>
      <c r="AE31" s="85">
        <f>SUM('Game Results'!AE102+'Game Results'!AE120+'Game Results'!AE599+'Game Results'!AE617+'Game Results'!AE642+'Game Results'!AE660+'Game Results'!AE894+'Game Results'!AE1193+'Game Results'!AE1175+'Game Results'!AE1308+'Game Results'!AE1290+'Game Results'!AE912+'Game Results'!AE1409+'Game Results'!AE1391+'Game Results'!AE480)</f>
        <v>0</v>
      </c>
      <c r="AF31" s="85">
        <f>SUM('Game Results'!AF102+'Game Results'!AF120+'Game Results'!AF599+'Game Results'!AF617+'Game Results'!AF642+'Game Results'!AF660+'Game Results'!AF894+'Game Results'!AF1193+'Game Results'!AF1175+'Game Results'!AF1308+'Game Results'!AF1290+'Game Results'!AF912+'Game Results'!AF1409+'Game Results'!AF1391+'Game Results'!AF480)</f>
        <v>0</v>
      </c>
      <c r="AG31" s="85">
        <f>SUM('Game Results'!AG102+'Game Results'!AG120+'Game Results'!AG599+'Game Results'!AG617+'Game Results'!AG642+'Game Results'!AG660+'Game Results'!AG894+'Game Results'!AG1193+'Game Results'!AG1175+'Game Results'!AG1308+'Game Results'!AG1290+'Game Results'!AG912+'Game Results'!AG1409+'Game Results'!AG1391+'Game Results'!AG480)</f>
        <v>0</v>
      </c>
      <c r="AH31" s="85">
        <f>SUM('Game Results'!AH102+'Game Results'!AH120+'Game Results'!AH599+'Game Results'!AH617+'Game Results'!AH642+'Game Results'!AH660+'Game Results'!AH894+'Game Results'!AH1193+'Game Results'!AH1175+'Game Results'!AH1308+'Game Results'!AH1290+'Game Results'!AH912+'Game Results'!AH1409+'Game Results'!AH1391+'Game Results'!AH480)</f>
        <v>1</v>
      </c>
    </row>
    <row r="32">
      <c r="A32" s="83" t="s">
        <v>56</v>
      </c>
      <c r="B32" s="84" t="s">
        <v>204</v>
      </c>
      <c r="C32" s="85">
        <f>SUM('Game Results'!C103+'Game Results'!C121+'Game Results'!C600+'Game Results'!C618+'Game Results'!C643+'Game Results'!C661+'Game Results'!C895+'Game Results'!C1194+'Game Results'!C1176+'Game Results'!C1309+'Game Results'!C1291+'Game Results'!C913+'Game Results'!C1410+'Game Results'!C1392+'Game Results'!C481)</f>
        <v>15</v>
      </c>
      <c r="D32" s="85">
        <f>SUM('Game Results'!D103+'Game Results'!D121+'Game Results'!D600+'Game Results'!D618+'Game Results'!D643+'Game Results'!D661+'Game Results'!D895+'Game Results'!D1194+'Game Results'!D1176+'Game Results'!D1309+'Game Results'!D1291+'Game Results'!D913+'Game Results'!D1410+'Game Results'!D1392+'Game Results'!D481)</f>
        <v>3</v>
      </c>
      <c r="E32" s="86">
        <f>SUM('Game Results'!E103+'Game Results'!E121+'Game Results'!E600+'Game Results'!E618+'Game Results'!E643+'Game Results'!E661+'Game Results'!E895+'Game Results'!E1194+'Game Results'!E1176+'Game Results'!E1309+'Game Results'!E1291+'Game Results'!E913+'Game Results'!E1410+'Game Results'!E1392+'Game Results'!E481)</f>
        <v>321.0166667</v>
      </c>
      <c r="F32" s="85">
        <f>SUM('Game Results'!F103+'Game Results'!F121+'Game Results'!F600+'Game Results'!F618+'Game Results'!F643+'Game Results'!F661+'Game Results'!F895+'Game Results'!F1194+'Game Results'!F1176+'Game Results'!F1309+'Game Results'!F1291+'Game Results'!F913+'Game Results'!F1410+'Game Results'!F1392+'Game Results'!F481)</f>
        <v>4</v>
      </c>
      <c r="G32" s="85">
        <f>SUM('Game Results'!G103+'Game Results'!G121+'Game Results'!G600+'Game Results'!G618+'Game Results'!G643+'Game Results'!G661+'Game Results'!G895+'Game Results'!G1194+'Game Results'!G1176+'Game Results'!G1309+'Game Results'!G1291+'Game Results'!G913+'Game Results'!G1410+'Game Results'!G1392+'Game Results'!G481)</f>
        <v>1214</v>
      </c>
      <c r="H32" s="85">
        <f>SUM('Game Results'!H103+'Game Results'!H121+'Game Results'!H600+'Game Results'!H618+'Game Results'!H643+'Game Results'!H661+'Game Results'!H895+'Game Results'!H1194+'Game Results'!H1176+'Game Results'!H1309+'Game Results'!H1291+'Game Results'!H913+'Game Results'!H1410+'Game Results'!H1392+'Game Results'!H481)</f>
        <v>11</v>
      </c>
      <c r="I32" s="85">
        <f>SUM('Game Results'!I103+'Game Results'!I121+'Game Results'!I600+'Game Results'!I618+'Game Results'!I643+'Game Results'!I661+'Game Results'!I895+'Game Results'!I1194+'Game Results'!I1176+'Game Results'!I1309+'Game Results'!I1291+'Game Results'!I913+'Game Results'!I1410+'Game Results'!I1392+'Game Results'!I481)</f>
        <v>1249</v>
      </c>
      <c r="J32" s="85">
        <f>SUM('Game Results'!J103+'Game Results'!J121+'Game Results'!J600+'Game Results'!J618+'Game Results'!J643+'Game Results'!J661+'Game Results'!J895+'Game Results'!J1194+'Game Results'!J1176+'Game Results'!J1309+'Game Results'!J1291+'Game Results'!J913+'Game Results'!J1410+'Game Results'!J1392+'Game Results'!J481)</f>
        <v>-35</v>
      </c>
      <c r="K32" s="87">
        <f t="shared" si="1"/>
        <v>0.9719775821</v>
      </c>
      <c r="L32" s="85">
        <f>SUM('Game Results'!L103+'Game Results'!L121+'Game Results'!L600+'Game Results'!L618+'Game Results'!L643+'Game Results'!L661+'Game Results'!L895+'Game Results'!L1194+'Game Results'!L1176+'Game Results'!L1309+'Game Results'!L1291+'Game Results'!L913+'Game Results'!L1410+'Game Results'!L1392+'Game Results'!L481)</f>
        <v>195</v>
      </c>
      <c r="M32" s="85">
        <f>SUM('Game Results'!M103+'Game Results'!M121+'Game Results'!M600+'Game Results'!M618+'Game Results'!M643+'Game Results'!M661+'Game Results'!M895+'Game Results'!M1194+'Game Results'!M1176+'Game Results'!M1309+'Game Results'!M1291+'Game Results'!M913+'Game Results'!M1410+'Game Results'!M1392+'Game Results'!M481)</f>
        <v>1516</v>
      </c>
      <c r="N32" s="85">
        <f>SUM('Game Results'!N103+'Game Results'!N121+'Game Results'!N600+'Game Results'!N618+'Game Results'!N643+'Game Results'!N661+'Game Results'!N895+'Game Results'!N1194+'Game Results'!N1176+'Game Results'!N1309+'Game Results'!N1291+'Game Results'!N913+'Game Results'!N1410+'Game Results'!N1392+'Game Results'!N481)</f>
        <v>15</v>
      </c>
      <c r="O32" s="88">
        <f>SUM('Game Results'!O103+'Game Results'!O121+'Game Results'!O600+'Game Results'!O618+'Game Results'!O643+'Game Results'!O661+'Game Results'!O895+'Game Results'!O1194+'Game Results'!O1176+'Game Results'!O1309+'Game Results'!O1291+'Game Results'!O913+'Game Results'!O1410+'Game Results'!O1392+'Game Results'!O481)</f>
        <v>321.0166667</v>
      </c>
      <c r="P32" s="85">
        <f>SUM('Game Results'!P103+'Game Results'!P121+'Game Results'!P600+'Game Results'!P618+'Game Results'!P643+'Game Results'!P661+'Game Results'!P895+'Game Results'!P1194+'Game Results'!P1176+'Game Results'!P1309+'Game Results'!P1291+'Game Results'!P913+'Game Results'!P1410+'Game Results'!P1392+'Game Results'!P481)</f>
        <v>36</v>
      </c>
      <c r="Q32" s="85">
        <f>SUM('Game Results'!Q103+'Game Results'!Q121+'Game Results'!Q600+'Game Results'!Q618+'Game Results'!Q643+'Game Results'!Q661+'Game Results'!Q895+'Game Results'!Q1194+'Game Results'!Q1176+'Game Results'!Q1309+'Game Results'!Q1291+'Game Results'!Q913+'Game Results'!Q1410+'Game Results'!Q1392+'Game Results'!Q481)</f>
        <v>24</v>
      </c>
      <c r="R32" s="85">
        <f>SUM('Game Results'!R103+'Game Results'!R121+'Game Results'!R600+'Game Results'!R618+'Game Results'!R643+'Game Results'!R661+'Game Results'!R895+'Game Results'!R1194+'Game Results'!R1176+'Game Results'!R1309+'Game Results'!R1291+'Game Results'!R913+'Game Results'!R1410+'Game Results'!R1392+'Game Results'!R481)</f>
        <v>88</v>
      </c>
      <c r="S32" s="85">
        <f>SUM('Game Results'!S103+'Game Results'!S121+'Game Results'!S600+'Game Results'!S618+'Game Results'!S643+'Game Results'!S661+'Game Results'!S895+'Game Results'!S1194+'Game Results'!S1176+'Game Results'!S1309+'Game Results'!S1291+'Game Results'!S913+'Game Results'!S1410+'Game Results'!S1392+'Game Results'!S481)</f>
        <v>20</v>
      </c>
      <c r="T32" s="85">
        <f>SUM('Game Results'!T103+'Game Results'!T121+'Game Results'!T600+'Game Results'!T618+'Game Results'!T643+'Game Results'!T661+'Game Results'!T895+'Game Results'!T1194+'Game Results'!T1176+'Game Results'!T1309+'Game Results'!T1291+'Game Results'!T913+'Game Results'!T1410+'Game Results'!T1392+'Game Results'!T481)</f>
        <v>157</v>
      </c>
      <c r="U32" s="85">
        <f>SUM('Game Results'!U103+'Game Results'!U121+'Game Results'!U600+'Game Results'!U618+'Game Results'!U643+'Game Results'!U661+'Game Results'!U895+'Game Results'!U1194+'Game Results'!U1176+'Game Results'!U1309+'Game Results'!U1291+'Game Results'!U913+'Game Results'!U1410+'Game Results'!U1392+'Game Results'!U481)</f>
        <v>30</v>
      </c>
      <c r="V32" s="85">
        <f>SUM('Game Results'!V103+'Game Results'!V121+'Game Results'!V600+'Game Results'!V618+'Game Results'!V643+'Game Results'!V661+'Game Results'!V895+'Game Results'!V1194+'Game Results'!V1176+'Game Results'!V1309+'Game Results'!V1291+'Game Results'!V913+'Game Results'!V1410+'Game Results'!V1392+'Game Results'!V481)</f>
        <v>10</v>
      </c>
      <c r="W32" s="85">
        <f>SUM('Game Results'!W103+'Game Results'!W121+'Game Results'!W600+'Game Results'!W618+'Game Results'!W643+'Game Results'!W661+'Game Results'!W895+'Game Results'!W1194+'Game Results'!W1176+'Game Results'!W1309+'Game Results'!W1291+'Game Results'!W913+'Game Results'!W1410+'Game Results'!W1392+'Game Results'!W481)</f>
        <v>3</v>
      </c>
      <c r="X32" s="85">
        <f>SUM('Game Results'!X103+'Game Results'!X121+'Game Results'!X600+'Game Results'!X618+'Game Results'!X643+'Game Results'!X661+'Game Results'!X895+'Game Results'!X1194+'Game Results'!X1176+'Game Results'!X1309+'Game Results'!X1291+'Game Results'!X913+'Game Results'!X1410+'Game Results'!X1392+'Game Results'!X481)</f>
        <v>1</v>
      </c>
      <c r="Y32" s="85">
        <f>SUM('Game Results'!Y103+'Game Results'!Y121+'Game Results'!Y600+'Game Results'!Y618+'Game Results'!Y643+'Game Results'!Y661+'Game Results'!Y895+'Game Results'!Y1194+'Game Results'!Y1176+'Game Results'!Y1309+'Game Results'!Y1291+'Game Results'!Y913+'Game Results'!Y1410+'Game Results'!Y1392+'Game Results'!Y481)</f>
        <v>0</v>
      </c>
      <c r="Z32" s="85">
        <f>SUM('Game Results'!Z103+'Game Results'!Z121+'Game Results'!Z600+'Game Results'!Z618+'Game Results'!Z643+'Game Results'!Z661+'Game Results'!Z895+'Game Results'!Z1194+'Game Results'!Z1176+'Game Results'!Z1309+'Game Results'!Z1291+'Game Results'!Z913+'Game Results'!Z1410+'Game Results'!Z1392+'Game Results'!Z481)</f>
        <v>0</v>
      </c>
      <c r="AA32" s="85">
        <f>SUM('Game Results'!AA103+'Game Results'!AA121+'Game Results'!AA600+'Game Results'!AA618+'Game Results'!AA643+'Game Results'!AA661+'Game Results'!AA895+'Game Results'!AA1194+'Game Results'!AA1176+'Game Results'!AA1309+'Game Results'!AA1291+'Game Results'!AA913+'Game Results'!AA1410+'Game Results'!AA1392+'Game Results'!AA481)</f>
        <v>0</v>
      </c>
      <c r="AB32" s="85">
        <f>SUM('Game Results'!AB103+'Game Results'!AB121+'Game Results'!AB600+'Game Results'!AB618+'Game Results'!AB643+'Game Results'!AB661+'Game Results'!AB895+'Game Results'!AB1194+'Game Results'!AB1176+'Game Results'!AB1309+'Game Results'!AB1291+'Game Results'!AB913+'Game Results'!AB1410+'Game Results'!AB1392+'Game Results'!AB481)</f>
        <v>0</v>
      </c>
      <c r="AC32" s="85">
        <f>SUM('Game Results'!AC103+'Game Results'!AC121+'Game Results'!AC600+'Game Results'!AC618+'Game Results'!AC643+'Game Results'!AC661+'Game Results'!AC895+'Game Results'!AC1194+'Game Results'!AC1176+'Game Results'!AC1309+'Game Results'!AC1291+'Game Results'!AC913+'Game Results'!AC1410+'Game Results'!AC1392+'Game Results'!AC481)</f>
        <v>14</v>
      </c>
      <c r="AD32" s="85">
        <f>SUM('Game Results'!AD103+'Game Results'!AD121+'Game Results'!AD600+'Game Results'!AD618+'Game Results'!AD643+'Game Results'!AD661+'Game Results'!AD895+'Game Results'!AD1194+'Game Results'!AD1176+'Game Results'!AD1309+'Game Results'!AD1291+'Game Results'!AD913+'Game Results'!AD1410+'Game Results'!AD1392+'Game Results'!AD481)</f>
        <v>0</v>
      </c>
      <c r="AE32" s="85">
        <f>SUM('Game Results'!AE103+'Game Results'!AE121+'Game Results'!AE600+'Game Results'!AE618+'Game Results'!AE643+'Game Results'!AE661+'Game Results'!AE895+'Game Results'!AE1194+'Game Results'!AE1176+'Game Results'!AE1309+'Game Results'!AE1291+'Game Results'!AE913+'Game Results'!AE1410+'Game Results'!AE1392+'Game Results'!AE481)</f>
        <v>0</v>
      </c>
      <c r="AF32" s="85">
        <f>SUM('Game Results'!AF103+'Game Results'!AF121+'Game Results'!AF600+'Game Results'!AF618+'Game Results'!AF643+'Game Results'!AF661+'Game Results'!AF895+'Game Results'!AF1194+'Game Results'!AF1176+'Game Results'!AF1309+'Game Results'!AF1291+'Game Results'!AF913+'Game Results'!AF1410+'Game Results'!AF1392+'Game Results'!AF481)</f>
        <v>0</v>
      </c>
      <c r="AG32" s="85">
        <f>SUM('Game Results'!AG103+'Game Results'!AG121+'Game Results'!AG600+'Game Results'!AG618+'Game Results'!AG643+'Game Results'!AG661+'Game Results'!AG895+'Game Results'!AG1194+'Game Results'!AG1176+'Game Results'!AG1309+'Game Results'!AG1291+'Game Results'!AG913+'Game Results'!AG1410+'Game Results'!AG1392+'Game Results'!AG481)</f>
        <v>0</v>
      </c>
      <c r="AH32" s="85">
        <f>SUM('Game Results'!AH103+'Game Results'!AH121+'Game Results'!AH600+'Game Results'!AH618+'Game Results'!AH643+'Game Results'!AH661+'Game Results'!AH895+'Game Results'!AH1194+'Game Results'!AH1176+'Game Results'!AH1309+'Game Results'!AH1291+'Game Results'!AH913+'Game Results'!AH1410+'Game Results'!AH1392+'Game Results'!AH481)</f>
        <v>0</v>
      </c>
    </row>
    <row r="33">
      <c r="A33" s="83" t="s">
        <v>56</v>
      </c>
      <c r="B33" s="84" t="s">
        <v>205</v>
      </c>
      <c r="C33" s="85">
        <f>SUM('Game Results'!C104+'Game Results'!C122+'Game Results'!C601+'Game Results'!C619+'Game Results'!C644+'Game Results'!C662+'Game Results'!C896+'Game Results'!C1195+'Game Results'!C1177+'Game Results'!C1310+'Game Results'!C1292+'Game Results'!C914+'Game Results'!C1411+'Game Results'!C1393+'Game Results'!C482)</f>
        <v>8</v>
      </c>
      <c r="D33" s="85">
        <f>SUM('Game Results'!D104+'Game Results'!D122+'Game Results'!D601+'Game Results'!D619+'Game Results'!D644+'Game Results'!D662+'Game Results'!D896+'Game Results'!D1195+'Game Results'!D1177+'Game Results'!D1310+'Game Results'!D1292+'Game Results'!D914+'Game Results'!D1411+'Game Results'!D1393+'Game Results'!D482)</f>
        <v>1</v>
      </c>
      <c r="E33" s="86">
        <f>SUM('Game Results'!E104+'Game Results'!E122+'Game Results'!E601+'Game Results'!E619+'Game Results'!E644+'Game Results'!E662+'Game Results'!E896+'Game Results'!E1195+'Game Results'!E1177+'Game Results'!E1310+'Game Results'!E1292+'Game Results'!E914+'Game Results'!E1411+'Game Results'!E1393+'Game Results'!E482)</f>
        <v>169.5333333</v>
      </c>
      <c r="F33" s="85">
        <f>SUM('Game Results'!F104+'Game Results'!F122+'Game Results'!F601+'Game Results'!F619+'Game Results'!F644+'Game Results'!F662+'Game Results'!F896+'Game Results'!F1195+'Game Results'!F1177+'Game Results'!F1310+'Game Results'!F1292+'Game Results'!F914+'Game Results'!F1411+'Game Results'!F1393+'Game Results'!F482)</f>
        <v>2</v>
      </c>
      <c r="G33" s="85">
        <f>SUM('Game Results'!G104+'Game Results'!G122+'Game Results'!G601+'Game Results'!G619+'Game Results'!G644+'Game Results'!G662+'Game Results'!G896+'Game Results'!G1195+'Game Results'!G1177+'Game Results'!G1310+'Game Results'!G1292+'Game Results'!G914+'Game Results'!G1411+'Game Results'!G1393+'Game Results'!G482)</f>
        <v>671</v>
      </c>
      <c r="H33" s="85">
        <f>SUM('Game Results'!H104+'Game Results'!H122+'Game Results'!H601+'Game Results'!H619+'Game Results'!H644+'Game Results'!H662+'Game Results'!H896+'Game Results'!H1195+'Game Results'!H1177+'Game Results'!H1310+'Game Results'!H1292+'Game Results'!H914+'Game Results'!H1411+'Game Results'!H1393+'Game Results'!H482)</f>
        <v>3</v>
      </c>
      <c r="I33" s="85">
        <f>SUM('Game Results'!I104+'Game Results'!I122+'Game Results'!I601+'Game Results'!I619+'Game Results'!I644+'Game Results'!I662+'Game Results'!I896+'Game Results'!I1195+'Game Results'!I1177+'Game Results'!I1310+'Game Results'!I1292+'Game Results'!I914+'Game Results'!I1411+'Game Results'!I1393+'Game Results'!I482)</f>
        <v>635</v>
      </c>
      <c r="J33" s="85">
        <f>SUM('Game Results'!J104+'Game Results'!J122+'Game Results'!J601+'Game Results'!J619+'Game Results'!J644+'Game Results'!J662+'Game Results'!J896+'Game Results'!J1195+'Game Results'!J1177+'Game Results'!J1310+'Game Results'!J1292+'Game Results'!J914+'Game Results'!J1411+'Game Results'!J1393+'Game Results'!J482)</f>
        <v>36</v>
      </c>
      <c r="K33" s="87">
        <f t="shared" si="1"/>
        <v>1.056692913</v>
      </c>
      <c r="L33" s="85">
        <f>SUM('Game Results'!L104+'Game Results'!L122+'Game Results'!L601+'Game Results'!L619+'Game Results'!L644+'Game Results'!L662+'Game Results'!L896+'Game Results'!L1195+'Game Results'!L1177+'Game Results'!L1310+'Game Results'!L1292+'Game Results'!L914+'Game Results'!L1411+'Game Results'!L1393+'Game Results'!L482)</f>
        <v>108</v>
      </c>
      <c r="M33" s="85">
        <f>SUM('Game Results'!M104+'Game Results'!M122+'Game Results'!M601+'Game Results'!M619+'Game Results'!M644+'Game Results'!M662+'Game Results'!M896+'Game Results'!M1195+'Game Results'!M1177+'Game Results'!M1310+'Game Results'!M1292+'Game Results'!M914+'Game Results'!M1411+'Game Results'!M1393+'Game Results'!M482)</f>
        <v>877</v>
      </c>
      <c r="N33" s="85">
        <f>SUM('Game Results'!N104+'Game Results'!N122+'Game Results'!N601+'Game Results'!N619+'Game Results'!N644+'Game Results'!N662+'Game Results'!N896+'Game Results'!N1195+'Game Results'!N1177+'Game Results'!N1310+'Game Results'!N1292+'Game Results'!N914+'Game Results'!N1411+'Game Results'!N1393+'Game Results'!N482)</f>
        <v>8</v>
      </c>
      <c r="O33" s="88">
        <f>SUM('Game Results'!O104+'Game Results'!O122+'Game Results'!O601+'Game Results'!O619+'Game Results'!O644+'Game Results'!O662+'Game Results'!O896+'Game Results'!O1195+'Game Results'!O1177+'Game Results'!O1310+'Game Results'!O1292+'Game Results'!O914+'Game Results'!O1411+'Game Results'!O1393+'Game Results'!O482)</f>
        <v>169.5333333</v>
      </c>
      <c r="P33" s="85">
        <f>SUM('Game Results'!P104+'Game Results'!P122+'Game Results'!P601+'Game Results'!P619+'Game Results'!P644+'Game Results'!P662+'Game Results'!P896+'Game Results'!P1195+'Game Results'!P1177+'Game Results'!P1310+'Game Results'!P1292+'Game Results'!P914+'Game Results'!P1411+'Game Results'!P1393+'Game Results'!P482)</f>
        <v>23</v>
      </c>
      <c r="Q33" s="85">
        <f>SUM('Game Results'!Q104+'Game Results'!Q122+'Game Results'!Q601+'Game Results'!Q619+'Game Results'!Q644+'Game Results'!Q662+'Game Results'!Q896+'Game Results'!Q1195+'Game Results'!Q1177+'Game Results'!Q1310+'Game Results'!Q1292+'Game Results'!Q914+'Game Results'!Q1411+'Game Results'!Q1393+'Game Results'!Q482)</f>
        <v>7</v>
      </c>
      <c r="R33" s="85">
        <f>SUM('Game Results'!R104+'Game Results'!R122+'Game Results'!R601+'Game Results'!R619+'Game Results'!R644+'Game Results'!R662+'Game Results'!R896+'Game Results'!R1195+'Game Results'!R1177+'Game Results'!R1310+'Game Results'!R1292+'Game Results'!R914+'Game Results'!R1411+'Game Results'!R1393+'Game Results'!R482)</f>
        <v>35</v>
      </c>
      <c r="S33" s="85">
        <f>SUM('Game Results'!S104+'Game Results'!S122+'Game Results'!S601+'Game Results'!S619+'Game Results'!S644+'Game Results'!S662+'Game Results'!S896+'Game Results'!S1195+'Game Results'!S1177+'Game Results'!S1310+'Game Results'!S1292+'Game Results'!S914+'Game Results'!S1411+'Game Results'!S1393+'Game Results'!S482)</f>
        <v>13</v>
      </c>
      <c r="T33" s="85">
        <f>SUM('Game Results'!T104+'Game Results'!T122+'Game Results'!T601+'Game Results'!T619+'Game Results'!T644+'Game Results'!T662+'Game Results'!T896+'Game Results'!T1195+'Game Results'!T1177+'Game Results'!T1310+'Game Results'!T1292+'Game Results'!T914+'Game Results'!T1411+'Game Results'!T1393+'Game Results'!T482)</f>
        <v>104</v>
      </c>
      <c r="U33" s="85">
        <f>SUM('Game Results'!U104+'Game Results'!U122+'Game Results'!U601+'Game Results'!U619+'Game Results'!U644+'Game Results'!U662+'Game Results'!U896+'Game Results'!U1195+'Game Results'!U1177+'Game Results'!U1310+'Game Results'!U1292+'Game Results'!U914+'Game Results'!U1411+'Game Results'!U1393+'Game Results'!U482)</f>
        <v>26</v>
      </c>
      <c r="V33" s="85">
        <f>SUM('Game Results'!V104+'Game Results'!V122+'Game Results'!V601+'Game Results'!V619+'Game Results'!V644+'Game Results'!V662+'Game Results'!V896+'Game Results'!V1195+'Game Results'!V1177+'Game Results'!V1310+'Game Results'!V1292+'Game Results'!V914+'Game Results'!V1411+'Game Results'!V1393+'Game Results'!V482)</f>
        <v>7</v>
      </c>
      <c r="W33" s="85">
        <f>SUM('Game Results'!W104+'Game Results'!W122+'Game Results'!W601+'Game Results'!W619+'Game Results'!W644+'Game Results'!W662+'Game Results'!W896+'Game Results'!W1195+'Game Results'!W1177+'Game Results'!W1310+'Game Results'!W1292+'Game Results'!W914+'Game Results'!W1411+'Game Results'!W1393+'Game Results'!W482)</f>
        <v>1</v>
      </c>
      <c r="X33" s="85">
        <f>SUM('Game Results'!X104+'Game Results'!X122+'Game Results'!X601+'Game Results'!X619+'Game Results'!X644+'Game Results'!X662+'Game Results'!X896+'Game Results'!X1195+'Game Results'!X1177+'Game Results'!X1310+'Game Results'!X1292+'Game Results'!X914+'Game Results'!X1411+'Game Results'!X1393+'Game Results'!X482)</f>
        <v>0</v>
      </c>
      <c r="Y33" s="85">
        <f>SUM('Game Results'!Y104+'Game Results'!Y122+'Game Results'!Y601+'Game Results'!Y619+'Game Results'!Y644+'Game Results'!Y662+'Game Results'!Y896+'Game Results'!Y1195+'Game Results'!Y1177+'Game Results'!Y1310+'Game Results'!Y1292+'Game Results'!Y914+'Game Results'!Y1411+'Game Results'!Y1393+'Game Results'!Y482)</f>
        <v>0</v>
      </c>
      <c r="Z33" s="85">
        <f>SUM('Game Results'!Z104+'Game Results'!Z122+'Game Results'!Z601+'Game Results'!Z619+'Game Results'!Z644+'Game Results'!Z662+'Game Results'!Z896+'Game Results'!Z1195+'Game Results'!Z1177+'Game Results'!Z1310+'Game Results'!Z1292+'Game Results'!Z914+'Game Results'!Z1411+'Game Results'!Z1393+'Game Results'!Z482)</f>
        <v>0</v>
      </c>
      <c r="AA33" s="85">
        <f>SUM('Game Results'!AA104+'Game Results'!AA122+'Game Results'!AA601+'Game Results'!AA619+'Game Results'!AA644+'Game Results'!AA662+'Game Results'!AA896+'Game Results'!AA1195+'Game Results'!AA1177+'Game Results'!AA1310+'Game Results'!AA1292+'Game Results'!AA914+'Game Results'!AA1411+'Game Results'!AA1393+'Game Results'!AA482)</f>
        <v>0</v>
      </c>
      <c r="AB33" s="85">
        <f>SUM('Game Results'!AB104+'Game Results'!AB122+'Game Results'!AB601+'Game Results'!AB619+'Game Results'!AB644+'Game Results'!AB662+'Game Results'!AB896+'Game Results'!AB1195+'Game Results'!AB1177+'Game Results'!AB1310+'Game Results'!AB1292+'Game Results'!AB914+'Game Results'!AB1411+'Game Results'!AB1393+'Game Results'!AB482)</f>
        <v>0</v>
      </c>
      <c r="AC33" s="85">
        <f>SUM('Game Results'!AC104+'Game Results'!AC122+'Game Results'!AC601+'Game Results'!AC619+'Game Results'!AC644+'Game Results'!AC662+'Game Results'!AC896+'Game Results'!AC1195+'Game Results'!AC1177+'Game Results'!AC1310+'Game Results'!AC1292+'Game Results'!AC914+'Game Results'!AC1411+'Game Results'!AC1393+'Game Results'!AC482)</f>
        <v>20</v>
      </c>
      <c r="AD33" s="85">
        <f>SUM('Game Results'!AD104+'Game Results'!AD122+'Game Results'!AD601+'Game Results'!AD619+'Game Results'!AD644+'Game Results'!AD662+'Game Results'!AD896+'Game Results'!AD1195+'Game Results'!AD1177+'Game Results'!AD1310+'Game Results'!AD1292+'Game Results'!AD914+'Game Results'!AD1411+'Game Results'!AD1393+'Game Results'!AD482)</f>
        <v>0</v>
      </c>
      <c r="AE33" s="85">
        <f>SUM('Game Results'!AE104+'Game Results'!AE122+'Game Results'!AE601+'Game Results'!AE619+'Game Results'!AE644+'Game Results'!AE662+'Game Results'!AE896+'Game Results'!AE1195+'Game Results'!AE1177+'Game Results'!AE1310+'Game Results'!AE1292+'Game Results'!AE914+'Game Results'!AE1411+'Game Results'!AE1393+'Game Results'!AE482)</f>
        <v>0</v>
      </c>
      <c r="AF33" s="85">
        <f>SUM('Game Results'!AF104+'Game Results'!AF122+'Game Results'!AF601+'Game Results'!AF619+'Game Results'!AF644+'Game Results'!AF662+'Game Results'!AF896+'Game Results'!AF1195+'Game Results'!AF1177+'Game Results'!AF1310+'Game Results'!AF1292+'Game Results'!AF914+'Game Results'!AF1411+'Game Results'!AF1393+'Game Results'!AF482)</f>
        <v>0</v>
      </c>
      <c r="AG33" s="85">
        <f>SUM('Game Results'!AG104+'Game Results'!AG122+'Game Results'!AG601+'Game Results'!AG619+'Game Results'!AG644+'Game Results'!AG662+'Game Results'!AG896+'Game Results'!AG1195+'Game Results'!AG1177+'Game Results'!AG1310+'Game Results'!AG1292+'Game Results'!AG914+'Game Results'!AG1411+'Game Results'!AG1393+'Game Results'!AG482)</f>
        <v>0</v>
      </c>
      <c r="AH33" s="85">
        <f>SUM('Game Results'!AH104+'Game Results'!AH122+'Game Results'!AH601+'Game Results'!AH619+'Game Results'!AH644+'Game Results'!AH662+'Game Results'!AH896+'Game Results'!AH1195+'Game Results'!AH1177+'Game Results'!AH1310+'Game Results'!AH1292+'Game Results'!AH914+'Game Results'!AH1411+'Game Results'!AH1393+'Game Results'!AH482)</f>
        <v>0</v>
      </c>
    </row>
    <row r="34">
      <c r="A34" s="83" t="s">
        <v>56</v>
      </c>
      <c r="B34" s="84" t="s">
        <v>206</v>
      </c>
      <c r="C34" s="85">
        <f>SUM('Game Results'!C105+'Game Results'!C123+'Game Results'!C602+'Game Results'!C620+'Game Results'!C645+'Game Results'!C663+'Game Results'!C897+'Game Results'!C1196+'Game Results'!C1178+'Game Results'!C1311+'Game Results'!C1293+'Game Results'!C915+'Game Results'!C1412+'Game Results'!C1394+'Game Results'!C483)</f>
        <v>7</v>
      </c>
      <c r="D34" s="85">
        <f>SUM('Game Results'!D105+'Game Results'!D123+'Game Results'!D602+'Game Results'!D620+'Game Results'!D645+'Game Results'!D663+'Game Results'!D897+'Game Results'!D1196+'Game Results'!D1178+'Game Results'!D1311+'Game Results'!D1293+'Game Results'!D915+'Game Results'!D1412+'Game Results'!D1394+'Game Results'!D483)</f>
        <v>2</v>
      </c>
      <c r="E34" s="86">
        <f>SUM('Game Results'!E105+'Game Results'!E123+'Game Results'!E602+'Game Results'!E620+'Game Results'!E645+'Game Results'!E663+'Game Results'!E897+'Game Results'!E1196+'Game Results'!E1178+'Game Results'!E1311+'Game Results'!E1293+'Game Results'!E915+'Game Results'!E1412+'Game Results'!E1394+'Game Results'!E483)</f>
        <v>157.3166667</v>
      </c>
      <c r="F34" s="85">
        <f>SUM('Game Results'!F105+'Game Results'!F123+'Game Results'!F602+'Game Results'!F620+'Game Results'!F645+'Game Results'!F663+'Game Results'!F897+'Game Results'!F1196+'Game Results'!F1178+'Game Results'!F1311+'Game Results'!F1293+'Game Results'!F915+'Game Results'!F1412+'Game Results'!F1394+'Game Results'!F483)</f>
        <v>2</v>
      </c>
      <c r="G34" s="85">
        <f>SUM('Game Results'!G105+'Game Results'!G123+'Game Results'!G602+'Game Results'!G620+'Game Results'!G645+'Game Results'!G663+'Game Results'!G897+'Game Results'!G1196+'Game Results'!G1178+'Game Results'!G1311+'Game Results'!G1293+'Game Results'!G915+'Game Results'!G1412+'Game Results'!G1394+'Game Results'!G483)</f>
        <v>521</v>
      </c>
      <c r="H34" s="85">
        <f>SUM('Game Results'!H105+'Game Results'!H123+'Game Results'!H602+'Game Results'!H620+'Game Results'!H645+'Game Results'!H663+'Game Results'!H897+'Game Results'!H1196+'Game Results'!H1178+'Game Results'!H1311+'Game Results'!H1293+'Game Results'!H915+'Game Results'!H1412+'Game Results'!H1394+'Game Results'!H483)</f>
        <v>4</v>
      </c>
      <c r="I34" s="85">
        <f>SUM('Game Results'!I105+'Game Results'!I123+'Game Results'!I602+'Game Results'!I620+'Game Results'!I645+'Game Results'!I663+'Game Results'!I897+'Game Results'!I1196+'Game Results'!I1178+'Game Results'!I1311+'Game Results'!I1293+'Game Results'!I915+'Game Results'!I1412+'Game Results'!I1394+'Game Results'!I483)</f>
        <v>583</v>
      </c>
      <c r="J34" s="85">
        <f>SUM('Game Results'!J105+'Game Results'!J123+'Game Results'!J602+'Game Results'!J620+'Game Results'!J645+'Game Results'!J663+'Game Results'!J897+'Game Results'!J1196+'Game Results'!J1178+'Game Results'!J1311+'Game Results'!J1293+'Game Results'!J915+'Game Results'!J1412+'Game Results'!J1394+'Game Results'!J483)</f>
        <v>-62</v>
      </c>
      <c r="K34" s="87">
        <f t="shared" si="1"/>
        <v>0.8936535163</v>
      </c>
      <c r="L34" s="85">
        <f>SUM('Game Results'!L105+'Game Results'!L123+'Game Results'!L602+'Game Results'!L620+'Game Results'!L645+'Game Results'!L663+'Game Results'!L897+'Game Results'!L1196+'Game Results'!L1178+'Game Results'!L1311+'Game Results'!L1293+'Game Results'!L915+'Game Results'!L1412+'Game Results'!L1394+'Game Results'!L483)</f>
        <v>125</v>
      </c>
      <c r="M34" s="85">
        <f>SUM('Game Results'!M105+'Game Results'!M123+'Game Results'!M602+'Game Results'!M620+'Game Results'!M645+'Game Results'!M663+'Game Results'!M897+'Game Results'!M1196+'Game Results'!M1178+'Game Results'!M1311+'Game Results'!M1293+'Game Results'!M915+'Game Results'!M1412+'Game Results'!M1394+'Game Results'!M483)</f>
        <v>640</v>
      </c>
      <c r="N34" s="85">
        <f>SUM('Game Results'!N105+'Game Results'!N123+'Game Results'!N602+'Game Results'!N620+'Game Results'!N645+'Game Results'!N663+'Game Results'!N897+'Game Results'!N1196+'Game Results'!N1178+'Game Results'!N1311+'Game Results'!N1293+'Game Results'!N915+'Game Results'!N1412+'Game Results'!N1394+'Game Results'!N483)</f>
        <v>7</v>
      </c>
      <c r="O34" s="88">
        <f>SUM('Game Results'!O105+'Game Results'!O123+'Game Results'!O602+'Game Results'!O620+'Game Results'!O645+'Game Results'!O663+'Game Results'!O897+'Game Results'!O1196+'Game Results'!O1178+'Game Results'!O1311+'Game Results'!O1293+'Game Results'!O915+'Game Results'!O1412+'Game Results'!O1394+'Game Results'!O483)</f>
        <v>157.3166667</v>
      </c>
      <c r="P34" s="85">
        <f>SUM('Game Results'!P105+'Game Results'!P123+'Game Results'!P602+'Game Results'!P620+'Game Results'!P645+'Game Results'!P663+'Game Results'!P897+'Game Results'!P1196+'Game Results'!P1178+'Game Results'!P1311+'Game Results'!P1293+'Game Results'!P915+'Game Results'!P1412+'Game Results'!P1394+'Game Results'!P483)</f>
        <v>17</v>
      </c>
      <c r="Q34" s="85">
        <f>SUM('Game Results'!Q105+'Game Results'!Q123+'Game Results'!Q602+'Game Results'!Q620+'Game Results'!Q645+'Game Results'!Q663+'Game Results'!Q897+'Game Results'!Q1196+'Game Results'!Q1178+'Game Results'!Q1311+'Game Results'!Q1293+'Game Results'!Q915+'Game Results'!Q1412+'Game Results'!Q1394+'Game Results'!Q483)</f>
        <v>11</v>
      </c>
      <c r="R34" s="85">
        <f>SUM('Game Results'!R105+'Game Results'!R123+'Game Results'!R602+'Game Results'!R620+'Game Results'!R645+'Game Results'!R663+'Game Results'!R897+'Game Results'!R1196+'Game Results'!R1178+'Game Results'!R1311+'Game Results'!R1293+'Game Results'!R915+'Game Results'!R1412+'Game Results'!R1394+'Game Results'!R483)</f>
        <v>28</v>
      </c>
      <c r="S34" s="85">
        <f>SUM('Game Results'!S105+'Game Results'!S123+'Game Results'!S602+'Game Results'!S620+'Game Results'!S645+'Game Results'!S663+'Game Results'!S897+'Game Results'!S1196+'Game Results'!S1178+'Game Results'!S1311+'Game Results'!S1293+'Game Results'!S915+'Game Results'!S1412+'Game Results'!S1394+'Game Results'!S483)</f>
        <v>15</v>
      </c>
      <c r="T34" s="85">
        <f>SUM('Game Results'!T105+'Game Results'!T123+'Game Results'!T602+'Game Results'!T620+'Game Results'!T645+'Game Results'!T663+'Game Results'!T897+'Game Results'!T1196+'Game Results'!T1178+'Game Results'!T1311+'Game Results'!T1293+'Game Results'!T915+'Game Results'!T1412+'Game Results'!T1394+'Game Results'!T483)</f>
        <v>59</v>
      </c>
      <c r="U34" s="85">
        <f>SUM('Game Results'!U105+'Game Results'!U123+'Game Results'!U602+'Game Results'!U620+'Game Results'!U645+'Game Results'!U663+'Game Results'!U897+'Game Results'!U1196+'Game Results'!U1178+'Game Results'!U1311+'Game Results'!U1293+'Game Results'!U915+'Game Results'!U1412+'Game Results'!U1394+'Game Results'!U483)</f>
        <v>6</v>
      </c>
      <c r="V34" s="85">
        <f>SUM('Game Results'!V105+'Game Results'!V123+'Game Results'!V602+'Game Results'!V620+'Game Results'!V645+'Game Results'!V663+'Game Results'!V897+'Game Results'!V1196+'Game Results'!V1178+'Game Results'!V1311+'Game Results'!V1293+'Game Results'!V915+'Game Results'!V1412+'Game Results'!V1394+'Game Results'!V483)</f>
        <v>0</v>
      </c>
      <c r="W34" s="85">
        <f>SUM('Game Results'!W105+'Game Results'!W123+'Game Results'!W602+'Game Results'!W620+'Game Results'!W645+'Game Results'!W663+'Game Results'!W897+'Game Results'!W1196+'Game Results'!W1178+'Game Results'!W1311+'Game Results'!W1293+'Game Results'!W915+'Game Results'!W1412+'Game Results'!W1394+'Game Results'!W483)</f>
        <v>0</v>
      </c>
      <c r="X34" s="85">
        <f>SUM('Game Results'!X105+'Game Results'!X123+'Game Results'!X602+'Game Results'!X620+'Game Results'!X645+'Game Results'!X663+'Game Results'!X897+'Game Results'!X1196+'Game Results'!X1178+'Game Results'!X1311+'Game Results'!X1293+'Game Results'!X915+'Game Results'!X1412+'Game Results'!X1394+'Game Results'!X483)</f>
        <v>0</v>
      </c>
      <c r="Y34" s="85">
        <f>SUM('Game Results'!Y105+'Game Results'!Y123+'Game Results'!Y602+'Game Results'!Y620+'Game Results'!Y645+'Game Results'!Y663+'Game Results'!Y897+'Game Results'!Y1196+'Game Results'!Y1178+'Game Results'!Y1311+'Game Results'!Y1293+'Game Results'!Y915+'Game Results'!Y1412+'Game Results'!Y1394+'Game Results'!Y483)</f>
        <v>0</v>
      </c>
      <c r="Z34" s="85">
        <f>SUM('Game Results'!Z105+'Game Results'!Z123+'Game Results'!Z602+'Game Results'!Z620+'Game Results'!Z645+'Game Results'!Z663+'Game Results'!Z897+'Game Results'!Z1196+'Game Results'!Z1178+'Game Results'!Z1311+'Game Results'!Z1293+'Game Results'!Z915+'Game Results'!Z1412+'Game Results'!Z1394+'Game Results'!Z483)</f>
        <v>0</v>
      </c>
      <c r="AA34" s="85">
        <f>SUM('Game Results'!AA105+'Game Results'!AA123+'Game Results'!AA602+'Game Results'!AA620+'Game Results'!AA645+'Game Results'!AA663+'Game Results'!AA897+'Game Results'!AA1196+'Game Results'!AA1178+'Game Results'!AA1311+'Game Results'!AA1293+'Game Results'!AA915+'Game Results'!AA1412+'Game Results'!AA1394+'Game Results'!AA483)</f>
        <v>0</v>
      </c>
      <c r="AB34" s="85">
        <f>SUM('Game Results'!AB105+'Game Results'!AB123+'Game Results'!AB602+'Game Results'!AB620+'Game Results'!AB645+'Game Results'!AB663+'Game Results'!AB897+'Game Results'!AB1196+'Game Results'!AB1178+'Game Results'!AB1311+'Game Results'!AB1293+'Game Results'!AB915+'Game Results'!AB1412+'Game Results'!AB1394+'Game Results'!AB483)</f>
        <v>0</v>
      </c>
      <c r="AC34" s="85">
        <f>SUM('Game Results'!AC105+'Game Results'!AC123+'Game Results'!AC602+'Game Results'!AC620+'Game Results'!AC645+'Game Results'!AC663+'Game Results'!AC897+'Game Results'!AC1196+'Game Results'!AC1178+'Game Results'!AC1311+'Game Results'!AC1293+'Game Results'!AC915+'Game Results'!AC1412+'Game Results'!AC1394+'Game Results'!AC483)</f>
        <v>5</v>
      </c>
      <c r="AD34" s="85">
        <f>SUM('Game Results'!AD105+'Game Results'!AD123+'Game Results'!AD602+'Game Results'!AD620+'Game Results'!AD645+'Game Results'!AD663+'Game Results'!AD897+'Game Results'!AD1196+'Game Results'!AD1178+'Game Results'!AD1311+'Game Results'!AD1293+'Game Results'!AD915+'Game Results'!AD1412+'Game Results'!AD1394+'Game Results'!AD483)</f>
        <v>0</v>
      </c>
      <c r="AE34" s="85">
        <f>SUM('Game Results'!AE105+'Game Results'!AE123+'Game Results'!AE602+'Game Results'!AE620+'Game Results'!AE645+'Game Results'!AE663+'Game Results'!AE897+'Game Results'!AE1196+'Game Results'!AE1178+'Game Results'!AE1311+'Game Results'!AE1293+'Game Results'!AE915+'Game Results'!AE1412+'Game Results'!AE1394+'Game Results'!AE483)</f>
        <v>0</v>
      </c>
      <c r="AF34" s="85">
        <f>SUM('Game Results'!AF105+'Game Results'!AF123+'Game Results'!AF602+'Game Results'!AF620+'Game Results'!AF645+'Game Results'!AF663+'Game Results'!AF897+'Game Results'!AF1196+'Game Results'!AF1178+'Game Results'!AF1311+'Game Results'!AF1293+'Game Results'!AF915+'Game Results'!AF1412+'Game Results'!AF1394+'Game Results'!AF483)</f>
        <v>0</v>
      </c>
      <c r="AG34" s="85">
        <f>SUM('Game Results'!AG105+'Game Results'!AG123+'Game Results'!AG602+'Game Results'!AG620+'Game Results'!AG645+'Game Results'!AG663+'Game Results'!AG897+'Game Results'!AG1196+'Game Results'!AG1178+'Game Results'!AG1311+'Game Results'!AG1293+'Game Results'!AG915+'Game Results'!AG1412+'Game Results'!AG1394+'Game Results'!AG483)</f>
        <v>0</v>
      </c>
      <c r="AH34" s="85">
        <f>SUM('Game Results'!AH105+'Game Results'!AH123+'Game Results'!AH602+'Game Results'!AH620+'Game Results'!AH645+'Game Results'!AH663+'Game Results'!AH897+'Game Results'!AH1196+'Game Results'!AH1178+'Game Results'!AH1311+'Game Results'!AH1293+'Game Results'!AH915+'Game Results'!AH1412+'Game Results'!AH1394+'Game Results'!AH483)</f>
        <v>0</v>
      </c>
    </row>
    <row r="35">
      <c r="A35" s="83" t="s">
        <v>56</v>
      </c>
      <c r="B35" s="84" t="s">
        <v>207</v>
      </c>
      <c r="C35" s="85">
        <f>SUM('Game Results'!C106+'Game Results'!C124+'Game Results'!C603+'Game Results'!C621+'Game Results'!C646+'Game Results'!C664+'Game Results'!C898+'Game Results'!C1197+'Game Results'!C1179+'Game Results'!C1312+'Game Results'!C1294+'Game Results'!C916+'Game Results'!C1413+'Game Results'!C1395+'Game Results'!C484)</f>
        <v>13</v>
      </c>
      <c r="D35" s="85">
        <f>SUM('Game Results'!D106+'Game Results'!D124+'Game Results'!D603+'Game Results'!D621+'Game Results'!D646+'Game Results'!D664+'Game Results'!D898+'Game Results'!D1197+'Game Results'!D1179+'Game Results'!D1312+'Game Results'!D1294+'Game Results'!D916+'Game Results'!D1413+'Game Results'!D1395+'Game Results'!D484)</f>
        <v>3</v>
      </c>
      <c r="E35" s="86">
        <f>SUM('Game Results'!E106+'Game Results'!E124+'Game Results'!E603+'Game Results'!E621+'Game Results'!E646+'Game Results'!E664+'Game Results'!E898+'Game Results'!E1197+'Game Results'!E1179+'Game Results'!E1312+'Game Results'!E1294+'Game Results'!E916+'Game Results'!E1413+'Game Results'!E1395+'Game Results'!E484)</f>
        <v>295.4666667</v>
      </c>
      <c r="F35" s="85">
        <f>SUM('Game Results'!F106+'Game Results'!F124+'Game Results'!F603+'Game Results'!F621+'Game Results'!F646+'Game Results'!F664+'Game Results'!F898+'Game Results'!F1197+'Game Results'!F1179+'Game Results'!F1312+'Game Results'!F1294+'Game Results'!F916+'Game Results'!F1413+'Game Results'!F1395+'Game Results'!F484)</f>
        <v>16</v>
      </c>
      <c r="G35" s="85">
        <f>SUM('Game Results'!G106+'Game Results'!G124+'Game Results'!G603+'Game Results'!G621+'Game Results'!G646+'Game Results'!G664+'Game Results'!G898+'Game Results'!G1197+'Game Results'!G1179+'Game Results'!G1312+'Game Results'!G1294+'Game Results'!G916+'Game Results'!G1413+'Game Results'!G1395+'Game Results'!G484)</f>
        <v>480</v>
      </c>
      <c r="H35" s="85">
        <f>SUM('Game Results'!H106+'Game Results'!H124+'Game Results'!H603+'Game Results'!H621+'Game Results'!H646+'Game Results'!H664+'Game Results'!H898+'Game Results'!H1197+'Game Results'!H1179+'Game Results'!H1312+'Game Results'!H1294+'Game Results'!H916+'Game Results'!H1413+'Game Results'!H1395+'Game Results'!H484)</f>
        <v>3</v>
      </c>
      <c r="I35" s="85">
        <f>SUM('Game Results'!I106+'Game Results'!I124+'Game Results'!I603+'Game Results'!I621+'Game Results'!I646+'Game Results'!I664+'Game Results'!I898+'Game Results'!I1197+'Game Results'!I1179+'Game Results'!I1312+'Game Results'!I1294+'Game Results'!I916+'Game Results'!I1413+'Game Results'!I1395+'Game Results'!I484)</f>
        <v>843</v>
      </c>
      <c r="J35" s="85">
        <f>SUM('Game Results'!J106+'Game Results'!J124+'Game Results'!J603+'Game Results'!J621+'Game Results'!J646+'Game Results'!J664+'Game Results'!J898+'Game Results'!J1197+'Game Results'!J1179+'Game Results'!J1312+'Game Results'!J1294+'Game Results'!J916+'Game Results'!J1413+'Game Results'!J1395+'Game Results'!J484)</f>
        <v>-363</v>
      </c>
      <c r="K35" s="87">
        <f t="shared" si="1"/>
        <v>0.5693950178</v>
      </c>
      <c r="L35" s="85">
        <f>SUM('Game Results'!L106+'Game Results'!L124+'Game Results'!L603+'Game Results'!L621+'Game Results'!L646+'Game Results'!L664+'Game Results'!L898+'Game Results'!L1197+'Game Results'!L1179+'Game Results'!L1312+'Game Results'!L1294+'Game Results'!L916+'Game Results'!L1413+'Game Results'!L1395+'Game Results'!L484)</f>
        <v>222</v>
      </c>
      <c r="M35" s="85">
        <f>SUM('Game Results'!M106+'Game Results'!M124+'Game Results'!M603+'Game Results'!M621+'Game Results'!M646+'Game Results'!M664+'Game Results'!M898+'Game Results'!M1197+'Game Results'!M1179+'Game Results'!M1312+'Game Results'!M1294+'Game Results'!M916+'Game Results'!M1413+'Game Results'!M1395+'Game Results'!M484)</f>
        <v>575</v>
      </c>
      <c r="N35" s="85">
        <f>SUM('Game Results'!N106+'Game Results'!N124+'Game Results'!N603+'Game Results'!N621+'Game Results'!N646+'Game Results'!N664+'Game Results'!N898+'Game Results'!N1197+'Game Results'!N1179+'Game Results'!N1312+'Game Results'!N1294+'Game Results'!N916+'Game Results'!N1413+'Game Results'!N1395+'Game Results'!N484)</f>
        <v>13</v>
      </c>
      <c r="O35" s="88">
        <f>SUM('Game Results'!O106+'Game Results'!O124+'Game Results'!O603+'Game Results'!O621+'Game Results'!O646+'Game Results'!O664+'Game Results'!O898+'Game Results'!O1197+'Game Results'!O1179+'Game Results'!O1312+'Game Results'!O1294+'Game Results'!O916+'Game Results'!O1413+'Game Results'!O1395+'Game Results'!O484)</f>
        <v>295.4666667</v>
      </c>
      <c r="P35" s="85">
        <f>SUM('Game Results'!P106+'Game Results'!P124+'Game Results'!P603+'Game Results'!P621+'Game Results'!P646+'Game Results'!P664+'Game Results'!P898+'Game Results'!P1197+'Game Results'!P1179+'Game Results'!P1312+'Game Results'!P1294+'Game Results'!P916+'Game Results'!P1413+'Game Results'!P1395+'Game Results'!P484)</f>
        <v>28</v>
      </c>
      <c r="Q35" s="85">
        <f>SUM('Game Results'!Q106+'Game Results'!Q124+'Game Results'!Q603+'Game Results'!Q621+'Game Results'!Q646+'Game Results'!Q664+'Game Results'!Q898+'Game Results'!Q1197+'Game Results'!Q1179+'Game Results'!Q1312+'Game Results'!Q1294+'Game Results'!Q916+'Game Results'!Q1413+'Game Results'!Q1395+'Game Results'!Q484)</f>
        <v>24</v>
      </c>
      <c r="R35" s="85">
        <f>SUM('Game Results'!R106+'Game Results'!R124+'Game Results'!R603+'Game Results'!R621+'Game Results'!R646+'Game Results'!R664+'Game Results'!R898+'Game Results'!R1197+'Game Results'!R1179+'Game Results'!R1312+'Game Results'!R1294+'Game Results'!R916+'Game Results'!R1413+'Game Results'!R1395+'Game Results'!R484)</f>
        <v>9</v>
      </c>
      <c r="S35" s="85">
        <f>SUM('Game Results'!S106+'Game Results'!S124+'Game Results'!S603+'Game Results'!S621+'Game Results'!S646+'Game Results'!S664+'Game Results'!S898+'Game Results'!S1197+'Game Results'!S1179+'Game Results'!S1312+'Game Results'!S1294+'Game Results'!S916+'Game Results'!S1413+'Game Results'!S1395+'Game Results'!S484)</f>
        <v>15</v>
      </c>
      <c r="T35" s="85">
        <f>SUM('Game Results'!T106+'Game Results'!T124+'Game Results'!T603+'Game Results'!T621+'Game Results'!T646+'Game Results'!T664+'Game Results'!T898+'Game Results'!T1197+'Game Results'!T1179+'Game Results'!T1312+'Game Results'!T1294+'Game Results'!T916+'Game Results'!T1413+'Game Results'!T1395+'Game Results'!T484)</f>
        <v>41</v>
      </c>
      <c r="U35" s="85">
        <f>SUM('Game Results'!U106+'Game Results'!U124+'Game Results'!U603+'Game Results'!U621+'Game Results'!U646+'Game Results'!U664+'Game Results'!U898+'Game Results'!U1197+'Game Results'!U1179+'Game Results'!U1312+'Game Results'!U1294+'Game Results'!U916+'Game Results'!U1413+'Game Results'!U1395+'Game Results'!U484)</f>
        <v>4</v>
      </c>
      <c r="V35" s="85">
        <f>SUM('Game Results'!V106+'Game Results'!V124+'Game Results'!V603+'Game Results'!V621+'Game Results'!V646+'Game Results'!V664+'Game Results'!V898+'Game Results'!V1197+'Game Results'!V1179+'Game Results'!V1312+'Game Results'!V1294+'Game Results'!V916+'Game Results'!V1413+'Game Results'!V1395+'Game Results'!V484)</f>
        <v>0</v>
      </c>
      <c r="W35" s="85">
        <f>SUM('Game Results'!W106+'Game Results'!W124+'Game Results'!W603+'Game Results'!W621+'Game Results'!W646+'Game Results'!W664+'Game Results'!W898+'Game Results'!W1197+'Game Results'!W1179+'Game Results'!W1312+'Game Results'!W1294+'Game Results'!W916+'Game Results'!W1413+'Game Results'!W1395+'Game Results'!W484)</f>
        <v>0</v>
      </c>
      <c r="X35" s="85">
        <f>SUM('Game Results'!X106+'Game Results'!X124+'Game Results'!X603+'Game Results'!X621+'Game Results'!X646+'Game Results'!X664+'Game Results'!X898+'Game Results'!X1197+'Game Results'!X1179+'Game Results'!X1312+'Game Results'!X1294+'Game Results'!X916+'Game Results'!X1413+'Game Results'!X1395+'Game Results'!X484)</f>
        <v>0</v>
      </c>
      <c r="Y35" s="85">
        <f>SUM('Game Results'!Y106+'Game Results'!Y124+'Game Results'!Y603+'Game Results'!Y621+'Game Results'!Y646+'Game Results'!Y664+'Game Results'!Y898+'Game Results'!Y1197+'Game Results'!Y1179+'Game Results'!Y1312+'Game Results'!Y1294+'Game Results'!Y916+'Game Results'!Y1413+'Game Results'!Y1395+'Game Results'!Y484)</f>
        <v>0</v>
      </c>
      <c r="Z35" s="85">
        <f>SUM('Game Results'!Z106+'Game Results'!Z124+'Game Results'!Z603+'Game Results'!Z621+'Game Results'!Z646+'Game Results'!Z664+'Game Results'!Z898+'Game Results'!Z1197+'Game Results'!Z1179+'Game Results'!Z1312+'Game Results'!Z1294+'Game Results'!Z916+'Game Results'!Z1413+'Game Results'!Z1395+'Game Results'!Z484)</f>
        <v>0</v>
      </c>
      <c r="AA35" s="85">
        <f>SUM('Game Results'!AA106+'Game Results'!AA124+'Game Results'!AA603+'Game Results'!AA621+'Game Results'!AA646+'Game Results'!AA664+'Game Results'!AA898+'Game Results'!AA1197+'Game Results'!AA1179+'Game Results'!AA1312+'Game Results'!AA1294+'Game Results'!AA916+'Game Results'!AA1413+'Game Results'!AA1395+'Game Results'!AA484)</f>
        <v>0</v>
      </c>
      <c r="AB35" s="85">
        <f>SUM('Game Results'!AB106+'Game Results'!AB124+'Game Results'!AB603+'Game Results'!AB621+'Game Results'!AB646+'Game Results'!AB664+'Game Results'!AB898+'Game Results'!AB1197+'Game Results'!AB1179+'Game Results'!AB1312+'Game Results'!AB1294+'Game Results'!AB916+'Game Results'!AB1413+'Game Results'!AB1395+'Game Results'!AB484)</f>
        <v>0</v>
      </c>
      <c r="AC35" s="85">
        <f>SUM('Game Results'!AC106+'Game Results'!AC124+'Game Results'!AC603+'Game Results'!AC621+'Game Results'!AC646+'Game Results'!AC664+'Game Results'!AC898+'Game Results'!AC1197+'Game Results'!AC1179+'Game Results'!AC1312+'Game Results'!AC1294+'Game Results'!AC916+'Game Results'!AC1413+'Game Results'!AC1395+'Game Results'!AC484)</f>
        <v>1</v>
      </c>
      <c r="AD35" s="85">
        <f>SUM('Game Results'!AD106+'Game Results'!AD124+'Game Results'!AD603+'Game Results'!AD621+'Game Results'!AD646+'Game Results'!AD664+'Game Results'!AD898+'Game Results'!AD1197+'Game Results'!AD1179+'Game Results'!AD1312+'Game Results'!AD1294+'Game Results'!AD916+'Game Results'!AD1413+'Game Results'!AD1395+'Game Results'!AD484)</f>
        <v>0</v>
      </c>
      <c r="AE35" s="85">
        <f>SUM('Game Results'!AE106+'Game Results'!AE124+'Game Results'!AE603+'Game Results'!AE621+'Game Results'!AE646+'Game Results'!AE664+'Game Results'!AE898+'Game Results'!AE1197+'Game Results'!AE1179+'Game Results'!AE1312+'Game Results'!AE1294+'Game Results'!AE916+'Game Results'!AE1413+'Game Results'!AE1395+'Game Results'!AE484)</f>
        <v>0</v>
      </c>
      <c r="AF35" s="85">
        <f>SUM('Game Results'!AF106+'Game Results'!AF124+'Game Results'!AF603+'Game Results'!AF621+'Game Results'!AF646+'Game Results'!AF664+'Game Results'!AF898+'Game Results'!AF1197+'Game Results'!AF1179+'Game Results'!AF1312+'Game Results'!AF1294+'Game Results'!AF916+'Game Results'!AF1413+'Game Results'!AF1395+'Game Results'!AF484)</f>
        <v>0</v>
      </c>
      <c r="AG35" s="85">
        <f>SUM('Game Results'!AG106+'Game Results'!AG124+'Game Results'!AG603+'Game Results'!AG621+'Game Results'!AG646+'Game Results'!AG664+'Game Results'!AG898+'Game Results'!AG1197+'Game Results'!AG1179+'Game Results'!AG1312+'Game Results'!AG1294+'Game Results'!AG916+'Game Results'!AG1413+'Game Results'!AG1395+'Game Results'!AG484)</f>
        <v>0</v>
      </c>
      <c r="AH35" s="85">
        <f>SUM('Game Results'!AH106+'Game Results'!AH124+'Game Results'!AH603+'Game Results'!AH621+'Game Results'!AH646+'Game Results'!AH664+'Game Results'!AH898+'Game Results'!AH1197+'Game Results'!AH1179+'Game Results'!AH1312+'Game Results'!AH1294+'Game Results'!AH916+'Game Results'!AH1413+'Game Results'!AH1395+'Game Results'!AH484)</f>
        <v>0</v>
      </c>
    </row>
    <row r="36">
      <c r="A36" s="83" t="s">
        <v>56</v>
      </c>
      <c r="B36" s="84" t="s">
        <v>208</v>
      </c>
      <c r="C36" s="85">
        <f>SUM('Game Results'!C107+'Game Results'!C125+'Game Results'!C604+'Game Results'!C622+'Game Results'!C647+'Game Results'!C665+'Game Results'!C899+'Game Results'!C1198+'Game Results'!C1180+'Game Results'!C1313+'Game Results'!C1295+'Game Results'!C917+'Game Results'!C1414+'Game Results'!C1396+'Game Results'!C485)</f>
        <v>2</v>
      </c>
      <c r="D36" s="85">
        <f>SUM('Game Results'!D107+'Game Results'!D125+'Game Results'!D604+'Game Results'!D622+'Game Results'!D647+'Game Results'!D665+'Game Results'!D899+'Game Results'!D1198+'Game Results'!D1180+'Game Results'!D1313+'Game Results'!D1295+'Game Results'!D917+'Game Results'!D1414+'Game Results'!D1396+'Game Results'!D485)</f>
        <v>0</v>
      </c>
      <c r="E36" s="86">
        <f>SUM('Game Results'!E107+'Game Results'!E125+'Game Results'!E604+'Game Results'!E622+'Game Results'!E647+'Game Results'!E665+'Game Results'!E899+'Game Results'!E1198+'Game Results'!E1180+'Game Results'!E1313+'Game Results'!E1295+'Game Results'!E917+'Game Results'!E1414+'Game Results'!E1396+'Game Results'!E485)</f>
        <v>18</v>
      </c>
      <c r="F36" s="85">
        <f>SUM('Game Results'!F107+'Game Results'!F125+'Game Results'!F604+'Game Results'!F622+'Game Results'!F647+'Game Results'!F665+'Game Results'!F899+'Game Results'!F1198+'Game Results'!F1180+'Game Results'!F1313+'Game Results'!F1295+'Game Results'!F917+'Game Results'!F1414+'Game Results'!F1396+'Game Results'!F485)</f>
        <v>0</v>
      </c>
      <c r="G36" s="85">
        <f>SUM('Game Results'!G107+'Game Results'!G125+'Game Results'!G604+'Game Results'!G622+'Game Results'!G647+'Game Results'!G665+'Game Results'!G899+'Game Results'!G1198+'Game Results'!G1180+'Game Results'!G1313+'Game Results'!G1295+'Game Results'!G917+'Game Results'!G1414+'Game Results'!G1396+'Game Results'!G485)</f>
        <v>45</v>
      </c>
      <c r="H36" s="85">
        <f>SUM('Game Results'!H107+'Game Results'!H125+'Game Results'!H604+'Game Results'!H622+'Game Results'!H647+'Game Results'!H665+'Game Results'!H899+'Game Results'!H1198+'Game Results'!H1180+'Game Results'!H1313+'Game Results'!H1295+'Game Results'!H917+'Game Results'!H1414+'Game Results'!H1396+'Game Results'!H485)</f>
        <v>0</v>
      </c>
      <c r="I36" s="85">
        <f>SUM('Game Results'!I107+'Game Results'!I125+'Game Results'!I604+'Game Results'!I622+'Game Results'!I647+'Game Results'!I665+'Game Results'!I899+'Game Results'!I1198+'Game Results'!I1180+'Game Results'!I1313+'Game Results'!I1295+'Game Results'!I917+'Game Results'!I1414+'Game Results'!I1396+'Game Results'!I485)</f>
        <v>64</v>
      </c>
      <c r="J36" s="85">
        <f>SUM('Game Results'!J107+'Game Results'!J125+'Game Results'!J604+'Game Results'!J622+'Game Results'!J647+'Game Results'!J665+'Game Results'!J899+'Game Results'!J1198+'Game Results'!J1180+'Game Results'!J1313+'Game Results'!J1295+'Game Results'!J917+'Game Results'!J1414+'Game Results'!J1396+'Game Results'!J485)</f>
        <v>-19</v>
      </c>
      <c r="K36" s="87">
        <f t="shared" si="1"/>
        <v>0.703125</v>
      </c>
      <c r="L36" s="85">
        <f>SUM('Game Results'!L107+'Game Results'!L125+'Game Results'!L604+'Game Results'!L622+'Game Results'!L647+'Game Results'!L665+'Game Results'!L899+'Game Results'!L1198+'Game Results'!L1180+'Game Results'!L1313+'Game Results'!L1295+'Game Results'!L917+'Game Results'!L1414+'Game Results'!L1396+'Game Results'!L485)</f>
        <v>14</v>
      </c>
      <c r="M36" s="85">
        <f>SUM('Game Results'!M107+'Game Results'!M125+'Game Results'!M604+'Game Results'!M622+'Game Results'!M647+'Game Results'!M665+'Game Results'!M899+'Game Results'!M1198+'Game Results'!M1180+'Game Results'!M1313+'Game Results'!M1295+'Game Results'!M917+'Game Results'!M1414+'Game Results'!M1396+'Game Results'!M485)</f>
        <v>53</v>
      </c>
      <c r="N36" s="85">
        <f>SUM('Game Results'!N107+'Game Results'!N125+'Game Results'!N604+'Game Results'!N622+'Game Results'!N647+'Game Results'!N665+'Game Results'!N899+'Game Results'!N1198+'Game Results'!N1180+'Game Results'!N1313+'Game Results'!N1295+'Game Results'!N917+'Game Results'!N1414+'Game Results'!N1396+'Game Results'!N485)</f>
        <v>1</v>
      </c>
      <c r="O36" s="88">
        <f>SUM('Game Results'!O107+'Game Results'!O125+'Game Results'!O604+'Game Results'!O622+'Game Results'!O647+'Game Results'!O665+'Game Results'!O899+'Game Results'!O1198+'Game Results'!O1180+'Game Results'!O1313+'Game Results'!O1295+'Game Results'!O917+'Game Results'!O1414+'Game Results'!O1396+'Game Results'!O485)</f>
        <v>18</v>
      </c>
      <c r="P36" s="85">
        <f>SUM('Game Results'!P107+'Game Results'!P125+'Game Results'!P604+'Game Results'!P622+'Game Results'!P647+'Game Results'!P665+'Game Results'!P899+'Game Results'!P1198+'Game Results'!P1180+'Game Results'!P1313+'Game Results'!P1295+'Game Results'!P917+'Game Results'!P1414+'Game Results'!P1396+'Game Results'!P485)</f>
        <v>2</v>
      </c>
      <c r="Q36" s="85">
        <f>SUM('Game Results'!Q107+'Game Results'!Q125+'Game Results'!Q604+'Game Results'!Q622+'Game Results'!Q647+'Game Results'!Q665+'Game Results'!Q899+'Game Results'!Q1198+'Game Results'!Q1180+'Game Results'!Q1313+'Game Results'!Q1295+'Game Results'!Q917+'Game Results'!Q1414+'Game Results'!Q1396+'Game Results'!Q485)</f>
        <v>0</v>
      </c>
      <c r="R36" s="85">
        <f>SUM('Game Results'!R107+'Game Results'!R125+'Game Results'!R604+'Game Results'!R622+'Game Results'!R647+'Game Results'!R665+'Game Results'!R899+'Game Results'!R1198+'Game Results'!R1180+'Game Results'!R1313+'Game Results'!R1295+'Game Results'!R917+'Game Results'!R1414+'Game Results'!R1396+'Game Results'!R485)</f>
        <v>1</v>
      </c>
      <c r="S36" s="85">
        <f>SUM('Game Results'!S107+'Game Results'!S125+'Game Results'!S604+'Game Results'!S622+'Game Results'!S647+'Game Results'!S665+'Game Results'!S899+'Game Results'!S1198+'Game Results'!S1180+'Game Results'!S1313+'Game Results'!S1295+'Game Results'!S917+'Game Results'!S1414+'Game Results'!S1396+'Game Results'!S485)</f>
        <v>3</v>
      </c>
      <c r="T36" s="85">
        <f>SUM('Game Results'!T107+'Game Results'!T125+'Game Results'!T604+'Game Results'!T622+'Game Results'!T647+'Game Results'!T665+'Game Results'!T899+'Game Results'!T1198+'Game Results'!T1180+'Game Results'!T1313+'Game Results'!T1295+'Game Results'!T917+'Game Results'!T1414+'Game Results'!T1396+'Game Results'!T485)</f>
        <v>7</v>
      </c>
      <c r="U36" s="85">
        <f>SUM('Game Results'!U107+'Game Results'!U125+'Game Results'!U604+'Game Results'!U622+'Game Results'!U647+'Game Results'!U665+'Game Results'!U899+'Game Results'!U1198+'Game Results'!U1180+'Game Results'!U1313+'Game Results'!U1295+'Game Results'!U917+'Game Results'!U1414+'Game Results'!U1396+'Game Results'!U485)</f>
        <v>0</v>
      </c>
      <c r="V36" s="85">
        <f>SUM('Game Results'!V107+'Game Results'!V125+'Game Results'!V604+'Game Results'!V622+'Game Results'!V647+'Game Results'!V665+'Game Results'!V899+'Game Results'!V1198+'Game Results'!V1180+'Game Results'!V1313+'Game Results'!V1295+'Game Results'!V917+'Game Results'!V1414+'Game Results'!V1396+'Game Results'!V485)</f>
        <v>0</v>
      </c>
      <c r="W36" s="85">
        <f>SUM('Game Results'!W107+'Game Results'!W125+'Game Results'!W604+'Game Results'!W622+'Game Results'!W647+'Game Results'!W665+'Game Results'!W899+'Game Results'!W1198+'Game Results'!W1180+'Game Results'!W1313+'Game Results'!W1295+'Game Results'!W917+'Game Results'!W1414+'Game Results'!W1396+'Game Results'!W485)</f>
        <v>0</v>
      </c>
      <c r="X36" s="85">
        <f>SUM('Game Results'!X107+'Game Results'!X125+'Game Results'!X604+'Game Results'!X622+'Game Results'!X647+'Game Results'!X665+'Game Results'!X899+'Game Results'!X1198+'Game Results'!X1180+'Game Results'!X1313+'Game Results'!X1295+'Game Results'!X917+'Game Results'!X1414+'Game Results'!X1396+'Game Results'!X485)</f>
        <v>0</v>
      </c>
      <c r="Y36" s="85">
        <f>SUM('Game Results'!Y107+'Game Results'!Y125+'Game Results'!Y604+'Game Results'!Y622+'Game Results'!Y647+'Game Results'!Y665+'Game Results'!Y899+'Game Results'!Y1198+'Game Results'!Y1180+'Game Results'!Y1313+'Game Results'!Y1295+'Game Results'!Y917+'Game Results'!Y1414+'Game Results'!Y1396+'Game Results'!Y485)</f>
        <v>0</v>
      </c>
      <c r="Z36" s="85">
        <f>SUM('Game Results'!Z107+'Game Results'!Z125+'Game Results'!Z604+'Game Results'!Z622+'Game Results'!Z647+'Game Results'!Z665+'Game Results'!Z899+'Game Results'!Z1198+'Game Results'!Z1180+'Game Results'!Z1313+'Game Results'!Z1295+'Game Results'!Z917+'Game Results'!Z1414+'Game Results'!Z1396+'Game Results'!Z485)</f>
        <v>0</v>
      </c>
      <c r="AA36" s="85">
        <f>SUM('Game Results'!AA107+'Game Results'!AA125+'Game Results'!AA604+'Game Results'!AA622+'Game Results'!AA647+'Game Results'!AA665+'Game Results'!AA899+'Game Results'!AA1198+'Game Results'!AA1180+'Game Results'!AA1313+'Game Results'!AA1295+'Game Results'!AA917+'Game Results'!AA1414+'Game Results'!AA1396+'Game Results'!AA485)</f>
        <v>0</v>
      </c>
      <c r="AB36" s="85">
        <f>SUM('Game Results'!AB107+'Game Results'!AB125+'Game Results'!AB604+'Game Results'!AB622+'Game Results'!AB647+'Game Results'!AB665+'Game Results'!AB899+'Game Results'!AB1198+'Game Results'!AB1180+'Game Results'!AB1313+'Game Results'!AB1295+'Game Results'!AB917+'Game Results'!AB1414+'Game Results'!AB1396+'Game Results'!AB485)</f>
        <v>0</v>
      </c>
      <c r="AC36" s="85">
        <f>SUM('Game Results'!AC107+'Game Results'!AC125+'Game Results'!AC604+'Game Results'!AC622+'Game Results'!AC647+'Game Results'!AC665+'Game Results'!AC899+'Game Results'!AC1198+'Game Results'!AC1180+'Game Results'!AC1313+'Game Results'!AC1295+'Game Results'!AC917+'Game Results'!AC1414+'Game Results'!AC1396+'Game Results'!AC485)</f>
        <v>0</v>
      </c>
      <c r="AD36" s="85">
        <f>SUM('Game Results'!AD107+'Game Results'!AD125+'Game Results'!AD604+'Game Results'!AD622+'Game Results'!AD647+'Game Results'!AD665+'Game Results'!AD899+'Game Results'!AD1198+'Game Results'!AD1180+'Game Results'!AD1313+'Game Results'!AD1295+'Game Results'!AD917+'Game Results'!AD1414+'Game Results'!AD1396+'Game Results'!AD485)</f>
        <v>0</v>
      </c>
      <c r="AE36" s="85">
        <f>SUM('Game Results'!AE107+'Game Results'!AE125+'Game Results'!AE604+'Game Results'!AE622+'Game Results'!AE647+'Game Results'!AE665+'Game Results'!AE899+'Game Results'!AE1198+'Game Results'!AE1180+'Game Results'!AE1313+'Game Results'!AE1295+'Game Results'!AE917+'Game Results'!AE1414+'Game Results'!AE1396+'Game Results'!AE485)</f>
        <v>0</v>
      </c>
      <c r="AF36" s="85">
        <f>SUM('Game Results'!AF107+'Game Results'!AF125+'Game Results'!AF604+'Game Results'!AF622+'Game Results'!AF647+'Game Results'!AF665+'Game Results'!AF899+'Game Results'!AF1198+'Game Results'!AF1180+'Game Results'!AF1313+'Game Results'!AF1295+'Game Results'!AF917+'Game Results'!AF1414+'Game Results'!AF1396+'Game Results'!AF485)</f>
        <v>0</v>
      </c>
      <c r="AG36" s="85">
        <f>SUM('Game Results'!AG107+'Game Results'!AG125+'Game Results'!AG604+'Game Results'!AG622+'Game Results'!AG647+'Game Results'!AG665+'Game Results'!AG899+'Game Results'!AG1198+'Game Results'!AG1180+'Game Results'!AG1313+'Game Results'!AG1295+'Game Results'!AG917+'Game Results'!AG1414+'Game Results'!AG1396+'Game Results'!AG485)</f>
        <v>0</v>
      </c>
      <c r="AH36" s="85">
        <f>SUM('Game Results'!AH107+'Game Results'!AH125+'Game Results'!AH604+'Game Results'!AH622+'Game Results'!AH647+'Game Results'!AH665+'Game Results'!AH899+'Game Results'!AH1198+'Game Results'!AH1180+'Game Results'!AH1313+'Game Results'!AH1295+'Game Results'!AH917+'Game Results'!AH1414+'Game Results'!AH1396+'Game Results'!AH485)</f>
        <v>0</v>
      </c>
    </row>
    <row r="37">
      <c r="A37" s="89" t="s">
        <v>185</v>
      </c>
      <c r="B37" s="90"/>
      <c r="C37" s="90">
        <f t="shared" ref="C37:E37" si="14">SUM(C31:C36)/4</f>
        <v>15</v>
      </c>
      <c r="D37" s="90">
        <f t="shared" si="14"/>
        <v>3</v>
      </c>
      <c r="E37" s="91">
        <f t="shared" si="14"/>
        <v>320.1166667</v>
      </c>
      <c r="F37" s="91">
        <f t="shared" ref="F37:J37" si="15">SUM(F31:F36)</f>
        <v>27</v>
      </c>
      <c r="G37" s="91">
        <f t="shared" si="15"/>
        <v>4205</v>
      </c>
      <c r="H37" s="91">
        <f t="shared" si="15"/>
        <v>26</v>
      </c>
      <c r="I37" s="91">
        <f t="shared" si="15"/>
        <v>4648</v>
      </c>
      <c r="J37" s="91">
        <f t="shared" si="15"/>
        <v>-443</v>
      </c>
      <c r="K37" s="92">
        <f t="shared" si="1"/>
        <v>0.9046901893</v>
      </c>
      <c r="L37" s="91">
        <f>SUM(L31:L36)/4</f>
        <v>212.25</v>
      </c>
      <c r="M37" s="91">
        <f>SUM(M31:M36)</f>
        <v>5317</v>
      </c>
      <c r="N37" s="91">
        <f>SUM(N31:N36)/4</f>
        <v>14.75</v>
      </c>
      <c r="O37" s="91">
        <f>SUM(O30:O36)</f>
        <v>8798.016667</v>
      </c>
      <c r="P37" s="91">
        <f t="shared" ref="P37:AH37" si="16">SUM(P31:P36)</f>
        <v>156</v>
      </c>
      <c r="Q37" s="91">
        <f t="shared" si="16"/>
        <v>88</v>
      </c>
      <c r="R37" s="91">
        <f t="shared" si="16"/>
        <v>218</v>
      </c>
      <c r="S37" s="91">
        <f t="shared" si="16"/>
        <v>97</v>
      </c>
      <c r="T37" s="91">
        <f t="shared" si="16"/>
        <v>557</v>
      </c>
      <c r="U37" s="91">
        <f t="shared" si="16"/>
        <v>114</v>
      </c>
      <c r="V37" s="91">
        <f t="shared" si="16"/>
        <v>35</v>
      </c>
      <c r="W37" s="91">
        <f t="shared" si="16"/>
        <v>6</v>
      </c>
      <c r="X37" s="91">
        <f t="shared" si="16"/>
        <v>1</v>
      </c>
      <c r="Y37" s="91">
        <f t="shared" si="16"/>
        <v>0</v>
      </c>
      <c r="Z37" s="91">
        <f t="shared" si="16"/>
        <v>0</v>
      </c>
      <c r="AA37" s="91">
        <f t="shared" si="16"/>
        <v>0</v>
      </c>
      <c r="AB37" s="91">
        <f t="shared" si="16"/>
        <v>0</v>
      </c>
      <c r="AC37" s="91">
        <f t="shared" si="16"/>
        <v>73</v>
      </c>
      <c r="AD37" s="91">
        <f t="shared" si="16"/>
        <v>1</v>
      </c>
      <c r="AE37" s="91">
        <f t="shared" si="16"/>
        <v>0</v>
      </c>
      <c r="AF37" s="91">
        <f t="shared" si="16"/>
        <v>0</v>
      </c>
      <c r="AG37" s="91">
        <f t="shared" si="16"/>
        <v>0</v>
      </c>
      <c r="AH37" s="91">
        <f t="shared" si="16"/>
        <v>1</v>
      </c>
    </row>
    <row r="38">
      <c r="A38" s="83" t="s">
        <v>58</v>
      </c>
      <c r="B38" s="84" t="s">
        <v>209</v>
      </c>
      <c r="C38" s="85">
        <f>SUM('Game Results'!C174+'Game Results'!C185+'Game Results'!C498+'Game Results'!C516+'Game Results'!C707+'Game Results'!C725+'Game Results'!C1020+'Game Results'!C1002+'Game Results'!C347+'Game Results'!C365+'Game Results'!C1733+'Game Results'!C1715+'Game Results'!C1488+'Game Results'!C1470)</f>
        <v>12</v>
      </c>
      <c r="D38" s="85">
        <f>SUM('Game Results'!D174+'Game Results'!D185+'Game Results'!D498+'Game Results'!D516+'Game Results'!D707+'Game Results'!D725+'Game Results'!D1020+'Game Results'!D1002+'Game Results'!D347+'Game Results'!D365+'Game Results'!D1733+'Game Results'!D1715+'Game Results'!D1488+'Game Results'!D1470)</f>
        <v>1</v>
      </c>
      <c r="E38" s="86">
        <f>SUM('Game Results'!E174+'Game Results'!E185+'Game Results'!E498+'Game Results'!E516+'Game Results'!E707+'Game Results'!E725+'Game Results'!E1020+'Game Results'!E1002+'Game Results'!E347+'Game Results'!E365+'Game Results'!E1733+'Game Results'!E1715+'Game Results'!E1488+'Game Results'!E1470)</f>
        <v>248.2666667</v>
      </c>
      <c r="F38" s="85">
        <f>SUM('Game Results'!F174+'Game Results'!F185+'Game Results'!F498+'Game Results'!F516+'Game Results'!F707+'Game Results'!F725+'Game Results'!F1020+'Game Results'!F1002+'Game Results'!F347+'Game Results'!F365+'Game Results'!F1733+'Game Results'!F1715+'Game Results'!F1488+'Game Results'!F1470)</f>
        <v>3</v>
      </c>
      <c r="G38" s="85">
        <f>SUM('Game Results'!G174+'Game Results'!G185+'Game Results'!G498+'Game Results'!G516+'Game Results'!G707+'Game Results'!G725+'Game Results'!G1020+'Game Results'!G1002+'Game Results'!G347+'Game Results'!G365+'Game Results'!G1733+'Game Results'!G1715+'Game Results'!G1488+'Game Results'!G1470)</f>
        <v>830</v>
      </c>
      <c r="H38" s="85">
        <f>SUM('Game Results'!H174+'Game Results'!H185+'Game Results'!H498+'Game Results'!H516+'Game Results'!H707+'Game Results'!H725+'Game Results'!H1020+'Game Results'!H1002+'Game Results'!H347+'Game Results'!H365+'Game Results'!H1733+'Game Results'!H1715+'Game Results'!H1488+'Game Results'!H1470)</f>
        <v>7</v>
      </c>
      <c r="I38" s="85">
        <f>SUM('Game Results'!I174+'Game Results'!I185+'Game Results'!I498+'Game Results'!I516+'Game Results'!I707+'Game Results'!I725+'Game Results'!I1020+'Game Results'!I1002+'Game Results'!I347+'Game Results'!I365+'Game Results'!I1733+'Game Results'!I1715+'Game Results'!I1488+'Game Results'!I1470)</f>
        <v>1060</v>
      </c>
      <c r="J38" s="85">
        <f>SUM('Game Results'!J174+'Game Results'!J185+'Game Results'!J498+'Game Results'!J516+'Game Results'!J707+'Game Results'!J725+'Game Results'!J1020+'Game Results'!J1002+'Game Results'!J347+'Game Results'!J365+'Game Results'!J1733+'Game Results'!J1715+'Game Results'!J1488+'Game Results'!J1470)</f>
        <v>-230</v>
      </c>
      <c r="K38" s="87">
        <f t="shared" si="1"/>
        <v>0.7830188679</v>
      </c>
      <c r="L38" s="85">
        <f>SUM('Game Results'!L174+'Game Results'!L185+'Game Results'!L498+'Game Results'!L516+'Game Results'!L707+'Game Results'!L725+'Game Results'!L1020+'Game Results'!L1002+'Game Results'!L347+'Game Results'!L365+'Game Results'!L1733+'Game Results'!L1715+'Game Results'!L1488+'Game Results'!L1470)</f>
        <v>130</v>
      </c>
      <c r="M38" s="85">
        <f>SUM('Game Results'!M174+'Game Results'!M185+'Game Results'!M498+'Game Results'!M516+'Game Results'!M707+'Game Results'!M725+'Game Results'!M1020+'Game Results'!M1002+'Game Results'!M347+'Game Results'!M365+'Game Results'!M1733+'Game Results'!M1715+'Game Results'!M1488+'Game Results'!M1470)</f>
        <v>1053</v>
      </c>
      <c r="N38" s="85">
        <f>SUM('Game Results'!N174+'Game Results'!N185+'Game Results'!N498+'Game Results'!N516+'Game Results'!N707+'Game Results'!N725+'Game Results'!N1020+'Game Results'!N1002+'Game Results'!N347+'Game Results'!N365+'Game Results'!N1733+'Game Results'!N1715+'Game Results'!N1488+'Game Results'!N1470)</f>
        <v>12</v>
      </c>
      <c r="O38" s="88">
        <f>SUM('Game Results'!O174+'Game Results'!O185+'Game Results'!O498+'Game Results'!O516+'Game Results'!O707+'Game Results'!O725+'Game Results'!O1020+'Game Results'!O1002+'Game Results'!O347+'Game Results'!O365+'Game Results'!O1733+'Game Results'!O1715+'Game Results'!O1488+'Game Results'!O1470)</f>
        <v>248.2666667</v>
      </c>
      <c r="P38" s="85">
        <f>SUM('Game Results'!P174+'Game Results'!P185+'Game Results'!P498+'Game Results'!P516+'Game Results'!P707+'Game Results'!P725+'Game Results'!P1020+'Game Results'!P1002+'Game Results'!P347+'Game Results'!P365+'Game Results'!P1733+'Game Results'!P1715+'Game Results'!P1488+'Game Results'!P1470)</f>
        <v>27</v>
      </c>
      <c r="Q38" s="85">
        <f>SUM('Game Results'!Q174+'Game Results'!Q185+'Game Results'!Q498+'Game Results'!Q516+'Game Results'!Q707+'Game Results'!Q725+'Game Results'!Q1020+'Game Results'!Q1002+'Game Results'!Q347+'Game Results'!Q365+'Game Results'!Q1733+'Game Results'!Q1715+'Game Results'!Q1488+'Game Results'!Q1470)</f>
        <v>19</v>
      </c>
      <c r="R38" s="85">
        <f>SUM('Game Results'!R174+'Game Results'!R185+'Game Results'!R498+'Game Results'!R516+'Game Results'!R707+'Game Results'!R725+'Game Results'!R1020+'Game Results'!R1002+'Game Results'!R347+'Game Results'!R365+'Game Results'!R1733+'Game Results'!R1715+'Game Results'!R1488+'Game Results'!R1470)</f>
        <v>40</v>
      </c>
      <c r="S38" s="85">
        <f>SUM('Game Results'!S174+'Game Results'!S185+'Game Results'!S498+'Game Results'!S516+'Game Results'!S707+'Game Results'!S725+'Game Results'!S1020+'Game Results'!S1002+'Game Results'!S347+'Game Results'!S365+'Game Results'!S1733+'Game Results'!S1715+'Game Results'!S1488+'Game Results'!S1470)</f>
        <v>14</v>
      </c>
      <c r="T38" s="85">
        <f>SUM('Game Results'!T174+'Game Results'!T185+'Game Results'!T498+'Game Results'!T516+'Game Results'!T707+'Game Results'!T725+'Game Results'!T1020+'Game Results'!T1002+'Game Results'!T347+'Game Results'!T365+'Game Results'!T1733+'Game Results'!T1715+'Game Results'!T1488+'Game Results'!T1470)</f>
        <v>120</v>
      </c>
      <c r="U38" s="85">
        <f>SUM('Game Results'!U174+'Game Results'!U185+'Game Results'!U498+'Game Results'!U516+'Game Results'!U707+'Game Results'!U725+'Game Results'!U1020+'Game Results'!U1002+'Game Results'!U347+'Game Results'!U365+'Game Results'!U1733+'Game Results'!U1715+'Game Results'!U1488+'Game Results'!U1470)</f>
        <v>19</v>
      </c>
      <c r="V38" s="85">
        <f>SUM('Game Results'!V174+'Game Results'!V185+'Game Results'!V498+'Game Results'!V516+'Game Results'!V707+'Game Results'!V725+'Game Results'!V1020+'Game Results'!V1002+'Game Results'!V347+'Game Results'!V365+'Game Results'!V1733+'Game Results'!V1715+'Game Results'!V1488+'Game Results'!V1470)</f>
        <v>7</v>
      </c>
      <c r="W38" s="85">
        <f>SUM('Game Results'!W174+'Game Results'!W185+'Game Results'!W498+'Game Results'!W516+'Game Results'!W707+'Game Results'!W725+'Game Results'!W1020+'Game Results'!W1002+'Game Results'!W347+'Game Results'!W365+'Game Results'!W1733+'Game Results'!W1715+'Game Results'!W1488+'Game Results'!W1470)</f>
        <v>3</v>
      </c>
      <c r="X38" s="85">
        <f>SUM('Game Results'!X174+'Game Results'!X185+'Game Results'!X498+'Game Results'!X516+'Game Results'!X707+'Game Results'!X725+'Game Results'!X1020+'Game Results'!X1002+'Game Results'!X347+'Game Results'!X365+'Game Results'!X1733+'Game Results'!X1715+'Game Results'!X1488+'Game Results'!X1470)</f>
        <v>0</v>
      </c>
      <c r="Y38" s="85">
        <f>SUM('Game Results'!Y174+'Game Results'!Y185+'Game Results'!Y498+'Game Results'!Y516+'Game Results'!Y707+'Game Results'!Y725+'Game Results'!Y1020+'Game Results'!Y1002+'Game Results'!Y347+'Game Results'!Y365+'Game Results'!Y1733+'Game Results'!Y1715+'Game Results'!Y1488+'Game Results'!Y1470)</f>
        <v>0</v>
      </c>
      <c r="Z38" s="85">
        <f>SUM('Game Results'!Z174+'Game Results'!Z185+'Game Results'!Z498+'Game Results'!Z516+'Game Results'!Z707+'Game Results'!Z725+'Game Results'!Z1020+'Game Results'!Z1002+'Game Results'!Z347+'Game Results'!Z365+'Game Results'!Z1733+'Game Results'!Z1715+'Game Results'!Z1488+'Game Results'!Z1470)</f>
        <v>0</v>
      </c>
      <c r="AA38" s="85">
        <f>SUM('Game Results'!AA174+'Game Results'!AA185+'Game Results'!AA498+'Game Results'!AA516+'Game Results'!AA707+'Game Results'!AA725+'Game Results'!AA1020+'Game Results'!AA1002+'Game Results'!AA347+'Game Results'!AA365+'Game Results'!AA1733+'Game Results'!AA1715+'Game Results'!AA1488+'Game Results'!AA1470)</f>
        <v>0</v>
      </c>
      <c r="AB38" s="85">
        <f>SUM('Game Results'!AB174+'Game Results'!AB185+'Game Results'!AB498+'Game Results'!AB516+'Game Results'!AB707+'Game Results'!AB725+'Game Results'!AB1020+'Game Results'!AB1002+'Game Results'!AB347+'Game Results'!AB365+'Game Results'!AB1733+'Game Results'!AB1715+'Game Results'!AB1488+'Game Results'!AB1470)</f>
        <v>0</v>
      </c>
      <c r="AC38" s="85">
        <f>SUM('Game Results'!AC174+'Game Results'!AC185+'Game Results'!AC498+'Game Results'!AC516+'Game Results'!AC707+'Game Results'!AC725+'Game Results'!AC1020+'Game Results'!AC1002+'Game Results'!AC347+'Game Results'!AC365+'Game Results'!AC1733+'Game Results'!AC1715+'Game Results'!AC1488+'Game Results'!AC1470)</f>
        <v>19</v>
      </c>
      <c r="AD38" s="85">
        <f>SUM('Game Results'!AD174+'Game Results'!AD185+'Game Results'!AD498+'Game Results'!AD516+'Game Results'!AD707+'Game Results'!AD725+'Game Results'!AD1020+'Game Results'!AD1002+'Game Results'!AD347+'Game Results'!AD365+'Game Results'!AD1733+'Game Results'!AD1715+'Game Results'!AD1488+'Game Results'!AD1470)</f>
        <v>0</v>
      </c>
      <c r="AE38" s="85">
        <f>SUM('Game Results'!AE174+'Game Results'!AE185+'Game Results'!AE498+'Game Results'!AE516+'Game Results'!AE707+'Game Results'!AE725+'Game Results'!AE1020+'Game Results'!AE1002+'Game Results'!AE347+'Game Results'!AE365+'Game Results'!AE1733+'Game Results'!AE1715+'Game Results'!AE1488+'Game Results'!AE1470)</f>
        <v>0</v>
      </c>
      <c r="AF38" s="85">
        <f>SUM('Game Results'!AF174+'Game Results'!AF185+'Game Results'!AF498+'Game Results'!AF516+'Game Results'!AF707+'Game Results'!AF725+'Game Results'!AF1020+'Game Results'!AF1002+'Game Results'!AF347+'Game Results'!AF365+'Game Results'!AF1733+'Game Results'!AF1715+'Game Results'!AF1488+'Game Results'!AF1470)</f>
        <v>0</v>
      </c>
      <c r="AG38" s="85">
        <f>SUM('Game Results'!AG174+'Game Results'!AG185+'Game Results'!AG498+'Game Results'!AG516+'Game Results'!AG707+'Game Results'!AG725+'Game Results'!AG1020+'Game Results'!AG1002+'Game Results'!AG347+'Game Results'!AG365+'Game Results'!AG1733+'Game Results'!AG1715+'Game Results'!AG1488+'Game Results'!AG1470)</f>
        <v>0</v>
      </c>
      <c r="AH38" s="85">
        <f>SUM('Game Results'!AH174+'Game Results'!AH185+'Game Results'!AH498+'Game Results'!AH516+'Game Results'!AH707+'Game Results'!AH725+'Game Results'!AH1020+'Game Results'!AH1002+'Game Results'!AH347+'Game Results'!AH365+'Game Results'!AH1733+'Game Results'!AH1715+'Game Results'!AH1488+'Game Results'!AH1470)</f>
        <v>0</v>
      </c>
    </row>
    <row r="39">
      <c r="A39" s="83" t="s">
        <v>58</v>
      </c>
      <c r="B39" s="84" t="s">
        <v>210</v>
      </c>
      <c r="C39" s="85">
        <f>SUM('Game Results'!C175+'Game Results'!C186+'Game Results'!C499+'Game Results'!C517+'Game Results'!C708+'Game Results'!C726+'Game Results'!C1021+'Game Results'!C1003+'Game Results'!C348+'Game Results'!C366+'Game Results'!C1734+'Game Results'!C1716+'Game Results'!C1489+'Game Results'!C1471)</f>
        <v>14</v>
      </c>
      <c r="D39" s="85">
        <f>SUM('Game Results'!D175+'Game Results'!D186+'Game Results'!D499+'Game Results'!D517+'Game Results'!D708+'Game Results'!D726+'Game Results'!D1021+'Game Results'!D1003+'Game Results'!D348+'Game Results'!D366+'Game Results'!D1734+'Game Results'!D1716+'Game Results'!D1489+'Game Results'!D1471)</f>
        <v>3</v>
      </c>
      <c r="E39" s="86">
        <f>SUM('Game Results'!E175+'Game Results'!E186+'Game Results'!E499+'Game Results'!E517+'Game Results'!E708+'Game Results'!E726+'Game Results'!E1021+'Game Results'!E1003+'Game Results'!E348+'Game Results'!E366+'Game Results'!E1734+'Game Results'!E1716+'Game Results'!E1489+'Game Results'!E1471)</f>
        <v>285.2</v>
      </c>
      <c r="F39" s="85">
        <f>SUM('Game Results'!F175+'Game Results'!F186+'Game Results'!F499+'Game Results'!F517+'Game Results'!F708+'Game Results'!F726+'Game Results'!F1021+'Game Results'!F1003+'Game Results'!F348+'Game Results'!F366+'Game Results'!F1734+'Game Results'!F1716+'Game Results'!F1489+'Game Results'!F1471)</f>
        <v>12</v>
      </c>
      <c r="G39" s="85">
        <f>SUM('Game Results'!G175+'Game Results'!G186+'Game Results'!G499+'Game Results'!G517+'Game Results'!G708+'Game Results'!G726+'Game Results'!G1021+'Game Results'!G1003+'Game Results'!G348+'Game Results'!G366+'Game Results'!G1734+'Game Results'!G1716+'Game Results'!G1489+'Game Results'!G1471)</f>
        <v>960</v>
      </c>
      <c r="H39" s="85">
        <f>SUM('Game Results'!H175+'Game Results'!H186+'Game Results'!H499+'Game Results'!H517+'Game Results'!H708+'Game Results'!H726+'Game Results'!H1021+'Game Results'!H1003+'Game Results'!H348+'Game Results'!H366+'Game Results'!H1734+'Game Results'!H1716+'Game Results'!H1489+'Game Results'!H1471)</f>
        <v>6</v>
      </c>
      <c r="I39" s="85">
        <f>SUM('Game Results'!I175+'Game Results'!I186+'Game Results'!I499+'Game Results'!I517+'Game Results'!I708+'Game Results'!I726+'Game Results'!I1021+'Game Results'!I1003+'Game Results'!I348+'Game Results'!I366+'Game Results'!I1734+'Game Results'!I1716+'Game Results'!I1489+'Game Results'!I1471)</f>
        <v>958</v>
      </c>
      <c r="J39" s="85">
        <f>SUM('Game Results'!J175+'Game Results'!J186+'Game Results'!J499+'Game Results'!J517+'Game Results'!J708+'Game Results'!J726+'Game Results'!J1021+'Game Results'!J1003+'Game Results'!J348+'Game Results'!J366+'Game Results'!J1734+'Game Results'!J1716+'Game Results'!J1489+'Game Results'!J1471)</f>
        <v>2</v>
      </c>
      <c r="K39" s="87">
        <f t="shared" si="1"/>
        <v>1.002087683</v>
      </c>
      <c r="L39" s="85">
        <f>SUM('Game Results'!L175+'Game Results'!L186+'Game Results'!L499+'Game Results'!L517+'Game Results'!L708+'Game Results'!L726+'Game Results'!L1021+'Game Results'!L1003+'Game Results'!L348+'Game Results'!L366+'Game Results'!L1734+'Game Results'!L1716+'Game Results'!L1489+'Game Results'!L1471)</f>
        <v>212</v>
      </c>
      <c r="M39" s="85">
        <f>SUM('Game Results'!M175+'Game Results'!M186+'Game Results'!M499+'Game Results'!M517+'Game Results'!M708+'Game Results'!M726+'Game Results'!M1021+'Game Results'!M1003+'Game Results'!M348+'Game Results'!M366+'Game Results'!M1734+'Game Results'!M1716+'Game Results'!M1489+'Game Results'!M1471)</f>
        <v>1246</v>
      </c>
      <c r="N39" s="85">
        <f>SUM('Game Results'!N175+'Game Results'!N186+'Game Results'!N499+'Game Results'!N517+'Game Results'!N708+'Game Results'!N726+'Game Results'!N1021+'Game Results'!N1003+'Game Results'!N348+'Game Results'!N366+'Game Results'!N1734+'Game Results'!N1716+'Game Results'!N1489+'Game Results'!N1471)</f>
        <v>14</v>
      </c>
      <c r="O39" s="88">
        <f>SUM('Game Results'!O175+'Game Results'!O186+'Game Results'!O499+'Game Results'!O517+'Game Results'!O708+'Game Results'!O726+'Game Results'!O1021+'Game Results'!O1003+'Game Results'!O348+'Game Results'!O366+'Game Results'!O1734+'Game Results'!O1716+'Game Results'!O1489+'Game Results'!O1471)</f>
        <v>285.2</v>
      </c>
      <c r="P39" s="85">
        <f>SUM('Game Results'!P175+'Game Results'!P186+'Game Results'!P499+'Game Results'!P517+'Game Results'!P708+'Game Results'!P726+'Game Results'!P1021+'Game Results'!P1003+'Game Results'!P348+'Game Results'!P366+'Game Results'!P1734+'Game Results'!P1716+'Game Results'!P1489+'Game Results'!P1471)</f>
        <v>50</v>
      </c>
      <c r="Q39" s="85">
        <f>SUM('Game Results'!Q175+'Game Results'!Q186+'Game Results'!Q499+'Game Results'!Q517+'Game Results'!Q708+'Game Results'!Q726+'Game Results'!Q1021+'Game Results'!Q1003+'Game Results'!Q348+'Game Results'!Q366+'Game Results'!Q1734+'Game Results'!Q1716+'Game Results'!Q1489+'Game Results'!Q1471)</f>
        <v>16</v>
      </c>
      <c r="R39" s="85">
        <f>SUM('Game Results'!R175+'Game Results'!R186+'Game Results'!R499+'Game Results'!R517+'Game Results'!R708+'Game Results'!R726+'Game Results'!R1021+'Game Results'!R1003+'Game Results'!R348+'Game Results'!R366+'Game Results'!R1734+'Game Results'!R1716+'Game Results'!R1489+'Game Results'!R1471)</f>
        <v>57</v>
      </c>
      <c r="S39" s="85">
        <f>SUM('Game Results'!S175+'Game Results'!S186+'Game Results'!S499+'Game Results'!S517+'Game Results'!S708+'Game Results'!S726+'Game Results'!S1021+'Game Results'!S1003+'Game Results'!S348+'Game Results'!S366+'Game Results'!S1734+'Game Results'!S1716+'Game Results'!S1489+'Game Results'!S1471)</f>
        <v>18</v>
      </c>
      <c r="T39" s="85">
        <f>SUM('Game Results'!T175+'Game Results'!T186+'Game Results'!T499+'Game Results'!T517+'Game Results'!T708+'Game Results'!T726+'Game Results'!T1021+'Game Results'!T1003+'Game Results'!T348+'Game Results'!T366+'Game Results'!T1734+'Game Results'!T1716+'Game Results'!T1489+'Game Results'!T1471)</f>
        <v>144</v>
      </c>
      <c r="U39" s="85">
        <f>SUM('Game Results'!U175+'Game Results'!U186+'Game Results'!U499+'Game Results'!U517+'Game Results'!U708+'Game Results'!U726+'Game Results'!U1021+'Game Results'!U1003+'Game Results'!U348+'Game Results'!U366+'Game Results'!U1734+'Game Results'!U1716+'Game Results'!U1489+'Game Results'!U1471)</f>
        <v>24</v>
      </c>
      <c r="V39" s="85">
        <f>SUM('Game Results'!V175+'Game Results'!V186+'Game Results'!V499+'Game Results'!V517+'Game Results'!V708+'Game Results'!V726+'Game Results'!V1021+'Game Results'!V1003+'Game Results'!V348+'Game Results'!V366+'Game Results'!V1734+'Game Results'!V1716+'Game Results'!V1489+'Game Results'!V1471)</f>
        <v>8</v>
      </c>
      <c r="W39" s="85">
        <f>SUM('Game Results'!W175+'Game Results'!W186+'Game Results'!W499+'Game Results'!W517+'Game Results'!W708+'Game Results'!W726+'Game Results'!W1021+'Game Results'!W1003+'Game Results'!W348+'Game Results'!W366+'Game Results'!W1734+'Game Results'!W1716+'Game Results'!W1489+'Game Results'!W1471)</f>
        <v>4</v>
      </c>
      <c r="X39" s="85">
        <f>SUM('Game Results'!X175+'Game Results'!X186+'Game Results'!X499+'Game Results'!X517+'Game Results'!X708+'Game Results'!X726+'Game Results'!X1021+'Game Results'!X1003+'Game Results'!X348+'Game Results'!X366+'Game Results'!X1734+'Game Results'!X1716+'Game Results'!X1489+'Game Results'!X1471)</f>
        <v>2</v>
      </c>
      <c r="Y39" s="85">
        <f>SUM('Game Results'!Y175+'Game Results'!Y186+'Game Results'!Y499+'Game Results'!Y517+'Game Results'!Y708+'Game Results'!Y726+'Game Results'!Y1021+'Game Results'!Y1003+'Game Results'!Y348+'Game Results'!Y366+'Game Results'!Y1734+'Game Results'!Y1716+'Game Results'!Y1489+'Game Results'!Y1471)</f>
        <v>0</v>
      </c>
      <c r="Z39" s="85">
        <f>SUM('Game Results'!Z175+'Game Results'!Z186+'Game Results'!Z499+'Game Results'!Z517+'Game Results'!Z708+'Game Results'!Z726+'Game Results'!Z1021+'Game Results'!Z1003+'Game Results'!Z348+'Game Results'!Z366+'Game Results'!Z1734+'Game Results'!Z1716+'Game Results'!Z1489+'Game Results'!Z1471)</f>
        <v>0</v>
      </c>
      <c r="AA39" s="85">
        <f>SUM('Game Results'!AA175+'Game Results'!AA186+'Game Results'!AA499+'Game Results'!AA517+'Game Results'!AA708+'Game Results'!AA726+'Game Results'!AA1021+'Game Results'!AA1003+'Game Results'!AA348+'Game Results'!AA366+'Game Results'!AA1734+'Game Results'!AA1716+'Game Results'!AA1489+'Game Results'!AA1471)</f>
        <v>0</v>
      </c>
      <c r="AB39" s="85">
        <f>SUM('Game Results'!AB175+'Game Results'!AB186+'Game Results'!AB499+'Game Results'!AB517+'Game Results'!AB708+'Game Results'!AB726+'Game Results'!AB1021+'Game Results'!AB1003+'Game Results'!AB348+'Game Results'!AB366+'Game Results'!AB1734+'Game Results'!AB1716+'Game Results'!AB1489+'Game Results'!AB1471)</f>
        <v>0</v>
      </c>
      <c r="AC39" s="85">
        <f>SUM('Game Results'!AC175+'Game Results'!AC186+'Game Results'!AC499+'Game Results'!AC517+'Game Results'!AC708+'Game Results'!AC726+'Game Results'!AC1021+'Game Results'!AC1003+'Game Results'!AC348+'Game Results'!AC366+'Game Results'!AC1734+'Game Results'!AC1716+'Game Results'!AC1489+'Game Results'!AC1471)</f>
        <v>22</v>
      </c>
      <c r="AD39" s="85">
        <f>SUM('Game Results'!AD175+'Game Results'!AD186+'Game Results'!AD499+'Game Results'!AD517+'Game Results'!AD708+'Game Results'!AD726+'Game Results'!AD1021+'Game Results'!AD1003+'Game Results'!AD348+'Game Results'!AD366+'Game Results'!AD1734+'Game Results'!AD1716+'Game Results'!AD1489+'Game Results'!AD1471)</f>
        <v>1</v>
      </c>
      <c r="AE39" s="85">
        <f>SUM('Game Results'!AE175+'Game Results'!AE186+'Game Results'!AE499+'Game Results'!AE517+'Game Results'!AE708+'Game Results'!AE726+'Game Results'!AE1021+'Game Results'!AE1003+'Game Results'!AE348+'Game Results'!AE366+'Game Results'!AE1734+'Game Results'!AE1716+'Game Results'!AE1489+'Game Results'!AE1471)</f>
        <v>0</v>
      </c>
      <c r="AF39" s="85">
        <f>SUM('Game Results'!AF175+'Game Results'!AF186+'Game Results'!AF499+'Game Results'!AF517+'Game Results'!AF708+'Game Results'!AF726+'Game Results'!AF1021+'Game Results'!AF1003+'Game Results'!AF348+'Game Results'!AF366+'Game Results'!AF1734+'Game Results'!AF1716+'Game Results'!AF1489+'Game Results'!AF1471)</f>
        <v>0</v>
      </c>
      <c r="AG39" s="85">
        <f>SUM('Game Results'!AG175+'Game Results'!AG186+'Game Results'!AG499+'Game Results'!AG517+'Game Results'!AG708+'Game Results'!AG726+'Game Results'!AG1021+'Game Results'!AG1003+'Game Results'!AG348+'Game Results'!AG366+'Game Results'!AG1734+'Game Results'!AG1716+'Game Results'!AG1489+'Game Results'!AG1471)</f>
        <v>0</v>
      </c>
      <c r="AH39" s="85">
        <f>SUM('Game Results'!AH175+'Game Results'!AH186+'Game Results'!AH499+'Game Results'!AH517+'Game Results'!AH708+'Game Results'!AH726+'Game Results'!AH1021+'Game Results'!AH1003+'Game Results'!AH348+'Game Results'!AH366+'Game Results'!AH1734+'Game Results'!AH1716+'Game Results'!AH1489+'Game Results'!AH1471)</f>
        <v>1</v>
      </c>
    </row>
    <row r="40">
      <c r="A40" s="83" t="s">
        <v>58</v>
      </c>
      <c r="B40" s="84" t="s">
        <v>211</v>
      </c>
      <c r="C40" s="85">
        <f>SUM('Game Results'!C176+'Game Results'!C187+'Game Results'!C500+'Game Results'!C518+'Game Results'!C709+'Game Results'!C727+'Game Results'!C1022+'Game Results'!C1004+'Game Results'!C349+'Game Results'!C367+'Game Results'!C1735+'Game Results'!C1717+'Game Results'!C1490+'Game Results'!C1472)</f>
        <v>14</v>
      </c>
      <c r="D40" s="85">
        <f>SUM('Game Results'!D176+'Game Results'!D187+'Game Results'!D500+'Game Results'!D518+'Game Results'!D709+'Game Results'!D727+'Game Results'!D1022+'Game Results'!D1004+'Game Results'!D349+'Game Results'!D367+'Game Results'!D1735+'Game Results'!D1717+'Game Results'!D1490+'Game Results'!D1472)</f>
        <v>3</v>
      </c>
      <c r="E40" s="86">
        <f>SUM('Game Results'!E176+'Game Results'!E187+'Game Results'!E500+'Game Results'!E518+'Game Results'!E709+'Game Results'!E727+'Game Results'!E1022+'Game Results'!E1004+'Game Results'!E349+'Game Results'!E367+'Game Results'!E1735+'Game Results'!E1717+'Game Results'!E1490+'Game Results'!E1472)</f>
        <v>285.2333333</v>
      </c>
      <c r="F40" s="85">
        <f>SUM('Game Results'!F176+'Game Results'!F187+'Game Results'!F500+'Game Results'!F518+'Game Results'!F709+'Game Results'!F727+'Game Results'!F1022+'Game Results'!F1004+'Game Results'!F349+'Game Results'!F367+'Game Results'!F1735+'Game Results'!F1717+'Game Results'!F1490+'Game Results'!F1472)</f>
        <v>4</v>
      </c>
      <c r="G40" s="85">
        <f>SUM('Game Results'!G176+'Game Results'!G187+'Game Results'!G500+'Game Results'!G518+'Game Results'!G709+'Game Results'!G727+'Game Results'!G1022+'Game Results'!G1004+'Game Results'!G349+'Game Results'!G367+'Game Results'!G1735+'Game Results'!G1717+'Game Results'!G1490+'Game Results'!G1472)</f>
        <v>924</v>
      </c>
      <c r="H40" s="85">
        <f>SUM('Game Results'!H176+'Game Results'!H187+'Game Results'!H500+'Game Results'!H518+'Game Results'!H709+'Game Results'!H727+'Game Results'!H1022+'Game Results'!H1004+'Game Results'!H349+'Game Results'!H367+'Game Results'!H1735+'Game Results'!H1717+'Game Results'!H1490+'Game Results'!H1472)</f>
        <v>5</v>
      </c>
      <c r="I40" s="85">
        <f>SUM('Game Results'!I176+'Game Results'!I187+'Game Results'!I500+'Game Results'!I518+'Game Results'!I709+'Game Results'!I727+'Game Results'!I1022+'Game Results'!I1004+'Game Results'!I349+'Game Results'!I367+'Game Results'!I1735+'Game Results'!I1717+'Game Results'!I1490+'Game Results'!I1472)</f>
        <v>932</v>
      </c>
      <c r="J40" s="85">
        <f>SUM('Game Results'!J176+'Game Results'!J187+'Game Results'!J500+'Game Results'!J518+'Game Results'!J709+'Game Results'!J727+'Game Results'!J1022+'Game Results'!J1004+'Game Results'!J349+'Game Results'!J367+'Game Results'!J1735+'Game Results'!J1717+'Game Results'!J1490+'Game Results'!J1472)</f>
        <v>-8</v>
      </c>
      <c r="K40" s="87">
        <f t="shared" si="1"/>
        <v>0.991416309</v>
      </c>
      <c r="L40" s="85">
        <f>SUM('Game Results'!L176+'Game Results'!L187+'Game Results'!L500+'Game Results'!L518+'Game Results'!L709+'Game Results'!L727+'Game Results'!L1022+'Game Results'!L1004+'Game Results'!L349+'Game Results'!L367+'Game Results'!L1735+'Game Results'!L1717+'Game Results'!L1490+'Game Results'!L1472)</f>
        <v>215</v>
      </c>
      <c r="M40" s="85">
        <f>SUM('Game Results'!M176+'Game Results'!M187+'Game Results'!M500+'Game Results'!M518+'Game Results'!M709+'Game Results'!M727+'Game Results'!M1022+'Game Results'!M1004+'Game Results'!M349+'Game Results'!M367+'Game Results'!M1735+'Game Results'!M1717+'Game Results'!M1490+'Game Results'!M1472)</f>
        <v>1188</v>
      </c>
      <c r="N40" s="85">
        <f>SUM('Game Results'!N176+'Game Results'!N187+'Game Results'!N500+'Game Results'!N518+'Game Results'!N709+'Game Results'!N727+'Game Results'!N1022+'Game Results'!N1004+'Game Results'!N349+'Game Results'!N367+'Game Results'!N1735+'Game Results'!N1717+'Game Results'!N1490+'Game Results'!N1472)</f>
        <v>14</v>
      </c>
      <c r="O40" s="88">
        <f>SUM('Game Results'!O176+'Game Results'!O187+'Game Results'!O500+'Game Results'!O518+'Game Results'!O709+'Game Results'!O727+'Game Results'!O1022+'Game Results'!O1004+'Game Results'!O349+'Game Results'!O367+'Game Results'!O1735+'Game Results'!O1717+'Game Results'!O1490+'Game Results'!O1472)</f>
        <v>285.2333333</v>
      </c>
      <c r="P40" s="85">
        <f>SUM('Game Results'!P176+'Game Results'!P187+'Game Results'!P500+'Game Results'!P518+'Game Results'!P709+'Game Results'!P727+'Game Results'!P1022+'Game Results'!P1004+'Game Results'!P349+'Game Results'!P367+'Game Results'!P1735+'Game Results'!P1717+'Game Results'!P1490+'Game Results'!P1472)</f>
        <v>43</v>
      </c>
      <c r="Q40" s="85">
        <f>SUM('Game Results'!Q176+'Game Results'!Q187+'Game Results'!Q500+'Game Results'!Q518+'Game Results'!Q709+'Game Results'!Q727+'Game Results'!Q1022+'Game Results'!Q1004+'Game Results'!Q349+'Game Results'!Q367+'Game Results'!Q1735+'Game Results'!Q1717+'Game Results'!Q1490+'Game Results'!Q1472)</f>
        <v>26</v>
      </c>
      <c r="R40" s="85">
        <f>SUM('Game Results'!R176+'Game Results'!R187+'Game Results'!R500+'Game Results'!R518+'Game Results'!R709+'Game Results'!R727+'Game Results'!R1022+'Game Results'!R1004+'Game Results'!R349+'Game Results'!R367+'Game Results'!R1735+'Game Results'!R1717+'Game Results'!R1490+'Game Results'!R1472)</f>
        <v>63</v>
      </c>
      <c r="S40" s="85">
        <f>SUM('Game Results'!S176+'Game Results'!S187+'Game Results'!S500+'Game Results'!S518+'Game Results'!S709+'Game Results'!S727+'Game Results'!S1022+'Game Results'!S1004+'Game Results'!S349+'Game Results'!S367+'Game Results'!S1735+'Game Results'!S1717+'Game Results'!S1490+'Game Results'!S1472)</f>
        <v>23</v>
      </c>
      <c r="T40" s="85">
        <f>SUM('Game Results'!T176+'Game Results'!T187+'Game Results'!T500+'Game Results'!T518+'Game Results'!T709+'Game Results'!T727+'Game Results'!T1022+'Game Results'!T1004+'Game Results'!T349+'Game Results'!T367+'Game Results'!T1735+'Game Results'!T1717+'Game Results'!T1490+'Game Results'!T1472)</f>
        <v>117</v>
      </c>
      <c r="U40" s="85">
        <f>SUM('Game Results'!U176+'Game Results'!U187+'Game Results'!U500+'Game Results'!U518+'Game Results'!U709+'Game Results'!U727+'Game Results'!U1022+'Game Results'!U1004+'Game Results'!U349+'Game Results'!U367+'Game Results'!U1735+'Game Results'!U1717+'Game Results'!U1490+'Game Results'!U1472)</f>
        <v>24</v>
      </c>
      <c r="V40" s="85">
        <f>SUM('Game Results'!V176+'Game Results'!V187+'Game Results'!V500+'Game Results'!V518+'Game Results'!V709+'Game Results'!V727+'Game Results'!V1022+'Game Results'!V1004+'Game Results'!V349+'Game Results'!V367+'Game Results'!V1735+'Game Results'!V1717+'Game Results'!V1490+'Game Results'!V1472)</f>
        <v>5</v>
      </c>
      <c r="W40" s="85">
        <f>SUM('Game Results'!W176+'Game Results'!W187+'Game Results'!W500+'Game Results'!W518+'Game Results'!W709+'Game Results'!W727+'Game Results'!W1022+'Game Results'!W1004+'Game Results'!W349+'Game Results'!W367+'Game Results'!W1735+'Game Results'!W1717+'Game Results'!W1490+'Game Results'!W1472)</f>
        <v>3</v>
      </c>
      <c r="X40" s="85">
        <f>SUM('Game Results'!X176+'Game Results'!X187+'Game Results'!X500+'Game Results'!X518+'Game Results'!X709+'Game Results'!X727+'Game Results'!X1022+'Game Results'!X1004+'Game Results'!X349+'Game Results'!X367+'Game Results'!X1735+'Game Results'!X1717+'Game Results'!X1490+'Game Results'!X1472)</f>
        <v>1</v>
      </c>
      <c r="Y40" s="85">
        <f>SUM('Game Results'!Y176+'Game Results'!Y187+'Game Results'!Y500+'Game Results'!Y518+'Game Results'!Y709+'Game Results'!Y727+'Game Results'!Y1022+'Game Results'!Y1004+'Game Results'!Y349+'Game Results'!Y367+'Game Results'!Y1735+'Game Results'!Y1717+'Game Results'!Y1490+'Game Results'!Y1472)</f>
        <v>0</v>
      </c>
      <c r="Z40" s="85">
        <f>SUM('Game Results'!Z176+'Game Results'!Z187+'Game Results'!Z500+'Game Results'!Z518+'Game Results'!Z709+'Game Results'!Z727+'Game Results'!Z1022+'Game Results'!Z1004+'Game Results'!Z349+'Game Results'!Z367+'Game Results'!Z1735+'Game Results'!Z1717+'Game Results'!Z1490+'Game Results'!Z1472)</f>
        <v>0</v>
      </c>
      <c r="AA40" s="85">
        <f>SUM('Game Results'!AA176+'Game Results'!AA187+'Game Results'!AA500+'Game Results'!AA518+'Game Results'!AA709+'Game Results'!AA727+'Game Results'!AA1022+'Game Results'!AA1004+'Game Results'!AA349+'Game Results'!AA367+'Game Results'!AA1735+'Game Results'!AA1717+'Game Results'!AA1490+'Game Results'!AA1472)</f>
        <v>0</v>
      </c>
      <c r="AB40" s="85">
        <f>SUM('Game Results'!AB176+'Game Results'!AB187+'Game Results'!AB500+'Game Results'!AB518+'Game Results'!AB709+'Game Results'!AB727+'Game Results'!AB1022+'Game Results'!AB1004+'Game Results'!AB349+'Game Results'!AB367+'Game Results'!AB1735+'Game Results'!AB1717+'Game Results'!AB1490+'Game Results'!AB1472)</f>
        <v>0</v>
      </c>
      <c r="AC40" s="85">
        <f>SUM('Game Results'!AC176+'Game Results'!AC187+'Game Results'!AC500+'Game Results'!AC518+'Game Results'!AC709+'Game Results'!AC727+'Game Results'!AC1022+'Game Results'!AC1004+'Game Results'!AC349+'Game Results'!AC367+'Game Results'!AC1735+'Game Results'!AC1717+'Game Results'!AC1490+'Game Results'!AC1472)</f>
        <v>18</v>
      </c>
      <c r="AD40" s="85">
        <f>SUM('Game Results'!AD176+'Game Results'!AD187+'Game Results'!AD500+'Game Results'!AD518+'Game Results'!AD709+'Game Results'!AD727+'Game Results'!AD1022+'Game Results'!AD1004+'Game Results'!AD349+'Game Results'!AD367+'Game Results'!AD1735+'Game Results'!AD1717+'Game Results'!AD1490+'Game Results'!AD1472)</f>
        <v>0</v>
      </c>
      <c r="AE40" s="85">
        <f>SUM('Game Results'!AE176+'Game Results'!AE187+'Game Results'!AE500+'Game Results'!AE518+'Game Results'!AE709+'Game Results'!AE727+'Game Results'!AE1022+'Game Results'!AE1004+'Game Results'!AE349+'Game Results'!AE367+'Game Results'!AE1735+'Game Results'!AE1717+'Game Results'!AE1490+'Game Results'!AE1472)</f>
        <v>0</v>
      </c>
      <c r="AF40" s="85">
        <f>SUM('Game Results'!AF176+'Game Results'!AF187+'Game Results'!AF500+'Game Results'!AF518+'Game Results'!AF709+'Game Results'!AF727+'Game Results'!AF1022+'Game Results'!AF1004+'Game Results'!AF349+'Game Results'!AF367+'Game Results'!AF1735+'Game Results'!AF1717+'Game Results'!AF1490+'Game Results'!AF1472)</f>
        <v>0</v>
      </c>
      <c r="AG40" s="85">
        <f>SUM('Game Results'!AG176+'Game Results'!AG187+'Game Results'!AG500+'Game Results'!AG518+'Game Results'!AG709+'Game Results'!AG727+'Game Results'!AG1022+'Game Results'!AG1004+'Game Results'!AG349+'Game Results'!AG367+'Game Results'!AG1735+'Game Results'!AG1717+'Game Results'!AG1490+'Game Results'!AG1472)</f>
        <v>1</v>
      </c>
      <c r="AH40" s="85">
        <f>SUM('Game Results'!AH176+'Game Results'!AH187+'Game Results'!AH500+'Game Results'!AH518+'Game Results'!AH709+'Game Results'!AH727+'Game Results'!AH1022+'Game Results'!AH1004+'Game Results'!AH349+'Game Results'!AH367+'Game Results'!AH1735+'Game Results'!AH1717+'Game Results'!AH1490+'Game Results'!AH1472)</f>
        <v>1</v>
      </c>
    </row>
    <row r="41">
      <c r="A41" s="83" t="s">
        <v>58</v>
      </c>
      <c r="B41" s="84" t="s">
        <v>212</v>
      </c>
      <c r="C41" s="85">
        <f>SUM('Game Results'!C177+'Game Results'!C188+'Game Results'!C501+'Game Results'!C519+'Game Results'!C710+'Game Results'!C728+'Game Results'!C1023+'Game Results'!C1005+'Game Results'!C350+'Game Results'!C368+'Game Results'!C1736+'Game Results'!C1718+'Game Results'!C1491+'Game Results'!C1473)</f>
        <v>13</v>
      </c>
      <c r="D41" s="85">
        <f>SUM('Game Results'!D177+'Game Results'!D188+'Game Results'!D501+'Game Results'!D519+'Game Results'!D710+'Game Results'!D728+'Game Results'!D1023+'Game Results'!D1005+'Game Results'!D350+'Game Results'!D368+'Game Results'!D1736+'Game Results'!D1718+'Game Results'!D1491+'Game Results'!D1473)</f>
        <v>2</v>
      </c>
      <c r="E41" s="86">
        <f>SUM('Game Results'!E177+'Game Results'!E188+'Game Results'!E501+'Game Results'!E519+'Game Results'!E710+'Game Results'!E728+'Game Results'!E1023+'Game Results'!E1005+'Game Results'!E350+'Game Results'!E368+'Game Results'!E1736+'Game Results'!E1718+'Game Results'!E1491+'Game Results'!E1473)</f>
        <v>271.15</v>
      </c>
      <c r="F41" s="85">
        <f>SUM('Game Results'!F177+'Game Results'!F188+'Game Results'!F501+'Game Results'!F519+'Game Results'!F710+'Game Results'!F728+'Game Results'!F1023+'Game Results'!F1005+'Game Results'!F350+'Game Results'!F368+'Game Results'!F1736+'Game Results'!F1718+'Game Results'!F1491+'Game Results'!F1473)</f>
        <v>10</v>
      </c>
      <c r="G41" s="85">
        <f>SUM('Game Results'!G177+'Game Results'!G188+'Game Results'!G501+'Game Results'!G519+'Game Results'!G710+'Game Results'!G728+'Game Results'!G1023+'Game Results'!G1005+'Game Results'!G350+'Game Results'!G368+'Game Results'!G1736+'Game Results'!G1718+'Game Results'!G1491+'Game Results'!G1473)</f>
        <v>815</v>
      </c>
      <c r="H41" s="85">
        <f>SUM('Game Results'!H177+'Game Results'!H188+'Game Results'!H501+'Game Results'!H519+'Game Results'!H710+'Game Results'!H728+'Game Results'!H1023+'Game Results'!H1005+'Game Results'!H350+'Game Results'!H368+'Game Results'!H1736+'Game Results'!H1718+'Game Results'!H1491+'Game Results'!H1473)</f>
        <v>3</v>
      </c>
      <c r="I41" s="85">
        <f>SUM('Game Results'!I177+'Game Results'!I188+'Game Results'!I501+'Game Results'!I519+'Game Results'!I710+'Game Results'!I728+'Game Results'!I1023+'Game Results'!I1005+'Game Results'!I350+'Game Results'!I368+'Game Results'!I1736+'Game Results'!I1718+'Game Results'!I1491+'Game Results'!I1473)</f>
        <v>835</v>
      </c>
      <c r="J41" s="85">
        <f>SUM('Game Results'!J177+'Game Results'!J188+'Game Results'!J501+'Game Results'!J519+'Game Results'!J710+'Game Results'!J728+'Game Results'!J1023+'Game Results'!J1005+'Game Results'!J350+'Game Results'!J368+'Game Results'!J1736+'Game Results'!J1718+'Game Results'!J1491+'Game Results'!J1473)</f>
        <v>-20</v>
      </c>
      <c r="K41" s="87">
        <f t="shared" si="1"/>
        <v>0.9760479042</v>
      </c>
      <c r="L41" s="85">
        <f>SUM('Game Results'!L177+'Game Results'!L188+'Game Results'!L501+'Game Results'!L519+'Game Results'!L710+'Game Results'!L728+'Game Results'!L1023+'Game Results'!L1005+'Game Results'!L350+'Game Results'!L368+'Game Results'!L1736+'Game Results'!L1718+'Game Results'!L1491+'Game Results'!L1473)</f>
        <v>222</v>
      </c>
      <c r="M41" s="85">
        <f>SUM('Game Results'!M177+'Game Results'!M188+'Game Results'!M501+'Game Results'!M519+'Game Results'!M710+'Game Results'!M728+'Game Results'!M1023+'Game Results'!M1005+'Game Results'!M350+'Game Results'!M368+'Game Results'!M1736+'Game Results'!M1718+'Game Results'!M1491+'Game Results'!M1473)</f>
        <v>1053</v>
      </c>
      <c r="N41" s="85">
        <f>SUM('Game Results'!N177+'Game Results'!N188+'Game Results'!N501+'Game Results'!N519+'Game Results'!N710+'Game Results'!N728+'Game Results'!N1023+'Game Results'!N1005+'Game Results'!N350+'Game Results'!N368+'Game Results'!N1736+'Game Results'!N1718+'Game Results'!N1491+'Game Results'!N1473)</f>
        <v>13</v>
      </c>
      <c r="O41" s="88">
        <f>SUM('Game Results'!O177+'Game Results'!O188+'Game Results'!O501+'Game Results'!O519+'Game Results'!O710+'Game Results'!O728+'Game Results'!O1023+'Game Results'!O1005+'Game Results'!O350+'Game Results'!O368+'Game Results'!O1736+'Game Results'!O1718+'Game Results'!O1491+'Game Results'!O1473)</f>
        <v>271.15</v>
      </c>
      <c r="P41" s="85">
        <f>SUM('Game Results'!P177+'Game Results'!P188+'Game Results'!P501+'Game Results'!P519+'Game Results'!P710+'Game Results'!P728+'Game Results'!P1023+'Game Results'!P1005+'Game Results'!P350+'Game Results'!P368+'Game Results'!P1736+'Game Results'!P1718+'Game Results'!P1491+'Game Results'!P1473)</f>
        <v>38</v>
      </c>
      <c r="Q41" s="85">
        <f>SUM('Game Results'!Q177+'Game Results'!Q188+'Game Results'!Q501+'Game Results'!Q519+'Game Results'!Q710+'Game Results'!Q728+'Game Results'!Q1023+'Game Results'!Q1005+'Game Results'!Q350+'Game Results'!Q368+'Game Results'!Q1736+'Game Results'!Q1718+'Game Results'!Q1491+'Game Results'!Q1473)</f>
        <v>18</v>
      </c>
      <c r="R41" s="85">
        <f>SUM('Game Results'!R177+'Game Results'!R188+'Game Results'!R501+'Game Results'!R519+'Game Results'!R710+'Game Results'!R728+'Game Results'!R1023+'Game Results'!R1005+'Game Results'!R350+'Game Results'!R368+'Game Results'!R1736+'Game Results'!R1718+'Game Results'!R1491+'Game Results'!R1473)</f>
        <v>47</v>
      </c>
      <c r="S41" s="85">
        <f>SUM('Game Results'!S177+'Game Results'!S188+'Game Results'!S501+'Game Results'!S519+'Game Results'!S710+'Game Results'!S728+'Game Results'!S1023+'Game Results'!S1005+'Game Results'!S350+'Game Results'!S368+'Game Results'!S1736+'Game Results'!S1718+'Game Results'!S1491+'Game Results'!S1473)</f>
        <v>22</v>
      </c>
      <c r="T41" s="85">
        <f>SUM('Game Results'!T177+'Game Results'!T188+'Game Results'!T501+'Game Results'!T519+'Game Results'!T710+'Game Results'!T728+'Game Results'!T1023+'Game Results'!T1005+'Game Results'!T350+'Game Results'!T368+'Game Results'!T1736+'Game Results'!T1718+'Game Results'!T1491+'Game Results'!T1473)</f>
        <v>124</v>
      </c>
      <c r="U41" s="85">
        <f>SUM('Game Results'!U177+'Game Results'!U188+'Game Results'!U501+'Game Results'!U519+'Game Results'!U710+'Game Results'!U728+'Game Results'!U1023+'Game Results'!U1005+'Game Results'!U350+'Game Results'!U368+'Game Results'!U1736+'Game Results'!U1718+'Game Results'!U1491+'Game Results'!U1473)</f>
        <v>19</v>
      </c>
      <c r="V41" s="85">
        <f>SUM('Game Results'!V177+'Game Results'!V188+'Game Results'!V501+'Game Results'!V519+'Game Results'!V710+'Game Results'!V728+'Game Results'!V1023+'Game Results'!V1005+'Game Results'!V350+'Game Results'!V368+'Game Results'!V1736+'Game Results'!V1718+'Game Results'!V1491+'Game Results'!V1473)</f>
        <v>3</v>
      </c>
      <c r="W41" s="85">
        <f>SUM('Game Results'!W177+'Game Results'!W188+'Game Results'!W501+'Game Results'!W519+'Game Results'!W710+'Game Results'!W728+'Game Results'!W1023+'Game Results'!W1005+'Game Results'!W350+'Game Results'!W368+'Game Results'!W1736+'Game Results'!W1718+'Game Results'!W1491+'Game Results'!W1473)</f>
        <v>1</v>
      </c>
      <c r="X41" s="85">
        <f>SUM('Game Results'!X177+'Game Results'!X188+'Game Results'!X501+'Game Results'!X519+'Game Results'!X710+'Game Results'!X728+'Game Results'!X1023+'Game Results'!X1005+'Game Results'!X350+'Game Results'!X368+'Game Results'!X1736+'Game Results'!X1718+'Game Results'!X1491+'Game Results'!X1473)</f>
        <v>1</v>
      </c>
      <c r="Y41" s="85">
        <f>SUM('Game Results'!Y177+'Game Results'!Y188+'Game Results'!Y501+'Game Results'!Y519+'Game Results'!Y710+'Game Results'!Y728+'Game Results'!Y1023+'Game Results'!Y1005+'Game Results'!Y350+'Game Results'!Y368+'Game Results'!Y1736+'Game Results'!Y1718+'Game Results'!Y1491+'Game Results'!Y1473)</f>
        <v>1</v>
      </c>
      <c r="Z41" s="85">
        <f>SUM('Game Results'!Z177+'Game Results'!Z188+'Game Results'!Z501+'Game Results'!Z519+'Game Results'!Z710+'Game Results'!Z728+'Game Results'!Z1023+'Game Results'!Z1005+'Game Results'!Z350+'Game Results'!Z368+'Game Results'!Z1736+'Game Results'!Z1718+'Game Results'!Z1491+'Game Results'!Z1473)</f>
        <v>0</v>
      </c>
      <c r="AA41" s="85">
        <f>SUM('Game Results'!AA177+'Game Results'!AA188+'Game Results'!AA501+'Game Results'!AA519+'Game Results'!AA710+'Game Results'!AA728+'Game Results'!AA1023+'Game Results'!AA1005+'Game Results'!AA350+'Game Results'!AA368+'Game Results'!AA1736+'Game Results'!AA1718+'Game Results'!AA1491+'Game Results'!AA1473)</f>
        <v>0</v>
      </c>
      <c r="AB41" s="85">
        <f>SUM('Game Results'!AB177+'Game Results'!AB188+'Game Results'!AB501+'Game Results'!AB519+'Game Results'!AB710+'Game Results'!AB728+'Game Results'!AB1023+'Game Results'!AB1005+'Game Results'!AB350+'Game Results'!AB368+'Game Results'!AB1736+'Game Results'!AB1718+'Game Results'!AB1491+'Game Results'!AB1473)</f>
        <v>0</v>
      </c>
      <c r="AC41" s="85">
        <f>SUM('Game Results'!AC177+'Game Results'!AC188+'Game Results'!AC501+'Game Results'!AC519+'Game Results'!AC710+'Game Results'!AC728+'Game Results'!AC1023+'Game Results'!AC1005+'Game Results'!AC350+'Game Results'!AC368+'Game Results'!AC1736+'Game Results'!AC1718+'Game Results'!AC1491+'Game Results'!AC1473)</f>
        <v>21</v>
      </c>
      <c r="AD41" s="85">
        <f>SUM('Game Results'!AD177+'Game Results'!AD188+'Game Results'!AD501+'Game Results'!AD519+'Game Results'!AD710+'Game Results'!AD728+'Game Results'!AD1023+'Game Results'!AD1005+'Game Results'!AD350+'Game Results'!AD368+'Game Results'!AD1736+'Game Results'!AD1718+'Game Results'!AD1491+'Game Results'!AD1473)</f>
        <v>0</v>
      </c>
      <c r="AE41" s="85">
        <f>SUM('Game Results'!AE177+'Game Results'!AE188+'Game Results'!AE501+'Game Results'!AE519+'Game Results'!AE710+'Game Results'!AE728+'Game Results'!AE1023+'Game Results'!AE1005+'Game Results'!AE350+'Game Results'!AE368+'Game Results'!AE1736+'Game Results'!AE1718+'Game Results'!AE1491+'Game Results'!AE1473)</f>
        <v>0</v>
      </c>
      <c r="AF41" s="85">
        <f>SUM('Game Results'!AF177+'Game Results'!AF188+'Game Results'!AF501+'Game Results'!AF519+'Game Results'!AF710+'Game Results'!AF728+'Game Results'!AF1023+'Game Results'!AF1005+'Game Results'!AF350+'Game Results'!AF368+'Game Results'!AF1736+'Game Results'!AF1718+'Game Results'!AF1491+'Game Results'!AF1473)</f>
        <v>0</v>
      </c>
      <c r="AG41" s="85">
        <f>SUM('Game Results'!AG177+'Game Results'!AG188+'Game Results'!AG501+'Game Results'!AG519+'Game Results'!AG710+'Game Results'!AG728+'Game Results'!AG1023+'Game Results'!AG1005+'Game Results'!AG350+'Game Results'!AG368+'Game Results'!AG1736+'Game Results'!AG1718+'Game Results'!AG1491+'Game Results'!AG1473)</f>
        <v>1</v>
      </c>
      <c r="AH41" s="85">
        <f>SUM('Game Results'!AH177+'Game Results'!AH188+'Game Results'!AH501+'Game Results'!AH519+'Game Results'!AH710+'Game Results'!AH728+'Game Results'!AH1023+'Game Results'!AH1005+'Game Results'!AH350+'Game Results'!AH368+'Game Results'!AH1736+'Game Results'!AH1718+'Game Results'!AH1491+'Game Results'!AH1473)</f>
        <v>0</v>
      </c>
    </row>
    <row r="42">
      <c r="A42" s="83" t="s">
        <v>58</v>
      </c>
      <c r="B42" s="84" t="s">
        <v>213</v>
      </c>
      <c r="C42" s="85">
        <f>SUM('Game Results'!C178+'Game Results'!C189+'Game Results'!C502+'Game Results'!C520+'Game Results'!C711+'Game Results'!C729+'Game Results'!C1024+'Game Results'!C1006+'Game Results'!C351+'Game Results'!C369+'Game Results'!C1737+'Game Results'!C1719+'Game Results'!C1492+'Game Results'!C1474)</f>
        <v>0</v>
      </c>
      <c r="D42" s="85">
        <f>SUM('Game Results'!D178+'Game Results'!D189+'Game Results'!D502+'Game Results'!D520+'Game Results'!D711+'Game Results'!D729+'Game Results'!D1024+'Game Results'!D1006+'Game Results'!D351+'Game Results'!D369+'Game Results'!D1737+'Game Results'!D1719+'Game Results'!D1492+'Game Results'!D1474)</f>
        <v>0</v>
      </c>
      <c r="E42" s="86">
        <f>SUM('Game Results'!E178+'Game Results'!E189+'Game Results'!E502+'Game Results'!E520+'Game Results'!E711+'Game Results'!E729+'Game Results'!E1024+'Game Results'!E1006+'Game Results'!E351+'Game Results'!E369+'Game Results'!E1737+'Game Results'!E1719+'Game Results'!E1492+'Game Results'!E1474)</f>
        <v>0</v>
      </c>
      <c r="F42" s="85">
        <f>SUM('Game Results'!F178+'Game Results'!F189+'Game Results'!F502+'Game Results'!F520+'Game Results'!F711+'Game Results'!F729+'Game Results'!F1024+'Game Results'!F1006+'Game Results'!F351+'Game Results'!F369+'Game Results'!F1737+'Game Results'!F1719+'Game Results'!F1492+'Game Results'!F1474)</f>
        <v>0</v>
      </c>
      <c r="G42" s="85">
        <f>SUM('Game Results'!G178+'Game Results'!G189+'Game Results'!G502+'Game Results'!G520+'Game Results'!G711+'Game Results'!G729+'Game Results'!G1024+'Game Results'!G1006+'Game Results'!G351+'Game Results'!G369+'Game Results'!G1737+'Game Results'!G1719+'Game Results'!G1492+'Game Results'!G1474)</f>
        <v>0</v>
      </c>
      <c r="H42" s="85">
        <f>SUM('Game Results'!H178+'Game Results'!H189+'Game Results'!H502+'Game Results'!H520+'Game Results'!H711+'Game Results'!H729+'Game Results'!H1024+'Game Results'!H1006+'Game Results'!H351+'Game Results'!H369+'Game Results'!H1737+'Game Results'!H1719+'Game Results'!H1492+'Game Results'!H1474)</f>
        <v>0</v>
      </c>
      <c r="I42" s="85">
        <f>SUM('Game Results'!I178+'Game Results'!I189+'Game Results'!I502+'Game Results'!I520+'Game Results'!I711+'Game Results'!I729+'Game Results'!I1024+'Game Results'!I1006+'Game Results'!I351+'Game Results'!I369+'Game Results'!I1737+'Game Results'!I1719+'Game Results'!I1492+'Game Results'!I1474)</f>
        <v>0</v>
      </c>
      <c r="J42" s="85">
        <f>SUM('Game Results'!J178+'Game Results'!J189+'Game Results'!J502+'Game Results'!J520+'Game Results'!J711+'Game Results'!J729+'Game Results'!J1024+'Game Results'!J1006+'Game Results'!J351+'Game Results'!J369+'Game Results'!J1737+'Game Results'!J1719+'Game Results'!J1492+'Game Results'!J1474)</f>
        <v>0</v>
      </c>
      <c r="K42" s="87" t="str">
        <f t="shared" si="1"/>
        <v>#DIV/0!</v>
      </c>
      <c r="L42" s="85">
        <f>SUM('Game Results'!L178+'Game Results'!L189+'Game Results'!L502+'Game Results'!L520+'Game Results'!L711+'Game Results'!L729+'Game Results'!L1024+'Game Results'!L1006+'Game Results'!L351+'Game Results'!L369+'Game Results'!L1737+'Game Results'!L1719+'Game Results'!L1492+'Game Results'!L1474)</f>
        <v>0</v>
      </c>
      <c r="M42" s="85">
        <f>SUM('Game Results'!M178+'Game Results'!M189+'Game Results'!M502+'Game Results'!M520+'Game Results'!M711+'Game Results'!M729+'Game Results'!M1024+'Game Results'!M1006+'Game Results'!M351+'Game Results'!M369+'Game Results'!M1737+'Game Results'!M1719+'Game Results'!M1492+'Game Results'!M1474)</f>
        <v>0</v>
      </c>
      <c r="N42" s="85">
        <f>SUM('Game Results'!N178+'Game Results'!N189+'Game Results'!N502+'Game Results'!N520+'Game Results'!N711+'Game Results'!N729+'Game Results'!N1024+'Game Results'!N1006+'Game Results'!N351+'Game Results'!N369+'Game Results'!N1737+'Game Results'!N1719+'Game Results'!N1492+'Game Results'!N1474)</f>
        <v>0</v>
      </c>
      <c r="O42" s="88">
        <f>SUM('Game Results'!O178+'Game Results'!O189+'Game Results'!O502+'Game Results'!O520+'Game Results'!O711+'Game Results'!O729+'Game Results'!O1024+'Game Results'!O1006+'Game Results'!O351+'Game Results'!O369+'Game Results'!O1737+'Game Results'!O1719+'Game Results'!O1492+'Game Results'!O1474)</f>
        <v>0</v>
      </c>
      <c r="P42" s="85">
        <f>SUM('Game Results'!P178+'Game Results'!P189+'Game Results'!P502+'Game Results'!P520+'Game Results'!P711+'Game Results'!P729+'Game Results'!P1024+'Game Results'!P1006+'Game Results'!P351+'Game Results'!P369+'Game Results'!P1737+'Game Results'!P1719+'Game Results'!P1492+'Game Results'!P1474)</f>
        <v>0</v>
      </c>
      <c r="Q42" s="85">
        <f>SUM('Game Results'!Q178+'Game Results'!Q189+'Game Results'!Q502+'Game Results'!Q520+'Game Results'!Q711+'Game Results'!Q729+'Game Results'!Q1024+'Game Results'!Q1006+'Game Results'!Q351+'Game Results'!Q369+'Game Results'!Q1737+'Game Results'!Q1719+'Game Results'!Q1492+'Game Results'!Q1474)</f>
        <v>0</v>
      </c>
      <c r="R42" s="85">
        <f>SUM('Game Results'!R178+'Game Results'!R189+'Game Results'!R502+'Game Results'!R520+'Game Results'!R711+'Game Results'!R729+'Game Results'!R1024+'Game Results'!R1006+'Game Results'!R351+'Game Results'!R369+'Game Results'!R1737+'Game Results'!R1719+'Game Results'!R1492+'Game Results'!R1474)</f>
        <v>0</v>
      </c>
      <c r="S42" s="85">
        <f>SUM('Game Results'!S178+'Game Results'!S189+'Game Results'!S502+'Game Results'!S520+'Game Results'!S711+'Game Results'!S729+'Game Results'!S1024+'Game Results'!S1006+'Game Results'!S351+'Game Results'!S369+'Game Results'!S1737+'Game Results'!S1719+'Game Results'!S1492+'Game Results'!S1474)</f>
        <v>0</v>
      </c>
      <c r="T42" s="85">
        <f>SUM('Game Results'!T178+'Game Results'!T189+'Game Results'!T502+'Game Results'!T520+'Game Results'!T711+'Game Results'!T729+'Game Results'!T1024+'Game Results'!T1006+'Game Results'!T351+'Game Results'!T369+'Game Results'!T1737+'Game Results'!T1719+'Game Results'!T1492+'Game Results'!T1474)</f>
        <v>0</v>
      </c>
      <c r="U42" s="85">
        <f>SUM('Game Results'!U178+'Game Results'!U189+'Game Results'!U502+'Game Results'!U520+'Game Results'!U711+'Game Results'!U729+'Game Results'!U1024+'Game Results'!U1006+'Game Results'!U351+'Game Results'!U369+'Game Results'!U1737+'Game Results'!U1719+'Game Results'!U1492+'Game Results'!U1474)</f>
        <v>0</v>
      </c>
      <c r="V42" s="85">
        <f>SUM('Game Results'!V178+'Game Results'!V189+'Game Results'!V502+'Game Results'!V520+'Game Results'!V711+'Game Results'!V729+'Game Results'!V1024+'Game Results'!V1006+'Game Results'!V351+'Game Results'!V369+'Game Results'!V1737+'Game Results'!V1719+'Game Results'!V1492+'Game Results'!V1474)</f>
        <v>0</v>
      </c>
      <c r="W42" s="85">
        <f>SUM('Game Results'!W178+'Game Results'!W189+'Game Results'!W502+'Game Results'!W520+'Game Results'!W711+'Game Results'!W729+'Game Results'!W1024+'Game Results'!W1006+'Game Results'!W351+'Game Results'!W369+'Game Results'!W1737+'Game Results'!W1719+'Game Results'!W1492+'Game Results'!W1474)</f>
        <v>0</v>
      </c>
      <c r="X42" s="85">
        <f>SUM('Game Results'!X178+'Game Results'!X189+'Game Results'!X502+'Game Results'!X520+'Game Results'!X711+'Game Results'!X729+'Game Results'!X1024+'Game Results'!X1006+'Game Results'!X351+'Game Results'!X369+'Game Results'!X1737+'Game Results'!X1719+'Game Results'!X1492+'Game Results'!X1474)</f>
        <v>0</v>
      </c>
      <c r="Y42" s="85">
        <f>SUM('Game Results'!Y178+'Game Results'!Y189+'Game Results'!Y502+'Game Results'!Y520+'Game Results'!Y711+'Game Results'!Y729+'Game Results'!Y1024+'Game Results'!Y1006+'Game Results'!Y351+'Game Results'!Y369+'Game Results'!Y1737+'Game Results'!Y1719+'Game Results'!Y1492+'Game Results'!Y1474)</f>
        <v>0</v>
      </c>
      <c r="Z42" s="85">
        <f>SUM('Game Results'!Z178+'Game Results'!Z189+'Game Results'!Z502+'Game Results'!Z520+'Game Results'!Z711+'Game Results'!Z729+'Game Results'!Z1024+'Game Results'!Z1006+'Game Results'!Z351+'Game Results'!Z369+'Game Results'!Z1737+'Game Results'!Z1719+'Game Results'!Z1492+'Game Results'!Z1474)</f>
        <v>0</v>
      </c>
      <c r="AA42" s="85">
        <f>SUM('Game Results'!AA178+'Game Results'!AA189+'Game Results'!AA502+'Game Results'!AA520+'Game Results'!AA711+'Game Results'!AA729+'Game Results'!AA1024+'Game Results'!AA1006+'Game Results'!AA351+'Game Results'!AA369+'Game Results'!AA1737+'Game Results'!AA1719+'Game Results'!AA1492+'Game Results'!AA1474)</f>
        <v>0</v>
      </c>
      <c r="AB42" s="85">
        <f>SUM('Game Results'!AB178+'Game Results'!AB189+'Game Results'!AB502+'Game Results'!AB520+'Game Results'!AB711+'Game Results'!AB729+'Game Results'!AB1024+'Game Results'!AB1006+'Game Results'!AB351+'Game Results'!AB369+'Game Results'!AB1737+'Game Results'!AB1719+'Game Results'!AB1492+'Game Results'!AB1474)</f>
        <v>0</v>
      </c>
      <c r="AC42" s="85">
        <f>SUM('Game Results'!AC178+'Game Results'!AC189+'Game Results'!AC502+'Game Results'!AC520+'Game Results'!AC711+'Game Results'!AC729+'Game Results'!AC1024+'Game Results'!AC1006+'Game Results'!AC351+'Game Results'!AC369+'Game Results'!AC1737+'Game Results'!AC1719+'Game Results'!AC1492+'Game Results'!AC1474)</f>
        <v>0</v>
      </c>
      <c r="AD42" s="85">
        <f>SUM('Game Results'!AD178+'Game Results'!AD189+'Game Results'!AD502+'Game Results'!AD520+'Game Results'!AD711+'Game Results'!AD729+'Game Results'!AD1024+'Game Results'!AD1006+'Game Results'!AD351+'Game Results'!AD369+'Game Results'!AD1737+'Game Results'!AD1719+'Game Results'!AD1492+'Game Results'!AD1474)</f>
        <v>0</v>
      </c>
      <c r="AE42" s="85">
        <f>SUM('Game Results'!AE178+'Game Results'!AE189+'Game Results'!AE502+'Game Results'!AE520+'Game Results'!AE711+'Game Results'!AE729+'Game Results'!AE1024+'Game Results'!AE1006+'Game Results'!AE351+'Game Results'!AE369+'Game Results'!AE1737+'Game Results'!AE1719+'Game Results'!AE1492+'Game Results'!AE1474)</f>
        <v>0</v>
      </c>
      <c r="AF42" s="85">
        <f>SUM('Game Results'!AF178+'Game Results'!AF189+'Game Results'!AF502+'Game Results'!AF520+'Game Results'!AF711+'Game Results'!AF729+'Game Results'!AF1024+'Game Results'!AF1006+'Game Results'!AF351+'Game Results'!AF369+'Game Results'!AF1737+'Game Results'!AF1719+'Game Results'!AF1492+'Game Results'!AF1474)</f>
        <v>0</v>
      </c>
      <c r="AG42" s="85">
        <f>SUM('Game Results'!AG178+'Game Results'!AG189+'Game Results'!AG502+'Game Results'!AG520+'Game Results'!AG711+'Game Results'!AG729+'Game Results'!AG1024+'Game Results'!AG1006+'Game Results'!AG351+'Game Results'!AG369+'Game Results'!AG1737+'Game Results'!AG1719+'Game Results'!AG1492+'Game Results'!AG1474)</f>
        <v>0</v>
      </c>
      <c r="AH42" s="85">
        <f>SUM('Game Results'!AH178+'Game Results'!AH189+'Game Results'!AH502+'Game Results'!AH520+'Game Results'!AH711+'Game Results'!AH729+'Game Results'!AH1024+'Game Results'!AH1006+'Game Results'!AH351+'Game Results'!AH369+'Game Results'!AH1737+'Game Results'!AH1719+'Game Results'!AH1492+'Game Results'!AH1474)</f>
        <v>0</v>
      </c>
    </row>
    <row r="43">
      <c r="A43" s="83" t="s">
        <v>214</v>
      </c>
      <c r="B43" s="84" t="s">
        <v>215</v>
      </c>
      <c r="C43" s="85">
        <f>SUM('Game Results'!C179+'Game Results'!C190+'Game Results'!C503+'Game Results'!C521+'Game Results'!C712+'Game Results'!C730+'Game Results'!C1025+'Game Results'!C1007+'Game Results'!C352+'Game Results'!C370+'Game Results'!C1738+'Game Results'!C1720+'Game Results'!C1493+'Game Results'!C1475)</f>
        <v>3</v>
      </c>
      <c r="D43" s="85">
        <f>SUM('Game Results'!D179+'Game Results'!D190+'Game Results'!D503+'Game Results'!D521+'Game Results'!D712+'Game Results'!D730+'Game Results'!D1025+'Game Results'!D1007+'Game Results'!D352+'Game Results'!D370+'Game Results'!D1738+'Game Results'!D1720+'Game Results'!D1493+'Game Results'!D1475)</f>
        <v>3</v>
      </c>
      <c r="E43" s="86">
        <f>SUM('Game Results'!E179+'Game Results'!E190+'Game Results'!E503+'Game Results'!E521+'Game Results'!E712+'Game Results'!E730+'Game Results'!E1025+'Game Results'!E1007+'Game Results'!E352+'Game Results'!E370+'Game Results'!E1738+'Game Results'!E1720+'Game Results'!E1493+'Game Results'!E1475)</f>
        <v>54</v>
      </c>
      <c r="F43" s="85">
        <f>SUM('Game Results'!F179+'Game Results'!F190+'Game Results'!F503+'Game Results'!F521+'Game Results'!F712+'Game Results'!F730+'Game Results'!F1025+'Game Results'!F1007+'Game Results'!F352+'Game Results'!F370+'Game Results'!F1738+'Game Results'!F1720+'Game Results'!F1493+'Game Results'!F1475)</f>
        <v>7</v>
      </c>
      <c r="G43" s="85">
        <f>SUM('Game Results'!G179+'Game Results'!G190+'Game Results'!G503+'Game Results'!G521+'Game Results'!G712+'Game Results'!G730+'Game Results'!G1025+'Game Results'!G1007+'Game Results'!G352+'Game Results'!G370+'Game Results'!G1738+'Game Results'!G1720+'Game Results'!G1493+'Game Results'!G1475)</f>
        <v>163</v>
      </c>
      <c r="H43" s="85">
        <f>SUM('Game Results'!H179+'Game Results'!H190+'Game Results'!H503+'Game Results'!H521+'Game Results'!H712+'Game Results'!H730+'Game Results'!H1025+'Game Results'!H1007+'Game Results'!H352+'Game Results'!H370+'Game Results'!H1738+'Game Results'!H1720+'Game Results'!H1493+'Game Results'!H1475)</f>
        <v>1</v>
      </c>
      <c r="I43" s="85">
        <f>SUM('Game Results'!I179+'Game Results'!I190+'Game Results'!I503+'Game Results'!I521+'Game Results'!I712+'Game Results'!I730+'Game Results'!I1025+'Game Results'!I1007+'Game Results'!I352+'Game Results'!I370+'Game Results'!I1738+'Game Results'!I1720+'Game Results'!I1493+'Game Results'!I1475)</f>
        <v>120</v>
      </c>
      <c r="J43" s="85">
        <f>SUM('Game Results'!J179+'Game Results'!J190+'Game Results'!J503+'Game Results'!J521+'Game Results'!J712+'Game Results'!J730+'Game Results'!J1025+'Game Results'!J1007+'Game Results'!J352+'Game Results'!J370+'Game Results'!J1738+'Game Results'!J1720+'Game Results'!J1493+'Game Results'!J1475)</f>
        <v>43</v>
      </c>
      <c r="K43" s="87">
        <f t="shared" si="1"/>
        <v>1.358333333</v>
      </c>
      <c r="L43" s="85">
        <f>SUM('Game Results'!L179+'Game Results'!L190+'Game Results'!L503+'Game Results'!L521+'Game Results'!L712+'Game Results'!L730+'Game Results'!L1025+'Game Results'!L1007+'Game Results'!L352+'Game Results'!L370+'Game Results'!L1738+'Game Results'!L1720+'Game Results'!L1493+'Game Results'!L1475)</f>
        <v>77</v>
      </c>
      <c r="M43" s="85">
        <f>SUM('Game Results'!M179+'Game Results'!M190+'Game Results'!M503+'Game Results'!M521+'Game Results'!M712+'Game Results'!M730+'Game Results'!M1025+'Game Results'!M1007+'Game Results'!M352+'Game Results'!M370+'Game Results'!M1738+'Game Results'!M1720+'Game Results'!M1493+'Game Results'!M1475)</f>
        <v>227</v>
      </c>
      <c r="N43" s="85">
        <f>SUM('Game Results'!N179+'Game Results'!N190+'Game Results'!N503+'Game Results'!N521+'Game Results'!N712+'Game Results'!N730+'Game Results'!N1025+'Game Results'!N1007+'Game Results'!N352+'Game Results'!N370+'Game Results'!N1738+'Game Results'!N1720+'Game Results'!N1493+'Game Results'!N1475)</f>
        <v>3</v>
      </c>
      <c r="O43" s="88">
        <f>SUM('Game Results'!O179+'Game Results'!O190+'Game Results'!O503+'Game Results'!O521+'Game Results'!O712+'Game Results'!O730+'Game Results'!O1025+'Game Results'!O1007+'Game Results'!O352+'Game Results'!O370+'Game Results'!O1738+'Game Results'!O1720+'Game Results'!O1493+'Game Results'!O1475)</f>
        <v>54</v>
      </c>
      <c r="P43" s="85">
        <f>SUM('Game Results'!P179+'Game Results'!P190+'Game Results'!P503+'Game Results'!P521+'Game Results'!P712+'Game Results'!P730+'Game Results'!P1025+'Game Results'!P1007+'Game Results'!P352+'Game Results'!P370+'Game Results'!P1738+'Game Results'!P1720+'Game Results'!P1493+'Game Results'!P1475)</f>
        <v>10</v>
      </c>
      <c r="Q43" s="85">
        <f>SUM('Game Results'!Q179+'Game Results'!Q190+'Game Results'!Q503+'Game Results'!Q521+'Game Results'!Q712+'Game Results'!Q730+'Game Results'!Q1025+'Game Results'!Q1007+'Game Results'!Q352+'Game Results'!Q370+'Game Results'!Q1738+'Game Results'!Q1720+'Game Results'!Q1493+'Game Results'!Q1475)</f>
        <v>4</v>
      </c>
      <c r="R43" s="85">
        <f>SUM('Game Results'!R179+'Game Results'!R190+'Game Results'!R503+'Game Results'!R521+'Game Results'!R712+'Game Results'!R730+'Game Results'!R1025+'Game Results'!R1007+'Game Results'!R352+'Game Results'!R370+'Game Results'!R1738+'Game Results'!R1720+'Game Results'!R1493+'Game Results'!R1475)</f>
        <v>9</v>
      </c>
      <c r="S43" s="85">
        <f>SUM('Game Results'!S179+'Game Results'!S190+'Game Results'!S503+'Game Results'!S521+'Game Results'!S712+'Game Results'!S730+'Game Results'!S1025+'Game Results'!S1007+'Game Results'!S352+'Game Results'!S370+'Game Results'!S1738+'Game Results'!S1720+'Game Results'!S1493+'Game Results'!S1475)</f>
        <v>2</v>
      </c>
      <c r="T43" s="85">
        <f>SUM('Game Results'!T179+'Game Results'!T190+'Game Results'!T503+'Game Results'!T521+'Game Results'!T712+'Game Results'!T730+'Game Results'!T1025+'Game Results'!T1007+'Game Results'!T352+'Game Results'!T370+'Game Results'!T1738+'Game Results'!T1720+'Game Results'!T1493+'Game Results'!T1475)</f>
        <v>26</v>
      </c>
      <c r="U43" s="85">
        <f>SUM('Game Results'!U179+'Game Results'!U190+'Game Results'!U503+'Game Results'!U521+'Game Results'!U712+'Game Results'!U730+'Game Results'!U1025+'Game Results'!U1007+'Game Results'!U352+'Game Results'!U370+'Game Results'!U1738+'Game Results'!U1720+'Game Results'!U1493+'Game Results'!U1475)</f>
        <v>4</v>
      </c>
      <c r="V43" s="85">
        <f>SUM('Game Results'!V179+'Game Results'!V190+'Game Results'!V503+'Game Results'!V521+'Game Results'!V712+'Game Results'!V730+'Game Results'!V1025+'Game Results'!V1007+'Game Results'!V352+'Game Results'!V370+'Game Results'!V1738+'Game Results'!V1720+'Game Results'!V1493+'Game Results'!V1475)</f>
        <v>2</v>
      </c>
      <c r="W43" s="85">
        <f>SUM('Game Results'!W179+'Game Results'!W190+'Game Results'!W503+'Game Results'!W521+'Game Results'!W712+'Game Results'!W730+'Game Results'!W1025+'Game Results'!W1007+'Game Results'!W352+'Game Results'!W370+'Game Results'!W1738+'Game Results'!W1720+'Game Results'!W1493+'Game Results'!W1475)</f>
        <v>1</v>
      </c>
      <c r="X43" s="85">
        <f>SUM('Game Results'!X179+'Game Results'!X190+'Game Results'!X503+'Game Results'!X521+'Game Results'!X712+'Game Results'!X730+'Game Results'!X1025+'Game Results'!X1007+'Game Results'!X352+'Game Results'!X370+'Game Results'!X1738+'Game Results'!X1720+'Game Results'!X1493+'Game Results'!X1475)</f>
        <v>0</v>
      </c>
      <c r="Y43" s="85">
        <f>SUM('Game Results'!Y179+'Game Results'!Y190+'Game Results'!Y503+'Game Results'!Y521+'Game Results'!Y712+'Game Results'!Y730+'Game Results'!Y1025+'Game Results'!Y1007+'Game Results'!Y352+'Game Results'!Y370+'Game Results'!Y1738+'Game Results'!Y1720+'Game Results'!Y1493+'Game Results'!Y1475)</f>
        <v>0</v>
      </c>
      <c r="Z43" s="85">
        <f>SUM('Game Results'!Z179+'Game Results'!Z190+'Game Results'!Z503+'Game Results'!Z521+'Game Results'!Z712+'Game Results'!Z730+'Game Results'!Z1025+'Game Results'!Z1007+'Game Results'!Z352+'Game Results'!Z370+'Game Results'!Z1738+'Game Results'!Z1720+'Game Results'!Z1493+'Game Results'!Z1475)</f>
        <v>0</v>
      </c>
      <c r="AA43" s="85">
        <f>SUM('Game Results'!AA179+'Game Results'!AA190+'Game Results'!AA503+'Game Results'!AA521+'Game Results'!AA712+'Game Results'!AA730+'Game Results'!AA1025+'Game Results'!AA1007+'Game Results'!AA352+'Game Results'!AA370+'Game Results'!AA1738+'Game Results'!AA1720+'Game Results'!AA1493+'Game Results'!AA1475)</f>
        <v>0</v>
      </c>
      <c r="AB43" s="85">
        <f>SUM('Game Results'!AB179+'Game Results'!AB190+'Game Results'!AB503+'Game Results'!AB521+'Game Results'!AB712+'Game Results'!AB730+'Game Results'!AB1025+'Game Results'!AB1007+'Game Results'!AB352+'Game Results'!AB370+'Game Results'!AB1738+'Game Results'!AB1720+'Game Results'!AB1493+'Game Results'!AB1475)</f>
        <v>0</v>
      </c>
      <c r="AC43" s="85">
        <f>SUM('Game Results'!AC179+'Game Results'!AC190+'Game Results'!AC503+'Game Results'!AC521+'Game Results'!AC712+'Game Results'!AC730+'Game Results'!AC1025+'Game Results'!AC1007+'Game Results'!AC352+'Game Results'!AC370+'Game Results'!AC1738+'Game Results'!AC1720+'Game Results'!AC1493+'Game Results'!AC1475)</f>
        <v>6</v>
      </c>
      <c r="AD43" s="85">
        <f>SUM('Game Results'!AD179+'Game Results'!AD190+'Game Results'!AD503+'Game Results'!AD521+'Game Results'!AD712+'Game Results'!AD730+'Game Results'!AD1025+'Game Results'!AD1007+'Game Results'!AD352+'Game Results'!AD370+'Game Results'!AD1738+'Game Results'!AD1720+'Game Results'!AD1493+'Game Results'!AD1475)</f>
        <v>1</v>
      </c>
      <c r="AE43" s="85">
        <f>SUM('Game Results'!AE179+'Game Results'!AE190+'Game Results'!AE503+'Game Results'!AE521+'Game Results'!AE712+'Game Results'!AE730+'Game Results'!AE1025+'Game Results'!AE1007+'Game Results'!AE352+'Game Results'!AE370+'Game Results'!AE1738+'Game Results'!AE1720+'Game Results'!AE1493+'Game Results'!AE1475)</f>
        <v>0</v>
      </c>
      <c r="AF43" s="85">
        <f>SUM('Game Results'!AF179+'Game Results'!AF190+'Game Results'!AF503+'Game Results'!AF521+'Game Results'!AF712+'Game Results'!AF730+'Game Results'!AF1025+'Game Results'!AF1007+'Game Results'!AF352+'Game Results'!AF370+'Game Results'!AF1738+'Game Results'!AF1720+'Game Results'!AF1493+'Game Results'!AF1475)</f>
        <v>0</v>
      </c>
      <c r="AG43" s="85">
        <f>SUM('Game Results'!AG179+'Game Results'!AG190+'Game Results'!AG503+'Game Results'!AG521+'Game Results'!AG712+'Game Results'!AG730+'Game Results'!AG1025+'Game Results'!AG1007+'Game Results'!AG352+'Game Results'!AG370+'Game Results'!AG1738+'Game Results'!AG1720+'Game Results'!AG1493+'Game Results'!AG1475)</f>
        <v>0</v>
      </c>
      <c r="AH43" s="85">
        <f>SUM('Game Results'!AH179+'Game Results'!AH190+'Game Results'!AH503+'Game Results'!AH521+'Game Results'!AH712+'Game Results'!AH730+'Game Results'!AH1025+'Game Results'!AH1007+'Game Results'!AH352+'Game Results'!AH370+'Game Results'!AH1738+'Game Results'!AH1720+'Game Results'!AH1493+'Game Results'!AH1475)</f>
        <v>0</v>
      </c>
    </row>
    <row r="44">
      <c r="A44" s="89" t="s">
        <v>185</v>
      </c>
      <c r="B44" s="90"/>
      <c r="C44" s="90">
        <f t="shared" ref="C44:E44" si="17">SUM(C38:C43)/4</f>
        <v>14</v>
      </c>
      <c r="D44" s="90">
        <f t="shared" si="17"/>
        <v>3</v>
      </c>
      <c r="E44" s="91">
        <f t="shared" si="17"/>
        <v>285.9625</v>
      </c>
      <c r="F44" s="91">
        <f t="shared" ref="F44:J44" si="18">SUM(F38:F43)</f>
        <v>36</v>
      </c>
      <c r="G44" s="91">
        <f t="shared" si="18"/>
        <v>3692</v>
      </c>
      <c r="H44" s="91">
        <f t="shared" si="18"/>
        <v>22</v>
      </c>
      <c r="I44" s="91">
        <f t="shared" si="18"/>
        <v>3905</v>
      </c>
      <c r="J44" s="91">
        <f t="shared" si="18"/>
        <v>-213</v>
      </c>
      <c r="K44" s="92">
        <f t="shared" si="1"/>
        <v>0.9454545455</v>
      </c>
      <c r="L44" s="91">
        <f>SUM(L38:L43)/4</f>
        <v>214</v>
      </c>
      <c r="M44" s="91">
        <f>SUM(M38:M43)</f>
        <v>4767</v>
      </c>
      <c r="N44" s="91">
        <f>SUM(N38:N43)/4</f>
        <v>14</v>
      </c>
      <c r="O44" s="91">
        <f>SUM(O37:O43)</f>
        <v>9941.866667</v>
      </c>
      <c r="P44" s="91">
        <f t="shared" ref="P44:AH44" si="19">SUM(P38:P43)</f>
        <v>168</v>
      </c>
      <c r="Q44" s="91">
        <f t="shared" si="19"/>
        <v>83</v>
      </c>
      <c r="R44" s="91">
        <f t="shared" si="19"/>
        <v>216</v>
      </c>
      <c r="S44" s="91">
        <f t="shared" si="19"/>
        <v>79</v>
      </c>
      <c r="T44" s="91">
        <f t="shared" si="19"/>
        <v>531</v>
      </c>
      <c r="U44" s="91">
        <f t="shared" si="19"/>
        <v>90</v>
      </c>
      <c r="V44" s="91">
        <f t="shared" si="19"/>
        <v>25</v>
      </c>
      <c r="W44" s="91">
        <f t="shared" si="19"/>
        <v>12</v>
      </c>
      <c r="X44" s="91">
        <f t="shared" si="19"/>
        <v>4</v>
      </c>
      <c r="Y44" s="91">
        <f t="shared" si="19"/>
        <v>1</v>
      </c>
      <c r="Z44" s="91">
        <f t="shared" si="19"/>
        <v>0</v>
      </c>
      <c r="AA44" s="91">
        <f t="shared" si="19"/>
        <v>0</v>
      </c>
      <c r="AB44" s="91">
        <f t="shared" si="19"/>
        <v>0</v>
      </c>
      <c r="AC44" s="91">
        <f t="shared" si="19"/>
        <v>86</v>
      </c>
      <c r="AD44" s="91">
        <f t="shared" si="19"/>
        <v>2</v>
      </c>
      <c r="AE44" s="91">
        <f t="shared" si="19"/>
        <v>0</v>
      </c>
      <c r="AF44" s="91">
        <f t="shared" si="19"/>
        <v>0</v>
      </c>
      <c r="AG44" s="91">
        <f t="shared" si="19"/>
        <v>2</v>
      </c>
      <c r="AH44" s="91">
        <f t="shared" si="19"/>
        <v>2</v>
      </c>
    </row>
    <row r="45">
      <c r="A45" s="83" t="s">
        <v>40</v>
      </c>
      <c r="B45" s="84" t="s">
        <v>216</v>
      </c>
      <c r="C45" s="85">
        <f>SUM('Game Results'!C606+'Game Results'!C624+'Game Results'!C671+'Game Results'!C689+'Game Results'!C714+'Game Results'!C732+'Game Results'!C1085+'Game Results'!C1067+'Game Results'!C1218+'Game Results'!C131+'Game Results'!C149+'Game Results'!C1452+'Game Results'!C1434+'Game Results'!C1859+'Game Results'!C1697+'Game Results'!C1679+'Game Results'!C1877)</f>
        <v>17</v>
      </c>
      <c r="D45" s="85">
        <f>SUM('Game Results'!D606+'Game Results'!D624+'Game Results'!D671+'Game Results'!D689+'Game Results'!D714+'Game Results'!D732+'Game Results'!D1085+'Game Results'!D1067+'Game Results'!D1218+'Game Results'!D131+'Game Results'!D149+'Game Results'!D1452+'Game Results'!D1434+'Game Results'!D1859+'Game Results'!D1697+'Game Results'!D1679+'Game Results'!D1877)</f>
        <v>10</v>
      </c>
      <c r="E45" s="86">
        <f>SUM('Game Results'!E606+'Game Results'!E624+'Game Results'!E671+'Game Results'!E689+'Game Results'!E714+'Game Results'!E732+'Game Results'!E1085+'Game Results'!E1067+'Game Results'!E1218+'Game Results'!E131+'Game Results'!E149+'Game Results'!E1452+'Game Results'!E1434+'Game Results'!E1859+'Game Results'!E1697+'Game Results'!E1679+'Game Results'!E1877)</f>
        <v>487.7666667</v>
      </c>
      <c r="F45" s="85">
        <f>SUM('Game Results'!F606+'Game Results'!F624+'Game Results'!F671+'Game Results'!F689+'Game Results'!F714+'Game Results'!F732+'Game Results'!F1085+'Game Results'!F1067+'Game Results'!F1218+'Game Results'!F131+'Game Results'!F149+'Game Results'!F1452+'Game Results'!F1434+'Game Results'!F1859+'Game Results'!F1697+'Game Results'!F1679+'Game Results'!F1877)</f>
        <v>49</v>
      </c>
      <c r="G45" s="85">
        <f>SUM('Game Results'!G606+'Game Results'!G624+'Game Results'!G671+'Game Results'!G689+'Game Results'!G714+'Game Results'!G732+'Game Results'!G1085+'Game Results'!G1067+'Game Results'!G1218+'Game Results'!G131+'Game Results'!G149+'Game Results'!G1452+'Game Results'!G1434+'Game Results'!G1859+'Game Results'!G1697+'Game Results'!G1679+'Game Results'!G1877)</f>
        <v>971</v>
      </c>
      <c r="H45" s="85">
        <f>SUM('Game Results'!H606+'Game Results'!H624+'Game Results'!H671+'Game Results'!H689+'Game Results'!H714+'Game Results'!H732+'Game Results'!H1085+'Game Results'!H1067+'Game Results'!H1218+'Game Results'!H131+'Game Results'!H149+'Game Results'!H1452+'Game Results'!H1434+'Game Results'!H1859+'Game Results'!H1697+'Game Results'!H1679+'Game Results'!H1877)</f>
        <v>9</v>
      </c>
      <c r="I45" s="85">
        <f>SUM('Game Results'!I606+'Game Results'!I624+'Game Results'!I671+'Game Results'!I689+'Game Results'!I714+'Game Results'!I732+'Game Results'!I1085+'Game Results'!I1067+'Game Results'!I1218+'Game Results'!I131+'Game Results'!I149+'Game Results'!I1452+'Game Results'!I1434+'Game Results'!I1859+'Game Results'!I1697+'Game Results'!I1679+'Game Results'!I1877)</f>
        <v>1046</v>
      </c>
      <c r="J45" s="85">
        <f>SUM('Game Results'!J606+'Game Results'!J624+'Game Results'!J671+'Game Results'!J689+'Game Results'!J714+'Game Results'!J732+'Game Results'!J1085+'Game Results'!J1067+'Game Results'!J1218+'Game Results'!J131+'Game Results'!J149+'Game Results'!J1452+'Game Results'!J1434+'Game Results'!J1859+'Game Results'!J1697+'Game Results'!J1679+'Game Results'!J1877)</f>
        <v>-75</v>
      </c>
      <c r="K45" s="87">
        <f t="shared" si="1"/>
        <v>0.9282982792</v>
      </c>
      <c r="L45" s="85">
        <f>SUM('Game Results'!L606+'Game Results'!L624+'Game Results'!L671+'Game Results'!L689+'Game Results'!L714+'Game Results'!L732+'Game Results'!L1085+'Game Results'!L1067+'Game Results'!L1218+'Game Results'!L131+'Game Results'!L149+'Game Results'!L1452+'Game Results'!L1434+'Game Results'!L1859+'Game Results'!L1697+'Game Results'!L1679+'Game Results'!L1877)</f>
        <v>421</v>
      </c>
      <c r="M45" s="85">
        <f>SUM('Game Results'!M606+'Game Results'!M624+'Game Results'!M671+'Game Results'!M689+'Game Results'!M714+'Game Results'!M732+'Game Results'!M1085+'Game Results'!M1067+'Game Results'!M1218+'Game Results'!M131+'Game Results'!M149+'Game Results'!M1452+'Game Results'!M1434+'Game Results'!M1859+'Game Results'!M1697+'Game Results'!M1679+'Game Results'!M1877)</f>
        <v>1248</v>
      </c>
      <c r="N45" s="85">
        <f>SUM('Game Results'!N606+'Game Results'!N624+'Game Results'!N671+'Game Results'!N689+'Game Results'!N714+'Game Results'!N732+'Game Results'!N1085+'Game Results'!N1067+'Game Results'!N1218+'Game Results'!N131+'Game Results'!N149+'Game Results'!N1452+'Game Results'!N1434+'Game Results'!N1859+'Game Results'!N1697+'Game Results'!N1679+'Game Results'!N1877)</f>
        <v>17</v>
      </c>
      <c r="O45" s="88">
        <f>SUM('Game Results'!O606+'Game Results'!O624+'Game Results'!O671+'Game Results'!O689+'Game Results'!O714+'Game Results'!O732+'Game Results'!O1085+'Game Results'!O1067+'Game Results'!O1218+'Game Results'!O131+'Game Results'!O149+'Game Results'!O1452+'Game Results'!O1434+'Game Results'!O1859+'Game Results'!O1697+'Game Results'!O1679+'Game Results'!O1877)</f>
        <v>487.7666667</v>
      </c>
      <c r="P45" s="85">
        <f>SUM('Game Results'!P606+'Game Results'!P624+'Game Results'!P671+'Game Results'!P689+'Game Results'!P714+'Game Results'!P732+'Game Results'!P1085+'Game Results'!P1067+'Game Results'!P1218+'Game Results'!P131+'Game Results'!P149+'Game Results'!P1452+'Game Results'!P1434+'Game Results'!P1859+'Game Results'!P1697+'Game Results'!P1679+'Game Results'!P1877)</f>
        <v>48</v>
      </c>
      <c r="Q45" s="85">
        <f>SUM('Game Results'!Q606+'Game Results'!Q624+'Game Results'!Q671+'Game Results'!Q689+'Game Results'!Q714+'Game Results'!Q732+'Game Results'!Q1085+'Game Results'!Q1067+'Game Results'!Q1218+'Game Results'!Q131+'Game Results'!Q149+'Game Results'!Q1452+'Game Results'!Q1434+'Game Results'!Q1859+'Game Results'!Q1697+'Game Results'!Q1679+'Game Results'!Q1877)</f>
        <v>40</v>
      </c>
      <c r="R45" s="85">
        <f>SUM('Game Results'!R606+'Game Results'!R624+'Game Results'!R671+'Game Results'!R689+'Game Results'!R714+'Game Results'!R732+'Game Results'!R1085+'Game Results'!R1067+'Game Results'!R1218+'Game Results'!R131+'Game Results'!R149+'Game Results'!R1452+'Game Results'!R1434+'Game Results'!R1859+'Game Results'!R1697+'Game Results'!R1679+'Game Results'!R1877)</f>
        <v>53</v>
      </c>
      <c r="S45" s="85">
        <f>SUM('Game Results'!S606+'Game Results'!S624+'Game Results'!S671+'Game Results'!S689+'Game Results'!S714+'Game Results'!S732+'Game Results'!S1085+'Game Results'!S1067+'Game Results'!S1218+'Game Results'!S131+'Game Results'!S149+'Game Results'!S1452+'Game Results'!S1434+'Game Results'!S1859+'Game Results'!S1697+'Game Results'!S1679+'Game Results'!S1877)</f>
        <v>22</v>
      </c>
      <c r="T45" s="85">
        <f>SUM('Game Results'!T606+'Game Results'!T624+'Game Results'!T671+'Game Results'!T689+'Game Results'!T714+'Game Results'!T732+'Game Results'!T1085+'Game Results'!T1067+'Game Results'!T1218+'Game Results'!T131+'Game Results'!T149+'Game Results'!T1452+'Game Results'!T1434+'Game Results'!T1859+'Game Results'!T1697+'Game Results'!T1679+'Game Results'!T1877)</f>
        <v>103</v>
      </c>
      <c r="U45" s="85">
        <f>SUM('Game Results'!U606+'Game Results'!U624+'Game Results'!U671+'Game Results'!U689+'Game Results'!U714+'Game Results'!U732+'Game Results'!U1085+'Game Results'!U1067+'Game Results'!U1218+'Game Results'!U131+'Game Results'!U149+'Game Results'!U1452+'Game Results'!U1434+'Game Results'!U1859+'Game Results'!U1697+'Game Results'!U1679+'Game Results'!U1877)</f>
        <v>13</v>
      </c>
      <c r="V45" s="85">
        <f>SUM('Game Results'!V606+'Game Results'!V624+'Game Results'!V671+'Game Results'!V689+'Game Results'!V714+'Game Results'!V732+'Game Results'!V1085+'Game Results'!V1067+'Game Results'!V1218+'Game Results'!V131+'Game Results'!V149+'Game Results'!V1452+'Game Results'!V1434+'Game Results'!V1859+'Game Results'!V1697+'Game Results'!V1679+'Game Results'!V1877)</f>
        <v>4</v>
      </c>
      <c r="W45" s="85">
        <f>SUM('Game Results'!W606+'Game Results'!W624+'Game Results'!W671+'Game Results'!W689+'Game Results'!W714+'Game Results'!W732+'Game Results'!W1085+'Game Results'!W1067+'Game Results'!W1218+'Game Results'!W131+'Game Results'!W149+'Game Results'!W1452+'Game Results'!W1434+'Game Results'!W1859+'Game Results'!W1697+'Game Results'!W1679+'Game Results'!W1877)</f>
        <v>0</v>
      </c>
      <c r="X45" s="85">
        <f>SUM('Game Results'!X606+'Game Results'!X624+'Game Results'!X671+'Game Results'!X689+'Game Results'!X714+'Game Results'!X732+'Game Results'!X1085+'Game Results'!X1067+'Game Results'!X1218+'Game Results'!X131+'Game Results'!X149+'Game Results'!X1452+'Game Results'!X1434+'Game Results'!X1859+'Game Results'!X1697+'Game Results'!X1679+'Game Results'!X1877)</f>
        <v>0</v>
      </c>
      <c r="Y45" s="85">
        <f>SUM('Game Results'!Y606+'Game Results'!Y624+'Game Results'!Y671+'Game Results'!Y689+'Game Results'!Y714+'Game Results'!Y732+'Game Results'!Y1085+'Game Results'!Y1067+'Game Results'!Y1218+'Game Results'!Y131+'Game Results'!Y149+'Game Results'!Y1452+'Game Results'!Y1434+'Game Results'!Y1859+'Game Results'!Y1697+'Game Results'!Y1679+'Game Results'!Y1877)</f>
        <v>0</v>
      </c>
      <c r="Z45" s="85">
        <f>SUM('Game Results'!Z606+'Game Results'!Z624+'Game Results'!Z671+'Game Results'!Z689+'Game Results'!Z714+'Game Results'!Z732+'Game Results'!Z1085+'Game Results'!Z1067+'Game Results'!Z1218+'Game Results'!Z131+'Game Results'!Z149+'Game Results'!Z1452+'Game Results'!Z1434+'Game Results'!Z1859+'Game Results'!Z1697+'Game Results'!Z1679+'Game Results'!Z1877)</f>
        <v>0</v>
      </c>
      <c r="AA45" s="85">
        <f>SUM('Game Results'!AA606+'Game Results'!AA624+'Game Results'!AA671+'Game Results'!AA689+'Game Results'!AA714+'Game Results'!AA732+'Game Results'!AA1085+'Game Results'!AA1067+'Game Results'!AA1218+'Game Results'!AA131+'Game Results'!AA149+'Game Results'!AA1452+'Game Results'!AA1434+'Game Results'!AA1859+'Game Results'!AA1697+'Game Results'!AA1679+'Game Results'!AA1877)</f>
        <v>0</v>
      </c>
      <c r="AB45" s="85">
        <f>SUM('Game Results'!AB606+'Game Results'!AB624+'Game Results'!AB671+'Game Results'!AB689+'Game Results'!AB714+'Game Results'!AB732+'Game Results'!AB1085+'Game Results'!AB1067+'Game Results'!AB1218+'Game Results'!AB131+'Game Results'!AB149+'Game Results'!AB1452+'Game Results'!AB1434+'Game Results'!AB1859+'Game Results'!AB1697+'Game Results'!AB1679+'Game Results'!AB1877)</f>
        <v>0</v>
      </c>
      <c r="AC45" s="85">
        <f>SUM('Game Results'!AC606+'Game Results'!AC624+'Game Results'!AC671+'Game Results'!AC689+'Game Results'!AC714+'Game Results'!AC732+'Game Results'!AC1085+'Game Results'!AC1067+'Game Results'!AC1218+'Game Results'!AC131+'Game Results'!AC149+'Game Results'!AC1452+'Game Results'!AC1434+'Game Results'!AC1859+'Game Results'!AC1697+'Game Results'!AC1679+'Game Results'!AC1877)</f>
        <v>17</v>
      </c>
      <c r="AD45" s="85">
        <f>SUM('Game Results'!AD606+'Game Results'!AD624+'Game Results'!AD671+'Game Results'!AD689+'Game Results'!AD714+'Game Results'!AD732+'Game Results'!AD1085+'Game Results'!AD1067+'Game Results'!AD1218+'Game Results'!AD131+'Game Results'!AD149+'Game Results'!AD1452+'Game Results'!AD1434+'Game Results'!AD1859+'Game Results'!AD1697+'Game Results'!AD1679+'Game Results'!AD1877)</f>
        <v>1</v>
      </c>
      <c r="AE45" s="85">
        <f>SUM('Game Results'!AE606+'Game Results'!AE624+'Game Results'!AE671+'Game Results'!AE689+'Game Results'!AE714+'Game Results'!AE732+'Game Results'!AE1085+'Game Results'!AE1067+'Game Results'!AE1218+'Game Results'!AE131+'Game Results'!AE149+'Game Results'!AE1452+'Game Results'!AE1434+'Game Results'!AE1859+'Game Results'!AE1697+'Game Results'!AE1679+'Game Results'!AE1877)</f>
        <v>0</v>
      </c>
      <c r="AF45" s="85">
        <f>SUM('Game Results'!AF606+'Game Results'!AF624+'Game Results'!AF671+'Game Results'!AF689+'Game Results'!AF714+'Game Results'!AF732+'Game Results'!AF1085+'Game Results'!AF1067+'Game Results'!AF1218+'Game Results'!AF131+'Game Results'!AF149+'Game Results'!AF1452+'Game Results'!AF1434+'Game Results'!AF1859+'Game Results'!AF1697+'Game Results'!AF1679+'Game Results'!AF1877)</f>
        <v>0</v>
      </c>
      <c r="AG45" s="85">
        <f>SUM('Game Results'!AG606+'Game Results'!AG624+'Game Results'!AG671+'Game Results'!AG689+'Game Results'!AG714+'Game Results'!AG732+'Game Results'!AG1085+'Game Results'!AG1067+'Game Results'!AG1218+'Game Results'!AG131+'Game Results'!AG149+'Game Results'!AG1452+'Game Results'!AG1434+'Game Results'!AG1859+'Game Results'!AG1697+'Game Results'!AG1679+'Game Results'!AG1877)</f>
        <v>0</v>
      </c>
      <c r="AH45" s="85">
        <f>SUM('Game Results'!AH606+'Game Results'!AH624+'Game Results'!AH671+'Game Results'!AH689+'Game Results'!AH714+'Game Results'!AH732+'Game Results'!AH1085+'Game Results'!AH1067+'Game Results'!AH1218+'Game Results'!AH131+'Game Results'!AH149+'Game Results'!AH1452+'Game Results'!AH1434+'Game Results'!AH1859+'Game Results'!AH1697+'Game Results'!AH1679+'Game Results'!AH1877)</f>
        <v>0</v>
      </c>
    </row>
    <row r="46">
      <c r="A46" s="83" t="s">
        <v>40</v>
      </c>
      <c r="B46" s="84" t="s">
        <v>217</v>
      </c>
      <c r="C46" s="85">
        <f>SUM('Game Results'!C607+'Game Results'!C625+'Game Results'!C672+'Game Results'!C690+'Game Results'!C715+'Game Results'!C733+'Game Results'!C1086+'Game Results'!C1068+'Game Results'!C1219+'Game Results'!C132+'Game Results'!C150+'Game Results'!C1453+'Game Results'!C1435+'Game Results'!C1860+'Game Results'!C1698+'Game Results'!C1680+'Game Results'!C1878)</f>
        <v>17</v>
      </c>
      <c r="D46" s="85">
        <f>SUM('Game Results'!D607+'Game Results'!D625+'Game Results'!D672+'Game Results'!D690+'Game Results'!D715+'Game Results'!D733+'Game Results'!D1086+'Game Results'!D1068+'Game Results'!D1219+'Game Results'!D132+'Game Results'!D150+'Game Results'!D1453+'Game Results'!D1435+'Game Results'!D1860+'Game Results'!D1698+'Game Results'!D1680+'Game Results'!D1878)</f>
        <v>10</v>
      </c>
      <c r="E46" s="86">
        <f>SUM('Game Results'!E607+'Game Results'!E625+'Game Results'!E672+'Game Results'!E690+'Game Results'!E715+'Game Results'!E733+'Game Results'!E1086+'Game Results'!E1068+'Game Results'!E1219+'Game Results'!E132+'Game Results'!E150+'Game Results'!E1453+'Game Results'!E1435+'Game Results'!E1860+'Game Results'!E1698+'Game Results'!E1680+'Game Results'!E1878)</f>
        <v>486.3166667</v>
      </c>
      <c r="F46" s="85">
        <f>SUM('Game Results'!F607+'Game Results'!F625+'Game Results'!F672+'Game Results'!F690+'Game Results'!F715+'Game Results'!F733+'Game Results'!F1086+'Game Results'!F1068+'Game Results'!F1219+'Game Results'!F132+'Game Results'!F150+'Game Results'!F1453+'Game Results'!F1435+'Game Results'!F1860+'Game Results'!F1698+'Game Results'!F1680+'Game Results'!F1878)</f>
        <v>5</v>
      </c>
      <c r="G46" s="85">
        <f>SUM('Game Results'!G607+'Game Results'!G625+'Game Results'!G672+'Game Results'!G690+'Game Results'!G715+'Game Results'!G733+'Game Results'!G1086+'Game Results'!G1068+'Game Results'!G1219+'Game Results'!G132+'Game Results'!G150+'Game Results'!G1453+'Game Results'!G1435+'Game Results'!G1860+'Game Results'!G1698+'Game Results'!G1680+'Game Results'!G1878)</f>
        <v>1655</v>
      </c>
      <c r="H46" s="85">
        <f>SUM('Game Results'!H607+'Game Results'!H625+'Game Results'!H672+'Game Results'!H690+'Game Results'!H715+'Game Results'!H733+'Game Results'!H1086+'Game Results'!H1068+'Game Results'!H1219+'Game Results'!H132+'Game Results'!H150+'Game Results'!H1453+'Game Results'!H1435+'Game Results'!H1860+'Game Results'!H1698+'Game Results'!H1680+'Game Results'!H1878)</f>
        <v>5</v>
      </c>
      <c r="I46" s="85">
        <f>SUM('Game Results'!I607+'Game Results'!I625+'Game Results'!I672+'Game Results'!I690+'Game Results'!I715+'Game Results'!I733+'Game Results'!I1086+'Game Results'!I1068+'Game Results'!I1219+'Game Results'!I132+'Game Results'!I150+'Game Results'!I1453+'Game Results'!I1435+'Game Results'!I1860+'Game Results'!I1698+'Game Results'!I1680+'Game Results'!I1878)</f>
        <v>1604</v>
      </c>
      <c r="J46" s="85">
        <f>SUM('Game Results'!J607+'Game Results'!J625+'Game Results'!J672+'Game Results'!J690+'Game Results'!J715+'Game Results'!J733+'Game Results'!J1086+'Game Results'!J1068+'Game Results'!J1219+'Game Results'!J132+'Game Results'!J150+'Game Results'!J1453+'Game Results'!J1435+'Game Results'!J1860+'Game Results'!J1698+'Game Results'!J1680+'Game Results'!J1878)</f>
        <v>51</v>
      </c>
      <c r="K46" s="87">
        <f t="shared" si="1"/>
        <v>1.031795511</v>
      </c>
      <c r="L46" s="85">
        <f>SUM('Game Results'!L607+'Game Results'!L625+'Game Results'!L672+'Game Results'!L690+'Game Results'!L715+'Game Results'!L733+'Game Results'!L1086+'Game Results'!L1068+'Game Results'!L1219+'Game Results'!L132+'Game Results'!L150+'Game Results'!L1453+'Game Results'!L1435+'Game Results'!L1860+'Game Results'!L1698+'Game Results'!L1680+'Game Results'!L1878)</f>
        <v>245</v>
      </c>
      <c r="M46" s="85">
        <f>SUM('Game Results'!M607+'Game Results'!M625+'Game Results'!M672+'Game Results'!M690+'Game Results'!M715+'Game Results'!M733+'Game Results'!M1086+'Game Results'!M1068+'Game Results'!M1219+'Game Results'!M132+'Game Results'!M150+'Game Results'!M1453+'Game Results'!M1435+'Game Results'!M1860+'Game Results'!M1698+'Game Results'!M1680+'Game Results'!M1878)</f>
        <v>2139</v>
      </c>
      <c r="N46" s="85">
        <f>SUM('Game Results'!N607+'Game Results'!N625+'Game Results'!N672+'Game Results'!N690+'Game Results'!N715+'Game Results'!N733+'Game Results'!N1086+'Game Results'!N1068+'Game Results'!N1219+'Game Results'!N132+'Game Results'!N150+'Game Results'!N1453+'Game Results'!N1435+'Game Results'!N1860+'Game Results'!N1698+'Game Results'!N1680+'Game Results'!N1878)</f>
        <v>17</v>
      </c>
      <c r="O46" s="88">
        <f>SUM('Game Results'!O607+'Game Results'!O625+'Game Results'!O672+'Game Results'!O690+'Game Results'!O715+'Game Results'!O733+'Game Results'!O1086+'Game Results'!O1068+'Game Results'!O1219+'Game Results'!O132+'Game Results'!O150+'Game Results'!O1453+'Game Results'!O1435+'Game Results'!O1860+'Game Results'!O1698+'Game Results'!O1680+'Game Results'!O1878)</f>
        <v>486.3166667</v>
      </c>
      <c r="P46" s="85">
        <f>SUM('Game Results'!P607+'Game Results'!P625+'Game Results'!P672+'Game Results'!P690+'Game Results'!P715+'Game Results'!P733+'Game Results'!P1086+'Game Results'!P1068+'Game Results'!P1219+'Game Results'!P132+'Game Results'!P150+'Game Results'!P1453+'Game Results'!P1435+'Game Results'!P1860+'Game Results'!P1698+'Game Results'!P1680+'Game Results'!P1878)</f>
        <v>82</v>
      </c>
      <c r="Q46" s="85">
        <f>SUM('Game Results'!Q607+'Game Results'!Q625+'Game Results'!Q672+'Game Results'!Q690+'Game Results'!Q715+'Game Results'!Q733+'Game Results'!Q1086+'Game Results'!Q1068+'Game Results'!Q1219+'Game Results'!Q132+'Game Results'!Q150+'Game Results'!Q1453+'Game Results'!Q1435+'Game Results'!Q1860+'Game Results'!Q1698+'Game Results'!Q1680+'Game Results'!Q1878)</f>
        <v>25</v>
      </c>
      <c r="R46" s="85">
        <f>SUM('Game Results'!R607+'Game Results'!R625+'Game Results'!R672+'Game Results'!R690+'Game Results'!R715+'Game Results'!R733+'Game Results'!R1086+'Game Results'!R1068+'Game Results'!R1219+'Game Results'!R132+'Game Results'!R150+'Game Results'!R1453+'Game Results'!R1435+'Game Results'!R1860+'Game Results'!R1698+'Game Results'!R1680+'Game Results'!R1878)</f>
        <v>143</v>
      </c>
      <c r="S46" s="85">
        <f>SUM('Game Results'!S607+'Game Results'!S625+'Game Results'!S672+'Game Results'!S690+'Game Results'!S715+'Game Results'!S733+'Game Results'!S1086+'Game Results'!S1068+'Game Results'!S1219+'Game Results'!S132+'Game Results'!S150+'Game Results'!S1453+'Game Results'!S1435+'Game Results'!S1860+'Game Results'!S1698+'Game Results'!S1680+'Game Results'!S1878)</f>
        <v>26</v>
      </c>
      <c r="T46" s="85">
        <f>SUM('Game Results'!T607+'Game Results'!T625+'Game Results'!T672+'Game Results'!T690+'Game Results'!T715+'Game Results'!T733+'Game Results'!T1086+'Game Results'!T1068+'Game Results'!T1219+'Game Results'!T132+'Game Results'!T150+'Game Results'!T1453+'Game Results'!T1435+'Game Results'!T1860+'Game Results'!T1698+'Game Results'!T1680+'Game Results'!T1878)</f>
        <v>223</v>
      </c>
      <c r="U46" s="85">
        <f>SUM('Game Results'!U607+'Game Results'!U625+'Game Results'!U672+'Game Results'!U690+'Game Results'!U715+'Game Results'!U733+'Game Results'!U1086+'Game Results'!U1068+'Game Results'!U1219+'Game Results'!U132+'Game Results'!U150+'Game Results'!U1453+'Game Results'!U1435+'Game Results'!U1860+'Game Results'!U1698+'Game Results'!U1680+'Game Results'!U1878)</f>
        <v>46</v>
      </c>
      <c r="V46" s="85">
        <f>SUM('Game Results'!V607+'Game Results'!V625+'Game Results'!V672+'Game Results'!V690+'Game Results'!V715+'Game Results'!V733+'Game Results'!V1086+'Game Results'!V1068+'Game Results'!V1219+'Game Results'!V132+'Game Results'!V150+'Game Results'!V1453+'Game Results'!V1435+'Game Results'!V1860+'Game Results'!V1698+'Game Results'!V1680+'Game Results'!V1878)</f>
        <v>9</v>
      </c>
      <c r="W46" s="85">
        <f>SUM('Game Results'!W607+'Game Results'!W625+'Game Results'!W672+'Game Results'!W690+'Game Results'!W715+'Game Results'!W733+'Game Results'!W1086+'Game Results'!W1068+'Game Results'!W1219+'Game Results'!W132+'Game Results'!W150+'Game Results'!W1453+'Game Results'!W1435+'Game Results'!W1860+'Game Results'!W1698+'Game Results'!W1680+'Game Results'!W1878)</f>
        <v>1</v>
      </c>
      <c r="X46" s="85">
        <f>SUM('Game Results'!X607+'Game Results'!X625+'Game Results'!X672+'Game Results'!X690+'Game Results'!X715+'Game Results'!X733+'Game Results'!X1086+'Game Results'!X1068+'Game Results'!X1219+'Game Results'!X132+'Game Results'!X150+'Game Results'!X1453+'Game Results'!X1435+'Game Results'!X1860+'Game Results'!X1698+'Game Results'!X1680+'Game Results'!X1878)</f>
        <v>0</v>
      </c>
      <c r="Y46" s="85">
        <f>SUM('Game Results'!Y607+'Game Results'!Y625+'Game Results'!Y672+'Game Results'!Y690+'Game Results'!Y715+'Game Results'!Y733+'Game Results'!Y1086+'Game Results'!Y1068+'Game Results'!Y1219+'Game Results'!Y132+'Game Results'!Y150+'Game Results'!Y1453+'Game Results'!Y1435+'Game Results'!Y1860+'Game Results'!Y1698+'Game Results'!Y1680+'Game Results'!Y1878)</f>
        <v>0</v>
      </c>
      <c r="Z46" s="85">
        <f>SUM('Game Results'!Z607+'Game Results'!Z625+'Game Results'!Z672+'Game Results'!Z690+'Game Results'!Z715+'Game Results'!Z733+'Game Results'!Z1086+'Game Results'!Z1068+'Game Results'!Z1219+'Game Results'!Z132+'Game Results'!Z150+'Game Results'!Z1453+'Game Results'!Z1435+'Game Results'!Z1860+'Game Results'!Z1698+'Game Results'!Z1680+'Game Results'!Z1878)</f>
        <v>0</v>
      </c>
      <c r="AA46" s="85">
        <f>SUM('Game Results'!AA607+'Game Results'!AA625+'Game Results'!AA672+'Game Results'!AA690+'Game Results'!AA715+'Game Results'!AA733+'Game Results'!AA1086+'Game Results'!AA1068+'Game Results'!AA1219+'Game Results'!AA132+'Game Results'!AA150+'Game Results'!AA1453+'Game Results'!AA1435+'Game Results'!AA1860+'Game Results'!AA1698+'Game Results'!AA1680+'Game Results'!AA1878)</f>
        <v>0</v>
      </c>
      <c r="AB46" s="85">
        <f>SUM('Game Results'!AB607+'Game Results'!AB625+'Game Results'!AB672+'Game Results'!AB690+'Game Results'!AB715+'Game Results'!AB733+'Game Results'!AB1086+'Game Results'!AB1068+'Game Results'!AB1219+'Game Results'!AB132+'Game Results'!AB150+'Game Results'!AB1453+'Game Results'!AB1435+'Game Results'!AB1860+'Game Results'!AB1698+'Game Results'!AB1680+'Game Results'!AB1878)</f>
        <v>0</v>
      </c>
      <c r="AC46" s="85">
        <f>SUM('Game Results'!AC607+'Game Results'!AC625+'Game Results'!AC672+'Game Results'!AC690+'Game Results'!AC715+'Game Results'!AC733+'Game Results'!AC1086+'Game Results'!AC1068+'Game Results'!AC1219+'Game Results'!AC132+'Game Results'!AC150+'Game Results'!AC1453+'Game Results'!AC1435+'Game Results'!AC1860+'Game Results'!AC1698+'Game Results'!AC1680+'Game Results'!AC1878)</f>
        <v>32</v>
      </c>
      <c r="AD46" s="85">
        <f>SUM('Game Results'!AD607+'Game Results'!AD625+'Game Results'!AD672+'Game Results'!AD690+'Game Results'!AD715+'Game Results'!AD733+'Game Results'!AD1086+'Game Results'!AD1068+'Game Results'!AD1219+'Game Results'!AD132+'Game Results'!AD150+'Game Results'!AD1453+'Game Results'!AD1435+'Game Results'!AD1860+'Game Results'!AD1698+'Game Results'!AD1680+'Game Results'!AD1878)</f>
        <v>0</v>
      </c>
      <c r="AE46" s="85">
        <f>SUM('Game Results'!AE607+'Game Results'!AE625+'Game Results'!AE672+'Game Results'!AE690+'Game Results'!AE715+'Game Results'!AE733+'Game Results'!AE1086+'Game Results'!AE1068+'Game Results'!AE1219+'Game Results'!AE132+'Game Results'!AE150+'Game Results'!AE1453+'Game Results'!AE1435+'Game Results'!AE1860+'Game Results'!AE1698+'Game Results'!AE1680+'Game Results'!AE1878)</f>
        <v>0</v>
      </c>
      <c r="AF46" s="85">
        <f>SUM('Game Results'!AF607+'Game Results'!AF625+'Game Results'!AF672+'Game Results'!AF690+'Game Results'!AF715+'Game Results'!AF733+'Game Results'!AF1086+'Game Results'!AF1068+'Game Results'!AF1219+'Game Results'!AF132+'Game Results'!AF150+'Game Results'!AF1453+'Game Results'!AF1435+'Game Results'!AF1860+'Game Results'!AF1698+'Game Results'!AF1680+'Game Results'!AF1878)</f>
        <v>0</v>
      </c>
      <c r="AG46" s="85">
        <f>SUM('Game Results'!AG607+'Game Results'!AG625+'Game Results'!AG672+'Game Results'!AG690+'Game Results'!AG715+'Game Results'!AG733+'Game Results'!AG1086+'Game Results'!AG1068+'Game Results'!AG1219+'Game Results'!AG132+'Game Results'!AG150+'Game Results'!AG1453+'Game Results'!AG1435+'Game Results'!AG1860+'Game Results'!AG1698+'Game Results'!AG1680+'Game Results'!AG1878)</f>
        <v>0</v>
      </c>
      <c r="AH46" s="85">
        <f>SUM('Game Results'!AH607+'Game Results'!AH625+'Game Results'!AH672+'Game Results'!AH690+'Game Results'!AH715+'Game Results'!AH733+'Game Results'!AH1086+'Game Results'!AH1068+'Game Results'!AH1219+'Game Results'!AH132+'Game Results'!AH150+'Game Results'!AH1453+'Game Results'!AH1435+'Game Results'!AH1860+'Game Results'!AH1698+'Game Results'!AH1680+'Game Results'!AH1878)</f>
        <v>0</v>
      </c>
    </row>
    <row r="47">
      <c r="A47" s="83" t="s">
        <v>40</v>
      </c>
      <c r="B47" s="84" t="s">
        <v>218</v>
      </c>
      <c r="C47" s="85">
        <f>SUM('Game Results'!C608+'Game Results'!C626+'Game Results'!C673+'Game Results'!C691+'Game Results'!C716+'Game Results'!C734+'Game Results'!C1087+'Game Results'!C1069+'Game Results'!C1220+'Game Results'!C133+'Game Results'!C151+'Game Results'!C1454+'Game Results'!C1436+'Game Results'!C1861+'Game Results'!C1699+'Game Results'!C1681+'Game Results'!C1879)</f>
        <v>17</v>
      </c>
      <c r="D47" s="85">
        <f>SUM('Game Results'!D608+'Game Results'!D626+'Game Results'!D673+'Game Results'!D691+'Game Results'!D716+'Game Results'!D734+'Game Results'!D1087+'Game Results'!D1069+'Game Results'!D1220+'Game Results'!D133+'Game Results'!D151+'Game Results'!D1454+'Game Results'!D1436+'Game Results'!D1861+'Game Results'!D1699+'Game Results'!D1681+'Game Results'!D1879)</f>
        <v>10</v>
      </c>
      <c r="E47" s="86">
        <f>SUM('Game Results'!E608+'Game Results'!E626+'Game Results'!E673+'Game Results'!E691+'Game Results'!E716+'Game Results'!E734+'Game Results'!E1087+'Game Results'!E1069+'Game Results'!E1220+'Game Results'!E133+'Game Results'!E151+'Game Results'!E1454+'Game Results'!E1436+'Game Results'!E1861+'Game Results'!E1699+'Game Results'!E1681+'Game Results'!E1879)</f>
        <v>486.8666667</v>
      </c>
      <c r="F47" s="85">
        <f>SUM('Game Results'!F608+'Game Results'!F626+'Game Results'!F673+'Game Results'!F691+'Game Results'!F716+'Game Results'!F734+'Game Results'!F1087+'Game Results'!F1069+'Game Results'!F1220+'Game Results'!F133+'Game Results'!F151+'Game Results'!F1454+'Game Results'!F1436+'Game Results'!F1861+'Game Results'!F1699+'Game Results'!F1681+'Game Results'!F1879)</f>
        <v>3</v>
      </c>
      <c r="G47" s="85">
        <f>SUM('Game Results'!G608+'Game Results'!G626+'Game Results'!G673+'Game Results'!G691+'Game Results'!G716+'Game Results'!G734+'Game Results'!G1087+'Game Results'!G1069+'Game Results'!G1220+'Game Results'!G133+'Game Results'!G151+'Game Results'!G1454+'Game Results'!G1436+'Game Results'!G1861+'Game Results'!G1699+'Game Results'!G1681+'Game Results'!G1879)</f>
        <v>1542</v>
      </c>
      <c r="H47" s="85">
        <f>SUM('Game Results'!H608+'Game Results'!H626+'Game Results'!H673+'Game Results'!H691+'Game Results'!H716+'Game Results'!H734+'Game Results'!H1087+'Game Results'!H1069+'Game Results'!H1220+'Game Results'!H133+'Game Results'!H151+'Game Results'!H1454+'Game Results'!H1436+'Game Results'!H1861+'Game Results'!H1699+'Game Results'!H1681+'Game Results'!H1879)</f>
        <v>10</v>
      </c>
      <c r="I47" s="85">
        <f>SUM('Game Results'!I608+'Game Results'!I626+'Game Results'!I673+'Game Results'!I691+'Game Results'!I716+'Game Results'!I734+'Game Results'!I1087+'Game Results'!I1069+'Game Results'!I1220+'Game Results'!I133+'Game Results'!I151+'Game Results'!I1454+'Game Results'!I1436+'Game Results'!I1861+'Game Results'!I1699+'Game Results'!I1681+'Game Results'!I1879)</f>
        <v>1459</v>
      </c>
      <c r="J47" s="85">
        <f>SUM('Game Results'!J608+'Game Results'!J626+'Game Results'!J673+'Game Results'!J691+'Game Results'!J716+'Game Results'!J734+'Game Results'!J1087+'Game Results'!J1069+'Game Results'!J1220+'Game Results'!J133+'Game Results'!J151+'Game Results'!J1454+'Game Results'!J1436+'Game Results'!J1861+'Game Results'!J1699+'Game Results'!J1681+'Game Results'!J1879)</f>
        <v>83</v>
      </c>
      <c r="K47" s="87">
        <f t="shared" si="1"/>
        <v>1.05688828</v>
      </c>
      <c r="L47" s="85">
        <f>SUM('Game Results'!L608+'Game Results'!L626+'Game Results'!L673+'Game Results'!L691+'Game Results'!L716+'Game Results'!L734+'Game Results'!L1087+'Game Results'!L1069+'Game Results'!L1220+'Game Results'!L133+'Game Results'!L151+'Game Results'!L1454+'Game Results'!L1436+'Game Results'!L1861+'Game Results'!L1699+'Game Results'!L1681+'Game Results'!L1879)</f>
        <v>276</v>
      </c>
      <c r="M47" s="85">
        <f>SUM('Game Results'!M608+'Game Results'!M626+'Game Results'!M673+'Game Results'!M691+'Game Results'!M716+'Game Results'!M734+'Game Results'!M1087+'Game Results'!M1069+'Game Results'!M1220+'Game Results'!M133+'Game Results'!M151+'Game Results'!M1454+'Game Results'!M1436+'Game Results'!M1861+'Game Results'!M1699+'Game Results'!M1681+'Game Results'!M1879)</f>
        <v>1959</v>
      </c>
      <c r="N47" s="85">
        <f>SUM('Game Results'!N608+'Game Results'!N626+'Game Results'!N673+'Game Results'!N691+'Game Results'!N716+'Game Results'!N734+'Game Results'!N1087+'Game Results'!N1069+'Game Results'!N1220+'Game Results'!N133+'Game Results'!N151+'Game Results'!N1454+'Game Results'!N1436+'Game Results'!N1861+'Game Results'!N1699+'Game Results'!N1681+'Game Results'!N1879)</f>
        <v>17</v>
      </c>
      <c r="O47" s="88">
        <f>SUM('Game Results'!O608+'Game Results'!O626+'Game Results'!O673+'Game Results'!O691+'Game Results'!O716+'Game Results'!O734+'Game Results'!O1087+'Game Results'!O1069+'Game Results'!O1220+'Game Results'!O133+'Game Results'!O151+'Game Results'!O1454+'Game Results'!O1436+'Game Results'!O1861+'Game Results'!O1699+'Game Results'!O1681+'Game Results'!O1879)</f>
        <v>486.8666667</v>
      </c>
      <c r="P47" s="85">
        <f>SUM('Game Results'!P608+'Game Results'!P626+'Game Results'!P673+'Game Results'!P691+'Game Results'!P716+'Game Results'!P734+'Game Results'!P1087+'Game Results'!P1069+'Game Results'!P1220+'Game Results'!P133+'Game Results'!P151+'Game Results'!P1454+'Game Results'!P1436+'Game Results'!P1861+'Game Results'!P1699+'Game Results'!P1681+'Game Results'!P1879)</f>
        <v>65</v>
      </c>
      <c r="Q47" s="85">
        <f>SUM('Game Results'!Q608+'Game Results'!Q626+'Game Results'!Q673+'Game Results'!Q691+'Game Results'!Q716+'Game Results'!Q734+'Game Results'!Q1087+'Game Results'!Q1069+'Game Results'!Q1220+'Game Results'!Q133+'Game Results'!Q151+'Game Results'!Q1454+'Game Results'!Q1436+'Game Results'!Q1861+'Game Results'!Q1699+'Game Results'!Q1681+'Game Results'!Q1879)</f>
        <v>25</v>
      </c>
      <c r="R47" s="85">
        <f>SUM('Game Results'!R608+'Game Results'!R626+'Game Results'!R673+'Game Results'!R691+'Game Results'!R716+'Game Results'!R734+'Game Results'!R1087+'Game Results'!R1069+'Game Results'!R1220+'Game Results'!R133+'Game Results'!R151+'Game Results'!R1454+'Game Results'!R1436+'Game Results'!R1861+'Game Results'!R1699+'Game Results'!R1681+'Game Results'!R1879)</f>
        <v>178</v>
      </c>
      <c r="S47" s="85">
        <f>SUM('Game Results'!S608+'Game Results'!S626+'Game Results'!S673+'Game Results'!S691+'Game Results'!S716+'Game Results'!S734+'Game Results'!S1087+'Game Results'!S1069+'Game Results'!S1220+'Game Results'!S133+'Game Results'!S151+'Game Results'!S1454+'Game Results'!S1436+'Game Results'!S1861+'Game Results'!S1699+'Game Results'!S1681+'Game Results'!S1879)</f>
        <v>31</v>
      </c>
      <c r="T47" s="85">
        <f>SUM('Game Results'!T608+'Game Results'!T626+'Game Results'!T673+'Game Results'!T691+'Game Results'!T716+'Game Results'!T734+'Game Results'!T1087+'Game Results'!T1069+'Game Results'!T1220+'Game Results'!T133+'Game Results'!T151+'Game Results'!T1454+'Game Results'!T1436+'Game Results'!T1861+'Game Results'!T1699+'Game Results'!T1681+'Game Results'!T1879)</f>
        <v>177</v>
      </c>
      <c r="U47" s="85">
        <f>SUM('Game Results'!U608+'Game Results'!U626+'Game Results'!U673+'Game Results'!U691+'Game Results'!U716+'Game Results'!U734+'Game Results'!U1087+'Game Results'!U1069+'Game Results'!U1220+'Game Results'!U133+'Game Results'!U151+'Game Results'!U1454+'Game Results'!U1436+'Game Results'!U1861+'Game Results'!U1699+'Game Results'!U1681+'Game Results'!U1879)</f>
        <v>21</v>
      </c>
      <c r="V47" s="85">
        <f>SUM('Game Results'!V608+'Game Results'!V626+'Game Results'!V673+'Game Results'!V691+'Game Results'!V716+'Game Results'!V734+'Game Results'!V1087+'Game Results'!V1069+'Game Results'!V1220+'Game Results'!V133+'Game Results'!V151+'Game Results'!V1454+'Game Results'!V1436+'Game Results'!V1861+'Game Results'!V1699+'Game Results'!V1681+'Game Results'!V1879)</f>
        <v>6</v>
      </c>
      <c r="W47" s="85">
        <f>SUM('Game Results'!W608+'Game Results'!W626+'Game Results'!W673+'Game Results'!W691+'Game Results'!W716+'Game Results'!W734+'Game Results'!W1087+'Game Results'!W1069+'Game Results'!W1220+'Game Results'!W133+'Game Results'!W151+'Game Results'!W1454+'Game Results'!W1436+'Game Results'!W1861+'Game Results'!W1699+'Game Results'!W1681+'Game Results'!W1879)</f>
        <v>1</v>
      </c>
      <c r="X47" s="85">
        <f>SUM('Game Results'!X608+'Game Results'!X626+'Game Results'!X673+'Game Results'!X691+'Game Results'!X716+'Game Results'!X734+'Game Results'!X1087+'Game Results'!X1069+'Game Results'!X1220+'Game Results'!X133+'Game Results'!X151+'Game Results'!X1454+'Game Results'!X1436+'Game Results'!X1861+'Game Results'!X1699+'Game Results'!X1681+'Game Results'!X1879)</f>
        <v>0</v>
      </c>
      <c r="Y47" s="85">
        <f>SUM('Game Results'!Y608+'Game Results'!Y626+'Game Results'!Y673+'Game Results'!Y691+'Game Results'!Y716+'Game Results'!Y734+'Game Results'!Y1087+'Game Results'!Y1069+'Game Results'!Y1220+'Game Results'!Y133+'Game Results'!Y151+'Game Results'!Y1454+'Game Results'!Y1436+'Game Results'!Y1861+'Game Results'!Y1699+'Game Results'!Y1681+'Game Results'!Y1879)</f>
        <v>0</v>
      </c>
      <c r="Z47" s="85">
        <f>SUM('Game Results'!Z608+'Game Results'!Z626+'Game Results'!Z673+'Game Results'!Z691+'Game Results'!Z716+'Game Results'!Z734+'Game Results'!Z1087+'Game Results'!Z1069+'Game Results'!Z1220+'Game Results'!Z133+'Game Results'!Z151+'Game Results'!Z1454+'Game Results'!Z1436+'Game Results'!Z1861+'Game Results'!Z1699+'Game Results'!Z1681+'Game Results'!Z1879)</f>
        <v>0</v>
      </c>
      <c r="AA47" s="85">
        <f>SUM('Game Results'!AA608+'Game Results'!AA626+'Game Results'!AA673+'Game Results'!AA691+'Game Results'!AA716+'Game Results'!AA734+'Game Results'!AA1087+'Game Results'!AA1069+'Game Results'!AA1220+'Game Results'!AA133+'Game Results'!AA151+'Game Results'!AA1454+'Game Results'!AA1436+'Game Results'!AA1861+'Game Results'!AA1699+'Game Results'!AA1681+'Game Results'!AA1879)</f>
        <v>0</v>
      </c>
      <c r="AB47" s="85">
        <f>SUM('Game Results'!AB608+'Game Results'!AB626+'Game Results'!AB673+'Game Results'!AB691+'Game Results'!AB716+'Game Results'!AB734+'Game Results'!AB1087+'Game Results'!AB1069+'Game Results'!AB1220+'Game Results'!AB133+'Game Results'!AB151+'Game Results'!AB1454+'Game Results'!AB1436+'Game Results'!AB1861+'Game Results'!AB1699+'Game Results'!AB1681+'Game Results'!AB1879)</f>
        <v>0</v>
      </c>
      <c r="AC47" s="85">
        <f>SUM('Game Results'!AC608+'Game Results'!AC626+'Game Results'!AC673+'Game Results'!AC691+'Game Results'!AC716+'Game Results'!AC734+'Game Results'!AC1087+'Game Results'!AC1069+'Game Results'!AC1220+'Game Results'!AC133+'Game Results'!AC151+'Game Results'!AC1454+'Game Results'!AC1436+'Game Results'!AC1861+'Game Results'!AC1699+'Game Results'!AC1681+'Game Results'!AC1879)</f>
        <v>25</v>
      </c>
      <c r="AD47" s="85">
        <f>SUM('Game Results'!AD608+'Game Results'!AD626+'Game Results'!AD673+'Game Results'!AD691+'Game Results'!AD716+'Game Results'!AD734+'Game Results'!AD1087+'Game Results'!AD1069+'Game Results'!AD1220+'Game Results'!AD133+'Game Results'!AD151+'Game Results'!AD1454+'Game Results'!AD1436+'Game Results'!AD1861+'Game Results'!AD1699+'Game Results'!AD1681+'Game Results'!AD1879)</f>
        <v>0</v>
      </c>
      <c r="AE47" s="85">
        <f>SUM('Game Results'!AE608+'Game Results'!AE626+'Game Results'!AE673+'Game Results'!AE691+'Game Results'!AE716+'Game Results'!AE734+'Game Results'!AE1087+'Game Results'!AE1069+'Game Results'!AE1220+'Game Results'!AE133+'Game Results'!AE151+'Game Results'!AE1454+'Game Results'!AE1436+'Game Results'!AE1861+'Game Results'!AE1699+'Game Results'!AE1681+'Game Results'!AE1879)</f>
        <v>0</v>
      </c>
      <c r="AF47" s="85">
        <f>SUM('Game Results'!AF608+'Game Results'!AF626+'Game Results'!AF673+'Game Results'!AF691+'Game Results'!AF716+'Game Results'!AF734+'Game Results'!AF1087+'Game Results'!AF1069+'Game Results'!AF1220+'Game Results'!AF133+'Game Results'!AF151+'Game Results'!AF1454+'Game Results'!AF1436+'Game Results'!AF1861+'Game Results'!AF1699+'Game Results'!AF1681+'Game Results'!AF1879)</f>
        <v>0</v>
      </c>
      <c r="AG47" s="85">
        <f>SUM('Game Results'!AG608+'Game Results'!AG626+'Game Results'!AG673+'Game Results'!AG691+'Game Results'!AG716+'Game Results'!AG734+'Game Results'!AG1087+'Game Results'!AG1069+'Game Results'!AG1220+'Game Results'!AG133+'Game Results'!AG151+'Game Results'!AG1454+'Game Results'!AG1436+'Game Results'!AG1861+'Game Results'!AG1699+'Game Results'!AG1681+'Game Results'!AG1879)</f>
        <v>0</v>
      </c>
      <c r="AH47" s="85">
        <f>SUM('Game Results'!AH608+'Game Results'!AH626+'Game Results'!AH673+'Game Results'!AH691+'Game Results'!AH716+'Game Results'!AH734+'Game Results'!AH1087+'Game Results'!AH1069+'Game Results'!AH1220+'Game Results'!AH133+'Game Results'!AH151+'Game Results'!AH1454+'Game Results'!AH1436+'Game Results'!AH1861+'Game Results'!AH1699+'Game Results'!AH1681+'Game Results'!AH1879)</f>
        <v>0</v>
      </c>
    </row>
    <row r="48">
      <c r="A48" s="83" t="s">
        <v>40</v>
      </c>
      <c r="B48" s="84" t="s">
        <v>219</v>
      </c>
      <c r="C48" s="85">
        <f>SUM('Game Results'!C609+'Game Results'!C627+'Game Results'!C674+'Game Results'!C692+'Game Results'!C717+'Game Results'!C735+'Game Results'!C1088+'Game Results'!C1070+'Game Results'!C1221+'Game Results'!C134+'Game Results'!C152+'Game Results'!C1455+'Game Results'!C1437+'Game Results'!C1862+'Game Results'!C1700+'Game Results'!C1682+'Game Results'!C1880)</f>
        <v>0</v>
      </c>
      <c r="D48" s="85">
        <f>SUM('Game Results'!D609+'Game Results'!D627+'Game Results'!D674+'Game Results'!D692+'Game Results'!D717+'Game Results'!D735+'Game Results'!D1088+'Game Results'!D1070+'Game Results'!D1221+'Game Results'!D134+'Game Results'!D152+'Game Results'!D1455+'Game Results'!D1437+'Game Results'!D1862+'Game Results'!D1700+'Game Results'!D1682+'Game Results'!D1880)</f>
        <v>0</v>
      </c>
      <c r="E48" s="86">
        <f>SUM('Game Results'!E609+'Game Results'!E627+'Game Results'!E674+'Game Results'!E692+'Game Results'!E717+'Game Results'!E735+'Game Results'!E1088+'Game Results'!E1070+'Game Results'!E1221+'Game Results'!E134+'Game Results'!E152+'Game Results'!E1455+'Game Results'!E1437+'Game Results'!E1862+'Game Results'!E1700+'Game Results'!E1682+'Game Results'!E1880)</f>
        <v>0</v>
      </c>
      <c r="F48" s="85">
        <f>SUM('Game Results'!F609+'Game Results'!F627+'Game Results'!F674+'Game Results'!F692+'Game Results'!F717+'Game Results'!F735+'Game Results'!F1088+'Game Results'!F1070+'Game Results'!F1221+'Game Results'!F134+'Game Results'!F152+'Game Results'!F1455+'Game Results'!F1437+'Game Results'!F1862+'Game Results'!F1700+'Game Results'!F1682+'Game Results'!F1880)</f>
        <v>0</v>
      </c>
      <c r="G48" s="85">
        <f>SUM('Game Results'!G609+'Game Results'!G627+'Game Results'!G674+'Game Results'!G692+'Game Results'!G717+'Game Results'!G735+'Game Results'!G1088+'Game Results'!G1070+'Game Results'!G1221+'Game Results'!G134+'Game Results'!G152+'Game Results'!G1455+'Game Results'!G1437+'Game Results'!G1862+'Game Results'!G1700+'Game Results'!G1682+'Game Results'!G1880)</f>
        <v>0</v>
      </c>
      <c r="H48" s="85">
        <f>SUM('Game Results'!H609+'Game Results'!H627+'Game Results'!H674+'Game Results'!H692+'Game Results'!H717+'Game Results'!H735+'Game Results'!H1088+'Game Results'!H1070+'Game Results'!H1221+'Game Results'!H134+'Game Results'!H152+'Game Results'!H1455+'Game Results'!H1437+'Game Results'!H1862+'Game Results'!H1700+'Game Results'!H1682+'Game Results'!H1880)</f>
        <v>0</v>
      </c>
      <c r="I48" s="85">
        <f>SUM('Game Results'!I609+'Game Results'!I627+'Game Results'!I674+'Game Results'!I692+'Game Results'!I717+'Game Results'!I735+'Game Results'!I1088+'Game Results'!I1070+'Game Results'!I1221+'Game Results'!I134+'Game Results'!I152+'Game Results'!I1455+'Game Results'!I1437+'Game Results'!I1862+'Game Results'!I1700+'Game Results'!I1682+'Game Results'!I1880)</f>
        <v>0</v>
      </c>
      <c r="J48" s="85">
        <f>SUM('Game Results'!J609+'Game Results'!J627+'Game Results'!J674+'Game Results'!J692+'Game Results'!J717+'Game Results'!J735+'Game Results'!J1088+'Game Results'!J1070+'Game Results'!J1221+'Game Results'!J134+'Game Results'!J152+'Game Results'!J1455+'Game Results'!J1437+'Game Results'!J1862+'Game Results'!J1700+'Game Results'!J1682+'Game Results'!J1880)</f>
        <v>0</v>
      </c>
      <c r="K48" s="87" t="str">
        <f t="shared" si="1"/>
        <v>#DIV/0!</v>
      </c>
      <c r="L48" s="85">
        <f>SUM('Game Results'!L609+'Game Results'!L627+'Game Results'!L674+'Game Results'!L692+'Game Results'!L717+'Game Results'!L735+'Game Results'!L1088+'Game Results'!L1070+'Game Results'!L1221+'Game Results'!L134+'Game Results'!L152+'Game Results'!L1455+'Game Results'!L1437+'Game Results'!L1862+'Game Results'!L1700+'Game Results'!L1682+'Game Results'!L1880)</f>
        <v>0</v>
      </c>
      <c r="M48" s="85">
        <f>SUM('Game Results'!M609+'Game Results'!M627+'Game Results'!M674+'Game Results'!M692+'Game Results'!M717+'Game Results'!M735+'Game Results'!M1088+'Game Results'!M1070+'Game Results'!M1221+'Game Results'!M134+'Game Results'!M152+'Game Results'!M1455+'Game Results'!M1437+'Game Results'!M1862+'Game Results'!M1700+'Game Results'!M1682+'Game Results'!M1880)</f>
        <v>0</v>
      </c>
      <c r="N48" s="85">
        <f>SUM('Game Results'!N609+'Game Results'!N627+'Game Results'!N674+'Game Results'!N692+'Game Results'!N717+'Game Results'!N735+'Game Results'!N1088+'Game Results'!N1070+'Game Results'!N1221+'Game Results'!N134+'Game Results'!N152+'Game Results'!N1455+'Game Results'!N1437+'Game Results'!N1862+'Game Results'!N1700+'Game Results'!N1682+'Game Results'!N1880)</f>
        <v>0</v>
      </c>
      <c r="O48" s="88">
        <f>SUM('Game Results'!O609+'Game Results'!O627+'Game Results'!O674+'Game Results'!O692+'Game Results'!O717+'Game Results'!O735+'Game Results'!O1088+'Game Results'!O1070+'Game Results'!O1221+'Game Results'!O134+'Game Results'!O152+'Game Results'!O1455+'Game Results'!O1437+'Game Results'!O1862+'Game Results'!O1700+'Game Results'!O1682+'Game Results'!O1880)</f>
        <v>0</v>
      </c>
      <c r="P48" s="85">
        <f>SUM('Game Results'!P609+'Game Results'!P627+'Game Results'!P674+'Game Results'!P692+'Game Results'!P717+'Game Results'!P735+'Game Results'!P1088+'Game Results'!P1070+'Game Results'!P1221+'Game Results'!P134+'Game Results'!P152+'Game Results'!P1455+'Game Results'!P1437+'Game Results'!P1862+'Game Results'!P1700+'Game Results'!P1682+'Game Results'!P1880)</f>
        <v>0</v>
      </c>
      <c r="Q48" s="85">
        <f>SUM('Game Results'!Q609+'Game Results'!Q627+'Game Results'!Q674+'Game Results'!Q692+'Game Results'!Q717+'Game Results'!Q735+'Game Results'!Q1088+'Game Results'!Q1070+'Game Results'!Q1221+'Game Results'!Q134+'Game Results'!Q152+'Game Results'!Q1455+'Game Results'!Q1437+'Game Results'!Q1862+'Game Results'!Q1700+'Game Results'!Q1682+'Game Results'!Q1880)</f>
        <v>0</v>
      </c>
      <c r="R48" s="85">
        <f>SUM('Game Results'!R609+'Game Results'!R627+'Game Results'!R674+'Game Results'!R692+'Game Results'!R717+'Game Results'!R735+'Game Results'!R1088+'Game Results'!R1070+'Game Results'!R1221+'Game Results'!R134+'Game Results'!R152+'Game Results'!R1455+'Game Results'!R1437+'Game Results'!R1862+'Game Results'!R1700+'Game Results'!R1682+'Game Results'!R1880)</f>
        <v>0</v>
      </c>
      <c r="S48" s="85">
        <f>SUM('Game Results'!S609+'Game Results'!S627+'Game Results'!S674+'Game Results'!S692+'Game Results'!S717+'Game Results'!S735+'Game Results'!S1088+'Game Results'!S1070+'Game Results'!S1221+'Game Results'!S134+'Game Results'!S152+'Game Results'!S1455+'Game Results'!S1437+'Game Results'!S1862+'Game Results'!S1700+'Game Results'!S1682+'Game Results'!S1880)</f>
        <v>0</v>
      </c>
      <c r="T48" s="85">
        <f>SUM('Game Results'!T609+'Game Results'!T627+'Game Results'!T674+'Game Results'!T692+'Game Results'!T717+'Game Results'!T735+'Game Results'!T1088+'Game Results'!T1070+'Game Results'!T1221+'Game Results'!T134+'Game Results'!T152+'Game Results'!T1455+'Game Results'!T1437+'Game Results'!T1862+'Game Results'!T1700+'Game Results'!T1682+'Game Results'!T1880)</f>
        <v>0</v>
      </c>
      <c r="U48" s="85">
        <f>SUM('Game Results'!U609+'Game Results'!U627+'Game Results'!U674+'Game Results'!U692+'Game Results'!U717+'Game Results'!U735+'Game Results'!U1088+'Game Results'!U1070+'Game Results'!U1221+'Game Results'!U134+'Game Results'!U152+'Game Results'!U1455+'Game Results'!U1437+'Game Results'!U1862+'Game Results'!U1700+'Game Results'!U1682+'Game Results'!U1880)</f>
        <v>0</v>
      </c>
      <c r="V48" s="85">
        <f>SUM('Game Results'!V609+'Game Results'!V627+'Game Results'!V674+'Game Results'!V692+'Game Results'!V717+'Game Results'!V735+'Game Results'!V1088+'Game Results'!V1070+'Game Results'!V1221+'Game Results'!V134+'Game Results'!V152+'Game Results'!V1455+'Game Results'!V1437+'Game Results'!V1862+'Game Results'!V1700+'Game Results'!V1682+'Game Results'!V1880)</f>
        <v>0</v>
      </c>
      <c r="W48" s="85">
        <f>SUM('Game Results'!W609+'Game Results'!W627+'Game Results'!W674+'Game Results'!W692+'Game Results'!W717+'Game Results'!W735+'Game Results'!W1088+'Game Results'!W1070+'Game Results'!W1221+'Game Results'!W134+'Game Results'!W152+'Game Results'!W1455+'Game Results'!W1437+'Game Results'!W1862+'Game Results'!W1700+'Game Results'!W1682+'Game Results'!W1880)</f>
        <v>0</v>
      </c>
      <c r="X48" s="85">
        <f>SUM('Game Results'!X609+'Game Results'!X627+'Game Results'!X674+'Game Results'!X692+'Game Results'!X717+'Game Results'!X735+'Game Results'!X1088+'Game Results'!X1070+'Game Results'!X1221+'Game Results'!X134+'Game Results'!X152+'Game Results'!X1455+'Game Results'!X1437+'Game Results'!X1862+'Game Results'!X1700+'Game Results'!X1682+'Game Results'!X1880)</f>
        <v>0</v>
      </c>
      <c r="Y48" s="85">
        <f>SUM('Game Results'!Y609+'Game Results'!Y627+'Game Results'!Y674+'Game Results'!Y692+'Game Results'!Y717+'Game Results'!Y735+'Game Results'!Y1088+'Game Results'!Y1070+'Game Results'!Y1221+'Game Results'!Y134+'Game Results'!Y152+'Game Results'!Y1455+'Game Results'!Y1437+'Game Results'!Y1862+'Game Results'!Y1700+'Game Results'!Y1682+'Game Results'!Y1880)</f>
        <v>0</v>
      </c>
      <c r="Z48" s="85">
        <f>SUM('Game Results'!Z609+'Game Results'!Z627+'Game Results'!Z674+'Game Results'!Z692+'Game Results'!Z717+'Game Results'!Z735+'Game Results'!Z1088+'Game Results'!Z1070+'Game Results'!Z1221+'Game Results'!Z134+'Game Results'!Z152+'Game Results'!Z1455+'Game Results'!Z1437+'Game Results'!Z1862+'Game Results'!Z1700+'Game Results'!Z1682+'Game Results'!Z1880)</f>
        <v>0</v>
      </c>
      <c r="AA48" s="85">
        <f>SUM('Game Results'!AA609+'Game Results'!AA627+'Game Results'!AA674+'Game Results'!AA692+'Game Results'!AA717+'Game Results'!AA735+'Game Results'!AA1088+'Game Results'!AA1070+'Game Results'!AA1221+'Game Results'!AA134+'Game Results'!AA152+'Game Results'!AA1455+'Game Results'!AA1437+'Game Results'!AA1862+'Game Results'!AA1700+'Game Results'!AA1682+'Game Results'!AA1880)</f>
        <v>0</v>
      </c>
      <c r="AB48" s="85">
        <f>SUM('Game Results'!AB609+'Game Results'!AB627+'Game Results'!AB674+'Game Results'!AB692+'Game Results'!AB717+'Game Results'!AB735+'Game Results'!AB1088+'Game Results'!AB1070+'Game Results'!AB1221+'Game Results'!AB134+'Game Results'!AB152+'Game Results'!AB1455+'Game Results'!AB1437+'Game Results'!AB1862+'Game Results'!AB1700+'Game Results'!AB1682+'Game Results'!AB1880)</f>
        <v>0</v>
      </c>
      <c r="AC48" s="85">
        <f>SUM('Game Results'!AC609+'Game Results'!AC627+'Game Results'!AC674+'Game Results'!AC692+'Game Results'!AC717+'Game Results'!AC735+'Game Results'!AC1088+'Game Results'!AC1070+'Game Results'!AC1221+'Game Results'!AC134+'Game Results'!AC152+'Game Results'!AC1455+'Game Results'!AC1437+'Game Results'!AC1862+'Game Results'!AC1700+'Game Results'!AC1682+'Game Results'!AC1880)</f>
        <v>0</v>
      </c>
      <c r="AD48" s="85">
        <f>SUM('Game Results'!AD609+'Game Results'!AD627+'Game Results'!AD674+'Game Results'!AD692+'Game Results'!AD717+'Game Results'!AD735+'Game Results'!AD1088+'Game Results'!AD1070+'Game Results'!AD1221+'Game Results'!AD134+'Game Results'!AD152+'Game Results'!AD1455+'Game Results'!AD1437+'Game Results'!AD1862+'Game Results'!AD1700+'Game Results'!AD1682+'Game Results'!AD1880)</f>
        <v>0</v>
      </c>
      <c r="AE48" s="85">
        <f>SUM('Game Results'!AE609+'Game Results'!AE627+'Game Results'!AE674+'Game Results'!AE692+'Game Results'!AE717+'Game Results'!AE735+'Game Results'!AE1088+'Game Results'!AE1070+'Game Results'!AE1221+'Game Results'!AE134+'Game Results'!AE152+'Game Results'!AE1455+'Game Results'!AE1437+'Game Results'!AE1862+'Game Results'!AE1700+'Game Results'!AE1682+'Game Results'!AE1880)</f>
        <v>0</v>
      </c>
      <c r="AF48" s="85">
        <f>SUM('Game Results'!AF609+'Game Results'!AF627+'Game Results'!AF674+'Game Results'!AF692+'Game Results'!AF717+'Game Results'!AF735+'Game Results'!AF1088+'Game Results'!AF1070+'Game Results'!AF1221+'Game Results'!AF134+'Game Results'!AF152+'Game Results'!AF1455+'Game Results'!AF1437+'Game Results'!AF1862+'Game Results'!AF1700+'Game Results'!AF1682+'Game Results'!AF1880)</f>
        <v>0</v>
      </c>
      <c r="AG48" s="85">
        <f>SUM('Game Results'!AG609+'Game Results'!AG627+'Game Results'!AG674+'Game Results'!AG692+'Game Results'!AG717+'Game Results'!AG735+'Game Results'!AG1088+'Game Results'!AG1070+'Game Results'!AG1221+'Game Results'!AG134+'Game Results'!AG152+'Game Results'!AG1455+'Game Results'!AG1437+'Game Results'!AG1862+'Game Results'!AG1700+'Game Results'!AG1682+'Game Results'!AG1880)</f>
        <v>0</v>
      </c>
      <c r="AH48" s="85">
        <f>SUM('Game Results'!AH609+'Game Results'!AH627+'Game Results'!AH674+'Game Results'!AH692+'Game Results'!AH717+'Game Results'!AH735+'Game Results'!AH1088+'Game Results'!AH1070+'Game Results'!AH1221+'Game Results'!AH134+'Game Results'!AH152+'Game Results'!AH1455+'Game Results'!AH1437+'Game Results'!AH1862+'Game Results'!AH1700+'Game Results'!AH1682+'Game Results'!AH1880)</f>
        <v>0</v>
      </c>
    </row>
    <row r="49">
      <c r="A49" s="83" t="s">
        <v>40</v>
      </c>
      <c r="B49" s="84" t="s">
        <v>220</v>
      </c>
      <c r="C49" s="85">
        <f>SUM('Game Results'!C610+'Game Results'!C628+'Game Results'!C675+'Game Results'!C693+'Game Results'!C718+'Game Results'!C736+'Game Results'!C1089+'Game Results'!C1071+'Game Results'!C1222+'Game Results'!C135+'Game Results'!C153+'Game Results'!C1456+'Game Results'!C1438+'Game Results'!C1863+'Game Results'!C1701+'Game Results'!C1683+'Game Results'!C1881)</f>
        <v>9</v>
      </c>
      <c r="D49" s="85">
        <f>SUM('Game Results'!D610+'Game Results'!D628+'Game Results'!D675+'Game Results'!D693+'Game Results'!D718+'Game Results'!D736+'Game Results'!D1089+'Game Results'!D1071+'Game Results'!D1222+'Game Results'!D135+'Game Results'!D153+'Game Results'!D1456+'Game Results'!D1438+'Game Results'!D1863+'Game Results'!D1701+'Game Results'!D1683+'Game Results'!D1881)</f>
        <v>6</v>
      </c>
      <c r="E49" s="86">
        <f>SUM('Game Results'!E610+'Game Results'!E628+'Game Results'!E675+'Game Results'!E693+'Game Results'!E718+'Game Results'!E736+'Game Results'!E1089+'Game Results'!E1071+'Game Results'!E1222+'Game Results'!E135+'Game Results'!E153+'Game Results'!E1456+'Game Results'!E1438+'Game Results'!E1863+'Game Results'!E1701+'Game Results'!E1683+'Game Results'!E1881)</f>
        <v>297.3333333</v>
      </c>
      <c r="F49" s="85">
        <f>SUM('Game Results'!F610+'Game Results'!F628+'Game Results'!F675+'Game Results'!F693+'Game Results'!F718+'Game Results'!F736+'Game Results'!F1089+'Game Results'!F1071+'Game Results'!F1222+'Game Results'!F135+'Game Results'!F153+'Game Results'!F1456+'Game Results'!F1438+'Game Results'!F1863+'Game Results'!F1701+'Game Results'!F1683+'Game Results'!F1881)</f>
        <v>1</v>
      </c>
      <c r="G49" s="85">
        <f>SUM('Game Results'!G610+'Game Results'!G628+'Game Results'!G675+'Game Results'!G693+'Game Results'!G718+'Game Results'!G736+'Game Results'!G1089+'Game Results'!G1071+'Game Results'!G1222+'Game Results'!G135+'Game Results'!G153+'Game Results'!G1456+'Game Results'!G1438+'Game Results'!G1863+'Game Results'!G1701+'Game Results'!G1683+'Game Results'!G1881)</f>
        <v>993</v>
      </c>
      <c r="H49" s="85">
        <f>SUM('Game Results'!H610+'Game Results'!H628+'Game Results'!H675+'Game Results'!H693+'Game Results'!H718+'Game Results'!H736+'Game Results'!H1089+'Game Results'!H1071+'Game Results'!H1222+'Game Results'!H135+'Game Results'!H153+'Game Results'!H1456+'Game Results'!H1438+'Game Results'!H1863+'Game Results'!H1701+'Game Results'!H1683+'Game Results'!H1881)</f>
        <v>2</v>
      </c>
      <c r="I49" s="85">
        <f>SUM('Game Results'!I610+'Game Results'!I628+'Game Results'!I675+'Game Results'!I693+'Game Results'!I718+'Game Results'!I736+'Game Results'!I1089+'Game Results'!I1071+'Game Results'!I1222+'Game Results'!I135+'Game Results'!I153+'Game Results'!I1456+'Game Results'!I1438+'Game Results'!I1863+'Game Results'!I1701+'Game Results'!I1683+'Game Results'!I1881)</f>
        <v>1051</v>
      </c>
      <c r="J49" s="85">
        <f>SUM('Game Results'!J610+'Game Results'!J628+'Game Results'!J675+'Game Results'!J693+'Game Results'!J718+'Game Results'!J736+'Game Results'!J1089+'Game Results'!J1071+'Game Results'!J1222+'Game Results'!J135+'Game Results'!J153+'Game Results'!J1456+'Game Results'!J1438+'Game Results'!J1863+'Game Results'!J1701+'Game Results'!J1683+'Game Results'!J1881)</f>
        <v>-58</v>
      </c>
      <c r="K49" s="87">
        <f t="shared" si="1"/>
        <v>0.9448144624</v>
      </c>
      <c r="L49" s="85">
        <f>SUM('Game Results'!L610+'Game Results'!L628+'Game Results'!L675+'Game Results'!L693+'Game Results'!L718+'Game Results'!L736+'Game Results'!L1089+'Game Results'!L1071+'Game Results'!L1222+'Game Results'!L135+'Game Results'!L153+'Game Results'!L1456+'Game Results'!L1438+'Game Results'!L1863+'Game Results'!L1701+'Game Results'!L1683+'Game Results'!L1881)</f>
        <v>127</v>
      </c>
      <c r="M49" s="85">
        <f>SUM('Game Results'!M610+'Game Results'!M628+'Game Results'!M675+'Game Results'!M693+'Game Results'!M718+'Game Results'!M736+'Game Results'!M1089+'Game Results'!M1071+'Game Results'!M1222+'Game Results'!M135+'Game Results'!M153+'Game Results'!M1456+'Game Results'!M1438+'Game Results'!M1863+'Game Results'!M1701+'Game Results'!M1683+'Game Results'!M1881)</f>
        <v>1305</v>
      </c>
      <c r="N49" s="85">
        <f>SUM('Game Results'!N610+'Game Results'!N628+'Game Results'!N675+'Game Results'!N693+'Game Results'!N718+'Game Results'!N736+'Game Results'!N1089+'Game Results'!N1071+'Game Results'!N1222+'Game Results'!N135+'Game Results'!N153+'Game Results'!N1456+'Game Results'!N1438+'Game Results'!N1863+'Game Results'!N1701+'Game Results'!N1683+'Game Results'!N1881)</f>
        <v>9</v>
      </c>
      <c r="O49" s="88">
        <f>SUM('Game Results'!O610+'Game Results'!O628+'Game Results'!O675+'Game Results'!O693+'Game Results'!O718+'Game Results'!O736+'Game Results'!O1089+'Game Results'!O1071+'Game Results'!O1222+'Game Results'!O135+'Game Results'!O153+'Game Results'!O1456+'Game Results'!O1438+'Game Results'!O1863+'Game Results'!O1701+'Game Results'!O1683+'Game Results'!O1881)</f>
        <v>297.3333333</v>
      </c>
      <c r="P49" s="85">
        <f>SUM('Game Results'!P610+'Game Results'!P628+'Game Results'!P675+'Game Results'!P693+'Game Results'!P718+'Game Results'!P736+'Game Results'!P1089+'Game Results'!P1071+'Game Results'!P1222+'Game Results'!P135+'Game Results'!P153+'Game Results'!P1456+'Game Results'!P1438+'Game Results'!P1863+'Game Results'!P1701+'Game Results'!P1683+'Game Results'!P1881)</f>
        <v>34</v>
      </c>
      <c r="Q49" s="85">
        <f>SUM('Game Results'!Q610+'Game Results'!Q628+'Game Results'!Q675+'Game Results'!Q693+'Game Results'!Q718+'Game Results'!Q736+'Game Results'!Q1089+'Game Results'!Q1071+'Game Results'!Q1222+'Game Results'!Q135+'Game Results'!Q153+'Game Results'!Q1456+'Game Results'!Q1438+'Game Results'!Q1863+'Game Results'!Q1701+'Game Results'!Q1683+'Game Results'!Q1881)</f>
        <v>28</v>
      </c>
      <c r="R49" s="85">
        <f>SUM('Game Results'!R610+'Game Results'!R628+'Game Results'!R675+'Game Results'!R693+'Game Results'!R718+'Game Results'!R736+'Game Results'!R1089+'Game Results'!R1071+'Game Results'!R1222+'Game Results'!R135+'Game Results'!R153+'Game Results'!R1456+'Game Results'!R1438+'Game Results'!R1863+'Game Results'!R1701+'Game Results'!R1683+'Game Results'!R1881)</f>
        <v>81</v>
      </c>
      <c r="S49" s="85">
        <f>SUM('Game Results'!S610+'Game Results'!S628+'Game Results'!S675+'Game Results'!S693+'Game Results'!S718+'Game Results'!S736+'Game Results'!S1089+'Game Results'!S1071+'Game Results'!S1222+'Game Results'!S135+'Game Results'!S153+'Game Results'!S1456+'Game Results'!S1438+'Game Results'!S1863+'Game Results'!S1701+'Game Results'!S1683+'Game Results'!S1881)</f>
        <v>18</v>
      </c>
      <c r="T49" s="85">
        <f>SUM('Game Results'!T610+'Game Results'!T628+'Game Results'!T675+'Game Results'!T693+'Game Results'!T718+'Game Results'!T736+'Game Results'!T1089+'Game Results'!T1071+'Game Results'!T1222+'Game Results'!T135+'Game Results'!T153+'Game Results'!T1456+'Game Results'!T1438+'Game Results'!T1863+'Game Results'!T1701+'Game Results'!T1683+'Game Results'!T1881)</f>
        <v>141</v>
      </c>
      <c r="U49" s="85">
        <f>SUM('Game Results'!U610+'Game Results'!U628+'Game Results'!U675+'Game Results'!U693+'Game Results'!U718+'Game Results'!U736+'Game Results'!U1089+'Game Results'!U1071+'Game Results'!U1222+'Game Results'!U135+'Game Results'!U153+'Game Results'!U1456+'Game Results'!U1438+'Game Results'!U1863+'Game Results'!U1701+'Game Results'!U1683+'Game Results'!U1881)</f>
        <v>33</v>
      </c>
      <c r="V49" s="85">
        <f>SUM('Game Results'!V610+'Game Results'!V628+'Game Results'!V675+'Game Results'!V693+'Game Results'!V718+'Game Results'!V736+'Game Results'!V1089+'Game Results'!V1071+'Game Results'!V1222+'Game Results'!V135+'Game Results'!V153+'Game Results'!V1456+'Game Results'!V1438+'Game Results'!V1863+'Game Results'!V1701+'Game Results'!V1683+'Game Results'!V1881)</f>
        <v>13</v>
      </c>
      <c r="W49" s="85">
        <f>SUM('Game Results'!W610+'Game Results'!W628+'Game Results'!W675+'Game Results'!W693+'Game Results'!W718+'Game Results'!W736+'Game Results'!W1089+'Game Results'!W1071+'Game Results'!W1222+'Game Results'!W135+'Game Results'!W153+'Game Results'!W1456+'Game Results'!W1438+'Game Results'!W1863+'Game Results'!W1701+'Game Results'!W1683+'Game Results'!W1881)</f>
        <v>4</v>
      </c>
      <c r="X49" s="85">
        <f>SUM('Game Results'!X610+'Game Results'!X628+'Game Results'!X675+'Game Results'!X693+'Game Results'!X718+'Game Results'!X736+'Game Results'!X1089+'Game Results'!X1071+'Game Results'!X1222+'Game Results'!X135+'Game Results'!X153+'Game Results'!X1456+'Game Results'!X1438+'Game Results'!X1863+'Game Results'!X1701+'Game Results'!X1683+'Game Results'!X1881)</f>
        <v>1</v>
      </c>
      <c r="Y49" s="85">
        <f>SUM('Game Results'!Y610+'Game Results'!Y628+'Game Results'!Y675+'Game Results'!Y693+'Game Results'!Y718+'Game Results'!Y736+'Game Results'!Y1089+'Game Results'!Y1071+'Game Results'!Y1222+'Game Results'!Y135+'Game Results'!Y153+'Game Results'!Y1456+'Game Results'!Y1438+'Game Results'!Y1863+'Game Results'!Y1701+'Game Results'!Y1683+'Game Results'!Y1881)</f>
        <v>1</v>
      </c>
      <c r="Z49" s="85">
        <f>SUM('Game Results'!Z610+'Game Results'!Z628+'Game Results'!Z675+'Game Results'!Z693+'Game Results'!Z718+'Game Results'!Z736+'Game Results'!Z1089+'Game Results'!Z1071+'Game Results'!Z1222+'Game Results'!Z135+'Game Results'!Z153+'Game Results'!Z1456+'Game Results'!Z1438+'Game Results'!Z1863+'Game Results'!Z1701+'Game Results'!Z1683+'Game Results'!Z1881)</f>
        <v>1</v>
      </c>
      <c r="AA49" s="85">
        <f>SUM('Game Results'!AA610+'Game Results'!AA628+'Game Results'!AA675+'Game Results'!AA693+'Game Results'!AA718+'Game Results'!AA736+'Game Results'!AA1089+'Game Results'!AA1071+'Game Results'!AA1222+'Game Results'!AA135+'Game Results'!AA153+'Game Results'!AA1456+'Game Results'!AA1438+'Game Results'!AA1863+'Game Results'!AA1701+'Game Results'!AA1683+'Game Results'!AA1881)</f>
        <v>1</v>
      </c>
      <c r="AB49" s="85">
        <f>SUM('Game Results'!AB610+'Game Results'!AB628+'Game Results'!AB675+'Game Results'!AB693+'Game Results'!AB718+'Game Results'!AB736+'Game Results'!AB1089+'Game Results'!AB1071+'Game Results'!AB1222+'Game Results'!AB135+'Game Results'!AB153+'Game Results'!AB1456+'Game Results'!AB1438+'Game Results'!AB1863+'Game Results'!AB1701+'Game Results'!AB1683+'Game Results'!AB1881)</f>
        <v>0</v>
      </c>
      <c r="AC49" s="85">
        <f>SUM('Game Results'!AC610+'Game Results'!AC628+'Game Results'!AC675+'Game Results'!AC693+'Game Results'!AC718+'Game Results'!AC736+'Game Results'!AC1089+'Game Results'!AC1071+'Game Results'!AC1222+'Game Results'!AC135+'Game Results'!AC153+'Game Results'!AC1456+'Game Results'!AC1438+'Game Results'!AC1863+'Game Results'!AC1701+'Game Results'!AC1683+'Game Results'!AC1881)</f>
        <v>22</v>
      </c>
      <c r="AD49" s="85">
        <f>SUM('Game Results'!AD610+'Game Results'!AD628+'Game Results'!AD675+'Game Results'!AD693+'Game Results'!AD718+'Game Results'!AD736+'Game Results'!AD1089+'Game Results'!AD1071+'Game Results'!AD1222+'Game Results'!AD135+'Game Results'!AD153+'Game Results'!AD1456+'Game Results'!AD1438+'Game Results'!AD1863+'Game Results'!AD1701+'Game Results'!AD1683+'Game Results'!AD1881)</f>
        <v>1</v>
      </c>
      <c r="AE49" s="85">
        <f>SUM('Game Results'!AE610+'Game Results'!AE628+'Game Results'!AE675+'Game Results'!AE693+'Game Results'!AE718+'Game Results'!AE736+'Game Results'!AE1089+'Game Results'!AE1071+'Game Results'!AE1222+'Game Results'!AE135+'Game Results'!AE153+'Game Results'!AE1456+'Game Results'!AE1438+'Game Results'!AE1863+'Game Results'!AE1701+'Game Results'!AE1683+'Game Results'!AE1881)</f>
        <v>0</v>
      </c>
      <c r="AF49" s="85">
        <f>SUM('Game Results'!AF610+'Game Results'!AF628+'Game Results'!AF675+'Game Results'!AF693+'Game Results'!AF718+'Game Results'!AF736+'Game Results'!AF1089+'Game Results'!AF1071+'Game Results'!AF1222+'Game Results'!AF135+'Game Results'!AF153+'Game Results'!AF1456+'Game Results'!AF1438+'Game Results'!AF1863+'Game Results'!AF1701+'Game Results'!AF1683+'Game Results'!AF1881)</f>
        <v>0</v>
      </c>
      <c r="AG49" s="85">
        <f>SUM('Game Results'!AG610+'Game Results'!AG628+'Game Results'!AG675+'Game Results'!AG693+'Game Results'!AG718+'Game Results'!AG736+'Game Results'!AG1089+'Game Results'!AG1071+'Game Results'!AG1222+'Game Results'!AG135+'Game Results'!AG153+'Game Results'!AG1456+'Game Results'!AG1438+'Game Results'!AG1863+'Game Results'!AG1701+'Game Results'!AG1683+'Game Results'!AG1881)</f>
        <v>1</v>
      </c>
      <c r="AH49" s="85">
        <f>SUM('Game Results'!AH610+'Game Results'!AH628+'Game Results'!AH675+'Game Results'!AH693+'Game Results'!AH718+'Game Results'!AH736+'Game Results'!AH1089+'Game Results'!AH1071+'Game Results'!AH1222+'Game Results'!AH135+'Game Results'!AH153+'Game Results'!AH1456+'Game Results'!AH1438+'Game Results'!AH1863+'Game Results'!AH1701+'Game Results'!AH1683+'Game Results'!AH1881)</f>
        <v>0</v>
      </c>
    </row>
    <row r="50">
      <c r="A50" s="83" t="s">
        <v>214</v>
      </c>
      <c r="B50" s="84" t="s">
        <v>221</v>
      </c>
      <c r="C50" s="85">
        <f>SUM('Game Results'!C611+'Game Results'!C629+'Game Results'!C676+'Game Results'!C694+'Game Results'!C719+'Game Results'!C737+'Game Results'!C1090+'Game Results'!C1072+'Game Results'!C1223+'Game Results'!C136+'Game Results'!C154+'Game Results'!C1457+'Game Results'!C1439+'Game Results'!C1864+'Game Results'!C1702+'Game Results'!C1684+'Game Results'!C1882)</f>
        <v>8</v>
      </c>
      <c r="D50" s="85">
        <f>SUM('Game Results'!D611+'Game Results'!D629+'Game Results'!D676+'Game Results'!D694+'Game Results'!D719+'Game Results'!D737+'Game Results'!D1090+'Game Results'!D1072+'Game Results'!D1223+'Game Results'!D136+'Game Results'!D154+'Game Results'!D1457+'Game Results'!D1439+'Game Results'!D1864+'Game Results'!D1702+'Game Results'!D1684+'Game Results'!D1882)</f>
        <v>4</v>
      </c>
      <c r="E50" s="86">
        <f>SUM('Game Results'!E611+'Game Results'!E629+'Game Results'!E676+'Game Results'!E694+'Game Results'!E719+'Game Results'!E737+'Game Results'!E1090+'Game Results'!E1072+'Game Results'!E1223+'Game Results'!E136+'Game Results'!E154+'Game Results'!E1457+'Game Results'!E1439+'Game Results'!E1864+'Game Results'!E1702+'Game Results'!E1684+'Game Results'!E1882)</f>
        <v>189</v>
      </c>
      <c r="F50" s="85">
        <f>SUM('Game Results'!F611+'Game Results'!F629+'Game Results'!F676+'Game Results'!F694+'Game Results'!F719+'Game Results'!F737+'Game Results'!F1090+'Game Results'!F1072+'Game Results'!F1223+'Game Results'!F136+'Game Results'!F154+'Game Results'!F1457+'Game Results'!F1439+'Game Results'!F1864+'Game Results'!F1702+'Game Results'!F1684+'Game Results'!F1882)</f>
        <v>3</v>
      </c>
      <c r="G50" s="85">
        <f>SUM('Game Results'!G611+'Game Results'!G629+'Game Results'!G676+'Game Results'!G694+'Game Results'!G719+'Game Results'!G737+'Game Results'!G1090+'Game Results'!G1072+'Game Results'!G1223+'Game Results'!G136+'Game Results'!G154+'Game Results'!G1457+'Game Results'!G1439+'Game Results'!G1864+'Game Results'!G1702+'Game Results'!G1684+'Game Results'!G1882)</f>
        <v>679</v>
      </c>
      <c r="H50" s="85">
        <f>SUM('Game Results'!H611+'Game Results'!H629+'Game Results'!H676+'Game Results'!H694+'Game Results'!H719+'Game Results'!H737+'Game Results'!H1090+'Game Results'!H1072+'Game Results'!H1223+'Game Results'!H136+'Game Results'!H154+'Game Results'!H1457+'Game Results'!H1439+'Game Results'!H1864+'Game Results'!H1702+'Game Results'!H1684+'Game Results'!H1882)</f>
        <v>4</v>
      </c>
      <c r="I50" s="85">
        <f>SUM('Game Results'!I611+'Game Results'!I629+'Game Results'!I676+'Game Results'!I694+'Game Results'!I719+'Game Results'!I737+'Game Results'!I1090+'Game Results'!I1072+'Game Results'!I1223+'Game Results'!I136+'Game Results'!I154+'Game Results'!I1457+'Game Results'!I1439+'Game Results'!I1864+'Game Results'!I1702+'Game Results'!I1684+'Game Results'!I1882)</f>
        <v>655</v>
      </c>
      <c r="J50" s="85">
        <f>SUM('Game Results'!J611+'Game Results'!J629+'Game Results'!J676+'Game Results'!J694+'Game Results'!J719+'Game Results'!J737+'Game Results'!J1090+'Game Results'!J1072+'Game Results'!J1223+'Game Results'!J136+'Game Results'!J154+'Game Results'!J1457+'Game Results'!J1439+'Game Results'!J1864+'Game Results'!J1702+'Game Results'!J1684+'Game Results'!J1882)</f>
        <v>24</v>
      </c>
      <c r="K50" s="87">
        <f t="shared" si="1"/>
        <v>1.036641221</v>
      </c>
      <c r="L50" s="85">
        <f>SUM('Game Results'!L611+'Game Results'!L629+'Game Results'!L676+'Game Results'!L694+'Game Results'!L719+'Game Results'!L737+'Game Results'!L1090+'Game Results'!L1072+'Game Results'!L1223+'Game Results'!L136+'Game Results'!L154+'Game Results'!L1457+'Game Results'!L1439+'Game Results'!L1864+'Game Results'!L1702+'Game Results'!L1684+'Game Results'!L1882)</f>
        <v>109</v>
      </c>
      <c r="M50" s="85">
        <f>SUM('Game Results'!M611+'Game Results'!M629+'Game Results'!M676+'Game Results'!M694+'Game Results'!M719+'Game Results'!M737+'Game Results'!M1090+'Game Results'!M1072+'Game Results'!M1223+'Game Results'!M136+'Game Results'!M154+'Game Results'!M1457+'Game Results'!M1439+'Game Results'!M1864+'Game Results'!M1702+'Game Results'!M1684+'Game Results'!M1882)</f>
        <v>860</v>
      </c>
      <c r="N50" s="85">
        <f>SUM('Game Results'!N611+'Game Results'!N629+'Game Results'!N676+'Game Results'!N694+'Game Results'!N719+'Game Results'!N737+'Game Results'!N1090+'Game Results'!N1072+'Game Results'!N1223+'Game Results'!N136+'Game Results'!N154+'Game Results'!N1457+'Game Results'!N1439+'Game Results'!N1864+'Game Results'!N1702+'Game Results'!N1684+'Game Results'!N1882)</f>
        <v>8</v>
      </c>
      <c r="O50" s="88">
        <f>SUM('Game Results'!O611+'Game Results'!O629+'Game Results'!O676+'Game Results'!O694+'Game Results'!O719+'Game Results'!O737+'Game Results'!O1090+'Game Results'!O1072+'Game Results'!O1223+'Game Results'!O136+'Game Results'!O154+'Game Results'!O1457+'Game Results'!O1439+'Game Results'!O1864+'Game Results'!O1702+'Game Results'!O1684+'Game Results'!O1882)</f>
        <v>189</v>
      </c>
      <c r="P50" s="85">
        <f>SUM('Game Results'!P611+'Game Results'!P629+'Game Results'!P676+'Game Results'!P694+'Game Results'!P719+'Game Results'!P737+'Game Results'!P1090+'Game Results'!P1072+'Game Results'!P1223+'Game Results'!P136+'Game Results'!P154+'Game Results'!P1457+'Game Results'!P1439+'Game Results'!P1864+'Game Results'!P1702+'Game Results'!P1684+'Game Results'!P1882)</f>
        <v>25</v>
      </c>
      <c r="Q50" s="85">
        <f>SUM('Game Results'!Q611+'Game Results'!Q629+'Game Results'!Q676+'Game Results'!Q694+'Game Results'!Q719+'Game Results'!Q737+'Game Results'!Q1090+'Game Results'!Q1072+'Game Results'!Q1223+'Game Results'!Q136+'Game Results'!Q154+'Game Results'!Q1457+'Game Results'!Q1439+'Game Results'!Q1864+'Game Results'!Q1702+'Game Results'!Q1684+'Game Results'!Q1882)</f>
        <v>14</v>
      </c>
      <c r="R50" s="85">
        <f>SUM('Game Results'!R611+'Game Results'!R629+'Game Results'!R676+'Game Results'!R694+'Game Results'!R719+'Game Results'!R737+'Game Results'!R1090+'Game Results'!R1072+'Game Results'!R1223+'Game Results'!R136+'Game Results'!R154+'Game Results'!R1457+'Game Results'!R1439+'Game Results'!R1864+'Game Results'!R1702+'Game Results'!R1684+'Game Results'!R1882)</f>
        <v>37</v>
      </c>
      <c r="S50" s="85">
        <f>SUM('Game Results'!S611+'Game Results'!S629+'Game Results'!S676+'Game Results'!S694+'Game Results'!S719+'Game Results'!S737+'Game Results'!S1090+'Game Results'!S1072+'Game Results'!S1223+'Game Results'!S136+'Game Results'!S154+'Game Results'!S1457+'Game Results'!S1439+'Game Results'!S1864+'Game Results'!S1702+'Game Results'!S1684+'Game Results'!S1882)</f>
        <v>13</v>
      </c>
      <c r="T50" s="85">
        <f>SUM('Game Results'!T611+'Game Results'!T629+'Game Results'!T676+'Game Results'!T694+'Game Results'!T719+'Game Results'!T737+'Game Results'!T1090+'Game Results'!T1072+'Game Results'!T1223+'Game Results'!T136+'Game Results'!T154+'Game Results'!T1457+'Game Results'!T1439+'Game Results'!T1864+'Game Results'!T1702+'Game Results'!T1684+'Game Results'!T1882)</f>
        <v>93</v>
      </c>
      <c r="U50" s="85">
        <f>SUM('Game Results'!U611+'Game Results'!U629+'Game Results'!U676+'Game Results'!U694+'Game Results'!U719+'Game Results'!U737+'Game Results'!U1090+'Game Results'!U1072+'Game Results'!U1223+'Game Results'!U136+'Game Results'!U154+'Game Results'!U1457+'Game Results'!U1439+'Game Results'!U1864+'Game Results'!U1702+'Game Results'!U1684+'Game Results'!U1882)</f>
        <v>15</v>
      </c>
      <c r="V50" s="85">
        <f>SUM('Game Results'!V611+'Game Results'!V629+'Game Results'!V676+'Game Results'!V694+'Game Results'!V719+'Game Results'!V737+'Game Results'!V1090+'Game Results'!V1072+'Game Results'!V1223+'Game Results'!V136+'Game Results'!V154+'Game Results'!V1457+'Game Results'!V1439+'Game Results'!V1864+'Game Results'!V1702+'Game Results'!V1684+'Game Results'!V1882)</f>
        <v>3</v>
      </c>
      <c r="W50" s="85">
        <f>SUM('Game Results'!W611+'Game Results'!W629+'Game Results'!W676+'Game Results'!W694+'Game Results'!W719+'Game Results'!W737+'Game Results'!W1090+'Game Results'!W1072+'Game Results'!W1223+'Game Results'!W136+'Game Results'!W154+'Game Results'!W1457+'Game Results'!W1439+'Game Results'!W1864+'Game Results'!W1702+'Game Results'!W1684+'Game Results'!W1882)</f>
        <v>1</v>
      </c>
      <c r="X50" s="85">
        <f>SUM('Game Results'!X611+'Game Results'!X629+'Game Results'!X676+'Game Results'!X694+'Game Results'!X719+'Game Results'!X737+'Game Results'!X1090+'Game Results'!X1072+'Game Results'!X1223+'Game Results'!X136+'Game Results'!X154+'Game Results'!X1457+'Game Results'!X1439+'Game Results'!X1864+'Game Results'!X1702+'Game Results'!X1684+'Game Results'!X1882)</f>
        <v>1</v>
      </c>
      <c r="Y50" s="85">
        <f>SUM('Game Results'!Y611+'Game Results'!Y629+'Game Results'!Y676+'Game Results'!Y694+'Game Results'!Y719+'Game Results'!Y737+'Game Results'!Y1090+'Game Results'!Y1072+'Game Results'!Y1223+'Game Results'!Y136+'Game Results'!Y154+'Game Results'!Y1457+'Game Results'!Y1439+'Game Results'!Y1864+'Game Results'!Y1702+'Game Results'!Y1684+'Game Results'!Y1882)</f>
        <v>1</v>
      </c>
      <c r="Z50" s="85">
        <f>SUM('Game Results'!Z611+'Game Results'!Z629+'Game Results'!Z676+'Game Results'!Z694+'Game Results'!Z719+'Game Results'!Z737+'Game Results'!Z1090+'Game Results'!Z1072+'Game Results'!Z1223+'Game Results'!Z136+'Game Results'!Z154+'Game Results'!Z1457+'Game Results'!Z1439+'Game Results'!Z1864+'Game Results'!Z1702+'Game Results'!Z1684+'Game Results'!Z1882)</f>
        <v>0</v>
      </c>
      <c r="AA50" s="85">
        <f>SUM('Game Results'!AA611+'Game Results'!AA629+'Game Results'!AA676+'Game Results'!AA694+'Game Results'!AA719+'Game Results'!AA737+'Game Results'!AA1090+'Game Results'!AA1072+'Game Results'!AA1223+'Game Results'!AA136+'Game Results'!AA154+'Game Results'!AA1457+'Game Results'!AA1439+'Game Results'!AA1864+'Game Results'!AA1702+'Game Results'!AA1684+'Game Results'!AA1882)</f>
        <v>0</v>
      </c>
      <c r="AB50" s="85">
        <f>SUM('Game Results'!AB611+'Game Results'!AB629+'Game Results'!AB676+'Game Results'!AB694+'Game Results'!AB719+'Game Results'!AB737+'Game Results'!AB1090+'Game Results'!AB1072+'Game Results'!AB1223+'Game Results'!AB136+'Game Results'!AB154+'Game Results'!AB1457+'Game Results'!AB1439+'Game Results'!AB1864+'Game Results'!AB1702+'Game Results'!AB1684+'Game Results'!AB1882)</f>
        <v>0</v>
      </c>
      <c r="AC50" s="85">
        <f>SUM('Game Results'!AC611+'Game Results'!AC629+'Game Results'!AC676+'Game Results'!AC694+'Game Results'!AC719+'Game Results'!AC737+'Game Results'!AC1090+'Game Results'!AC1072+'Game Results'!AC1223+'Game Results'!AC136+'Game Results'!AC154+'Game Results'!AC1457+'Game Results'!AC1439+'Game Results'!AC1864+'Game Results'!AC1702+'Game Results'!AC1684+'Game Results'!AC1882)</f>
        <v>14</v>
      </c>
      <c r="AD50" s="85">
        <f>SUM('Game Results'!AD611+'Game Results'!AD629+'Game Results'!AD676+'Game Results'!AD694+'Game Results'!AD719+'Game Results'!AD737+'Game Results'!AD1090+'Game Results'!AD1072+'Game Results'!AD1223+'Game Results'!AD136+'Game Results'!AD154+'Game Results'!AD1457+'Game Results'!AD1439+'Game Results'!AD1864+'Game Results'!AD1702+'Game Results'!AD1684+'Game Results'!AD1882)</f>
        <v>1</v>
      </c>
      <c r="AE50" s="85">
        <f>SUM('Game Results'!AE611+'Game Results'!AE629+'Game Results'!AE676+'Game Results'!AE694+'Game Results'!AE719+'Game Results'!AE737+'Game Results'!AE1090+'Game Results'!AE1072+'Game Results'!AE1223+'Game Results'!AE136+'Game Results'!AE154+'Game Results'!AE1457+'Game Results'!AE1439+'Game Results'!AE1864+'Game Results'!AE1702+'Game Results'!AE1684+'Game Results'!AE1882)</f>
        <v>0</v>
      </c>
      <c r="AF50" s="85">
        <f>SUM('Game Results'!AF611+'Game Results'!AF629+'Game Results'!AF676+'Game Results'!AF694+'Game Results'!AF719+'Game Results'!AF737+'Game Results'!AF1090+'Game Results'!AF1072+'Game Results'!AF1223+'Game Results'!AF136+'Game Results'!AF154+'Game Results'!AF1457+'Game Results'!AF1439+'Game Results'!AF1864+'Game Results'!AF1702+'Game Results'!AF1684+'Game Results'!AF1882)</f>
        <v>0</v>
      </c>
      <c r="AG50" s="85">
        <f>SUM('Game Results'!AG611+'Game Results'!AG629+'Game Results'!AG676+'Game Results'!AG694+'Game Results'!AG719+'Game Results'!AG737+'Game Results'!AG1090+'Game Results'!AG1072+'Game Results'!AG1223+'Game Results'!AG136+'Game Results'!AG154+'Game Results'!AG1457+'Game Results'!AG1439+'Game Results'!AG1864+'Game Results'!AG1702+'Game Results'!AG1684+'Game Results'!AG1882)</f>
        <v>0</v>
      </c>
      <c r="AH50" s="85">
        <f>SUM('Game Results'!AH611+'Game Results'!AH629+'Game Results'!AH676+'Game Results'!AH694+'Game Results'!AH719+'Game Results'!AH737+'Game Results'!AH1090+'Game Results'!AH1072+'Game Results'!AH1223+'Game Results'!AH136+'Game Results'!AH154+'Game Results'!AH1457+'Game Results'!AH1439+'Game Results'!AH1864+'Game Results'!AH1702+'Game Results'!AH1684+'Game Results'!AH1882)</f>
        <v>0</v>
      </c>
    </row>
    <row r="51">
      <c r="A51" s="89" t="s">
        <v>185</v>
      </c>
      <c r="B51" s="90"/>
      <c r="C51" s="90">
        <f t="shared" ref="C51:E51" si="20">SUM(C45:C50)/4</f>
        <v>17</v>
      </c>
      <c r="D51" s="90">
        <f t="shared" si="20"/>
        <v>10</v>
      </c>
      <c r="E51" s="91">
        <f t="shared" si="20"/>
        <v>486.8208333</v>
      </c>
      <c r="F51" s="91">
        <f t="shared" ref="F51:J51" si="21">SUM(F45:F50)</f>
        <v>61</v>
      </c>
      <c r="G51" s="91">
        <f t="shared" si="21"/>
        <v>5840</v>
      </c>
      <c r="H51" s="91">
        <f t="shared" si="21"/>
        <v>30</v>
      </c>
      <c r="I51" s="91">
        <f t="shared" si="21"/>
        <v>5815</v>
      </c>
      <c r="J51" s="91">
        <f t="shared" si="21"/>
        <v>25</v>
      </c>
      <c r="K51" s="92">
        <f t="shared" si="1"/>
        <v>1.004299226</v>
      </c>
      <c r="L51" s="91">
        <f>SUM(L45:L50)/4</f>
        <v>294.5</v>
      </c>
      <c r="M51" s="91">
        <f>SUM(M45:M50)</f>
        <v>7511</v>
      </c>
      <c r="N51" s="91">
        <f>SUM(N45:N50)/4</f>
        <v>17</v>
      </c>
      <c r="O51" s="91">
        <f>SUM(O44:O50)</f>
        <v>11889.15</v>
      </c>
      <c r="P51" s="91">
        <f t="shared" ref="P51:AH51" si="22">SUM(P45:P50)</f>
        <v>254</v>
      </c>
      <c r="Q51" s="91">
        <f t="shared" si="22"/>
        <v>132</v>
      </c>
      <c r="R51" s="91">
        <f t="shared" si="22"/>
        <v>492</v>
      </c>
      <c r="S51" s="91">
        <f t="shared" si="22"/>
        <v>110</v>
      </c>
      <c r="T51" s="91">
        <f t="shared" si="22"/>
        <v>737</v>
      </c>
      <c r="U51" s="91">
        <f t="shared" si="22"/>
        <v>128</v>
      </c>
      <c r="V51" s="91">
        <f t="shared" si="22"/>
        <v>35</v>
      </c>
      <c r="W51" s="91">
        <f t="shared" si="22"/>
        <v>7</v>
      </c>
      <c r="X51" s="91">
        <f t="shared" si="22"/>
        <v>2</v>
      </c>
      <c r="Y51" s="91">
        <f t="shared" si="22"/>
        <v>2</v>
      </c>
      <c r="Z51" s="91">
        <f t="shared" si="22"/>
        <v>1</v>
      </c>
      <c r="AA51" s="91">
        <f t="shared" si="22"/>
        <v>1</v>
      </c>
      <c r="AB51" s="91">
        <f t="shared" si="22"/>
        <v>0</v>
      </c>
      <c r="AC51" s="91">
        <f t="shared" si="22"/>
        <v>110</v>
      </c>
      <c r="AD51" s="91">
        <f t="shared" si="22"/>
        <v>3</v>
      </c>
      <c r="AE51" s="91">
        <f t="shared" si="22"/>
        <v>0</v>
      </c>
      <c r="AF51" s="91">
        <f t="shared" si="22"/>
        <v>0</v>
      </c>
      <c r="AG51" s="91">
        <f t="shared" si="22"/>
        <v>1</v>
      </c>
      <c r="AH51" s="91">
        <f t="shared" si="22"/>
        <v>0</v>
      </c>
    </row>
    <row r="52">
      <c r="A52" s="83" t="s">
        <v>51</v>
      </c>
      <c r="B52" s="84" t="s">
        <v>222</v>
      </c>
      <c r="C52" s="85">
        <f>SUM('Game Results'!C95+'Game Results'!C113+'Game Results'!C419+'Game Results'!C876+'Game Results'!C858+'Game Results'!C354+'Game Results'!C372+'Game Results'!C1157+'Game Results'!C1139+'Game Results'!C1506+'Game Results'!C1524+'Game Results'!C1650+'Game Results'!C1668+'Game Results'!C1920+'Game Results'!C1902+'Game Results'!C977+'Game Results'!C959+'Game Results'!C437+'Game Results'!C1704+'Game Results'!C1686)</f>
        <v>20</v>
      </c>
      <c r="D52" s="85">
        <f>SUM('Game Results'!D95+'Game Results'!D113+'Game Results'!D419+'Game Results'!D876+'Game Results'!D858+'Game Results'!D354+'Game Results'!D372+'Game Results'!D1157+'Game Results'!D1139+'Game Results'!D1506+'Game Results'!D1524+'Game Results'!D1650+'Game Results'!D1668+'Game Results'!D1920+'Game Results'!D1902+'Game Results'!D977+'Game Results'!D959+'Game Results'!D437+'Game Results'!D1704+'Game Results'!D1686)</f>
        <v>6</v>
      </c>
      <c r="E52" s="86">
        <f>SUM('Game Results'!E95+'Game Results'!E113+'Game Results'!E419+'Game Results'!E876+'Game Results'!E858+'Game Results'!E354+'Game Results'!E372+'Game Results'!E1157+'Game Results'!E1139+'Game Results'!E1506+'Game Results'!E1524+'Game Results'!E1650+'Game Results'!E1668+'Game Results'!E1920+'Game Results'!E1902+'Game Results'!E977+'Game Results'!E959+'Game Results'!E437+'Game Results'!E1704+'Game Results'!E1686)</f>
        <v>560.1333333</v>
      </c>
      <c r="F52" s="85">
        <f>SUM('Game Results'!F95+'Game Results'!F113+'Game Results'!F419+'Game Results'!F876+'Game Results'!F858+'Game Results'!F354+'Game Results'!F372+'Game Results'!F1157+'Game Results'!F1139+'Game Results'!F1506+'Game Results'!F1524+'Game Results'!F1650+'Game Results'!F1668+'Game Results'!F1920+'Game Results'!F1902+'Game Results'!F977+'Game Results'!F959+'Game Results'!F437+'Game Results'!F1704+'Game Results'!F1686)</f>
        <v>18</v>
      </c>
      <c r="G52" s="85">
        <f>SUM('Game Results'!G95+'Game Results'!G113+'Game Results'!G419+'Game Results'!G876+'Game Results'!G858+'Game Results'!G354+'Game Results'!G372+'Game Results'!G1157+'Game Results'!G1139+'Game Results'!G1506+'Game Results'!G1524+'Game Results'!G1650+'Game Results'!G1668+'Game Results'!G1920+'Game Results'!G1902+'Game Results'!G977+'Game Results'!G959+'Game Results'!G437+'Game Results'!G1704+'Game Results'!G1686)</f>
        <v>1680</v>
      </c>
      <c r="H52" s="85">
        <f>SUM('Game Results'!H95+'Game Results'!H113+'Game Results'!H419+'Game Results'!H876+'Game Results'!H858+'Game Results'!H354+'Game Results'!H372+'Game Results'!H1157+'Game Results'!H1139+'Game Results'!H1506+'Game Results'!H1524+'Game Results'!H1650+'Game Results'!H1668+'Game Results'!H1920+'Game Results'!H1902+'Game Results'!H977+'Game Results'!H959+'Game Results'!H437+'Game Results'!H1704+'Game Results'!H1686)</f>
        <v>9</v>
      </c>
      <c r="I52" s="85">
        <f>SUM('Game Results'!I95+'Game Results'!I113+'Game Results'!I419+'Game Results'!I876+'Game Results'!I858+'Game Results'!I354+'Game Results'!I372+'Game Results'!I1157+'Game Results'!I1139+'Game Results'!I1506+'Game Results'!I1524+'Game Results'!I1650+'Game Results'!I1668+'Game Results'!I1920+'Game Results'!I1902+'Game Results'!I977+'Game Results'!I959+'Game Results'!I437+'Game Results'!I1704+'Game Results'!I1686)</f>
        <v>1851</v>
      </c>
      <c r="J52" s="85">
        <f>SUM('Game Results'!J95+'Game Results'!J113+'Game Results'!J419+'Game Results'!J876+'Game Results'!J858+'Game Results'!J354+'Game Results'!J372+'Game Results'!J1157+'Game Results'!J1139+'Game Results'!J1506+'Game Results'!J1524+'Game Results'!J1650+'Game Results'!J1668+'Game Results'!J1920+'Game Results'!J1902+'Game Results'!J977+'Game Results'!J959+'Game Results'!J437+'Game Results'!J1704+'Game Results'!J1686)</f>
        <v>-171</v>
      </c>
      <c r="K52" s="87">
        <f t="shared" si="1"/>
        <v>0.9076175041</v>
      </c>
      <c r="L52" s="85">
        <f>SUM('Game Results'!L95+'Game Results'!L113+'Game Results'!L419+'Game Results'!L876+'Game Results'!L858+'Game Results'!L354+'Game Results'!L372+'Game Results'!L1157+'Game Results'!L1139+'Game Results'!L1506+'Game Results'!L1524+'Game Results'!L1650+'Game Results'!L1668+'Game Results'!L1920+'Game Results'!L1902+'Game Results'!L977+'Game Results'!L959+'Game Results'!L437+'Game Results'!L1704+'Game Results'!L1686)</f>
        <v>309</v>
      </c>
      <c r="M52" s="85">
        <f>SUM('Game Results'!M95+'Game Results'!M113+'Game Results'!M419+'Game Results'!M876+'Game Results'!M858+'Game Results'!M354+'Game Results'!M372+'Game Results'!M1157+'Game Results'!M1139+'Game Results'!M1506+'Game Results'!M1524+'Game Results'!M1650+'Game Results'!M1668+'Game Results'!M1920+'Game Results'!M1902+'Game Results'!M977+'Game Results'!M959+'Game Results'!M437+'Game Results'!M1704+'Game Results'!M1686)</f>
        <v>2097</v>
      </c>
      <c r="N52" s="85">
        <f>SUM('Game Results'!N95+'Game Results'!N113+'Game Results'!N419+'Game Results'!N876+'Game Results'!N858+'Game Results'!N354+'Game Results'!N372+'Game Results'!N1157+'Game Results'!N1139+'Game Results'!N1506+'Game Results'!N1524+'Game Results'!N1650+'Game Results'!N1668+'Game Results'!N1920+'Game Results'!N1902+'Game Results'!N977+'Game Results'!N959+'Game Results'!N437+'Game Results'!N1704+'Game Results'!N1686)</f>
        <v>20</v>
      </c>
      <c r="O52" s="88">
        <f>SUM('Game Results'!O95+'Game Results'!O113+'Game Results'!O419+'Game Results'!O876+'Game Results'!O858+'Game Results'!O354+'Game Results'!O372+'Game Results'!O1157+'Game Results'!O1139+'Game Results'!O1506+'Game Results'!O1524+'Game Results'!O1650+'Game Results'!O1668+'Game Results'!O1920+'Game Results'!O1902+'Game Results'!O977+'Game Results'!O959+'Game Results'!O437+'Game Results'!O1704+'Game Results'!O1686)</f>
        <v>560.1333333</v>
      </c>
      <c r="P52" s="85">
        <f>SUM('Game Results'!P95+'Game Results'!P113+'Game Results'!P419+'Game Results'!P876+'Game Results'!P858+'Game Results'!P354+'Game Results'!P372+'Game Results'!P1157+'Game Results'!P1139+'Game Results'!P1506+'Game Results'!P1524+'Game Results'!P1650+'Game Results'!P1668+'Game Results'!P1920+'Game Results'!P1902+'Game Results'!P977+'Game Results'!P959+'Game Results'!P437+'Game Results'!P1704+'Game Results'!P1686)</f>
        <v>73</v>
      </c>
      <c r="Q52" s="85">
        <f>SUM('Game Results'!Q95+'Game Results'!Q113+'Game Results'!Q419+'Game Results'!Q876+'Game Results'!Q858+'Game Results'!Q354+'Game Results'!Q372+'Game Results'!Q1157+'Game Results'!Q1139+'Game Results'!Q1506+'Game Results'!Q1524+'Game Results'!Q1650+'Game Results'!Q1668+'Game Results'!Q1920+'Game Results'!Q1902+'Game Results'!Q977+'Game Results'!Q959+'Game Results'!Q437+'Game Results'!Q1704+'Game Results'!Q1686)</f>
        <v>30</v>
      </c>
      <c r="R52" s="85">
        <f>SUM('Game Results'!R95+'Game Results'!R113+'Game Results'!R419+'Game Results'!R876+'Game Results'!R858+'Game Results'!R354+'Game Results'!R372+'Game Results'!R1157+'Game Results'!R1139+'Game Results'!R1506+'Game Results'!R1524+'Game Results'!R1650+'Game Results'!R1668+'Game Results'!R1920+'Game Results'!R1902+'Game Results'!R977+'Game Results'!R959+'Game Results'!R437+'Game Results'!R1704+'Game Results'!R1686)</f>
        <v>103</v>
      </c>
      <c r="S52" s="85">
        <f>SUM('Game Results'!S95+'Game Results'!S113+'Game Results'!S419+'Game Results'!S876+'Game Results'!S858+'Game Results'!S354+'Game Results'!S372+'Game Results'!S1157+'Game Results'!S1139+'Game Results'!S1506+'Game Results'!S1524+'Game Results'!S1650+'Game Results'!S1668+'Game Results'!S1920+'Game Results'!S1902+'Game Results'!S977+'Game Results'!S959+'Game Results'!S437+'Game Results'!S1704+'Game Results'!S1686)</f>
        <v>36</v>
      </c>
      <c r="T52" s="85">
        <f>SUM('Game Results'!T95+'Game Results'!T113+'Game Results'!T419+'Game Results'!T876+'Game Results'!T858+'Game Results'!T354+'Game Results'!T372+'Game Results'!T1157+'Game Results'!T1139+'Game Results'!T1506+'Game Results'!T1524+'Game Results'!T1650+'Game Results'!T1668+'Game Results'!T1920+'Game Results'!T1902+'Game Results'!T977+'Game Results'!T959+'Game Results'!T437+'Game Results'!T1704+'Game Results'!T1686)</f>
        <v>202</v>
      </c>
      <c r="U52" s="85">
        <f>SUM('Game Results'!U95+'Game Results'!U113+'Game Results'!U419+'Game Results'!U876+'Game Results'!U858+'Game Results'!U354+'Game Results'!U372+'Game Results'!U1157+'Game Results'!U1139+'Game Results'!U1506+'Game Results'!U1524+'Game Results'!U1650+'Game Results'!U1668+'Game Results'!U1920+'Game Results'!U1902+'Game Results'!U977+'Game Results'!U959+'Game Results'!U437+'Game Results'!U1704+'Game Results'!U1686)</f>
        <v>36</v>
      </c>
      <c r="V52" s="85">
        <f>SUM('Game Results'!V95+'Game Results'!V113+'Game Results'!V419+'Game Results'!V876+'Game Results'!V858+'Game Results'!V354+'Game Results'!V372+'Game Results'!V1157+'Game Results'!V1139+'Game Results'!V1506+'Game Results'!V1524+'Game Results'!V1650+'Game Results'!V1668+'Game Results'!V1920+'Game Results'!V1902+'Game Results'!V977+'Game Results'!V959+'Game Results'!V437+'Game Results'!V1704+'Game Results'!V1686)</f>
        <v>6</v>
      </c>
      <c r="W52" s="85">
        <f>SUM('Game Results'!W95+'Game Results'!W113+'Game Results'!W419+'Game Results'!W876+'Game Results'!W858+'Game Results'!W354+'Game Results'!W372+'Game Results'!W1157+'Game Results'!W1139+'Game Results'!W1506+'Game Results'!W1524+'Game Results'!W1650+'Game Results'!W1668+'Game Results'!W1920+'Game Results'!W1902+'Game Results'!W977+'Game Results'!W959+'Game Results'!W437+'Game Results'!W1704+'Game Results'!W1686)</f>
        <v>3</v>
      </c>
      <c r="X52" s="85">
        <f>SUM('Game Results'!X95+'Game Results'!X113+'Game Results'!X419+'Game Results'!X876+'Game Results'!X858+'Game Results'!X354+'Game Results'!X372+'Game Results'!X1157+'Game Results'!X1139+'Game Results'!X1506+'Game Results'!X1524+'Game Results'!X1650+'Game Results'!X1668+'Game Results'!X1920+'Game Results'!X1902+'Game Results'!X977+'Game Results'!X959+'Game Results'!X437+'Game Results'!X1704+'Game Results'!X1686)</f>
        <v>1</v>
      </c>
      <c r="Y52" s="85">
        <f>SUM('Game Results'!Y95+'Game Results'!Y113+'Game Results'!Y419+'Game Results'!Y876+'Game Results'!Y858+'Game Results'!Y354+'Game Results'!Y372+'Game Results'!Y1157+'Game Results'!Y1139+'Game Results'!Y1506+'Game Results'!Y1524+'Game Results'!Y1650+'Game Results'!Y1668+'Game Results'!Y1920+'Game Results'!Y1902+'Game Results'!Y977+'Game Results'!Y959+'Game Results'!Y437+'Game Results'!Y1704+'Game Results'!Y1686)</f>
        <v>0</v>
      </c>
      <c r="Z52" s="85">
        <f>SUM('Game Results'!Z95+'Game Results'!Z113+'Game Results'!Z419+'Game Results'!Z876+'Game Results'!Z858+'Game Results'!Z354+'Game Results'!Z372+'Game Results'!Z1157+'Game Results'!Z1139+'Game Results'!Z1506+'Game Results'!Z1524+'Game Results'!Z1650+'Game Results'!Z1668+'Game Results'!Z1920+'Game Results'!Z1902+'Game Results'!Z977+'Game Results'!Z959+'Game Results'!Z437+'Game Results'!Z1704+'Game Results'!Z1686)</f>
        <v>0</v>
      </c>
      <c r="AA52" s="85">
        <f>SUM('Game Results'!AA95+'Game Results'!AA113+'Game Results'!AA419+'Game Results'!AA876+'Game Results'!AA858+'Game Results'!AA354+'Game Results'!AA372+'Game Results'!AA1157+'Game Results'!AA1139+'Game Results'!AA1506+'Game Results'!AA1524+'Game Results'!AA1650+'Game Results'!AA1668+'Game Results'!AA1920+'Game Results'!AA1902+'Game Results'!AA977+'Game Results'!AA959+'Game Results'!AA437+'Game Results'!AA1704+'Game Results'!AA1686)</f>
        <v>0</v>
      </c>
      <c r="AB52" s="85">
        <f>SUM('Game Results'!AB95+'Game Results'!AB113+'Game Results'!AB419+'Game Results'!AB876+'Game Results'!AB858+'Game Results'!AB354+'Game Results'!AB372+'Game Results'!AB1157+'Game Results'!AB1139+'Game Results'!AB1506+'Game Results'!AB1524+'Game Results'!AB1650+'Game Results'!AB1668+'Game Results'!AB1920+'Game Results'!AB1902+'Game Results'!AB977+'Game Results'!AB959+'Game Results'!AB437+'Game Results'!AB1704+'Game Results'!AB1686)</f>
        <v>0</v>
      </c>
      <c r="AC52" s="85">
        <f>SUM('Game Results'!AC95+'Game Results'!AC113+'Game Results'!AC419+'Game Results'!AC876+'Game Results'!AC858+'Game Results'!AC354+'Game Results'!AC372+'Game Results'!AC1157+'Game Results'!AC1139+'Game Results'!AC1506+'Game Results'!AC1524+'Game Results'!AC1650+'Game Results'!AC1668+'Game Results'!AC1920+'Game Results'!AC1902+'Game Results'!AC977+'Game Results'!AC959+'Game Results'!AC437+'Game Results'!AC1704+'Game Results'!AC1686)</f>
        <v>26</v>
      </c>
      <c r="AD52" s="85">
        <f>SUM('Game Results'!AD95+'Game Results'!AD113+'Game Results'!AD419+'Game Results'!AD876+'Game Results'!AD858+'Game Results'!AD354+'Game Results'!AD372+'Game Results'!AD1157+'Game Results'!AD1139+'Game Results'!AD1506+'Game Results'!AD1524+'Game Results'!AD1650+'Game Results'!AD1668+'Game Results'!AD1920+'Game Results'!AD1902+'Game Results'!AD977+'Game Results'!AD959+'Game Results'!AD437+'Game Results'!AD1704+'Game Results'!AD1686)</f>
        <v>1</v>
      </c>
      <c r="AE52" s="85">
        <f>SUM('Game Results'!AE95+'Game Results'!AE113+'Game Results'!AE419+'Game Results'!AE876+'Game Results'!AE858+'Game Results'!AE354+'Game Results'!AE372+'Game Results'!AE1157+'Game Results'!AE1139+'Game Results'!AE1506+'Game Results'!AE1524+'Game Results'!AE1650+'Game Results'!AE1668+'Game Results'!AE1920+'Game Results'!AE1902+'Game Results'!AE977+'Game Results'!AE959+'Game Results'!AE437+'Game Results'!AE1704+'Game Results'!AE1686)</f>
        <v>0</v>
      </c>
      <c r="AF52" s="85">
        <f>SUM('Game Results'!AF95+'Game Results'!AF113+'Game Results'!AF419+'Game Results'!AF876+'Game Results'!AF858+'Game Results'!AF354+'Game Results'!AF372+'Game Results'!AF1157+'Game Results'!AF1139+'Game Results'!AF1506+'Game Results'!AF1524+'Game Results'!AF1650+'Game Results'!AF1668+'Game Results'!AF1920+'Game Results'!AF1902+'Game Results'!AF977+'Game Results'!AF959+'Game Results'!AF437+'Game Results'!AF1704+'Game Results'!AF1686)</f>
        <v>0</v>
      </c>
      <c r="AG52" s="85">
        <f>SUM('Game Results'!AG95+'Game Results'!AG113+'Game Results'!AG419+'Game Results'!AG876+'Game Results'!AG858+'Game Results'!AG354+'Game Results'!AG372+'Game Results'!AG1157+'Game Results'!AG1139+'Game Results'!AG1506+'Game Results'!AG1524+'Game Results'!AG1650+'Game Results'!AG1668+'Game Results'!AG1920+'Game Results'!AG1902+'Game Results'!AG977+'Game Results'!AG959+'Game Results'!AG437+'Game Results'!AG1704+'Game Results'!AG1686)</f>
        <v>0</v>
      </c>
      <c r="AH52" s="85">
        <f>SUM('Game Results'!AH95+'Game Results'!AH113+'Game Results'!AH419+'Game Results'!AH876+'Game Results'!AH858+'Game Results'!AH354+'Game Results'!AH372+'Game Results'!AH1157+'Game Results'!AH1139+'Game Results'!AH1506+'Game Results'!AH1524+'Game Results'!AH1650+'Game Results'!AH1668+'Game Results'!AH1920+'Game Results'!AH1902+'Game Results'!AH977+'Game Results'!AH959+'Game Results'!AH437+'Game Results'!AH1704+'Game Results'!AH1686)</f>
        <v>4</v>
      </c>
    </row>
    <row r="53">
      <c r="A53" s="83" t="s">
        <v>51</v>
      </c>
      <c r="B53" s="84" t="s">
        <v>223</v>
      </c>
      <c r="C53" s="85">
        <f>SUM('Game Results'!C96+'Game Results'!C114+'Game Results'!C420+'Game Results'!C877+'Game Results'!C859+'Game Results'!C355+'Game Results'!C373+'Game Results'!C1158+'Game Results'!C1140+'Game Results'!C1507+'Game Results'!C1525+'Game Results'!C1651+'Game Results'!C1669+'Game Results'!C1921+'Game Results'!C1903+'Game Results'!C978+'Game Results'!C960+'Game Results'!C438+'Game Results'!C1705+'Game Results'!C1687)</f>
        <v>20</v>
      </c>
      <c r="D53" s="85">
        <f>SUM('Game Results'!D96+'Game Results'!D114+'Game Results'!D420+'Game Results'!D877+'Game Results'!D859+'Game Results'!D355+'Game Results'!D373+'Game Results'!D1158+'Game Results'!D1140+'Game Results'!D1507+'Game Results'!D1525+'Game Results'!D1651+'Game Results'!D1669+'Game Results'!D1921+'Game Results'!D1903+'Game Results'!D978+'Game Results'!D960+'Game Results'!D438+'Game Results'!D1705+'Game Results'!D1687)</f>
        <v>6</v>
      </c>
      <c r="E53" s="86">
        <f>SUM('Game Results'!E96+'Game Results'!E114+'Game Results'!E420+'Game Results'!E877+'Game Results'!E859+'Game Results'!E355+'Game Results'!E373+'Game Results'!E1158+'Game Results'!E1140+'Game Results'!E1507+'Game Results'!E1525+'Game Results'!E1651+'Game Results'!E1669+'Game Results'!E1921+'Game Results'!E1903+'Game Results'!E978+'Game Results'!E960+'Game Results'!E438+'Game Results'!E1705+'Game Results'!E1687)</f>
        <v>560.9166667</v>
      </c>
      <c r="F53" s="85">
        <f>SUM('Game Results'!F96+'Game Results'!F114+'Game Results'!F420+'Game Results'!F877+'Game Results'!F859+'Game Results'!F355+'Game Results'!F373+'Game Results'!F1158+'Game Results'!F1140+'Game Results'!F1507+'Game Results'!F1525+'Game Results'!F1651+'Game Results'!F1669+'Game Results'!F1921+'Game Results'!F1903+'Game Results'!F978+'Game Results'!F960+'Game Results'!F438+'Game Results'!F1705+'Game Results'!F1687)</f>
        <v>10</v>
      </c>
      <c r="G53" s="85">
        <f>SUM('Game Results'!G96+'Game Results'!G114+'Game Results'!G420+'Game Results'!G877+'Game Results'!G859+'Game Results'!G355+'Game Results'!G373+'Game Results'!G1158+'Game Results'!G1140+'Game Results'!G1507+'Game Results'!G1525+'Game Results'!G1651+'Game Results'!G1669+'Game Results'!G1921+'Game Results'!G1903+'Game Results'!G978+'Game Results'!G960+'Game Results'!G438+'Game Results'!G1705+'Game Results'!G1687)</f>
        <v>1823</v>
      </c>
      <c r="H53" s="85">
        <f>SUM('Game Results'!H96+'Game Results'!H114+'Game Results'!H420+'Game Results'!H877+'Game Results'!H859+'Game Results'!H355+'Game Results'!H373+'Game Results'!H1158+'Game Results'!H1140+'Game Results'!H1507+'Game Results'!H1525+'Game Results'!H1651+'Game Results'!H1669+'Game Results'!H1921+'Game Results'!H1903+'Game Results'!H978+'Game Results'!H960+'Game Results'!H438+'Game Results'!H1705+'Game Results'!H1687)</f>
        <v>6</v>
      </c>
      <c r="I53" s="85">
        <f>SUM('Game Results'!I96+'Game Results'!I114+'Game Results'!I420+'Game Results'!I877+'Game Results'!I859+'Game Results'!I355+'Game Results'!I373+'Game Results'!I1158+'Game Results'!I1140+'Game Results'!I1507+'Game Results'!I1525+'Game Results'!I1651+'Game Results'!I1669+'Game Results'!I1921+'Game Results'!I1903+'Game Results'!I978+'Game Results'!I960+'Game Results'!I438+'Game Results'!I1705+'Game Results'!I1687)</f>
        <v>1752</v>
      </c>
      <c r="J53" s="85">
        <f>SUM('Game Results'!J96+'Game Results'!J114+'Game Results'!J420+'Game Results'!J877+'Game Results'!J859+'Game Results'!J355+'Game Results'!J373+'Game Results'!J1158+'Game Results'!J1140+'Game Results'!J1507+'Game Results'!J1525+'Game Results'!J1651+'Game Results'!J1669+'Game Results'!J1921+'Game Results'!J1903+'Game Results'!J978+'Game Results'!J960+'Game Results'!J438+'Game Results'!J1705+'Game Results'!J1687)</f>
        <v>71</v>
      </c>
      <c r="K53" s="87">
        <f t="shared" si="1"/>
        <v>1.040525114</v>
      </c>
      <c r="L53" s="85">
        <f>SUM('Game Results'!L96+'Game Results'!L114+'Game Results'!L420+'Game Results'!L877+'Game Results'!L859+'Game Results'!L355+'Game Results'!L373+'Game Results'!L1158+'Game Results'!L1140+'Game Results'!L1507+'Game Results'!L1525+'Game Results'!L1651+'Game Results'!L1669+'Game Results'!L1921+'Game Results'!L1903+'Game Results'!L978+'Game Results'!L960+'Game Results'!L438+'Game Results'!L1705+'Game Results'!L1687)</f>
        <v>329</v>
      </c>
      <c r="M53" s="85">
        <f>SUM('Game Results'!M96+'Game Results'!M114+'Game Results'!M420+'Game Results'!M877+'Game Results'!M859+'Game Results'!M355+'Game Results'!M373+'Game Results'!M1158+'Game Results'!M1140+'Game Results'!M1507+'Game Results'!M1525+'Game Results'!M1651+'Game Results'!M1669+'Game Results'!M1921+'Game Results'!M1903+'Game Results'!M978+'Game Results'!M960+'Game Results'!M438+'Game Results'!M1705+'Game Results'!M1687)</f>
        <v>2328</v>
      </c>
      <c r="N53" s="85">
        <f>SUM('Game Results'!N96+'Game Results'!N114+'Game Results'!N420+'Game Results'!N877+'Game Results'!N859+'Game Results'!N355+'Game Results'!N373+'Game Results'!N1158+'Game Results'!N1140+'Game Results'!N1507+'Game Results'!N1525+'Game Results'!N1651+'Game Results'!N1669+'Game Results'!N1921+'Game Results'!N1903+'Game Results'!N978+'Game Results'!N960+'Game Results'!N438+'Game Results'!N1705+'Game Results'!N1687)</f>
        <v>20</v>
      </c>
      <c r="O53" s="88">
        <f>SUM('Game Results'!O96+'Game Results'!O114+'Game Results'!O420+'Game Results'!O877+'Game Results'!O859+'Game Results'!O355+'Game Results'!O373+'Game Results'!O1158+'Game Results'!O1140+'Game Results'!O1507+'Game Results'!O1525+'Game Results'!O1651+'Game Results'!O1669+'Game Results'!O1921+'Game Results'!O1903+'Game Results'!O978+'Game Results'!O960+'Game Results'!O438+'Game Results'!O1705+'Game Results'!O1687)</f>
        <v>560.9166667</v>
      </c>
      <c r="P53" s="85">
        <f>SUM('Game Results'!P96+'Game Results'!P114+'Game Results'!P420+'Game Results'!P877+'Game Results'!P859+'Game Results'!P355+'Game Results'!P373+'Game Results'!P1158+'Game Results'!P1140+'Game Results'!P1507+'Game Results'!P1525+'Game Results'!P1651+'Game Results'!P1669+'Game Results'!P1921+'Game Results'!P1903+'Game Results'!P978+'Game Results'!P960+'Game Results'!P438+'Game Results'!P1705+'Game Results'!P1687)</f>
        <v>92</v>
      </c>
      <c r="Q53" s="85">
        <f>SUM('Game Results'!Q96+'Game Results'!Q114+'Game Results'!Q420+'Game Results'!Q877+'Game Results'!Q859+'Game Results'!Q355+'Game Results'!Q373+'Game Results'!Q1158+'Game Results'!Q1140+'Game Results'!Q1507+'Game Results'!Q1525+'Game Results'!Q1651+'Game Results'!Q1669+'Game Results'!Q1921+'Game Results'!Q1903+'Game Results'!Q978+'Game Results'!Q960+'Game Results'!Q438+'Game Results'!Q1705+'Game Results'!Q1687)</f>
        <v>74</v>
      </c>
      <c r="R53" s="85">
        <f>SUM('Game Results'!R96+'Game Results'!R114+'Game Results'!R420+'Game Results'!R877+'Game Results'!R859+'Game Results'!R355+'Game Results'!R373+'Game Results'!R1158+'Game Results'!R1140+'Game Results'!R1507+'Game Results'!R1525+'Game Results'!R1651+'Game Results'!R1669+'Game Results'!R1921+'Game Results'!R1903+'Game Results'!R978+'Game Results'!R960+'Game Results'!R438+'Game Results'!R1705+'Game Results'!R1687)</f>
        <v>124</v>
      </c>
      <c r="S53" s="85">
        <f>SUM('Game Results'!S96+'Game Results'!S114+'Game Results'!S420+'Game Results'!S877+'Game Results'!S859+'Game Results'!S355+'Game Results'!S373+'Game Results'!S1158+'Game Results'!S1140+'Game Results'!S1507+'Game Results'!S1525+'Game Results'!S1651+'Game Results'!S1669+'Game Results'!S1921+'Game Results'!S1903+'Game Results'!S978+'Game Results'!S960+'Game Results'!S438+'Game Results'!S1705+'Game Results'!S1687)</f>
        <v>39</v>
      </c>
      <c r="T53" s="85">
        <f>SUM('Game Results'!T96+'Game Results'!T114+'Game Results'!T420+'Game Results'!T877+'Game Results'!T859+'Game Results'!T355+'Game Results'!T373+'Game Results'!T1158+'Game Results'!T1140+'Game Results'!T1507+'Game Results'!T1525+'Game Results'!T1651+'Game Results'!T1669+'Game Results'!T1921+'Game Results'!T1903+'Game Results'!T978+'Game Results'!T960+'Game Results'!T438+'Game Results'!T1705+'Game Results'!T1687)</f>
        <v>225</v>
      </c>
      <c r="U53" s="85">
        <f>SUM('Game Results'!U96+'Game Results'!U114+'Game Results'!U420+'Game Results'!U877+'Game Results'!U859+'Game Results'!U355+'Game Results'!U373+'Game Results'!U1158+'Game Results'!U1140+'Game Results'!U1507+'Game Results'!U1525+'Game Results'!U1651+'Game Results'!U1669+'Game Results'!U1921+'Game Results'!U1903+'Game Results'!U978+'Game Results'!U960+'Game Results'!U438+'Game Results'!U1705+'Game Results'!U1687)</f>
        <v>40</v>
      </c>
      <c r="V53" s="85">
        <f>SUM('Game Results'!V96+'Game Results'!V114+'Game Results'!V420+'Game Results'!V877+'Game Results'!V859+'Game Results'!V355+'Game Results'!V373+'Game Results'!V1158+'Game Results'!V1140+'Game Results'!V1507+'Game Results'!V1525+'Game Results'!V1651+'Game Results'!V1669+'Game Results'!V1921+'Game Results'!V1903+'Game Results'!V978+'Game Results'!V960+'Game Results'!V438+'Game Results'!V1705+'Game Results'!V1687)</f>
        <v>11</v>
      </c>
      <c r="W53" s="85">
        <f>SUM('Game Results'!W96+'Game Results'!W114+'Game Results'!W420+'Game Results'!W877+'Game Results'!W859+'Game Results'!W355+'Game Results'!W373+'Game Results'!W1158+'Game Results'!W1140+'Game Results'!W1507+'Game Results'!W1525+'Game Results'!W1651+'Game Results'!W1669+'Game Results'!W1921+'Game Results'!W1903+'Game Results'!W978+'Game Results'!W960+'Game Results'!W438+'Game Results'!W1705+'Game Results'!W1687)</f>
        <v>2</v>
      </c>
      <c r="X53" s="85">
        <f>SUM('Game Results'!X96+'Game Results'!X114+'Game Results'!X420+'Game Results'!X877+'Game Results'!X859+'Game Results'!X355+'Game Results'!X373+'Game Results'!X1158+'Game Results'!X1140+'Game Results'!X1507+'Game Results'!X1525+'Game Results'!X1651+'Game Results'!X1669+'Game Results'!X1921+'Game Results'!X1903+'Game Results'!X978+'Game Results'!X960+'Game Results'!X438+'Game Results'!X1705+'Game Results'!X1687)</f>
        <v>1</v>
      </c>
      <c r="Y53" s="85">
        <f>SUM('Game Results'!Y96+'Game Results'!Y114+'Game Results'!Y420+'Game Results'!Y877+'Game Results'!Y859+'Game Results'!Y355+'Game Results'!Y373+'Game Results'!Y1158+'Game Results'!Y1140+'Game Results'!Y1507+'Game Results'!Y1525+'Game Results'!Y1651+'Game Results'!Y1669+'Game Results'!Y1921+'Game Results'!Y1903+'Game Results'!Y978+'Game Results'!Y960+'Game Results'!Y438+'Game Results'!Y1705+'Game Results'!Y1687)</f>
        <v>0</v>
      </c>
      <c r="Z53" s="85">
        <f>SUM('Game Results'!Z96+'Game Results'!Z114+'Game Results'!Z420+'Game Results'!Z877+'Game Results'!Z859+'Game Results'!Z355+'Game Results'!Z373+'Game Results'!Z1158+'Game Results'!Z1140+'Game Results'!Z1507+'Game Results'!Z1525+'Game Results'!Z1651+'Game Results'!Z1669+'Game Results'!Z1921+'Game Results'!Z1903+'Game Results'!Z978+'Game Results'!Z960+'Game Results'!Z438+'Game Results'!Z1705+'Game Results'!Z1687)</f>
        <v>0</v>
      </c>
      <c r="AA53" s="85">
        <f>SUM('Game Results'!AA96+'Game Results'!AA114+'Game Results'!AA420+'Game Results'!AA877+'Game Results'!AA859+'Game Results'!AA355+'Game Results'!AA373+'Game Results'!AA1158+'Game Results'!AA1140+'Game Results'!AA1507+'Game Results'!AA1525+'Game Results'!AA1651+'Game Results'!AA1669+'Game Results'!AA1921+'Game Results'!AA1903+'Game Results'!AA978+'Game Results'!AA960+'Game Results'!AA438+'Game Results'!AA1705+'Game Results'!AA1687)</f>
        <v>0</v>
      </c>
      <c r="AB53" s="85">
        <f>SUM('Game Results'!AB96+'Game Results'!AB114+'Game Results'!AB420+'Game Results'!AB877+'Game Results'!AB859+'Game Results'!AB355+'Game Results'!AB373+'Game Results'!AB1158+'Game Results'!AB1140+'Game Results'!AB1507+'Game Results'!AB1525+'Game Results'!AB1651+'Game Results'!AB1669+'Game Results'!AB1921+'Game Results'!AB1903+'Game Results'!AB978+'Game Results'!AB960+'Game Results'!AB438+'Game Results'!AB1705+'Game Results'!AB1687)</f>
        <v>0</v>
      </c>
      <c r="AC53" s="85">
        <f>SUM('Game Results'!AC96+'Game Results'!AC114+'Game Results'!AC420+'Game Results'!AC877+'Game Results'!AC859+'Game Results'!AC355+'Game Results'!AC373+'Game Results'!AC1158+'Game Results'!AC1140+'Game Results'!AC1507+'Game Results'!AC1525+'Game Results'!AC1651+'Game Results'!AC1669+'Game Results'!AC1921+'Game Results'!AC1903+'Game Results'!AC978+'Game Results'!AC960+'Game Results'!AC438+'Game Results'!AC1705+'Game Results'!AC1687)</f>
        <v>45</v>
      </c>
      <c r="AD53" s="85">
        <f>SUM('Game Results'!AD96+'Game Results'!AD114+'Game Results'!AD420+'Game Results'!AD877+'Game Results'!AD859+'Game Results'!AD355+'Game Results'!AD373+'Game Results'!AD1158+'Game Results'!AD1140+'Game Results'!AD1507+'Game Results'!AD1525+'Game Results'!AD1651+'Game Results'!AD1669+'Game Results'!AD1921+'Game Results'!AD1903+'Game Results'!AD978+'Game Results'!AD960+'Game Results'!AD438+'Game Results'!AD1705+'Game Results'!AD1687)</f>
        <v>1</v>
      </c>
      <c r="AE53" s="85">
        <f>SUM('Game Results'!AE96+'Game Results'!AE114+'Game Results'!AE420+'Game Results'!AE877+'Game Results'!AE859+'Game Results'!AE355+'Game Results'!AE373+'Game Results'!AE1158+'Game Results'!AE1140+'Game Results'!AE1507+'Game Results'!AE1525+'Game Results'!AE1651+'Game Results'!AE1669+'Game Results'!AE1921+'Game Results'!AE1903+'Game Results'!AE978+'Game Results'!AE960+'Game Results'!AE438+'Game Results'!AE1705+'Game Results'!AE1687)</f>
        <v>0</v>
      </c>
      <c r="AF53" s="85">
        <f>SUM('Game Results'!AF96+'Game Results'!AF114+'Game Results'!AF420+'Game Results'!AF877+'Game Results'!AF859+'Game Results'!AF355+'Game Results'!AF373+'Game Results'!AF1158+'Game Results'!AF1140+'Game Results'!AF1507+'Game Results'!AF1525+'Game Results'!AF1651+'Game Results'!AF1669+'Game Results'!AF1921+'Game Results'!AF1903+'Game Results'!AF978+'Game Results'!AF960+'Game Results'!AF438+'Game Results'!AF1705+'Game Results'!AF1687)</f>
        <v>0</v>
      </c>
      <c r="AG53" s="85">
        <f>SUM('Game Results'!AG96+'Game Results'!AG114+'Game Results'!AG420+'Game Results'!AG877+'Game Results'!AG859+'Game Results'!AG355+'Game Results'!AG373+'Game Results'!AG1158+'Game Results'!AG1140+'Game Results'!AG1507+'Game Results'!AG1525+'Game Results'!AG1651+'Game Results'!AG1669+'Game Results'!AG1921+'Game Results'!AG1903+'Game Results'!AG978+'Game Results'!AG960+'Game Results'!AG438+'Game Results'!AG1705+'Game Results'!AG1687)</f>
        <v>0</v>
      </c>
      <c r="AH53" s="85">
        <f>SUM('Game Results'!AH96+'Game Results'!AH114+'Game Results'!AH420+'Game Results'!AH877+'Game Results'!AH859+'Game Results'!AH355+'Game Results'!AH373+'Game Results'!AH1158+'Game Results'!AH1140+'Game Results'!AH1507+'Game Results'!AH1525+'Game Results'!AH1651+'Game Results'!AH1669+'Game Results'!AH1921+'Game Results'!AH1903+'Game Results'!AH978+'Game Results'!AH960+'Game Results'!AH438+'Game Results'!AH1705+'Game Results'!AH1687)</f>
        <v>2</v>
      </c>
    </row>
    <row r="54">
      <c r="A54" s="83" t="s">
        <v>51</v>
      </c>
      <c r="B54" s="84" t="s">
        <v>224</v>
      </c>
      <c r="C54" s="85">
        <f>SUM('Game Results'!C97+'Game Results'!C115+'Game Results'!C421+'Game Results'!C878+'Game Results'!C860+'Game Results'!C356+'Game Results'!C374+'Game Results'!C1159+'Game Results'!C1141+'Game Results'!C1508+'Game Results'!C1526+'Game Results'!C1652+'Game Results'!C1670+'Game Results'!C1922+'Game Results'!C1904+'Game Results'!C979+'Game Results'!C961+'Game Results'!C439+'Game Results'!C1706+'Game Results'!C1688)</f>
        <v>20</v>
      </c>
      <c r="D54" s="85">
        <f>SUM('Game Results'!D97+'Game Results'!D115+'Game Results'!D421+'Game Results'!D878+'Game Results'!D860+'Game Results'!D356+'Game Results'!D374+'Game Results'!D1159+'Game Results'!D1141+'Game Results'!D1508+'Game Results'!D1526+'Game Results'!D1652+'Game Results'!D1670+'Game Results'!D1922+'Game Results'!D1904+'Game Results'!D979+'Game Results'!D961+'Game Results'!D439+'Game Results'!D1706+'Game Results'!D1688)</f>
        <v>6</v>
      </c>
      <c r="E54" s="86">
        <f>SUM('Game Results'!E97+'Game Results'!E115+'Game Results'!E421+'Game Results'!E878+'Game Results'!E860+'Game Results'!E356+'Game Results'!E374+'Game Results'!E1159+'Game Results'!E1141+'Game Results'!E1508+'Game Results'!E1526+'Game Results'!E1652+'Game Results'!E1670+'Game Results'!E1922+'Game Results'!E1904+'Game Results'!E979+'Game Results'!E961+'Game Results'!E439+'Game Results'!E1706+'Game Results'!E1688)</f>
        <v>560.5</v>
      </c>
      <c r="F54" s="85">
        <f>SUM('Game Results'!F97+'Game Results'!F115+'Game Results'!F421+'Game Results'!F878+'Game Results'!F860+'Game Results'!F356+'Game Results'!F374+'Game Results'!F1159+'Game Results'!F1141+'Game Results'!F1508+'Game Results'!F1526+'Game Results'!F1652+'Game Results'!F1670+'Game Results'!F1922+'Game Results'!F1904+'Game Results'!F979+'Game Results'!F961+'Game Results'!F439+'Game Results'!F1706+'Game Results'!F1688)</f>
        <v>7</v>
      </c>
      <c r="G54" s="85">
        <f>SUM('Game Results'!G97+'Game Results'!G115+'Game Results'!G421+'Game Results'!G878+'Game Results'!G860+'Game Results'!G356+'Game Results'!G374+'Game Results'!G1159+'Game Results'!G1141+'Game Results'!G1508+'Game Results'!G1526+'Game Results'!G1652+'Game Results'!G1670+'Game Results'!G1922+'Game Results'!G1904+'Game Results'!G979+'Game Results'!G961+'Game Results'!G439+'Game Results'!G1706+'Game Results'!G1688)</f>
        <v>2236</v>
      </c>
      <c r="H54" s="85">
        <f>SUM('Game Results'!H97+'Game Results'!H115+'Game Results'!H421+'Game Results'!H878+'Game Results'!H860+'Game Results'!H356+'Game Results'!H374+'Game Results'!H1159+'Game Results'!H1141+'Game Results'!H1508+'Game Results'!H1526+'Game Results'!H1652+'Game Results'!H1670+'Game Results'!H1922+'Game Results'!H1904+'Game Results'!H979+'Game Results'!H961+'Game Results'!H439+'Game Results'!H1706+'Game Results'!H1688)</f>
        <v>10</v>
      </c>
      <c r="I54" s="85">
        <f>SUM('Game Results'!I97+'Game Results'!I115+'Game Results'!I421+'Game Results'!I878+'Game Results'!I860+'Game Results'!I356+'Game Results'!I374+'Game Results'!I1159+'Game Results'!I1141+'Game Results'!I1508+'Game Results'!I1526+'Game Results'!I1652+'Game Results'!I1670+'Game Results'!I1922+'Game Results'!I1904+'Game Results'!I979+'Game Results'!I961+'Game Results'!I439+'Game Results'!I1706+'Game Results'!I1688)</f>
        <v>2187</v>
      </c>
      <c r="J54" s="85">
        <f>SUM('Game Results'!J97+'Game Results'!J115+'Game Results'!J421+'Game Results'!J878+'Game Results'!J860+'Game Results'!J356+'Game Results'!J374+'Game Results'!J1159+'Game Results'!J1141+'Game Results'!J1508+'Game Results'!J1526+'Game Results'!J1652+'Game Results'!J1670+'Game Results'!J1922+'Game Results'!J1904+'Game Results'!J979+'Game Results'!J961+'Game Results'!J439+'Game Results'!J1706+'Game Results'!J1688)</f>
        <v>49</v>
      </c>
      <c r="K54" s="87">
        <f t="shared" si="1"/>
        <v>1.022405121</v>
      </c>
      <c r="L54" s="85">
        <f>SUM('Game Results'!L97+'Game Results'!L115+'Game Results'!L421+'Game Results'!L878+'Game Results'!L860+'Game Results'!L356+'Game Results'!L374+'Game Results'!L1159+'Game Results'!L1141+'Game Results'!L1508+'Game Results'!L1526+'Game Results'!L1652+'Game Results'!L1670+'Game Results'!L1922+'Game Results'!L1904+'Game Results'!L979+'Game Results'!L961+'Game Results'!L439+'Game Results'!L1706+'Game Results'!L1688)</f>
        <v>251</v>
      </c>
      <c r="M54" s="85">
        <f>SUM('Game Results'!M97+'Game Results'!M115+'Game Results'!M421+'Game Results'!M878+'Game Results'!M860+'Game Results'!M356+'Game Results'!M374+'Game Results'!M1159+'Game Results'!M1141+'Game Results'!M1508+'Game Results'!M1526+'Game Results'!M1652+'Game Results'!M1670+'Game Results'!M1922+'Game Results'!M1904+'Game Results'!M979+'Game Results'!M961+'Game Results'!M439+'Game Results'!M1706+'Game Results'!M1688)</f>
        <v>2929</v>
      </c>
      <c r="N54" s="85">
        <f>SUM('Game Results'!N97+'Game Results'!N115+'Game Results'!N421+'Game Results'!N878+'Game Results'!N860+'Game Results'!N356+'Game Results'!N374+'Game Results'!N1159+'Game Results'!N1141+'Game Results'!N1508+'Game Results'!N1526+'Game Results'!N1652+'Game Results'!N1670+'Game Results'!N1922+'Game Results'!N1904+'Game Results'!N979+'Game Results'!N961+'Game Results'!N439+'Game Results'!N1706+'Game Results'!N1688)</f>
        <v>20</v>
      </c>
      <c r="O54" s="88">
        <f>SUM('Game Results'!O97+'Game Results'!O115+'Game Results'!O421+'Game Results'!O878+'Game Results'!O860+'Game Results'!O356+'Game Results'!O374+'Game Results'!O1159+'Game Results'!O1141+'Game Results'!O1508+'Game Results'!O1526+'Game Results'!O1652+'Game Results'!O1670+'Game Results'!O1922+'Game Results'!O1904+'Game Results'!O979+'Game Results'!O961+'Game Results'!O439+'Game Results'!O1706+'Game Results'!O1688)</f>
        <v>560.5</v>
      </c>
      <c r="P54" s="85">
        <f>SUM('Game Results'!P97+'Game Results'!P115+'Game Results'!P421+'Game Results'!P878+'Game Results'!P860+'Game Results'!P356+'Game Results'!P374+'Game Results'!P1159+'Game Results'!P1141+'Game Results'!P1508+'Game Results'!P1526+'Game Results'!P1652+'Game Results'!P1670+'Game Results'!P1922+'Game Results'!P1904+'Game Results'!P979+'Game Results'!P961+'Game Results'!P439+'Game Results'!P1706+'Game Results'!P1688)</f>
        <v>88</v>
      </c>
      <c r="Q54" s="85">
        <f>SUM('Game Results'!Q97+'Game Results'!Q115+'Game Results'!Q421+'Game Results'!Q878+'Game Results'!Q860+'Game Results'!Q356+'Game Results'!Q374+'Game Results'!Q1159+'Game Results'!Q1141+'Game Results'!Q1508+'Game Results'!Q1526+'Game Results'!Q1652+'Game Results'!Q1670+'Game Results'!Q1922+'Game Results'!Q1904+'Game Results'!Q979+'Game Results'!Q961+'Game Results'!Q439+'Game Results'!Q1706+'Game Results'!Q1688)</f>
        <v>34</v>
      </c>
      <c r="R54" s="85">
        <f>SUM('Game Results'!R97+'Game Results'!R115+'Game Results'!R421+'Game Results'!R878+'Game Results'!R860+'Game Results'!R356+'Game Results'!R374+'Game Results'!R1159+'Game Results'!R1141+'Game Results'!R1508+'Game Results'!R1526+'Game Results'!R1652+'Game Results'!R1670+'Game Results'!R1922+'Game Results'!R1904+'Game Results'!R979+'Game Results'!R961+'Game Results'!R439+'Game Results'!R1706+'Game Results'!R1688)</f>
        <v>172</v>
      </c>
      <c r="S54" s="85">
        <f>SUM('Game Results'!S97+'Game Results'!S115+'Game Results'!S421+'Game Results'!S878+'Game Results'!S860+'Game Results'!S356+'Game Results'!S374+'Game Results'!S1159+'Game Results'!S1141+'Game Results'!S1508+'Game Results'!S1526+'Game Results'!S1652+'Game Results'!S1670+'Game Results'!S1922+'Game Results'!S1904+'Game Results'!S979+'Game Results'!S961+'Game Results'!S439+'Game Results'!S1706+'Game Results'!S1688)</f>
        <v>45</v>
      </c>
      <c r="T54" s="85">
        <f>SUM('Game Results'!T97+'Game Results'!T115+'Game Results'!T421+'Game Results'!T878+'Game Results'!T860+'Game Results'!T356+'Game Results'!T374+'Game Results'!T1159+'Game Results'!T1141+'Game Results'!T1508+'Game Results'!T1526+'Game Results'!T1652+'Game Results'!T1670+'Game Results'!T1922+'Game Results'!T1904+'Game Results'!T979+'Game Results'!T961+'Game Results'!T439+'Game Results'!T1706+'Game Results'!T1688)</f>
        <v>362</v>
      </c>
      <c r="U54" s="85">
        <f>SUM('Game Results'!U97+'Game Results'!U115+'Game Results'!U421+'Game Results'!U878+'Game Results'!U860+'Game Results'!U356+'Game Results'!U374+'Game Results'!U1159+'Game Results'!U1141+'Game Results'!U1508+'Game Results'!U1526+'Game Results'!U1652+'Game Results'!U1670+'Game Results'!U1922+'Game Results'!U1904+'Game Results'!U979+'Game Results'!U961+'Game Results'!U439+'Game Results'!U1706+'Game Results'!U1688)</f>
        <v>66</v>
      </c>
      <c r="V54" s="85">
        <f>SUM('Game Results'!V97+'Game Results'!V115+'Game Results'!V421+'Game Results'!V878+'Game Results'!V860+'Game Results'!V356+'Game Results'!V374+'Game Results'!V1159+'Game Results'!V1141+'Game Results'!V1508+'Game Results'!V1526+'Game Results'!V1652+'Game Results'!V1670+'Game Results'!V1922+'Game Results'!V1904+'Game Results'!V979+'Game Results'!V961+'Game Results'!V439+'Game Results'!V1706+'Game Results'!V1688)</f>
        <v>17</v>
      </c>
      <c r="W54" s="85">
        <f>SUM('Game Results'!W97+'Game Results'!W115+'Game Results'!W421+'Game Results'!W878+'Game Results'!W860+'Game Results'!W356+'Game Results'!W374+'Game Results'!W1159+'Game Results'!W1141+'Game Results'!W1508+'Game Results'!W1526+'Game Results'!W1652+'Game Results'!W1670+'Game Results'!W1922+'Game Results'!W1904+'Game Results'!W979+'Game Results'!W961+'Game Results'!W439+'Game Results'!W1706+'Game Results'!W1688)</f>
        <v>3</v>
      </c>
      <c r="X54" s="85">
        <f>SUM('Game Results'!X97+'Game Results'!X115+'Game Results'!X421+'Game Results'!X878+'Game Results'!X860+'Game Results'!X356+'Game Results'!X374+'Game Results'!X1159+'Game Results'!X1141+'Game Results'!X1508+'Game Results'!X1526+'Game Results'!X1652+'Game Results'!X1670+'Game Results'!X1922+'Game Results'!X1904+'Game Results'!X979+'Game Results'!X961+'Game Results'!X439+'Game Results'!X1706+'Game Results'!X1688)</f>
        <v>0</v>
      </c>
      <c r="Y54" s="85">
        <f>SUM('Game Results'!Y97+'Game Results'!Y115+'Game Results'!Y421+'Game Results'!Y878+'Game Results'!Y860+'Game Results'!Y356+'Game Results'!Y374+'Game Results'!Y1159+'Game Results'!Y1141+'Game Results'!Y1508+'Game Results'!Y1526+'Game Results'!Y1652+'Game Results'!Y1670+'Game Results'!Y1922+'Game Results'!Y1904+'Game Results'!Y979+'Game Results'!Y961+'Game Results'!Y439+'Game Results'!Y1706+'Game Results'!Y1688)</f>
        <v>0</v>
      </c>
      <c r="Z54" s="85">
        <f>SUM('Game Results'!Z97+'Game Results'!Z115+'Game Results'!Z421+'Game Results'!Z878+'Game Results'!Z860+'Game Results'!Z356+'Game Results'!Z374+'Game Results'!Z1159+'Game Results'!Z1141+'Game Results'!Z1508+'Game Results'!Z1526+'Game Results'!Z1652+'Game Results'!Z1670+'Game Results'!Z1922+'Game Results'!Z1904+'Game Results'!Z979+'Game Results'!Z961+'Game Results'!Z439+'Game Results'!Z1706+'Game Results'!Z1688)</f>
        <v>0</v>
      </c>
      <c r="AA54" s="85">
        <f>SUM('Game Results'!AA97+'Game Results'!AA115+'Game Results'!AA421+'Game Results'!AA878+'Game Results'!AA860+'Game Results'!AA356+'Game Results'!AA374+'Game Results'!AA1159+'Game Results'!AA1141+'Game Results'!AA1508+'Game Results'!AA1526+'Game Results'!AA1652+'Game Results'!AA1670+'Game Results'!AA1922+'Game Results'!AA1904+'Game Results'!AA979+'Game Results'!AA961+'Game Results'!AA439+'Game Results'!AA1706+'Game Results'!AA1688)</f>
        <v>0</v>
      </c>
      <c r="AB54" s="85">
        <f>SUM('Game Results'!AB97+'Game Results'!AB115+'Game Results'!AB421+'Game Results'!AB878+'Game Results'!AB860+'Game Results'!AB356+'Game Results'!AB374+'Game Results'!AB1159+'Game Results'!AB1141+'Game Results'!AB1508+'Game Results'!AB1526+'Game Results'!AB1652+'Game Results'!AB1670+'Game Results'!AB1922+'Game Results'!AB1904+'Game Results'!AB979+'Game Results'!AB961+'Game Results'!AB439+'Game Results'!AB1706+'Game Results'!AB1688)</f>
        <v>0</v>
      </c>
      <c r="AC54" s="85">
        <f>SUM('Game Results'!AC97+'Game Results'!AC115+'Game Results'!AC421+'Game Results'!AC878+'Game Results'!AC860+'Game Results'!AC356+'Game Results'!AC374+'Game Results'!AC1159+'Game Results'!AC1141+'Game Results'!AC1508+'Game Results'!AC1526+'Game Results'!AC1652+'Game Results'!AC1670+'Game Results'!AC1922+'Game Results'!AC1904+'Game Results'!AC979+'Game Results'!AC961+'Game Results'!AC439+'Game Results'!AC1706+'Game Results'!AC1688)</f>
        <v>47</v>
      </c>
      <c r="AD54" s="85">
        <f>SUM('Game Results'!AD97+'Game Results'!AD115+'Game Results'!AD421+'Game Results'!AD878+'Game Results'!AD860+'Game Results'!AD356+'Game Results'!AD374+'Game Results'!AD1159+'Game Results'!AD1141+'Game Results'!AD1508+'Game Results'!AD1526+'Game Results'!AD1652+'Game Results'!AD1670+'Game Results'!AD1922+'Game Results'!AD1904+'Game Results'!AD979+'Game Results'!AD961+'Game Results'!AD439+'Game Results'!AD1706+'Game Results'!AD1688)</f>
        <v>0</v>
      </c>
      <c r="AE54" s="85">
        <f>SUM('Game Results'!AE97+'Game Results'!AE115+'Game Results'!AE421+'Game Results'!AE878+'Game Results'!AE860+'Game Results'!AE356+'Game Results'!AE374+'Game Results'!AE1159+'Game Results'!AE1141+'Game Results'!AE1508+'Game Results'!AE1526+'Game Results'!AE1652+'Game Results'!AE1670+'Game Results'!AE1922+'Game Results'!AE1904+'Game Results'!AE979+'Game Results'!AE961+'Game Results'!AE439+'Game Results'!AE1706+'Game Results'!AE1688)</f>
        <v>0</v>
      </c>
      <c r="AF54" s="85">
        <f>SUM('Game Results'!AF97+'Game Results'!AF115+'Game Results'!AF421+'Game Results'!AF878+'Game Results'!AF860+'Game Results'!AF356+'Game Results'!AF374+'Game Results'!AF1159+'Game Results'!AF1141+'Game Results'!AF1508+'Game Results'!AF1526+'Game Results'!AF1652+'Game Results'!AF1670+'Game Results'!AF1922+'Game Results'!AF1904+'Game Results'!AF979+'Game Results'!AF961+'Game Results'!AF439+'Game Results'!AF1706+'Game Results'!AF1688)</f>
        <v>0</v>
      </c>
      <c r="AG54" s="85">
        <f>SUM('Game Results'!AG97+'Game Results'!AG115+'Game Results'!AG421+'Game Results'!AG878+'Game Results'!AG860+'Game Results'!AG356+'Game Results'!AG374+'Game Results'!AG1159+'Game Results'!AG1141+'Game Results'!AG1508+'Game Results'!AG1526+'Game Results'!AG1652+'Game Results'!AG1670+'Game Results'!AG1922+'Game Results'!AG1904+'Game Results'!AG979+'Game Results'!AG961+'Game Results'!AG439+'Game Results'!AG1706+'Game Results'!AG1688)</f>
        <v>1</v>
      </c>
      <c r="AH54" s="85">
        <f>SUM('Game Results'!AH97+'Game Results'!AH115+'Game Results'!AH421+'Game Results'!AH878+'Game Results'!AH860+'Game Results'!AH356+'Game Results'!AH374+'Game Results'!AH1159+'Game Results'!AH1141+'Game Results'!AH1508+'Game Results'!AH1526+'Game Results'!AH1652+'Game Results'!AH1670+'Game Results'!AH1922+'Game Results'!AH1904+'Game Results'!AH979+'Game Results'!AH961+'Game Results'!AH439+'Game Results'!AH1706+'Game Results'!AH1688)</f>
        <v>0</v>
      </c>
    </row>
    <row r="55">
      <c r="A55" s="83" t="s">
        <v>51</v>
      </c>
      <c r="B55" s="84" t="s">
        <v>225</v>
      </c>
      <c r="C55" s="85">
        <f>SUM('Game Results'!C98+'Game Results'!C116+'Game Results'!C422+'Game Results'!C879+'Game Results'!C861+'Game Results'!C357+'Game Results'!C375+'Game Results'!C1160+'Game Results'!C1142+'Game Results'!C1509+'Game Results'!C1527+'Game Results'!C1653+'Game Results'!C1671+'Game Results'!C1923+'Game Results'!C1905+'Game Results'!C980+'Game Results'!C962+'Game Results'!C440+'Game Results'!C1707+'Game Results'!C1689)</f>
        <v>18</v>
      </c>
      <c r="D55" s="85">
        <f>SUM('Game Results'!D98+'Game Results'!D116+'Game Results'!D422+'Game Results'!D879+'Game Results'!D861+'Game Results'!D357+'Game Results'!D375+'Game Results'!D1160+'Game Results'!D1142+'Game Results'!D1509+'Game Results'!D1527+'Game Results'!D1653+'Game Results'!D1671+'Game Results'!D1923+'Game Results'!D1905+'Game Results'!D980+'Game Results'!D962+'Game Results'!D440+'Game Results'!D1707+'Game Results'!D1689)</f>
        <v>6</v>
      </c>
      <c r="E55" s="86">
        <f>SUM('Game Results'!E98+'Game Results'!E116+'Game Results'!E422+'Game Results'!E879+'Game Results'!E861+'Game Results'!E357+'Game Results'!E375+'Game Results'!E1160+'Game Results'!E1142+'Game Results'!E1509+'Game Results'!E1527+'Game Results'!E1653+'Game Results'!E1671+'Game Results'!E1923+'Game Results'!E1905+'Game Results'!E980+'Game Results'!E962+'Game Results'!E440+'Game Results'!E1707+'Game Results'!E1689)</f>
        <v>478.9333333</v>
      </c>
      <c r="F55" s="85">
        <f>SUM('Game Results'!F98+'Game Results'!F116+'Game Results'!F422+'Game Results'!F879+'Game Results'!F861+'Game Results'!F357+'Game Results'!F375+'Game Results'!F1160+'Game Results'!F1142+'Game Results'!F1509+'Game Results'!F1527+'Game Results'!F1653+'Game Results'!F1671+'Game Results'!F1923+'Game Results'!F1905+'Game Results'!F980+'Game Results'!F962+'Game Results'!F440+'Game Results'!F1707+'Game Results'!F1689)</f>
        <v>26</v>
      </c>
      <c r="G55" s="85">
        <f>SUM('Game Results'!G98+'Game Results'!G116+'Game Results'!G422+'Game Results'!G879+'Game Results'!G861+'Game Results'!G357+'Game Results'!G375+'Game Results'!G1160+'Game Results'!G1142+'Game Results'!G1509+'Game Results'!G1527+'Game Results'!G1653+'Game Results'!G1671+'Game Results'!G1923+'Game Results'!G1905+'Game Results'!G980+'Game Results'!G962+'Game Results'!G440+'Game Results'!G1707+'Game Results'!G1689)</f>
        <v>1252</v>
      </c>
      <c r="H55" s="85">
        <f>SUM('Game Results'!H98+'Game Results'!H116+'Game Results'!H422+'Game Results'!H879+'Game Results'!H861+'Game Results'!H357+'Game Results'!H375+'Game Results'!H1160+'Game Results'!H1142+'Game Results'!H1509+'Game Results'!H1527+'Game Results'!H1653+'Game Results'!H1671+'Game Results'!H1923+'Game Results'!H1905+'Game Results'!H980+'Game Results'!H962+'Game Results'!H440+'Game Results'!H1707+'Game Results'!H1689)</f>
        <v>10</v>
      </c>
      <c r="I55" s="85">
        <f>SUM('Game Results'!I98+'Game Results'!I116+'Game Results'!I422+'Game Results'!I879+'Game Results'!I861+'Game Results'!I357+'Game Results'!I375+'Game Results'!I1160+'Game Results'!I1142+'Game Results'!I1509+'Game Results'!I1527+'Game Results'!I1653+'Game Results'!I1671+'Game Results'!I1923+'Game Results'!I1905+'Game Results'!I980+'Game Results'!I962+'Game Results'!I440+'Game Results'!I1707+'Game Results'!I1689)</f>
        <v>1709</v>
      </c>
      <c r="J55" s="85">
        <f>SUM('Game Results'!J98+'Game Results'!J116+'Game Results'!J422+'Game Results'!J879+'Game Results'!J861+'Game Results'!J357+'Game Results'!J375+'Game Results'!J1160+'Game Results'!J1142+'Game Results'!J1509+'Game Results'!J1527+'Game Results'!J1653+'Game Results'!J1671+'Game Results'!J1923+'Game Results'!J1905+'Game Results'!J980+'Game Results'!J962+'Game Results'!J440+'Game Results'!J1707+'Game Results'!J1689)</f>
        <v>-457</v>
      </c>
      <c r="K55" s="87">
        <f t="shared" si="1"/>
        <v>0.7325921592</v>
      </c>
      <c r="L55" s="85">
        <f>SUM('Game Results'!L98+'Game Results'!L116+'Game Results'!L422+'Game Results'!L879+'Game Results'!L861+'Game Results'!L357+'Game Results'!L375+'Game Results'!L1160+'Game Results'!L1142+'Game Results'!L1509+'Game Results'!L1527+'Game Results'!L1653+'Game Results'!L1671+'Game Results'!L1923+'Game Results'!L1905+'Game Results'!L980+'Game Results'!L962+'Game Results'!L440+'Game Results'!L1707+'Game Results'!L1689)</f>
        <v>260</v>
      </c>
      <c r="M55" s="85">
        <f>SUM('Game Results'!M98+'Game Results'!M116+'Game Results'!M422+'Game Results'!M879+'Game Results'!M861+'Game Results'!M357+'Game Results'!M375+'Game Results'!M1160+'Game Results'!M1142+'Game Results'!M1509+'Game Results'!M1527+'Game Results'!M1653+'Game Results'!M1671+'Game Results'!M1923+'Game Results'!M1905+'Game Results'!M980+'Game Results'!M962+'Game Results'!M440+'Game Results'!M1707+'Game Results'!M1689)</f>
        <v>1573</v>
      </c>
      <c r="N55" s="85">
        <f>SUM('Game Results'!N98+'Game Results'!N116+'Game Results'!N422+'Game Results'!N879+'Game Results'!N861+'Game Results'!N357+'Game Results'!N375+'Game Results'!N1160+'Game Results'!N1142+'Game Results'!N1509+'Game Results'!N1527+'Game Results'!N1653+'Game Results'!N1671+'Game Results'!N1923+'Game Results'!N1905+'Game Results'!N980+'Game Results'!N962+'Game Results'!N440+'Game Results'!N1707+'Game Results'!N1689)</f>
        <v>18</v>
      </c>
      <c r="O55" s="88">
        <f>SUM('Game Results'!O98+'Game Results'!O116+'Game Results'!O422+'Game Results'!O879+'Game Results'!O861+'Game Results'!O357+'Game Results'!O375+'Game Results'!O1160+'Game Results'!O1142+'Game Results'!O1509+'Game Results'!O1527+'Game Results'!O1653+'Game Results'!O1671+'Game Results'!O1923+'Game Results'!O1905+'Game Results'!O980+'Game Results'!O962+'Game Results'!O440+'Game Results'!O1707+'Game Results'!O1689)</f>
        <v>478.9333333</v>
      </c>
      <c r="P55" s="85">
        <f>SUM('Game Results'!P98+'Game Results'!P116+'Game Results'!P422+'Game Results'!P879+'Game Results'!P861+'Game Results'!P357+'Game Results'!P375+'Game Results'!P1160+'Game Results'!P1142+'Game Results'!P1509+'Game Results'!P1527+'Game Results'!P1653+'Game Results'!P1671+'Game Results'!P1923+'Game Results'!P1905+'Game Results'!P980+'Game Results'!P962+'Game Results'!P440+'Game Results'!P1707+'Game Results'!P1689)</f>
        <v>70</v>
      </c>
      <c r="Q55" s="85">
        <f>SUM('Game Results'!Q98+'Game Results'!Q116+'Game Results'!Q422+'Game Results'!Q879+'Game Results'!Q861+'Game Results'!Q357+'Game Results'!Q375+'Game Results'!Q1160+'Game Results'!Q1142+'Game Results'!Q1509+'Game Results'!Q1527+'Game Results'!Q1653+'Game Results'!Q1671+'Game Results'!Q1923+'Game Results'!Q1905+'Game Results'!Q980+'Game Results'!Q962+'Game Results'!Q440+'Game Results'!Q1707+'Game Results'!Q1689)</f>
        <v>39</v>
      </c>
      <c r="R55" s="85">
        <f>SUM('Game Results'!R98+'Game Results'!R116+'Game Results'!R422+'Game Results'!R879+'Game Results'!R861+'Game Results'!R357+'Game Results'!R375+'Game Results'!R1160+'Game Results'!R1142+'Game Results'!R1509+'Game Results'!R1527+'Game Results'!R1653+'Game Results'!R1671+'Game Results'!R1923+'Game Results'!R1905+'Game Results'!R980+'Game Results'!R962+'Game Results'!R440+'Game Results'!R1707+'Game Results'!R1689)</f>
        <v>37</v>
      </c>
      <c r="S55" s="85">
        <f>SUM('Game Results'!S98+'Game Results'!S116+'Game Results'!S422+'Game Results'!S879+'Game Results'!S861+'Game Results'!S357+'Game Results'!S375+'Game Results'!S1160+'Game Results'!S1142+'Game Results'!S1509+'Game Results'!S1527+'Game Results'!S1653+'Game Results'!S1671+'Game Results'!S1923+'Game Results'!S1905+'Game Results'!S980+'Game Results'!S962+'Game Results'!S440+'Game Results'!S1707+'Game Results'!S1689)</f>
        <v>30</v>
      </c>
      <c r="T55" s="85">
        <f>SUM('Game Results'!T98+'Game Results'!T116+'Game Results'!T422+'Game Results'!T879+'Game Results'!T861+'Game Results'!T357+'Game Results'!T375+'Game Results'!T1160+'Game Results'!T1142+'Game Results'!T1509+'Game Results'!T1527+'Game Results'!T1653+'Game Results'!T1671+'Game Results'!T1923+'Game Results'!T1905+'Game Results'!T980+'Game Results'!T962+'Game Results'!T440+'Game Results'!T1707+'Game Results'!T1689)</f>
        <v>143</v>
      </c>
      <c r="U55" s="85">
        <f>SUM('Game Results'!U98+'Game Results'!U116+'Game Results'!U422+'Game Results'!U879+'Game Results'!U861+'Game Results'!U357+'Game Results'!U375+'Game Results'!U1160+'Game Results'!U1142+'Game Results'!U1509+'Game Results'!U1527+'Game Results'!U1653+'Game Results'!U1671+'Game Results'!U1923+'Game Results'!U1905+'Game Results'!U980+'Game Results'!U962+'Game Results'!U440+'Game Results'!U1707+'Game Results'!U1689)</f>
        <v>19</v>
      </c>
      <c r="V55" s="85">
        <f>SUM('Game Results'!V98+'Game Results'!V116+'Game Results'!V422+'Game Results'!V879+'Game Results'!V861+'Game Results'!V357+'Game Results'!V375+'Game Results'!V1160+'Game Results'!V1142+'Game Results'!V1509+'Game Results'!V1527+'Game Results'!V1653+'Game Results'!V1671+'Game Results'!V1923+'Game Results'!V1905+'Game Results'!V980+'Game Results'!V962+'Game Results'!V440+'Game Results'!V1707+'Game Results'!V1689)</f>
        <v>6</v>
      </c>
      <c r="W55" s="85">
        <f>SUM('Game Results'!W98+'Game Results'!W116+'Game Results'!W422+'Game Results'!W879+'Game Results'!W861+'Game Results'!W357+'Game Results'!W375+'Game Results'!W1160+'Game Results'!W1142+'Game Results'!W1509+'Game Results'!W1527+'Game Results'!W1653+'Game Results'!W1671+'Game Results'!W1923+'Game Results'!W1905+'Game Results'!W980+'Game Results'!W962+'Game Results'!W440+'Game Results'!W1707+'Game Results'!W1689)</f>
        <v>0</v>
      </c>
      <c r="X55" s="85">
        <f>SUM('Game Results'!X98+'Game Results'!X116+'Game Results'!X422+'Game Results'!X879+'Game Results'!X861+'Game Results'!X357+'Game Results'!X375+'Game Results'!X1160+'Game Results'!X1142+'Game Results'!X1509+'Game Results'!X1527+'Game Results'!X1653+'Game Results'!X1671+'Game Results'!X1923+'Game Results'!X1905+'Game Results'!X980+'Game Results'!X962+'Game Results'!X440+'Game Results'!X1707+'Game Results'!X1689)</f>
        <v>0</v>
      </c>
      <c r="Y55" s="85">
        <f>SUM('Game Results'!Y98+'Game Results'!Y116+'Game Results'!Y422+'Game Results'!Y879+'Game Results'!Y861+'Game Results'!Y357+'Game Results'!Y375+'Game Results'!Y1160+'Game Results'!Y1142+'Game Results'!Y1509+'Game Results'!Y1527+'Game Results'!Y1653+'Game Results'!Y1671+'Game Results'!Y1923+'Game Results'!Y1905+'Game Results'!Y980+'Game Results'!Y962+'Game Results'!Y440+'Game Results'!Y1707+'Game Results'!Y1689)</f>
        <v>0</v>
      </c>
      <c r="Z55" s="85">
        <f>SUM('Game Results'!Z98+'Game Results'!Z116+'Game Results'!Z422+'Game Results'!Z879+'Game Results'!Z861+'Game Results'!Z357+'Game Results'!Z375+'Game Results'!Z1160+'Game Results'!Z1142+'Game Results'!Z1509+'Game Results'!Z1527+'Game Results'!Z1653+'Game Results'!Z1671+'Game Results'!Z1923+'Game Results'!Z1905+'Game Results'!Z980+'Game Results'!Z962+'Game Results'!Z440+'Game Results'!Z1707+'Game Results'!Z1689)</f>
        <v>0</v>
      </c>
      <c r="AA55" s="85">
        <f>SUM('Game Results'!AA98+'Game Results'!AA116+'Game Results'!AA422+'Game Results'!AA879+'Game Results'!AA861+'Game Results'!AA357+'Game Results'!AA375+'Game Results'!AA1160+'Game Results'!AA1142+'Game Results'!AA1509+'Game Results'!AA1527+'Game Results'!AA1653+'Game Results'!AA1671+'Game Results'!AA1923+'Game Results'!AA1905+'Game Results'!AA980+'Game Results'!AA962+'Game Results'!AA440+'Game Results'!AA1707+'Game Results'!AA1689)</f>
        <v>0</v>
      </c>
      <c r="AB55" s="85">
        <f>SUM('Game Results'!AB98+'Game Results'!AB116+'Game Results'!AB422+'Game Results'!AB879+'Game Results'!AB861+'Game Results'!AB357+'Game Results'!AB375+'Game Results'!AB1160+'Game Results'!AB1142+'Game Results'!AB1509+'Game Results'!AB1527+'Game Results'!AB1653+'Game Results'!AB1671+'Game Results'!AB1923+'Game Results'!AB1905+'Game Results'!AB980+'Game Results'!AB962+'Game Results'!AB440+'Game Results'!AB1707+'Game Results'!AB1689)</f>
        <v>0</v>
      </c>
      <c r="AC55" s="85">
        <f>SUM('Game Results'!AC98+'Game Results'!AC116+'Game Results'!AC422+'Game Results'!AC879+'Game Results'!AC861+'Game Results'!AC357+'Game Results'!AC375+'Game Results'!AC1160+'Game Results'!AC1142+'Game Results'!AC1509+'Game Results'!AC1527+'Game Results'!AC1653+'Game Results'!AC1671+'Game Results'!AC1923+'Game Results'!AC1905+'Game Results'!AC980+'Game Results'!AC962+'Game Results'!AC440+'Game Results'!AC1707+'Game Results'!AC1689)</f>
        <v>16</v>
      </c>
      <c r="AD55" s="85">
        <f>SUM('Game Results'!AD98+'Game Results'!AD116+'Game Results'!AD422+'Game Results'!AD879+'Game Results'!AD861+'Game Results'!AD357+'Game Results'!AD375+'Game Results'!AD1160+'Game Results'!AD1142+'Game Results'!AD1509+'Game Results'!AD1527+'Game Results'!AD1653+'Game Results'!AD1671+'Game Results'!AD1923+'Game Results'!AD1905+'Game Results'!AD980+'Game Results'!AD962+'Game Results'!AD440+'Game Results'!AD1707+'Game Results'!AD1689)</f>
        <v>0</v>
      </c>
      <c r="AE55" s="85">
        <f>SUM('Game Results'!AE98+'Game Results'!AE116+'Game Results'!AE422+'Game Results'!AE879+'Game Results'!AE861+'Game Results'!AE357+'Game Results'!AE375+'Game Results'!AE1160+'Game Results'!AE1142+'Game Results'!AE1509+'Game Results'!AE1527+'Game Results'!AE1653+'Game Results'!AE1671+'Game Results'!AE1923+'Game Results'!AE1905+'Game Results'!AE980+'Game Results'!AE962+'Game Results'!AE440+'Game Results'!AE1707+'Game Results'!AE1689)</f>
        <v>0</v>
      </c>
      <c r="AF55" s="85">
        <f>SUM('Game Results'!AF98+'Game Results'!AF116+'Game Results'!AF422+'Game Results'!AF879+'Game Results'!AF861+'Game Results'!AF357+'Game Results'!AF375+'Game Results'!AF1160+'Game Results'!AF1142+'Game Results'!AF1509+'Game Results'!AF1527+'Game Results'!AF1653+'Game Results'!AF1671+'Game Results'!AF1923+'Game Results'!AF1905+'Game Results'!AF980+'Game Results'!AF962+'Game Results'!AF440+'Game Results'!AF1707+'Game Results'!AF1689)</f>
        <v>0</v>
      </c>
      <c r="AG55" s="85">
        <f>SUM('Game Results'!AG98+'Game Results'!AG116+'Game Results'!AG422+'Game Results'!AG879+'Game Results'!AG861+'Game Results'!AG357+'Game Results'!AG375+'Game Results'!AG1160+'Game Results'!AG1142+'Game Results'!AG1509+'Game Results'!AG1527+'Game Results'!AG1653+'Game Results'!AG1671+'Game Results'!AG1923+'Game Results'!AG1905+'Game Results'!AG980+'Game Results'!AG962+'Game Results'!AG440+'Game Results'!AG1707+'Game Results'!AG1689)</f>
        <v>0</v>
      </c>
      <c r="AH55" s="85">
        <f>SUM('Game Results'!AH98+'Game Results'!AH116+'Game Results'!AH422+'Game Results'!AH879+'Game Results'!AH861+'Game Results'!AH357+'Game Results'!AH375+'Game Results'!AH1160+'Game Results'!AH1142+'Game Results'!AH1509+'Game Results'!AH1527+'Game Results'!AH1653+'Game Results'!AH1671+'Game Results'!AH1923+'Game Results'!AH1905+'Game Results'!AH980+'Game Results'!AH962+'Game Results'!AH440+'Game Results'!AH1707+'Game Results'!AH1689)</f>
        <v>2</v>
      </c>
    </row>
    <row r="56">
      <c r="A56" s="83" t="s">
        <v>51</v>
      </c>
      <c r="B56" s="84" t="s">
        <v>226</v>
      </c>
      <c r="C56" s="85">
        <f>SUM('Game Results'!C99+'Game Results'!C117+'Game Results'!C423+'Game Results'!C880+'Game Results'!C862+'Game Results'!C358+'Game Results'!C376+'Game Results'!C1161+'Game Results'!C1143+'Game Results'!C1510+'Game Results'!C1528+'Game Results'!C1654+'Game Results'!C1672+'Game Results'!C1924+'Game Results'!C1906+'Game Results'!C981+'Game Results'!C963+'Game Results'!C441+'Game Results'!C1708+'Game Results'!C1690)</f>
        <v>0</v>
      </c>
      <c r="D56" s="85">
        <f>SUM('Game Results'!D99+'Game Results'!D117+'Game Results'!D423+'Game Results'!D880+'Game Results'!D862+'Game Results'!D358+'Game Results'!D376+'Game Results'!D1161+'Game Results'!D1143+'Game Results'!D1510+'Game Results'!D1528+'Game Results'!D1654+'Game Results'!D1672+'Game Results'!D1924+'Game Results'!D1906+'Game Results'!D981+'Game Results'!D963+'Game Results'!D441+'Game Results'!D1708+'Game Results'!D1690)</f>
        <v>0</v>
      </c>
      <c r="E56" s="86">
        <f>SUM('Game Results'!E99+'Game Results'!E117+'Game Results'!E423+'Game Results'!E880+'Game Results'!E862+'Game Results'!E358+'Game Results'!E376+'Game Results'!E1161+'Game Results'!E1143+'Game Results'!E1510+'Game Results'!E1528+'Game Results'!E1654+'Game Results'!E1672+'Game Results'!E1924+'Game Results'!E1906+'Game Results'!E981+'Game Results'!E963+'Game Results'!E441+'Game Results'!E1708+'Game Results'!E1690)</f>
        <v>0</v>
      </c>
      <c r="F56" s="85">
        <f>SUM('Game Results'!F99+'Game Results'!F117+'Game Results'!F423+'Game Results'!F880+'Game Results'!F862+'Game Results'!F358+'Game Results'!F376+'Game Results'!F1161+'Game Results'!F1143+'Game Results'!F1510+'Game Results'!F1528+'Game Results'!F1654+'Game Results'!F1672+'Game Results'!F1924+'Game Results'!F1906+'Game Results'!F981+'Game Results'!F963+'Game Results'!F441+'Game Results'!F1708+'Game Results'!F1690)</f>
        <v>0</v>
      </c>
      <c r="G56" s="85">
        <f>SUM('Game Results'!G99+'Game Results'!G117+'Game Results'!G423+'Game Results'!G880+'Game Results'!G862+'Game Results'!G358+'Game Results'!G376+'Game Results'!G1161+'Game Results'!G1143+'Game Results'!G1510+'Game Results'!G1528+'Game Results'!G1654+'Game Results'!G1672+'Game Results'!G1924+'Game Results'!G1906+'Game Results'!G981+'Game Results'!G963+'Game Results'!G441+'Game Results'!G1708+'Game Results'!G1690)</f>
        <v>0</v>
      </c>
      <c r="H56" s="85">
        <f>SUM('Game Results'!H99+'Game Results'!H117+'Game Results'!H423+'Game Results'!H880+'Game Results'!H862+'Game Results'!H358+'Game Results'!H376+'Game Results'!H1161+'Game Results'!H1143+'Game Results'!H1510+'Game Results'!H1528+'Game Results'!H1654+'Game Results'!H1672+'Game Results'!H1924+'Game Results'!H1906+'Game Results'!H981+'Game Results'!H963+'Game Results'!H441+'Game Results'!H1708+'Game Results'!H1690)</f>
        <v>0</v>
      </c>
      <c r="I56" s="85">
        <f>SUM('Game Results'!I99+'Game Results'!I117+'Game Results'!I423+'Game Results'!I880+'Game Results'!I862+'Game Results'!I358+'Game Results'!I376+'Game Results'!I1161+'Game Results'!I1143+'Game Results'!I1510+'Game Results'!I1528+'Game Results'!I1654+'Game Results'!I1672+'Game Results'!I1924+'Game Results'!I1906+'Game Results'!I981+'Game Results'!I963+'Game Results'!I441+'Game Results'!I1708+'Game Results'!I1690)</f>
        <v>0</v>
      </c>
      <c r="J56" s="85">
        <f>SUM('Game Results'!J99+'Game Results'!J117+'Game Results'!J423+'Game Results'!J880+'Game Results'!J862+'Game Results'!J358+'Game Results'!J376+'Game Results'!J1161+'Game Results'!J1143+'Game Results'!J1510+'Game Results'!J1528+'Game Results'!J1654+'Game Results'!J1672+'Game Results'!J1924+'Game Results'!J1906+'Game Results'!J981+'Game Results'!J963+'Game Results'!J441+'Game Results'!J1708+'Game Results'!J1690)</f>
        <v>0</v>
      </c>
      <c r="K56" s="87" t="str">
        <f t="shared" si="1"/>
        <v>#DIV/0!</v>
      </c>
      <c r="L56" s="85">
        <f>SUM('Game Results'!L99+'Game Results'!L117+'Game Results'!L423+'Game Results'!L880+'Game Results'!L862+'Game Results'!L358+'Game Results'!L376+'Game Results'!L1161+'Game Results'!L1143+'Game Results'!L1510+'Game Results'!L1528+'Game Results'!L1654+'Game Results'!L1672+'Game Results'!L1924+'Game Results'!L1906+'Game Results'!L981+'Game Results'!L963+'Game Results'!L441+'Game Results'!L1708+'Game Results'!L1690)</f>
        <v>0</v>
      </c>
      <c r="M56" s="85">
        <f>SUM('Game Results'!M99+'Game Results'!M117+'Game Results'!M423+'Game Results'!M880+'Game Results'!M862+'Game Results'!M358+'Game Results'!M376+'Game Results'!M1161+'Game Results'!M1143+'Game Results'!M1510+'Game Results'!M1528+'Game Results'!M1654+'Game Results'!M1672+'Game Results'!M1924+'Game Results'!M1906+'Game Results'!M981+'Game Results'!M963+'Game Results'!M441+'Game Results'!M1708+'Game Results'!M1690)</f>
        <v>0</v>
      </c>
      <c r="N56" s="85">
        <f>SUM('Game Results'!N99+'Game Results'!N117+'Game Results'!N423+'Game Results'!N880+'Game Results'!N862+'Game Results'!N358+'Game Results'!N376+'Game Results'!N1161+'Game Results'!N1143+'Game Results'!N1510+'Game Results'!N1528+'Game Results'!N1654+'Game Results'!N1672+'Game Results'!N1924+'Game Results'!N1906+'Game Results'!N981+'Game Results'!N963+'Game Results'!N441+'Game Results'!N1708+'Game Results'!N1690)</f>
        <v>0</v>
      </c>
      <c r="O56" s="88">
        <f>SUM('Game Results'!O99+'Game Results'!O117+'Game Results'!O423+'Game Results'!O880+'Game Results'!O862+'Game Results'!O358+'Game Results'!O376+'Game Results'!O1161+'Game Results'!O1143+'Game Results'!O1510+'Game Results'!O1528+'Game Results'!O1654+'Game Results'!O1672+'Game Results'!O1924+'Game Results'!O1906+'Game Results'!O981+'Game Results'!O963+'Game Results'!O441+'Game Results'!O1708+'Game Results'!O1690)</f>
        <v>0</v>
      </c>
      <c r="P56" s="85">
        <f>SUM('Game Results'!P99+'Game Results'!P117+'Game Results'!P423+'Game Results'!P880+'Game Results'!P862+'Game Results'!P358+'Game Results'!P376+'Game Results'!P1161+'Game Results'!P1143+'Game Results'!P1510+'Game Results'!P1528+'Game Results'!P1654+'Game Results'!P1672+'Game Results'!P1924+'Game Results'!P1906+'Game Results'!P981+'Game Results'!P963+'Game Results'!P441+'Game Results'!P1708+'Game Results'!P1690)</f>
        <v>0</v>
      </c>
      <c r="Q56" s="85">
        <f>SUM('Game Results'!Q99+'Game Results'!Q117+'Game Results'!Q423+'Game Results'!Q880+'Game Results'!Q862+'Game Results'!Q358+'Game Results'!Q376+'Game Results'!Q1161+'Game Results'!Q1143+'Game Results'!Q1510+'Game Results'!Q1528+'Game Results'!Q1654+'Game Results'!Q1672+'Game Results'!Q1924+'Game Results'!Q1906+'Game Results'!Q981+'Game Results'!Q963+'Game Results'!Q441+'Game Results'!Q1708+'Game Results'!Q1690)</f>
        <v>0</v>
      </c>
      <c r="R56" s="85">
        <f>SUM('Game Results'!R99+'Game Results'!R117+'Game Results'!R423+'Game Results'!R880+'Game Results'!R862+'Game Results'!R358+'Game Results'!R376+'Game Results'!R1161+'Game Results'!R1143+'Game Results'!R1510+'Game Results'!R1528+'Game Results'!R1654+'Game Results'!R1672+'Game Results'!R1924+'Game Results'!R1906+'Game Results'!R981+'Game Results'!R963+'Game Results'!R441+'Game Results'!R1708+'Game Results'!R1690)</f>
        <v>0</v>
      </c>
      <c r="S56" s="85">
        <f>SUM('Game Results'!S99+'Game Results'!S117+'Game Results'!S423+'Game Results'!S880+'Game Results'!S862+'Game Results'!S358+'Game Results'!S376+'Game Results'!S1161+'Game Results'!S1143+'Game Results'!S1510+'Game Results'!S1528+'Game Results'!S1654+'Game Results'!S1672+'Game Results'!S1924+'Game Results'!S1906+'Game Results'!S981+'Game Results'!S963+'Game Results'!S441+'Game Results'!S1708+'Game Results'!S1690)</f>
        <v>0</v>
      </c>
      <c r="T56" s="85">
        <f>SUM('Game Results'!T99+'Game Results'!T117+'Game Results'!T423+'Game Results'!T880+'Game Results'!T862+'Game Results'!T358+'Game Results'!T376+'Game Results'!T1161+'Game Results'!T1143+'Game Results'!T1510+'Game Results'!T1528+'Game Results'!T1654+'Game Results'!T1672+'Game Results'!T1924+'Game Results'!T1906+'Game Results'!T981+'Game Results'!T963+'Game Results'!T441+'Game Results'!T1708+'Game Results'!T1690)</f>
        <v>0</v>
      </c>
      <c r="U56" s="85">
        <f>SUM('Game Results'!U99+'Game Results'!U117+'Game Results'!U423+'Game Results'!U880+'Game Results'!U862+'Game Results'!U358+'Game Results'!U376+'Game Results'!U1161+'Game Results'!U1143+'Game Results'!U1510+'Game Results'!U1528+'Game Results'!U1654+'Game Results'!U1672+'Game Results'!U1924+'Game Results'!U1906+'Game Results'!U981+'Game Results'!U963+'Game Results'!U441+'Game Results'!U1708+'Game Results'!U1690)</f>
        <v>0</v>
      </c>
      <c r="V56" s="85">
        <f>SUM('Game Results'!V99+'Game Results'!V117+'Game Results'!V423+'Game Results'!V880+'Game Results'!V862+'Game Results'!V358+'Game Results'!V376+'Game Results'!V1161+'Game Results'!V1143+'Game Results'!V1510+'Game Results'!V1528+'Game Results'!V1654+'Game Results'!V1672+'Game Results'!V1924+'Game Results'!V1906+'Game Results'!V981+'Game Results'!V963+'Game Results'!V441+'Game Results'!V1708+'Game Results'!V1690)</f>
        <v>0</v>
      </c>
      <c r="W56" s="85">
        <f>SUM('Game Results'!W99+'Game Results'!W117+'Game Results'!W423+'Game Results'!W880+'Game Results'!W862+'Game Results'!W358+'Game Results'!W376+'Game Results'!W1161+'Game Results'!W1143+'Game Results'!W1510+'Game Results'!W1528+'Game Results'!W1654+'Game Results'!W1672+'Game Results'!W1924+'Game Results'!W1906+'Game Results'!W981+'Game Results'!W963+'Game Results'!W441+'Game Results'!W1708+'Game Results'!W1690)</f>
        <v>0</v>
      </c>
      <c r="X56" s="85">
        <f>SUM('Game Results'!X99+'Game Results'!X117+'Game Results'!X423+'Game Results'!X880+'Game Results'!X862+'Game Results'!X358+'Game Results'!X376+'Game Results'!X1161+'Game Results'!X1143+'Game Results'!X1510+'Game Results'!X1528+'Game Results'!X1654+'Game Results'!X1672+'Game Results'!X1924+'Game Results'!X1906+'Game Results'!X981+'Game Results'!X963+'Game Results'!X441+'Game Results'!X1708+'Game Results'!X1690)</f>
        <v>0</v>
      </c>
      <c r="Y56" s="85">
        <f>SUM('Game Results'!Y99+'Game Results'!Y117+'Game Results'!Y423+'Game Results'!Y880+'Game Results'!Y862+'Game Results'!Y358+'Game Results'!Y376+'Game Results'!Y1161+'Game Results'!Y1143+'Game Results'!Y1510+'Game Results'!Y1528+'Game Results'!Y1654+'Game Results'!Y1672+'Game Results'!Y1924+'Game Results'!Y1906+'Game Results'!Y981+'Game Results'!Y963+'Game Results'!Y441+'Game Results'!Y1708+'Game Results'!Y1690)</f>
        <v>0</v>
      </c>
      <c r="Z56" s="85">
        <f>SUM('Game Results'!Z99+'Game Results'!Z117+'Game Results'!Z423+'Game Results'!Z880+'Game Results'!Z862+'Game Results'!Z358+'Game Results'!Z376+'Game Results'!Z1161+'Game Results'!Z1143+'Game Results'!Z1510+'Game Results'!Z1528+'Game Results'!Z1654+'Game Results'!Z1672+'Game Results'!Z1924+'Game Results'!Z1906+'Game Results'!Z981+'Game Results'!Z963+'Game Results'!Z441+'Game Results'!Z1708+'Game Results'!Z1690)</f>
        <v>0</v>
      </c>
      <c r="AA56" s="85">
        <f>SUM('Game Results'!AA99+'Game Results'!AA117+'Game Results'!AA423+'Game Results'!AA880+'Game Results'!AA862+'Game Results'!AA358+'Game Results'!AA376+'Game Results'!AA1161+'Game Results'!AA1143+'Game Results'!AA1510+'Game Results'!AA1528+'Game Results'!AA1654+'Game Results'!AA1672+'Game Results'!AA1924+'Game Results'!AA1906+'Game Results'!AA981+'Game Results'!AA963+'Game Results'!AA441+'Game Results'!AA1708+'Game Results'!AA1690)</f>
        <v>0</v>
      </c>
      <c r="AB56" s="85">
        <f>SUM('Game Results'!AB99+'Game Results'!AB117+'Game Results'!AB423+'Game Results'!AB880+'Game Results'!AB862+'Game Results'!AB358+'Game Results'!AB376+'Game Results'!AB1161+'Game Results'!AB1143+'Game Results'!AB1510+'Game Results'!AB1528+'Game Results'!AB1654+'Game Results'!AB1672+'Game Results'!AB1924+'Game Results'!AB1906+'Game Results'!AB981+'Game Results'!AB963+'Game Results'!AB441+'Game Results'!AB1708+'Game Results'!AB1690)</f>
        <v>0</v>
      </c>
      <c r="AC56" s="85">
        <f>SUM('Game Results'!AC99+'Game Results'!AC117+'Game Results'!AC423+'Game Results'!AC880+'Game Results'!AC862+'Game Results'!AC358+'Game Results'!AC376+'Game Results'!AC1161+'Game Results'!AC1143+'Game Results'!AC1510+'Game Results'!AC1528+'Game Results'!AC1654+'Game Results'!AC1672+'Game Results'!AC1924+'Game Results'!AC1906+'Game Results'!AC981+'Game Results'!AC963+'Game Results'!AC441+'Game Results'!AC1708+'Game Results'!AC1690)</f>
        <v>0</v>
      </c>
      <c r="AD56" s="85">
        <f>SUM('Game Results'!AD99+'Game Results'!AD117+'Game Results'!AD423+'Game Results'!AD880+'Game Results'!AD862+'Game Results'!AD358+'Game Results'!AD376+'Game Results'!AD1161+'Game Results'!AD1143+'Game Results'!AD1510+'Game Results'!AD1528+'Game Results'!AD1654+'Game Results'!AD1672+'Game Results'!AD1924+'Game Results'!AD1906+'Game Results'!AD981+'Game Results'!AD963+'Game Results'!AD441+'Game Results'!AD1708+'Game Results'!AD1690)</f>
        <v>0</v>
      </c>
      <c r="AE56" s="85">
        <f>SUM('Game Results'!AE99+'Game Results'!AE117+'Game Results'!AE423+'Game Results'!AE880+'Game Results'!AE862+'Game Results'!AE358+'Game Results'!AE376+'Game Results'!AE1161+'Game Results'!AE1143+'Game Results'!AE1510+'Game Results'!AE1528+'Game Results'!AE1654+'Game Results'!AE1672+'Game Results'!AE1924+'Game Results'!AE1906+'Game Results'!AE981+'Game Results'!AE963+'Game Results'!AE441+'Game Results'!AE1708+'Game Results'!AE1690)</f>
        <v>0</v>
      </c>
      <c r="AF56" s="85">
        <f>SUM('Game Results'!AF99+'Game Results'!AF117+'Game Results'!AF423+'Game Results'!AF880+'Game Results'!AF862+'Game Results'!AF358+'Game Results'!AF376+'Game Results'!AF1161+'Game Results'!AF1143+'Game Results'!AF1510+'Game Results'!AF1528+'Game Results'!AF1654+'Game Results'!AF1672+'Game Results'!AF1924+'Game Results'!AF1906+'Game Results'!AF981+'Game Results'!AF963+'Game Results'!AF441+'Game Results'!AF1708+'Game Results'!AF1690)</f>
        <v>0</v>
      </c>
      <c r="AG56" s="85">
        <f>SUM('Game Results'!AG99+'Game Results'!AG117+'Game Results'!AG423+'Game Results'!AG880+'Game Results'!AG862+'Game Results'!AG358+'Game Results'!AG376+'Game Results'!AG1161+'Game Results'!AG1143+'Game Results'!AG1510+'Game Results'!AG1528+'Game Results'!AG1654+'Game Results'!AG1672+'Game Results'!AG1924+'Game Results'!AG1906+'Game Results'!AG981+'Game Results'!AG963+'Game Results'!AG441+'Game Results'!AG1708+'Game Results'!AG1690)</f>
        <v>0</v>
      </c>
      <c r="AH56" s="85">
        <f>SUM('Game Results'!AH99+'Game Results'!AH117+'Game Results'!AH423+'Game Results'!AH880+'Game Results'!AH862+'Game Results'!AH358+'Game Results'!AH376+'Game Results'!AH1161+'Game Results'!AH1143+'Game Results'!AH1510+'Game Results'!AH1528+'Game Results'!AH1654+'Game Results'!AH1672+'Game Results'!AH1924+'Game Results'!AH1906+'Game Results'!AH981+'Game Results'!AH963+'Game Results'!AH441+'Game Results'!AH1708+'Game Results'!AH1690)</f>
        <v>0</v>
      </c>
    </row>
    <row r="57">
      <c r="A57" s="83" t="s">
        <v>51</v>
      </c>
      <c r="B57" s="84" t="s">
        <v>189</v>
      </c>
      <c r="C57" s="85">
        <f>SUM('Game Results'!C100+'Game Results'!C118+'Game Results'!C424+'Game Results'!C881+'Game Results'!C863+'Game Results'!C359+'Game Results'!C377+'Game Results'!C1162+'Game Results'!C1144+'Game Results'!C1511+'Game Results'!C1529+'Game Results'!C1655+'Game Results'!C1673+'Game Results'!C1925+'Game Results'!C1907+'Game Results'!C982+'Game Results'!C964+'Game Results'!C442+'Game Results'!C1709+'Game Results'!C1691)</f>
        <v>2</v>
      </c>
      <c r="D57" s="85">
        <f>SUM('Game Results'!D100+'Game Results'!D118+'Game Results'!D424+'Game Results'!D881+'Game Results'!D863+'Game Results'!D359+'Game Results'!D377+'Game Results'!D1162+'Game Results'!D1144+'Game Results'!D1511+'Game Results'!D1529+'Game Results'!D1655+'Game Results'!D1673+'Game Results'!D1925+'Game Results'!D1907+'Game Results'!D982+'Game Results'!D964+'Game Results'!D442+'Game Results'!D1709+'Game Results'!D1691)</f>
        <v>0</v>
      </c>
      <c r="E57" s="86">
        <f>SUM('Game Results'!E100+'Game Results'!E118+'Game Results'!E424+'Game Results'!E881+'Game Results'!E863+'Game Results'!E359+'Game Results'!E377+'Game Results'!E1162+'Game Results'!E1144+'Game Results'!E1511+'Game Results'!E1529+'Game Results'!E1655+'Game Results'!E1673+'Game Results'!E1925+'Game Results'!E1907+'Game Results'!E982+'Game Results'!E964+'Game Results'!E442+'Game Results'!E1709+'Game Results'!E1691)</f>
        <v>82</v>
      </c>
      <c r="F57" s="85">
        <f>SUM('Game Results'!F100+'Game Results'!F118+'Game Results'!F424+'Game Results'!F881+'Game Results'!F863+'Game Results'!F359+'Game Results'!F377+'Game Results'!F1162+'Game Results'!F1144+'Game Results'!F1511+'Game Results'!F1529+'Game Results'!F1655+'Game Results'!F1673+'Game Results'!F1925+'Game Results'!F1907+'Game Results'!F982+'Game Results'!F964+'Game Results'!F442+'Game Results'!F1709+'Game Results'!F1691)</f>
        <v>1</v>
      </c>
      <c r="G57" s="85">
        <f>SUM('Game Results'!G100+'Game Results'!G118+'Game Results'!G424+'Game Results'!G881+'Game Results'!G863+'Game Results'!G359+'Game Results'!G377+'Game Results'!G1162+'Game Results'!G1144+'Game Results'!G1511+'Game Results'!G1529+'Game Results'!G1655+'Game Results'!G1673+'Game Results'!G1925+'Game Results'!G1907+'Game Results'!G982+'Game Results'!G964+'Game Results'!G442+'Game Results'!G1709+'Game Results'!G1691)</f>
        <v>244</v>
      </c>
      <c r="H57" s="85">
        <f>SUM('Game Results'!H100+'Game Results'!H118+'Game Results'!H424+'Game Results'!H881+'Game Results'!H863+'Game Results'!H359+'Game Results'!H377+'Game Results'!H1162+'Game Results'!H1144+'Game Results'!H1511+'Game Results'!H1529+'Game Results'!H1655+'Game Results'!H1673+'Game Results'!H1925+'Game Results'!H1907+'Game Results'!H982+'Game Results'!H964+'Game Results'!H442+'Game Results'!H1709+'Game Results'!H1691)</f>
        <v>3</v>
      </c>
      <c r="I57" s="85">
        <f>SUM('Game Results'!I100+'Game Results'!I118+'Game Results'!I424+'Game Results'!I881+'Game Results'!I863+'Game Results'!I359+'Game Results'!I377+'Game Results'!I1162+'Game Results'!I1144+'Game Results'!I1511+'Game Results'!I1529+'Game Results'!I1655+'Game Results'!I1673+'Game Results'!I1925+'Game Results'!I1907+'Game Results'!I982+'Game Results'!I964+'Game Results'!I442+'Game Results'!I1709+'Game Results'!I1691)</f>
        <v>275</v>
      </c>
      <c r="J57" s="85">
        <f>SUM('Game Results'!J100+'Game Results'!J118+'Game Results'!J424+'Game Results'!J881+'Game Results'!J863+'Game Results'!J359+'Game Results'!J377+'Game Results'!J1162+'Game Results'!J1144+'Game Results'!J1511+'Game Results'!J1529+'Game Results'!J1655+'Game Results'!J1673+'Game Results'!J1925+'Game Results'!J1907+'Game Results'!J982+'Game Results'!J964+'Game Results'!J442+'Game Results'!J1709+'Game Results'!J1691)</f>
        <v>-31</v>
      </c>
      <c r="K57" s="87">
        <f t="shared" si="1"/>
        <v>0.8872727273</v>
      </c>
      <c r="L57" s="85">
        <f>SUM('Game Results'!L100+'Game Results'!L118+'Game Results'!L424+'Game Results'!L881+'Game Results'!L863+'Game Results'!L359+'Game Results'!L377+'Game Results'!L1162+'Game Results'!L1144+'Game Results'!L1511+'Game Results'!L1529+'Game Results'!L1655+'Game Results'!L1673+'Game Results'!L1925+'Game Results'!L1907+'Game Results'!L982+'Game Results'!L964+'Game Results'!L442+'Game Results'!L1709+'Game Results'!L1691)</f>
        <v>29</v>
      </c>
      <c r="M57" s="85">
        <f>SUM('Game Results'!M100+'Game Results'!M118+'Game Results'!M424+'Game Results'!M881+'Game Results'!M863+'Game Results'!M359+'Game Results'!M377+'Game Results'!M1162+'Game Results'!M1144+'Game Results'!M1511+'Game Results'!M1529+'Game Results'!M1655+'Game Results'!M1673+'Game Results'!M1925+'Game Results'!M1907+'Game Results'!M982+'Game Results'!M964+'Game Results'!M442+'Game Results'!M1709+'Game Results'!M1691)</f>
        <v>319</v>
      </c>
      <c r="N57" s="85">
        <f>SUM('Game Results'!N100+'Game Results'!N118+'Game Results'!N424+'Game Results'!N881+'Game Results'!N863+'Game Results'!N359+'Game Results'!N377+'Game Results'!N1162+'Game Results'!N1144+'Game Results'!N1511+'Game Results'!N1529+'Game Results'!N1655+'Game Results'!N1673+'Game Results'!N1925+'Game Results'!N1907+'Game Results'!N982+'Game Results'!N964+'Game Results'!N442+'Game Results'!N1709+'Game Results'!N1691)</f>
        <v>2</v>
      </c>
      <c r="O57" s="88">
        <f>SUM('Game Results'!O100+'Game Results'!O118+'Game Results'!O424+'Game Results'!O881+'Game Results'!O863+'Game Results'!O359+'Game Results'!O377+'Game Results'!O1162+'Game Results'!O1144+'Game Results'!O1511+'Game Results'!O1529+'Game Results'!O1655+'Game Results'!O1673+'Game Results'!O1925+'Game Results'!O1907+'Game Results'!O982+'Game Results'!O964+'Game Results'!O442+'Game Results'!O1709+'Game Results'!O1691)</f>
        <v>82</v>
      </c>
      <c r="P57" s="85">
        <f>SUM('Game Results'!P100+'Game Results'!P118+'Game Results'!P424+'Game Results'!P881+'Game Results'!P863+'Game Results'!P359+'Game Results'!P377+'Game Results'!P1162+'Game Results'!P1144+'Game Results'!P1511+'Game Results'!P1529+'Game Results'!P1655+'Game Results'!P1673+'Game Results'!P1925+'Game Results'!P1907+'Game Results'!P982+'Game Results'!P964+'Game Results'!P442+'Game Results'!P1709+'Game Results'!P1691)</f>
        <v>17</v>
      </c>
      <c r="Q57" s="85">
        <f>SUM('Game Results'!Q100+'Game Results'!Q118+'Game Results'!Q424+'Game Results'!Q881+'Game Results'!Q863+'Game Results'!Q359+'Game Results'!Q377+'Game Results'!Q1162+'Game Results'!Q1144+'Game Results'!Q1511+'Game Results'!Q1529+'Game Results'!Q1655+'Game Results'!Q1673+'Game Results'!Q1925+'Game Results'!Q1907+'Game Results'!Q982+'Game Results'!Q964+'Game Results'!Q442+'Game Results'!Q1709+'Game Results'!Q1691)</f>
        <v>1</v>
      </c>
      <c r="R57" s="85">
        <f>SUM('Game Results'!R100+'Game Results'!R118+'Game Results'!R424+'Game Results'!R881+'Game Results'!R863+'Game Results'!R359+'Game Results'!R377+'Game Results'!R1162+'Game Results'!R1144+'Game Results'!R1511+'Game Results'!R1529+'Game Results'!R1655+'Game Results'!R1673+'Game Results'!R1925+'Game Results'!R1907+'Game Results'!R982+'Game Results'!R964+'Game Results'!R442+'Game Results'!R1709+'Game Results'!R1691)</f>
        <v>21</v>
      </c>
      <c r="S57" s="85">
        <f>SUM('Game Results'!S100+'Game Results'!S118+'Game Results'!S424+'Game Results'!S881+'Game Results'!S863+'Game Results'!S359+'Game Results'!S377+'Game Results'!S1162+'Game Results'!S1144+'Game Results'!S1511+'Game Results'!S1529+'Game Results'!S1655+'Game Results'!S1673+'Game Results'!S1925+'Game Results'!S1907+'Game Results'!S982+'Game Results'!S964+'Game Results'!S442+'Game Results'!S1709+'Game Results'!S1691)</f>
        <v>6</v>
      </c>
      <c r="T57" s="85">
        <f>SUM('Game Results'!T100+'Game Results'!T118+'Game Results'!T424+'Game Results'!T881+'Game Results'!T863+'Game Results'!T359+'Game Results'!T377+'Game Results'!T1162+'Game Results'!T1144+'Game Results'!T1511+'Game Results'!T1529+'Game Results'!T1655+'Game Results'!T1673+'Game Results'!T1925+'Game Results'!T1907+'Game Results'!T982+'Game Results'!T964+'Game Results'!T442+'Game Results'!T1709+'Game Results'!T1691)</f>
        <v>38</v>
      </c>
      <c r="U57" s="85">
        <f>SUM('Game Results'!U100+'Game Results'!U118+'Game Results'!U424+'Game Results'!U881+'Game Results'!U863+'Game Results'!U359+'Game Results'!U377+'Game Results'!U1162+'Game Results'!U1144+'Game Results'!U1511+'Game Results'!U1529+'Game Results'!U1655+'Game Results'!U1673+'Game Results'!U1925+'Game Results'!U1907+'Game Results'!U982+'Game Results'!U964+'Game Results'!U442+'Game Results'!U1709+'Game Results'!U1691)</f>
        <v>3</v>
      </c>
      <c r="V57" s="85">
        <f>SUM('Game Results'!V100+'Game Results'!V118+'Game Results'!V424+'Game Results'!V881+'Game Results'!V863+'Game Results'!V359+'Game Results'!V377+'Game Results'!V1162+'Game Results'!V1144+'Game Results'!V1511+'Game Results'!V1529+'Game Results'!V1655+'Game Results'!V1673+'Game Results'!V1925+'Game Results'!V1907+'Game Results'!V982+'Game Results'!V964+'Game Results'!V442+'Game Results'!V1709+'Game Results'!V1691)</f>
        <v>0</v>
      </c>
      <c r="W57" s="85">
        <f>SUM('Game Results'!W100+'Game Results'!W118+'Game Results'!W424+'Game Results'!W881+'Game Results'!W863+'Game Results'!W359+'Game Results'!W377+'Game Results'!W1162+'Game Results'!W1144+'Game Results'!W1511+'Game Results'!W1529+'Game Results'!W1655+'Game Results'!W1673+'Game Results'!W1925+'Game Results'!W1907+'Game Results'!W982+'Game Results'!W964+'Game Results'!W442+'Game Results'!W1709+'Game Results'!W1691)</f>
        <v>0</v>
      </c>
      <c r="X57" s="85">
        <f>SUM('Game Results'!X100+'Game Results'!X118+'Game Results'!X424+'Game Results'!X881+'Game Results'!X863+'Game Results'!X359+'Game Results'!X377+'Game Results'!X1162+'Game Results'!X1144+'Game Results'!X1511+'Game Results'!X1529+'Game Results'!X1655+'Game Results'!X1673+'Game Results'!X1925+'Game Results'!X1907+'Game Results'!X982+'Game Results'!X964+'Game Results'!X442+'Game Results'!X1709+'Game Results'!X1691)</f>
        <v>0</v>
      </c>
      <c r="Y57" s="85">
        <f>SUM('Game Results'!Y100+'Game Results'!Y118+'Game Results'!Y424+'Game Results'!Y881+'Game Results'!Y863+'Game Results'!Y359+'Game Results'!Y377+'Game Results'!Y1162+'Game Results'!Y1144+'Game Results'!Y1511+'Game Results'!Y1529+'Game Results'!Y1655+'Game Results'!Y1673+'Game Results'!Y1925+'Game Results'!Y1907+'Game Results'!Y982+'Game Results'!Y964+'Game Results'!Y442+'Game Results'!Y1709+'Game Results'!Y1691)</f>
        <v>0</v>
      </c>
      <c r="Z57" s="85">
        <f>SUM('Game Results'!Z100+'Game Results'!Z118+'Game Results'!Z424+'Game Results'!Z881+'Game Results'!Z863+'Game Results'!Z359+'Game Results'!Z377+'Game Results'!Z1162+'Game Results'!Z1144+'Game Results'!Z1511+'Game Results'!Z1529+'Game Results'!Z1655+'Game Results'!Z1673+'Game Results'!Z1925+'Game Results'!Z1907+'Game Results'!Z982+'Game Results'!Z964+'Game Results'!Z442+'Game Results'!Z1709+'Game Results'!Z1691)</f>
        <v>0</v>
      </c>
      <c r="AA57" s="85">
        <f>SUM('Game Results'!AA100+'Game Results'!AA118+'Game Results'!AA424+'Game Results'!AA881+'Game Results'!AA863+'Game Results'!AA359+'Game Results'!AA377+'Game Results'!AA1162+'Game Results'!AA1144+'Game Results'!AA1511+'Game Results'!AA1529+'Game Results'!AA1655+'Game Results'!AA1673+'Game Results'!AA1925+'Game Results'!AA1907+'Game Results'!AA982+'Game Results'!AA964+'Game Results'!AA442+'Game Results'!AA1709+'Game Results'!AA1691)</f>
        <v>0</v>
      </c>
      <c r="AB57" s="85">
        <f>SUM('Game Results'!AB100+'Game Results'!AB118+'Game Results'!AB424+'Game Results'!AB881+'Game Results'!AB863+'Game Results'!AB359+'Game Results'!AB377+'Game Results'!AB1162+'Game Results'!AB1144+'Game Results'!AB1511+'Game Results'!AB1529+'Game Results'!AB1655+'Game Results'!AB1673+'Game Results'!AB1925+'Game Results'!AB1907+'Game Results'!AB982+'Game Results'!AB964+'Game Results'!AB442+'Game Results'!AB1709+'Game Results'!AB1691)</f>
        <v>0</v>
      </c>
      <c r="AC57" s="85">
        <f>SUM('Game Results'!AC100+'Game Results'!AC118+'Game Results'!AC424+'Game Results'!AC881+'Game Results'!AC863+'Game Results'!AC359+'Game Results'!AC377+'Game Results'!AC1162+'Game Results'!AC1144+'Game Results'!AC1511+'Game Results'!AC1529+'Game Results'!AC1655+'Game Results'!AC1673+'Game Results'!AC1925+'Game Results'!AC1907+'Game Results'!AC982+'Game Results'!AC964+'Game Results'!AC442+'Game Results'!AC1709+'Game Results'!AC1691)</f>
        <v>3</v>
      </c>
      <c r="AD57" s="85">
        <f>SUM('Game Results'!AD100+'Game Results'!AD118+'Game Results'!AD424+'Game Results'!AD881+'Game Results'!AD863+'Game Results'!AD359+'Game Results'!AD377+'Game Results'!AD1162+'Game Results'!AD1144+'Game Results'!AD1511+'Game Results'!AD1529+'Game Results'!AD1655+'Game Results'!AD1673+'Game Results'!AD1925+'Game Results'!AD1907+'Game Results'!AD982+'Game Results'!AD964+'Game Results'!AD442+'Game Results'!AD1709+'Game Results'!AD1691)</f>
        <v>0</v>
      </c>
      <c r="AE57" s="85">
        <f>SUM('Game Results'!AE100+'Game Results'!AE118+'Game Results'!AE424+'Game Results'!AE881+'Game Results'!AE863+'Game Results'!AE359+'Game Results'!AE377+'Game Results'!AE1162+'Game Results'!AE1144+'Game Results'!AE1511+'Game Results'!AE1529+'Game Results'!AE1655+'Game Results'!AE1673+'Game Results'!AE1925+'Game Results'!AE1907+'Game Results'!AE982+'Game Results'!AE964+'Game Results'!AE442+'Game Results'!AE1709+'Game Results'!AE1691)</f>
        <v>0</v>
      </c>
      <c r="AF57" s="85">
        <f>SUM('Game Results'!AF100+'Game Results'!AF118+'Game Results'!AF424+'Game Results'!AF881+'Game Results'!AF863+'Game Results'!AF359+'Game Results'!AF377+'Game Results'!AF1162+'Game Results'!AF1144+'Game Results'!AF1511+'Game Results'!AF1529+'Game Results'!AF1655+'Game Results'!AF1673+'Game Results'!AF1925+'Game Results'!AF1907+'Game Results'!AF982+'Game Results'!AF964+'Game Results'!AF442+'Game Results'!AF1709+'Game Results'!AF1691)</f>
        <v>0</v>
      </c>
      <c r="AG57" s="85">
        <f>SUM('Game Results'!AG100+'Game Results'!AG118+'Game Results'!AG424+'Game Results'!AG881+'Game Results'!AG863+'Game Results'!AG359+'Game Results'!AG377+'Game Results'!AG1162+'Game Results'!AG1144+'Game Results'!AG1511+'Game Results'!AG1529+'Game Results'!AG1655+'Game Results'!AG1673+'Game Results'!AG1925+'Game Results'!AG1907+'Game Results'!AG982+'Game Results'!AG964+'Game Results'!AG442+'Game Results'!AG1709+'Game Results'!AG1691)</f>
        <v>0</v>
      </c>
      <c r="AH57" s="85">
        <f>SUM('Game Results'!AH100+'Game Results'!AH118+'Game Results'!AH424+'Game Results'!AH881+'Game Results'!AH863+'Game Results'!AH359+'Game Results'!AH377+'Game Results'!AH1162+'Game Results'!AH1144+'Game Results'!AH1511+'Game Results'!AH1529+'Game Results'!AH1655+'Game Results'!AH1673+'Game Results'!AH1925+'Game Results'!AH1907+'Game Results'!AH982+'Game Results'!AH964+'Game Results'!AH442+'Game Results'!AH1709+'Game Results'!AH1691)</f>
        <v>0</v>
      </c>
    </row>
    <row r="58">
      <c r="A58" s="89" t="s">
        <v>185</v>
      </c>
      <c r="B58" s="90"/>
      <c r="C58" s="90">
        <f t="shared" ref="C58:E58" si="23">SUM(C52:C57)/4</f>
        <v>20</v>
      </c>
      <c r="D58" s="90">
        <f t="shared" si="23"/>
        <v>6</v>
      </c>
      <c r="E58" s="91">
        <f t="shared" si="23"/>
        <v>560.6208333</v>
      </c>
      <c r="F58" s="91">
        <f t="shared" ref="F58:J58" si="24">SUM(F52:F57)</f>
        <v>62</v>
      </c>
      <c r="G58" s="91">
        <f t="shared" si="24"/>
        <v>7235</v>
      </c>
      <c r="H58" s="91">
        <f t="shared" si="24"/>
        <v>38</v>
      </c>
      <c r="I58" s="91">
        <f t="shared" si="24"/>
        <v>7774</v>
      </c>
      <c r="J58" s="91">
        <f t="shared" si="24"/>
        <v>-539</v>
      </c>
      <c r="K58" s="92">
        <f t="shared" si="1"/>
        <v>0.9306663236</v>
      </c>
      <c r="L58" s="91">
        <f>SUM(L52:L57)/4</f>
        <v>294.5</v>
      </c>
      <c r="M58" s="91">
        <f>SUM(M52:M57)</f>
        <v>9246</v>
      </c>
      <c r="N58" s="91">
        <f>SUM(N52:N57)/4</f>
        <v>20</v>
      </c>
      <c r="O58" s="91">
        <f>SUM(O51:O57)</f>
        <v>14131.63333</v>
      </c>
      <c r="P58" s="91">
        <f t="shared" ref="P58:AH58" si="25">SUM(P52:P57)</f>
        <v>340</v>
      </c>
      <c r="Q58" s="91">
        <f t="shared" si="25"/>
        <v>178</v>
      </c>
      <c r="R58" s="91">
        <f t="shared" si="25"/>
        <v>457</v>
      </c>
      <c r="S58" s="91">
        <f t="shared" si="25"/>
        <v>156</v>
      </c>
      <c r="T58" s="91">
        <f t="shared" si="25"/>
        <v>970</v>
      </c>
      <c r="U58" s="91">
        <f t="shared" si="25"/>
        <v>164</v>
      </c>
      <c r="V58" s="91">
        <f t="shared" si="25"/>
        <v>40</v>
      </c>
      <c r="W58" s="91">
        <f t="shared" si="25"/>
        <v>8</v>
      </c>
      <c r="X58" s="91">
        <f t="shared" si="25"/>
        <v>2</v>
      </c>
      <c r="Y58" s="91">
        <f t="shared" si="25"/>
        <v>0</v>
      </c>
      <c r="Z58" s="91">
        <f t="shared" si="25"/>
        <v>0</v>
      </c>
      <c r="AA58" s="91">
        <f t="shared" si="25"/>
        <v>0</v>
      </c>
      <c r="AB58" s="91">
        <f t="shared" si="25"/>
        <v>0</v>
      </c>
      <c r="AC58" s="91">
        <f t="shared" si="25"/>
        <v>137</v>
      </c>
      <c r="AD58" s="91">
        <f t="shared" si="25"/>
        <v>2</v>
      </c>
      <c r="AE58" s="91">
        <f t="shared" si="25"/>
        <v>0</v>
      </c>
      <c r="AF58" s="91">
        <f t="shared" si="25"/>
        <v>0</v>
      </c>
      <c r="AG58" s="91">
        <f t="shared" si="25"/>
        <v>1</v>
      </c>
      <c r="AH58" s="91">
        <f t="shared" si="25"/>
        <v>8</v>
      </c>
    </row>
    <row r="59">
      <c r="A59" s="83" t="s">
        <v>34</v>
      </c>
      <c r="B59" s="84" t="s">
        <v>227</v>
      </c>
      <c r="C59" s="85">
        <f>SUM('Game Results'!C30+'Game Results'!C48+'Game Results'!C282+'Game Results'!C300+'Game Results'!C563+'Game Results'!C581+'Game Results'!C786+'Game Results'!C797+'Game Results'!C1092+'Game Results'!C1074+'Game Results'!C1164+'Game Results'!C1146+'Game Results'!C1319+'Game Results'!C1337+'Game Results'!C1416+'Game Results'!C1398+'Game Results'!C1740+'Game Results'!C1722+'Game Results'!C1794+'Game Results'!C1812)</f>
        <v>20</v>
      </c>
      <c r="D59" s="85">
        <f>SUM('Game Results'!D30+'Game Results'!D48+'Game Results'!D282+'Game Results'!D300+'Game Results'!D563+'Game Results'!D581+'Game Results'!D786+'Game Results'!D797+'Game Results'!D1092+'Game Results'!D1074+'Game Results'!D1164+'Game Results'!D1146+'Game Results'!D1319+'Game Results'!D1337+'Game Results'!D1416+'Game Results'!D1398+'Game Results'!D1740+'Game Results'!D1722+'Game Results'!D1794+'Game Results'!D1812)</f>
        <v>13</v>
      </c>
      <c r="E59" s="86">
        <f>SUM('Game Results'!E30+'Game Results'!E48+'Game Results'!E282+'Game Results'!E300+'Game Results'!E563+'Game Results'!E581+'Game Results'!E786+'Game Results'!E797+'Game Results'!E1092+'Game Results'!E1074+'Game Results'!E1164+'Game Results'!E1146+'Game Results'!E1319+'Game Results'!E1337+'Game Results'!E1416+'Game Results'!E1398+'Game Results'!E1740+'Game Results'!E1722+'Game Results'!E1794+'Game Results'!E1812)</f>
        <v>376.5</v>
      </c>
      <c r="F59" s="85">
        <f>SUM('Game Results'!F30+'Game Results'!F48+'Game Results'!F282+'Game Results'!F300+'Game Results'!F563+'Game Results'!F581+'Game Results'!F786+'Game Results'!F797+'Game Results'!F1092+'Game Results'!F1074+'Game Results'!F1164+'Game Results'!F1146+'Game Results'!F1319+'Game Results'!F1337+'Game Results'!F1416+'Game Results'!F1398+'Game Results'!F1740+'Game Results'!F1722+'Game Results'!F1794+'Game Results'!F1812)</f>
        <v>43</v>
      </c>
      <c r="G59" s="85">
        <f>SUM('Game Results'!G30+'Game Results'!G48+'Game Results'!G282+'Game Results'!G300+'Game Results'!G563+'Game Results'!G581+'Game Results'!G786+'Game Results'!G797+'Game Results'!G1092+'Game Results'!G1074+'Game Results'!G1164+'Game Results'!G1146+'Game Results'!G1319+'Game Results'!G1337+'Game Results'!G1416+'Game Results'!G1398+'Game Results'!G1740+'Game Results'!G1722+'Game Results'!G1794+'Game Results'!G1812)</f>
        <v>1467</v>
      </c>
      <c r="H59" s="85">
        <f>SUM('Game Results'!H30+'Game Results'!H48+'Game Results'!H282+'Game Results'!H300+'Game Results'!H563+'Game Results'!H581+'Game Results'!H786+'Game Results'!H797+'Game Results'!H1092+'Game Results'!H1074+'Game Results'!H1164+'Game Results'!H1146+'Game Results'!H1319+'Game Results'!H1337+'Game Results'!H1416+'Game Results'!H1398+'Game Results'!H1740+'Game Results'!H1722+'Game Results'!H1794+'Game Results'!H1812)</f>
        <v>8</v>
      </c>
      <c r="I59" s="85">
        <f>SUM('Game Results'!I30+'Game Results'!I48+'Game Results'!I282+'Game Results'!I300+'Game Results'!I563+'Game Results'!I581+'Game Results'!I786+'Game Results'!I797+'Game Results'!I1092+'Game Results'!I1074+'Game Results'!I1164+'Game Results'!I1146+'Game Results'!I1319+'Game Results'!I1337+'Game Results'!I1416+'Game Results'!I1398+'Game Results'!I1740+'Game Results'!I1722+'Game Results'!I1794+'Game Results'!I1812)</f>
        <v>1287</v>
      </c>
      <c r="J59" s="85">
        <f>SUM('Game Results'!J30+'Game Results'!J48+'Game Results'!J282+'Game Results'!J300+'Game Results'!J563+'Game Results'!J581+'Game Results'!J786+'Game Results'!J797+'Game Results'!J1092+'Game Results'!J1074+'Game Results'!J1164+'Game Results'!J1146+'Game Results'!J1319+'Game Results'!J1337+'Game Results'!J1416+'Game Results'!J1398+'Game Results'!J1740+'Game Results'!J1722+'Game Results'!J1794+'Game Results'!J1812)</f>
        <v>180</v>
      </c>
      <c r="K59" s="87">
        <f t="shared" si="1"/>
        <v>1.13986014</v>
      </c>
      <c r="L59" s="85">
        <f>SUM('Game Results'!L30+'Game Results'!L48+'Game Results'!L282+'Game Results'!L300+'Game Results'!L563+'Game Results'!L581+'Game Results'!L786+'Game Results'!L797+'Game Results'!L1092+'Game Results'!L1074+'Game Results'!L1164+'Game Results'!L1146+'Game Results'!L1319+'Game Results'!L1337+'Game Results'!L1416+'Game Results'!L1398+'Game Results'!L1740+'Game Results'!L1722+'Game Results'!L1794+'Game Results'!L1812)</f>
        <v>293</v>
      </c>
      <c r="M59" s="85">
        <f>SUM('Game Results'!M30+'Game Results'!M48+'Game Results'!M282+'Game Results'!M300+'Game Results'!M563+'Game Results'!M581+'Game Results'!M786+'Game Results'!M797+'Game Results'!M1092+'Game Results'!M1074+'Game Results'!M1164+'Game Results'!M1146+'Game Results'!M1319+'Game Results'!M1337+'Game Results'!M1416+'Game Results'!M1398+'Game Results'!M1740+'Game Results'!M1722+'Game Results'!M1794+'Game Results'!M1812)</f>
        <v>1868</v>
      </c>
      <c r="N59" s="85">
        <f>SUM('Game Results'!N30+'Game Results'!N48+'Game Results'!N282+'Game Results'!N300+'Game Results'!N563+'Game Results'!N581+'Game Results'!N786+'Game Results'!N797+'Game Results'!N1092+'Game Results'!N1074+'Game Results'!N1164+'Game Results'!N1146+'Game Results'!N1319+'Game Results'!N1337+'Game Results'!N1416+'Game Results'!N1398+'Game Results'!N1740+'Game Results'!N1722+'Game Results'!N1794+'Game Results'!N1812)</f>
        <v>19</v>
      </c>
      <c r="O59" s="88">
        <f>SUM('Game Results'!O30+'Game Results'!O48+'Game Results'!O282+'Game Results'!O300+'Game Results'!O563+'Game Results'!O581+'Game Results'!O786+'Game Results'!O797+'Game Results'!O1092+'Game Results'!O1074+'Game Results'!O1164+'Game Results'!O1146+'Game Results'!O1319+'Game Results'!O1337+'Game Results'!O1416+'Game Results'!O1398+'Game Results'!O1740+'Game Results'!O1722+'Game Results'!O1794+'Game Results'!O1812)</f>
        <v>348.5</v>
      </c>
      <c r="P59" s="85">
        <f>SUM('Game Results'!P30+'Game Results'!P48+'Game Results'!P282+'Game Results'!P300+'Game Results'!P563+'Game Results'!P581+'Game Results'!P786+'Game Results'!P797+'Game Results'!P1092+'Game Results'!P1074+'Game Results'!P1164+'Game Results'!P1146+'Game Results'!P1319+'Game Results'!P1337+'Game Results'!P1416+'Game Results'!P1398+'Game Results'!P1740+'Game Results'!P1722+'Game Results'!P1794+'Game Results'!P1812)</f>
        <v>73</v>
      </c>
      <c r="Q59" s="85">
        <f>SUM('Game Results'!Q30+'Game Results'!Q48+'Game Results'!Q282+'Game Results'!Q300+'Game Results'!Q563+'Game Results'!Q581+'Game Results'!Q786+'Game Results'!Q797+'Game Results'!Q1092+'Game Results'!Q1074+'Game Results'!Q1164+'Game Results'!Q1146+'Game Results'!Q1319+'Game Results'!Q1337+'Game Results'!Q1416+'Game Results'!Q1398+'Game Results'!Q1740+'Game Results'!Q1722+'Game Results'!Q1794+'Game Results'!Q1812)</f>
        <v>28</v>
      </c>
      <c r="R59" s="85">
        <f>SUM('Game Results'!R30+'Game Results'!R48+'Game Results'!R282+'Game Results'!R300+'Game Results'!R563+'Game Results'!R581+'Game Results'!R786+'Game Results'!R797+'Game Results'!R1092+'Game Results'!R1074+'Game Results'!R1164+'Game Results'!R1146+'Game Results'!R1319+'Game Results'!R1337+'Game Results'!R1416+'Game Results'!R1398+'Game Results'!R1740+'Game Results'!R1722+'Game Results'!R1794+'Game Results'!R1812)</f>
        <v>97</v>
      </c>
      <c r="S59" s="85">
        <f>SUM('Game Results'!S30+'Game Results'!S48+'Game Results'!S282+'Game Results'!S300+'Game Results'!S563+'Game Results'!S581+'Game Results'!S786+'Game Results'!S797+'Game Results'!S1092+'Game Results'!S1074+'Game Results'!S1164+'Game Results'!S1146+'Game Results'!S1319+'Game Results'!S1337+'Game Results'!S1416+'Game Results'!S1398+'Game Results'!S1740+'Game Results'!S1722+'Game Results'!S1794+'Game Results'!S1812)</f>
        <v>25</v>
      </c>
      <c r="T59" s="85">
        <f>SUM('Game Results'!T30+'Game Results'!T48+'Game Results'!T282+'Game Results'!T300+'Game Results'!T563+'Game Results'!T581+'Game Results'!T786+'Game Results'!T797+'Game Results'!T1092+'Game Results'!T1074+'Game Results'!T1164+'Game Results'!T1146+'Game Results'!T1319+'Game Results'!T1337+'Game Results'!T1416+'Game Results'!T1398+'Game Results'!T1740+'Game Results'!T1722+'Game Results'!T1794+'Game Results'!T1812)</f>
        <v>243</v>
      </c>
      <c r="U59" s="85">
        <f>SUM('Game Results'!U30+'Game Results'!U48+'Game Results'!U282+'Game Results'!U300+'Game Results'!U563+'Game Results'!U581+'Game Results'!U786+'Game Results'!U797+'Game Results'!U1092+'Game Results'!U1074+'Game Results'!U1164+'Game Results'!U1146+'Game Results'!U1319+'Game Results'!U1337+'Game Results'!U1416+'Game Results'!U1398+'Game Results'!U1740+'Game Results'!U1722+'Game Results'!U1794+'Game Results'!U1812)</f>
        <v>58</v>
      </c>
      <c r="V59" s="85">
        <f>SUM('Game Results'!V30+'Game Results'!V48+'Game Results'!V282+'Game Results'!V300+'Game Results'!V563+'Game Results'!V581+'Game Results'!V786+'Game Results'!V797+'Game Results'!V1092+'Game Results'!V1074+'Game Results'!V1164+'Game Results'!V1146+'Game Results'!V1319+'Game Results'!V1337+'Game Results'!V1416+'Game Results'!V1398+'Game Results'!V1740+'Game Results'!V1722+'Game Results'!V1794+'Game Results'!V1812)</f>
        <v>14</v>
      </c>
      <c r="W59" s="85">
        <f>SUM('Game Results'!W30+'Game Results'!W48+'Game Results'!W282+'Game Results'!W300+'Game Results'!W563+'Game Results'!W581+'Game Results'!W786+'Game Results'!W797+'Game Results'!W1092+'Game Results'!W1074+'Game Results'!W1164+'Game Results'!W1146+'Game Results'!W1319+'Game Results'!W1337+'Game Results'!W1416+'Game Results'!W1398+'Game Results'!W1740+'Game Results'!W1722+'Game Results'!W1794+'Game Results'!W1812)</f>
        <v>2</v>
      </c>
      <c r="X59" s="85">
        <f>SUM('Game Results'!X30+'Game Results'!X48+'Game Results'!X282+'Game Results'!X300+'Game Results'!X563+'Game Results'!X581+'Game Results'!X786+'Game Results'!X797+'Game Results'!X1092+'Game Results'!X1074+'Game Results'!X1164+'Game Results'!X1146+'Game Results'!X1319+'Game Results'!X1337+'Game Results'!X1416+'Game Results'!X1398+'Game Results'!X1740+'Game Results'!X1722+'Game Results'!X1794+'Game Results'!X1812)</f>
        <v>2</v>
      </c>
      <c r="Y59" s="85">
        <f>SUM('Game Results'!Y30+'Game Results'!Y48+'Game Results'!Y282+'Game Results'!Y300+'Game Results'!Y563+'Game Results'!Y581+'Game Results'!Y786+'Game Results'!Y797+'Game Results'!Y1092+'Game Results'!Y1074+'Game Results'!Y1164+'Game Results'!Y1146+'Game Results'!Y1319+'Game Results'!Y1337+'Game Results'!Y1416+'Game Results'!Y1398+'Game Results'!Y1740+'Game Results'!Y1722+'Game Results'!Y1794+'Game Results'!Y1812)</f>
        <v>1</v>
      </c>
      <c r="Z59" s="85">
        <f>SUM('Game Results'!Z30+'Game Results'!Z48+'Game Results'!Z282+'Game Results'!Z300+'Game Results'!Z563+'Game Results'!Z581+'Game Results'!Z786+'Game Results'!Z797+'Game Results'!Z1092+'Game Results'!Z1074+'Game Results'!Z1164+'Game Results'!Z1146+'Game Results'!Z1319+'Game Results'!Z1337+'Game Results'!Z1416+'Game Results'!Z1398+'Game Results'!Z1740+'Game Results'!Z1722+'Game Results'!Z1794+'Game Results'!Z1812)</f>
        <v>1</v>
      </c>
      <c r="AA59" s="85">
        <f>SUM('Game Results'!AA30+'Game Results'!AA48+'Game Results'!AA282+'Game Results'!AA300+'Game Results'!AA563+'Game Results'!AA581+'Game Results'!AA786+'Game Results'!AA797+'Game Results'!AA1092+'Game Results'!AA1074+'Game Results'!AA1164+'Game Results'!AA1146+'Game Results'!AA1319+'Game Results'!AA1337+'Game Results'!AA1416+'Game Results'!AA1398+'Game Results'!AA1740+'Game Results'!AA1722+'Game Results'!AA1794+'Game Results'!AA1812)</f>
        <v>1</v>
      </c>
      <c r="AB59" s="85">
        <f>SUM('Game Results'!AB30+'Game Results'!AB48+'Game Results'!AB282+'Game Results'!AB300+'Game Results'!AB563+'Game Results'!AB581+'Game Results'!AB786+'Game Results'!AB797+'Game Results'!AB1092+'Game Results'!AB1074+'Game Results'!AB1164+'Game Results'!AB1146+'Game Results'!AB1319+'Game Results'!AB1337+'Game Results'!AB1416+'Game Results'!AB1398+'Game Results'!AB1740+'Game Results'!AB1722+'Game Results'!AB1794+'Game Results'!AB1812)</f>
        <v>1</v>
      </c>
      <c r="AC59" s="85">
        <f>SUM('Game Results'!AC30+'Game Results'!AC48+'Game Results'!AC282+'Game Results'!AC300+'Game Results'!AC563+'Game Results'!AC581+'Game Results'!AC786+'Game Results'!AC797+'Game Results'!AC1092+'Game Results'!AC1074+'Game Results'!AC1164+'Game Results'!AC1146+'Game Results'!AC1319+'Game Results'!AC1337+'Game Results'!AC1416+'Game Results'!AC1398+'Game Results'!AC1740+'Game Results'!AC1722+'Game Results'!AC1794+'Game Results'!AC1812)</f>
        <v>40</v>
      </c>
      <c r="AD59" s="85">
        <f>SUM('Game Results'!AD30+'Game Results'!AD48+'Game Results'!AD282+'Game Results'!AD300+'Game Results'!AD563+'Game Results'!AD581+'Game Results'!AD786+'Game Results'!AD797+'Game Results'!AD1092+'Game Results'!AD1074+'Game Results'!AD1164+'Game Results'!AD1146+'Game Results'!AD1319+'Game Results'!AD1337+'Game Results'!AD1416+'Game Results'!AD1398+'Game Results'!AD1740+'Game Results'!AD1722+'Game Results'!AD1794+'Game Results'!AD1812)</f>
        <v>3</v>
      </c>
      <c r="AE59" s="85">
        <f>SUM('Game Results'!AE30+'Game Results'!AE48+'Game Results'!AE282+'Game Results'!AE300+'Game Results'!AE563+'Game Results'!AE581+'Game Results'!AE786+'Game Results'!AE797+'Game Results'!AE1092+'Game Results'!AE1074+'Game Results'!AE1164+'Game Results'!AE1146+'Game Results'!AE1319+'Game Results'!AE1337+'Game Results'!AE1416+'Game Results'!AE1398+'Game Results'!AE1740+'Game Results'!AE1722+'Game Results'!AE1794+'Game Results'!AE1812)</f>
        <v>0</v>
      </c>
      <c r="AF59" s="85">
        <f>SUM('Game Results'!AF30+'Game Results'!AF48+'Game Results'!AF282+'Game Results'!AF300+'Game Results'!AF563+'Game Results'!AF581+'Game Results'!AF786+'Game Results'!AF797+'Game Results'!AF1092+'Game Results'!AF1074+'Game Results'!AF1164+'Game Results'!AF1146+'Game Results'!AF1319+'Game Results'!AF1337+'Game Results'!AF1416+'Game Results'!AF1398+'Game Results'!AF1740+'Game Results'!AF1722+'Game Results'!AF1794+'Game Results'!AF1812)</f>
        <v>0</v>
      </c>
      <c r="AG59" s="85">
        <f>SUM('Game Results'!AG30+'Game Results'!AG48+'Game Results'!AG282+'Game Results'!AG300+'Game Results'!AG563+'Game Results'!AG581+'Game Results'!AG786+'Game Results'!AG797+'Game Results'!AG1092+'Game Results'!AG1074+'Game Results'!AG1164+'Game Results'!AG1146+'Game Results'!AG1319+'Game Results'!AG1337+'Game Results'!AG1416+'Game Results'!AG1398+'Game Results'!AG1740+'Game Results'!AG1722+'Game Results'!AG1794+'Game Results'!AG1812)</f>
        <v>2</v>
      </c>
      <c r="AH59" s="85">
        <f>SUM('Game Results'!AH30+'Game Results'!AH48+'Game Results'!AH282+'Game Results'!AH300+'Game Results'!AH563+'Game Results'!AH581+'Game Results'!AH786+'Game Results'!AH797+'Game Results'!AH1092+'Game Results'!AH1074+'Game Results'!AH1164+'Game Results'!AH1146+'Game Results'!AH1319+'Game Results'!AH1337+'Game Results'!AH1416+'Game Results'!AH1398+'Game Results'!AH1740+'Game Results'!AH1722+'Game Results'!AH1794+'Game Results'!AH1812)</f>
        <v>0</v>
      </c>
    </row>
    <row r="60">
      <c r="A60" s="83" t="s">
        <v>34</v>
      </c>
      <c r="B60" s="84" t="s">
        <v>228</v>
      </c>
      <c r="C60" s="85">
        <f>SUM('Game Results'!C31+'Game Results'!C49+'Game Results'!C283+'Game Results'!C301+'Game Results'!C564+'Game Results'!C582+'Game Results'!C787+'Game Results'!C798+'Game Results'!C1093+'Game Results'!C1075+'Game Results'!C1165+'Game Results'!C1147+'Game Results'!C1320+'Game Results'!C1338+'Game Results'!C1417+'Game Results'!C1399+'Game Results'!C1741+'Game Results'!C1723+'Game Results'!C1795+'Game Results'!C1813)</f>
        <v>20</v>
      </c>
      <c r="D60" s="85">
        <f>SUM('Game Results'!D31+'Game Results'!D49+'Game Results'!D283+'Game Results'!D301+'Game Results'!D564+'Game Results'!D582+'Game Results'!D787+'Game Results'!D798+'Game Results'!D1093+'Game Results'!D1075+'Game Results'!D1165+'Game Results'!D1147+'Game Results'!D1320+'Game Results'!D1338+'Game Results'!D1417+'Game Results'!D1399+'Game Results'!D1741+'Game Results'!D1723+'Game Results'!D1795+'Game Results'!D1813)</f>
        <v>13</v>
      </c>
      <c r="E60" s="86">
        <f>SUM('Game Results'!E31+'Game Results'!E49+'Game Results'!E283+'Game Results'!E301+'Game Results'!E564+'Game Results'!E582+'Game Results'!E787+'Game Results'!E798+'Game Results'!E1093+'Game Results'!E1075+'Game Results'!E1165+'Game Results'!E1147+'Game Results'!E1320+'Game Results'!E1338+'Game Results'!E1417+'Game Results'!E1399+'Game Results'!E1741+'Game Results'!E1723+'Game Results'!E1795+'Game Results'!E1813)</f>
        <v>377.2166667</v>
      </c>
      <c r="F60" s="85">
        <f>SUM('Game Results'!F31+'Game Results'!F49+'Game Results'!F283+'Game Results'!F301+'Game Results'!F564+'Game Results'!F582+'Game Results'!F787+'Game Results'!F798+'Game Results'!F1093+'Game Results'!F1075+'Game Results'!F1165+'Game Results'!F1147+'Game Results'!F1320+'Game Results'!F1338+'Game Results'!F1417+'Game Results'!F1399+'Game Results'!F1741+'Game Results'!F1723+'Game Results'!F1795+'Game Results'!F1813)</f>
        <v>8</v>
      </c>
      <c r="G60" s="85">
        <f>SUM('Game Results'!G31+'Game Results'!G49+'Game Results'!G283+'Game Results'!G301+'Game Results'!G564+'Game Results'!G582+'Game Results'!G787+'Game Results'!G798+'Game Results'!G1093+'Game Results'!G1075+'Game Results'!G1165+'Game Results'!G1147+'Game Results'!G1320+'Game Results'!G1338+'Game Results'!G1417+'Game Results'!G1399+'Game Results'!G1741+'Game Results'!G1723+'Game Results'!G1795+'Game Results'!G1813)</f>
        <v>1417</v>
      </c>
      <c r="H60" s="85">
        <f>SUM('Game Results'!H31+'Game Results'!H49+'Game Results'!H283+'Game Results'!H301+'Game Results'!H564+'Game Results'!H582+'Game Results'!H787+'Game Results'!H798+'Game Results'!H1093+'Game Results'!H1075+'Game Results'!H1165+'Game Results'!H1147+'Game Results'!H1320+'Game Results'!H1338+'Game Results'!H1417+'Game Results'!H1399+'Game Results'!H1741+'Game Results'!H1723+'Game Results'!H1795+'Game Results'!H1813)</f>
        <v>12</v>
      </c>
      <c r="I60" s="85">
        <f>SUM('Game Results'!I31+'Game Results'!I49+'Game Results'!I283+'Game Results'!I301+'Game Results'!I564+'Game Results'!I582+'Game Results'!I787+'Game Results'!I798+'Game Results'!I1093+'Game Results'!I1075+'Game Results'!I1165+'Game Results'!I1147+'Game Results'!I1320+'Game Results'!I1338+'Game Results'!I1417+'Game Results'!I1399+'Game Results'!I1741+'Game Results'!I1723+'Game Results'!I1795+'Game Results'!I1813)</f>
        <v>1530</v>
      </c>
      <c r="J60" s="85">
        <f>SUM('Game Results'!J31+'Game Results'!J49+'Game Results'!J283+'Game Results'!J301+'Game Results'!J564+'Game Results'!J582+'Game Results'!J787+'Game Results'!J798+'Game Results'!J1093+'Game Results'!J1075+'Game Results'!J1165+'Game Results'!J1147+'Game Results'!J1320+'Game Results'!J1338+'Game Results'!J1417+'Game Results'!J1399+'Game Results'!J1741+'Game Results'!J1723+'Game Results'!J1795+'Game Results'!J1813)</f>
        <v>-113</v>
      </c>
      <c r="K60" s="87">
        <f t="shared" si="1"/>
        <v>0.9261437908</v>
      </c>
      <c r="L60" s="85">
        <f>SUM('Game Results'!L31+'Game Results'!L49+'Game Results'!L283+'Game Results'!L301+'Game Results'!L564+'Game Results'!L582+'Game Results'!L787+'Game Results'!L798+'Game Results'!L1093+'Game Results'!L1075+'Game Results'!L1165+'Game Results'!L1147+'Game Results'!L1320+'Game Results'!L1338+'Game Results'!L1417+'Game Results'!L1399+'Game Results'!L1741+'Game Results'!L1723+'Game Results'!L1795+'Game Results'!L1813)</f>
        <v>213</v>
      </c>
      <c r="M60" s="85">
        <f>SUM('Game Results'!M31+'Game Results'!M49+'Game Results'!M283+'Game Results'!M301+'Game Results'!M564+'Game Results'!M582+'Game Results'!M787+'Game Results'!M798+'Game Results'!M1093+'Game Results'!M1075+'Game Results'!M1165+'Game Results'!M1147+'Game Results'!M1320+'Game Results'!M1338+'Game Results'!M1417+'Game Results'!M1399+'Game Results'!M1741+'Game Results'!M1723+'Game Results'!M1795+'Game Results'!M1813)</f>
        <v>1682</v>
      </c>
      <c r="N60" s="85">
        <f>SUM('Game Results'!N31+'Game Results'!N49+'Game Results'!N283+'Game Results'!N301+'Game Results'!N564+'Game Results'!N582+'Game Results'!N787+'Game Results'!N798+'Game Results'!N1093+'Game Results'!N1075+'Game Results'!N1165+'Game Results'!N1147+'Game Results'!N1320+'Game Results'!N1338+'Game Results'!N1417+'Game Results'!N1399+'Game Results'!N1741+'Game Results'!N1723+'Game Results'!N1795+'Game Results'!N1813)</f>
        <v>19</v>
      </c>
      <c r="O60" s="88">
        <f>SUM('Game Results'!O31+'Game Results'!O49+'Game Results'!O283+'Game Results'!O301+'Game Results'!O564+'Game Results'!O582+'Game Results'!O787+'Game Results'!O798+'Game Results'!O1093+'Game Results'!O1075+'Game Results'!O1165+'Game Results'!O1147+'Game Results'!O1320+'Game Results'!O1338+'Game Results'!O1417+'Game Results'!O1399+'Game Results'!O1741+'Game Results'!O1723+'Game Results'!O1795+'Game Results'!O1813)</f>
        <v>349.2166667</v>
      </c>
      <c r="P60" s="85">
        <f>SUM('Game Results'!P31+'Game Results'!P49+'Game Results'!P283+'Game Results'!P301+'Game Results'!P564+'Game Results'!P582+'Game Results'!P787+'Game Results'!P798+'Game Results'!P1093+'Game Results'!P1075+'Game Results'!P1165+'Game Results'!P1147+'Game Results'!P1320+'Game Results'!P1338+'Game Results'!P1417+'Game Results'!P1399+'Game Results'!P1741+'Game Results'!P1723+'Game Results'!P1795+'Game Results'!P1813)</f>
        <v>57</v>
      </c>
      <c r="Q60" s="85">
        <f>SUM('Game Results'!Q31+'Game Results'!Q49+'Game Results'!Q283+'Game Results'!Q301+'Game Results'!Q564+'Game Results'!Q582+'Game Results'!Q787+'Game Results'!Q798+'Game Results'!Q1093+'Game Results'!Q1075+'Game Results'!Q1165+'Game Results'!Q1147+'Game Results'!Q1320+'Game Results'!Q1338+'Game Results'!Q1417+'Game Results'!Q1399+'Game Results'!Q1741+'Game Results'!Q1723+'Game Results'!Q1795+'Game Results'!Q1813)</f>
        <v>38</v>
      </c>
      <c r="R60" s="85">
        <f>SUM('Game Results'!R31+'Game Results'!R49+'Game Results'!R283+'Game Results'!R301+'Game Results'!R564+'Game Results'!R582+'Game Results'!R787+'Game Results'!R798+'Game Results'!R1093+'Game Results'!R1075+'Game Results'!R1165+'Game Results'!R1147+'Game Results'!R1320+'Game Results'!R1338+'Game Results'!R1417+'Game Results'!R1399+'Game Results'!R1741+'Game Results'!R1723+'Game Results'!R1795+'Game Results'!R1813)</f>
        <v>91</v>
      </c>
      <c r="S60" s="85">
        <f>SUM('Game Results'!S31+'Game Results'!S49+'Game Results'!S283+'Game Results'!S301+'Game Results'!S564+'Game Results'!S582+'Game Results'!S787+'Game Results'!S798+'Game Results'!S1093+'Game Results'!S1075+'Game Results'!S1165+'Game Results'!S1147+'Game Results'!S1320+'Game Results'!S1338+'Game Results'!S1417+'Game Results'!S1399+'Game Results'!S1741+'Game Results'!S1723+'Game Results'!S1795+'Game Results'!S1813)</f>
        <v>17</v>
      </c>
      <c r="T60" s="85">
        <f>SUM('Game Results'!T31+'Game Results'!T49+'Game Results'!T283+'Game Results'!T301+'Game Results'!T564+'Game Results'!T582+'Game Results'!T787+'Game Results'!T798+'Game Results'!T1093+'Game Results'!T1075+'Game Results'!T1165+'Game Results'!T1147+'Game Results'!T1320+'Game Results'!T1338+'Game Results'!T1417+'Game Results'!T1399+'Game Results'!T1741+'Game Results'!T1723+'Game Results'!T1795+'Game Results'!T1813)</f>
        <v>224</v>
      </c>
      <c r="U60" s="85">
        <f>SUM('Game Results'!U31+'Game Results'!U49+'Game Results'!U283+'Game Results'!U301+'Game Results'!U564+'Game Results'!U582+'Game Results'!U787+'Game Results'!U798+'Game Results'!U1093+'Game Results'!U1075+'Game Results'!U1165+'Game Results'!U1147+'Game Results'!U1320+'Game Results'!U1338+'Game Results'!U1417+'Game Results'!U1399+'Game Results'!U1741+'Game Results'!U1723+'Game Results'!U1795+'Game Results'!U1813)</f>
        <v>41</v>
      </c>
      <c r="V60" s="85">
        <f>SUM('Game Results'!V31+'Game Results'!V49+'Game Results'!V283+'Game Results'!V301+'Game Results'!V564+'Game Results'!V582+'Game Results'!V787+'Game Results'!V798+'Game Results'!V1093+'Game Results'!V1075+'Game Results'!V1165+'Game Results'!V1147+'Game Results'!V1320+'Game Results'!V1338+'Game Results'!V1417+'Game Results'!V1399+'Game Results'!V1741+'Game Results'!V1723+'Game Results'!V1795+'Game Results'!V1813)</f>
        <v>16</v>
      </c>
      <c r="W60" s="85">
        <f>SUM('Game Results'!W31+'Game Results'!W49+'Game Results'!W283+'Game Results'!W301+'Game Results'!W564+'Game Results'!W582+'Game Results'!W787+'Game Results'!W798+'Game Results'!W1093+'Game Results'!W1075+'Game Results'!W1165+'Game Results'!W1147+'Game Results'!W1320+'Game Results'!W1338+'Game Results'!W1417+'Game Results'!W1399+'Game Results'!W1741+'Game Results'!W1723+'Game Results'!W1795+'Game Results'!W1813)</f>
        <v>3</v>
      </c>
      <c r="X60" s="85">
        <f>SUM('Game Results'!X31+'Game Results'!X49+'Game Results'!X283+'Game Results'!X301+'Game Results'!X564+'Game Results'!X582+'Game Results'!X787+'Game Results'!X798+'Game Results'!X1093+'Game Results'!X1075+'Game Results'!X1165+'Game Results'!X1147+'Game Results'!X1320+'Game Results'!X1338+'Game Results'!X1417+'Game Results'!X1399+'Game Results'!X1741+'Game Results'!X1723+'Game Results'!X1795+'Game Results'!X1813)</f>
        <v>2</v>
      </c>
      <c r="Y60" s="85">
        <f>SUM('Game Results'!Y31+'Game Results'!Y49+'Game Results'!Y283+'Game Results'!Y301+'Game Results'!Y564+'Game Results'!Y582+'Game Results'!Y787+'Game Results'!Y798+'Game Results'!Y1093+'Game Results'!Y1075+'Game Results'!Y1165+'Game Results'!Y1147+'Game Results'!Y1320+'Game Results'!Y1338+'Game Results'!Y1417+'Game Results'!Y1399+'Game Results'!Y1741+'Game Results'!Y1723+'Game Results'!Y1795+'Game Results'!Y1813)</f>
        <v>2</v>
      </c>
      <c r="Z60" s="85">
        <f>SUM('Game Results'!Z31+'Game Results'!Z49+'Game Results'!Z283+'Game Results'!Z301+'Game Results'!Z564+'Game Results'!Z582+'Game Results'!Z787+'Game Results'!Z798+'Game Results'!Z1093+'Game Results'!Z1075+'Game Results'!Z1165+'Game Results'!Z1147+'Game Results'!Z1320+'Game Results'!Z1338+'Game Results'!Z1417+'Game Results'!Z1399+'Game Results'!Z1741+'Game Results'!Z1723+'Game Results'!Z1795+'Game Results'!Z1813)</f>
        <v>0</v>
      </c>
      <c r="AA60" s="85">
        <f>SUM('Game Results'!AA31+'Game Results'!AA49+'Game Results'!AA283+'Game Results'!AA301+'Game Results'!AA564+'Game Results'!AA582+'Game Results'!AA787+'Game Results'!AA798+'Game Results'!AA1093+'Game Results'!AA1075+'Game Results'!AA1165+'Game Results'!AA1147+'Game Results'!AA1320+'Game Results'!AA1338+'Game Results'!AA1417+'Game Results'!AA1399+'Game Results'!AA1741+'Game Results'!AA1723+'Game Results'!AA1795+'Game Results'!AA1813)</f>
        <v>0</v>
      </c>
      <c r="AB60" s="85">
        <f>SUM('Game Results'!AB31+'Game Results'!AB49+'Game Results'!AB283+'Game Results'!AB301+'Game Results'!AB564+'Game Results'!AB582+'Game Results'!AB787+'Game Results'!AB798+'Game Results'!AB1093+'Game Results'!AB1075+'Game Results'!AB1165+'Game Results'!AB1147+'Game Results'!AB1320+'Game Results'!AB1338+'Game Results'!AB1417+'Game Results'!AB1399+'Game Results'!AB1741+'Game Results'!AB1723+'Game Results'!AB1795+'Game Results'!AB1813)</f>
        <v>0</v>
      </c>
      <c r="AC60" s="85">
        <f>SUM('Game Results'!AC31+'Game Results'!AC49+'Game Results'!AC283+'Game Results'!AC301+'Game Results'!AC564+'Game Results'!AC582+'Game Results'!AC787+'Game Results'!AC798+'Game Results'!AC1093+'Game Results'!AC1075+'Game Results'!AC1165+'Game Results'!AC1147+'Game Results'!AC1320+'Game Results'!AC1338+'Game Results'!AC1417+'Game Results'!AC1399+'Game Results'!AC1741+'Game Results'!AC1723+'Game Results'!AC1795+'Game Results'!AC1813)</f>
        <v>19</v>
      </c>
      <c r="AD60" s="85">
        <f>SUM('Game Results'!AD31+'Game Results'!AD49+'Game Results'!AD283+'Game Results'!AD301+'Game Results'!AD564+'Game Results'!AD582+'Game Results'!AD787+'Game Results'!AD798+'Game Results'!AD1093+'Game Results'!AD1075+'Game Results'!AD1165+'Game Results'!AD1147+'Game Results'!AD1320+'Game Results'!AD1338+'Game Results'!AD1417+'Game Results'!AD1399+'Game Results'!AD1741+'Game Results'!AD1723+'Game Results'!AD1795+'Game Results'!AD1813)</f>
        <v>0</v>
      </c>
      <c r="AE60" s="85">
        <f>SUM('Game Results'!AE31+'Game Results'!AE49+'Game Results'!AE283+'Game Results'!AE301+'Game Results'!AE564+'Game Results'!AE582+'Game Results'!AE787+'Game Results'!AE798+'Game Results'!AE1093+'Game Results'!AE1075+'Game Results'!AE1165+'Game Results'!AE1147+'Game Results'!AE1320+'Game Results'!AE1338+'Game Results'!AE1417+'Game Results'!AE1399+'Game Results'!AE1741+'Game Results'!AE1723+'Game Results'!AE1795+'Game Results'!AE1813)</f>
        <v>0</v>
      </c>
      <c r="AF60" s="85">
        <f>SUM('Game Results'!AF31+'Game Results'!AF49+'Game Results'!AF283+'Game Results'!AF301+'Game Results'!AF564+'Game Results'!AF582+'Game Results'!AF787+'Game Results'!AF798+'Game Results'!AF1093+'Game Results'!AF1075+'Game Results'!AF1165+'Game Results'!AF1147+'Game Results'!AF1320+'Game Results'!AF1338+'Game Results'!AF1417+'Game Results'!AF1399+'Game Results'!AF1741+'Game Results'!AF1723+'Game Results'!AF1795+'Game Results'!AF1813)</f>
        <v>0</v>
      </c>
      <c r="AG60" s="85">
        <f>SUM('Game Results'!AG31+'Game Results'!AG49+'Game Results'!AG283+'Game Results'!AG301+'Game Results'!AG564+'Game Results'!AG582+'Game Results'!AG787+'Game Results'!AG798+'Game Results'!AG1093+'Game Results'!AG1075+'Game Results'!AG1165+'Game Results'!AG1147+'Game Results'!AG1320+'Game Results'!AG1338+'Game Results'!AG1417+'Game Results'!AG1399+'Game Results'!AG1741+'Game Results'!AG1723+'Game Results'!AG1795+'Game Results'!AG1813)</f>
        <v>1</v>
      </c>
      <c r="AH60" s="85">
        <f>SUM('Game Results'!AH31+'Game Results'!AH49+'Game Results'!AH283+'Game Results'!AH301+'Game Results'!AH564+'Game Results'!AH582+'Game Results'!AH787+'Game Results'!AH798+'Game Results'!AH1093+'Game Results'!AH1075+'Game Results'!AH1165+'Game Results'!AH1147+'Game Results'!AH1320+'Game Results'!AH1338+'Game Results'!AH1417+'Game Results'!AH1399+'Game Results'!AH1741+'Game Results'!AH1723+'Game Results'!AH1795+'Game Results'!AH1813)</f>
        <v>0</v>
      </c>
    </row>
    <row r="61">
      <c r="A61" s="83" t="s">
        <v>34</v>
      </c>
      <c r="B61" s="84" t="s">
        <v>229</v>
      </c>
      <c r="C61" s="85">
        <f>SUM('Game Results'!C32+'Game Results'!C50+'Game Results'!C284+'Game Results'!C302+'Game Results'!C565+'Game Results'!C583+'Game Results'!C788+'Game Results'!C799+'Game Results'!C1094+'Game Results'!C1076+'Game Results'!C1166+'Game Results'!C1148+'Game Results'!C1321+'Game Results'!C1339+'Game Results'!C1418+'Game Results'!C1400+'Game Results'!C1742+'Game Results'!C1724+'Game Results'!C1796+'Game Results'!C1814)</f>
        <v>20</v>
      </c>
      <c r="D61" s="85">
        <f>SUM('Game Results'!D32+'Game Results'!D50+'Game Results'!D284+'Game Results'!D302+'Game Results'!D565+'Game Results'!D583+'Game Results'!D788+'Game Results'!D799+'Game Results'!D1094+'Game Results'!D1076+'Game Results'!D1166+'Game Results'!D1148+'Game Results'!D1321+'Game Results'!D1339+'Game Results'!D1418+'Game Results'!D1400+'Game Results'!D1742+'Game Results'!D1724+'Game Results'!D1796+'Game Results'!D1814)</f>
        <v>13</v>
      </c>
      <c r="E61" s="86">
        <f>SUM('Game Results'!E32+'Game Results'!E50+'Game Results'!E284+'Game Results'!E302+'Game Results'!E565+'Game Results'!E583+'Game Results'!E788+'Game Results'!E799+'Game Results'!E1094+'Game Results'!E1076+'Game Results'!E1166+'Game Results'!E1148+'Game Results'!E1321+'Game Results'!E1339+'Game Results'!E1418+'Game Results'!E1400+'Game Results'!E1742+'Game Results'!E1724+'Game Results'!E1796+'Game Results'!E1814)</f>
        <v>378.2666667</v>
      </c>
      <c r="F61" s="85">
        <f>SUM('Game Results'!F32+'Game Results'!F50+'Game Results'!F284+'Game Results'!F302+'Game Results'!F565+'Game Results'!F583+'Game Results'!F788+'Game Results'!F799+'Game Results'!F1094+'Game Results'!F1076+'Game Results'!F1166+'Game Results'!F1148+'Game Results'!F1321+'Game Results'!F1339+'Game Results'!F1418+'Game Results'!F1400+'Game Results'!F1742+'Game Results'!F1724+'Game Results'!F1796+'Game Results'!F1814)</f>
        <v>16</v>
      </c>
      <c r="G61" s="85">
        <f>SUM('Game Results'!G32+'Game Results'!G50+'Game Results'!G284+'Game Results'!G302+'Game Results'!G565+'Game Results'!G583+'Game Results'!G788+'Game Results'!G799+'Game Results'!G1094+'Game Results'!G1076+'Game Results'!G1166+'Game Results'!G1148+'Game Results'!G1321+'Game Results'!G1339+'Game Results'!G1418+'Game Results'!G1400+'Game Results'!G1742+'Game Results'!G1724+'Game Results'!G1796+'Game Results'!G1814)</f>
        <v>991</v>
      </c>
      <c r="H61" s="85">
        <f>SUM('Game Results'!H32+'Game Results'!H50+'Game Results'!H284+'Game Results'!H302+'Game Results'!H565+'Game Results'!H583+'Game Results'!H788+'Game Results'!H799+'Game Results'!H1094+'Game Results'!H1076+'Game Results'!H1166+'Game Results'!H1148+'Game Results'!H1321+'Game Results'!H1339+'Game Results'!H1418+'Game Results'!H1400+'Game Results'!H1742+'Game Results'!H1724+'Game Results'!H1796+'Game Results'!H1814)</f>
        <v>6</v>
      </c>
      <c r="I61" s="85">
        <f>SUM('Game Results'!I32+'Game Results'!I50+'Game Results'!I284+'Game Results'!I302+'Game Results'!I565+'Game Results'!I583+'Game Results'!I788+'Game Results'!I799+'Game Results'!I1094+'Game Results'!I1076+'Game Results'!I1166+'Game Results'!I1148+'Game Results'!I1321+'Game Results'!I1339+'Game Results'!I1418+'Game Results'!I1400+'Game Results'!I1742+'Game Results'!I1724+'Game Results'!I1796+'Game Results'!I1814)</f>
        <v>1063</v>
      </c>
      <c r="J61" s="85">
        <f>SUM('Game Results'!J32+'Game Results'!J50+'Game Results'!J284+'Game Results'!J302+'Game Results'!J565+'Game Results'!J583+'Game Results'!J788+'Game Results'!J799+'Game Results'!J1094+'Game Results'!J1076+'Game Results'!J1166+'Game Results'!J1148+'Game Results'!J1321+'Game Results'!J1339+'Game Results'!J1418+'Game Results'!J1400+'Game Results'!J1742+'Game Results'!J1724+'Game Results'!J1796+'Game Results'!J1814)</f>
        <v>-72</v>
      </c>
      <c r="K61" s="87">
        <f t="shared" si="1"/>
        <v>0.9322671684</v>
      </c>
      <c r="L61" s="85">
        <f>SUM('Game Results'!L32+'Game Results'!L50+'Game Results'!L284+'Game Results'!L302+'Game Results'!L565+'Game Results'!L583+'Game Results'!L788+'Game Results'!L799+'Game Results'!L1094+'Game Results'!L1076+'Game Results'!L1166+'Game Results'!L1148+'Game Results'!L1321+'Game Results'!L1339+'Game Results'!L1418+'Game Results'!L1400+'Game Results'!L1742+'Game Results'!L1724+'Game Results'!L1796+'Game Results'!L1814)</f>
        <v>348</v>
      </c>
      <c r="M61" s="85">
        <f>SUM('Game Results'!M32+'Game Results'!M50+'Game Results'!M284+'Game Results'!M302+'Game Results'!M565+'Game Results'!M583+'Game Results'!M788+'Game Results'!M799+'Game Results'!M1094+'Game Results'!M1076+'Game Results'!M1166+'Game Results'!M1148+'Game Results'!M1321+'Game Results'!M1339+'Game Results'!M1418+'Game Results'!M1400+'Game Results'!M1742+'Game Results'!M1724+'Game Results'!M1796+'Game Results'!M1814)</f>
        <v>1137</v>
      </c>
      <c r="N61" s="85">
        <f>SUM('Game Results'!N32+'Game Results'!N50+'Game Results'!N284+'Game Results'!N302+'Game Results'!N565+'Game Results'!N583+'Game Results'!N788+'Game Results'!N799+'Game Results'!N1094+'Game Results'!N1076+'Game Results'!N1166+'Game Results'!N1148+'Game Results'!N1321+'Game Results'!N1339+'Game Results'!N1418+'Game Results'!N1400+'Game Results'!N1742+'Game Results'!N1724+'Game Results'!N1796+'Game Results'!N1814)</f>
        <v>19</v>
      </c>
      <c r="O61" s="88">
        <f>SUM('Game Results'!O32+'Game Results'!O50+'Game Results'!O284+'Game Results'!O302+'Game Results'!O565+'Game Results'!O583+'Game Results'!O788+'Game Results'!O799+'Game Results'!O1094+'Game Results'!O1076+'Game Results'!O1166+'Game Results'!O1148+'Game Results'!O1321+'Game Results'!O1339+'Game Results'!O1418+'Game Results'!O1400+'Game Results'!O1742+'Game Results'!O1724+'Game Results'!O1796+'Game Results'!O1814)</f>
        <v>350.2666667</v>
      </c>
      <c r="P61" s="85">
        <f>SUM('Game Results'!P32+'Game Results'!P50+'Game Results'!P284+'Game Results'!P302+'Game Results'!P565+'Game Results'!P583+'Game Results'!P788+'Game Results'!P799+'Game Results'!P1094+'Game Results'!P1076+'Game Results'!P1166+'Game Results'!P1148+'Game Results'!P1321+'Game Results'!P1339+'Game Results'!P1418+'Game Results'!P1400+'Game Results'!P1742+'Game Results'!P1724+'Game Results'!P1796+'Game Results'!P1814)</f>
        <v>41</v>
      </c>
      <c r="Q61" s="85">
        <f>SUM('Game Results'!Q32+'Game Results'!Q50+'Game Results'!Q284+'Game Results'!Q302+'Game Results'!Q565+'Game Results'!Q583+'Game Results'!Q788+'Game Results'!Q799+'Game Results'!Q1094+'Game Results'!Q1076+'Game Results'!Q1166+'Game Results'!Q1148+'Game Results'!Q1321+'Game Results'!Q1339+'Game Results'!Q1418+'Game Results'!Q1400+'Game Results'!Q1742+'Game Results'!Q1724+'Game Results'!Q1796+'Game Results'!Q1814)</f>
        <v>20</v>
      </c>
      <c r="R61" s="85">
        <f>SUM('Game Results'!R32+'Game Results'!R50+'Game Results'!R284+'Game Results'!R302+'Game Results'!R565+'Game Results'!R583+'Game Results'!R788+'Game Results'!R799+'Game Results'!R1094+'Game Results'!R1076+'Game Results'!R1166+'Game Results'!R1148+'Game Results'!R1321+'Game Results'!R1339+'Game Results'!R1418+'Game Results'!R1400+'Game Results'!R1742+'Game Results'!R1724+'Game Results'!R1796+'Game Results'!R1814)</f>
        <v>71</v>
      </c>
      <c r="S61" s="85">
        <f>SUM('Game Results'!S32+'Game Results'!S50+'Game Results'!S284+'Game Results'!S302+'Game Results'!S565+'Game Results'!S583+'Game Results'!S788+'Game Results'!S799+'Game Results'!S1094+'Game Results'!S1076+'Game Results'!S1166+'Game Results'!S1148+'Game Results'!S1321+'Game Results'!S1339+'Game Results'!S1418+'Game Results'!S1400+'Game Results'!S1742+'Game Results'!S1724+'Game Results'!S1796+'Game Results'!S1814)</f>
        <v>24</v>
      </c>
      <c r="T61" s="85">
        <f>SUM('Game Results'!T32+'Game Results'!T50+'Game Results'!T284+'Game Results'!T302+'Game Results'!T565+'Game Results'!T583+'Game Results'!T788+'Game Results'!T799+'Game Results'!T1094+'Game Results'!T1076+'Game Results'!T1166+'Game Results'!T1148+'Game Results'!T1321+'Game Results'!T1339+'Game Results'!T1418+'Game Results'!T1400+'Game Results'!T1742+'Game Results'!T1724+'Game Results'!T1796+'Game Results'!T1814)</f>
        <v>117</v>
      </c>
      <c r="U61" s="85">
        <f>SUM('Game Results'!U32+'Game Results'!U50+'Game Results'!U284+'Game Results'!U302+'Game Results'!U565+'Game Results'!U583+'Game Results'!U788+'Game Results'!U799+'Game Results'!U1094+'Game Results'!U1076+'Game Results'!U1166+'Game Results'!U1148+'Game Results'!U1321+'Game Results'!U1339+'Game Results'!U1418+'Game Results'!U1400+'Game Results'!U1742+'Game Results'!U1724+'Game Results'!U1796+'Game Results'!U1814)</f>
        <v>27</v>
      </c>
      <c r="V61" s="85">
        <f>SUM('Game Results'!V32+'Game Results'!V50+'Game Results'!V284+'Game Results'!V302+'Game Results'!V565+'Game Results'!V583+'Game Results'!V788+'Game Results'!V799+'Game Results'!V1094+'Game Results'!V1076+'Game Results'!V1166+'Game Results'!V1148+'Game Results'!V1321+'Game Results'!V1339+'Game Results'!V1418+'Game Results'!V1400+'Game Results'!V1742+'Game Results'!V1724+'Game Results'!V1796+'Game Results'!V1814)</f>
        <v>6</v>
      </c>
      <c r="W61" s="85">
        <f>SUM('Game Results'!W32+'Game Results'!W50+'Game Results'!W284+'Game Results'!W302+'Game Results'!W565+'Game Results'!W583+'Game Results'!W788+'Game Results'!W799+'Game Results'!W1094+'Game Results'!W1076+'Game Results'!W1166+'Game Results'!W1148+'Game Results'!W1321+'Game Results'!W1339+'Game Results'!W1418+'Game Results'!W1400+'Game Results'!W1742+'Game Results'!W1724+'Game Results'!W1796+'Game Results'!W1814)</f>
        <v>2</v>
      </c>
      <c r="X61" s="85">
        <f>SUM('Game Results'!X32+'Game Results'!X50+'Game Results'!X284+'Game Results'!X302+'Game Results'!X565+'Game Results'!X583+'Game Results'!X788+'Game Results'!X799+'Game Results'!X1094+'Game Results'!X1076+'Game Results'!X1166+'Game Results'!X1148+'Game Results'!X1321+'Game Results'!X1339+'Game Results'!X1418+'Game Results'!X1400+'Game Results'!X1742+'Game Results'!X1724+'Game Results'!X1796+'Game Results'!X1814)</f>
        <v>1</v>
      </c>
      <c r="Y61" s="85">
        <f>SUM('Game Results'!Y32+'Game Results'!Y50+'Game Results'!Y284+'Game Results'!Y302+'Game Results'!Y565+'Game Results'!Y583+'Game Results'!Y788+'Game Results'!Y799+'Game Results'!Y1094+'Game Results'!Y1076+'Game Results'!Y1166+'Game Results'!Y1148+'Game Results'!Y1321+'Game Results'!Y1339+'Game Results'!Y1418+'Game Results'!Y1400+'Game Results'!Y1742+'Game Results'!Y1724+'Game Results'!Y1796+'Game Results'!Y1814)</f>
        <v>0</v>
      </c>
      <c r="Z61" s="85">
        <f>SUM('Game Results'!Z32+'Game Results'!Z50+'Game Results'!Z284+'Game Results'!Z302+'Game Results'!Z565+'Game Results'!Z583+'Game Results'!Z788+'Game Results'!Z799+'Game Results'!Z1094+'Game Results'!Z1076+'Game Results'!Z1166+'Game Results'!Z1148+'Game Results'!Z1321+'Game Results'!Z1339+'Game Results'!Z1418+'Game Results'!Z1400+'Game Results'!Z1742+'Game Results'!Z1724+'Game Results'!Z1796+'Game Results'!Z1814)</f>
        <v>0</v>
      </c>
      <c r="AA61" s="85">
        <f>SUM('Game Results'!AA32+'Game Results'!AA50+'Game Results'!AA284+'Game Results'!AA302+'Game Results'!AA565+'Game Results'!AA583+'Game Results'!AA788+'Game Results'!AA799+'Game Results'!AA1094+'Game Results'!AA1076+'Game Results'!AA1166+'Game Results'!AA1148+'Game Results'!AA1321+'Game Results'!AA1339+'Game Results'!AA1418+'Game Results'!AA1400+'Game Results'!AA1742+'Game Results'!AA1724+'Game Results'!AA1796+'Game Results'!AA1814)</f>
        <v>0</v>
      </c>
      <c r="AB61" s="85">
        <f>SUM('Game Results'!AB32+'Game Results'!AB50+'Game Results'!AB284+'Game Results'!AB302+'Game Results'!AB565+'Game Results'!AB583+'Game Results'!AB788+'Game Results'!AB799+'Game Results'!AB1094+'Game Results'!AB1076+'Game Results'!AB1166+'Game Results'!AB1148+'Game Results'!AB1321+'Game Results'!AB1339+'Game Results'!AB1418+'Game Results'!AB1400+'Game Results'!AB1742+'Game Results'!AB1724+'Game Results'!AB1796+'Game Results'!AB1814)</f>
        <v>0</v>
      </c>
      <c r="AC61" s="85">
        <f>SUM('Game Results'!AC32+'Game Results'!AC50+'Game Results'!AC284+'Game Results'!AC302+'Game Results'!AC565+'Game Results'!AC583+'Game Results'!AC788+'Game Results'!AC799+'Game Results'!AC1094+'Game Results'!AC1076+'Game Results'!AC1166+'Game Results'!AC1148+'Game Results'!AC1321+'Game Results'!AC1339+'Game Results'!AC1418+'Game Results'!AC1400+'Game Results'!AC1742+'Game Results'!AC1724+'Game Results'!AC1796+'Game Results'!AC1814)</f>
        <v>16</v>
      </c>
      <c r="AD61" s="85">
        <f>SUM('Game Results'!AD32+'Game Results'!AD50+'Game Results'!AD284+'Game Results'!AD302+'Game Results'!AD565+'Game Results'!AD583+'Game Results'!AD788+'Game Results'!AD799+'Game Results'!AD1094+'Game Results'!AD1076+'Game Results'!AD1166+'Game Results'!AD1148+'Game Results'!AD1321+'Game Results'!AD1339+'Game Results'!AD1418+'Game Results'!AD1400+'Game Results'!AD1742+'Game Results'!AD1724+'Game Results'!AD1796+'Game Results'!AD1814)</f>
        <v>1</v>
      </c>
      <c r="AE61" s="85">
        <f>SUM('Game Results'!AE32+'Game Results'!AE50+'Game Results'!AE284+'Game Results'!AE302+'Game Results'!AE565+'Game Results'!AE583+'Game Results'!AE788+'Game Results'!AE799+'Game Results'!AE1094+'Game Results'!AE1076+'Game Results'!AE1166+'Game Results'!AE1148+'Game Results'!AE1321+'Game Results'!AE1339+'Game Results'!AE1418+'Game Results'!AE1400+'Game Results'!AE1742+'Game Results'!AE1724+'Game Results'!AE1796+'Game Results'!AE1814)</f>
        <v>0</v>
      </c>
      <c r="AF61" s="85">
        <f>SUM('Game Results'!AF32+'Game Results'!AF50+'Game Results'!AF284+'Game Results'!AF302+'Game Results'!AF565+'Game Results'!AF583+'Game Results'!AF788+'Game Results'!AF799+'Game Results'!AF1094+'Game Results'!AF1076+'Game Results'!AF1166+'Game Results'!AF1148+'Game Results'!AF1321+'Game Results'!AF1339+'Game Results'!AF1418+'Game Results'!AF1400+'Game Results'!AF1742+'Game Results'!AF1724+'Game Results'!AF1796+'Game Results'!AF1814)</f>
        <v>0</v>
      </c>
      <c r="AG61" s="85">
        <f>SUM('Game Results'!AG32+'Game Results'!AG50+'Game Results'!AG284+'Game Results'!AG302+'Game Results'!AG565+'Game Results'!AG583+'Game Results'!AG788+'Game Results'!AG799+'Game Results'!AG1094+'Game Results'!AG1076+'Game Results'!AG1166+'Game Results'!AG1148+'Game Results'!AG1321+'Game Results'!AG1339+'Game Results'!AG1418+'Game Results'!AG1400+'Game Results'!AG1742+'Game Results'!AG1724+'Game Results'!AG1796+'Game Results'!AG1814)</f>
        <v>1</v>
      </c>
      <c r="AH61" s="85">
        <f>SUM('Game Results'!AH32+'Game Results'!AH50+'Game Results'!AH284+'Game Results'!AH302+'Game Results'!AH565+'Game Results'!AH583+'Game Results'!AH788+'Game Results'!AH799+'Game Results'!AH1094+'Game Results'!AH1076+'Game Results'!AH1166+'Game Results'!AH1148+'Game Results'!AH1321+'Game Results'!AH1339+'Game Results'!AH1418+'Game Results'!AH1400+'Game Results'!AH1742+'Game Results'!AH1724+'Game Results'!AH1796+'Game Results'!AH1814)</f>
        <v>0</v>
      </c>
    </row>
    <row r="62">
      <c r="A62" s="83" t="s">
        <v>34</v>
      </c>
      <c r="B62" s="84" t="s">
        <v>230</v>
      </c>
      <c r="C62" s="85">
        <f>SUM('Game Results'!C33+'Game Results'!C51+'Game Results'!C285+'Game Results'!C303+'Game Results'!C566+'Game Results'!C584+'Game Results'!C789+'Game Results'!C800+'Game Results'!C1095+'Game Results'!C1077+'Game Results'!C1167+'Game Results'!C1149+'Game Results'!C1322+'Game Results'!C1340+'Game Results'!C1419+'Game Results'!C1401+'Game Results'!C1743+'Game Results'!C1725+'Game Results'!C1797+'Game Results'!C1815)</f>
        <v>20</v>
      </c>
      <c r="D62" s="85">
        <f>SUM('Game Results'!D33+'Game Results'!D51+'Game Results'!D285+'Game Results'!D303+'Game Results'!D566+'Game Results'!D584+'Game Results'!D789+'Game Results'!D800+'Game Results'!D1095+'Game Results'!D1077+'Game Results'!D1167+'Game Results'!D1149+'Game Results'!D1322+'Game Results'!D1340+'Game Results'!D1419+'Game Results'!D1401+'Game Results'!D1743+'Game Results'!D1725+'Game Results'!D1797+'Game Results'!D1815)</f>
        <v>13</v>
      </c>
      <c r="E62" s="86">
        <f>SUM('Game Results'!E33+'Game Results'!E51+'Game Results'!E285+'Game Results'!E303+'Game Results'!E566+'Game Results'!E584+'Game Results'!E789+'Game Results'!E800+'Game Results'!E1095+'Game Results'!E1077+'Game Results'!E1167+'Game Results'!E1149+'Game Results'!E1322+'Game Results'!E1340+'Game Results'!E1419+'Game Results'!E1401+'Game Results'!E1743+'Game Results'!E1725+'Game Results'!E1797+'Game Results'!E1815)</f>
        <v>377.1166667</v>
      </c>
      <c r="F62" s="85">
        <f>SUM('Game Results'!F33+'Game Results'!F51+'Game Results'!F285+'Game Results'!F303+'Game Results'!F566+'Game Results'!F584+'Game Results'!F789+'Game Results'!F800+'Game Results'!F1095+'Game Results'!F1077+'Game Results'!F1167+'Game Results'!F1149+'Game Results'!F1322+'Game Results'!F1340+'Game Results'!F1419+'Game Results'!F1401+'Game Results'!F1743+'Game Results'!F1725+'Game Results'!F1797+'Game Results'!F1815)</f>
        <v>17</v>
      </c>
      <c r="G62" s="85">
        <f>SUM('Game Results'!G33+'Game Results'!G51+'Game Results'!G285+'Game Results'!G303+'Game Results'!G566+'Game Results'!G584+'Game Results'!G789+'Game Results'!G800+'Game Results'!G1095+'Game Results'!G1077+'Game Results'!G1167+'Game Results'!G1149+'Game Results'!G1322+'Game Results'!G1340+'Game Results'!G1419+'Game Results'!G1401+'Game Results'!G1743+'Game Results'!G1725+'Game Results'!G1797+'Game Results'!G1815)</f>
        <v>1210</v>
      </c>
      <c r="H62" s="85">
        <f>SUM('Game Results'!H33+'Game Results'!H51+'Game Results'!H285+'Game Results'!H303+'Game Results'!H566+'Game Results'!H584+'Game Results'!H789+'Game Results'!H800+'Game Results'!H1095+'Game Results'!H1077+'Game Results'!H1167+'Game Results'!H1149+'Game Results'!H1322+'Game Results'!H1340+'Game Results'!H1419+'Game Results'!H1401+'Game Results'!H1743+'Game Results'!H1725+'Game Results'!H1797+'Game Results'!H1815)</f>
        <v>6</v>
      </c>
      <c r="I62" s="85">
        <f>SUM('Game Results'!I33+'Game Results'!I51+'Game Results'!I285+'Game Results'!I303+'Game Results'!I566+'Game Results'!I584+'Game Results'!I789+'Game Results'!I800+'Game Results'!I1095+'Game Results'!I1077+'Game Results'!I1167+'Game Results'!I1149+'Game Results'!I1322+'Game Results'!I1340+'Game Results'!I1419+'Game Results'!I1401+'Game Results'!I1743+'Game Results'!I1725+'Game Results'!I1797+'Game Results'!I1815)</f>
        <v>1433</v>
      </c>
      <c r="J62" s="85">
        <f>SUM('Game Results'!J33+'Game Results'!J51+'Game Results'!J285+'Game Results'!J303+'Game Results'!J566+'Game Results'!J584+'Game Results'!J789+'Game Results'!J800+'Game Results'!J1095+'Game Results'!J1077+'Game Results'!J1167+'Game Results'!J1149+'Game Results'!J1322+'Game Results'!J1340+'Game Results'!J1419+'Game Results'!J1401+'Game Results'!J1743+'Game Results'!J1725+'Game Results'!J1797+'Game Results'!J1815)</f>
        <v>-223</v>
      </c>
      <c r="K62" s="87">
        <f t="shared" si="1"/>
        <v>0.8443824145</v>
      </c>
      <c r="L62" s="85">
        <f>SUM('Game Results'!L33+'Game Results'!L51+'Game Results'!L285+'Game Results'!L303+'Game Results'!L566+'Game Results'!L584+'Game Results'!L789+'Game Results'!L800+'Game Results'!L1095+'Game Results'!L1077+'Game Results'!L1167+'Game Results'!L1149+'Game Results'!L1322+'Game Results'!L1340+'Game Results'!L1419+'Game Results'!L1401+'Game Results'!L1743+'Game Results'!L1725+'Game Results'!L1797+'Game Results'!L1815)</f>
        <v>246</v>
      </c>
      <c r="M62" s="85">
        <f>SUM('Game Results'!M33+'Game Results'!M51+'Game Results'!M285+'Game Results'!M303+'Game Results'!M566+'Game Results'!M584+'Game Results'!M789+'Game Results'!M800+'Game Results'!M1095+'Game Results'!M1077+'Game Results'!M1167+'Game Results'!M1149+'Game Results'!M1322+'Game Results'!M1340+'Game Results'!M1419+'Game Results'!M1401+'Game Results'!M1743+'Game Results'!M1725+'Game Results'!M1797+'Game Results'!M1815)</f>
        <v>1441</v>
      </c>
      <c r="N62" s="85">
        <f>SUM('Game Results'!N33+'Game Results'!N51+'Game Results'!N285+'Game Results'!N303+'Game Results'!N566+'Game Results'!N584+'Game Results'!N789+'Game Results'!N800+'Game Results'!N1095+'Game Results'!N1077+'Game Results'!N1167+'Game Results'!N1149+'Game Results'!N1322+'Game Results'!N1340+'Game Results'!N1419+'Game Results'!N1401+'Game Results'!N1743+'Game Results'!N1725+'Game Results'!N1797+'Game Results'!N1815)</f>
        <v>19</v>
      </c>
      <c r="O62" s="88">
        <f>SUM('Game Results'!O33+'Game Results'!O51+'Game Results'!O285+'Game Results'!O303+'Game Results'!O566+'Game Results'!O584+'Game Results'!O789+'Game Results'!O800+'Game Results'!O1095+'Game Results'!O1077+'Game Results'!O1167+'Game Results'!O1149+'Game Results'!O1322+'Game Results'!O1340+'Game Results'!O1419+'Game Results'!O1401+'Game Results'!O1743+'Game Results'!O1725+'Game Results'!O1797+'Game Results'!O1815)</f>
        <v>349.1166667</v>
      </c>
      <c r="P62" s="85">
        <f>SUM('Game Results'!P33+'Game Results'!P51+'Game Results'!P285+'Game Results'!P303+'Game Results'!P566+'Game Results'!P584+'Game Results'!P789+'Game Results'!P800+'Game Results'!P1095+'Game Results'!P1077+'Game Results'!P1167+'Game Results'!P1149+'Game Results'!P1322+'Game Results'!P1340+'Game Results'!P1419+'Game Results'!P1401+'Game Results'!P1743+'Game Results'!P1725+'Game Results'!P1797+'Game Results'!P1815)</f>
        <v>58</v>
      </c>
      <c r="Q62" s="85">
        <f>SUM('Game Results'!Q33+'Game Results'!Q51+'Game Results'!Q285+'Game Results'!Q303+'Game Results'!Q566+'Game Results'!Q584+'Game Results'!Q789+'Game Results'!Q800+'Game Results'!Q1095+'Game Results'!Q1077+'Game Results'!Q1167+'Game Results'!Q1149+'Game Results'!Q1322+'Game Results'!Q1340+'Game Results'!Q1419+'Game Results'!Q1401+'Game Results'!Q1743+'Game Results'!Q1725+'Game Results'!Q1797+'Game Results'!Q1815)</f>
        <v>32</v>
      </c>
      <c r="R62" s="85">
        <f>SUM('Game Results'!R33+'Game Results'!R51+'Game Results'!R285+'Game Results'!R303+'Game Results'!R566+'Game Results'!R584+'Game Results'!R789+'Game Results'!R800+'Game Results'!R1095+'Game Results'!R1077+'Game Results'!R1167+'Game Results'!R1149+'Game Results'!R1322+'Game Results'!R1340+'Game Results'!R1419+'Game Results'!R1401+'Game Results'!R1743+'Game Results'!R1725+'Game Results'!R1797+'Game Results'!R1815)</f>
        <v>83</v>
      </c>
      <c r="S62" s="85">
        <f>SUM('Game Results'!S33+'Game Results'!S51+'Game Results'!S285+'Game Results'!S303+'Game Results'!S566+'Game Results'!S584+'Game Results'!S789+'Game Results'!S800+'Game Results'!S1095+'Game Results'!S1077+'Game Results'!S1167+'Game Results'!S1149+'Game Results'!S1322+'Game Results'!S1340+'Game Results'!S1419+'Game Results'!S1401+'Game Results'!S1743+'Game Results'!S1725+'Game Results'!S1797+'Game Results'!S1815)</f>
        <v>23</v>
      </c>
      <c r="T62" s="85">
        <f>SUM('Game Results'!T33+'Game Results'!T51+'Game Results'!T285+'Game Results'!T303+'Game Results'!T566+'Game Results'!T584+'Game Results'!T789+'Game Results'!T800+'Game Results'!T1095+'Game Results'!T1077+'Game Results'!T1167+'Game Results'!T1149+'Game Results'!T1322+'Game Results'!T1340+'Game Results'!T1419+'Game Results'!T1401+'Game Results'!T1743+'Game Results'!T1725+'Game Results'!T1797+'Game Results'!T1815)</f>
        <v>163</v>
      </c>
      <c r="U62" s="85">
        <f>SUM('Game Results'!U33+'Game Results'!U51+'Game Results'!U285+'Game Results'!U303+'Game Results'!U566+'Game Results'!U584+'Game Results'!U789+'Game Results'!U800+'Game Results'!U1095+'Game Results'!U1077+'Game Results'!U1167+'Game Results'!U1149+'Game Results'!U1322+'Game Results'!U1340+'Game Results'!U1419+'Game Results'!U1401+'Game Results'!U1743+'Game Results'!U1725+'Game Results'!U1797+'Game Results'!U1815)</f>
        <v>31</v>
      </c>
      <c r="V62" s="85">
        <f>SUM('Game Results'!V33+'Game Results'!V51+'Game Results'!V285+'Game Results'!V303+'Game Results'!V566+'Game Results'!V584+'Game Results'!V789+'Game Results'!V800+'Game Results'!V1095+'Game Results'!V1077+'Game Results'!V1167+'Game Results'!V1149+'Game Results'!V1322+'Game Results'!V1340+'Game Results'!V1419+'Game Results'!V1401+'Game Results'!V1743+'Game Results'!V1725+'Game Results'!V1797+'Game Results'!V1815)</f>
        <v>6</v>
      </c>
      <c r="W62" s="85">
        <f>SUM('Game Results'!W33+'Game Results'!W51+'Game Results'!W285+'Game Results'!W303+'Game Results'!W566+'Game Results'!W584+'Game Results'!W789+'Game Results'!W800+'Game Results'!W1095+'Game Results'!W1077+'Game Results'!W1167+'Game Results'!W1149+'Game Results'!W1322+'Game Results'!W1340+'Game Results'!W1419+'Game Results'!W1401+'Game Results'!W1743+'Game Results'!W1725+'Game Results'!W1797+'Game Results'!W1815)</f>
        <v>1</v>
      </c>
      <c r="X62" s="85">
        <f>SUM('Game Results'!X33+'Game Results'!X51+'Game Results'!X285+'Game Results'!X303+'Game Results'!X566+'Game Results'!X584+'Game Results'!X789+'Game Results'!X800+'Game Results'!X1095+'Game Results'!X1077+'Game Results'!X1167+'Game Results'!X1149+'Game Results'!X1322+'Game Results'!X1340+'Game Results'!X1419+'Game Results'!X1401+'Game Results'!X1743+'Game Results'!X1725+'Game Results'!X1797+'Game Results'!X1815)</f>
        <v>0</v>
      </c>
      <c r="Y62" s="85">
        <f>SUM('Game Results'!Y33+'Game Results'!Y51+'Game Results'!Y285+'Game Results'!Y303+'Game Results'!Y566+'Game Results'!Y584+'Game Results'!Y789+'Game Results'!Y800+'Game Results'!Y1095+'Game Results'!Y1077+'Game Results'!Y1167+'Game Results'!Y1149+'Game Results'!Y1322+'Game Results'!Y1340+'Game Results'!Y1419+'Game Results'!Y1401+'Game Results'!Y1743+'Game Results'!Y1725+'Game Results'!Y1797+'Game Results'!Y1815)</f>
        <v>0</v>
      </c>
      <c r="Z62" s="85">
        <f>SUM('Game Results'!Z33+'Game Results'!Z51+'Game Results'!Z285+'Game Results'!Z303+'Game Results'!Z566+'Game Results'!Z584+'Game Results'!Z789+'Game Results'!Z800+'Game Results'!Z1095+'Game Results'!Z1077+'Game Results'!Z1167+'Game Results'!Z1149+'Game Results'!Z1322+'Game Results'!Z1340+'Game Results'!Z1419+'Game Results'!Z1401+'Game Results'!Z1743+'Game Results'!Z1725+'Game Results'!Z1797+'Game Results'!Z1815)</f>
        <v>0</v>
      </c>
      <c r="AA62" s="85">
        <f>SUM('Game Results'!AA33+'Game Results'!AA51+'Game Results'!AA285+'Game Results'!AA303+'Game Results'!AA566+'Game Results'!AA584+'Game Results'!AA789+'Game Results'!AA800+'Game Results'!AA1095+'Game Results'!AA1077+'Game Results'!AA1167+'Game Results'!AA1149+'Game Results'!AA1322+'Game Results'!AA1340+'Game Results'!AA1419+'Game Results'!AA1401+'Game Results'!AA1743+'Game Results'!AA1725+'Game Results'!AA1797+'Game Results'!AA1815)</f>
        <v>0</v>
      </c>
      <c r="AB62" s="85">
        <f>SUM('Game Results'!AB33+'Game Results'!AB51+'Game Results'!AB285+'Game Results'!AB303+'Game Results'!AB566+'Game Results'!AB584+'Game Results'!AB789+'Game Results'!AB800+'Game Results'!AB1095+'Game Results'!AB1077+'Game Results'!AB1167+'Game Results'!AB1149+'Game Results'!AB1322+'Game Results'!AB1340+'Game Results'!AB1419+'Game Results'!AB1401+'Game Results'!AB1743+'Game Results'!AB1725+'Game Results'!AB1797+'Game Results'!AB1815)</f>
        <v>0</v>
      </c>
      <c r="AC62" s="85">
        <f>SUM('Game Results'!AC33+'Game Results'!AC51+'Game Results'!AC285+'Game Results'!AC303+'Game Results'!AC566+'Game Results'!AC584+'Game Results'!AC789+'Game Results'!AC800+'Game Results'!AC1095+'Game Results'!AC1077+'Game Results'!AC1167+'Game Results'!AC1149+'Game Results'!AC1322+'Game Results'!AC1340+'Game Results'!AC1419+'Game Results'!AC1401+'Game Results'!AC1743+'Game Results'!AC1725+'Game Results'!AC1797+'Game Results'!AC1815)</f>
        <v>17</v>
      </c>
      <c r="AD62" s="85">
        <f>SUM('Game Results'!AD33+'Game Results'!AD51+'Game Results'!AD285+'Game Results'!AD303+'Game Results'!AD566+'Game Results'!AD584+'Game Results'!AD789+'Game Results'!AD800+'Game Results'!AD1095+'Game Results'!AD1077+'Game Results'!AD1167+'Game Results'!AD1149+'Game Results'!AD1322+'Game Results'!AD1340+'Game Results'!AD1419+'Game Results'!AD1401+'Game Results'!AD1743+'Game Results'!AD1725+'Game Results'!AD1797+'Game Results'!AD1815)</f>
        <v>0</v>
      </c>
      <c r="AE62" s="85">
        <f>SUM('Game Results'!AE33+'Game Results'!AE51+'Game Results'!AE285+'Game Results'!AE303+'Game Results'!AE566+'Game Results'!AE584+'Game Results'!AE789+'Game Results'!AE800+'Game Results'!AE1095+'Game Results'!AE1077+'Game Results'!AE1167+'Game Results'!AE1149+'Game Results'!AE1322+'Game Results'!AE1340+'Game Results'!AE1419+'Game Results'!AE1401+'Game Results'!AE1743+'Game Results'!AE1725+'Game Results'!AE1797+'Game Results'!AE1815)</f>
        <v>0</v>
      </c>
      <c r="AF62" s="85">
        <f>SUM('Game Results'!AF33+'Game Results'!AF51+'Game Results'!AF285+'Game Results'!AF303+'Game Results'!AF566+'Game Results'!AF584+'Game Results'!AF789+'Game Results'!AF800+'Game Results'!AF1095+'Game Results'!AF1077+'Game Results'!AF1167+'Game Results'!AF1149+'Game Results'!AF1322+'Game Results'!AF1340+'Game Results'!AF1419+'Game Results'!AF1401+'Game Results'!AF1743+'Game Results'!AF1725+'Game Results'!AF1797+'Game Results'!AF1815)</f>
        <v>0</v>
      </c>
      <c r="AG62" s="85">
        <f>SUM('Game Results'!AG33+'Game Results'!AG51+'Game Results'!AG285+'Game Results'!AG303+'Game Results'!AG566+'Game Results'!AG584+'Game Results'!AG789+'Game Results'!AG800+'Game Results'!AG1095+'Game Results'!AG1077+'Game Results'!AG1167+'Game Results'!AG1149+'Game Results'!AG1322+'Game Results'!AG1340+'Game Results'!AG1419+'Game Results'!AG1401+'Game Results'!AG1743+'Game Results'!AG1725+'Game Results'!AG1797+'Game Results'!AG1815)</f>
        <v>0</v>
      </c>
      <c r="AH62" s="85">
        <f>SUM('Game Results'!AH33+'Game Results'!AH51+'Game Results'!AH285+'Game Results'!AH303+'Game Results'!AH566+'Game Results'!AH584+'Game Results'!AH789+'Game Results'!AH800+'Game Results'!AH1095+'Game Results'!AH1077+'Game Results'!AH1167+'Game Results'!AH1149+'Game Results'!AH1322+'Game Results'!AH1340+'Game Results'!AH1419+'Game Results'!AH1401+'Game Results'!AH1743+'Game Results'!AH1725+'Game Results'!AH1797+'Game Results'!AH1815)</f>
        <v>1</v>
      </c>
    </row>
    <row r="63">
      <c r="A63" s="83" t="s">
        <v>34</v>
      </c>
      <c r="B63" s="84" t="s">
        <v>231</v>
      </c>
      <c r="C63" s="85">
        <f>SUM('Game Results'!C34+'Game Results'!C52+'Game Results'!C286+'Game Results'!C304+'Game Results'!C567+'Game Results'!C585+'Game Results'!C790+'Game Results'!C801+'Game Results'!C1096+'Game Results'!C1078+'Game Results'!C1168+'Game Results'!C1150+'Game Results'!C1323+'Game Results'!C1341+'Game Results'!C1420+'Game Results'!C1402+'Game Results'!C1744+'Game Results'!C1726+'Game Results'!C1798+'Game Results'!C1816)</f>
        <v>0</v>
      </c>
      <c r="D63" s="85">
        <f>SUM('Game Results'!D34+'Game Results'!D52+'Game Results'!D286+'Game Results'!D304+'Game Results'!D567+'Game Results'!D585+'Game Results'!D790+'Game Results'!D801+'Game Results'!D1096+'Game Results'!D1078+'Game Results'!D1168+'Game Results'!D1150+'Game Results'!D1323+'Game Results'!D1341+'Game Results'!D1420+'Game Results'!D1402+'Game Results'!D1744+'Game Results'!D1726+'Game Results'!D1798+'Game Results'!D1816)</f>
        <v>0</v>
      </c>
      <c r="E63" s="86">
        <f>SUM('Game Results'!E34+'Game Results'!E52+'Game Results'!E286+'Game Results'!E304+'Game Results'!E567+'Game Results'!E585+'Game Results'!E790+'Game Results'!E801+'Game Results'!E1096+'Game Results'!E1078+'Game Results'!E1168+'Game Results'!E1150+'Game Results'!E1323+'Game Results'!E1341+'Game Results'!E1420+'Game Results'!E1402+'Game Results'!E1744+'Game Results'!E1726+'Game Results'!E1798+'Game Results'!E1816)</f>
        <v>0</v>
      </c>
      <c r="F63" s="85">
        <f>SUM('Game Results'!F34+'Game Results'!F52+'Game Results'!F286+'Game Results'!F304+'Game Results'!F567+'Game Results'!F585+'Game Results'!F790+'Game Results'!F801+'Game Results'!F1096+'Game Results'!F1078+'Game Results'!F1168+'Game Results'!F1150+'Game Results'!F1323+'Game Results'!F1341+'Game Results'!F1420+'Game Results'!F1402+'Game Results'!F1744+'Game Results'!F1726+'Game Results'!F1798+'Game Results'!F1816)</f>
        <v>0</v>
      </c>
      <c r="G63" s="85">
        <f>SUM('Game Results'!G34+'Game Results'!G52+'Game Results'!G286+'Game Results'!G304+'Game Results'!G567+'Game Results'!G585+'Game Results'!G790+'Game Results'!G801+'Game Results'!G1096+'Game Results'!G1078+'Game Results'!G1168+'Game Results'!G1150+'Game Results'!G1323+'Game Results'!G1341+'Game Results'!G1420+'Game Results'!G1402+'Game Results'!G1744+'Game Results'!G1726+'Game Results'!G1798+'Game Results'!G1816)</f>
        <v>0</v>
      </c>
      <c r="H63" s="85">
        <f>SUM('Game Results'!H34+'Game Results'!H52+'Game Results'!H286+'Game Results'!H304+'Game Results'!H567+'Game Results'!H585+'Game Results'!H790+'Game Results'!H801+'Game Results'!H1096+'Game Results'!H1078+'Game Results'!H1168+'Game Results'!H1150+'Game Results'!H1323+'Game Results'!H1341+'Game Results'!H1420+'Game Results'!H1402+'Game Results'!H1744+'Game Results'!H1726+'Game Results'!H1798+'Game Results'!H1816)</f>
        <v>0</v>
      </c>
      <c r="I63" s="85">
        <f>SUM('Game Results'!I34+'Game Results'!I52+'Game Results'!I286+'Game Results'!I304+'Game Results'!I567+'Game Results'!I585+'Game Results'!I790+'Game Results'!I801+'Game Results'!I1096+'Game Results'!I1078+'Game Results'!I1168+'Game Results'!I1150+'Game Results'!I1323+'Game Results'!I1341+'Game Results'!I1420+'Game Results'!I1402+'Game Results'!I1744+'Game Results'!I1726+'Game Results'!I1798+'Game Results'!I1816)</f>
        <v>0</v>
      </c>
      <c r="J63" s="85">
        <f>SUM('Game Results'!J34+'Game Results'!J52+'Game Results'!J286+'Game Results'!J304+'Game Results'!J567+'Game Results'!J585+'Game Results'!J790+'Game Results'!J801+'Game Results'!J1096+'Game Results'!J1078+'Game Results'!J1168+'Game Results'!J1150+'Game Results'!J1323+'Game Results'!J1341+'Game Results'!J1420+'Game Results'!J1402+'Game Results'!J1744+'Game Results'!J1726+'Game Results'!J1798+'Game Results'!J1816)</f>
        <v>0</v>
      </c>
      <c r="K63" s="87" t="str">
        <f t="shared" si="1"/>
        <v>#DIV/0!</v>
      </c>
      <c r="L63" s="85">
        <f>SUM('Game Results'!L34+'Game Results'!L52+'Game Results'!L286+'Game Results'!L304+'Game Results'!L567+'Game Results'!L585+'Game Results'!L790+'Game Results'!L801+'Game Results'!L1096+'Game Results'!L1078+'Game Results'!L1168+'Game Results'!L1150+'Game Results'!L1323+'Game Results'!L1341+'Game Results'!L1420+'Game Results'!L1402+'Game Results'!L1744+'Game Results'!L1726+'Game Results'!L1798+'Game Results'!L1816)</f>
        <v>0</v>
      </c>
      <c r="M63" s="85">
        <f>SUM('Game Results'!M34+'Game Results'!M52+'Game Results'!M286+'Game Results'!M304+'Game Results'!M567+'Game Results'!M585+'Game Results'!M790+'Game Results'!M801+'Game Results'!M1096+'Game Results'!M1078+'Game Results'!M1168+'Game Results'!M1150+'Game Results'!M1323+'Game Results'!M1341+'Game Results'!M1420+'Game Results'!M1402+'Game Results'!M1744+'Game Results'!M1726+'Game Results'!M1798+'Game Results'!M1816)</f>
        <v>0</v>
      </c>
      <c r="N63" s="85">
        <f>SUM('Game Results'!N34+'Game Results'!N52+'Game Results'!N286+'Game Results'!N304+'Game Results'!N567+'Game Results'!N585+'Game Results'!N790+'Game Results'!N801+'Game Results'!N1096+'Game Results'!N1078+'Game Results'!N1168+'Game Results'!N1150+'Game Results'!N1323+'Game Results'!N1341+'Game Results'!N1420+'Game Results'!N1402+'Game Results'!N1744+'Game Results'!N1726+'Game Results'!N1798+'Game Results'!N1816)</f>
        <v>0</v>
      </c>
      <c r="O63" s="88">
        <f>SUM('Game Results'!O34+'Game Results'!O52+'Game Results'!O286+'Game Results'!O304+'Game Results'!O567+'Game Results'!O585+'Game Results'!O790+'Game Results'!O801+'Game Results'!O1096+'Game Results'!O1078+'Game Results'!O1168+'Game Results'!O1150+'Game Results'!O1323+'Game Results'!O1341+'Game Results'!O1420+'Game Results'!O1402+'Game Results'!O1744+'Game Results'!O1726+'Game Results'!O1798+'Game Results'!O1816)</f>
        <v>0</v>
      </c>
      <c r="P63" s="85">
        <f>SUM('Game Results'!P34+'Game Results'!P52+'Game Results'!P286+'Game Results'!P304+'Game Results'!P567+'Game Results'!P585+'Game Results'!P790+'Game Results'!P801+'Game Results'!P1096+'Game Results'!P1078+'Game Results'!P1168+'Game Results'!P1150+'Game Results'!P1323+'Game Results'!P1341+'Game Results'!P1420+'Game Results'!P1402+'Game Results'!P1744+'Game Results'!P1726+'Game Results'!P1798+'Game Results'!P1816)</f>
        <v>0</v>
      </c>
      <c r="Q63" s="85">
        <f>SUM('Game Results'!Q34+'Game Results'!Q52+'Game Results'!Q286+'Game Results'!Q304+'Game Results'!Q567+'Game Results'!Q585+'Game Results'!Q790+'Game Results'!Q801+'Game Results'!Q1096+'Game Results'!Q1078+'Game Results'!Q1168+'Game Results'!Q1150+'Game Results'!Q1323+'Game Results'!Q1341+'Game Results'!Q1420+'Game Results'!Q1402+'Game Results'!Q1744+'Game Results'!Q1726+'Game Results'!Q1798+'Game Results'!Q1816)</f>
        <v>0</v>
      </c>
      <c r="R63" s="85">
        <f>SUM('Game Results'!R34+'Game Results'!R52+'Game Results'!R286+'Game Results'!R304+'Game Results'!R567+'Game Results'!R585+'Game Results'!R790+'Game Results'!R801+'Game Results'!R1096+'Game Results'!R1078+'Game Results'!R1168+'Game Results'!R1150+'Game Results'!R1323+'Game Results'!R1341+'Game Results'!R1420+'Game Results'!R1402+'Game Results'!R1744+'Game Results'!R1726+'Game Results'!R1798+'Game Results'!R1816)</f>
        <v>0</v>
      </c>
      <c r="S63" s="85">
        <f>SUM('Game Results'!S34+'Game Results'!S52+'Game Results'!S286+'Game Results'!S304+'Game Results'!S567+'Game Results'!S585+'Game Results'!S790+'Game Results'!S801+'Game Results'!S1096+'Game Results'!S1078+'Game Results'!S1168+'Game Results'!S1150+'Game Results'!S1323+'Game Results'!S1341+'Game Results'!S1420+'Game Results'!S1402+'Game Results'!S1744+'Game Results'!S1726+'Game Results'!S1798+'Game Results'!S1816)</f>
        <v>0</v>
      </c>
      <c r="T63" s="85">
        <f>SUM('Game Results'!T34+'Game Results'!T52+'Game Results'!T286+'Game Results'!T304+'Game Results'!T567+'Game Results'!T585+'Game Results'!T790+'Game Results'!T801+'Game Results'!T1096+'Game Results'!T1078+'Game Results'!T1168+'Game Results'!T1150+'Game Results'!T1323+'Game Results'!T1341+'Game Results'!T1420+'Game Results'!T1402+'Game Results'!T1744+'Game Results'!T1726+'Game Results'!T1798+'Game Results'!T1816)</f>
        <v>0</v>
      </c>
      <c r="U63" s="85">
        <f>SUM('Game Results'!U34+'Game Results'!U52+'Game Results'!U286+'Game Results'!U304+'Game Results'!U567+'Game Results'!U585+'Game Results'!U790+'Game Results'!U801+'Game Results'!U1096+'Game Results'!U1078+'Game Results'!U1168+'Game Results'!U1150+'Game Results'!U1323+'Game Results'!U1341+'Game Results'!U1420+'Game Results'!U1402+'Game Results'!U1744+'Game Results'!U1726+'Game Results'!U1798+'Game Results'!U1816)</f>
        <v>0</v>
      </c>
      <c r="V63" s="85">
        <f>SUM('Game Results'!V34+'Game Results'!V52+'Game Results'!V286+'Game Results'!V304+'Game Results'!V567+'Game Results'!V585+'Game Results'!V790+'Game Results'!V801+'Game Results'!V1096+'Game Results'!V1078+'Game Results'!V1168+'Game Results'!V1150+'Game Results'!V1323+'Game Results'!V1341+'Game Results'!V1420+'Game Results'!V1402+'Game Results'!V1744+'Game Results'!V1726+'Game Results'!V1798+'Game Results'!V1816)</f>
        <v>0</v>
      </c>
      <c r="W63" s="85">
        <f>SUM('Game Results'!W34+'Game Results'!W52+'Game Results'!W286+'Game Results'!W304+'Game Results'!W567+'Game Results'!W585+'Game Results'!W790+'Game Results'!W801+'Game Results'!W1096+'Game Results'!W1078+'Game Results'!W1168+'Game Results'!W1150+'Game Results'!W1323+'Game Results'!W1341+'Game Results'!W1420+'Game Results'!W1402+'Game Results'!W1744+'Game Results'!W1726+'Game Results'!W1798+'Game Results'!W1816)</f>
        <v>0</v>
      </c>
      <c r="X63" s="85">
        <f>SUM('Game Results'!X34+'Game Results'!X52+'Game Results'!X286+'Game Results'!X304+'Game Results'!X567+'Game Results'!X585+'Game Results'!X790+'Game Results'!X801+'Game Results'!X1096+'Game Results'!X1078+'Game Results'!X1168+'Game Results'!X1150+'Game Results'!X1323+'Game Results'!X1341+'Game Results'!X1420+'Game Results'!X1402+'Game Results'!X1744+'Game Results'!X1726+'Game Results'!X1798+'Game Results'!X1816)</f>
        <v>0</v>
      </c>
      <c r="Y63" s="85">
        <f>SUM('Game Results'!Y34+'Game Results'!Y52+'Game Results'!Y286+'Game Results'!Y304+'Game Results'!Y567+'Game Results'!Y585+'Game Results'!Y790+'Game Results'!Y801+'Game Results'!Y1096+'Game Results'!Y1078+'Game Results'!Y1168+'Game Results'!Y1150+'Game Results'!Y1323+'Game Results'!Y1341+'Game Results'!Y1420+'Game Results'!Y1402+'Game Results'!Y1744+'Game Results'!Y1726+'Game Results'!Y1798+'Game Results'!Y1816)</f>
        <v>0</v>
      </c>
      <c r="Z63" s="85">
        <f>SUM('Game Results'!Z34+'Game Results'!Z52+'Game Results'!Z286+'Game Results'!Z304+'Game Results'!Z567+'Game Results'!Z585+'Game Results'!Z790+'Game Results'!Z801+'Game Results'!Z1096+'Game Results'!Z1078+'Game Results'!Z1168+'Game Results'!Z1150+'Game Results'!Z1323+'Game Results'!Z1341+'Game Results'!Z1420+'Game Results'!Z1402+'Game Results'!Z1744+'Game Results'!Z1726+'Game Results'!Z1798+'Game Results'!Z1816)</f>
        <v>0</v>
      </c>
      <c r="AA63" s="85">
        <f>SUM('Game Results'!AA34+'Game Results'!AA52+'Game Results'!AA286+'Game Results'!AA304+'Game Results'!AA567+'Game Results'!AA585+'Game Results'!AA790+'Game Results'!AA801+'Game Results'!AA1096+'Game Results'!AA1078+'Game Results'!AA1168+'Game Results'!AA1150+'Game Results'!AA1323+'Game Results'!AA1341+'Game Results'!AA1420+'Game Results'!AA1402+'Game Results'!AA1744+'Game Results'!AA1726+'Game Results'!AA1798+'Game Results'!AA1816)</f>
        <v>0</v>
      </c>
      <c r="AB63" s="85">
        <f>SUM('Game Results'!AB34+'Game Results'!AB52+'Game Results'!AB286+'Game Results'!AB304+'Game Results'!AB567+'Game Results'!AB585+'Game Results'!AB790+'Game Results'!AB801+'Game Results'!AB1096+'Game Results'!AB1078+'Game Results'!AB1168+'Game Results'!AB1150+'Game Results'!AB1323+'Game Results'!AB1341+'Game Results'!AB1420+'Game Results'!AB1402+'Game Results'!AB1744+'Game Results'!AB1726+'Game Results'!AB1798+'Game Results'!AB1816)</f>
        <v>0</v>
      </c>
      <c r="AC63" s="85">
        <f>SUM('Game Results'!AC34+'Game Results'!AC52+'Game Results'!AC286+'Game Results'!AC304+'Game Results'!AC567+'Game Results'!AC585+'Game Results'!AC790+'Game Results'!AC801+'Game Results'!AC1096+'Game Results'!AC1078+'Game Results'!AC1168+'Game Results'!AC1150+'Game Results'!AC1323+'Game Results'!AC1341+'Game Results'!AC1420+'Game Results'!AC1402+'Game Results'!AC1744+'Game Results'!AC1726+'Game Results'!AC1798+'Game Results'!AC1816)</f>
        <v>0</v>
      </c>
      <c r="AD63" s="85">
        <f>SUM('Game Results'!AD34+'Game Results'!AD52+'Game Results'!AD286+'Game Results'!AD304+'Game Results'!AD567+'Game Results'!AD585+'Game Results'!AD790+'Game Results'!AD801+'Game Results'!AD1096+'Game Results'!AD1078+'Game Results'!AD1168+'Game Results'!AD1150+'Game Results'!AD1323+'Game Results'!AD1341+'Game Results'!AD1420+'Game Results'!AD1402+'Game Results'!AD1744+'Game Results'!AD1726+'Game Results'!AD1798+'Game Results'!AD1816)</f>
        <v>0</v>
      </c>
      <c r="AE63" s="85">
        <f>SUM('Game Results'!AE34+'Game Results'!AE52+'Game Results'!AE286+'Game Results'!AE304+'Game Results'!AE567+'Game Results'!AE585+'Game Results'!AE790+'Game Results'!AE801+'Game Results'!AE1096+'Game Results'!AE1078+'Game Results'!AE1168+'Game Results'!AE1150+'Game Results'!AE1323+'Game Results'!AE1341+'Game Results'!AE1420+'Game Results'!AE1402+'Game Results'!AE1744+'Game Results'!AE1726+'Game Results'!AE1798+'Game Results'!AE1816)</f>
        <v>0</v>
      </c>
      <c r="AF63" s="85">
        <f>SUM('Game Results'!AF34+'Game Results'!AF52+'Game Results'!AF286+'Game Results'!AF304+'Game Results'!AF567+'Game Results'!AF585+'Game Results'!AF790+'Game Results'!AF801+'Game Results'!AF1096+'Game Results'!AF1078+'Game Results'!AF1168+'Game Results'!AF1150+'Game Results'!AF1323+'Game Results'!AF1341+'Game Results'!AF1420+'Game Results'!AF1402+'Game Results'!AF1744+'Game Results'!AF1726+'Game Results'!AF1798+'Game Results'!AF1816)</f>
        <v>0</v>
      </c>
      <c r="AG63" s="85">
        <f>SUM('Game Results'!AG34+'Game Results'!AG52+'Game Results'!AG286+'Game Results'!AG304+'Game Results'!AG567+'Game Results'!AG585+'Game Results'!AG790+'Game Results'!AG801+'Game Results'!AG1096+'Game Results'!AG1078+'Game Results'!AG1168+'Game Results'!AG1150+'Game Results'!AG1323+'Game Results'!AG1341+'Game Results'!AG1420+'Game Results'!AG1402+'Game Results'!AG1744+'Game Results'!AG1726+'Game Results'!AG1798+'Game Results'!AG1816)</f>
        <v>0</v>
      </c>
      <c r="AH63" s="85">
        <f>SUM('Game Results'!AH34+'Game Results'!AH52+'Game Results'!AH286+'Game Results'!AH304+'Game Results'!AH567+'Game Results'!AH585+'Game Results'!AH790+'Game Results'!AH801+'Game Results'!AH1096+'Game Results'!AH1078+'Game Results'!AH1168+'Game Results'!AH1150+'Game Results'!AH1323+'Game Results'!AH1341+'Game Results'!AH1420+'Game Results'!AH1402+'Game Results'!AH1744+'Game Results'!AH1726+'Game Results'!AH1798+'Game Results'!AH1816)</f>
        <v>0</v>
      </c>
    </row>
    <row r="64">
      <c r="A64" s="83" t="s">
        <v>34</v>
      </c>
      <c r="B64" s="93"/>
      <c r="C64" s="85">
        <f>SUM('Game Results'!C35+'Game Results'!C53+'Game Results'!C287+'Game Results'!C305+'Game Results'!C568+'Game Results'!C586+'Game Results'!C791+'Game Results'!C802+'Game Results'!C1097+'Game Results'!C1079+'Game Results'!C1169+'Game Results'!C1151+'Game Results'!C1324+'Game Results'!C1342+'Game Results'!C1421+'Game Results'!C1403+'Game Results'!C1745+'Game Results'!C1727+'Game Results'!C1799+'Game Results'!C1817)</f>
        <v>0</v>
      </c>
      <c r="D64" s="85">
        <f>SUM('Game Results'!D35+'Game Results'!D53+'Game Results'!D287+'Game Results'!D305+'Game Results'!D568+'Game Results'!D586+'Game Results'!D791+'Game Results'!D802+'Game Results'!D1097+'Game Results'!D1079+'Game Results'!D1169+'Game Results'!D1151+'Game Results'!D1324+'Game Results'!D1342+'Game Results'!D1421+'Game Results'!D1403+'Game Results'!D1745+'Game Results'!D1727+'Game Results'!D1799+'Game Results'!D1817)</f>
        <v>0</v>
      </c>
      <c r="E64" s="86">
        <f>SUM('Game Results'!E35+'Game Results'!E53+'Game Results'!E287+'Game Results'!E305+'Game Results'!E568+'Game Results'!E586+'Game Results'!E791+'Game Results'!E802+'Game Results'!E1097+'Game Results'!E1079+'Game Results'!E1169+'Game Results'!E1151+'Game Results'!E1324+'Game Results'!E1342+'Game Results'!E1421+'Game Results'!E1403+'Game Results'!E1745+'Game Results'!E1727+'Game Results'!E1799+'Game Results'!E1817)</f>
        <v>0</v>
      </c>
      <c r="F64" s="85">
        <f>SUM('Game Results'!F35+'Game Results'!F53+'Game Results'!F287+'Game Results'!F305+'Game Results'!F568+'Game Results'!F586+'Game Results'!F791+'Game Results'!F802+'Game Results'!F1097+'Game Results'!F1079+'Game Results'!F1169+'Game Results'!F1151+'Game Results'!F1324+'Game Results'!F1342+'Game Results'!F1421+'Game Results'!F1403+'Game Results'!F1745+'Game Results'!F1727+'Game Results'!F1799+'Game Results'!F1817)</f>
        <v>0</v>
      </c>
      <c r="G64" s="85">
        <f>SUM('Game Results'!G35+'Game Results'!G53+'Game Results'!G287+'Game Results'!G305+'Game Results'!G568+'Game Results'!G586+'Game Results'!G791+'Game Results'!G802+'Game Results'!G1097+'Game Results'!G1079+'Game Results'!G1169+'Game Results'!G1151+'Game Results'!G1324+'Game Results'!G1342+'Game Results'!G1421+'Game Results'!G1403+'Game Results'!G1745+'Game Results'!G1727+'Game Results'!G1799+'Game Results'!G1817)</f>
        <v>0</v>
      </c>
      <c r="H64" s="85">
        <f>SUM('Game Results'!H35+'Game Results'!H53+'Game Results'!H287+'Game Results'!H305+'Game Results'!H568+'Game Results'!H586+'Game Results'!H791+'Game Results'!H802+'Game Results'!H1097+'Game Results'!H1079+'Game Results'!H1169+'Game Results'!H1151+'Game Results'!H1324+'Game Results'!H1342+'Game Results'!H1421+'Game Results'!H1403+'Game Results'!H1745+'Game Results'!H1727+'Game Results'!H1799+'Game Results'!H1817)</f>
        <v>0</v>
      </c>
      <c r="I64" s="85">
        <f>SUM('Game Results'!I35+'Game Results'!I53+'Game Results'!I287+'Game Results'!I305+'Game Results'!I568+'Game Results'!I586+'Game Results'!I791+'Game Results'!I802+'Game Results'!I1097+'Game Results'!I1079+'Game Results'!I1169+'Game Results'!I1151+'Game Results'!I1324+'Game Results'!I1342+'Game Results'!I1421+'Game Results'!I1403+'Game Results'!I1745+'Game Results'!I1727+'Game Results'!I1799+'Game Results'!I1817)</f>
        <v>0</v>
      </c>
      <c r="J64" s="85">
        <f>SUM('Game Results'!J35+'Game Results'!J53+'Game Results'!J287+'Game Results'!J305+'Game Results'!J568+'Game Results'!J586+'Game Results'!J791+'Game Results'!J802+'Game Results'!J1097+'Game Results'!J1079+'Game Results'!J1169+'Game Results'!J1151+'Game Results'!J1324+'Game Results'!J1342+'Game Results'!J1421+'Game Results'!J1403+'Game Results'!J1745+'Game Results'!J1727+'Game Results'!J1799+'Game Results'!J1817)</f>
        <v>0</v>
      </c>
      <c r="K64" s="87" t="str">
        <f t="shared" si="1"/>
        <v>#DIV/0!</v>
      </c>
      <c r="L64" s="85">
        <f>SUM('Game Results'!L35+'Game Results'!L53+'Game Results'!L287+'Game Results'!L305+'Game Results'!L568+'Game Results'!L586+'Game Results'!L791+'Game Results'!L802+'Game Results'!L1097+'Game Results'!L1079+'Game Results'!L1169+'Game Results'!L1151+'Game Results'!L1324+'Game Results'!L1342+'Game Results'!L1421+'Game Results'!L1403+'Game Results'!L1745+'Game Results'!L1727+'Game Results'!L1799+'Game Results'!L1817)</f>
        <v>0</v>
      </c>
      <c r="M64" s="85">
        <f>SUM('Game Results'!M35+'Game Results'!M53+'Game Results'!M287+'Game Results'!M305+'Game Results'!M568+'Game Results'!M586+'Game Results'!M791+'Game Results'!M802+'Game Results'!M1097+'Game Results'!M1079+'Game Results'!M1169+'Game Results'!M1151+'Game Results'!M1324+'Game Results'!M1342+'Game Results'!M1421+'Game Results'!M1403+'Game Results'!M1745+'Game Results'!M1727+'Game Results'!M1799+'Game Results'!M1817)</f>
        <v>0</v>
      </c>
      <c r="N64" s="85">
        <f>SUM('Game Results'!N35+'Game Results'!N53+'Game Results'!N287+'Game Results'!N305+'Game Results'!N568+'Game Results'!N586+'Game Results'!N791+'Game Results'!N802+'Game Results'!N1097+'Game Results'!N1079+'Game Results'!N1169+'Game Results'!N1151+'Game Results'!N1324+'Game Results'!N1342+'Game Results'!N1421+'Game Results'!N1403+'Game Results'!N1745+'Game Results'!N1727+'Game Results'!N1799+'Game Results'!N1817)</f>
        <v>0</v>
      </c>
      <c r="O64" s="88">
        <f>SUM('Game Results'!O35+'Game Results'!O53+'Game Results'!O287+'Game Results'!O305+'Game Results'!O568+'Game Results'!O586+'Game Results'!O791+'Game Results'!O802+'Game Results'!O1097+'Game Results'!O1079+'Game Results'!O1169+'Game Results'!O1151+'Game Results'!O1324+'Game Results'!O1342+'Game Results'!O1421+'Game Results'!O1403+'Game Results'!O1745+'Game Results'!O1727+'Game Results'!O1799+'Game Results'!O1817)</f>
        <v>0</v>
      </c>
      <c r="P64" s="85">
        <f>SUM('Game Results'!P35+'Game Results'!P53+'Game Results'!P287+'Game Results'!P305+'Game Results'!P568+'Game Results'!P586+'Game Results'!P791+'Game Results'!P802+'Game Results'!P1097+'Game Results'!P1079+'Game Results'!P1169+'Game Results'!P1151+'Game Results'!P1324+'Game Results'!P1342+'Game Results'!P1421+'Game Results'!P1403+'Game Results'!P1745+'Game Results'!P1727+'Game Results'!P1799+'Game Results'!P1817)</f>
        <v>0</v>
      </c>
      <c r="Q64" s="85">
        <f>SUM('Game Results'!Q35+'Game Results'!Q53+'Game Results'!Q287+'Game Results'!Q305+'Game Results'!Q568+'Game Results'!Q586+'Game Results'!Q791+'Game Results'!Q802+'Game Results'!Q1097+'Game Results'!Q1079+'Game Results'!Q1169+'Game Results'!Q1151+'Game Results'!Q1324+'Game Results'!Q1342+'Game Results'!Q1421+'Game Results'!Q1403+'Game Results'!Q1745+'Game Results'!Q1727+'Game Results'!Q1799+'Game Results'!Q1817)</f>
        <v>0</v>
      </c>
      <c r="R64" s="85">
        <f>SUM('Game Results'!R35+'Game Results'!R53+'Game Results'!R287+'Game Results'!R305+'Game Results'!R568+'Game Results'!R586+'Game Results'!R791+'Game Results'!R802+'Game Results'!R1097+'Game Results'!R1079+'Game Results'!R1169+'Game Results'!R1151+'Game Results'!R1324+'Game Results'!R1342+'Game Results'!R1421+'Game Results'!R1403+'Game Results'!R1745+'Game Results'!R1727+'Game Results'!R1799+'Game Results'!R1817)</f>
        <v>0</v>
      </c>
      <c r="S64" s="85">
        <f>SUM('Game Results'!S35+'Game Results'!S53+'Game Results'!S287+'Game Results'!S305+'Game Results'!S568+'Game Results'!S586+'Game Results'!S791+'Game Results'!S802+'Game Results'!S1097+'Game Results'!S1079+'Game Results'!S1169+'Game Results'!S1151+'Game Results'!S1324+'Game Results'!S1342+'Game Results'!S1421+'Game Results'!S1403+'Game Results'!S1745+'Game Results'!S1727+'Game Results'!S1799+'Game Results'!S1817)</f>
        <v>0</v>
      </c>
      <c r="T64" s="85">
        <f>SUM('Game Results'!T35+'Game Results'!T53+'Game Results'!T287+'Game Results'!T305+'Game Results'!T568+'Game Results'!T586+'Game Results'!T791+'Game Results'!T802+'Game Results'!T1097+'Game Results'!T1079+'Game Results'!T1169+'Game Results'!T1151+'Game Results'!T1324+'Game Results'!T1342+'Game Results'!T1421+'Game Results'!T1403+'Game Results'!T1745+'Game Results'!T1727+'Game Results'!T1799+'Game Results'!T1817)</f>
        <v>0</v>
      </c>
      <c r="U64" s="85">
        <f>SUM('Game Results'!U35+'Game Results'!U53+'Game Results'!U287+'Game Results'!U305+'Game Results'!U568+'Game Results'!U586+'Game Results'!U791+'Game Results'!U802+'Game Results'!U1097+'Game Results'!U1079+'Game Results'!U1169+'Game Results'!U1151+'Game Results'!U1324+'Game Results'!U1342+'Game Results'!U1421+'Game Results'!U1403+'Game Results'!U1745+'Game Results'!U1727+'Game Results'!U1799+'Game Results'!U1817)</f>
        <v>0</v>
      </c>
      <c r="V64" s="85">
        <f>SUM('Game Results'!V35+'Game Results'!V53+'Game Results'!V287+'Game Results'!V305+'Game Results'!V568+'Game Results'!V586+'Game Results'!V791+'Game Results'!V802+'Game Results'!V1097+'Game Results'!V1079+'Game Results'!V1169+'Game Results'!V1151+'Game Results'!V1324+'Game Results'!V1342+'Game Results'!V1421+'Game Results'!V1403+'Game Results'!V1745+'Game Results'!V1727+'Game Results'!V1799+'Game Results'!V1817)</f>
        <v>0</v>
      </c>
      <c r="W64" s="85">
        <f>SUM('Game Results'!W35+'Game Results'!W53+'Game Results'!W287+'Game Results'!W305+'Game Results'!W568+'Game Results'!W586+'Game Results'!W791+'Game Results'!W802+'Game Results'!W1097+'Game Results'!W1079+'Game Results'!W1169+'Game Results'!W1151+'Game Results'!W1324+'Game Results'!W1342+'Game Results'!W1421+'Game Results'!W1403+'Game Results'!W1745+'Game Results'!W1727+'Game Results'!W1799+'Game Results'!W1817)</f>
        <v>0</v>
      </c>
      <c r="X64" s="85">
        <f>SUM('Game Results'!X35+'Game Results'!X53+'Game Results'!X287+'Game Results'!X305+'Game Results'!X568+'Game Results'!X586+'Game Results'!X791+'Game Results'!X802+'Game Results'!X1097+'Game Results'!X1079+'Game Results'!X1169+'Game Results'!X1151+'Game Results'!X1324+'Game Results'!X1342+'Game Results'!X1421+'Game Results'!X1403+'Game Results'!X1745+'Game Results'!X1727+'Game Results'!X1799+'Game Results'!X1817)</f>
        <v>0</v>
      </c>
      <c r="Y64" s="85">
        <f>SUM('Game Results'!Y35+'Game Results'!Y53+'Game Results'!Y287+'Game Results'!Y305+'Game Results'!Y568+'Game Results'!Y586+'Game Results'!Y791+'Game Results'!Y802+'Game Results'!Y1097+'Game Results'!Y1079+'Game Results'!Y1169+'Game Results'!Y1151+'Game Results'!Y1324+'Game Results'!Y1342+'Game Results'!Y1421+'Game Results'!Y1403+'Game Results'!Y1745+'Game Results'!Y1727+'Game Results'!Y1799+'Game Results'!Y1817)</f>
        <v>0</v>
      </c>
      <c r="Z64" s="85">
        <f>SUM('Game Results'!Z35+'Game Results'!Z53+'Game Results'!Z287+'Game Results'!Z305+'Game Results'!Z568+'Game Results'!Z586+'Game Results'!Z791+'Game Results'!Z802+'Game Results'!Z1097+'Game Results'!Z1079+'Game Results'!Z1169+'Game Results'!Z1151+'Game Results'!Z1324+'Game Results'!Z1342+'Game Results'!Z1421+'Game Results'!Z1403+'Game Results'!Z1745+'Game Results'!Z1727+'Game Results'!Z1799+'Game Results'!Z1817)</f>
        <v>0</v>
      </c>
      <c r="AA64" s="85">
        <f>SUM('Game Results'!AA35+'Game Results'!AA53+'Game Results'!AA287+'Game Results'!AA305+'Game Results'!AA568+'Game Results'!AA586+'Game Results'!AA791+'Game Results'!AA802+'Game Results'!AA1097+'Game Results'!AA1079+'Game Results'!AA1169+'Game Results'!AA1151+'Game Results'!AA1324+'Game Results'!AA1342+'Game Results'!AA1421+'Game Results'!AA1403+'Game Results'!AA1745+'Game Results'!AA1727+'Game Results'!AA1799+'Game Results'!AA1817)</f>
        <v>0</v>
      </c>
      <c r="AB64" s="85">
        <f>SUM('Game Results'!AB35+'Game Results'!AB53+'Game Results'!AB287+'Game Results'!AB305+'Game Results'!AB568+'Game Results'!AB586+'Game Results'!AB791+'Game Results'!AB802+'Game Results'!AB1097+'Game Results'!AB1079+'Game Results'!AB1169+'Game Results'!AB1151+'Game Results'!AB1324+'Game Results'!AB1342+'Game Results'!AB1421+'Game Results'!AB1403+'Game Results'!AB1745+'Game Results'!AB1727+'Game Results'!AB1799+'Game Results'!AB1817)</f>
        <v>0</v>
      </c>
      <c r="AC64" s="85">
        <f>SUM('Game Results'!AC35+'Game Results'!AC53+'Game Results'!AC287+'Game Results'!AC305+'Game Results'!AC568+'Game Results'!AC586+'Game Results'!AC791+'Game Results'!AC802+'Game Results'!AC1097+'Game Results'!AC1079+'Game Results'!AC1169+'Game Results'!AC1151+'Game Results'!AC1324+'Game Results'!AC1342+'Game Results'!AC1421+'Game Results'!AC1403+'Game Results'!AC1745+'Game Results'!AC1727+'Game Results'!AC1799+'Game Results'!AC1817)</f>
        <v>0</v>
      </c>
      <c r="AD64" s="85">
        <f>SUM('Game Results'!AD35+'Game Results'!AD53+'Game Results'!AD287+'Game Results'!AD305+'Game Results'!AD568+'Game Results'!AD586+'Game Results'!AD791+'Game Results'!AD802+'Game Results'!AD1097+'Game Results'!AD1079+'Game Results'!AD1169+'Game Results'!AD1151+'Game Results'!AD1324+'Game Results'!AD1342+'Game Results'!AD1421+'Game Results'!AD1403+'Game Results'!AD1745+'Game Results'!AD1727+'Game Results'!AD1799+'Game Results'!AD1817)</f>
        <v>0</v>
      </c>
      <c r="AE64" s="85">
        <f>SUM('Game Results'!AE35+'Game Results'!AE53+'Game Results'!AE287+'Game Results'!AE305+'Game Results'!AE568+'Game Results'!AE586+'Game Results'!AE791+'Game Results'!AE802+'Game Results'!AE1097+'Game Results'!AE1079+'Game Results'!AE1169+'Game Results'!AE1151+'Game Results'!AE1324+'Game Results'!AE1342+'Game Results'!AE1421+'Game Results'!AE1403+'Game Results'!AE1745+'Game Results'!AE1727+'Game Results'!AE1799+'Game Results'!AE1817)</f>
        <v>0</v>
      </c>
      <c r="AF64" s="85">
        <f>SUM('Game Results'!AF35+'Game Results'!AF53+'Game Results'!AF287+'Game Results'!AF305+'Game Results'!AF568+'Game Results'!AF586+'Game Results'!AF791+'Game Results'!AF802+'Game Results'!AF1097+'Game Results'!AF1079+'Game Results'!AF1169+'Game Results'!AF1151+'Game Results'!AF1324+'Game Results'!AF1342+'Game Results'!AF1421+'Game Results'!AF1403+'Game Results'!AF1745+'Game Results'!AF1727+'Game Results'!AF1799+'Game Results'!AF1817)</f>
        <v>0</v>
      </c>
      <c r="AG64" s="85">
        <f>SUM('Game Results'!AG35+'Game Results'!AG53+'Game Results'!AG287+'Game Results'!AG305+'Game Results'!AG568+'Game Results'!AG586+'Game Results'!AG791+'Game Results'!AG802+'Game Results'!AG1097+'Game Results'!AG1079+'Game Results'!AG1169+'Game Results'!AG1151+'Game Results'!AG1324+'Game Results'!AG1342+'Game Results'!AG1421+'Game Results'!AG1403+'Game Results'!AG1745+'Game Results'!AG1727+'Game Results'!AG1799+'Game Results'!AG1817)</f>
        <v>0</v>
      </c>
      <c r="AH64" s="85">
        <f>SUM('Game Results'!AH35+'Game Results'!AH53+'Game Results'!AH287+'Game Results'!AH305+'Game Results'!AH568+'Game Results'!AH586+'Game Results'!AH791+'Game Results'!AH802+'Game Results'!AH1097+'Game Results'!AH1079+'Game Results'!AH1169+'Game Results'!AH1151+'Game Results'!AH1324+'Game Results'!AH1342+'Game Results'!AH1421+'Game Results'!AH1403+'Game Results'!AH1745+'Game Results'!AH1727+'Game Results'!AH1799+'Game Results'!AH1817)</f>
        <v>0</v>
      </c>
    </row>
    <row r="65">
      <c r="A65" s="89" t="s">
        <v>185</v>
      </c>
      <c r="B65" s="90"/>
      <c r="C65" s="90">
        <f t="shared" ref="C65:E65" si="26">SUM(C59:C64)/4</f>
        <v>20</v>
      </c>
      <c r="D65" s="90">
        <f t="shared" si="26"/>
        <v>13</v>
      </c>
      <c r="E65" s="91">
        <f t="shared" si="26"/>
        <v>377.275</v>
      </c>
      <c r="F65" s="91">
        <f t="shared" ref="F65:J65" si="27">SUM(F59:F64)</f>
        <v>84</v>
      </c>
      <c r="G65" s="91">
        <f t="shared" si="27"/>
        <v>5085</v>
      </c>
      <c r="H65" s="91">
        <f t="shared" si="27"/>
        <v>32</v>
      </c>
      <c r="I65" s="91">
        <f t="shared" si="27"/>
        <v>5313</v>
      </c>
      <c r="J65" s="91">
        <f t="shared" si="27"/>
        <v>-228</v>
      </c>
      <c r="K65" s="92">
        <f t="shared" si="1"/>
        <v>0.9570863919</v>
      </c>
      <c r="L65" s="91">
        <f>SUM(L59:L64)/4</f>
        <v>275</v>
      </c>
      <c r="M65" s="91">
        <f>SUM(M59:M64)</f>
        <v>6128</v>
      </c>
      <c r="N65" s="91">
        <f>SUM(N59:N64)/4</f>
        <v>19</v>
      </c>
      <c r="O65" s="91">
        <f>SUM(O58:O64)</f>
        <v>15528.73333</v>
      </c>
      <c r="P65" s="91">
        <f t="shared" ref="P65:AH65" si="28">SUM(P59:P64)</f>
        <v>229</v>
      </c>
      <c r="Q65" s="91">
        <f t="shared" si="28"/>
        <v>118</v>
      </c>
      <c r="R65" s="91">
        <f t="shared" si="28"/>
        <v>342</v>
      </c>
      <c r="S65" s="91">
        <f t="shared" si="28"/>
        <v>89</v>
      </c>
      <c r="T65" s="91">
        <f t="shared" si="28"/>
        <v>747</v>
      </c>
      <c r="U65" s="91">
        <f t="shared" si="28"/>
        <v>157</v>
      </c>
      <c r="V65" s="91">
        <f t="shared" si="28"/>
        <v>42</v>
      </c>
      <c r="W65" s="91">
        <f t="shared" si="28"/>
        <v>8</v>
      </c>
      <c r="X65" s="91">
        <f t="shared" si="28"/>
        <v>5</v>
      </c>
      <c r="Y65" s="91">
        <f t="shared" si="28"/>
        <v>3</v>
      </c>
      <c r="Z65" s="91">
        <f t="shared" si="28"/>
        <v>1</v>
      </c>
      <c r="AA65" s="91">
        <f t="shared" si="28"/>
        <v>1</v>
      </c>
      <c r="AB65" s="91">
        <f t="shared" si="28"/>
        <v>1</v>
      </c>
      <c r="AC65" s="91">
        <f t="shared" si="28"/>
        <v>92</v>
      </c>
      <c r="AD65" s="91">
        <f t="shared" si="28"/>
        <v>4</v>
      </c>
      <c r="AE65" s="91">
        <f t="shared" si="28"/>
        <v>0</v>
      </c>
      <c r="AF65" s="91">
        <f t="shared" si="28"/>
        <v>0</v>
      </c>
      <c r="AG65" s="91">
        <f t="shared" si="28"/>
        <v>4</v>
      </c>
      <c r="AH65" s="91">
        <f t="shared" si="28"/>
        <v>1</v>
      </c>
    </row>
    <row r="66">
      <c r="A66" s="83" t="s">
        <v>20</v>
      </c>
      <c r="B66" s="84" t="s">
        <v>232</v>
      </c>
      <c r="C66" s="85">
        <f>SUM('Game Results'!C59+'Game Results'!C77+'Game Results'!C275+'Game Results'!C293+'Game Results'!C491+'Game Results'!C509+'Game Results'!C822+'Game Results'!C840+'Game Results'!C1254+'Game Results'!C1272+'Game Results'!C1200+'Game Results'!C1182+'Game Results'!C984+'Game Results'!C966+'Game Results'!C1769+'Game Results'!C1751+'Game Results'!C1866+'Game Results'!C1614+'Game Results'!C1632+'Game Results'!C1884)</f>
        <v>20</v>
      </c>
      <c r="D66" s="85">
        <f>SUM('Game Results'!D59+'Game Results'!D77+'Game Results'!D275+'Game Results'!D293+'Game Results'!D491+'Game Results'!D509+'Game Results'!D822+'Game Results'!D840+'Game Results'!D1254+'Game Results'!D1272+'Game Results'!D1200+'Game Results'!D1182+'Game Results'!D984+'Game Results'!D966+'Game Results'!D1769+'Game Results'!D1751+'Game Results'!D1866+'Game Results'!D1614+'Game Results'!D1632+'Game Results'!D1884)</f>
        <v>16</v>
      </c>
      <c r="E66" s="86">
        <f>SUM('Game Results'!E59+'Game Results'!E77+'Game Results'!E275+'Game Results'!E293+'Game Results'!E491+'Game Results'!E509+'Game Results'!E822+'Game Results'!E840+'Game Results'!E1254+'Game Results'!E1272+'Game Results'!E1200+'Game Results'!E1182+'Game Results'!E984+'Game Results'!E966+'Game Results'!E1769+'Game Results'!E1751+'Game Results'!E1866+'Game Results'!E1614+'Game Results'!E1632+'Game Results'!E1884)</f>
        <v>380.1166667</v>
      </c>
      <c r="F66" s="85">
        <f>SUM('Game Results'!F59+'Game Results'!F77+'Game Results'!F275+'Game Results'!F293+'Game Results'!F491+'Game Results'!F509+'Game Results'!F822+'Game Results'!F840+'Game Results'!F1254+'Game Results'!F1272+'Game Results'!F1200+'Game Results'!F1182+'Game Results'!F984+'Game Results'!F966+'Game Results'!F1769+'Game Results'!F1751+'Game Results'!F1866+'Game Results'!F1614+'Game Results'!F1632+'Game Results'!F1884)</f>
        <v>6</v>
      </c>
      <c r="G66" s="85">
        <f>SUM('Game Results'!G59+'Game Results'!G77+'Game Results'!G275+'Game Results'!G293+'Game Results'!G491+'Game Results'!G509+'Game Results'!G822+'Game Results'!G840+'Game Results'!G1254+'Game Results'!G1272+'Game Results'!G1200+'Game Results'!G1182+'Game Results'!G984+'Game Results'!G966+'Game Results'!G1769+'Game Results'!G1751+'Game Results'!G1866+'Game Results'!G1614+'Game Results'!G1632+'Game Results'!G1884)</f>
        <v>1681</v>
      </c>
      <c r="H66" s="85">
        <f>SUM('Game Results'!H59+'Game Results'!H77+'Game Results'!H275+'Game Results'!H293+'Game Results'!H491+'Game Results'!H509+'Game Results'!H822+'Game Results'!H840+'Game Results'!H1254+'Game Results'!H1272+'Game Results'!H1200+'Game Results'!H1182+'Game Results'!H984+'Game Results'!H966+'Game Results'!H1769+'Game Results'!H1751+'Game Results'!H1866+'Game Results'!H1614+'Game Results'!H1632+'Game Results'!H1884)</f>
        <v>13</v>
      </c>
      <c r="I66" s="85">
        <f>SUM('Game Results'!I59+'Game Results'!I77+'Game Results'!I275+'Game Results'!I293+'Game Results'!I491+'Game Results'!I509+'Game Results'!I822+'Game Results'!I840+'Game Results'!I1254+'Game Results'!I1272+'Game Results'!I1200+'Game Results'!I1182+'Game Results'!I984+'Game Results'!I966+'Game Results'!I1769+'Game Results'!I1751+'Game Results'!I1866+'Game Results'!I1614+'Game Results'!I1632+'Game Results'!I1884)</f>
        <v>1253</v>
      </c>
      <c r="J66" s="85">
        <f>SUM('Game Results'!J59+'Game Results'!J77+'Game Results'!J275+'Game Results'!J293+'Game Results'!J491+'Game Results'!J509+'Game Results'!J822+'Game Results'!J840+'Game Results'!J1254+'Game Results'!J1272+'Game Results'!J1200+'Game Results'!J1182+'Game Results'!J984+'Game Results'!J966+'Game Results'!J1769+'Game Results'!J1751+'Game Results'!J1866+'Game Results'!J1614+'Game Results'!J1632+'Game Results'!J1884)</f>
        <v>428</v>
      </c>
      <c r="K66" s="87">
        <f t="shared" si="1"/>
        <v>1.341580208</v>
      </c>
      <c r="L66" s="85">
        <f>SUM('Game Results'!L59+'Game Results'!L77+'Game Results'!L275+'Game Results'!L293+'Game Results'!L491+'Game Results'!L509+'Game Results'!L822+'Game Results'!L840+'Game Results'!L1254+'Game Results'!L1272+'Game Results'!L1200+'Game Results'!L1182+'Game Results'!L984+'Game Results'!L966+'Game Results'!L1769+'Game Results'!L1751+'Game Results'!L1866+'Game Results'!L1614+'Game Results'!L1632+'Game Results'!L1884)</f>
        <v>306</v>
      </c>
      <c r="M66" s="85">
        <f>SUM('Game Results'!M59+'Game Results'!M77+'Game Results'!M275+'Game Results'!M293+'Game Results'!M491+'Game Results'!M509+'Game Results'!M822+'Game Results'!M840+'Game Results'!M1254+'Game Results'!M1272+'Game Results'!M1200+'Game Results'!M1182+'Game Results'!M984+'Game Results'!M966+'Game Results'!M1769+'Game Results'!M1751+'Game Results'!M1866+'Game Results'!M1614+'Game Results'!M1632+'Game Results'!M1884)</f>
        <v>2321</v>
      </c>
      <c r="N66" s="85">
        <f>SUM('Game Results'!N59+'Game Results'!N77+'Game Results'!N275+'Game Results'!N293+'Game Results'!N491+'Game Results'!N509+'Game Results'!N822+'Game Results'!N840+'Game Results'!N1254+'Game Results'!N1272+'Game Results'!N1200+'Game Results'!N1182+'Game Results'!N984+'Game Results'!N966+'Game Results'!N1769+'Game Results'!N1751+'Game Results'!N1866+'Game Results'!N1614+'Game Results'!N1632+'Game Results'!N1884)</f>
        <v>17</v>
      </c>
      <c r="O66" s="88">
        <f>SUM('Game Results'!O59+'Game Results'!O77+'Game Results'!O275+'Game Results'!O293+'Game Results'!O491+'Game Results'!O509+'Game Results'!O822+'Game Results'!O840+'Game Results'!O1254+'Game Results'!O1272+'Game Results'!O1200+'Game Results'!O1182+'Game Results'!O984+'Game Results'!O966+'Game Results'!O1769+'Game Results'!O1751+'Game Results'!O1866+'Game Results'!O1614+'Game Results'!O1632+'Game Results'!O1884)</f>
        <v>345.1166667</v>
      </c>
      <c r="P66" s="85">
        <f>SUM('Game Results'!P59+'Game Results'!P77+'Game Results'!P275+'Game Results'!P293+'Game Results'!P491+'Game Results'!P509+'Game Results'!P822+'Game Results'!P840+'Game Results'!P1254+'Game Results'!P1272+'Game Results'!P1200+'Game Results'!P1182+'Game Results'!P984+'Game Results'!P966+'Game Results'!P1769+'Game Results'!P1751+'Game Results'!P1866+'Game Results'!P1614+'Game Results'!P1632+'Game Results'!P1884)</f>
        <v>52</v>
      </c>
      <c r="Q66" s="85">
        <f>SUM('Game Results'!Q59+'Game Results'!Q77+'Game Results'!Q275+'Game Results'!Q293+'Game Results'!Q491+'Game Results'!Q509+'Game Results'!Q822+'Game Results'!Q840+'Game Results'!Q1254+'Game Results'!Q1272+'Game Results'!Q1200+'Game Results'!Q1182+'Game Results'!Q984+'Game Results'!Q966+'Game Results'!Q1769+'Game Results'!Q1751+'Game Results'!Q1866+'Game Results'!Q1614+'Game Results'!Q1632+'Game Results'!Q1884)</f>
        <v>13</v>
      </c>
      <c r="R66" s="85">
        <f>SUM('Game Results'!R59+'Game Results'!R77+'Game Results'!R275+'Game Results'!R293+'Game Results'!R491+'Game Results'!R509+'Game Results'!R822+'Game Results'!R840+'Game Results'!R1254+'Game Results'!R1272+'Game Results'!R1200+'Game Results'!R1182+'Game Results'!R984+'Game Results'!R966+'Game Results'!R1769+'Game Results'!R1751+'Game Results'!R1866+'Game Results'!R1614+'Game Results'!R1632+'Game Results'!R1884)</f>
        <v>174</v>
      </c>
      <c r="S66" s="85">
        <f>SUM('Game Results'!S59+'Game Results'!S77+'Game Results'!S275+'Game Results'!S293+'Game Results'!S491+'Game Results'!S509+'Game Results'!S822+'Game Results'!S840+'Game Results'!S1254+'Game Results'!S1272+'Game Results'!S1200+'Game Results'!S1182+'Game Results'!S984+'Game Results'!S966+'Game Results'!S1769+'Game Results'!S1751+'Game Results'!S1866+'Game Results'!S1614+'Game Results'!S1632+'Game Results'!S1884)</f>
        <v>24</v>
      </c>
      <c r="T66" s="85">
        <f>SUM('Game Results'!T59+'Game Results'!T77+'Game Results'!T275+'Game Results'!T293+'Game Results'!T491+'Game Results'!T509+'Game Results'!T822+'Game Results'!T840+'Game Results'!T1254+'Game Results'!T1272+'Game Results'!T1200+'Game Results'!T1182+'Game Results'!T984+'Game Results'!T966+'Game Results'!T1769+'Game Results'!T1751+'Game Results'!T1866+'Game Results'!T1614+'Game Results'!T1632+'Game Results'!T1884)</f>
        <v>251</v>
      </c>
      <c r="U66" s="85">
        <f>SUM('Game Results'!U59+'Game Results'!U77+'Game Results'!U275+'Game Results'!U293+'Game Results'!U491+'Game Results'!U509+'Game Results'!U822+'Game Results'!U840+'Game Results'!U1254+'Game Results'!U1272+'Game Results'!U1200+'Game Results'!U1182+'Game Results'!U984+'Game Results'!U966+'Game Results'!U1769+'Game Results'!U1751+'Game Results'!U1866+'Game Results'!U1614+'Game Results'!U1632+'Game Results'!U1884)</f>
        <v>60</v>
      </c>
      <c r="V66" s="85">
        <f>SUM('Game Results'!V59+'Game Results'!V77+'Game Results'!V275+'Game Results'!V293+'Game Results'!V491+'Game Results'!V509+'Game Results'!V822+'Game Results'!V840+'Game Results'!V1254+'Game Results'!V1272+'Game Results'!V1200+'Game Results'!V1182+'Game Results'!V984+'Game Results'!V966+'Game Results'!V1769+'Game Results'!V1751+'Game Results'!V1866+'Game Results'!V1614+'Game Results'!V1632+'Game Results'!V1884)</f>
        <v>26</v>
      </c>
      <c r="W66" s="85">
        <f>SUM('Game Results'!W59+'Game Results'!W77+'Game Results'!W275+'Game Results'!W293+'Game Results'!W491+'Game Results'!W509+'Game Results'!W822+'Game Results'!W840+'Game Results'!W1254+'Game Results'!W1272+'Game Results'!W1200+'Game Results'!W1182+'Game Results'!W984+'Game Results'!W966+'Game Results'!W1769+'Game Results'!W1751+'Game Results'!W1866+'Game Results'!W1614+'Game Results'!W1632+'Game Results'!W1884)</f>
        <v>16</v>
      </c>
      <c r="X66" s="85">
        <f>SUM('Game Results'!X59+'Game Results'!X77+'Game Results'!X275+'Game Results'!X293+'Game Results'!X491+'Game Results'!X509+'Game Results'!X822+'Game Results'!X840+'Game Results'!X1254+'Game Results'!X1272+'Game Results'!X1200+'Game Results'!X1182+'Game Results'!X984+'Game Results'!X966+'Game Results'!X1769+'Game Results'!X1751+'Game Results'!X1866+'Game Results'!X1614+'Game Results'!X1632+'Game Results'!X1884)</f>
        <v>3</v>
      </c>
      <c r="Y66" s="85">
        <f>SUM('Game Results'!Y59+'Game Results'!Y77+'Game Results'!Y275+'Game Results'!Y293+'Game Results'!Y491+'Game Results'!Y509+'Game Results'!Y822+'Game Results'!Y840+'Game Results'!Y1254+'Game Results'!Y1272+'Game Results'!Y1200+'Game Results'!Y1182+'Game Results'!Y984+'Game Results'!Y966+'Game Results'!Y1769+'Game Results'!Y1751+'Game Results'!Y1866+'Game Results'!Y1614+'Game Results'!Y1632+'Game Results'!Y1884)</f>
        <v>1</v>
      </c>
      <c r="Z66" s="85">
        <f>SUM('Game Results'!Z59+'Game Results'!Z77+'Game Results'!Z275+'Game Results'!Z293+'Game Results'!Z491+'Game Results'!Z509+'Game Results'!Z822+'Game Results'!Z840+'Game Results'!Z1254+'Game Results'!Z1272+'Game Results'!Z1200+'Game Results'!Z1182+'Game Results'!Z984+'Game Results'!Z966+'Game Results'!Z1769+'Game Results'!Z1751+'Game Results'!Z1866+'Game Results'!Z1614+'Game Results'!Z1632+'Game Results'!Z1884)</f>
        <v>0</v>
      </c>
      <c r="AA66" s="85">
        <f>SUM('Game Results'!AA59+'Game Results'!AA77+'Game Results'!AA275+'Game Results'!AA293+'Game Results'!AA491+'Game Results'!AA509+'Game Results'!AA822+'Game Results'!AA840+'Game Results'!AA1254+'Game Results'!AA1272+'Game Results'!AA1200+'Game Results'!AA1182+'Game Results'!AA984+'Game Results'!AA966+'Game Results'!AA1769+'Game Results'!AA1751+'Game Results'!AA1866+'Game Results'!AA1614+'Game Results'!AA1632+'Game Results'!AA1884)</f>
        <v>0</v>
      </c>
      <c r="AB66" s="85">
        <f>SUM('Game Results'!AB59+'Game Results'!AB77+'Game Results'!AB275+'Game Results'!AB293+'Game Results'!AB491+'Game Results'!AB509+'Game Results'!AB822+'Game Results'!AB840+'Game Results'!AB1254+'Game Results'!AB1272+'Game Results'!AB1200+'Game Results'!AB1182+'Game Results'!AB984+'Game Results'!AB966+'Game Results'!AB1769+'Game Results'!AB1751+'Game Results'!AB1866+'Game Results'!AB1614+'Game Results'!AB1632+'Game Results'!AB1884)</f>
        <v>0</v>
      </c>
      <c r="AC66" s="85">
        <f>SUM('Game Results'!AC59+'Game Results'!AC77+'Game Results'!AC275+'Game Results'!AC293+'Game Results'!AC491+'Game Results'!AC509+'Game Results'!AC822+'Game Results'!AC840+'Game Results'!AC1254+'Game Results'!AC1272+'Game Results'!AC1200+'Game Results'!AC1182+'Game Results'!AC984+'Game Results'!AC966+'Game Results'!AC1769+'Game Results'!AC1751+'Game Results'!AC1866+'Game Results'!AC1614+'Game Results'!AC1632+'Game Results'!AC1884)</f>
        <v>57</v>
      </c>
      <c r="AD66" s="85">
        <f>SUM('Game Results'!AD59+'Game Results'!AD77+'Game Results'!AD275+'Game Results'!AD293+'Game Results'!AD491+'Game Results'!AD509+'Game Results'!AD822+'Game Results'!AD840+'Game Results'!AD1254+'Game Results'!AD1272+'Game Results'!AD1200+'Game Results'!AD1182+'Game Results'!AD984+'Game Results'!AD966+'Game Results'!AD1769+'Game Results'!AD1751+'Game Results'!AD1866+'Game Results'!AD1614+'Game Results'!AD1632+'Game Results'!AD1884)</f>
        <v>2</v>
      </c>
      <c r="AE66" s="85">
        <f>SUM('Game Results'!AE59+'Game Results'!AE77+'Game Results'!AE275+'Game Results'!AE293+'Game Results'!AE491+'Game Results'!AE509+'Game Results'!AE822+'Game Results'!AE840+'Game Results'!AE1254+'Game Results'!AE1272+'Game Results'!AE1200+'Game Results'!AE1182+'Game Results'!AE984+'Game Results'!AE966+'Game Results'!AE1769+'Game Results'!AE1751+'Game Results'!AE1866+'Game Results'!AE1614+'Game Results'!AE1632+'Game Results'!AE1884)</f>
        <v>0</v>
      </c>
      <c r="AF66" s="85">
        <f>SUM('Game Results'!AF59+'Game Results'!AF77+'Game Results'!AF275+'Game Results'!AF293+'Game Results'!AF491+'Game Results'!AF509+'Game Results'!AF822+'Game Results'!AF840+'Game Results'!AF1254+'Game Results'!AF1272+'Game Results'!AF1200+'Game Results'!AF1182+'Game Results'!AF984+'Game Results'!AF966+'Game Results'!AF1769+'Game Results'!AF1751+'Game Results'!AF1866+'Game Results'!AF1614+'Game Results'!AF1632+'Game Results'!AF1884)</f>
        <v>0</v>
      </c>
      <c r="AG66" s="85">
        <f>SUM('Game Results'!AG59+'Game Results'!AG77+'Game Results'!AG275+'Game Results'!AG293+'Game Results'!AG491+'Game Results'!AG509+'Game Results'!AG822+'Game Results'!AG840+'Game Results'!AG1254+'Game Results'!AG1272+'Game Results'!AG1200+'Game Results'!AG1182+'Game Results'!AG984+'Game Results'!AG966+'Game Results'!AG1769+'Game Results'!AG1751+'Game Results'!AG1866+'Game Results'!AG1614+'Game Results'!AG1632+'Game Results'!AG1884)</f>
        <v>2</v>
      </c>
      <c r="AH66" s="85">
        <f>SUM('Game Results'!AH59+'Game Results'!AH77+'Game Results'!AH275+'Game Results'!AH293+'Game Results'!AH491+'Game Results'!AH509+'Game Results'!AH822+'Game Results'!AH840+'Game Results'!AH1254+'Game Results'!AH1272+'Game Results'!AH1200+'Game Results'!AH1182+'Game Results'!AH984+'Game Results'!AH966+'Game Results'!AH1769+'Game Results'!AH1751+'Game Results'!AH1866+'Game Results'!AH1614+'Game Results'!AH1632+'Game Results'!AH1884)</f>
        <v>0</v>
      </c>
    </row>
    <row r="67">
      <c r="A67" s="83" t="s">
        <v>20</v>
      </c>
      <c r="B67" s="84" t="s">
        <v>233</v>
      </c>
      <c r="C67" s="85">
        <f>SUM('Game Results'!C60+'Game Results'!C78+'Game Results'!C276+'Game Results'!C294+'Game Results'!C492+'Game Results'!C510+'Game Results'!C823+'Game Results'!C841+'Game Results'!C1255+'Game Results'!C1273+'Game Results'!C1201+'Game Results'!C1183+'Game Results'!C985+'Game Results'!C967+'Game Results'!C1770+'Game Results'!C1752+'Game Results'!C1867+'Game Results'!C1615+'Game Results'!C1633+'Game Results'!C1885)</f>
        <v>20</v>
      </c>
      <c r="D67" s="85">
        <f>SUM('Game Results'!D60+'Game Results'!D78+'Game Results'!D276+'Game Results'!D294+'Game Results'!D492+'Game Results'!D510+'Game Results'!D823+'Game Results'!D841+'Game Results'!D1255+'Game Results'!D1273+'Game Results'!D1201+'Game Results'!D1183+'Game Results'!D985+'Game Results'!D967+'Game Results'!D1770+'Game Results'!D1752+'Game Results'!D1867+'Game Results'!D1615+'Game Results'!D1633+'Game Results'!D1885)</f>
        <v>16</v>
      </c>
      <c r="E67" s="86">
        <f>SUM('Game Results'!E60+'Game Results'!E78+'Game Results'!E276+'Game Results'!E294+'Game Results'!E492+'Game Results'!E510+'Game Results'!E823+'Game Results'!E841+'Game Results'!E1255+'Game Results'!E1273+'Game Results'!E1201+'Game Results'!E1183+'Game Results'!E985+'Game Results'!E967+'Game Results'!E1770+'Game Results'!E1752+'Game Results'!E1867+'Game Results'!E1615+'Game Results'!E1633+'Game Results'!E1885)</f>
        <v>375.1</v>
      </c>
      <c r="F67" s="85">
        <f>SUM('Game Results'!F60+'Game Results'!F78+'Game Results'!F276+'Game Results'!F294+'Game Results'!F492+'Game Results'!F510+'Game Results'!F823+'Game Results'!F841+'Game Results'!F1255+'Game Results'!F1273+'Game Results'!F1201+'Game Results'!F1183+'Game Results'!F985+'Game Results'!F967+'Game Results'!F1770+'Game Results'!F1752+'Game Results'!F1867+'Game Results'!F1615+'Game Results'!F1633+'Game Results'!F1885)</f>
        <v>2</v>
      </c>
      <c r="G67" s="85">
        <f>SUM('Game Results'!G60+'Game Results'!G78+'Game Results'!G276+'Game Results'!G294+'Game Results'!G492+'Game Results'!G510+'Game Results'!G823+'Game Results'!G841+'Game Results'!G1255+'Game Results'!G1273+'Game Results'!G1201+'Game Results'!G1183+'Game Results'!G985+'Game Results'!G967+'Game Results'!G1770+'Game Results'!G1752+'Game Results'!G1867+'Game Results'!G1615+'Game Results'!G1633+'Game Results'!G1885)</f>
        <v>1693</v>
      </c>
      <c r="H67" s="85">
        <f>SUM('Game Results'!H60+'Game Results'!H78+'Game Results'!H276+'Game Results'!H294+'Game Results'!H492+'Game Results'!H510+'Game Results'!H823+'Game Results'!H841+'Game Results'!H1255+'Game Results'!H1273+'Game Results'!H1201+'Game Results'!H1183+'Game Results'!H985+'Game Results'!H967+'Game Results'!H1770+'Game Results'!H1752+'Game Results'!H1867+'Game Results'!H1615+'Game Results'!H1633+'Game Results'!H1885)</f>
        <v>6</v>
      </c>
      <c r="I67" s="85">
        <f>SUM('Game Results'!I60+'Game Results'!I78+'Game Results'!I276+'Game Results'!I294+'Game Results'!I492+'Game Results'!I510+'Game Results'!I823+'Game Results'!I841+'Game Results'!I1255+'Game Results'!I1273+'Game Results'!I1201+'Game Results'!I1183+'Game Results'!I985+'Game Results'!I967+'Game Results'!I1770+'Game Results'!I1752+'Game Results'!I1867+'Game Results'!I1615+'Game Results'!I1633+'Game Results'!I1885)</f>
        <v>1557</v>
      </c>
      <c r="J67" s="85">
        <f>SUM('Game Results'!J60+'Game Results'!J78+'Game Results'!J276+'Game Results'!J294+'Game Results'!J492+'Game Results'!J510+'Game Results'!J823+'Game Results'!J841+'Game Results'!J1255+'Game Results'!J1273+'Game Results'!J1201+'Game Results'!J1183+'Game Results'!J985+'Game Results'!J967+'Game Results'!J1770+'Game Results'!J1752+'Game Results'!J1867+'Game Results'!J1615+'Game Results'!J1633+'Game Results'!J1885)</f>
        <v>136</v>
      </c>
      <c r="K67" s="87">
        <f t="shared" si="1"/>
        <v>1.087347463</v>
      </c>
      <c r="L67" s="85">
        <f>SUM('Game Results'!L60+'Game Results'!L78+'Game Results'!L276+'Game Results'!L294+'Game Results'!L492+'Game Results'!L510+'Game Results'!L823+'Game Results'!L841+'Game Results'!L1255+'Game Results'!L1273+'Game Results'!L1201+'Game Results'!L1183+'Game Results'!L985+'Game Results'!L967+'Game Results'!L1770+'Game Results'!L1752+'Game Results'!L1867+'Game Results'!L1615+'Game Results'!L1633+'Game Results'!L1885)</f>
        <v>234</v>
      </c>
      <c r="M67" s="85">
        <f>SUM('Game Results'!M60+'Game Results'!M78+'Game Results'!M276+'Game Results'!M294+'Game Results'!M492+'Game Results'!M510+'Game Results'!M823+'Game Results'!M841+'Game Results'!M1255+'Game Results'!M1273+'Game Results'!M1201+'Game Results'!M1183+'Game Results'!M985+'Game Results'!M967+'Game Results'!M1770+'Game Results'!M1752+'Game Results'!M1867+'Game Results'!M1615+'Game Results'!M1633+'Game Results'!M1885)</f>
        <v>2277</v>
      </c>
      <c r="N67" s="85">
        <f>SUM('Game Results'!N60+'Game Results'!N78+'Game Results'!N276+'Game Results'!N294+'Game Results'!N492+'Game Results'!N510+'Game Results'!N823+'Game Results'!N841+'Game Results'!N1255+'Game Results'!N1273+'Game Results'!N1201+'Game Results'!N1183+'Game Results'!N985+'Game Results'!N967+'Game Results'!N1770+'Game Results'!N1752+'Game Results'!N1867+'Game Results'!N1615+'Game Results'!N1633+'Game Results'!N1885)</f>
        <v>17</v>
      </c>
      <c r="O67" s="88">
        <f>SUM('Game Results'!O60+'Game Results'!O78+'Game Results'!O276+'Game Results'!O294+'Game Results'!O492+'Game Results'!O510+'Game Results'!O823+'Game Results'!O841+'Game Results'!O1255+'Game Results'!O1273+'Game Results'!O1201+'Game Results'!O1183+'Game Results'!O985+'Game Results'!O967+'Game Results'!O1770+'Game Results'!O1752+'Game Results'!O1867+'Game Results'!O1615+'Game Results'!O1633+'Game Results'!O1885)</f>
        <v>340.1</v>
      </c>
      <c r="P67" s="85">
        <f>SUM('Game Results'!P60+'Game Results'!P78+'Game Results'!P276+'Game Results'!P294+'Game Results'!P492+'Game Results'!P510+'Game Results'!P823+'Game Results'!P841+'Game Results'!P1255+'Game Results'!P1273+'Game Results'!P1201+'Game Results'!P1183+'Game Results'!P985+'Game Results'!P967+'Game Results'!P1770+'Game Results'!P1752+'Game Results'!P1867+'Game Results'!P1615+'Game Results'!P1633+'Game Results'!P1885)</f>
        <v>27</v>
      </c>
      <c r="Q67" s="85">
        <f>SUM('Game Results'!Q60+'Game Results'!Q78+'Game Results'!Q276+'Game Results'!Q294+'Game Results'!Q492+'Game Results'!Q510+'Game Results'!Q823+'Game Results'!Q841+'Game Results'!Q1255+'Game Results'!Q1273+'Game Results'!Q1201+'Game Results'!Q1183+'Game Results'!Q985+'Game Results'!Q967+'Game Results'!Q1770+'Game Results'!Q1752+'Game Results'!Q1867+'Game Results'!Q1615+'Game Results'!Q1633+'Game Results'!Q1885)</f>
        <v>6</v>
      </c>
      <c r="R67" s="85">
        <f>SUM('Game Results'!R60+'Game Results'!R78+'Game Results'!R276+'Game Results'!R294+'Game Results'!R492+'Game Results'!R510+'Game Results'!R823+'Game Results'!R841+'Game Results'!R1255+'Game Results'!R1273+'Game Results'!R1201+'Game Results'!R1183+'Game Results'!R985+'Game Results'!R967+'Game Results'!R1770+'Game Results'!R1752+'Game Results'!R1867+'Game Results'!R1615+'Game Results'!R1633+'Game Results'!R1885)</f>
        <v>151</v>
      </c>
      <c r="S67" s="85">
        <f>SUM('Game Results'!S60+'Game Results'!S78+'Game Results'!S276+'Game Results'!S294+'Game Results'!S492+'Game Results'!S510+'Game Results'!S823+'Game Results'!S841+'Game Results'!S1255+'Game Results'!S1273+'Game Results'!S1201+'Game Results'!S1183+'Game Results'!S985+'Game Results'!S967+'Game Results'!S1770+'Game Results'!S1752+'Game Results'!S1867+'Game Results'!S1615+'Game Results'!S1633+'Game Results'!S1885)</f>
        <v>22</v>
      </c>
      <c r="T67" s="85">
        <f>SUM('Game Results'!T60+'Game Results'!T78+'Game Results'!T276+'Game Results'!T294+'Game Results'!T492+'Game Results'!T510+'Game Results'!T823+'Game Results'!T841+'Game Results'!T1255+'Game Results'!T1273+'Game Results'!T1201+'Game Results'!T1183+'Game Results'!T985+'Game Results'!T967+'Game Results'!T1770+'Game Results'!T1752+'Game Results'!T1867+'Game Results'!T1615+'Game Results'!T1633+'Game Results'!T1885)</f>
        <v>279</v>
      </c>
      <c r="U67" s="85">
        <f>SUM('Game Results'!U60+'Game Results'!U78+'Game Results'!U276+'Game Results'!U294+'Game Results'!U492+'Game Results'!U510+'Game Results'!U823+'Game Results'!U841+'Game Results'!U1255+'Game Results'!U1273+'Game Results'!U1201+'Game Results'!U1183+'Game Results'!U985+'Game Results'!U967+'Game Results'!U1770+'Game Results'!U1752+'Game Results'!U1867+'Game Results'!U1615+'Game Results'!U1633+'Game Results'!U1885)</f>
        <v>68</v>
      </c>
      <c r="V67" s="85">
        <f>SUM('Game Results'!V60+'Game Results'!V78+'Game Results'!V276+'Game Results'!V294+'Game Results'!V492+'Game Results'!V510+'Game Results'!V823+'Game Results'!V841+'Game Results'!V1255+'Game Results'!V1273+'Game Results'!V1201+'Game Results'!V1183+'Game Results'!V985+'Game Results'!V967+'Game Results'!V1770+'Game Results'!V1752+'Game Results'!V1867+'Game Results'!V1615+'Game Results'!V1633+'Game Results'!V1885)</f>
        <v>24</v>
      </c>
      <c r="W67" s="85">
        <f>SUM('Game Results'!W60+'Game Results'!W78+'Game Results'!W276+'Game Results'!W294+'Game Results'!W492+'Game Results'!W510+'Game Results'!W823+'Game Results'!W841+'Game Results'!W1255+'Game Results'!W1273+'Game Results'!W1201+'Game Results'!W1183+'Game Results'!W985+'Game Results'!W967+'Game Results'!W1770+'Game Results'!W1752+'Game Results'!W1867+'Game Results'!W1615+'Game Results'!W1633+'Game Results'!W1885)</f>
        <v>10</v>
      </c>
      <c r="X67" s="85">
        <f>SUM('Game Results'!X60+'Game Results'!X78+'Game Results'!X276+'Game Results'!X294+'Game Results'!X492+'Game Results'!X510+'Game Results'!X823+'Game Results'!X841+'Game Results'!X1255+'Game Results'!X1273+'Game Results'!X1201+'Game Results'!X1183+'Game Results'!X985+'Game Results'!X967+'Game Results'!X1770+'Game Results'!X1752+'Game Results'!X1867+'Game Results'!X1615+'Game Results'!X1633+'Game Results'!X1885)</f>
        <v>5</v>
      </c>
      <c r="Y67" s="85">
        <f>SUM('Game Results'!Y60+'Game Results'!Y78+'Game Results'!Y276+'Game Results'!Y294+'Game Results'!Y492+'Game Results'!Y510+'Game Results'!Y823+'Game Results'!Y841+'Game Results'!Y1255+'Game Results'!Y1273+'Game Results'!Y1201+'Game Results'!Y1183+'Game Results'!Y985+'Game Results'!Y967+'Game Results'!Y1770+'Game Results'!Y1752+'Game Results'!Y1867+'Game Results'!Y1615+'Game Results'!Y1633+'Game Results'!Y1885)</f>
        <v>1</v>
      </c>
      <c r="Z67" s="85">
        <f>SUM('Game Results'!Z60+'Game Results'!Z78+'Game Results'!Z276+'Game Results'!Z294+'Game Results'!Z492+'Game Results'!Z510+'Game Results'!Z823+'Game Results'!Z841+'Game Results'!Z1255+'Game Results'!Z1273+'Game Results'!Z1201+'Game Results'!Z1183+'Game Results'!Z985+'Game Results'!Z967+'Game Results'!Z1770+'Game Results'!Z1752+'Game Results'!Z1867+'Game Results'!Z1615+'Game Results'!Z1633+'Game Results'!Z1885)</f>
        <v>0</v>
      </c>
      <c r="AA67" s="85">
        <f>SUM('Game Results'!AA60+'Game Results'!AA78+'Game Results'!AA276+'Game Results'!AA294+'Game Results'!AA492+'Game Results'!AA510+'Game Results'!AA823+'Game Results'!AA841+'Game Results'!AA1255+'Game Results'!AA1273+'Game Results'!AA1201+'Game Results'!AA1183+'Game Results'!AA985+'Game Results'!AA967+'Game Results'!AA1770+'Game Results'!AA1752+'Game Results'!AA1867+'Game Results'!AA1615+'Game Results'!AA1633+'Game Results'!AA1885)</f>
        <v>0</v>
      </c>
      <c r="AB67" s="85">
        <f>SUM('Game Results'!AB60+'Game Results'!AB78+'Game Results'!AB276+'Game Results'!AB294+'Game Results'!AB492+'Game Results'!AB510+'Game Results'!AB823+'Game Results'!AB841+'Game Results'!AB1255+'Game Results'!AB1273+'Game Results'!AB1201+'Game Results'!AB1183+'Game Results'!AB985+'Game Results'!AB967+'Game Results'!AB1770+'Game Results'!AB1752+'Game Results'!AB1867+'Game Results'!AB1615+'Game Results'!AB1633+'Game Results'!AB1885)</f>
        <v>0</v>
      </c>
      <c r="AC67" s="85">
        <f>SUM('Game Results'!AC60+'Game Results'!AC78+'Game Results'!AC276+'Game Results'!AC294+'Game Results'!AC492+'Game Results'!AC510+'Game Results'!AC823+'Game Results'!AC841+'Game Results'!AC1255+'Game Results'!AC1273+'Game Results'!AC1201+'Game Results'!AC1183+'Game Results'!AC985+'Game Results'!AC967+'Game Results'!AC1770+'Game Results'!AC1752+'Game Results'!AC1867+'Game Results'!AC1615+'Game Results'!AC1633+'Game Results'!AC1885)</f>
        <v>37</v>
      </c>
      <c r="AD67" s="85">
        <f>SUM('Game Results'!AD60+'Game Results'!AD78+'Game Results'!AD276+'Game Results'!AD294+'Game Results'!AD492+'Game Results'!AD510+'Game Results'!AD823+'Game Results'!AD841+'Game Results'!AD1255+'Game Results'!AD1273+'Game Results'!AD1201+'Game Results'!AD1183+'Game Results'!AD985+'Game Results'!AD967+'Game Results'!AD1770+'Game Results'!AD1752+'Game Results'!AD1867+'Game Results'!AD1615+'Game Results'!AD1633+'Game Results'!AD1885)</f>
        <v>1</v>
      </c>
      <c r="AE67" s="85">
        <f>SUM('Game Results'!AE60+'Game Results'!AE78+'Game Results'!AE276+'Game Results'!AE294+'Game Results'!AE492+'Game Results'!AE510+'Game Results'!AE823+'Game Results'!AE841+'Game Results'!AE1255+'Game Results'!AE1273+'Game Results'!AE1201+'Game Results'!AE1183+'Game Results'!AE985+'Game Results'!AE967+'Game Results'!AE1770+'Game Results'!AE1752+'Game Results'!AE1867+'Game Results'!AE1615+'Game Results'!AE1633+'Game Results'!AE1885)</f>
        <v>0</v>
      </c>
      <c r="AF67" s="85">
        <f>SUM('Game Results'!AF60+'Game Results'!AF78+'Game Results'!AF276+'Game Results'!AF294+'Game Results'!AF492+'Game Results'!AF510+'Game Results'!AF823+'Game Results'!AF841+'Game Results'!AF1255+'Game Results'!AF1273+'Game Results'!AF1201+'Game Results'!AF1183+'Game Results'!AF985+'Game Results'!AF967+'Game Results'!AF1770+'Game Results'!AF1752+'Game Results'!AF1867+'Game Results'!AF1615+'Game Results'!AF1633+'Game Results'!AF1885)</f>
        <v>0</v>
      </c>
      <c r="AG67" s="85">
        <f>SUM('Game Results'!AG60+'Game Results'!AG78+'Game Results'!AG276+'Game Results'!AG294+'Game Results'!AG492+'Game Results'!AG510+'Game Results'!AG823+'Game Results'!AG841+'Game Results'!AG1255+'Game Results'!AG1273+'Game Results'!AG1201+'Game Results'!AG1183+'Game Results'!AG985+'Game Results'!AG967+'Game Results'!AG1770+'Game Results'!AG1752+'Game Results'!AG1867+'Game Results'!AG1615+'Game Results'!AG1633+'Game Results'!AG1885)</f>
        <v>0</v>
      </c>
      <c r="AH67" s="85">
        <f>SUM('Game Results'!AH60+'Game Results'!AH78+'Game Results'!AH276+'Game Results'!AH294+'Game Results'!AH492+'Game Results'!AH510+'Game Results'!AH823+'Game Results'!AH841+'Game Results'!AH1255+'Game Results'!AH1273+'Game Results'!AH1201+'Game Results'!AH1183+'Game Results'!AH985+'Game Results'!AH967+'Game Results'!AH1770+'Game Results'!AH1752+'Game Results'!AH1867+'Game Results'!AH1615+'Game Results'!AH1633+'Game Results'!AH1885)</f>
        <v>0</v>
      </c>
    </row>
    <row r="68">
      <c r="A68" s="83" t="s">
        <v>20</v>
      </c>
      <c r="B68" s="84" t="s">
        <v>234</v>
      </c>
      <c r="C68" s="85">
        <f>SUM('Game Results'!C61+'Game Results'!C79+'Game Results'!C277+'Game Results'!C295+'Game Results'!C493+'Game Results'!C511+'Game Results'!C824+'Game Results'!C842+'Game Results'!C1256+'Game Results'!C1274+'Game Results'!C1202+'Game Results'!C1184+'Game Results'!C986+'Game Results'!C968+'Game Results'!C1771+'Game Results'!C1753+'Game Results'!C1868+'Game Results'!C1616+'Game Results'!C1634+'Game Results'!C1886)</f>
        <v>20</v>
      </c>
      <c r="D68" s="85">
        <f>SUM('Game Results'!D61+'Game Results'!D79+'Game Results'!D277+'Game Results'!D295+'Game Results'!D493+'Game Results'!D511+'Game Results'!D824+'Game Results'!D842+'Game Results'!D1256+'Game Results'!D1274+'Game Results'!D1202+'Game Results'!D1184+'Game Results'!D986+'Game Results'!D968+'Game Results'!D1771+'Game Results'!D1753+'Game Results'!D1868+'Game Results'!D1616+'Game Results'!D1634+'Game Results'!D1886)</f>
        <v>16</v>
      </c>
      <c r="E68" s="86">
        <f>SUM('Game Results'!E61+'Game Results'!E79+'Game Results'!E277+'Game Results'!E295+'Game Results'!E493+'Game Results'!E511+'Game Results'!E824+'Game Results'!E842+'Game Results'!E1256+'Game Results'!E1274+'Game Results'!E1202+'Game Results'!E1184+'Game Results'!E986+'Game Results'!E968+'Game Results'!E1771+'Game Results'!E1753+'Game Results'!E1868+'Game Results'!E1616+'Game Results'!E1634+'Game Results'!E1886)</f>
        <v>378.4333333</v>
      </c>
      <c r="F68" s="85">
        <f>SUM('Game Results'!F61+'Game Results'!F79+'Game Results'!F277+'Game Results'!F295+'Game Results'!F493+'Game Results'!F511+'Game Results'!F824+'Game Results'!F842+'Game Results'!F1256+'Game Results'!F1274+'Game Results'!F1202+'Game Results'!F1184+'Game Results'!F986+'Game Results'!F968+'Game Results'!F1771+'Game Results'!F1753+'Game Results'!F1868+'Game Results'!F1616+'Game Results'!F1634+'Game Results'!F1886)</f>
        <v>3</v>
      </c>
      <c r="G68" s="85">
        <f>SUM('Game Results'!G61+'Game Results'!G79+'Game Results'!G277+'Game Results'!G295+'Game Results'!G493+'Game Results'!G511+'Game Results'!G824+'Game Results'!G842+'Game Results'!G1256+'Game Results'!G1274+'Game Results'!G1202+'Game Results'!G1184+'Game Results'!G986+'Game Results'!G968+'Game Results'!G1771+'Game Results'!G1753+'Game Results'!G1868+'Game Results'!G1616+'Game Results'!G1634+'Game Results'!G1886)</f>
        <v>1312</v>
      </c>
      <c r="H68" s="85">
        <f>SUM('Game Results'!H61+'Game Results'!H79+'Game Results'!H277+'Game Results'!H295+'Game Results'!H493+'Game Results'!H511+'Game Results'!H824+'Game Results'!H842+'Game Results'!H1256+'Game Results'!H1274+'Game Results'!H1202+'Game Results'!H1184+'Game Results'!H986+'Game Results'!H968+'Game Results'!H1771+'Game Results'!H1753+'Game Results'!H1868+'Game Results'!H1616+'Game Results'!H1634+'Game Results'!H1886)</f>
        <v>7</v>
      </c>
      <c r="I68" s="85">
        <f>SUM('Game Results'!I61+'Game Results'!I79+'Game Results'!I277+'Game Results'!I295+'Game Results'!I493+'Game Results'!I511+'Game Results'!I824+'Game Results'!I842+'Game Results'!I1256+'Game Results'!I1274+'Game Results'!I1202+'Game Results'!I1184+'Game Results'!I986+'Game Results'!I968+'Game Results'!I1771+'Game Results'!I1753+'Game Results'!I1868+'Game Results'!I1616+'Game Results'!I1634+'Game Results'!I1886)</f>
        <v>1418</v>
      </c>
      <c r="J68" s="85">
        <f>SUM('Game Results'!J61+'Game Results'!J79+'Game Results'!J277+'Game Results'!J295+'Game Results'!J493+'Game Results'!J511+'Game Results'!J824+'Game Results'!J842+'Game Results'!J1256+'Game Results'!J1274+'Game Results'!J1202+'Game Results'!J1184+'Game Results'!J986+'Game Results'!J968+'Game Results'!J1771+'Game Results'!J1753+'Game Results'!J1868+'Game Results'!J1616+'Game Results'!J1634+'Game Results'!J1886)</f>
        <v>-106</v>
      </c>
      <c r="K68" s="87">
        <f t="shared" si="1"/>
        <v>0.9252468265</v>
      </c>
      <c r="L68" s="85">
        <f>SUM('Game Results'!L61+'Game Results'!L79+'Game Results'!L277+'Game Results'!L295+'Game Results'!L493+'Game Results'!L511+'Game Results'!L824+'Game Results'!L842+'Game Results'!L1256+'Game Results'!L1274+'Game Results'!L1202+'Game Results'!L1184+'Game Results'!L986+'Game Results'!L968+'Game Results'!L1771+'Game Results'!L1753+'Game Results'!L1868+'Game Results'!L1616+'Game Results'!L1634+'Game Results'!L1886)</f>
        <v>264</v>
      </c>
      <c r="M68" s="85">
        <f>SUM('Game Results'!M61+'Game Results'!M79+'Game Results'!M277+'Game Results'!M295+'Game Results'!M493+'Game Results'!M511+'Game Results'!M824+'Game Results'!M842+'Game Results'!M1256+'Game Results'!M1274+'Game Results'!M1202+'Game Results'!M1184+'Game Results'!M986+'Game Results'!M968+'Game Results'!M1771+'Game Results'!M1753+'Game Results'!M1868+'Game Results'!M1616+'Game Results'!M1634+'Game Results'!M1886)</f>
        <v>1613</v>
      </c>
      <c r="N68" s="85">
        <f>SUM('Game Results'!N61+'Game Results'!N79+'Game Results'!N277+'Game Results'!N295+'Game Results'!N493+'Game Results'!N511+'Game Results'!N824+'Game Results'!N842+'Game Results'!N1256+'Game Results'!N1274+'Game Results'!N1202+'Game Results'!N1184+'Game Results'!N986+'Game Results'!N968+'Game Results'!N1771+'Game Results'!N1753+'Game Results'!N1868+'Game Results'!N1616+'Game Results'!N1634+'Game Results'!N1886)</f>
        <v>17</v>
      </c>
      <c r="O68" s="88">
        <f>SUM('Game Results'!O61+'Game Results'!O79+'Game Results'!O277+'Game Results'!O295+'Game Results'!O493+'Game Results'!O511+'Game Results'!O824+'Game Results'!O842+'Game Results'!O1256+'Game Results'!O1274+'Game Results'!O1202+'Game Results'!O1184+'Game Results'!O986+'Game Results'!O968+'Game Results'!O1771+'Game Results'!O1753+'Game Results'!O1868+'Game Results'!O1616+'Game Results'!O1634+'Game Results'!O1886)</f>
        <v>343.4333333</v>
      </c>
      <c r="P68" s="85">
        <f>SUM('Game Results'!P61+'Game Results'!P79+'Game Results'!P277+'Game Results'!P295+'Game Results'!P493+'Game Results'!P511+'Game Results'!P824+'Game Results'!P842+'Game Results'!P1256+'Game Results'!P1274+'Game Results'!P1202+'Game Results'!P1184+'Game Results'!P986+'Game Results'!P968+'Game Results'!P1771+'Game Results'!P1753+'Game Results'!P1868+'Game Results'!P1616+'Game Results'!P1634+'Game Results'!P1886)</f>
        <v>36</v>
      </c>
      <c r="Q68" s="85">
        <f>SUM('Game Results'!Q61+'Game Results'!Q79+'Game Results'!Q277+'Game Results'!Q295+'Game Results'!Q493+'Game Results'!Q511+'Game Results'!Q824+'Game Results'!Q842+'Game Results'!Q1256+'Game Results'!Q1274+'Game Results'!Q1202+'Game Results'!Q1184+'Game Results'!Q986+'Game Results'!Q968+'Game Results'!Q1771+'Game Results'!Q1753+'Game Results'!Q1868+'Game Results'!Q1616+'Game Results'!Q1634+'Game Results'!Q1886)</f>
        <v>14</v>
      </c>
      <c r="R68" s="85">
        <f>SUM('Game Results'!R61+'Game Results'!R79+'Game Results'!R277+'Game Results'!R295+'Game Results'!R493+'Game Results'!R511+'Game Results'!R824+'Game Results'!R842+'Game Results'!R1256+'Game Results'!R1274+'Game Results'!R1202+'Game Results'!R1184+'Game Results'!R986+'Game Results'!R968+'Game Results'!R1771+'Game Results'!R1753+'Game Results'!R1868+'Game Results'!R1616+'Game Results'!R1634+'Game Results'!R1886)</f>
        <v>71</v>
      </c>
      <c r="S68" s="85">
        <f>SUM('Game Results'!S61+'Game Results'!S79+'Game Results'!S277+'Game Results'!S295+'Game Results'!S493+'Game Results'!S511+'Game Results'!S824+'Game Results'!S842+'Game Results'!S1256+'Game Results'!S1274+'Game Results'!S1202+'Game Results'!S1184+'Game Results'!S986+'Game Results'!S968+'Game Results'!S1771+'Game Results'!S1753+'Game Results'!S1868+'Game Results'!S1616+'Game Results'!S1634+'Game Results'!S1886)</f>
        <v>20</v>
      </c>
      <c r="T68" s="85">
        <f>SUM('Game Results'!T61+'Game Results'!T79+'Game Results'!T277+'Game Results'!T295+'Game Results'!T493+'Game Results'!T511+'Game Results'!T824+'Game Results'!T842+'Game Results'!T1256+'Game Results'!T1274+'Game Results'!T1202+'Game Results'!T1184+'Game Results'!T986+'Game Results'!T968+'Game Results'!T1771+'Game Results'!T1753+'Game Results'!T1868+'Game Results'!T1616+'Game Results'!T1634+'Game Results'!T1886)</f>
        <v>183</v>
      </c>
      <c r="U68" s="85">
        <f>SUM('Game Results'!U61+'Game Results'!U79+'Game Results'!U277+'Game Results'!U295+'Game Results'!U493+'Game Results'!U511+'Game Results'!U824+'Game Results'!U842+'Game Results'!U1256+'Game Results'!U1274+'Game Results'!U1202+'Game Results'!U1184+'Game Results'!U986+'Game Results'!U968+'Game Results'!U1771+'Game Results'!U1753+'Game Results'!U1868+'Game Results'!U1616+'Game Results'!U1634+'Game Results'!U1886)</f>
        <v>40</v>
      </c>
      <c r="V68" s="85">
        <f>SUM('Game Results'!V61+'Game Results'!V79+'Game Results'!V277+'Game Results'!V295+'Game Results'!V493+'Game Results'!V511+'Game Results'!V824+'Game Results'!V842+'Game Results'!V1256+'Game Results'!V1274+'Game Results'!V1202+'Game Results'!V1184+'Game Results'!V986+'Game Results'!V968+'Game Results'!V1771+'Game Results'!V1753+'Game Results'!V1868+'Game Results'!V1616+'Game Results'!V1634+'Game Results'!V1886)</f>
        <v>7</v>
      </c>
      <c r="W68" s="85">
        <f>SUM('Game Results'!W61+'Game Results'!W79+'Game Results'!W277+'Game Results'!W295+'Game Results'!W493+'Game Results'!W511+'Game Results'!W824+'Game Results'!W842+'Game Results'!W1256+'Game Results'!W1274+'Game Results'!W1202+'Game Results'!W1184+'Game Results'!W986+'Game Results'!W968+'Game Results'!W1771+'Game Results'!W1753+'Game Results'!W1868+'Game Results'!W1616+'Game Results'!W1634+'Game Results'!W1886)</f>
        <v>3</v>
      </c>
      <c r="X68" s="85">
        <f>SUM('Game Results'!X61+'Game Results'!X79+'Game Results'!X277+'Game Results'!X295+'Game Results'!X493+'Game Results'!X511+'Game Results'!X824+'Game Results'!X842+'Game Results'!X1256+'Game Results'!X1274+'Game Results'!X1202+'Game Results'!X1184+'Game Results'!X986+'Game Results'!X968+'Game Results'!X1771+'Game Results'!X1753+'Game Results'!X1868+'Game Results'!X1616+'Game Results'!X1634+'Game Results'!X1886)</f>
        <v>0</v>
      </c>
      <c r="Y68" s="85">
        <f>SUM('Game Results'!Y61+'Game Results'!Y79+'Game Results'!Y277+'Game Results'!Y295+'Game Results'!Y493+'Game Results'!Y511+'Game Results'!Y824+'Game Results'!Y842+'Game Results'!Y1256+'Game Results'!Y1274+'Game Results'!Y1202+'Game Results'!Y1184+'Game Results'!Y986+'Game Results'!Y968+'Game Results'!Y1771+'Game Results'!Y1753+'Game Results'!Y1868+'Game Results'!Y1616+'Game Results'!Y1634+'Game Results'!Y1886)</f>
        <v>0</v>
      </c>
      <c r="Z68" s="85">
        <f>SUM('Game Results'!Z61+'Game Results'!Z79+'Game Results'!Z277+'Game Results'!Z295+'Game Results'!Z493+'Game Results'!Z511+'Game Results'!Z824+'Game Results'!Z842+'Game Results'!Z1256+'Game Results'!Z1274+'Game Results'!Z1202+'Game Results'!Z1184+'Game Results'!Z986+'Game Results'!Z968+'Game Results'!Z1771+'Game Results'!Z1753+'Game Results'!Z1868+'Game Results'!Z1616+'Game Results'!Z1634+'Game Results'!Z1886)</f>
        <v>0</v>
      </c>
      <c r="AA68" s="85">
        <f>SUM('Game Results'!AA61+'Game Results'!AA79+'Game Results'!AA277+'Game Results'!AA295+'Game Results'!AA493+'Game Results'!AA511+'Game Results'!AA824+'Game Results'!AA842+'Game Results'!AA1256+'Game Results'!AA1274+'Game Results'!AA1202+'Game Results'!AA1184+'Game Results'!AA986+'Game Results'!AA968+'Game Results'!AA1771+'Game Results'!AA1753+'Game Results'!AA1868+'Game Results'!AA1616+'Game Results'!AA1634+'Game Results'!AA1886)</f>
        <v>0</v>
      </c>
      <c r="AB68" s="85">
        <f>SUM('Game Results'!AB61+'Game Results'!AB79+'Game Results'!AB277+'Game Results'!AB295+'Game Results'!AB493+'Game Results'!AB511+'Game Results'!AB824+'Game Results'!AB842+'Game Results'!AB1256+'Game Results'!AB1274+'Game Results'!AB1202+'Game Results'!AB1184+'Game Results'!AB986+'Game Results'!AB968+'Game Results'!AB1771+'Game Results'!AB1753+'Game Results'!AB1868+'Game Results'!AB1616+'Game Results'!AB1634+'Game Results'!AB1886)</f>
        <v>0</v>
      </c>
      <c r="AC68" s="85">
        <f>SUM('Game Results'!AC61+'Game Results'!AC79+'Game Results'!AC277+'Game Results'!AC295+'Game Results'!AC493+'Game Results'!AC511+'Game Results'!AC824+'Game Results'!AC842+'Game Results'!AC1256+'Game Results'!AC1274+'Game Results'!AC1202+'Game Results'!AC1184+'Game Results'!AC986+'Game Results'!AC968+'Game Results'!AC1771+'Game Results'!AC1753+'Game Results'!AC1868+'Game Results'!AC1616+'Game Results'!AC1634+'Game Results'!AC1886)</f>
        <v>16</v>
      </c>
      <c r="AD68" s="85">
        <f>SUM('Game Results'!AD61+'Game Results'!AD79+'Game Results'!AD277+'Game Results'!AD295+'Game Results'!AD493+'Game Results'!AD511+'Game Results'!AD824+'Game Results'!AD842+'Game Results'!AD1256+'Game Results'!AD1274+'Game Results'!AD1202+'Game Results'!AD1184+'Game Results'!AD986+'Game Results'!AD968+'Game Results'!AD1771+'Game Results'!AD1753+'Game Results'!AD1868+'Game Results'!AD1616+'Game Results'!AD1634+'Game Results'!AD1886)</f>
        <v>0</v>
      </c>
      <c r="AE68" s="85">
        <f>SUM('Game Results'!AE61+'Game Results'!AE79+'Game Results'!AE277+'Game Results'!AE295+'Game Results'!AE493+'Game Results'!AE511+'Game Results'!AE824+'Game Results'!AE842+'Game Results'!AE1256+'Game Results'!AE1274+'Game Results'!AE1202+'Game Results'!AE1184+'Game Results'!AE986+'Game Results'!AE968+'Game Results'!AE1771+'Game Results'!AE1753+'Game Results'!AE1868+'Game Results'!AE1616+'Game Results'!AE1634+'Game Results'!AE1886)</f>
        <v>0</v>
      </c>
      <c r="AF68" s="85">
        <f>SUM('Game Results'!AF61+'Game Results'!AF79+'Game Results'!AF277+'Game Results'!AF295+'Game Results'!AF493+'Game Results'!AF511+'Game Results'!AF824+'Game Results'!AF842+'Game Results'!AF1256+'Game Results'!AF1274+'Game Results'!AF1202+'Game Results'!AF1184+'Game Results'!AF986+'Game Results'!AF968+'Game Results'!AF1771+'Game Results'!AF1753+'Game Results'!AF1868+'Game Results'!AF1616+'Game Results'!AF1634+'Game Results'!AF1886)</f>
        <v>0</v>
      </c>
      <c r="AG68" s="85">
        <f>SUM('Game Results'!AG61+'Game Results'!AG79+'Game Results'!AG277+'Game Results'!AG295+'Game Results'!AG493+'Game Results'!AG511+'Game Results'!AG824+'Game Results'!AG842+'Game Results'!AG1256+'Game Results'!AG1274+'Game Results'!AG1202+'Game Results'!AG1184+'Game Results'!AG986+'Game Results'!AG968+'Game Results'!AG1771+'Game Results'!AG1753+'Game Results'!AG1868+'Game Results'!AG1616+'Game Results'!AG1634+'Game Results'!AG1886)</f>
        <v>1</v>
      </c>
      <c r="AH68" s="85">
        <f>SUM('Game Results'!AH61+'Game Results'!AH79+'Game Results'!AH277+'Game Results'!AH295+'Game Results'!AH493+'Game Results'!AH511+'Game Results'!AH824+'Game Results'!AH842+'Game Results'!AH1256+'Game Results'!AH1274+'Game Results'!AH1202+'Game Results'!AH1184+'Game Results'!AH986+'Game Results'!AH968+'Game Results'!AH1771+'Game Results'!AH1753+'Game Results'!AH1868+'Game Results'!AH1616+'Game Results'!AH1634+'Game Results'!AH1886)</f>
        <v>0</v>
      </c>
    </row>
    <row r="69">
      <c r="A69" s="83" t="s">
        <v>20</v>
      </c>
      <c r="B69" s="84" t="s">
        <v>235</v>
      </c>
      <c r="C69" s="85">
        <f>SUM('Game Results'!C62+'Game Results'!C80+'Game Results'!C278+'Game Results'!C296+'Game Results'!C494+'Game Results'!C512+'Game Results'!C825+'Game Results'!C843+'Game Results'!C1257+'Game Results'!C1275+'Game Results'!C1203+'Game Results'!C1185+'Game Results'!C987+'Game Results'!C969+'Game Results'!C1772+'Game Results'!C1754+'Game Results'!C1869+'Game Results'!C1617+'Game Results'!C1635+'Game Results'!C1887)</f>
        <v>20</v>
      </c>
      <c r="D69" s="85">
        <f>SUM('Game Results'!D62+'Game Results'!D80+'Game Results'!D278+'Game Results'!D296+'Game Results'!D494+'Game Results'!D512+'Game Results'!D825+'Game Results'!D843+'Game Results'!D1257+'Game Results'!D1275+'Game Results'!D1203+'Game Results'!D1185+'Game Results'!D987+'Game Results'!D969+'Game Results'!D1772+'Game Results'!D1754+'Game Results'!D1869+'Game Results'!D1617+'Game Results'!D1635+'Game Results'!D1887)</f>
        <v>16</v>
      </c>
      <c r="E69" s="86">
        <f>SUM('Game Results'!E62+'Game Results'!E80+'Game Results'!E278+'Game Results'!E296+'Game Results'!E494+'Game Results'!E512+'Game Results'!E825+'Game Results'!E843+'Game Results'!E1257+'Game Results'!E1275+'Game Results'!E1203+'Game Results'!E1185+'Game Results'!E987+'Game Results'!E969+'Game Results'!E1772+'Game Results'!E1754+'Game Results'!E1869+'Game Results'!E1617+'Game Results'!E1635+'Game Results'!E1887)</f>
        <v>390.5333333</v>
      </c>
      <c r="F69" s="85">
        <f>SUM('Game Results'!F62+'Game Results'!F80+'Game Results'!F278+'Game Results'!F296+'Game Results'!F494+'Game Results'!F512+'Game Results'!F825+'Game Results'!F843+'Game Results'!F1257+'Game Results'!F1275+'Game Results'!F1203+'Game Results'!F1185+'Game Results'!F987+'Game Results'!F969+'Game Results'!F1772+'Game Results'!F1754+'Game Results'!F1869+'Game Results'!F1617+'Game Results'!F1635+'Game Results'!F1887)</f>
        <v>79</v>
      </c>
      <c r="G69" s="85">
        <f>SUM('Game Results'!G62+'Game Results'!G80+'Game Results'!G278+'Game Results'!G296+'Game Results'!G494+'Game Results'!G512+'Game Results'!G825+'Game Results'!G843+'Game Results'!G1257+'Game Results'!G1275+'Game Results'!G1203+'Game Results'!G1185+'Game Results'!G987+'Game Results'!G969+'Game Results'!G1772+'Game Results'!G1754+'Game Results'!G1869+'Game Results'!G1617+'Game Results'!G1635+'Game Results'!G1887)</f>
        <v>789</v>
      </c>
      <c r="H69" s="85">
        <f>SUM('Game Results'!H62+'Game Results'!H80+'Game Results'!H278+'Game Results'!H296+'Game Results'!H494+'Game Results'!H512+'Game Results'!H825+'Game Results'!H843+'Game Results'!H1257+'Game Results'!H1275+'Game Results'!H1203+'Game Results'!H1185+'Game Results'!H987+'Game Results'!H969+'Game Results'!H1772+'Game Results'!H1754+'Game Results'!H1869+'Game Results'!H1617+'Game Results'!H1635+'Game Results'!H1887)</f>
        <v>8</v>
      </c>
      <c r="I69" s="85">
        <f>SUM('Game Results'!I62+'Game Results'!I80+'Game Results'!I278+'Game Results'!I296+'Game Results'!I494+'Game Results'!I512+'Game Results'!I825+'Game Results'!I843+'Game Results'!I1257+'Game Results'!I1275+'Game Results'!I1203+'Game Results'!I1185+'Game Results'!I987+'Game Results'!I969+'Game Results'!I1772+'Game Results'!I1754+'Game Results'!I1869+'Game Results'!I1617+'Game Results'!I1635+'Game Results'!I1887)</f>
        <v>977</v>
      </c>
      <c r="J69" s="85">
        <f>SUM('Game Results'!J62+'Game Results'!J80+'Game Results'!J278+'Game Results'!J296+'Game Results'!J494+'Game Results'!J512+'Game Results'!J825+'Game Results'!J843+'Game Results'!J1257+'Game Results'!J1275+'Game Results'!J1203+'Game Results'!J1185+'Game Results'!J987+'Game Results'!J969+'Game Results'!J1772+'Game Results'!J1754+'Game Results'!J1869+'Game Results'!J1617+'Game Results'!J1635+'Game Results'!J1887)</f>
        <v>-188</v>
      </c>
      <c r="K69" s="87">
        <f t="shared" si="1"/>
        <v>0.8075742068</v>
      </c>
      <c r="L69" s="85">
        <f>SUM('Game Results'!L62+'Game Results'!L80+'Game Results'!L278+'Game Results'!L296+'Game Results'!L494+'Game Results'!L512+'Game Results'!L825+'Game Results'!L843+'Game Results'!L1257+'Game Results'!L1275+'Game Results'!L1203+'Game Results'!L1185+'Game Results'!L987+'Game Results'!L969+'Game Results'!L1772+'Game Results'!L1754+'Game Results'!L1869+'Game Results'!L1617+'Game Results'!L1635+'Game Results'!L1887)</f>
        <v>423</v>
      </c>
      <c r="M69" s="85">
        <f>SUM('Game Results'!M62+'Game Results'!M80+'Game Results'!M278+'Game Results'!M296+'Game Results'!M494+'Game Results'!M512+'Game Results'!M825+'Game Results'!M843+'Game Results'!M1257+'Game Results'!M1275+'Game Results'!M1203+'Game Results'!M1185+'Game Results'!M987+'Game Results'!M969+'Game Results'!M1772+'Game Results'!M1754+'Game Results'!M1869+'Game Results'!M1617+'Game Results'!M1635+'Game Results'!M1887)</f>
        <v>1074</v>
      </c>
      <c r="N69" s="85">
        <f>SUM('Game Results'!N62+'Game Results'!N80+'Game Results'!N278+'Game Results'!N296+'Game Results'!N494+'Game Results'!N512+'Game Results'!N825+'Game Results'!N843+'Game Results'!N1257+'Game Results'!N1275+'Game Results'!N1203+'Game Results'!N1185+'Game Results'!N987+'Game Results'!N969+'Game Results'!N1772+'Game Results'!N1754+'Game Results'!N1869+'Game Results'!N1617+'Game Results'!N1635+'Game Results'!N1887)</f>
        <v>17</v>
      </c>
      <c r="O69" s="88">
        <f>SUM('Game Results'!O62+'Game Results'!O80+'Game Results'!O278+'Game Results'!O296+'Game Results'!O494+'Game Results'!O512+'Game Results'!O825+'Game Results'!O843+'Game Results'!O1257+'Game Results'!O1275+'Game Results'!O1203+'Game Results'!O1185+'Game Results'!O987+'Game Results'!O969+'Game Results'!O1772+'Game Results'!O1754+'Game Results'!O1869+'Game Results'!O1617+'Game Results'!O1635+'Game Results'!O1887)</f>
        <v>355.5333333</v>
      </c>
      <c r="P69" s="85">
        <f>SUM('Game Results'!P62+'Game Results'!P80+'Game Results'!P278+'Game Results'!P296+'Game Results'!P494+'Game Results'!P512+'Game Results'!P825+'Game Results'!P843+'Game Results'!P1257+'Game Results'!P1275+'Game Results'!P1203+'Game Results'!P1185+'Game Results'!P987+'Game Results'!P969+'Game Results'!P1772+'Game Results'!P1754+'Game Results'!P1869+'Game Results'!P1617+'Game Results'!P1635+'Game Results'!P1887)</f>
        <v>54</v>
      </c>
      <c r="Q69" s="85">
        <f>SUM('Game Results'!Q62+'Game Results'!Q80+'Game Results'!Q278+'Game Results'!Q296+'Game Results'!Q494+'Game Results'!Q512+'Game Results'!Q825+'Game Results'!Q843+'Game Results'!Q1257+'Game Results'!Q1275+'Game Results'!Q1203+'Game Results'!Q1185+'Game Results'!Q987+'Game Results'!Q969+'Game Results'!Q1772+'Game Results'!Q1754+'Game Results'!Q1869+'Game Results'!Q1617+'Game Results'!Q1635+'Game Results'!Q1887)</f>
        <v>11</v>
      </c>
      <c r="R69" s="85">
        <f>SUM('Game Results'!R62+'Game Results'!R80+'Game Results'!R278+'Game Results'!R296+'Game Results'!R494+'Game Results'!R512+'Game Results'!R825+'Game Results'!R843+'Game Results'!R1257+'Game Results'!R1275+'Game Results'!R1203+'Game Results'!R1185+'Game Results'!R987+'Game Results'!R969+'Game Results'!R1772+'Game Results'!R1754+'Game Results'!R1869+'Game Results'!R1617+'Game Results'!R1635+'Game Results'!R1887)</f>
        <v>12</v>
      </c>
      <c r="S69" s="85">
        <f>SUM('Game Results'!S62+'Game Results'!S80+'Game Results'!S278+'Game Results'!S296+'Game Results'!S494+'Game Results'!S512+'Game Results'!S825+'Game Results'!S843+'Game Results'!S1257+'Game Results'!S1275+'Game Results'!S1203+'Game Results'!S1185+'Game Results'!S987+'Game Results'!S969+'Game Results'!S1772+'Game Results'!S1754+'Game Results'!S1869+'Game Results'!S1617+'Game Results'!S1635+'Game Results'!S1887)</f>
        <v>13</v>
      </c>
      <c r="T69" s="85">
        <f>SUM('Game Results'!T62+'Game Results'!T80+'Game Results'!T278+'Game Results'!T296+'Game Results'!T494+'Game Results'!T512+'Game Results'!T825+'Game Results'!T843+'Game Results'!T1257+'Game Results'!T1275+'Game Results'!T1203+'Game Results'!T1185+'Game Results'!T987+'Game Results'!T969+'Game Results'!T1772+'Game Results'!T1754+'Game Results'!T1869+'Game Results'!T1617+'Game Results'!T1635+'Game Results'!T1887)</f>
        <v>99</v>
      </c>
      <c r="U69" s="85">
        <f>SUM('Game Results'!U62+'Game Results'!U80+'Game Results'!U278+'Game Results'!U296+'Game Results'!U494+'Game Results'!U512+'Game Results'!U825+'Game Results'!U843+'Game Results'!U1257+'Game Results'!U1275+'Game Results'!U1203+'Game Results'!U1185+'Game Results'!U987+'Game Results'!U969+'Game Results'!U1772+'Game Results'!U1754+'Game Results'!U1869+'Game Results'!U1617+'Game Results'!U1635+'Game Results'!U1887)</f>
        <v>15</v>
      </c>
      <c r="V69" s="85">
        <f>SUM('Game Results'!V62+'Game Results'!V80+'Game Results'!V278+'Game Results'!V296+'Game Results'!V494+'Game Results'!V512+'Game Results'!V825+'Game Results'!V843+'Game Results'!V1257+'Game Results'!V1275+'Game Results'!V1203+'Game Results'!V1185+'Game Results'!V987+'Game Results'!V969+'Game Results'!V1772+'Game Results'!V1754+'Game Results'!V1869+'Game Results'!V1617+'Game Results'!V1635+'Game Results'!V1887)</f>
        <v>1</v>
      </c>
      <c r="W69" s="85">
        <f>SUM('Game Results'!W62+'Game Results'!W80+'Game Results'!W278+'Game Results'!W296+'Game Results'!W494+'Game Results'!W512+'Game Results'!W825+'Game Results'!W843+'Game Results'!W1257+'Game Results'!W1275+'Game Results'!W1203+'Game Results'!W1185+'Game Results'!W987+'Game Results'!W969+'Game Results'!W1772+'Game Results'!W1754+'Game Results'!W1869+'Game Results'!W1617+'Game Results'!W1635+'Game Results'!W1887)</f>
        <v>0</v>
      </c>
      <c r="X69" s="85">
        <f>SUM('Game Results'!X62+'Game Results'!X80+'Game Results'!X278+'Game Results'!X296+'Game Results'!X494+'Game Results'!X512+'Game Results'!X825+'Game Results'!X843+'Game Results'!X1257+'Game Results'!X1275+'Game Results'!X1203+'Game Results'!X1185+'Game Results'!X987+'Game Results'!X969+'Game Results'!X1772+'Game Results'!X1754+'Game Results'!X1869+'Game Results'!X1617+'Game Results'!X1635+'Game Results'!X1887)</f>
        <v>0</v>
      </c>
      <c r="Y69" s="85">
        <f>SUM('Game Results'!Y62+'Game Results'!Y80+'Game Results'!Y278+'Game Results'!Y296+'Game Results'!Y494+'Game Results'!Y512+'Game Results'!Y825+'Game Results'!Y843+'Game Results'!Y1257+'Game Results'!Y1275+'Game Results'!Y1203+'Game Results'!Y1185+'Game Results'!Y987+'Game Results'!Y969+'Game Results'!Y1772+'Game Results'!Y1754+'Game Results'!Y1869+'Game Results'!Y1617+'Game Results'!Y1635+'Game Results'!Y1887)</f>
        <v>0</v>
      </c>
      <c r="Z69" s="85">
        <f>SUM('Game Results'!Z62+'Game Results'!Z80+'Game Results'!Z278+'Game Results'!Z296+'Game Results'!Z494+'Game Results'!Z512+'Game Results'!Z825+'Game Results'!Z843+'Game Results'!Z1257+'Game Results'!Z1275+'Game Results'!Z1203+'Game Results'!Z1185+'Game Results'!Z987+'Game Results'!Z969+'Game Results'!Z1772+'Game Results'!Z1754+'Game Results'!Z1869+'Game Results'!Z1617+'Game Results'!Z1635+'Game Results'!Z1887)</f>
        <v>0</v>
      </c>
      <c r="AA69" s="85">
        <f>SUM('Game Results'!AA62+'Game Results'!AA80+'Game Results'!AA278+'Game Results'!AA296+'Game Results'!AA494+'Game Results'!AA512+'Game Results'!AA825+'Game Results'!AA843+'Game Results'!AA1257+'Game Results'!AA1275+'Game Results'!AA1203+'Game Results'!AA1185+'Game Results'!AA987+'Game Results'!AA969+'Game Results'!AA1772+'Game Results'!AA1754+'Game Results'!AA1869+'Game Results'!AA1617+'Game Results'!AA1635+'Game Results'!AA1887)</f>
        <v>0</v>
      </c>
      <c r="AB69" s="85">
        <f>SUM('Game Results'!AB62+'Game Results'!AB80+'Game Results'!AB278+'Game Results'!AB296+'Game Results'!AB494+'Game Results'!AB512+'Game Results'!AB825+'Game Results'!AB843+'Game Results'!AB1257+'Game Results'!AB1275+'Game Results'!AB1203+'Game Results'!AB1185+'Game Results'!AB987+'Game Results'!AB969+'Game Results'!AB1772+'Game Results'!AB1754+'Game Results'!AB1869+'Game Results'!AB1617+'Game Results'!AB1635+'Game Results'!AB1887)</f>
        <v>0</v>
      </c>
      <c r="AC69" s="85">
        <f>SUM('Game Results'!AC62+'Game Results'!AC80+'Game Results'!AC278+'Game Results'!AC296+'Game Results'!AC494+'Game Results'!AC512+'Game Results'!AC825+'Game Results'!AC843+'Game Results'!AC1257+'Game Results'!AC1275+'Game Results'!AC1203+'Game Results'!AC1185+'Game Results'!AC987+'Game Results'!AC969+'Game Results'!AC1772+'Game Results'!AC1754+'Game Results'!AC1869+'Game Results'!AC1617+'Game Results'!AC1635+'Game Results'!AC1887)</f>
        <v>8</v>
      </c>
      <c r="AD69" s="85">
        <f>SUM('Game Results'!AD62+'Game Results'!AD80+'Game Results'!AD278+'Game Results'!AD296+'Game Results'!AD494+'Game Results'!AD512+'Game Results'!AD825+'Game Results'!AD843+'Game Results'!AD1257+'Game Results'!AD1275+'Game Results'!AD1203+'Game Results'!AD1185+'Game Results'!AD987+'Game Results'!AD969+'Game Results'!AD1772+'Game Results'!AD1754+'Game Results'!AD1869+'Game Results'!AD1617+'Game Results'!AD1635+'Game Results'!AD1887)</f>
        <v>0</v>
      </c>
      <c r="AE69" s="85">
        <f>SUM('Game Results'!AE62+'Game Results'!AE80+'Game Results'!AE278+'Game Results'!AE296+'Game Results'!AE494+'Game Results'!AE512+'Game Results'!AE825+'Game Results'!AE843+'Game Results'!AE1257+'Game Results'!AE1275+'Game Results'!AE1203+'Game Results'!AE1185+'Game Results'!AE987+'Game Results'!AE969+'Game Results'!AE1772+'Game Results'!AE1754+'Game Results'!AE1869+'Game Results'!AE1617+'Game Results'!AE1635+'Game Results'!AE1887)</f>
        <v>0</v>
      </c>
      <c r="AF69" s="85">
        <f>SUM('Game Results'!AF62+'Game Results'!AF80+'Game Results'!AF278+'Game Results'!AF296+'Game Results'!AF494+'Game Results'!AF512+'Game Results'!AF825+'Game Results'!AF843+'Game Results'!AF1257+'Game Results'!AF1275+'Game Results'!AF1203+'Game Results'!AF1185+'Game Results'!AF987+'Game Results'!AF969+'Game Results'!AF1772+'Game Results'!AF1754+'Game Results'!AF1869+'Game Results'!AF1617+'Game Results'!AF1635+'Game Results'!AF1887)</f>
        <v>0</v>
      </c>
      <c r="AG69" s="85">
        <f>SUM('Game Results'!AG62+'Game Results'!AG80+'Game Results'!AG278+'Game Results'!AG296+'Game Results'!AG494+'Game Results'!AG512+'Game Results'!AG825+'Game Results'!AG843+'Game Results'!AG1257+'Game Results'!AG1275+'Game Results'!AG1203+'Game Results'!AG1185+'Game Results'!AG987+'Game Results'!AG969+'Game Results'!AG1772+'Game Results'!AG1754+'Game Results'!AG1869+'Game Results'!AG1617+'Game Results'!AG1635+'Game Results'!AG1887)</f>
        <v>0</v>
      </c>
      <c r="AH69" s="85">
        <f>SUM('Game Results'!AH62+'Game Results'!AH80+'Game Results'!AH278+'Game Results'!AH296+'Game Results'!AH494+'Game Results'!AH512+'Game Results'!AH825+'Game Results'!AH843+'Game Results'!AH1257+'Game Results'!AH1275+'Game Results'!AH1203+'Game Results'!AH1185+'Game Results'!AH987+'Game Results'!AH969+'Game Results'!AH1772+'Game Results'!AH1754+'Game Results'!AH1869+'Game Results'!AH1617+'Game Results'!AH1635+'Game Results'!AH1887)</f>
        <v>0</v>
      </c>
    </row>
    <row r="70">
      <c r="A70" s="83" t="s">
        <v>20</v>
      </c>
      <c r="B70" s="84" t="s">
        <v>236</v>
      </c>
      <c r="C70" s="85">
        <f>SUM('Game Results'!C63+'Game Results'!C81+'Game Results'!C279+'Game Results'!C297+'Game Results'!C495+'Game Results'!C513+'Game Results'!C826+'Game Results'!C844+'Game Results'!C1258+'Game Results'!C1276+'Game Results'!C1204+'Game Results'!C1186+'Game Results'!C988+'Game Results'!C970+'Game Results'!C1773+'Game Results'!C1755+'Game Results'!C1870+'Game Results'!C1618+'Game Results'!C1636+'Game Results'!C1888)</f>
        <v>0</v>
      </c>
      <c r="D70" s="85">
        <f>SUM('Game Results'!D63+'Game Results'!D81+'Game Results'!D279+'Game Results'!D297+'Game Results'!D495+'Game Results'!D513+'Game Results'!D826+'Game Results'!D844+'Game Results'!D1258+'Game Results'!D1276+'Game Results'!D1204+'Game Results'!D1186+'Game Results'!D988+'Game Results'!D970+'Game Results'!D1773+'Game Results'!D1755+'Game Results'!D1870+'Game Results'!D1618+'Game Results'!D1636+'Game Results'!D1888)</f>
        <v>0</v>
      </c>
      <c r="E70" s="86">
        <f>SUM('Game Results'!E63+'Game Results'!E81+'Game Results'!E279+'Game Results'!E297+'Game Results'!E495+'Game Results'!E513+'Game Results'!E826+'Game Results'!E844+'Game Results'!E1258+'Game Results'!E1276+'Game Results'!E1204+'Game Results'!E1186+'Game Results'!E988+'Game Results'!E970+'Game Results'!E1773+'Game Results'!E1755+'Game Results'!E1870+'Game Results'!E1618+'Game Results'!E1636+'Game Results'!E1888)</f>
        <v>0</v>
      </c>
      <c r="F70" s="85">
        <f>SUM('Game Results'!F63+'Game Results'!F81+'Game Results'!F279+'Game Results'!F297+'Game Results'!F495+'Game Results'!F513+'Game Results'!F826+'Game Results'!F844+'Game Results'!F1258+'Game Results'!F1276+'Game Results'!F1204+'Game Results'!F1186+'Game Results'!F988+'Game Results'!F970+'Game Results'!F1773+'Game Results'!F1755+'Game Results'!F1870+'Game Results'!F1618+'Game Results'!F1636+'Game Results'!F1888)</f>
        <v>0</v>
      </c>
      <c r="G70" s="85">
        <f>SUM('Game Results'!G63+'Game Results'!G81+'Game Results'!G279+'Game Results'!G297+'Game Results'!G495+'Game Results'!G513+'Game Results'!G826+'Game Results'!G844+'Game Results'!G1258+'Game Results'!G1276+'Game Results'!G1204+'Game Results'!G1186+'Game Results'!G988+'Game Results'!G970+'Game Results'!G1773+'Game Results'!G1755+'Game Results'!G1870+'Game Results'!G1618+'Game Results'!G1636+'Game Results'!G1888)</f>
        <v>0</v>
      </c>
      <c r="H70" s="85">
        <f>SUM('Game Results'!H63+'Game Results'!H81+'Game Results'!H279+'Game Results'!H297+'Game Results'!H495+'Game Results'!H513+'Game Results'!H826+'Game Results'!H844+'Game Results'!H1258+'Game Results'!H1276+'Game Results'!H1204+'Game Results'!H1186+'Game Results'!H988+'Game Results'!H970+'Game Results'!H1773+'Game Results'!H1755+'Game Results'!H1870+'Game Results'!H1618+'Game Results'!H1636+'Game Results'!H1888)</f>
        <v>0</v>
      </c>
      <c r="I70" s="85">
        <f>SUM('Game Results'!I63+'Game Results'!I81+'Game Results'!I279+'Game Results'!I297+'Game Results'!I495+'Game Results'!I513+'Game Results'!I826+'Game Results'!I844+'Game Results'!I1258+'Game Results'!I1276+'Game Results'!I1204+'Game Results'!I1186+'Game Results'!I988+'Game Results'!I970+'Game Results'!I1773+'Game Results'!I1755+'Game Results'!I1870+'Game Results'!I1618+'Game Results'!I1636+'Game Results'!I1888)</f>
        <v>0</v>
      </c>
      <c r="J70" s="85">
        <f>SUM('Game Results'!J63+'Game Results'!J81+'Game Results'!J279+'Game Results'!J297+'Game Results'!J495+'Game Results'!J513+'Game Results'!J826+'Game Results'!J844+'Game Results'!J1258+'Game Results'!J1276+'Game Results'!J1204+'Game Results'!J1186+'Game Results'!J988+'Game Results'!J970+'Game Results'!J1773+'Game Results'!J1755+'Game Results'!J1870+'Game Results'!J1618+'Game Results'!J1636+'Game Results'!J1888)</f>
        <v>0</v>
      </c>
      <c r="K70" s="87" t="str">
        <f t="shared" si="1"/>
        <v>#DIV/0!</v>
      </c>
      <c r="L70" s="85">
        <f>SUM('Game Results'!L63+'Game Results'!L81+'Game Results'!L279+'Game Results'!L297+'Game Results'!L495+'Game Results'!L513+'Game Results'!L826+'Game Results'!L844+'Game Results'!L1258+'Game Results'!L1276+'Game Results'!L1204+'Game Results'!L1186+'Game Results'!L988+'Game Results'!L970+'Game Results'!L1773+'Game Results'!L1755+'Game Results'!L1870+'Game Results'!L1618+'Game Results'!L1636+'Game Results'!L1888)</f>
        <v>0</v>
      </c>
      <c r="M70" s="85">
        <f>SUM('Game Results'!M63+'Game Results'!M81+'Game Results'!M279+'Game Results'!M297+'Game Results'!M495+'Game Results'!M513+'Game Results'!M826+'Game Results'!M844+'Game Results'!M1258+'Game Results'!M1276+'Game Results'!M1204+'Game Results'!M1186+'Game Results'!M988+'Game Results'!M970+'Game Results'!M1773+'Game Results'!M1755+'Game Results'!M1870+'Game Results'!M1618+'Game Results'!M1636+'Game Results'!M1888)</f>
        <v>0</v>
      </c>
      <c r="N70" s="85">
        <f>SUM('Game Results'!N63+'Game Results'!N81+'Game Results'!N279+'Game Results'!N297+'Game Results'!N495+'Game Results'!N513+'Game Results'!N826+'Game Results'!N844+'Game Results'!N1258+'Game Results'!N1276+'Game Results'!N1204+'Game Results'!N1186+'Game Results'!N988+'Game Results'!N970+'Game Results'!N1773+'Game Results'!N1755+'Game Results'!N1870+'Game Results'!N1618+'Game Results'!N1636+'Game Results'!N1888)</f>
        <v>0</v>
      </c>
      <c r="O70" s="88">
        <f>SUM('Game Results'!O63+'Game Results'!O81+'Game Results'!O279+'Game Results'!O297+'Game Results'!O495+'Game Results'!O513+'Game Results'!O826+'Game Results'!O844+'Game Results'!O1258+'Game Results'!O1276+'Game Results'!O1204+'Game Results'!O1186+'Game Results'!O988+'Game Results'!O970+'Game Results'!O1773+'Game Results'!O1755+'Game Results'!O1870+'Game Results'!O1618+'Game Results'!O1636+'Game Results'!O1888)</f>
        <v>0</v>
      </c>
      <c r="P70" s="85">
        <f>SUM('Game Results'!P63+'Game Results'!P81+'Game Results'!P279+'Game Results'!P297+'Game Results'!P495+'Game Results'!P513+'Game Results'!P826+'Game Results'!P844+'Game Results'!P1258+'Game Results'!P1276+'Game Results'!P1204+'Game Results'!P1186+'Game Results'!P988+'Game Results'!P970+'Game Results'!P1773+'Game Results'!P1755+'Game Results'!P1870+'Game Results'!P1618+'Game Results'!P1636+'Game Results'!P1888)</f>
        <v>0</v>
      </c>
      <c r="Q70" s="85">
        <f>SUM('Game Results'!Q63+'Game Results'!Q81+'Game Results'!Q279+'Game Results'!Q297+'Game Results'!Q495+'Game Results'!Q513+'Game Results'!Q826+'Game Results'!Q844+'Game Results'!Q1258+'Game Results'!Q1276+'Game Results'!Q1204+'Game Results'!Q1186+'Game Results'!Q988+'Game Results'!Q970+'Game Results'!Q1773+'Game Results'!Q1755+'Game Results'!Q1870+'Game Results'!Q1618+'Game Results'!Q1636+'Game Results'!Q1888)</f>
        <v>0</v>
      </c>
      <c r="R70" s="85">
        <f>SUM('Game Results'!R63+'Game Results'!R81+'Game Results'!R279+'Game Results'!R297+'Game Results'!R495+'Game Results'!R513+'Game Results'!R826+'Game Results'!R844+'Game Results'!R1258+'Game Results'!R1276+'Game Results'!R1204+'Game Results'!R1186+'Game Results'!R988+'Game Results'!R970+'Game Results'!R1773+'Game Results'!R1755+'Game Results'!R1870+'Game Results'!R1618+'Game Results'!R1636+'Game Results'!R1888)</f>
        <v>0</v>
      </c>
      <c r="S70" s="85">
        <f>SUM('Game Results'!S63+'Game Results'!S81+'Game Results'!S279+'Game Results'!S297+'Game Results'!S495+'Game Results'!S513+'Game Results'!S826+'Game Results'!S844+'Game Results'!S1258+'Game Results'!S1276+'Game Results'!S1204+'Game Results'!S1186+'Game Results'!S988+'Game Results'!S970+'Game Results'!S1773+'Game Results'!S1755+'Game Results'!S1870+'Game Results'!S1618+'Game Results'!S1636+'Game Results'!S1888)</f>
        <v>0</v>
      </c>
      <c r="T70" s="85">
        <f>SUM('Game Results'!T63+'Game Results'!T81+'Game Results'!T279+'Game Results'!T297+'Game Results'!T495+'Game Results'!T513+'Game Results'!T826+'Game Results'!T844+'Game Results'!T1258+'Game Results'!T1276+'Game Results'!T1204+'Game Results'!T1186+'Game Results'!T988+'Game Results'!T970+'Game Results'!T1773+'Game Results'!T1755+'Game Results'!T1870+'Game Results'!T1618+'Game Results'!T1636+'Game Results'!T1888)</f>
        <v>0</v>
      </c>
      <c r="U70" s="85">
        <f>SUM('Game Results'!U63+'Game Results'!U81+'Game Results'!U279+'Game Results'!U297+'Game Results'!U495+'Game Results'!U513+'Game Results'!U826+'Game Results'!U844+'Game Results'!U1258+'Game Results'!U1276+'Game Results'!U1204+'Game Results'!U1186+'Game Results'!U988+'Game Results'!U970+'Game Results'!U1773+'Game Results'!U1755+'Game Results'!U1870+'Game Results'!U1618+'Game Results'!U1636+'Game Results'!U1888)</f>
        <v>0</v>
      </c>
      <c r="V70" s="85">
        <f>SUM('Game Results'!V63+'Game Results'!V81+'Game Results'!V279+'Game Results'!V297+'Game Results'!V495+'Game Results'!V513+'Game Results'!V826+'Game Results'!V844+'Game Results'!V1258+'Game Results'!V1276+'Game Results'!V1204+'Game Results'!V1186+'Game Results'!V988+'Game Results'!V970+'Game Results'!V1773+'Game Results'!V1755+'Game Results'!V1870+'Game Results'!V1618+'Game Results'!V1636+'Game Results'!V1888)</f>
        <v>0</v>
      </c>
      <c r="W70" s="85">
        <f>SUM('Game Results'!W63+'Game Results'!W81+'Game Results'!W279+'Game Results'!W297+'Game Results'!W495+'Game Results'!W513+'Game Results'!W826+'Game Results'!W844+'Game Results'!W1258+'Game Results'!W1276+'Game Results'!W1204+'Game Results'!W1186+'Game Results'!W988+'Game Results'!W970+'Game Results'!W1773+'Game Results'!W1755+'Game Results'!W1870+'Game Results'!W1618+'Game Results'!W1636+'Game Results'!W1888)</f>
        <v>0</v>
      </c>
      <c r="X70" s="85">
        <f>SUM('Game Results'!X63+'Game Results'!X81+'Game Results'!X279+'Game Results'!X297+'Game Results'!X495+'Game Results'!X513+'Game Results'!X826+'Game Results'!X844+'Game Results'!X1258+'Game Results'!X1276+'Game Results'!X1204+'Game Results'!X1186+'Game Results'!X988+'Game Results'!X970+'Game Results'!X1773+'Game Results'!X1755+'Game Results'!X1870+'Game Results'!X1618+'Game Results'!X1636+'Game Results'!X1888)</f>
        <v>0</v>
      </c>
      <c r="Y70" s="85">
        <f>SUM('Game Results'!Y63+'Game Results'!Y81+'Game Results'!Y279+'Game Results'!Y297+'Game Results'!Y495+'Game Results'!Y513+'Game Results'!Y826+'Game Results'!Y844+'Game Results'!Y1258+'Game Results'!Y1276+'Game Results'!Y1204+'Game Results'!Y1186+'Game Results'!Y988+'Game Results'!Y970+'Game Results'!Y1773+'Game Results'!Y1755+'Game Results'!Y1870+'Game Results'!Y1618+'Game Results'!Y1636+'Game Results'!Y1888)</f>
        <v>0</v>
      </c>
      <c r="Z70" s="85">
        <f>SUM('Game Results'!Z63+'Game Results'!Z81+'Game Results'!Z279+'Game Results'!Z297+'Game Results'!Z495+'Game Results'!Z513+'Game Results'!Z826+'Game Results'!Z844+'Game Results'!Z1258+'Game Results'!Z1276+'Game Results'!Z1204+'Game Results'!Z1186+'Game Results'!Z988+'Game Results'!Z970+'Game Results'!Z1773+'Game Results'!Z1755+'Game Results'!Z1870+'Game Results'!Z1618+'Game Results'!Z1636+'Game Results'!Z1888)</f>
        <v>0</v>
      </c>
      <c r="AA70" s="85">
        <f>SUM('Game Results'!AA63+'Game Results'!AA81+'Game Results'!AA279+'Game Results'!AA297+'Game Results'!AA495+'Game Results'!AA513+'Game Results'!AA826+'Game Results'!AA844+'Game Results'!AA1258+'Game Results'!AA1276+'Game Results'!AA1204+'Game Results'!AA1186+'Game Results'!AA988+'Game Results'!AA970+'Game Results'!AA1773+'Game Results'!AA1755+'Game Results'!AA1870+'Game Results'!AA1618+'Game Results'!AA1636+'Game Results'!AA1888)</f>
        <v>0</v>
      </c>
      <c r="AB70" s="85">
        <f>SUM('Game Results'!AB63+'Game Results'!AB81+'Game Results'!AB279+'Game Results'!AB297+'Game Results'!AB495+'Game Results'!AB513+'Game Results'!AB826+'Game Results'!AB844+'Game Results'!AB1258+'Game Results'!AB1276+'Game Results'!AB1204+'Game Results'!AB1186+'Game Results'!AB988+'Game Results'!AB970+'Game Results'!AB1773+'Game Results'!AB1755+'Game Results'!AB1870+'Game Results'!AB1618+'Game Results'!AB1636+'Game Results'!AB1888)</f>
        <v>0</v>
      </c>
      <c r="AC70" s="85">
        <f>SUM('Game Results'!AC63+'Game Results'!AC81+'Game Results'!AC279+'Game Results'!AC297+'Game Results'!AC495+'Game Results'!AC513+'Game Results'!AC826+'Game Results'!AC844+'Game Results'!AC1258+'Game Results'!AC1276+'Game Results'!AC1204+'Game Results'!AC1186+'Game Results'!AC988+'Game Results'!AC970+'Game Results'!AC1773+'Game Results'!AC1755+'Game Results'!AC1870+'Game Results'!AC1618+'Game Results'!AC1636+'Game Results'!AC1888)</f>
        <v>0</v>
      </c>
      <c r="AD70" s="85">
        <f>SUM('Game Results'!AD63+'Game Results'!AD81+'Game Results'!AD279+'Game Results'!AD297+'Game Results'!AD495+'Game Results'!AD513+'Game Results'!AD826+'Game Results'!AD844+'Game Results'!AD1258+'Game Results'!AD1276+'Game Results'!AD1204+'Game Results'!AD1186+'Game Results'!AD988+'Game Results'!AD970+'Game Results'!AD1773+'Game Results'!AD1755+'Game Results'!AD1870+'Game Results'!AD1618+'Game Results'!AD1636+'Game Results'!AD1888)</f>
        <v>0</v>
      </c>
      <c r="AE70" s="85">
        <f>SUM('Game Results'!AE63+'Game Results'!AE81+'Game Results'!AE279+'Game Results'!AE297+'Game Results'!AE495+'Game Results'!AE513+'Game Results'!AE826+'Game Results'!AE844+'Game Results'!AE1258+'Game Results'!AE1276+'Game Results'!AE1204+'Game Results'!AE1186+'Game Results'!AE988+'Game Results'!AE970+'Game Results'!AE1773+'Game Results'!AE1755+'Game Results'!AE1870+'Game Results'!AE1618+'Game Results'!AE1636+'Game Results'!AE1888)</f>
        <v>0</v>
      </c>
      <c r="AF70" s="85">
        <f>SUM('Game Results'!AF63+'Game Results'!AF81+'Game Results'!AF279+'Game Results'!AF297+'Game Results'!AF495+'Game Results'!AF513+'Game Results'!AF826+'Game Results'!AF844+'Game Results'!AF1258+'Game Results'!AF1276+'Game Results'!AF1204+'Game Results'!AF1186+'Game Results'!AF988+'Game Results'!AF970+'Game Results'!AF1773+'Game Results'!AF1755+'Game Results'!AF1870+'Game Results'!AF1618+'Game Results'!AF1636+'Game Results'!AF1888)</f>
        <v>0</v>
      </c>
      <c r="AG70" s="85">
        <f>SUM('Game Results'!AG63+'Game Results'!AG81+'Game Results'!AG279+'Game Results'!AG297+'Game Results'!AG495+'Game Results'!AG513+'Game Results'!AG826+'Game Results'!AG844+'Game Results'!AG1258+'Game Results'!AG1276+'Game Results'!AG1204+'Game Results'!AG1186+'Game Results'!AG988+'Game Results'!AG970+'Game Results'!AG1773+'Game Results'!AG1755+'Game Results'!AG1870+'Game Results'!AG1618+'Game Results'!AG1636+'Game Results'!AG1888)</f>
        <v>0</v>
      </c>
      <c r="AH70" s="85">
        <f>SUM('Game Results'!AH63+'Game Results'!AH81+'Game Results'!AH279+'Game Results'!AH297+'Game Results'!AH495+'Game Results'!AH513+'Game Results'!AH826+'Game Results'!AH844+'Game Results'!AH1258+'Game Results'!AH1276+'Game Results'!AH1204+'Game Results'!AH1186+'Game Results'!AH988+'Game Results'!AH970+'Game Results'!AH1773+'Game Results'!AH1755+'Game Results'!AH1870+'Game Results'!AH1618+'Game Results'!AH1636+'Game Results'!AH1888)</f>
        <v>0</v>
      </c>
    </row>
    <row r="71">
      <c r="A71" s="83" t="s">
        <v>20</v>
      </c>
      <c r="B71" s="93"/>
      <c r="C71" s="85">
        <f>SUM('Game Results'!C64+'Game Results'!C82+'Game Results'!C280+'Game Results'!C298+'Game Results'!C496+'Game Results'!C514+'Game Results'!C827+'Game Results'!C845+'Game Results'!C1259+'Game Results'!C1277+'Game Results'!C1205+'Game Results'!C1187+'Game Results'!C989+'Game Results'!C971+'Game Results'!C1774+'Game Results'!C1756+'Game Results'!C1871+'Game Results'!C1619+'Game Results'!C1637+'Game Results'!C1889)</f>
        <v>0</v>
      </c>
      <c r="D71" s="85">
        <f>SUM('Game Results'!D64+'Game Results'!D82+'Game Results'!D280+'Game Results'!D298+'Game Results'!D496+'Game Results'!D514+'Game Results'!D827+'Game Results'!D845+'Game Results'!D1259+'Game Results'!D1277+'Game Results'!D1205+'Game Results'!D1187+'Game Results'!D989+'Game Results'!D971+'Game Results'!D1774+'Game Results'!D1756+'Game Results'!D1871+'Game Results'!D1619+'Game Results'!D1637+'Game Results'!D1889)</f>
        <v>0</v>
      </c>
      <c r="E71" s="86">
        <f>SUM('Game Results'!E64+'Game Results'!E82+'Game Results'!E280+'Game Results'!E298+'Game Results'!E496+'Game Results'!E514+'Game Results'!E827+'Game Results'!E845+'Game Results'!E1259+'Game Results'!E1277+'Game Results'!E1205+'Game Results'!E1187+'Game Results'!E989+'Game Results'!E971+'Game Results'!E1774+'Game Results'!E1756+'Game Results'!E1871+'Game Results'!E1619+'Game Results'!E1637+'Game Results'!E1889)</f>
        <v>0</v>
      </c>
      <c r="F71" s="85">
        <f>SUM('Game Results'!F64+'Game Results'!F82+'Game Results'!F280+'Game Results'!F298+'Game Results'!F496+'Game Results'!F514+'Game Results'!F827+'Game Results'!F845+'Game Results'!F1259+'Game Results'!F1277+'Game Results'!F1205+'Game Results'!F1187+'Game Results'!F989+'Game Results'!F971+'Game Results'!F1774+'Game Results'!F1756+'Game Results'!F1871+'Game Results'!F1619+'Game Results'!F1637+'Game Results'!F1889)</f>
        <v>0</v>
      </c>
      <c r="G71" s="85">
        <f>SUM('Game Results'!G64+'Game Results'!G82+'Game Results'!G280+'Game Results'!G298+'Game Results'!G496+'Game Results'!G514+'Game Results'!G827+'Game Results'!G845+'Game Results'!G1259+'Game Results'!G1277+'Game Results'!G1205+'Game Results'!G1187+'Game Results'!G989+'Game Results'!G971+'Game Results'!G1774+'Game Results'!G1756+'Game Results'!G1871+'Game Results'!G1619+'Game Results'!G1637+'Game Results'!G1889)</f>
        <v>0</v>
      </c>
      <c r="H71" s="85">
        <f>SUM('Game Results'!H64+'Game Results'!H82+'Game Results'!H280+'Game Results'!H298+'Game Results'!H496+'Game Results'!H514+'Game Results'!H827+'Game Results'!H845+'Game Results'!H1259+'Game Results'!H1277+'Game Results'!H1205+'Game Results'!H1187+'Game Results'!H989+'Game Results'!H971+'Game Results'!H1774+'Game Results'!H1756+'Game Results'!H1871+'Game Results'!H1619+'Game Results'!H1637+'Game Results'!H1889)</f>
        <v>0</v>
      </c>
      <c r="I71" s="85">
        <f>SUM('Game Results'!I64+'Game Results'!I82+'Game Results'!I280+'Game Results'!I298+'Game Results'!I496+'Game Results'!I514+'Game Results'!I827+'Game Results'!I845+'Game Results'!I1259+'Game Results'!I1277+'Game Results'!I1205+'Game Results'!I1187+'Game Results'!I989+'Game Results'!I971+'Game Results'!I1774+'Game Results'!I1756+'Game Results'!I1871+'Game Results'!I1619+'Game Results'!I1637+'Game Results'!I1889)</f>
        <v>0</v>
      </c>
      <c r="J71" s="85">
        <f>SUM('Game Results'!J64+'Game Results'!J82+'Game Results'!J280+'Game Results'!J298+'Game Results'!J496+'Game Results'!J514+'Game Results'!J827+'Game Results'!J845+'Game Results'!J1259+'Game Results'!J1277+'Game Results'!J1205+'Game Results'!J1187+'Game Results'!J989+'Game Results'!J971+'Game Results'!J1774+'Game Results'!J1756+'Game Results'!J1871+'Game Results'!J1619+'Game Results'!J1637+'Game Results'!J1889)</f>
        <v>0</v>
      </c>
      <c r="K71" s="87" t="str">
        <f t="shared" si="1"/>
        <v>#DIV/0!</v>
      </c>
      <c r="L71" s="85">
        <f>SUM('Game Results'!L64+'Game Results'!L82+'Game Results'!L280+'Game Results'!L298+'Game Results'!L496+'Game Results'!L514+'Game Results'!L827+'Game Results'!L845+'Game Results'!L1259+'Game Results'!L1277+'Game Results'!L1205+'Game Results'!L1187+'Game Results'!L989+'Game Results'!L971+'Game Results'!L1774+'Game Results'!L1756+'Game Results'!L1871+'Game Results'!L1619+'Game Results'!L1637+'Game Results'!L1889)</f>
        <v>0</v>
      </c>
      <c r="M71" s="85">
        <f>SUM('Game Results'!M64+'Game Results'!M82+'Game Results'!M280+'Game Results'!M298+'Game Results'!M496+'Game Results'!M514+'Game Results'!M827+'Game Results'!M845+'Game Results'!M1259+'Game Results'!M1277+'Game Results'!M1205+'Game Results'!M1187+'Game Results'!M989+'Game Results'!M971+'Game Results'!M1774+'Game Results'!M1756+'Game Results'!M1871+'Game Results'!M1619+'Game Results'!M1637+'Game Results'!M1889)</f>
        <v>0</v>
      </c>
      <c r="N71" s="85">
        <f>SUM('Game Results'!N64+'Game Results'!N82+'Game Results'!N280+'Game Results'!N298+'Game Results'!N496+'Game Results'!N514+'Game Results'!N827+'Game Results'!N845+'Game Results'!N1259+'Game Results'!N1277+'Game Results'!N1205+'Game Results'!N1187+'Game Results'!N989+'Game Results'!N971+'Game Results'!N1774+'Game Results'!N1756+'Game Results'!N1871+'Game Results'!N1619+'Game Results'!N1637+'Game Results'!N1889)</f>
        <v>0</v>
      </c>
      <c r="O71" s="88">
        <f>SUM('Game Results'!O64+'Game Results'!O82+'Game Results'!O280+'Game Results'!O298+'Game Results'!O496+'Game Results'!O514+'Game Results'!O827+'Game Results'!O845+'Game Results'!O1259+'Game Results'!O1277+'Game Results'!O1205+'Game Results'!O1187+'Game Results'!O989+'Game Results'!O971+'Game Results'!O1774+'Game Results'!O1756+'Game Results'!O1871+'Game Results'!O1619+'Game Results'!O1637+'Game Results'!O1889)</f>
        <v>0</v>
      </c>
      <c r="P71" s="85">
        <f>SUM('Game Results'!P64+'Game Results'!P82+'Game Results'!P280+'Game Results'!P298+'Game Results'!P496+'Game Results'!P514+'Game Results'!P827+'Game Results'!P845+'Game Results'!P1259+'Game Results'!P1277+'Game Results'!P1205+'Game Results'!P1187+'Game Results'!P989+'Game Results'!P971+'Game Results'!P1774+'Game Results'!P1756+'Game Results'!P1871+'Game Results'!P1619+'Game Results'!P1637+'Game Results'!P1889)</f>
        <v>0</v>
      </c>
      <c r="Q71" s="85">
        <f>SUM('Game Results'!Q64+'Game Results'!Q82+'Game Results'!Q280+'Game Results'!Q298+'Game Results'!Q496+'Game Results'!Q514+'Game Results'!Q827+'Game Results'!Q845+'Game Results'!Q1259+'Game Results'!Q1277+'Game Results'!Q1205+'Game Results'!Q1187+'Game Results'!Q989+'Game Results'!Q971+'Game Results'!Q1774+'Game Results'!Q1756+'Game Results'!Q1871+'Game Results'!Q1619+'Game Results'!Q1637+'Game Results'!Q1889)</f>
        <v>0</v>
      </c>
      <c r="R71" s="85">
        <f>SUM('Game Results'!R64+'Game Results'!R82+'Game Results'!R280+'Game Results'!R298+'Game Results'!R496+'Game Results'!R514+'Game Results'!R827+'Game Results'!R845+'Game Results'!R1259+'Game Results'!R1277+'Game Results'!R1205+'Game Results'!R1187+'Game Results'!R989+'Game Results'!R971+'Game Results'!R1774+'Game Results'!R1756+'Game Results'!R1871+'Game Results'!R1619+'Game Results'!R1637+'Game Results'!R1889)</f>
        <v>0</v>
      </c>
      <c r="S71" s="85">
        <f>SUM('Game Results'!S64+'Game Results'!S82+'Game Results'!S280+'Game Results'!S298+'Game Results'!S496+'Game Results'!S514+'Game Results'!S827+'Game Results'!S845+'Game Results'!S1259+'Game Results'!S1277+'Game Results'!S1205+'Game Results'!S1187+'Game Results'!S989+'Game Results'!S971+'Game Results'!S1774+'Game Results'!S1756+'Game Results'!S1871+'Game Results'!S1619+'Game Results'!S1637+'Game Results'!S1889)</f>
        <v>0</v>
      </c>
      <c r="T71" s="85">
        <f>SUM('Game Results'!T64+'Game Results'!T82+'Game Results'!T280+'Game Results'!T298+'Game Results'!T496+'Game Results'!T514+'Game Results'!T827+'Game Results'!T845+'Game Results'!T1259+'Game Results'!T1277+'Game Results'!T1205+'Game Results'!T1187+'Game Results'!T989+'Game Results'!T971+'Game Results'!T1774+'Game Results'!T1756+'Game Results'!T1871+'Game Results'!T1619+'Game Results'!T1637+'Game Results'!T1889)</f>
        <v>0</v>
      </c>
      <c r="U71" s="85">
        <f>SUM('Game Results'!U64+'Game Results'!U82+'Game Results'!U280+'Game Results'!U298+'Game Results'!U496+'Game Results'!U514+'Game Results'!U827+'Game Results'!U845+'Game Results'!U1259+'Game Results'!U1277+'Game Results'!U1205+'Game Results'!U1187+'Game Results'!U989+'Game Results'!U971+'Game Results'!U1774+'Game Results'!U1756+'Game Results'!U1871+'Game Results'!U1619+'Game Results'!U1637+'Game Results'!U1889)</f>
        <v>0</v>
      </c>
      <c r="V71" s="85">
        <f>SUM('Game Results'!V64+'Game Results'!V82+'Game Results'!V280+'Game Results'!V298+'Game Results'!V496+'Game Results'!V514+'Game Results'!V827+'Game Results'!V845+'Game Results'!V1259+'Game Results'!V1277+'Game Results'!V1205+'Game Results'!V1187+'Game Results'!V989+'Game Results'!V971+'Game Results'!V1774+'Game Results'!V1756+'Game Results'!V1871+'Game Results'!V1619+'Game Results'!V1637+'Game Results'!V1889)</f>
        <v>0</v>
      </c>
      <c r="W71" s="85">
        <f>SUM('Game Results'!W64+'Game Results'!W82+'Game Results'!W280+'Game Results'!W298+'Game Results'!W496+'Game Results'!W514+'Game Results'!W827+'Game Results'!W845+'Game Results'!W1259+'Game Results'!W1277+'Game Results'!W1205+'Game Results'!W1187+'Game Results'!W989+'Game Results'!W971+'Game Results'!W1774+'Game Results'!W1756+'Game Results'!W1871+'Game Results'!W1619+'Game Results'!W1637+'Game Results'!W1889)</f>
        <v>0</v>
      </c>
      <c r="X71" s="85">
        <f>SUM('Game Results'!X64+'Game Results'!X82+'Game Results'!X280+'Game Results'!X298+'Game Results'!X496+'Game Results'!X514+'Game Results'!X827+'Game Results'!X845+'Game Results'!X1259+'Game Results'!X1277+'Game Results'!X1205+'Game Results'!X1187+'Game Results'!X989+'Game Results'!X971+'Game Results'!X1774+'Game Results'!X1756+'Game Results'!X1871+'Game Results'!X1619+'Game Results'!X1637+'Game Results'!X1889)</f>
        <v>0</v>
      </c>
      <c r="Y71" s="85">
        <f>SUM('Game Results'!Y64+'Game Results'!Y82+'Game Results'!Y280+'Game Results'!Y298+'Game Results'!Y496+'Game Results'!Y514+'Game Results'!Y827+'Game Results'!Y845+'Game Results'!Y1259+'Game Results'!Y1277+'Game Results'!Y1205+'Game Results'!Y1187+'Game Results'!Y989+'Game Results'!Y971+'Game Results'!Y1774+'Game Results'!Y1756+'Game Results'!Y1871+'Game Results'!Y1619+'Game Results'!Y1637+'Game Results'!Y1889)</f>
        <v>0</v>
      </c>
      <c r="Z71" s="85">
        <f>SUM('Game Results'!Z64+'Game Results'!Z82+'Game Results'!Z280+'Game Results'!Z298+'Game Results'!Z496+'Game Results'!Z514+'Game Results'!Z827+'Game Results'!Z845+'Game Results'!Z1259+'Game Results'!Z1277+'Game Results'!Z1205+'Game Results'!Z1187+'Game Results'!Z989+'Game Results'!Z971+'Game Results'!Z1774+'Game Results'!Z1756+'Game Results'!Z1871+'Game Results'!Z1619+'Game Results'!Z1637+'Game Results'!Z1889)</f>
        <v>0</v>
      </c>
      <c r="AA71" s="85">
        <f>SUM('Game Results'!AA64+'Game Results'!AA82+'Game Results'!AA280+'Game Results'!AA298+'Game Results'!AA496+'Game Results'!AA514+'Game Results'!AA827+'Game Results'!AA845+'Game Results'!AA1259+'Game Results'!AA1277+'Game Results'!AA1205+'Game Results'!AA1187+'Game Results'!AA989+'Game Results'!AA971+'Game Results'!AA1774+'Game Results'!AA1756+'Game Results'!AA1871+'Game Results'!AA1619+'Game Results'!AA1637+'Game Results'!AA1889)</f>
        <v>0</v>
      </c>
      <c r="AB71" s="85">
        <f>SUM('Game Results'!AB64+'Game Results'!AB82+'Game Results'!AB280+'Game Results'!AB298+'Game Results'!AB496+'Game Results'!AB514+'Game Results'!AB827+'Game Results'!AB845+'Game Results'!AB1259+'Game Results'!AB1277+'Game Results'!AB1205+'Game Results'!AB1187+'Game Results'!AB989+'Game Results'!AB971+'Game Results'!AB1774+'Game Results'!AB1756+'Game Results'!AB1871+'Game Results'!AB1619+'Game Results'!AB1637+'Game Results'!AB1889)</f>
        <v>0</v>
      </c>
      <c r="AC71" s="85">
        <f>SUM('Game Results'!AC64+'Game Results'!AC82+'Game Results'!AC280+'Game Results'!AC298+'Game Results'!AC496+'Game Results'!AC514+'Game Results'!AC827+'Game Results'!AC845+'Game Results'!AC1259+'Game Results'!AC1277+'Game Results'!AC1205+'Game Results'!AC1187+'Game Results'!AC989+'Game Results'!AC971+'Game Results'!AC1774+'Game Results'!AC1756+'Game Results'!AC1871+'Game Results'!AC1619+'Game Results'!AC1637+'Game Results'!AC1889)</f>
        <v>0</v>
      </c>
      <c r="AD71" s="85">
        <f>SUM('Game Results'!AD64+'Game Results'!AD82+'Game Results'!AD280+'Game Results'!AD298+'Game Results'!AD496+'Game Results'!AD514+'Game Results'!AD827+'Game Results'!AD845+'Game Results'!AD1259+'Game Results'!AD1277+'Game Results'!AD1205+'Game Results'!AD1187+'Game Results'!AD989+'Game Results'!AD971+'Game Results'!AD1774+'Game Results'!AD1756+'Game Results'!AD1871+'Game Results'!AD1619+'Game Results'!AD1637+'Game Results'!AD1889)</f>
        <v>0</v>
      </c>
      <c r="AE71" s="85">
        <f>SUM('Game Results'!AE64+'Game Results'!AE82+'Game Results'!AE280+'Game Results'!AE298+'Game Results'!AE496+'Game Results'!AE514+'Game Results'!AE827+'Game Results'!AE845+'Game Results'!AE1259+'Game Results'!AE1277+'Game Results'!AE1205+'Game Results'!AE1187+'Game Results'!AE989+'Game Results'!AE971+'Game Results'!AE1774+'Game Results'!AE1756+'Game Results'!AE1871+'Game Results'!AE1619+'Game Results'!AE1637+'Game Results'!AE1889)</f>
        <v>0</v>
      </c>
      <c r="AF71" s="85">
        <f>SUM('Game Results'!AF64+'Game Results'!AF82+'Game Results'!AF280+'Game Results'!AF298+'Game Results'!AF496+'Game Results'!AF514+'Game Results'!AF827+'Game Results'!AF845+'Game Results'!AF1259+'Game Results'!AF1277+'Game Results'!AF1205+'Game Results'!AF1187+'Game Results'!AF989+'Game Results'!AF971+'Game Results'!AF1774+'Game Results'!AF1756+'Game Results'!AF1871+'Game Results'!AF1619+'Game Results'!AF1637+'Game Results'!AF1889)</f>
        <v>0</v>
      </c>
      <c r="AG71" s="85">
        <f>SUM('Game Results'!AG64+'Game Results'!AG82+'Game Results'!AG280+'Game Results'!AG298+'Game Results'!AG496+'Game Results'!AG514+'Game Results'!AG827+'Game Results'!AG845+'Game Results'!AG1259+'Game Results'!AG1277+'Game Results'!AG1205+'Game Results'!AG1187+'Game Results'!AG989+'Game Results'!AG971+'Game Results'!AG1774+'Game Results'!AG1756+'Game Results'!AG1871+'Game Results'!AG1619+'Game Results'!AG1637+'Game Results'!AG1889)</f>
        <v>0</v>
      </c>
      <c r="AH71" s="85">
        <f>SUM('Game Results'!AH64+'Game Results'!AH82+'Game Results'!AH280+'Game Results'!AH298+'Game Results'!AH496+'Game Results'!AH514+'Game Results'!AH827+'Game Results'!AH845+'Game Results'!AH1259+'Game Results'!AH1277+'Game Results'!AH1205+'Game Results'!AH1187+'Game Results'!AH989+'Game Results'!AH971+'Game Results'!AH1774+'Game Results'!AH1756+'Game Results'!AH1871+'Game Results'!AH1619+'Game Results'!AH1637+'Game Results'!AH1889)</f>
        <v>0</v>
      </c>
    </row>
    <row r="72">
      <c r="A72" s="89" t="s">
        <v>185</v>
      </c>
      <c r="B72" s="90"/>
      <c r="C72" s="90">
        <f t="shared" ref="C72:E72" si="29">SUM(C66:C71)/4</f>
        <v>20</v>
      </c>
      <c r="D72" s="90">
        <f t="shared" si="29"/>
        <v>16</v>
      </c>
      <c r="E72" s="91">
        <f t="shared" si="29"/>
        <v>381.0458333</v>
      </c>
      <c r="F72" s="91">
        <f t="shared" ref="F72:J72" si="30">SUM(F66:F71)</f>
        <v>90</v>
      </c>
      <c r="G72" s="91">
        <f t="shared" si="30"/>
        <v>5475</v>
      </c>
      <c r="H72" s="91">
        <f t="shared" si="30"/>
        <v>34</v>
      </c>
      <c r="I72" s="91">
        <f t="shared" si="30"/>
        <v>5205</v>
      </c>
      <c r="J72" s="91">
        <f t="shared" si="30"/>
        <v>270</v>
      </c>
      <c r="K72" s="92">
        <f t="shared" si="1"/>
        <v>1.051873199</v>
      </c>
      <c r="L72" s="91">
        <f>SUM(L66:L71)/4</f>
        <v>306.75</v>
      </c>
      <c r="M72" s="91">
        <f>SUM(M66:M71)</f>
        <v>7285</v>
      </c>
      <c r="N72" s="91">
        <f>SUM(N66:N71)/4</f>
        <v>17</v>
      </c>
      <c r="O72" s="91">
        <f>SUM(O65:O71)</f>
        <v>16912.91667</v>
      </c>
      <c r="P72" s="91">
        <f t="shared" ref="P72:AH72" si="31">SUM(P66:P71)</f>
        <v>169</v>
      </c>
      <c r="Q72" s="91">
        <f t="shared" si="31"/>
        <v>44</v>
      </c>
      <c r="R72" s="91">
        <f t="shared" si="31"/>
        <v>408</v>
      </c>
      <c r="S72" s="91">
        <f t="shared" si="31"/>
        <v>79</v>
      </c>
      <c r="T72" s="91">
        <f t="shared" si="31"/>
        <v>812</v>
      </c>
      <c r="U72" s="91">
        <f t="shared" si="31"/>
        <v>183</v>
      </c>
      <c r="V72" s="91">
        <f t="shared" si="31"/>
        <v>58</v>
      </c>
      <c r="W72" s="91">
        <f t="shared" si="31"/>
        <v>29</v>
      </c>
      <c r="X72" s="91">
        <f t="shared" si="31"/>
        <v>8</v>
      </c>
      <c r="Y72" s="91">
        <f t="shared" si="31"/>
        <v>2</v>
      </c>
      <c r="Z72" s="91">
        <f t="shared" si="31"/>
        <v>0</v>
      </c>
      <c r="AA72" s="91">
        <f t="shared" si="31"/>
        <v>0</v>
      </c>
      <c r="AB72" s="91">
        <f t="shared" si="31"/>
        <v>0</v>
      </c>
      <c r="AC72" s="91">
        <f t="shared" si="31"/>
        <v>118</v>
      </c>
      <c r="AD72" s="91">
        <f t="shared" si="31"/>
        <v>3</v>
      </c>
      <c r="AE72" s="91">
        <f t="shared" si="31"/>
        <v>0</v>
      </c>
      <c r="AF72" s="91">
        <f t="shared" si="31"/>
        <v>0</v>
      </c>
      <c r="AG72" s="91">
        <f t="shared" si="31"/>
        <v>3</v>
      </c>
      <c r="AH72" s="91">
        <f t="shared" si="31"/>
        <v>0</v>
      </c>
    </row>
    <row r="73">
      <c r="A73" s="83" t="s">
        <v>47</v>
      </c>
      <c r="B73" s="84" t="s">
        <v>237</v>
      </c>
      <c r="C73" s="85">
        <f>SUM('Game Results'!C210+'Game Results'!C426+'Game Results'!C653+'Game Results'!C635+'Game Results'!C228+'Game Results'!C1013+'Game Results'!C995+'Game Results'!C1110+'Game Results'!C1128+'Game Results'!C336+'Game Results'!C318+'Game Results'!C768+'Game Results'!C750+'Game Results'!C1344+'Game Results'!C1326+'Game Results'!C156+'Game Results'!C138+'Game Results'!C1776+'Game Results'!C1758+'Game Results'!C444)</f>
        <v>20</v>
      </c>
      <c r="D73" s="85">
        <f>SUM('Game Results'!D210+'Game Results'!D426+'Game Results'!D653+'Game Results'!D635+'Game Results'!D228+'Game Results'!D1013+'Game Results'!D995+'Game Results'!D1110+'Game Results'!D1128+'Game Results'!D336+'Game Results'!D318+'Game Results'!D768+'Game Results'!D750+'Game Results'!D1344+'Game Results'!D1326+'Game Results'!D156+'Game Results'!D138+'Game Results'!D1776+'Game Results'!D1758+'Game Results'!D444)</f>
        <v>10</v>
      </c>
      <c r="E73" s="86">
        <f>SUM('Game Results'!E210+'Game Results'!E426+'Game Results'!E653+'Game Results'!E635+'Game Results'!E228+'Game Results'!E1013+'Game Results'!E995+'Game Results'!E1110+'Game Results'!E1128+'Game Results'!E336+'Game Results'!E318+'Game Results'!E768+'Game Results'!E750+'Game Results'!E1344+'Game Results'!E1326+'Game Results'!E156+'Game Results'!E138+'Game Results'!E1776+'Game Results'!E1758+'Game Results'!E444)</f>
        <v>395.9333333</v>
      </c>
      <c r="F73" s="85">
        <f>SUM('Game Results'!F210+'Game Results'!F426+'Game Results'!F653+'Game Results'!F635+'Game Results'!F228+'Game Results'!F1013+'Game Results'!F995+'Game Results'!F1110+'Game Results'!F1128+'Game Results'!F336+'Game Results'!F318+'Game Results'!F768+'Game Results'!F750+'Game Results'!F1344+'Game Results'!F1326+'Game Results'!F156+'Game Results'!F138+'Game Results'!F1776+'Game Results'!F1758+'Game Results'!F444)</f>
        <v>6</v>
      </c>
      <c r="G73" s="85">
        <f>SUM('Game Results'!G210+'Game Results'!G426+'Game Results'!G653+'Game Results'!G635+'Game Results'!G228+'Game Results'!G1013+'Game Results'!G995+'Game Results'!G1110+'Game Results'!G1128+'Game Results'!G336+'Game Results'!G318+'Game Results'!G768+'Game Results'!G750+'Game Results'!G1344+'Game Results'!G1326+'Game Results'!G156+'Game Results'!G138+'Game Results'!G1776+'Game Results'!G1758+'Game Results'!G444)</f>
        <v>1749</v>
      </c>
      <c r="H73" s="85">
        <f>SUM('Game Results'!H210+'Game Results'!H426+'Game Results'!H653+'Game Results'!H635+'Game Results'!H228+'Game Results'!H1013+'Game Results'!H995+'Game Results'!H1110+'Game Results'!H1128+'Game Results'!H336+'Game Results'!H318+'Game Results'!H768+'Game Results'!H750+'Game Results'!H1344+'Game Results'!H1326+'Game Results'!H156+'Game Results'!H138+'Game Results'!H1776+'Game Results'!H1758+'Game Results'!H444)</f>
        <v>9</v>
      </c>
      <c r="I73" s="85">
        <f>SUM('Game Results'!I210+'Game Results'!I426+'Game Results'!I653+'Game Results'!I635+'Game Results'!I228+'Game Results'!I1013+'Game Results'!I995+'Game Results'!I1110+'Game Results'!I1128+'Game Results'!I336+'Game Results'!I318+'Game Results'!I768+'Game Results'!I750+'Game Results'!I1344+'Game Results'!I1326+'Game Results'!I156+'Game Results'!I138+'Game Results'!I1776+'Game Results'!I1758+'Game Results'!I444)</f>
        <v>1520</v>
      </c>
      <c r="J73" s="85">
        <f>SUM('Game Results'!J210+'Game Results'!J426+'Game Results'!J653+'Game Results'!J635+'Game Results'!J228+'Game Results'!J1013+'Game Results'!J995+'Game Results'!J1110+'Game Results'!J1128+'Game Results'!J336+'Game Results'!J318+'Game Results'!J768+'Game Results'!J750+'Game Results'!J1344+'Game Results'!J1326+'Game Results'!J156+'Game Results'!J138+'Game Results'!J1776+'Game Results'!J1758+'Game Results'!J444)</f>
        <v>229</v>
      </c>
      <c r="K73" s="87">
        <f t="shared" si="1"/>
        <v>1.150657895</v>
      </c>
      <c r="L73" s="85">
        <f>SUM('Game Results'!L210+'Game Results'!L426+'Game Results'!L653+'Game Results'!L635+'Game Results'!L228+'Game Results'!L1013+'Game Results'!L995+'Game Results'!L1110+'Game Results'!L1128+'Game Results'!L336+'Game Results'!L318+'Game Results'!L768+'Game Results'!L750+'Game Results'!L1344+'Game Results'!L1326+'Game Results'!L156+'Game Results'!L138+'Game Results'!L1776+'Game Results'!L1758+'Game Results'!L444)</f>
        <v>270</v>
      </c>
      <c r="M73" s="85">
        <f>SUM('Game Results'!M210+'Game Results'!M426+'Game Results'!M653+'Game Results'!M635+'Game Results'!M228+'Game Results'!M1013+'Game Results'!M995+'Game Results'!M1110+'Game Results'!M1128+'Game Results'!M336+'Game Results'!M318+'Game Results'!M768+'Game Results'!M750+'Game Results'!M1344+'Game Results'!M1326+'Game Results'!M156+'Game Results'!M138+'Game Results'!M1776+'Game Results'!M1758+'Game Results'!M444)</f>
        <v>2314</v>
      </c>
      <c r="N73" s="85">
        <f>SUM('Game Results'!N210+'Game Results'!N426+'Game Results'!N653+'Game Results'!N635+'Game Results'!N228+'Game Results'!N1013+'Game Results'!N995+'Game Results'!N1110+'Game Results'!N1128+'Game Results'!N336+'Game Results'!N318+'Game Results'!N768+'Game Results'!N750+'Game Results'!N1344+'Game Results'!N1326+'Game Results'!N156+'Game Results'!N138+'Game Results'!N1776+'Game Results'!N1758+'Game Results'!N444)</f>
        <v>20</v>
      </c>
      <c r="O73" s="88">
        <f>SUM('Game Results'!O210+'Game Results'!O426+'Game Results'!O653+'Game Results'!O635+'Game Results'!O228+'Game Results'!O1013+'Game Results'!O995+'Game Results'!O1110+'Game Results'!O1128+'Game Results'!O336+'Game Results'!O318+'Game Results'!O768+'Game Results'!O750+'Game Results'!O1344+'Game Results'!O1326+'Game Results'!O156+'Game Results'!O138+'Game Results'!O1776+'Game Results'!O1758+'Game Results'!O444)</f>
        <v>395.9333333</v>
      </c>
      <c r="P73" s="85">
        <f>SUM('Game Results'!P210+'Game Results'!P426+'Game Results'!P653+'Game Results'!P635+'Game Results'!P228+'Game Results'!P1013+'Game Results'!P995+'Game Results'!P1110+'Game Results'!P1128+'Game Results'!P336+'Game Results'!P318+'Game Results'!P768+'Game Results'!P750+'Game Results'!P1344+'Game Results'!P1326+'Game Results'!P156+'Game Results'!P138+'Game Results'!P1776+'Game Results'!P1758+'Game Results'!P444)</f>
        <v>67</v>
      </c>
      <c r="Q73" s="85">
        <f>SUM('Game Results'!Q210+'Game Results'!Q426+'Game Results'!Q653+'Game Results'!Q635+'Game Results'!Q228+'Game Results'!Q1013+'Game Results'!Q995+'Game Results'!Q1110+'Game Results'!Q1128+'Game Results'!Q336+'Game Results'!Q318+'Game Results'!Q768+'Game Results'!Q750+'Game Results'!Q1344+'Game Results'!Q1326+'Game Results'!Q156+'Game Results'!Q138+'Game Results'!Q1776+'Game Results'!Q1758+'Game Results'!Q444)</f>
        <v>29</v>
      </c>
      <c r="R73" s="85">
        <f>SUM('Game Results'!R210+'Game Results'!R426+'Game Results'!R653+'Game Results'!R635+'Game Results'!R228+'Game Results'!R1013+'Game Results'!R995+'Game Results'!R1110+'Game Results'!R1128+'Game Results'!R336+'Game Results'!R318+'Game Results'!R768+'Game Results'!R750+'Game Results'!R1344+'Game Results'!R1326+'Game Results'!R156+'Game Results'!R138+'Game Results'!R1776+'Game Results'!R1758+'Game Results'!R444)</f>
        <v>137</v>
      </c>
      <c r="S73" s="85">
        <f>SUM('Game Results'!S210+'Game Results'!S426+'Game Results'!S653+'Game Results'!S635+'Game Results'!S228+'Game Results'!S1013+'Game Results'!S995+'Game Results'!S1110+'Game Results'!S1128+'Game Results'!S336+'Game Results'!S318+'Game Results'!S768+'Game Results'!S750+'Game Results'!S1344+'Game Results'!S1326+'Game Results'!S156+'Game Results'!S138+'Game Results'!S1776+'Game Results'!S1758+'Game Results'!S444)</f>
        <v>41</v>
      </c>
      <c r="T73" s="85">
        <f>SUM('Game Results'!T210+'Game Results'!T426+'Game Results'!T653+'Game Results'!T635+'Game Results'!T228+'Game Results'!T1013+'Game Results'!T995+'Game Results'!T1110+'Game Results'!T1128+'Game Results'!T336+'Game Results'!T318+'Game Results'!T768+'Game Results'!T750+'Game Results'!T1344+'Game Results'!T1326+'Game Results'!T156+'Game Results'!T138+'Game Results'!T1776+'Game Results'!T1758+'Game Results'!T444)</f>
        <v>278</v>
      </c>
      <c r="U73" s="85">
        <f>SUM('Game Results'!U210+'Game Results'!U426+'Game Results'!U653+'Game Results'!U635+'Game Results'!U228+'Game Results'!U1013+'Game Results'!U995+'Game Results'!U1110+'Game Results'!U1128+'Game Results'!U336+'Game Results'!U318+'Game Results'!U768+'Game Results'!U750+'Game Results'!U1344+'Game Results'!U1326+'Game Results'!U156+'Game Results'!U138+'Game Results'!U1776+'Game Results'!U1758+'Game Results'!U444)</f>
        <v>52</v>
      </c>
      <c r="V73" s="85">
        <f>SUM('Game Results'!V210+'Game Results'!V426+'Game Results'!V653+'Game Results'!V635+'Game Results'!V228+'Game Results'!V1013+'Game Results'!V995+'Game Results'!V1110+'Game Results'!V1128+'Game Results'!V336+'Game Results'!V318+'Game Results'!V768+'Game Results'!V750+'Game Results'!V1344+'Game Results'!V1326+'Game Results'!V156+'Game Results'!V138+'Game Results'!V1776+'Game Results'!V1758+'Game Results'!V444)</f>
        <v>16</v>
      </c>
      <c r="W73" s="85">
        <f>SUM('Game Results'!W210+'Game Results'!W426+'Game Results'!W653+'Game Results'!W635+'Game Results'!W228+'Game Results'!W1013+'Game Results'!W995+'Game Results'!W1110+'Game Results'!W1128+'Game Results'!W336+'Game Results'!W318+'Game Results'!W768+'Game Results'!W750+'Game Results'!W1344+'Game Results'!W1326+'Game Results'!W156+'Game Results'!W138+'Game Results'!W1776+'Game Results'!W1758+'Game Results'!W444)</f>
        <v>5</v>
      </c>
      <c r="X73" s="85">
        <f>SUM('Game Results'!X210+'Game Results'!X426+'Game Results'!X653+'Game Results'!X635+'Game Results'!X228+'Game Results'!X1013+'Game Results'!X995+'Game Results'!X1110+'Game Results'!X1128+'Game Results'!X336+'Game Results'!X318+'Game Results'!X768+'Game Results'!X750+'Game Results'!X1344+'Game Results'!X1326+'Game Results'!X156+'Game Results'!X138+'Game Results'!X1776+'Game Results'!X1758+'Game Results'!X444)</f>
        <v>1</v>
      </c>
      <c r="Y73" s="85">
        <f>SUM('Game Results'!Y210+'Game Results'!Y426+'Game Results'!Y653+'Game Results'!Y635+'Game Results'!Y228+'Game Results'!Y1013+'Game Results'!Y995+'Game Results'!Y1110+'Game Results'!Y1128+'Game Results'!Y336+'Game Results'!Y318+'Game Results'!Y768+'Game Results'!Y750+'Game Results'!Y1344+'Game Results'!Y1326+'Game Results'!Y156+'Game Results'!Y138+'Game Results'!Y1776+'Game Results'!Y1758+'Game Results'!Y444)</f>
        <v>0</v>
      </c>
      <c r="Z73" s="85">
        <f>SUM('Game Results'!Z210+'Game Results'!Z426+'Game Results'!Z653+'Game Results'!Z635+'Game Results'!Z228+'Game Results'!Z1013+'Game Results'!Z995+'Game Results'!Z1110+'Game Results'!Z1128+'Game Results'!Z336+'Game Results'!Z318+'Game Results'!Z768+'Game Results'!Z750+'Game Results'!Z1344+'Game Results'!Z1326+'Game Results'!Z156+'Game Results'!Z138+'Game Results'!Z1776+'Game Results'!Z1758+'Game Results'!Z444)</f>
        <v>0</v>
      </c>
      <c r="AA73" s="85">
        <f>SUM('Game Results'!AA210+'Game Results'!AA426+'Game Results'!AA653+'Game Results'!AA635+'Game Results'!AA228+'Game Results'!AA1013+'Game Results'!AA995+'Game Results'!AA1110+'Game Results'!AA1128+'Game Results'!AA336+'Game Results'!AA318+'Game Results'!AA768+'Game Results'!AA750+'Game Results'!AA1344+'Game Results'!AA1326+'Game Results'!AA156+'Game Results'!AA138+'Game Results'!AA1776+'Game Results'!AA1758+'Game Results'!AA444)</f>
        <v>0</v>
      </c>
      <c r="AB73" s="85">
        <f>SUM('Game Results'!AB210+'Game Results'!AB426+'Game Results'!AB653+'Game Results'!AB635+'Game Results'!AB228+'Game Results'!AB1013+'Game Results'!AB995+'Game Results'!AB1110+'Game Results'!AB1128+'Game Results'!AB336+'Game Results'!AB318+'Game Results'!AB768+'Game Results'!AB750+'Game Results'!AB1344+'Game Results'!AB1326+'Game Results'!AB156+'Game Results'!AB138+'Game Results'!AB1776+'Game Results'!AB1758+'Game Results'!AB444)</f>
        <v>0</v>
      </c>
      <c r="AC73" s="85">
        <f>SUM('Game Results'!AC210+'Game Results'!AC426+'Game Results'!AC653+'Game Results'!AC635+'Game Results'!AC228+'Game Results'!AC1013+'Game Results'!AC995+'Game Results'!AC1110+'Game Results'!AC1128+'Game Results'!AC336+'Game Results'!AC318+'Game Results'!AC768+'Game Results'!AC750+'Game Results'!AC1344+'Game Results'!AC1326+'Game Results'!AC156+'Game Results'!AC138+'Game Results'!AC1776+'Game Results'!AC1758+'Game Results'!AC444)</f>
        <v>47</v>
      </c>
      <c r="AD73" s="85">
        <f>SUM('Game Results'!AD210+'Game Results'!AD426+'Game Results'!AD653+'Game Results'!AD635+'Game Results'!AD228+'Game Results'!AD1013+'Game Results'!AD995+'Game Results'!AD1110+'Game Results'!AD1128+'Game Results'!AD336+'Game Results'!AD318+'Game Results'!AD768+'Game Results'!AD750+'Game Results'!AD1344+'Game Results'!AD1326+'Game Results'!AD156+'Game Results'!AD138+'Game Results'!AD1776+'Game Results'!AD1758+'Game Results'!AD444)</f>
        <v>0</v>
      </c>
      <c r="AE73" s="85">
        <f>SUM('Game Results'!AE210+'Game Results'!AE426+'Game Results'!AE653+'Game Results'!AE635+'Game Results'!AE228+'Game Results'!AE1013+'Game Results'!AE995+'Game Results'!AE1110+'Game Results'!AE1128+'Game Results'!AE336+'Game Results'!AE318+'Game Results'!AE768+'Game Results'!AE750+'Game Results'!AE1344+'Game Results'!AE1326+'Game Results'!AE156+'Game Results'!AE138+'Game Results'!AE1776+'Game Results'!AE1758+'Game Results'!AE444)</f>
        <v>0</v>
      </c>
      <c r="AF73" s="85">
        <f>SUM('Game Results'!AF210+'Game Results'!AF426+'Game Results'!AF653+'Game Results'!AF635+'Game Results'!AF228+'Game Results'!AF1013+'Game Results'!AF995+'Game Results'!AF1110+'Game Results'!AF1128+'Game Results'!AF336+'Game Results'!AF318+'Game Results'!AF768+'Game Results'!AF750+'Game Results'!AF1344+'Game Results'!AF1326+'Game Results'!AF156+'Game Results'!AF138+'Game Results'!AF1776+'Game Results'!AF1758+'Game Results'!AF444)</f>
        <v>0</v>
      </c>
      <c r="AG73" s="85">
        <f>SUM('Game Results'!AG210+'Game Results'!AG426+'Game Results'!AG653+'Game Results'!AG635+'Game Results'!AG228+'Game Results'!AG1013+'Game Results'!AG995+'Game Results'!AG1110+'Game Results'!AG1128+'Game Results'!AG336+'Game Results'!AG318+'Game Results'!AG768+'Game Results'!AG750+'Game Results'!AG1344+'Game Results'!AG1326+'Game Results'!AG156+'Game Results'!AG138+'Game Results'!AG1776+'Game Results'!AG1758+'Game Results'!AG444)</f>
        <v>2</v>
      </c>
      <c r="AH73" s="85">
        <f>SUM('Game Results'!AH210+'Game Results'!AH426+'Game Results'!AH653+'Game Results'!AH635+'Game Results'!AH228+'Game Results'!AH1013+'Game Results'!AH995+'Game Results'!AH1110+'Game Results'!AH1128+'Game Results'!AH336+'Game Results'!AH318+'Game Results'!AH768+'Game Results'!AH750+'Game Results'!AH1344+'Game Results'!AH1326+'Game Results'!AH156+'Game Results'!AH138+'Game Results'!AH1776+'Game Results'!AH1758+'Game Results'!AH444)</f>
        <v>0</v>
      </c>
    </row>
    <row r="74">
      <c r="A74" s="83" t="s">
        <v>47</v>
      </c>
      <c r="B74" s="84" t="s">
        <v>238</v>
      </c>
      <c r="C74" s="85">
        <f>SUM('Game Results'!C211+'Game Results'!C427+'Game Results'!C654+'Game Results'!C636+'Game Results'!C229+'Game Results'!C1014+'Game Results'!C996+'Game Results'!C1111+'Game Results'!C1129+'Game Results'!C337+'Game Results'!C319+'Game Results'!C769+'Game Results'!C751+'Game Results'!C1345+'Game Results'!C1327+'Game Results'!C157+'Game Results'!C139+'Game Results'!C1777+'Game Results'!C1759+'Game Results'!C445)</f>
        <v>20</v>
      </c>
      <c r="D74" s="85">
        <f>SUM('Game Results'!D211+'Game Results'!D427+'Game Results'!D654+'Game Results'!D636+'Game Results'!D229+'Game Results'!D1014+'Game Results'!D996+'Game Results'!D1111+'Game Results'!D1129+'Game Results'!D337+'Game Results'!D319+'Game Results'!D769+'Game Results'!D751+'Game Results'!D1345+'Game Results'!D1327+'Game Results'!D157+'Game Results'!D139+'Game Results'!D1777+'Game Results'!D1759+'Game Results'!D445)</f>
        <v>10</v>
      </c>
      <c r="E74" s="86">
        <f>SUM('Game Results'!E211+'Game Results'!E427+'Game Results'!E654+'Game Results'!E636+'Game Results'!E229+'Game Results'!E1014+'Game Results'!E996+'Game Results'!E1111+'Game Results'!E1129+'Game Results'!E337+'Game Results'!E319+'Game Results'!E769+'Game Results'!E751+'Game Results'!E1345+'Game Results'!E1327+'Game Results'!E157+'Game Results'!E139+'Game Results'!E1777+'Game Results'!E1759+'Game Results'!E445)</f>
        <v>397.55</v>
      </c>
      <c r="F74" s="85">
        <f>SUM('Game Results'!F211+'Game Results'!F427+'Game Results'!F654+'Game Results'!F636+'Game Results'!F229+'Game Results'!F1014+'Game Results'!F996+'Game Results'!F1111+'Game Results'!F1129+'Game Results'!F337+'Game Results'!F319+'Game Results'!F769+'Game Results'!F751+'Game Results'!F1345+'Game Results'!F1327+'Game Results'!F157+'Game Results'!F139+'Game Results'!F1777+'Game Results'!F1759+'Game Results'!F445)</f>
        <v>61</v>
      </c>
      <c r="G74" s="85">
        <f>SUM('Game Results'!G211+'Game Results'!G427+'Game Results'!G654+'Game Results'!G636+'Game Results'!G229+'Game Results'!G1014+'Game Results'!G996+'Game Results'!G1111+'Game Results'!G1129+'Game Results'!G337+'Game Results'!G319+'Game Results'!G769+'Game Results'!G751+'Game Results'!G1345+'Game Results'!G1327+'Game Results'!G157+'Game Results'!G139+'Game Results'!G1777+'Game Results'!G1759+'Game Results'!G445)</f>
        <v>978</v>
      </c>
      <c r="H74" s="85">
        <f>SUM('Game Results'!H211+'Game Results'!H427+'Game Results'!H654+'Game Results'!H636+'Game Results'!H229+'Game Results'!H1014+'Game Results'!H996+'Game Results'!H1111+'Game Results'!H1129+'Game Results'!H337+'Game Results'!H319+'Game Results'!H769+'Game Results'!H751+'Game Results'!H1345+'Game Results'!H1327+'Game Results'!H157+'Game Results'!H139+'Game Results'!H1777+'Game Results'!H1759+'Game Results'!H445)</f>
        <v>4</v>
      </c>
      <c r="I74" s="85">
        <f>SUM('Game Results'!I211+'Game Results'!I427+'Game Results'!I654+'Game Results'!I636+'Game Results'!I229+'Game Results'!I1014+'Game Results'!I996+'Game Results'!I1111+'Game Results'!I1129+'Game Results'!I337+'Game Results'!I319+'Game Results'!I769+'Game Results'!I751+'Game Results'!I1345+'Game Results'!I1327+'Game Results'!I157+'Game Results'!I139+'Game Results'!I1777+'Game Results'!I1759+'Game Results'!I445)</f>
        <v>1157</v>
      </c>
      <c r="J74" s="85">
        <f>SUM('Game Results'!J211+'Game Results'!J427+'Game Results'!J654+'Game Results'!J636+'Game Results'!J229+'Game Results'!J1014+'Game Results'!J996+'Game Results'!J1111+'Game Results'!J1129+'Game Results'!J337+'Game Results'!J319+'Game Results'!J769+'Game Results'!J751+'Game Results'!J1345+'Game Results'!J1327+'Game Results'!J157+'Game Results'!J139+'Game Results'!J1777+'Game Results'!J1759+'Game Results'!J445)</f>
        <v>-179</v>
      </c>
      <c r="K74" s="87">
        <f t="shared" si="1"/>
        <v>0.8452895419</v>
      </c>
      <c r="L74" s="85">
        <f>SUM('Game Results'!L211+'Game Results'!L427+'Game Results'!L654+'Game Results'!L636+'Game Results'!L229+'Game Results'!L1014+'Game Results'!L996+'Game Results'!L1111+'Game Results'!L1129+'Game Results'!L337+'Game Results'!L319+'Game Results'!L769+'Game Results'!L751+'Game Results'!L1345+'Game Results'!L1327+'Game Results'!L157+'Game Results'!L139+'Game Results'!L1777+'Game Results'!L1759+'Game Results'!L445)</f>
        <v>404</v>
      </c>
      <c r="M74" s="85">
        <f>SUM('Game Results'!M211+'Game Results'!M427+'Game Results'!M654+'Game Results'!M636+'Game Results'!M229+'Game Results'!M1014+'Game Results'!M996+'Game Results'!M1111+'Game Results'!M1129+'Game Results'!M337+'Game Results'!M319+'Game Results'!M769+'Game Results'!M751+'Game Results'!M1345+'Game Results'!M1327+'Game Results'!M157+'Game Results'!M139+'Game Results'!M1777+'Game Results'!M1759+'Game Results'!M445)</f>
        <v>1278</v>
      </c>
      <c r="N74" s="85">
        <f>SUM('Game Results'!N211+'Game Results'!N427+'Game Results'!N654+'Game Results'!N636+'Game Results'!N229+'Game Results'!N1014+'Game Results'!N996+'Game Results'!N1111+'Game Results'!N1129+'Game Results'!N337+'Game Results'!N319+'Game Results'!N769+'Game Results'!N751+'Game Results'!N1345+'Game Results'!N1327+'Game Results'!N157+'Game Results'!N139+'Game Results'!N1777+'Game Results'!N1759+'Game Results'!N445)</f>
        <v>20</v>
      </c>
      <c r="O74" s="88">
        <f>SUM('Game Results'!O211+'Game Results'!O427+'Game Results'!O654+'Game Results'!O636+'Game Results'!O229+'Game Results'!O1014+'Game Results'!O996+'Game Results'!O1111+'Game Results'!O1129+'Game Results'!O337+'Game Results'!O319+'Game Results'!O769+'Game Results'!O751+'Game Results'!O1345+'Game Results'!O1327+'Game Results'!O157+'Game Results'!O139+'Game Results'!O1777+'Game Results'!O1759+'Game Results'!O445)</f>
        <v>397.55</v>
      </c>
      <c r="P74" s="85">
        <f>SUM('Game Results'!P211+'Game Results'!P427+'Game Results'!P654+'Game Results'!P636+'Game Results'!P229+'Game Results'!P1014+'Game Results'!P996+'Game Results'!P1111+'Game Results'!P1129+'Game Results'!P337+'Game Results'!P319+'Game Results'!P769+'Game Results'!P751+'Game Results'!P1345+'Game Results'!P1327+'Game Results'!P157+'Game Results'!P139+'Game Results'!P1777+'Game Results'!P1759+'Game Results'!P445)</f>
        <v>69</v>
      </c>
      <c r="Q74" s="85">
        <f>SUM('Game Results'!Q211+'Game Results'!Q427+'Game Results'!Q654+'Game Results'!Q636+'Game Results'!Q229+'Game Results'!Q1014+'Game Results'!Q996+'Game Results'!Q1111+'Game Results'!Q1129+'Game Results'!Q337+'Game Results'!Q319+'Game Results'!Q769+'Game Results'!Q751+'Game Results'!Q1345+'Game Results'!Q1327+'Game Results'!Q157+'Game Results'!Q139+'Game Results'!Q1777+'Game Results'!Q1759+'Game Results'!Q445)</f>
        <v>18</v>
      </c>
      <c r="R74" s="85">
        <f>SUM('Game Results'!R211+'Game Results'!R427+'Game Results'!R654+'Game Results'!R636+'Game Results'!R229+'Game Results'!R1014+'Game Results'!R996+'Game Results'!R1111+'Game Results'!R1129+'Game Results'!R337+'Game Results'!R319+'Game Results'!R769+'Game Results'!R751+'Game Results'!R1345+'Game Results'!R1327+'Game Results'!R157+'Game Results'!R139+'Game Results'!R1777+'Game Results'!R1759+'Game Results'!R445)</f>
        <v>35</v>
      </c>
      <c r="S74" s="85">
        <f>SUM('Game Results'!S211+'Game Results'!S427+'Game Results'!S654+'Game Results'!S636+'Game Results'!S229+'Game Results'!S1014+'Game Results'!S996+'Game Results'!S1111+'Game Results'!S1129+'Game Results'!S337+'Game Results'!S319+'Game Results'!S769+'Game Results'!S751+'Game Results'!S1345+'Game Results'!S1327+'Game Results'!S157+'Game Results'!S139+'Game Results'!S1777+'Game Results'!S1759+'Game Results'!S445)</f>
        <v>34</v>
      </c>
      <c r="T74" s="85">
        <f>SUM('Game Results'!T211+'Game Results'!T427+'Game Results'!T654+'Game Results'!T636+'Game Results'!T229+'Game Results'!T1014+'Game Results'!T996+'Game Results'!T1111+'Game Results'!T1129+'Game Results'!T337+'Game Results'!T319+'Game Results'!T769+'Game Results'!T751+'Game Results'!T1345+'Game Results'!T1327+'Game Results'!T157+'Game Results'!T139+'Game Results'!T1777+'Game Results'!T1759+'Game Results'!T445)</f>
        <v>110</v>
      </c>
      <c r="U74" s="85">
        <f>SUM('Game Results'!U211+'Game Results'!U427+'Game Results'!U654+'Game Results'!U636+'Game Results'!U229+'Game Results'!U1014+'Game Results'!U996+'Game Results'!U1111+'Game Results'!U1129+'Game Results'!U337+'Game Results'!U319+'Game Results'!U769+'Game Results'!U751+'Game Results'!U1345+'Game Results'!U1327+'Game Results'!U157+'Game Results'!U139+'Game Results'!U1777+'Game Results'!U1759+'Game Results'!U445)</f>
        <v>14</v>
      </c>
      <c r="V74" s="85">
        <f>SUM('Game Results'!V211+'Game Results'!V427+'Game Results'!V654+'Game Results'!V636+'Game Results'!V229+'Game Results'!V1014+'Game Results'!V996+'Game Results'!V1111+'Game Results'!V1129+'Game Results'!V337+'Game Results'!V319+'Game Results'!V769+'Game Results'!V751+'Game Results'!V1345+'Game Results'!V1327+'Game Results'!V157+'Game Results'!V139+'Game Results'!V1777+'Game Results'!V1759+'Game Results'!V445)</f>
        <v>3</v>
      </c>
      <c r="W74" s="85">
        <f>SUM('Game Results'!W211+'Game Results'!W427+'Game Results'!W654+'Game Results'!W636+'Game Results'!W229+'Game Results'!W1014+'Game Results'!W996+'Game Results'!W1111+'Game Results'!W1129+'Game Results'!W337+'Game Results'!W319+'Game Results'!W769+'Game Results'!W751+'Game Results'!W1345+'Game Results'!W1327+'Game Results'!W157+'Game Results'!W139+'Game Results'!W1777+'Game Results'!W1759+'Game Results'!W445)</f>
        <v>1</v>
      </c>
      <c r="X74" s="85">
        <f>SUM('Game Results'!X211+'Game Results'!X427+'Game Results'!X654+'Game Results'!X636+'Game Results'!X229+'Game Results'!X1014+'Game Results'!X996+'Game Results'!X1111+'Game Results'!X1129+'Game Results'!X337+'Game Results'!X319+'Game Results'!X769+'Game Results'!X751+'Game Results'!X1345+'Game Results'!X1327+'Game Results'!X157+'Game Results'!X139+'Game Results'!X1777+'Game Results'!X1759+'Game Results'!X445)</f>
        <v>0</v>
      </c>
      <c r="Y74" s="85">
        <f>SUM('Game Results'!Y211+'Game Results'!Y427+'Game Results'!Y654+'Game Results'!Y636+'Game Results'!Y229+'Game Results'!Y1014+'Game Results'!Y996+'Game Results'!Y1111+'Game Results'!Y1129+'Game Results'!Y337+'Game Results'!Y319+'Game Results'!Y769+'Game Results'!Y751+'Game Results'!Y1345+'Game Results'!Y1327+'Game Results'!Y157+'Game Results'!Y139+'Game Results'!Y1777+'Game Results'!Y1759+'Game Results'!Y445)</f>
        <v>0</v>
      </c>
      <c r="Z74" s="85">
        <f>SUM('Game Results'!Z211+'Game Results'!Z427+'Game Results'!Z654+'Game Results'!Z636+'Game Results'!Z229+'Game Results'!Z1014+'Game Results'!Z996+'Game Results'!Z1111+'Game Results'!Z1129+'Game Results'!Z337+'Game Results'!Z319+'Game Results'!Z769+'Game Results'!Z751+'Game Results'!Z1345+'Game Results'!Z1327+'Game Results'!Z157+'Game Results'!Z139+'Game Results'!Z1777+'Game Results'!Z1759+'Game Results'!Z445)</f>
        <v>0</v>
      </c>
      <c r="AA74" s="85">
        <f>SUM('Game Results'!AA211+'Game Results'!AA427+'Game Results'!AA654+'Game Results'!AA636+'Game Results'!AA229+'Game Results'!AA1014+'Game Results'!AA996+'Game Results'!AA1111+'Game Results'!AA1129+'Game Results'!AA337+'Game Results'!AA319+'Game Results'!AA769+'Game Results'!AA751+'Game Results'!AA1345+'Game Results'!AA1327+'Game Results'!AA157+'Game Results'!AA139+'Game Results'!AA1777+'Game Results'!AA1759+'Game Results'!AA445)</f>
        <v>0</v>
      </c>
      <c r="AB74" s="85">
        <f>SUM('Game Results'!AB211+'Game Results'!AB427+'Game Results'!AB654+'Game Results'!AB636+'Game Results'!AB229+'Game Results'!AB1014+'Game Results'!AB996+'Game Results'!AB1111+'Game Results'!AB1129+'Game Results'!AB337+'Game Results'!AB319+'Game Results'!AB769+'Game Results'!AB751+'Game Results'!AB1345+'Game Results'!AB1327+'Game Results'!AB157+'Game Results'!AB139+'Game Results'!AB1777+'Game Results'!AB1759+'Game Results'!AB445)</f>
        <v>0</v>
      </c>
      <c r="AC74" s="85">
        <f>SUM('Game Results'!AC211+'Game Results'!AC427+'Game Results'!AC654+'Game Results'!AC636+'Game Results'!AC229+'Game Results'!AC1014+'Game Results'!AC996+'Game Results'!AC1111+'Game Results'!AC1129+'Game Results'!AC337+'Game Results'!AC319+'Game Results'!AC769+'Game Results'!AC751+'Game Results'!AC1345+'Game Results'!AC1327+'Game Results'!AC157+'Game Results'!AC139+'Game Results'!AC1777+'Game Results'!AC1759+'Game Results'!AC445)</f>
        <v>13</v>
      </c>
      <c r="AD74" s="85">
        <f>SUM('Game Results'!AD211+'Game Results'!AD427+'Game Results'!AD654+'Game Results'!AD636+'Game Results'!AD229+'Game Results'!AD1014+'Game Results'!AD996+'Game Results'!AD1111+'Game Results'!AD1129+'Game Results'!AD337+'Game Results'!AD319+'Game Results'!AD769+'Game Results'!AD751+'Game Results'!AD1345+'Game Results'!AD1327+'Game Results'!AD157+'Game Results'!AD139+'Game Results'!AD1777+'Game Results'!AD1759+'Game Results'!AD445)</f>
        <v>0</v>
      </c>
      <c r="AE74" s="85">
        <f>SUM('Game Results'!AE211+'Game Results'!AE427+'Game Results'!AE654+'Game Results'!AE636+'Game Results'!AE229+'Game Results'!AE1014+'Game Results'!AE996+'Game Results'!AE1111+'Game Results'!AE1129+'Game Results'!AE337+'Game Results'!AE319+'Game Results'!AE769+'Game Results'!AE751+'Game Results'!AE1345+'Game Results'!AE1327+'Game Results'!AE157+'Game Results'!AE139+'Game Results'!AE1777+'Game Results'!AE1759+'Game Results'!AE445)</f>
        <v>0</v>
      </c>
      <c r="AF74" s="85">
        <f>SUM('Game Results'!AF211+'Game Results'!AF427+'Game Results'!AF654+'Game Results'!AF636+'Game Results'!AF229+'Game Results'!AF1014+'Game Results'!AF996+'Game Results'!AF1111+'Game Results'!AF1129+'Game Results'!AF337+'Game Results'!AF319+'Game Results'!AF769+'Game Results'!AF751+'Game Results'!AF1345+'Game Results'!AF1327+'Game Results'!AF157+'Game Results'!AF139+'Game Results'!AF1777+'Game Results'!AF1759+'Game Results'!AF445)</f>
        <v>0</v>
      </c>
      <c r="AG74" s="85">
        <f>SUM('Game Results'!AG211+'Game Results'!AG427+'Game Results'!AG654+'Game Results'!AG636+'Game Results'!AG229+'Game Results'!AG1014+'Game Results'!AG996+'Game Results'!AG1111+'Game Results'!AG1129+'Game Results'!AG337+'Game Results'!AG319+'Game Results'!AG769+'Game Results'!AG751+'Game Results'!AG1345+'Game Results'!AG1327+'Game Results'!AG157+'Game Results'!AG139+'Game Results'!AG1777+'Game Results'!AG1759+'Game Results'!AG445)</f>
        <v>0</v>
      </c>
      <c r="AH74" s="85">
        <f>SUM('Game Results'!AH211+'Game Results'!AH427+'Game Results'!AH654+'Game Results'!AH636+'Game Results'!AH229+'Game Results'!AH1014+'Game Results'!AH996+'Game Results'!AH1111+'Game Results'!AH1129+'Game Results'!AH337+'Game Results'!AH319+'Game Results'!AH769+'Game Results'!AH751+'Game Results'!AH1345+'Game Results'!AH1327+'Game Results'!AH157+'Game Results'!AH139+'Game Results'!AH1777+'Game Results'!AH1759+'Game Results'!AH445)</f>
        <v>1</v>
      </c>
    </row>
    <row r="75">
      <c r="A75" s="83" t="s">
        <v>47</v>
      </c>
      <c r="B75" s="84" t="s">
        <v>239</v>
      </c>
      <c r="C75" s="85">
        <f>SUM('Game Results'!C212+'Game Results'!C428+'Game Results'!C655+'Game Results'!C637+'Game Results'!C230+'Game Results'!C1015+'Game Results'!C997+'Game Results'!C1112+'Game Results'!C1130+'Game Results'!C338+'Game Results'!C320+'Game Results'!C770+'Game Results'!C752+'Game Results'!C1346+'Game Results'!C1328+'Game Results'!C158+'Game Results'!C140+'Game Results'!C1778+'Game Results'!C1760+'Game Results'!C446)</f>
        <v>15</v>
      </c>
      <c r="D75" s="85">
        <f>SUM('Game Results'!D212+'Game Results'!D428+'Game Results'!D655+'Game Results'!D637+'Game Results'!D230+'Game Results'!D1015+'Game Results'!D997+'Game Results'!D1112+'Game Results'!D1130+'Game Results'!D338+'Game Results'!D320+'Game Results'!D770+'Game Results'!D752+'Game Results'!D1346+'Game Results'!D1328+'Game Results'!D158+'Game Results'!D140+'Game Results'!D1778+'Game Results'!D1760+'Game Results'!D446)</f>
        <v>8</v>
      </c>
      <c r="E75" s="86">
        <f>SUM('Game Results'!E212+'Game Results'!E428+'Game Results'!E655+'Game Results'!E637+'Game Results'!E230+'Game Results'!E1015+'Game Results'!E997+'Game Results'!E1112+'Game Results'!E1130+'Game Results'!E338+'Game Results'!E320+'Game Results'!E770+'Game Results'!E752+'Game Results'!E1346+'Game Results'!E1328+'Game Results'!E158+'Game Results'!E140+'Game Results'!E1778+'Game Results'!E1760+'Game Results'!E446)</f>
        <v>296.4</v>
      </c>
      <c r="F75" s="85">
        <f>SUM('Game Results'!F212+'Game Results'!F428+'Game Results'!F655+'Game Results'!F637+'Game Results'!F230+'Game Results'!F1015+'Game Results'!F997+'Game Results'!F1112+'Game Results'!F1130+'Game Results'!F338+'Game Results'!F320+'Game Results'!F770+'Game Results'!F752+'Game Results'!F1346+'Game Results'!F1328+'Game Results'!F158+'Game Results'!F140+'Game Results'!F1778+'Game Results'!F1760+'Game Results'!F446)</f>
        <v>4</v>
      </c>
      <c r="G75" s="85">
        <f>SUM('Game Results'!G212+'Game Results'!G428+'Game Results'!G655+'Game Results'!G637+'Game Results'!G230+'Game Results'!G1015+'Game Results'!G997+'Game Results'!G1112+'Game Results'!G1130+'Game Results'!G338+'Game Results'!G320+'Game Results'!G770+'Game Results'!G752+'Game Results'!G1346+'Game Results'!G1328+'Game Results'!G158+'Game Results'!G140+'Game Results'!G1778+'Game Results'!G1760+'Game Results'!G446)</f>
        <v>1003</v>
      </c>
      <c r="H75" s="85">
        <f>SUM('Game Results'!H212+'Game Results'!H428+'Game Results'!H655+'Game Results'!H637+'Game Results'!H230+'Game Results'!H1015+'Game Results'!H997+'Game Results'!H1112+'Game Results'!H1130+'Game Results'!H338+'Game Results'!H320+'Game Results'!H770+'Game Results'!H752+'Game Results'!H1346+'Game Results'!H1328+'Game Results'!H158+'Game Results'!H140+'Game Results'!H1778+'Game Results'!H1760+'Game Results'!H446)</f>
        <v>1</v>
      </c>
      <c r="I75" s="85">
        <f>SUM('Game Results'!I212+'Game Results'!I428+'Game Results'!I655+'Game Results'!I637+'Game Results'!I230+'Game Results'!I1015+'Game Results'!I997+'Game Results'!I1112+'Game Results'!I1130+'Game Results'!I338+'Game Results'!I320+'Game Results'!I770+'Game Results'!I752+'Game Results'!I1346+'Game Results'!I1328+'Game Results'!I158+'Game Results'!I140+'Game Results'!I1778+'Game Results'!I1760+'Game Results'!I446)</f>
        <v>1196</v>
      </c>
      <c r="J75" s="85">
        <f>SUM('Game Results'!J212+'Game Results'!J428+'Game Results'!J655+'Game Results'!J637+'Game Results'!J230+'Game Results'!J1015+'Game Results'!J997+'Game Results'!J1112+'Game Results'!J1130+'Game Results'!J338+'Game Results'!J320+'Game Results'!J770+'Game Results'!J752+'Game Results'!J1346+'Game Results'!J1328+'Game Results'!J158+'Game Results'!J140+'Game Results'!J1778+'Game Results'!J1760+'Game Results'!J446)</f>
        <v>-193</v>
      </c>
      <c r="K75" s="87">
        <f t="shared" si="1"/>
        <v>0.8386287625</v>
      </c>
      <c r="L75" s="85">
        <f>SUM('Game Results'!L212+'Game Results'!L428+'Game Results'!L655+'Game Results'!L637+'Game Results'!L230+'Game Results'!L1015+'Game Results'!L997+'Game Results'!L1112+'Game Results'!L1130+'Game Results'!L338+'Game Results'!L320+'Game Results'!L770+'Game Results'!L752+'Game Results'!L1346+'Game Results'!L1328+'Game Results'!L158+'Game Results'!L140+'Game Results'!L1778+'Game Results'!L1760+'Game Results'!L446)</f>
        <v>194</v>
      </c>
      <c r="M75" s="85">
        <f>SUM('Game Results'!M212+'Game Results'!M428+'Game Results'!M655+'Game Results'!M637+'Game Results'!M230+'Game Results'!M1015+'Game Results'!M997+'Game Results'!M1112+'Game Results'!M1130+'Game Results'!M338+'Game Results'!M320+'Game Results'!M770+'Game Results'!M752+'Game Results'!M1346+'Game Results'!M1328+'Game Results'!M158+'Game Results'!M140+'Game Results'!M1778+'Game Results'!M1760+'Game Results'!M446)</f>
        <v>1286</v>
      </c>
      <c r="N75" s="85">
        <f>SUM('Game Results'!N212+'Game Results'!N428+'Game Results'!N655+'Game Results'!N637+'Game Results'!N230+'Game Results'!N1015+'Game Results'!N997+'Game Results'!N1112+'Game Results'!N1130+'Game Results'!N338+'Game Results'!N320+'Game Results'!N770+'Game Results'!N752+'Game Results'!N1346+'Game Results'!N1328+'Game Results'!N158+'Game Results'!N140+'Game Results'!N1778+'Game Results'!N1760+'Game Results'!N446)</f>
        <v>15</v>
      </c>
      <c r="O75" s="88">
        <f>SUM('Game Results'!O212+'Game Results'!O428+'Game Results'!O655+'Game Results'!O637+'Game Results'!O230+'Game Results'!O1015+'Game Results'!O997+'Game Results'!O1112+'Game Results'!O1130+'Game Results'!O338+'Game Results'!O320+'Game Results'!O770+'Game Results'!O752+'Game Results'!O1346+'Game Results'!O1328+'Game Results'!O158+'Game Results'!O140+'Game Results'!O1778+'Game Results'!O1760+'Game Results'!O446)</f>
        <v>296.4</v>
      </c>
      <c r="P75" s="85">
        <f>SUM('Game Results'!P212+'Game Results'!P428+'Game Results'!P655+'Game Results'!P637+'Game Results'!P230+'Game Results'!P1015+'Game Results'!P997+'Game Results'!P1112+'Game Results'!P1130+'Game Results'!P338+'Game Results'!P320+'Game Results'!P770+'Game Results'!P752+'Game Results'!P1346+'Game Results'!P1328+'Game Results'!P158+'Game Results'!P140+'Game Results'!P1778+'Game Results'!P1760+'Game Results'!P446)</f>
        <v>47</v>
      </c>
      <c r="Q75" s="85">
        <f>SUM('Game Results'!Q212+'Game Results'!Q428+'Game Results'!Q655+'Game Results'!Q637+'Game Results'!Q230+'Game Results'!Q1015+'Game Results'!Q997+'Game Results'!Q1112+'Game Results'!Q1130+'Game Results'!Q338+'Game Results'!Q320+'Game Results'!Q770+'Game Results'!Q752+'Game Results'!Q1346+'Game Results'!Q1328+'Game Results'!Q158+'Game Results'!Q140+'Game Results'!Q1778+'Game Results'!Q1760+'Game Results'!Q446)</f>
        <v>20</v>
      </c>
      <c r="R75" s="85">
        <f>SUM('Game Results'!R212+'Game Results'!R428+'Game Results'!R655+'Game Results'!R637+'Game Results'!R230+'Game Results'!R1015+'Game Results'!R997+'Game Results'!R1112+'Game Results'!R1130+'Game Results'!R338+'Game Results'!R320+'Game Results'!R770+'Game Results'!R752+'Game Results'!R1346+'Game Results'!R1328+'Game Results'!R158+'Game Results'!R140+'Game Results'!R1778+'Game Results'!R1760+'Game Results'!R446)</f>
        <v>104</v>
      </c>
      <c r="S75" s="85">
        <f>SUM('Game Results'!S212+'Game Results'!S428+'Game Results'!S655+'Game Results'!S637+'Game Results'!S230+'Game Results'!S1015+'Game Results'!S997+'Game Results'!S1112+'Game Results'!S1130+'Game Results'!S338+'Game Results'!S320+'Game Results'!S770+'Game Results'!S752+'Game Results'!S1346+'Game Results'!S1328+'Game Results'!S158+'Game Results'!S140+'Game Results'!S1778+'Game Results'!S1760+'Game Results'!S446)</f>
        <v>16</v>
      </c>
      <c r="T75" s="85">
        <f>SUM('Game Results'!T212+'Game Results'!T428+'Game Results'!T655+'Game Results'!T637+'Game Results'!T230+'Game Results'!T1015+'Game Results'!T997+'Game Results'!T1112+'Game Results'!T1130+'Game Results'!T338+'Game Results'!T320+'Game Results'!T770+'Game Results'!T752+'Game Results'!T1346+'Game Results'!T1328+'Game Results'!T158+'Game Results'!T140+'Game Results'!T1778+'Game Results'!T1760+'Game Results'!T446)</f>
        <v>131</v>
      </c>
      <c r="U75" s="85">
        <f>SUM('Game Results'!U212+'Game Results'!U428+'Game Results'!U655+'Game Results'!U637+'Game Results'!U230+'Game Results'!U1015+'Game Results'!U997+'Game Results'!U1112+'Game Results'!U1130+'Game Results'!U338+'Game Results'!U320+'Game Results'!U770+'Game Results'!U752+'Game Results'!U1346+'Game Results'!U1328+'Game Results'!U158+'Game Results'!U140+'Game Results'!U1778+'Game Results'!U1760+'Game Results'!U446)</f>
        <v>26</v>
      </c>
      <c r="V75" s="85">
        <f>SUM('Game Results'!V212+'Game Results'!V428+'Game Results'!V655+'Game Results'!V637+'Game Results'!V230+'Game Results'!V1015+'Game Results'!V997+'Game Results'!V1112+'Game Results'!V1130+'Game Results'!V338+'Game Results'!V320+'Game Results'!V770+'Game Results'!V752+'Game Results'!V1346+'Game Results'!V1328+'Game Results'!V158+'Game Results'!V140+'Game Results'!V1778+'Game Results'!V1760+'Game Results'!V446)</f>
        <v>10</v>
      </c>
      <c r="W75" s="85">
        <f>SUM('Game Results'!W212+'Game Results'!W428+'Game Results'!W655+'Game Results'!W637+'Game Results'!W230+'Game Results'!W1015+'Game Results'!W997+'Game Results'!W1112+'Game Results'!W1130+'Game Results'!W338+'Game Results'!W320+'Game Results'!W770+'Game Results'!W752+'Game Results'!W1346+'Game Results'!W1328+'Game Results'!W158+'Game Results'!W140+'Game Results'!W1778+'Game Results'!W1760+'Game Results'!W446)</f>
        <v>6</v>
      </c>
      <c r="X75" s="85">
        <f>SUM('Game Results'!X212+'Game Results'!X428+'Game Results'!X655+'Game Results'!X637+'Game Results'!X230+'Game Results'!X1015+'Game Results'!X997+'Game Results'!X1112+'Game Results'!X1130+'Game Results'!X338+'Game Results'!X320+'Game Results'!X770+'Game Results'!X752+'Game Results'!X1346+'Game Results'!X1328+'Game Results'!X158+'Game Results'!X140+'Game Results'!X1778+'Game Results'!X1760+'Game Results'!X446)</f>
        <v>1</v>
      </c>
      <c r="Y75" s="85">
        <f>SUM('Game Results'!Y212+'Game Results'!Y428+'Game Results'!Y655+'Game Results'!Y637+'Game Results'!Y230+'Game Results'!Y1015+'Game Results'!Y997+'Game Results'!Y1112+'Game Results'!Y1130+'Game Results'!Y338+'Game Results'!Y320+'Game Results'!Y770+'Game Results'!Y752+'Game Results'!Y1346+'Game Results'!Y1328+'Game Results'!Y158+'Game Results'!Y140+'Game Results'!Y1778+'Game Results'!Y1760+'Game Results'!Y446)</f>
        <v>1</v>
      </c>
      <c r="Z75" s="85">
        <f>SUM('Game Results'!Z212+'Game Results'!Z428+'Game Results'!Z655+'Game Results'!Z637+'Game Results'!Z230+'Game Results'!Z1015+'Game Results'!Z997+'Game Results'!Z1112+'Game Results'!Z1130+'Game Results'!Z338+'Game Results'!Z320+'Game Results'!Z770+'Game Results'!Z752+'Game Results'!Z1346+'Game Results'!Z1328+'Game Results'!Z158+'Game Results'!Z140+'Game Results'!Z1778+'Game Results'!Z1760+'Game Results'!Z446)</f>
        <v>1</v>
      </c>
      <c r="AA75" s="85">
        <f>SUM('Game Results'!AA212+'Game Results'!AA428+'Game Results'!AA655+'Game Results'!AA637+'Game Results'!AA230+'Game Results'!AA1015+'Game Results'!AA997+'Game Results'!AA1112+'Game Results'!AA1130+'Game Results'!AA338+'Game Results'!AA320+'Game Results'!AA770+'Game Results'!AA752+'Game Results'!AA1346+'Game Results'!AA1328+'Game Results'!AA158+'Game Results'!AA140+'Game Results'!AA1778+'Game Results'!AA1760+'Game Results'!AA446)</f>
        <v>0</v>
      </c>
      <c r="AB75" s="85">
        <f>SUM('Game Results'!AB212+'Game Results'!AB428+'Game Results'!AB655+'Game Results'!AB637+'Game Results'!AB230+'Game Results'!AB1015+'Game Results'!AB997+'Game Results'!AB1112+'Game Results'!AB1130+'Game Results'!AB338+'Game Results'!AB320+'Game Results'!AB770+'Game Results'!AB752+'Game Results'!AB1346+'Game Results'!AB1328+'Game Results'!AB158+'Game Results'!AB140+'Game Results'!AB1778+'Game Results'!AB1760+'Game Results'!AB446)</f>
        <v>0</v>
      </c>
      <c r="AC75" s="85">
        <f>SUM('Game Results'!AC212+'Game Results'!AC428+'Game Results'!AC655+'Game Results'!AC637+'Game Results'!AC230+'Game Results'!AC1015+'Game Results'!AC997+'Game Results'!AC1112+'Game Results'!AC1130+'Game Results'!AC338+'Game Results'!AC320+'Game Results'!AC770+'Game Results'!AC752+'Game Results'!AC1346+'Game Results'!AC1328+'Game Results'!AC158+'Game Results'!AC140+'Game Results'!AC1778+'Game Results'!AC1760+'Game Results'!AC446)</f>
        <v>12</v>
      </c>
      <c r="AD75" s="85">
        <f>SUM('Game Results'!AD212+'Game Results'!AD428+'Game Results'!AD655+'Game Results'!AD637+'Game Results'!AD230+'Game Results'!AD1015+'Game Results'!AD997+'Game Results'!AD1112+'Game Results'!AD1130+'Game Results'!AD338+'Game Results'!AD320+'Game Results'!AD770+'Game Results'!AD752+'Game Results'!AD1346+'Game Results'!AD1328+'Game Results'!AD158+'Game Results'!AD140+'Game Results'!AD1778+'Game Results'!AD1760+'Game Results'!AD446)</f>
        <v>0</v>
      </c>
      <c r="AE75" s="85">
        <f>SUM('Game Results'!AE212+'Game Results'!AE428+'Game Results'!AE655+'Game Results'!AE637+'Game Results'!AE230+'Game Results'!AE1015+'Game Results'!AE997+'Game Results'!AE1112+'Game Results'!AE1130+'Game Results'!AE338+'Game Results'!AE320+'Game Results'!AE770+'Game Results'!AE752+'Game Results'!AE1346+'Game Results'!AE1328+'Game Results'!AE158+'Game Results'!AE140+'Game Results'!AE1778+'Game Results'!AE1760+'Game Results'!AE446)</f>
        <v>0</v>
      </c>
      <c r="AF75" s="85">
        <f>SUM('Game Results'!AF212+'Game Results'!AF428+'Game Results'!AF655+'Game Results'!AF637+'Game Results'!AF230+'Game Results'!AF1015+'Game Results'!AF997+'Game Results'!AF1112+'Game Results'!AF1130+'Game Results'!AF338+'Game Results'!AF320+'Game Results'!AF770+'Game Results'!AF752+'Game Results'!AF1346+'Game Results'!AF1328+'Game Results'!AF158+'Game Results'!AF140+'Game Results'!AF1778+'Game Results'!AF1760+'Game Results'!AF446)</f>
        <v>0</v>
      </c>
      <c r="AG75" s="85">
        <f>SUM('Game Results'!AG212+'Game Results'!AG428+'Game Results'!AG655+'Game Results'!AG637+'Game Results'!AG230+'Game Results'!AG1015+'Game Results'!AG997+'Game Results'!AG1112+'Game Results'!AG1130+'Game Results'!AG338+'Game Results'!AG320+'Game Results'!AG770+'Game Results'!AG752+'Game Results'!AG1346+'Game Results'!AG1328+'Game Results'!AG158+'Game Results'!AG140+'Game Results'!AG1778+'Game Results'!AG1760+'Game Results'!AG446)</f>
        <v>4</v>
      </c>
      <c r="AH75" s="85">
        <f>SUM('Game Results'!AH212+'Game Results'!AH428+'Game Results'!AH655+'Game Results'!AH637+'Game Results'!AH230+'Game Results'!AH1015+'Game Results'!AH997+'Game Results'!AH1112+'Game Results'!AH1130+'Game Results'!AH338+'Game Results'!AH320+'Game Results'!AH770+'Game Results'!AH752+'Game Results'!AH1346+'Game Results'!AH1328+'Game Results'!AH158+'Game Results'!AH140+'Game Results'!AH1778+'Game Results'!AH1760+'Game Results'!AH446)</f>
        <v>0</v>
      </c>
    </row>
    <row r="76">
      <c r="A76" s="83" t="s">
        <v>47</v>
      </c>
      <c r="B76" s="84" t="s">
        <v>240</v>
      </c>
      <c r="C76" s="85">
        <f>SUM('Game Results'!C213+'Game Results'!C429+'Game Results'!C656+'Game Results'!C638+'Game Results'!C231+'Game Results'!C1016+'Game Results'!C998+'Game Results'!C1113+'Game Results'!C1131+'Game Results'!C339+'Game Results'!C321+'Game Results'!C771+'Game Results'!C753+'Game Results'!C1347+'Game Results'!C1329+'Game Results'!C159+'Game Results'!C141+'Game Results'!C1779+'Game Results'!C1761+'Game Results'!C447)</f>
        <v>20</v>
      </c>
      <c r="D76" s="85">
        <f>SUM('Game Results'!D213+'Game Results'!D429+'Game Results'!D656+'Game Results'!D638+'Game Results'!D231+'Game Results'!D1016+'Game Results'!D998+'Game Results'!D1113+'Game Results'!D1131+'Game Results'!D339+'Game Results'!D321+'Game Results'!D771+'Game Results'!D753+'Game Results'!D1347+'Game Results'!D1329+'Game Results'!D159+'Game Results'!D141+'Game Results'!D1779+'Game Results'!D1761+'Game Results'!D447)</f>
        <v>10</v>
      </c>
      <c r="E76" s="86">
        <f>SUM('Game Results'!E213+'Game Results'!E429+'Game Results'!E656+'Game Results'!E638+'Game Results'!E231+'Game Results'!E1016+'Game Results'!E998+'Game Results'!E1113+'Game Results'!E1131+'Game Results'!E339+'Game Results'!E321+'Game Results'!E771+'Game Results'!E753+'Game Results'!E1347+'Game Results'!E1329+'Game Results'!E159+'Game Results'!E141+'Game Results'!E1779+'Game Results'!E1761+'Game Results'!E447)</f>
        <v>394.5</v>
      </c>
      <c r="F76" s="85">
        <f>SUM('Game Results'!F213+'Game Results'!F429+'Game Results'!F656+'Game Results'!F638+'Game Results'!F231+'Game Results'!F1016+'Game Results'!F998+'Game Results'!F1113+'Game Results'!F1131+'Game Results'!F339+'Game Results'!F321+'Game Results'!F771+'Game Results'!F753+'Game Results'!F1347+'Game Results'!F1329+'Game Results'!F159+'Game Results'!F141+'Game Results'!F1779+'Game Results'!F1761+'Game Results'!F447)</f>
        <v>3</v>
      </c>
      <c r="G76" s="85">
        <f>SUM('Game Results'!G213+'Game Results'!G429+'Game Results'!G656+'Game Results'!G638+'Game Results'!G231+'Game Results'!G1016+'Game Results'!G998+'Game Results'!G1113+'Game Results'!G1131+'Game Results'!G339+'Game Results'!G321+'Game Results'!G771+'Game Results'!G753+'Game Results'!G1347+'Game Results'!G1329+'Game Results'!G159+'Game Results'!G141+'Game Results'!G1779+'Game Results'!G1761+'Game Results'!G447)</f>
        <v>1224</v>
      </c>
      <c r="H76" s="85">
        <f>SUM('Game Results'!H213+'Game Results'!H429+'Game Results'!H656+'Game Results'!H638+'Game Results'!H231+'Game Results'!H1016+'Game Results'!H998+'Game Results'!H1113+'Game Results'!H1131+'Game Results'!H339+'Game Results'!H321+'Game Results'!H771+'Game Results'!H753+'Game Results'!H1347+'Game Results'!H1329+'Game Results'!H159+'Game Results'!H141+'Game Results'!H1779+'Game Results'!H1761+'Game Results'!H447)</f>
        <v>2</v>
      </c>
      <c r="I76" s="85">
        <f>SUM('Game Results'!I213+'Game Results'!I429+'Game Results'!I656+'Game Results'!I638+'Game Results'!I231+'Game Results'!I1016+'Game Results'!I998+'Game Results'!I1113+'Game Results'!I1131+'Game Results'!I339+'Game Results'!I321+'Game Results'!I771+'Game Results'!I753+'Game Results'!I1347+'Game Results'!I1329+'Game Results'!I159+'Game Results'!I141+'Game Results'!I1779+'Game Results'!I1761+'Game Results'!I447)</f>
        <v>1434</v>
      </c>
      <c r="J76" s="85">
        <f>SUM('Game Results'!J213+'Game Results'!J429+'Game Results'!J656+'Game Results'!J638+'Game Results'!J231+'Game Results'!J1016+'Game Results'!J998+'Game Results'!J1113+'Game Results'!J1131+'Game Results'!J339+'Game Results'!J321+'Game Results'!J771+'Game Results'!J753+'Game Results'!J1347+'Game Results'!J1329+'Game Results'!J159+'Game Results'!J141+'Game Results'!J1779+'Game Results'!J1761+'Game Results'!J447)</f>
        <v>-210</v>
      </c>
      <c r="K76" s="87">
        <f t="shared" si="1"/>
        <v>0.8535564854</v>
      </c>
      <c r="L76" s="85">
        <f>SUM('Game Results'!L213+'Game Results'!L429+'Game Results'!L656+'Game Results'!L638+'Game Results'!L231+'Game Results'!L1016+'Game Results'!L998+'Game Results'!L1113+'Game Results'!L1131+'Game Results'!L339+'Game Results'!L321+'Game Results'!L771+'Game Results'!L753+'Game Results'!L1347+'Game Results'!L1329+'Game Results'!L159+'Game Results'!L141+'Game Results'!L1779+'Game Results'!L1761+'Game Results'!L447)</f>
        <v>295</v>
      </c>
      <c r="M76" s="85">
        <f>SUM('Game Results'!M213+'Game Results'!M429+'Game Results'!M656+'Game Results'!M638+'Game Results'!M231+'Game Results'!M1016+'Game Results'!M998+'Game Results'!M1113+'Game Results'!M1131+'Game Results'!M339+'Game Results'!M321+'Game Results'!M771+'Game Results'!M753+'Game Results'!M1347+'Game Results'!M1329+'Game Results'!M159+'Game Results'!M141+'Game Results'!M1779+'Game Results'!M1761+'Game Results'!M447)</f>
        <v>1522</v>
      </c>
      <c r="N76" s="85">
        <f>SUM('Game Results'!N213+'Game Results'!N429+'Game Results'!N656+'Game Results'!N638+'Game Results'!N231+'Game Results'!N1016+'Game Results'!N998+'Game Results'!N1113+'Game Results'!N1131+'Game Results'!N339+'Game Results'!N321+'Game Results'!N771+'Game Results'!N753+'Game Results'!N1347+'Game Results'!N1329+'Game Results'!N159+'Game Results'!N141+'Game Results'!N1779+'Game Results'!N1761+'Game Results'!N447)</f>
        <v>20</v>
      </c>
      <c r="O76" s="88">
        <f>SUM('Game Results'!O213+'Game Results'!O429+'Game Results'!O656+'Game Results'!O638+'Game Results'!O231+'Game Results'!O1016+'Game Results'!O998+'Game Results'!O1113+'Game Results'!O1131+'Game Results'!O339+'Game Results'!O321+'Game Results'!O771+'Game Results'!O753+'Game Results'!O1347+'Game Results'!O1329+'Game Results'!O159+'Game Results'!O141+'Game Results'!O1779+'Game Results'!O1761+'Game Results'!O447)</f>
        <v>394.5</v>
      </c>
      <c r="P76" s="85">
        <f>SUM('Game Results'!P213+'Game Results'!P429+'Game Results'!P656+'Game Results'!P638+'Game Results'!P231+'Game Results'!P1016+'Game Results'!P998+'Game Results'!P1113+'Game Results'!P1131+'Game Results'!P339+'Game Results'!P321+'Game Results'!P771+'Game Results'!P753+'Game Results'!P1347+'Game Results'!P1329+'Game Results'!P159+'Game Results'!P141+'Game Results'!P1779+'Game Results'!P1761+'Game Results'!P447)</f>
        <v>30</v>
      </c>
      <c r="Q76" s="85">
        <f>SUM('Game Results'!Q213+'Game Results'!Q429+'Game Results'!Q656+'Game Results'!Q638+'Game Results'!Q231+'Game Results'!Q1016+'Game Results'!Q998+'Game Results'!Q1113+'Game Results'!Q1131+'Game Results'!Q339+'Game Results'!Q321+'Game Results'!Q771+'Game Results'!Q753+'Game Results'!Q1347+'Game Results'!Q1329+'Game Results'!Q159+'Game Results'!Q141+'Game Results'!Q1779+'Game Results'!Q1761+'Game Results'!Q447)</f>
        <v>28</v>
      </c>
      <c r="R76" s="85">
        <f>SUM('Game Results'!R213+'Game Results'!R429+'Game Results'!R656+'Game Results'!R638+'Game Results'!R231+'Game Results'!R1016+'Game Results'!R998+'Game Results'!R1113+'Game Results'!R1131+'Game Results'!R339+'Game Results'!R321+'Game Results'!R771+'Game Results'!R753+'Game Results'!R1347+'Game Results'!R1329+'Game Results'!R159+'Game Results'!R141+'Game Results'!R1779+'Game Results'!R1761+'Game Results'!R447)</f>
        <v>73</v>
      </c>
      <c r="S76" s="85">
        <f>SUM('Game Results'!S213+'Game Results'!S429+'Game Results'!S656+'Game Results'!S638+'Game Results'!S231+'Game Results'!S1016+'Game Results'!S998+'Game Results'!S1113+'Game Results'!S1131+'Game Results'!S339+'Game Results'!S321+'Game Results'!S771+'Game Results'!S753+'Game Results'!S1347+'Game Results'!S1329+'Game Results'!S159+'Game Results'!S141+'Game Results'!S1779+'Game Results'!S1761+'Game Results'!S447)</f>
        <v>32</v>
      </c>
      <c r="T76" s="85">
        <f>SUM('Game Results'!T213+'Game Results'!T429+'Game Results'!T656+'Game Results'!T638+'Game Results'!T231+'Game Results'!T1016+'Game Results'!T998+'Game Results'!T1113+'Game Results'!T1131+'Game Results'!T339+'Game Results'!T321+'Game Results'!T771+'Game Results'!T753+'Game Results'!T1347+'Game Results'!T1329+'Game Results'!T159+'Game Results'!T141+'Game Results'!T1779+'Game Results'!T1761+'Game Results'!T447)</f>
        <v>152</v>
      </c>
      <c r="U76" s="85">
        <f>SUM('Game Results'!U213+'Game Results'!U429+'Game Results'!U656+'Game Results'!U638+'Game Results'!U231+'Game Results'!U1016+'Game Results'!U998+'Game Results'!U1113+'Game Results'!U1131+'Game Results'!U339+'Game Results'!U321+'Game Results'!U771+'Game Results'!U753+'Game Results'!U1347+'Game Results'!U1329+'Game Results'!U159+'Game Results'!U141+'Game Results'!U1779+'Game Results'!U1761+'Game Results'!U447)</f>
        <v>32</v>
      </c>
      <c r="V76" s="85">
        <f>SUM('Game Results'!V213+'Game Results'!V429+'Game Results'!V656+'Game Results'!V638+'Game Results'!V231+'Game Results'!V1016+'Game Results'!V998+'Game Results'!V1113+'Game Results'!V1131+'Game Results'!V339+'Game Results'!V321+'Game Results'!V771+'Game Results'!V753+'Game Results'!V1347+'Game Results'!V1329+'Game Results'!V159+'Game Results'!V141+'Game Results'!V1779+'Game Results'!V1761+'Game Results'!V447)</f>
        <v>6</v>
      </c>
      <c r="W76" s="85">
        <f>SUM('Game Results'!W213+'Game Results'!W429+'Game Results'!W656+'Game Results'!W638+'Game Results'!W231+'Game Results'!W1016+'Game Results'!W998+'Game Results'!W1113+'Game Results'!W1131+'Game Results'!W339+'Game Results'!W321+'Game Results'!W771+'Game Results'!W753+'Game Results'!W1347+'Game Results'!W1329+'Game Results'!W159+'Game Results'!W141+'Game Results'!W1779+'Game Results'!W1761+'Game Results'!W447)</f>
        <v>2</v>
      </c>
      <c r="X76" s="85">
        <f>SUM('Game Results'!X213+'Game Results'!X429+'Game Results'!X656+'Game Results'!X638+'Game Results'!X231+'Game Results'!X1016+'Game Results'!X998+'Game Results'!X1113+'Game Results'!X1131+'Game Results'!X339+'Game Results'!X321+'Game Results'!X771+'Game Results'!X753+'Game Results'!X1347+'Game Results'!X1329+'Game Results'!X159+'Game Results'!X141+'Game Results'!X1779+'Game Results'!X1761+'Game Results'!X447)</f>
        <v>0</v>
      </c>
      <c r="Y76" s="85">
        <f>SUM('Game Results'!Y213+'Game Results'!Y429+'Game Results'!Y656+'Game Results'!Y638+'Game Results'!Y231+'Game Results'!Y1016+'Game Results'!Y998+'Game Results'!Y1113+'Game Results'!Y1131+'Game Results'!Y339+'Game Results'!Y321+'Game Results'!Y771+'Game Results'!Y753+'Game Results'!Y1347+'Game Results'!Y1329+'Game Results'!Y159+'Game Results'!Y141+'Game Results'!Y1779+'Game Results'!Y1761+'Game Results'!Y447)</f>
        <v>0</v>
      </c>
      <c r="Z76" s="85">
        <f>SUM('Game Results'!Z213+'Game Results'!Z429+'Game Results'!Z656+'Game Results'!Z638+'Game Results'!Z231+'Game Results'!Z1016+'Game Results'!Z998+'Game Results'!Z1113+'Game Results'!Z1131+'Game Results'!Z339+'Game Results'!Z321+'Game Results'!Z771+'Game Results'!Z753+'Game Results'!Z1347+'Game Results'!Z1329+'Game Results'!Z159+'Game Results'!Z141+'Game Results'!Z1779+'Game Results'!Z1761+'Game Results'!Z447)</f>
        <v>0</v>
      </c>
      <c r="AA76" s="85">
        <f>SUM('Game Results'!AA213+'Game Results'!AA429+'Game Results'!AA656+'Game Results'!AA638+'Game Results'!AA231+'Game Results'!AA1016+'Game Results'!AA998+'Game Results'!AA1113+'Game Results'!AA1131+'Game Results'!AA339+'Game Results'!AA321+'Game Results'!AA771+'Game Results'!AA753+'Game Results'!AA1347+'Game Results'!AA1329+'Game Results'!AA159+'Game Results'!AA141+'Game Results'!AA1779+'Game Results'!AA1761+'Game Results'!AA447)</f>
        <v>0</v>
      </c>
      <c r="AB76" s="85">
        <f>SUM('Game Results'!AB213+'Game Results'!AB429+'Game Results'!AB656+'Game Results'!AB638+'Game Results'!AB231+'Game Results'!AB1016+'Game Results'!AB998+'Game Results'!AB1113+'Game Results'!AB1131+'Game Results'!AB339+'Game Results'!AB321+'Game Results'!AB771+'Game Results'!AB753+'Game Results'!AB1347+'Game Results'!AB1329+'Game Results'!AB159+'Game Results'!AB141+'Game Results'!AB1779+'Game Results'!AB1761+'Game Results'!AB447)</f>
        <v>0</v>
      </c>
      <c r="AC76" s="85">
        <f>SUM('Game Results'!AC213+'Game Results'!AC429+'Game Results'!AC656+'Game Results'!AC638+'Game Results'!AC231+'Game Results'!AC1016+'Game Results'!AC998+'Game Results'!AC1113+'Game Results'!AC1131+'Game Results'!AC339+'Game Results'!AC321+'Game Results'!AC771+'Game Results'!AC753+'Game Results'!AC1347+'Game Results'!AC1329+'Game Results'!AC159+'Game Results'!AC141+'Game Results'!AC1779+'Game Results'!AC1761+'Game Results'!AC447)</f>
        <v>20</v>
      </c>
      <c r="AD76" s="85">
        <f>SUM('Game Results'!AD213+'Game Results'!AD429+'Game Results'!AD656+'Game Results'!AD638+'Game Results'!AD231+'Game Results'!AD1016+'Game Results'!AD998+'Game Results'!AD1113+'Game Results'!AD1131+'Game Results'!AD339+'Game Results'!AD321+'Game Results'!AD771+'Game Results'!AD753+'Game Results'!AD1347+'Game Results'!AD1329+'Game Results'!AD159+'Game Results'!AD141+'Game Results'!AD1779+'Game Results'!AD1761+'Game Results'!AD447)</f>
        <v>1</v>
      </c>
      <c r="AE76" s="85">
        <f>SUM('Game Results'!AE213+'Game Results'!AE429+'Game Results'!AE656+'Game Results'!AE638+'Game Results'!AE231+'Game Results'!AE1016+'Game Results'!AE998+'Game Results'!AE1113+'Game Results'!AE1131+'Game Results'!AE339+'Game Results'!AE321+'Game Results'!AE771+'Game Results'!AE753+'Game Results'!AE1347+'Game Results'!AE1329+'Game Results'!AE159+'Game Results'!AE141+'Game Results'!AE1779+'Game Results'!AE1761+'Game Results'!AE447)</f>
        <v>0</v>
      </c>
      <c r="AF76" s="85">
        <f>SUM('Game Results'!AF213+'Game Results'!AF429+'Game Results'!AF656+'Game Results'!AF638+'Game Results'!AF231+'Game Results'!AF1016+'Game Results'!AF998+'Game Results'!AF1113+'Game Results'!AF1131+'Game Results'!AF339+'Game Results'!AF321+'Game Results'!AF771+'Game Results'!AF753+'Game Results'!AF1347+'Game Results'!AF1329+'Game Results'!AF159+'Game Results'!AF141+'Game Results'!AF1779+'Game Results'!AF1761+'Game Results'!AF447)</f>
        <v>0</v>
      </c>
      <c r="AG76" s="85">
        <f>SUM('Game Results'!AG213+'Game Results'!AG429+'Game Results'!AG656+'Game Results'!AG638+'Game Results'!AG231+'Game Results'!AG1016+'Game Results'!AG998+'Game Results'!AG1113+'Game Results'!AG1131+'Game Results'!AG339+'Game Results'!AG321+'Game Results'!AG771+'Game Results'!AG753+'Game Results'!AG1347+'Game Results'!AG1329+'Game Results'!AG159+'Game Results'!AG141+'Game Results'!AG1779+'Game Results'!AG1761+'Game Results'!AG447)</f>
        <v>1</v>
      </c>
      <c r="AH76" s="85">
        <f>SUM('Game Results'!AH213+'Game Results'!AH429+'Game Results'!AH656+'Game Results'!AH638+'Game Results'!AH231+'Game Results'!AH1016+'Game Results'!AH998+'Game Results'!AH1113+'Game Results'!AH1131+'Game Results'!AH339+'Game Results'!AH321+'Game Results'!AH771+'Game Results'!AH753+'Game Results'!AH1347+'Game Results'!AH1329+'Game Results'!AH159+'Game Results'!AH141+'Game Results'!AH1779+'Game Results'!AH1761+'Game Results'!AH447)</f>
        <v>0</v>
      </c>
    </row>
    <row r="77">
      <c r="A77" s="83" t="s">
        <v>47</v>
      </c>
      <c r="B77" s="84" t="s">
        <v>241</v>
      </c>
      <c r="C77" s="85">
        <f>SUM('Game Results'!C214+'Game Results'!C430+'Game Results'!C657+'Game Results'!C639+'Game Results'!C232+'Game Results'!C1017+'Game Results'!C999+'Game Results'!C1114+'Game Results'!C1132+'Game Results'!C340+'Game Results'!C322+'Game Results'!C772+'Game Results'!C754+'Game Results'!C1348+'Game Results'!C1330+'Game Results'!C160+'Game Results'!C142+'Game Results'!C1780+'Game Results'!C1762+'Game Results'!C448)</f>
        <v>1</v>
      </c>
      <c r="D77" s="85">
        <f>SUM('Game Results'!D214+'Game Results'!D430+'Game Results'!D657+'Game Results'!D639+'Game Results'!D232+'Game Results'!D1017+'Game Results'!D999+'Game Results'!D1114+'Game Results'!D1132+'Game Results'!D340+'Game Results'!D322+'Game Results'!D772+'Game Results'!D754+'Game Results'!D1348+'Game Results'!D1330+'Game Results'!D160+'Game Results'!D142+'Game Results'!D1780+'Game Results'!D1762+'Game Results'!D448)</f>
        <v>0</v>
      </c>
      <c r="E77" s="86">
        <f>SUM('Game Results'!E214+'Game Results'!E430+'Game Results'!E657+'Game Results'!E639+'Game Results'!E232+'Game Results'!E1017+'Game Results'!E999+'Game Results'!E1114+'Game Results'!E1132+'Game Results'!E340+'Game Results'!E322+'Game Results'!E772+'Game Results'!E754+'Game Results'!E1348+'Game Results'!E1330+'Game Results'!E160+'Game Results'!E142+'Game Results'!E1780+'Game Results'!E1762+'Game Results'!E448)</f>
        <v>33</v>
      </c>
      <c r="F77" s="85">
        <f>SUM('Game Results'!F214+'Game Results'!F430+'Game Results'!F657+'Game Results'!F639+'Game Results'!F232+'Game Results'!F1017+'Game Results'!F999+'Game Results'!F1114+'Game Results'!F1132+'Game Results'!F340+'Game Results'!F322+'Game Results'!F772+'Game Results'!F754+'Game Results'!F1348+'Game Results'!F1330+'Game Results'!F160+'Game Results'!F142+'Game Results'!F1780+'Game Results'!F1762+'Game Results'!F448)</f>
        <v>1</v>
      </c>
      <c r="G77" s="85">
        <f>SUM('Game Results'!G214+'Game Results'!G430+'Game Results'!G657+'Game Results'!G639+'Game Results'!G232+'Game Results'!G1017+'Game Results'!G999+'Game Results'!G1114+'Game Results'!G1132+'Game Results'!G340+'Game Results'!G322+'Game Results'!G772+'Game Results'!G754+'Game Results'!G1348+'Game Results'!G1330+'Game Results'!G160+'Game Results'!G142+'Game Results'!G1780+'Game Results'!G1762+'Game Results'!G448)</f>
        <v>56</v>
      </c>
      <c r="H77" s="85">
        <f>SUM('Game Results'!H214+'Game Results'!H430+'Game Results'!H657+'Game Results'!H639+'Game Results'!H232+'Game Results'!H1017+'Game Results'!H999+'Game Results'!H1114+'Game Results'!H1132+'Game Results'!H340+'Game Results'!H322+'Game Results'!H772+'Game Results'!H754+'Game Results'!H1348+'Game Results'!H1330+'Game Results'!H160+'Game Results'!H142+'Game Results'!H1780+'Game Results'!H1762+'Game Results'!H448)</f>
        <v>1</v>
      </c>
      <c r="I77" s="85">
        <f>SUM('Game Results'!I214+'Game Results'!I430+'Game Results'!I657+'Game Results'!I639+'Game Results'!I232+'Game Results'!I1017+'Game Results'!I999+'Game Results'!I1114+'Game Results'!I1132+'Game Results'!I340+'Game Results'!I322+'Game Results'!I772+'Game Results'!I754+'Game Results'!I1348+'Game Results'!I1330+'Game Results'!I160+'Game Results'!I142+'Game Results'!I1780+'Game Results'!I1762+'Game Results'!I448)</f>
        <v>112</v>
      </c>
      <c r="J77" s="85">
        <f>SUM('Game Results'!J214+'Game Results'!J430+'Game Results'!J657+'Game Results'!J639+'Game Results'!J232+'Game Results'!J1017+'Game Results'!J999+'Game Results'!J1114+'Game Results'!J1132+'Game Results'!J340+'Game Results'!J322+'Game Results'!J772+'Game Results'!J754+'Game Results'!J1348+'Game Results'!J1330+'Game Results'!J160+'Game Results'!J142+'Game Results'!J1780+'Game Results'!J1762+'Game Results'!J448)</f>
        <v>-56</v>
      </c>
      <c r="K77" s="87">
        <f t="shared" si="1"/>
        <v>0.5</v>
      </c>
      <c r="L77" s="85">
        <f>SUM('Game Results'!L214+'Game Results'!L430+'Game Results'!L657+'Game Results'!L639+'Game Results'!L232+'Game Results'!L1017+'Game Results'!L999+'Game Results'!L1114+'Game Results'!L1132+'Game Results'!L340+'Game Results'!L322+'Game Results'!L772+'Game Results'!L754+'Game Results'!L1348+'Game Results'!L1330+'Game Results'!L160+'Game Results'!L142+'Game Results'!L1780+'Game Results'!L1762+'Game Results'!L448)</f>
        <v>14</v>
      </c>
      <c r="M77" s="85">
        <f>SUM('Game Results'!M214+'Game Results'!M430+'Game Results'!M657+'Game Results'!M639+'Game Results'!M232+'Game Results'!M1017+'Game Results'!M999+'Game Results'!M1114+'Game Results'!M1132+'Game Results'!M340+'Game Results'!M322+'Game Results'!M772+'Game Results'!M754+'Game Results'!M1348+'Game Results'!M1330+'Game Results'!M160+'Game Results'!M142+'Game Results'!M1780+'Game Results'!M1762+'Game Results'!M448)</f>
        <v>68</v>
      </c>
      <c r="N77" s="85">
        <f>SUM('Game Results'!N214+'Game Results'!N430+'Game Results'!N657+'Game Results'!N639+'Game Results'!N232+'Game Results'!N1017+'Game Results'!N999+'Game Results'!N1114+'Game Results'!N1132+'Game Results'!N340+'Game Results'!N322+'Game Results'!N772+'Game Results'!N754+'Game Results'!N1348+'Game Results'!N1330+'Game Results'!N160+'Game Results'!N142+'Game Results'!N1780+'Game Results'!N1762+'Game Results'!N448)</f>
        <v>1</v>
      </c>
      <c r="O77" s="88">
        <f>SUM('Game Results'!O214+'Game Results'!O430+'Game Results'!O657+'Game Results'!O639+'Game Results'!O232+'Game Results'!O1017+'Game Results'!O999+'Game Results'!O1114+'Game Results'!O1132+'Game Results'!O340+'Game Results'!O322+'Game Results'!O772+'Game Results'!O754+'Game Results'!O1348+'Game Results'!O1330+'Game Results'!O160+'Game Results'!O142+'Game Results'!O1780+'Game Results'!O1762+'Game Results'!O448)</f>
        <v>33</v>
      </c>
      <c r="P77" s="85">
        <f>SUM('Game Results'!P214+'Game Results'!P430+'Game Results'!P657+'Game Results'!P639+'Game Results'!P232+'Game Results'!P1017+'Game Results'!P999+'Game Results'!P1114+'Game Results'!P1132+'Game Results'!P340+'Game Results'!P322+'Game Results'!P772+'Game Results'!P754+'Game Results'!P1348+'Game Results'!P1330+'Game Results'!P160+'Game Results'!P142+'Game Results'!P1780+'Game Results'!P1762+'Game Results'!P448)</f>
        <v>4</v>
      </c>
      <c r="Q77" s="85">
        <f>SUM('Game Results'!Q214+'Game Results'!Q430+'Game Results'!Q657+'Game Results'!Q639+'Game Results'!Q232+'Game Results'!Q1017+'Game Results'!Q999+'Game Results'!Q1114+'Game Results'!Q1132+'Game Results'!Q340+'Game Results'!Q322+'Game Results'!Q772+'Game Results'!Q754+'Game Results'!Q1348+'Game Results'!Q1330+'Game Results'!Q160+'Game Results'!Q142+'Game Results'!Q1780+'Game Results'!Q1762+'Game Results'!Q448)</f>
        <v>1</v>
      </c>
      <c r="R77" s="85">
        <f>SUM('Game Results'!R214+'Game Results'!R430+'Game Results'!R657+'Game Results'!R639+'Game Results'!R232+'Game Results'!R1017+'Game Results'!R999+'Game Results'!R1114+'Game Results'!R1132+'Game Results'!R340+'Game Results'!R322+'Game Results'!R772+'Game Results'!R754+'Game Results'!R1348+'Game Results'!R1330+'Game Results'!R160+'Game Results'!R142+'Game Results'!R1780+'Game Results'!R1762+'Game Results'!R448)</f>
        <v>1</v>
      </c>
      <c r="S77" s="85">
        <f>SUM('Game Results'!S214+'Game Results'!S430+'Game Results'!S657+'Game Results'!S639+'Game Results'!S232+'Game Results'!S1017+'Game Results'!S999+'Game Results'!S1114+'Game Results'!S1132+'Game Results'!S340+'Game Results'!S322+'Game Results'!S772+'Game Results'!S754+'Game Results'!S1348+'Game Results'!S1330+'Game Results'!S160+'Game Results'!S142+'Game Results'!S1780+'Game Results'!S1762+'Game Results'!S448)</f>
        <v>0</v>
      </c>
      <c r="T77" s="85">
        <f>SUM('Game Results'!T214+'Game Results'!T430+'Game Results'!T657+'Game Results'!T639+'Game Results'!T232+'Game Results'!T1017+'Game Results'!T999+'Game Results'!T1114+'Game Results'!T1132+'Game Results'!T340+'Game Results'!T322+'Game Results'!T772+'Game Results'!T754+'Game Results'!T1348+'Game Results'!T1330+'Game Results'!T160+'Game Results'!T142+'Game Results'!T1780+'Game Results'!T1762+'Game Results'!T448)</f>
        <v>5</v>
      </c>
      <c r="U77" s="85">
        <f>SUM('Game Results'!U214+'Game Results'!U430+'Game Results'!U657+'Game Results'!U639+'Game Results'!U232+'Game Results'!U1017+'Game Results'!U999+'Game Results'!U1114+'Game Results'!U1132+'Game Results'!U340+'Game Results'!U322+'Game Results'!U772+'Game Results'!U754+'Game Results'!U1348+'Game Results'!U1330+'Game Results'!U160+'Game Results'!U142+'Game Results'!U1780+'Game Results'!U1762+'Game Results'!U448)</f>
        <v>1</v>
      </c>
      <c r="V77" s="85">
        <f>SUM('Game Results'!V214+'Game Results'!V430+'Game Results'!V657+'Game Results'!V639+'Game Results'!V232+'Game Results'!V1017+'Game Results'!V999+'Game Results'!V1114+'Game Results'!V1132+'Game Results'!V340+'Game Results'!V322+'Game Results'!V772+'Game Results'!V754+'Game Results'!V1348+'Game Results'!V1330+'Game Results'!V160+'Game Results'!V142+'Game Results'!V1780+'Game Results'!V1762+'Game Results'!V448)</f>
        <v>0</v>
      </c>
      <c r="W77" s="85">
        <f>SUM('Game Results'!W214+'Game Results'!W430+'Game Results'!W657+'Game Results'!W639+'Game Results'!W232+'Game Results'!W1017+'Game Results'!W999+'Game Results'!W1114+'Game Results'!W1132+'Game Results'!W340+'Game Results'!W322+'Game Results'!W772+'Game Results'!W754+'Game Results'!W1348+'Game Results'!W1330+'Game Results'!W160+'Game Results'!W142+'Game Results'!W1780+'Game Results'!W1762+'Game Results'!W448)</f>
        <v>0</v>
      </c>
      <c r="X77" s="85">
        <f>SUM('Game Results'!X214+'Game Results'!X430+'Game Results'!X657+'Game Results'!X639+'Game Results'!X232+'Game Results'!X1017+'Game Results'!X999+'Game Results'!X1114+'Game Results'!X1132+'Game Results'!X340+'Game Results'!X322+'Game Results'!X772+'Game Results'!X754+'Game Results'!X1348+'Game Results'!X1330+'Game Results'!X160+'Game Results'!X142+'Game Results'!X1780+'Game Results'!X1762+'Game Results'!X448)</f>
        <v>0</v>
      </c>
      <c r="Y77" s="85">
        <f>SUM('Game Results'!Y214+'Game Results'!Y430+'Game Results'!Y657+'Game Results'!Y639+'Game Results'!Y232+'Game Results'!Y1017+'Game Results'!Y999+'Game Results'!Y1114+'Game Results'!Y1132+'Game Results'!Y340+'Game Results'!Y322+'Game Results'!Y772+'Game Results'!Y754+'Game Results'!Y1348+'Game Results'!Y1330+'Game Results'!Y160+'Game Results'!Y142+'Game Results'!Y1780+'Game Results'!Y1762+'Game Results'!Y448)</f>
        <v>0</v>
      </c>
      <c r="Z77" s="85">
        <f>SUM('Game Results'!Z214+'Game Results'!Z430+'Game Results'!Z657+'Game Results'!Z639+'Game Results'!Z232+'Game Results'!Z1017+'Game Results'!Z999+'Game Results'!Z1114+'Game Results'!Z1132+'Game Results'!Z340+'Game Results'!Z322+'Game Results'!Z772+'Game Results'!Z754+'Game Results'!Z1348+'Game Results'!Z1330+'Game Results'!Z160+'Game Results'!Z142+'Game Results'!Z1780+'Game Results'!Z1762+'Game Results'!Z448)</f>
        <v>0</v>
      </c>
      <c r="AA77" s="85">
        <f>SUM('Game Results'!AA214+'Game Results'!AA430+'Game Results'!AA657+'Game Results'!AA639+'Game Results'!AA232+'Game Results'!AA1017+'Game Results'!AA999+'Game Results'!AA1114+'Game Results'!AA1132+'Game Results'!AA340+'Game Results'!AA322+'Game Results'!AA772+'Game Results'!AA754+'Game Results'!AA1348+'Game Results'!AA1330+'Game Results'!AA160+'Game Results'!AA142+'Game Results'!AA1780+'Game Results'!AA1762+'Game Results'!AA448)</f>
        <v>0</v>
      </c>
      <c r="AB77" s="85">
        <f>SUM('Game Results'!AB214+'Game Results'!AB430+'Game Results'!AB657+'Game Results'!AB639+'Game Results'!AB232+'Game Results'!AB1017+'Game Results'!AB999+'Game Results'!AB1114+'Game Results'!AB1132+'Game Results'!AB340+'Game Results'!AB322+'Game Results'!AB772+'Game Results'!AB754+'Game Results'!AB1348+'Game Results'!AB1330+'Game Results'!AB160+'Game Results'!AB142+'Game Results'!AB1780+'Game Results'!AB1762+'Game Results'!AB448)</f>
        <v>0</v>
      </c>
      <c r="AC77" s="85">
        <f>SUM('Game Results'!AC214+'Game Results'!AC430+'Game Results'!AC657+'Game Results'!AC639+'Game Results'!AC232+'Game Results'!AC1017+'Game Results'!AC999+'Game Results'!AC1114+'Game Results'!AC1132+'Game Results'!AC340+'Game Results'!AC322+'Game Results'!AC772+'Game Results'!AC754+'Game Results'!AC1348+'Game Results'!AC1330+'Game Results'!AC160+'Game Results'!AC142+'Game Results'!AC1780+'Game Results'!AC1762+'Game Results'!AC448)</f>
        <v>0</v>
      </c>
      <c r="AD77" s="85">
        <f>SUM('Game Results'!AD214+'Game Results'!AD430+'Game Results'!AD657+'Game Results'!AD639+'Game Results'!AD232+'Game Results'!AD1017+'Game Results'!AD999+'Game Results'!AD1114+'Game Results'!AD1132+'Game Results'!AD340+'Game Results'!AD322+'Game Results'!AD772+'Game Results'!AD754+'Game Results'!AD1348+'Game Results'!AD1330+'Game Results'!AD160+'Game Results'!AD142+'Game Results'!AD1780+'Game Results'!AD1762+'Game Results'!AD448)</f>
        <v>0</v>
      </c>
      <c r="AE77" s="85">
        <f>SUM('Game Results'!AE214+'Game Results'!AE430+'Game Results'!AE657+'Game Results'!AE639+'Game Results'!AE232+'Game Results'!AE1017+'Game Results'!AE999+'Game Results'!AE1114+'Game Results'!AE1132+'Game Results'!AE340+'Game Results'!AE322+'Game Results'!AE772+'Game Results'!AE754+'Game Results'!AE1348+'Game Results'!AE1330+'Game Results'!AE160+'Game Results'!AE142+'Game Results'!AE1780+'Game Results'!AE1762+'Game Results'!AE448)</f>
        <v>0</v>
      </c>
      <c r="AF77" s="85">
        <f>SUM('Game Results'!AF214+'Game Results'!AF430+'Game Results'!AF657+'Game Results'!AF639+'Game Results'!AF232+'Game Results'!AF1017+'Game Results'!AF999+'Game Results'!AF1114+'Game Results'!AF1132+'Game Results'!AF340+'Game Results'!AF322+'Game Results'!AF772+'Game Results'!AF754+'Game Results'!AF1348+'Game Results'!AF1330+'Game Results'!AF160+'Game Results'!AF142+'Game Results'!AF1780+'Game Results'!AF1762+'Game Results'!AF448)</f>
        <v>0</v>
      </c>
      <c r="AG77" s="85">
        <f>SUM('Game Results'!AG214+'Game Results'!AG430+'Game Results'!AG657+'Game Results'!AG639+'Game Results'!AG232+'Game Results'!AG1017+'Game Results'!AG999+'Game Results'!AG1114+'Game Results'!AG1132+'Game Results'!AG340+'Game Results'!AG322+'Game Results'!AG772+'Game Results'!AG754+'Game Results'!AG1348+'Game Results'!AG1330+'Game Results'!AG160+'Game Results'!AG142+'Game Results'!AG1780+'Game Results'!AG1762+'Game Results'!AG448)</f>
        <v>0</v>
      </c>
      <c r="AH77" s="85">
        <f>SUM('Game Results'!AH214+'Game Results'!AH430+'Game Results'!AH657+'Game Results'!AH639+'Game Results'!AH232+'Game Results'!AH1017+'Game Results'!AH999+'Game Results'!AH1114+'Game Results'!AH1132+'Game Results'!AH340+'Game Results'!AH322+'Game Results'!AH772+'Game Results'!AH754+'Game Results'!AH1348+'Game Results'!AH1330+'Game Results'!AH160+'Game Results'!AH142+'Game Results'!AH1780+'Game Results'!AH1762+'Game Results'!AH448)</f>
        <v>0</v>
      </c>
    </row>
    <row r="78">
      <c r="A78" s="83" t="s">
        <v>214</v>
      </c>
      <c r="B78" s="84" t="s">
        <v>242</v>
      </c>
      <c r="C78" s="85">
        <f>SUM('Game Results'!C215+'Game Results'!C431+'Game Results'!C658+'Game Results'!C640+'Game Results'!C233+'Game Results'!C1018+'Game Results'!C1000+'Game Results'!C1115+'Game Results'!C1133+'Game Results'!C341+'Game Results'!C323+'Game Results'!C773+'Game Results'!C755+'Game Results'!C1349+'Game Results'!C1331+'Game Results'!C161+'Game Results'!C143+'Game Results'!C1781+'Game Results'!C1763+'Game Results'!C449)</f>
        <v>4</v>
      </c>
      <c r="D78" s="85">
        <f>SUM('Game Results'!D215+'Game Results'!D431+'Game Results'!D658+'Game Results'!D640+'Game Results'!D233+'Game Results'!D1018+'Game Results'!D1000+'Game Results'!D1115+'Game Results'!D1133+'Game Results'!D341+'Game Results'!D323+'Game Results'!D773+'Game Results'!D755+'Game Results'!D1349+'Game Results'!D1331+'Game Results'!D161+'Game Results'!D143+'Game Results'!D1781+'Game Results'!D1763+'Game Results'!D449)</f>
        <v>2</v>
      </c>
      <c r="E78" s="86">
        <f>SUM('Game Results'!E215+'Game Results'!E431+'Game Results'!E658+'Game Results'!E640+'Game Results'!E233+'Game Results'!E1018+'Game Results'!E1000+'Game Results'!E1115+'Game Results'!E1133+'Game Results'!E341+'Game Results'!E323+'Game Results'!E773+'Game Results'!E755+'Game Results'!E1349+'Game Results'!E1331+'Game Results'!E161+'Game Results'!E143+'Game Results'!E1781+'Game Results'!E1763+'Game Results'!E449)</f>
        <v>64.06666667</v>
      </c>
      <c r="F78" s="85">
        <f>SUM('Game Results'!F215+'Game Results'!F431+'Game Results'!F658+'Game Results'!F640+'Game Results'!F233+'Game Results'!F1018+'Game Results'!F1000+'Game Results'!F1115+'Game Results'!F1133+'Game Results'!F341+'Game Results'!F323+'Game Results'!F773+'Game Results'!F755+'Game Results'!F1349+'Game Results'!F1331+'Game Results'!F161+'Game Results'!F143+'Game Results'!F1781+'Game Results'!F1763+'Game Results'!F449)</f>
        <v>0</v>
      </c>
      <c r="G78" s="85">
        <f>SUM('Game Results'!G215+'Game Results'!G431+'Game Results'!G658+'Game Results'!G640+'Game Results'!G233+'Game Results'!G1018+'Game Results'!G1000+'Game Results'!G1115+'Game Results'!G1133+'Game Results'!G341+'Game Results'!G323+'Game Results'!G773+'Game Results'!G755+'Game Results'!G1349+'Game Results'!G1331+'Game Results'!G161+'Game Results'!G143+'Game Results'!G1781+'Game Results'!G1763+'Game Results'!G449)</f>
        <v>236</v>
      </c>
      <c r="H78" s="85">
        <f>SUM('Game Results'!H215+'Game Results'!H431+'Game Results'!H658+'Game Results'!H640+'Game Results'!H233+'Game Results'!H1018+'Game Results'!H1000+'Game Results'!H1115+'Game Results'!H1133+'Game Results'!H341+'Game Results'!H323+'Game Results'!H773+'Game Results'!H755+'Game Results'!H1349+'Game Results'!H1331+'Game Results'!H161+'Game Results'!H143+'Game Results'!H1781+'Game Results'!H1763+'Game Results'!H449)</f>
        <v>1</v>
      </c>
      <c r="I78" s="85">
        <f>SUM('Game Results'!I215+'Game Results'!I431+'Game Results'!I658+'Game Results'!I640+'Game Results'!I233+'Game Results'!I1018+'Game Results'!I1000+'Game Results'!I1115+'Game Results'!I1133+'Game Results'!I341+'Game Results'!I323+'Game Results'!I773+'Game Results'!I755+'Game Results'!I1349+'Game Results'!I1331+'Game Results'!I161+'Game Results'!I143+'Game Results'!I1781+'Game Results'!I1763+'Game Results'!I449)</f>
        <v>274</v>
      </c>
      <c r="J78" s="85">
        <f>SUM('Game Results'!J215+'Game Results'!J431+'Game Results'!J658+'Game Results'!J640+'Game Results'!J233+'Game Results'!J1018+'Game Results'!J1000+'Game Results'!J1115+'Game Results'!J1133+'Game Results'!J341+'Game Results'!J323+'Game Results'!J773+'Game Results'!J755+'Game Results'!J1349+'Game Results'!J1331+'Game Results'!J161+'Game Results'!J143+'Game Results'!J1781+'Game Results'!J1763+'Game Results'!J449)</f>
        <v>-38</v>
      </c>
      <c r="K78" s="87">
        <f t="shared" si="1"/>
        <v>0.8613138686</v>
      </c>
      <c r="L78" s="85">
        <f>SUM('Game Results'!L215+'Game Results'!L431+'Game Results'!L658+'Game Results'!L640+'Game Results'!L233+'Game Results'!L1018+'Game Results'!L1000+'Game Results'!L1115+'Game Results'!L1133+'Game Results'!L341+'Game Results'!L323+'Game Results'!L773+'Game Results'!L755+'Game Results'!L1349+'Game Results'!L1331+'Game Results'!L161+'Game Results'!L143+'Game Results'!L1781+'Game Results'!L1763+'Game Results'!L449)</f>
        <v>49</v>
      </c>
      <c r="M78" s="85">
        <f>SUM('Game Results'!M215+'Game Results'!M431+'Game Results'!M658+'Game Results'!M640+'Game Results'!M233+'Game Results'!M1018+'Game Results'!M1000+'Game Results'!M1115+'Game Results'!M1133+'Game Results'!M341+'Game Results'!M323+'Game Results'!M773+'Game Results'!M755+'Game Results'!M1349+'Game Results'!M1331+'Game Results'!M161+'Game Results'!M143+'Game Results'!M1781+'Game Results'!M1763+'Game Results'!M449)</f>
        <v>302</v>
      </c>
      <c r="N78" s="85">
        <f>SUM('Game Results'!N215+'Game Results'!N431+'Game Results'!N658+'Game Results'!N640+'Game Results'!N233+'Game Results'!N1018+'Game Results'!N1000+'Game Results'!N1115+'Game Results'!N1133+'Game Results'!N341+'Game Results'!N323+'Game Results'!N773+'Game Results'!N755+'Game Results'!N1349+'Game Results'!N1331+'Game Results'!N161+'Game Results'!N143+'Game Results'!N1781+'Game Results'!N1763+'Game Results'!N449)</f>
        <v>4</v>
      </c>
      <c r="O78" s="88">
        <f>SUM('Game Results'!O215+'Game Results'!O431+'Game Results'!O658+'Game Results'!O640+'Game Results'!O233+'Game Results'!O1018+'Game Results'!O1000+'Game Results'!O1115+'Game Results'!O1133+'Game Results'!O341+'Game Results'!O323+'Game Results'!O773+'Game Results'!O755+'Game Results'!O1349+'Game Results'!O1331+'Game Results'!O161+'Game Results'!O143+'Game Results'!O1781+'Game Results'!O1763+'Game Results'!O449)</f>
        <v>64.06666667</v>
      </c>
      <c r="P78" s="85">
        <f>SUM('Game Results'!P215+'Game Results'!P431+'Game Results'!P658+'Game Results'!P640+'Game Results'!P233+'Game Results'!P1018+'Game Results'!P1000+'Game Results'!P1115+'Game Results'!P1133+'Game Results'!P341+'Game Results'!P323+'Game Results'!P773+'Game Results'!P755+'Game Results'!P1349+'Game Results'!P1331+'Game Results'!P161+'Game Results'!P143+'Game Results'!P1781+'Game Results'!P1763+'Game Results'!P449)</f>
        <v>8</v>
      </c>
      <c r="Q78" s="85">
        <f>SUM('Game Results'!Q215+'Game Results'!Q431+'Game Results'!Q658+'Game Results'!Q640+'Game Results'!Q233+'Game Results'!Q1018+'Game Results'!Q1000+'Game Results'!Q1115+'Game Results'!Q1133+'Game Results'!Q341+'Game Results'!Q323+'Game Results'!Q773+'Game Results'!Q755+'Game Results'!Q1349+'Game Results'!Q1331+'Game Results'!Q161+'Game Results'!Q143+'Game Results'!Q1781+'Game Results'!Q1763+'Game Results'!Q449)</f>
        <v>3</v>
      </c>
      <c r="R78" s="85">
        <f>SUM('Game Results'!R215+'Game Results'!R431+'Game Results'!R658+'Game Results'!R640+'Game Results'!R233+'Game Results'!R1018+'Game Results'!R1000+'Game Results'!R1115+'Game Results'!R1133+'Game Results'!R341+'Game Results'!R323+'Game Results'!R773+'Game Results'!R755+'Game Results'!R1349+'Game Results'!R1331+'Game Results'!R161+'Game Results'!R143+'Game Results'!R1781+'Game Results'!R1763+'Game Results'!R449)</f>
        <v>17</v>
      </c>
      <c r="S78" s="85">
        <f>SUM('Game Results'!S215+'Game Results'!S431+'Game Results'!S658+'Game Results'!S640+'Game Results'!S233+'Game Results'!S1018+'Game Results'!S1000+'Game Results'!S1115+'Game Results'!S1133+'Game Results'!S341+'Game Results'!S323+'Game Results'!S773+'Game Results'!S755+'Game Results'!S1349+'Game Results'!S1331+'Game Results'!S161+'Game Results'!S143+'Game Results'!S1781+'Game Results'!S1763+'Game Results'!S449)</f>
        <v>5</v>
      </c>
      <c r="T78" s="85">
        <f>SUM('Game Results'!T215+'Game Results'!T431+'Game Results'!T658+'Game Results'!T640+'Game Results'!T233+'Game Results'!T1018+'Game Results'!T1000+'Game Results'!T1115+'Game Results'!T1133+'Game Results'!T341+'Game Results'!T323+'Game Results'!T773+'Game Results'!T755+'Game Results'!T1349+'Game Results'!T1331+'Game Results'!T161+'Game Results'!T143+'Game Results'!T1781+'Game Results'!T1763+'Game Results'!T449)</f>
        <v>35</v>
      </c>
      <c r="U78" s="85">
        <f>SUM('Game Results'!U215+'Game Results'!U431+'Game Results'!U658+'Game Results'!U640+'Game Results'!U233+'Game Results'!U1018+'Game Results'!U1000+'Game Results'!U1115+'Game Results'!U1133+'Game Results'!U341+'Game Results'!U323+'Game Results'!U773+'Game Results'!U755+'Game Results'!U1349+'Game Results'!U1331+'Game Results'!U161+'Game Results'!U143+'Game Results'!U1781+'Game Results'!U1763+'Game Results'!U449)</f>
        <v>8</v>
      </c>
      <c r="V78" s="85">
        <f>SUM('Game Results'!V215+'Game Results'!V431+'Game Results'!V658+'Game Results'!V640+'Game Results'!V233+'Game Results'!V1018+'Game Results'!V1000+'Game Results'!V1115+'Game Results'!V1133+'Game Results'!V341+'Game Results'!V323+'Game Results'!V773+'Game Results'!V755+'Game Results'!V1349+'Game Results'!V1331+'Game Results'!V161+'Game Results'!V143+'Game Results'!V1781+'Game Results'!V1763+'Game Results'!V449)</f>
        <v>1</v>
      </c>
      <c r="W78" s="85">
        <f>SUM('Game Results'!W215+'Game Results'!W431+'Game Results'!W658+'Game Results'!W640+'Game Results'!W233+'Game Results'!W1018+'Game Results'!W1000+'Game Results'!W1115+'Game Results'!W1133+'Game Results'!W341+'Game Results'!W323+'Game Results'!W773+'Game Results'!W755+'Game Results'!W1349+'Game Results'!W1331+'Game Results'!W161+'Game Results'!W143+'Game Results'!W1781+'Game Results'!W1763+'Game Results'!W449)</f>
        <v>1</v>
      </c>
      <c r="X78" s="85">
        <f>SUM('Game Results'!X215+'Game Results'!X431+'Game Results'!X658+'Game Results'!X640+'Game Results'!X233+'Game Results'!X1018+'Game Results'!X1000+'Game Results'!X1115+'Game Results'!X1133+'Game Results'!X341+'Game Results'!X323+'Game Results'!X773+'Game Results'!X755+'Game Results'!X1349+'Game Results'!X1331+'Game Results'!X161+'Game Results'!X143+'Game Results'!X1781+'Game Results'!X1763+'Game Results'!X449)</f>
        <v>0</v>
      </c>
      <c r="Y78" s="85">
        <f>SUM('Game Results'!Y215+'Game Results'!Y431+'Game Results'!Y658+'Game Results'!Y640+'Game Results'!Y233+'Game Results'!Y1018+'Game Results'!Y1000+'Game Results'!Y1115+'Game Results'!Y1133+'Game Results'!Y341+'Game Results'!Y323+'Game Results'!Y773+'Game Results'!Y755+'Game Results'!Y1349+'Game Results'!Y1331+'Game Results'!Y161+'Game Results'!Y143+'Game Results'!Y1781+'Game Results'!Y1763+'Game Results'!Y449)</f>
        <v>0</v>
      </c>
      <c r="Z78" s="85">
        <f>SUM('Game Results'!Z215+'Game Results'!Z431+'Game Results'!Z658+'Game Results'!Z640+'Game Results'!Z233+'Game Results'!Z1018+'Game Results'!Z1000+'Game Results'!Z1115+'Game Results'!Z1133+'Game Results'!Z341+'Game Results'!Z323+'Game Results'!Z773+'Game Results'!Z755+'Game Results'!Z1349+'Game Results'!Z1331+'Game Results'!Z161+'Game Results'!Z143+'Game Results'!Z1781+'Game Results'!Z1763+'Game Results'!Z449)</f>
        <v>0</v>
      </c>
      <c r="AA78" s="85">
        <f>SUM('Game Results'!AA215+'Game Results'!AA431+'Game Results'!AA658+'Game Results'!AA640+'Game Results'!AA233+'Game Results'!AA1018+'Game Results'!AA1000+'Game Results'!AA1115+'Game Results'!AA1133+'Game Results'!AA341+'Game Results'!AA323+'Game Results'!AA773+'Game Results'!AA755+'Game Results'!AA1349+'Game Results'!AA1331+'Game Results'!AA161+'Game Results'!AA143+'Game Results'!AA1781+'Game Results'!AA1763+'Game Results'!AA449)</f>
        <v>0</v>
      </c>
      <c r="AB78" s="85">
        <f>SUM('Game Results'!AB215+'Game Results'!AB431+'Game Results'!AB658+'Game Results'!AB640+'Game Results'!AB233+'Game Results'!AB1018+'Game Results'!AB1000+'Game Results'!AB1115+'Game Results'!AB1133+'Game Results'!AB341+'Game Results'!AB323+'Game Results'!AB773+'Game Results'!AB755+'Game Results'!AB1349+'Game Results'!AB1331+'Game Results'!AB161+'Game Results'!AB143+'Game Results'!AB1781+'Game Results'!AB1763+'Game Results'!AB449)</f>
        <v>0</v>
      </c>
      <c r="AC78" s="85">
        <f>SUM('Game Results'!AC215+'Game Results'!AC431+'Game Results'!AC658+'Game Results'!AC640+'Game Results'!AC233+'Game Results'!AC1018+'Game Results'!AC1000+'Game Results'!AC1115+'Game Results'!AC1133+'Game Results'!AC341+'Game Results'!AC323+'Game Results'!AC773+'Game Results'!AC755+'Game Results'!AC1349+'Game Results'!AC1331+'Game Results'!AC161+'Game Results'!AC143+'Game Results'!AC1781+'Game Results'!AC1763+'Game Results'!AC449)</f>
        <v>3</v>
      </c>
      <c r="AD78" s="85">
        <f>SUM('Game Results'!AD215+'Game Results'!AD431+'Game Results'!AD658+'Game Results'!AD640+'Game Results'!AD233+'Game Results'!AD1018+'Game Results'!AD1000+'Game Results'!AD1115+'Game Results'!AD1133+'Game Results'!AD341+'Game Results'!AD323+'Game Results'!AD773+'Game Results'!AD755+'Game Results'!AD1349+'Game Results'!AD1331+'Game Results'!AD161+'Game Results'!AD143+'Game Results'!AD1781+'Game Results'!AD1763+'Game Results'!AD449)</f>
        <v>0</v>
      </c>
      <c r="AE78" s="85">
        <f>SUM('Game Results'!AE215+'Game Results'!AE431+'Game Results'!AE658+'Game Results'!AE640+'Game Results'!AE233+'Game Results'!AE1018+'Game Results'!AE1000+'Game Results'!AE1115+'Game Results'!AE1133+'Game Results'!AE341+'Game Results'!AE323+'Game Results'!AE773+'Game Results'!AE755+'Game Results'!AE1349+'Game Results'!AE1331+'Game Results'!AE161+'Game Results'!AE143+'Game Results'!AE1781+'Game Results'!AE1763+'Game Results'!AE449)</f>
        <v>0</v>
      </c>
      <c r="AF78" s="85">
        <f>SUM('Game Results'!AF215+'Game Results'!AF431+'Game Results'!AF658+'Game Results'!AF640+'Game Results'!AF233+'Game Results'!AF1018+'Game Results'!AF1000+'Game Results'!AF1115+'Game Results'!AF1133+'Game Results'!AF341+'Game Results'!AF323+'Game Results'!AF773+'Game Results'!AF755+'Game Results'!AF1349+'Game Results'!AF1331+'Game Results'!AF161+'Game Results'!AF143+'Game Results'!AF1781+'Game Results'!AF1763+'Game Results'!AF449)</f>
        <v>0</v>
      </c>
      <c r="AG78" s="85">
        <f>SUM('Game Results'!AG215+'Game Results'!AG431+'Game Results'!AG658+'Game Results'!AG640+'Game Results'!AG233+'Game Results'!AG1018+'Game Results'!AG1000+'Game Results'!AG1115+'Game Results'!AG1133+'Game Results'!AG341+'Game Results'!AG323+'Game Results'!AG773+'Game Results'!AG755+'Game Results'!AG1349+'Game Results'!AG1331+'Game Results'!AG161+'Game Results'!AG143+'Game Results'!AG1781+'Game Results'!AG1763+'Game Results'!AG449)</f>
        <v>0</v>
      </c>
      <c r="AH78" s="85">
        <f>SUM('Game Results'!AH215+'Game Results'!AH431+'Game Results'!AH658+'Game Results'!AH640+'Game Results'!AH233+'Game Results'!AH1018+'Game Results'!AH1000+'Game Results'!AH1115+'Game Results'!AH1133+'Game Results'!AH341+'Game Results'!AH323+'Game Results'!AH773+'Game Results'!AH755+'Game Results'!AH1349+'Game Results'!AH1331+'Game Results'!AH161+'Game Results'!AH143+'Game Results'!AH1781+'Game Results'!AH1763+'Game Results'!AH449)</f>
        <v>0</v>
      </c>
    </row>
    <row r="79">
      <c r="A79" s="89" t="s">
        <v>185</v>
      </c>
      <c r="B79" s="90"/>
      <c r="C79" s="90">
        <f t="shared" ref="C79:E79" si="32">SUM(C73:C78)/4</f>
        <v>20</v>
      </c>
      <c r="D79" s="90">
        <f t="shared" si="32"/>
        <v>10</v>
      </c>
      <c r="E79" s="91">
        <f t="shared" si="32"/>
        <v>395.3625</v>
      </c>
      <c r="F79" s="91">
        <f t="shared" ref="F79:J79" si="33">SUM(F73:F78)</f>
        <v>75</v>
      </c>
      <c r="G79" s="91">
        <f t="shared" si="33"/>
        <v>5246</v>
      </c>
      <c r="H79" s="91">
        <f t="shared" si="33"/>
        <v>18</v>
      </c>
      <c r="I79" s="91">
        <f t="shared" si="33"/>
        <v>5693</v>
      </c>
      <c r="J79" s="91">
        <f t="shared" si="33"/>
        <v>-447</v>
      </c>
      <c r="K79" s="92">
        <f t="shared" si="1"/>
        <v>0.9214825224</v>
      </c>
      <c r="L79" s="91">
        <f>SUM(L73:L78)/4</f>
        <v>306.5</v>
      </c>
      <c r="M79" s="91">
        <f>SUM(M73:M78)</f>
        <v>6770</v>
      </c>
      <c r="N79" s="91">
        <f>SUM(N73:N78)/4</f>
        <v>20</v>
      </c>
      <c r="O79" s="91">
        <f>SUM(O72:O78)</f>
        <v>18494.36667</v>
      </c>
      <c r="P79" s="91">
        <f t="shared" ref="P79:AH79" si="34">SUM(P73:P78)</f>
        <v>225</v>
      </c>
      <c r="Q79" s="91">
        <f t="shared" si="34"/>
        <v>99</v>
      </c>
      <c r="R79" s="91">
        <f t="shared" si="34"/>
        <v>367</v>
      </c>
      <c r="S79" s="91">
        <f t="shared" si="34"/>
        <v>128</v>
      </c>
      <c r="T79" s="91">
        <f t="shared" si="34"/>
        <v>711</v>
      </c>
      <c r="U79" s="91">
        <f t="shared" si="34"/>
        <v>133</v>
      </c>
      <c r="V79" s="91">
        <f t="shared" si="34"/>
        <v>36</v>
      </c>
      <c r="W79" s="91">
        <f t="shared" si="34"/>
        <v>15</v>
      </c>
      <c r="X79" s="91">
        <f t="shared" si="34"/>
        <v>2</v>
      </c>
      <c r="Y79" s="91">
        <f t="shared" si="34"/>
        <v>1</v>
      </c>
      <c r="Z79" s="91">
        <f t="shared" si="34"/>
        <v>1</v>
      </c>
      <c r="AA79" s="91">
        <f t="shared" si="34"/>
        <v>0</v>
      </c>
      <c r="AB79" s="91">
        <f t="shared" si="34"/>
        <v>0</v>
      </c>
      <c r="AC79" s="91">
        <f t="shared" si="34"/>
        <v>95</v>
      </c>
      <c r="AD79" s="91">
        <f t="shared" si="34"/>
        <v>1</v>
      </c>
      <c r="AE79" s="91">
        <f t="shared" si="34"/>
        <v>0</v>
      </c>
      <c r="AF79" s="91">
        <f t="shared" si="34"/>
        <v>0</v>
      </c>
      <c r="AG79" s="91">
        <f t="shared" si="34"/>
        <v>7</v>
      </c>
      <c r="AH79" s="91">
        <f t="shared" si="34"/>
        <v>1</v>
      </c>
    </row>
    <row r="80">
      <c r="A80" s="94"/>
      <c r="B80" s="95"/>
      <c r="C80" s="95"/>
      <c r="D80" s="95"/>
      <c r="E80" s="96"/>
      <c r="F80" s="95"/>
      <c r="G80" s="95"/>
      <c r="H80" s="95"/>
      <c r="I80" s="87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</row>
    <row r="81">
      <c r="A81" s="94"/>
      <c r="B81" s="95"/>
      <c r="C81" s="95"/>
      <c r="D81" s="95"/>
      <c r="E81" s="96"/>
      <c r="F81" s="95"/>
      <c r="G81" s="95"/>
      <c r="H81" s="95"/>
      <c r="I81" s="87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</row>
    <row r="82">
      <c r="A82" s="94"/>
      <c r="B82" s="95"/>
      <c r="C82" s="95"/>
      <c r="D82" s="95"/>
      <c r="E82" s="96"/>
      <c r="F82" s="95"/>
      <c r="G82" s="95"/>
      <c r="H82" s="95"/>
      <c r="I82" s="87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</row>
    <row r="83">
      <c r="A83" s="94"/>
      <c r="B83" s="95"/>
      <c r="C83" s="95"/>
      <c r="D83" s="95"/>
      <c r="E83" s="96"/>
      <c r="F83" s="95"/>
      <c r="G83" s="95"/>
      <c r="H83" s="95"/>
      <c r="I83" s="87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</row>
    <row r="84">
      <c r="A84" s="94"/>
      <c r="B84" s="95"/>
      <c r="C84" s="95"/>
      <c r="D84" s="95"/>
      <c r="E84" s="96"/>
      <c r="F84" s="95"/>
      <c r="G84" s="95"/>
      <c r="H84" s="95"/>
      <c r="I84" s="87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</row>
    <row r="85">
      <c r="A85" s="94"/>
      <c r="B85" s="95"/>
      <c r="C85" s="95"/>
      <c r="D85" s="95"/>
      <c r="E85" s="96"/>
      <c r="F85" s="95"/>
      <c r="G85" s="95"/>
      <c r="H85" s="95"/>
      <c r="I85" s="87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</row>
    <row r="86">
      <c r="A86" s="94"/>
      <c r="B86" s="95"/>
      <c r="C86" s="95"/>
      <c r="D86" s="95"/>
      <c r="E86" s="96"/>
      <c r="F86" s="95"/>
      <c r="G86" s="95"/>
      <c r="H86" s="95"/>
      <c r="I86" s="87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</row>
    <row r="87">
      <c r="A87" s="94"/>
      <c r="B87" s="95"/>
      <c r="C87" s="95"/>
      <c r="D87" s="95"/>
      <c r="E87" s="96"/>
      <c r="F87" s="95"/>
      <c r="G87" s="95"/>
      <c r="H87" s="95"/>
      <c r="I87" s="87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</row>
    <row r="88">
      <c r="A88" s="94"/>
      <c r="B88" s="95"/>
      <c r="C88" s="95"/>
      <c r="D88" s="95"/>
      <c r="E88" s="96"/>
      <c r="F88" s="95"/>
      <c r="G88" s="95"/>
      <c r="H88" s="95"/>
      <c r="I88" s="87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</row>
    <row r="89">
      <c r="A89" s="94"/>
      <c r="B89" s="95"/>
      <c r="C89" s="95"/>
      <c r="D89" s="95"/>
      <c r="E89" s="96"/>
      <c r="F89" s="95"/>
      <c r="G89" s="95"/>
      <c r="H89" s="95"/>
      <c r="I89" s="87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</row>
    <row r="90">
      <c r="A90" s="94"/>
      <c r="B90" s="95"/>
      <c r="C90" s="95"/>
      <c r="D90" s="95"/>
      <c r="E90" s="96"/>
      <c r="F90" s="95"/>
      <c r="G90" s="95"/>
      <c r="H90" s="95"/>
      <c r="I90" s="87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</row>
    <row r="91">
      <c r="A91" s="94"/>
      <c r="B91" s="95"/>
      <c r="C91" s="95"/>
      <c r="D91" s="95"/>
      <c r="E91" s="96"/>
      <c r="F91" s="95"/>
      <c r="G91" s="95"/>
      <c r="H91" s="95"/>
      <c r="I91" s="87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</row>
    <row r="92">
      <c r="A92" s="94"/>
      <c r="B92" s="95"/>
      <c r="C92" s="95"/>
      <c r="D92" s="95"/>
      <c r="E92" s="96"/>
      <c r="F92" s="95"/>
      <c r="G92" s="95"/>
      <c r="H92" s="95"/>
      <c r="I92" s="87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</row>
    <row r="93">
      <c r="A93" s="94"/>
      <c r="B93" s="95"/>
      <c r="C93" s="95"/>
      <c r="D93" s="95"/>
      <c r="E93" s="96"/>
      <c r="F93" s="95"/>
      <c r="G93" s="95"/>
      <c r="H93" s="95"/>
      <c r="I93" s="87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</row>
    <row r="94">
      <c r="A94" s="94"/>
      <c r="B94" s="95"/>
      <c r="C94" s="95"/>
      <c r="D94" s="95"/>
      <c r="E94" s="96"/>
      <c r="F94" s="95"/>
      <c r="G94" s="95"/>
      <c r="H94" s="95"/>
      <c r="I94" s="87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</row>
    <row r="95">
      <c r="A95" s="94"/>
      <c r="B95" s="95"/>
      <c r="C95" s="95"/>
      <c r="D95" s="95"/>
      <c r="E95" s="96"/>
      <c r="F95" s="95"/>
      <c r="G95" s="95"/>
      <c r="H95" s="95"/>
      <c r="I95" s="87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</row>
    <row r="96">
      <c r="A96" s="94"/>
      <c r="B96" s="95"/>
      <c r="C96" s="95"/>
      <c r="D96" s="95"/>
      <c r="E96" s="96"/>
      <c r="F96" s="95"/>
      <c r="G96" s="95"/>
      <c r="H96" s="95"/>
      <c r="I96" s="87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</row>
    <row r="97">
      <c r="A97" s="94"/>
      <c r="B97" s="95"/>
      <c r="C97" s="95"/>
      <c r="D97" s="95"/>
      <c r="E97" s="96"/>
      <c r="F97" s="95"/>
      <c r="G97" s="95"/>
      <c r="H97" s="95"/>
      <c r="I97" s="87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</row>
    <row r="98">
      <c r="A98" s="94"/>
      <c r="B98" s="95"/>
      <c r="C98" s="95"/>
      <c r="D98" s="95"/>
      <c r="E98" s="96"/>
      <c r="F98" s="95"/>
      <c r="G98" s="95"/>
      <c r="H98" s="95"/>
      <c r="I98" s="87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</row>
    <row r="99">
      <c r="A99" s="94"/>
      <c r="B99" s="95"/>
      <c r="C99" s="95"/>
      <c r="D99" s="95"/>
      <c r="E99" s="96"/>
      <c r="F99" s="95"/>
      <c r="G99" s="95"/>
      <c r="H99" s="95"/>
      <c r="I99" s="87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</row>
    <row r="100">
      <c r="A100" s="94"/>
      <c r="B100" s="95"/>
      <c r="C100" s="95"/>
      <c r="D100" s="95"/>
      <c r="E100" s="96"/>
      <c r="F100" s="95"/>
      <c r="G100" s="95"/>
      <c r="H100" s="95"/>
      <c r="I100" s="87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</row>
    <row r="101">
      <c r="A101" s="94"/>
      <c r="B101" s="95"/>
      <c r="C101" s="95"/>
      <c r="D101" s="95"/>
      <c r="E101" s="96"/>
      <c r="F101" s="95"/>
      <c r="G101" s="95"/>
      <c r="H101" s="95"/>
      <c r="I101" s="87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</row>
    <row r="102">
      <c r="A102" s="94"/>
      <c r="B102" s="95"/>
      <c r="C102" s="95"/>
      <c r="D102" s="95"/>
      <c r="E102" s="96"/>
      <c r="F102" s="95"/>
      <c r="G102" s="95"/>
      <c r="H102" s="95"/>
      <c r="I102" s="87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</row>
    <row r="103">
      <c r="A103" s="94"/>
      <c r="B103" s="95"/>
      <c r="C103" s="95"/>
      <c r="D103" s="95"/>
      <c r="E103" s="96"/>
      <c r="F103" s="95"/>
      <c r="G103" s="95"/>
      <c r="H103" s="95"/>
      <c r="I103" s="87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</row>
    <row r="104">
      <c r="A104" s="94"/>
      <c r="B104" s="95"/>
      <c r="C104" s="95"/>
      <c r="D104" s="95"/>
      <c r="E104" s="96"/>
      <c r="F104" s="95"/>
      <c r="G104" s="95"/>
      <c r="H104" s="95"/>
      <c r="I104" s="87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</row>
    <row r="105">
      <c r="A105" s="94"/>
      <c r="B105" s="95"/>
      <c r="C105" s="95"/>
      <c r="D105" s="95"/>
      <c r="E105" s="96"/>
      <c r="F105" s="95"/>
      <c r="G105" s="95"/>
      <c r="H105" s="95"/>
      <c r="I105" s="87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</row>
    <row r="106">
      <c r="A106" s="94"/>
      <c r="B106" s="95"/>
      <c r="C106" s="95"/>
      <c r="D106" s="95"/>
      <c r="E106" s="96"/>
      <c r="F106" s="95"/>
      <c r="G106" s="95"/>
      <c r="H106" s="95"/>
      <c r="I106" s="87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</row>
    <row r="107">
      <c r="A107" s="94"/>
      <c r="B107" s="95"/>
      <c r="C107" s="95"/>
      <c r="D107" s="95"/>
      <c r="E107" s="96"/>
      <c r="F107" s="95"/>
      <c r="G107" s="95"/>
      <c r="H107" s="95"/>
      <c r="I107" s="87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</row>
    <row r="108">
      <c r="A108" s="94"/>
      <c r="B108" s="95"/>
      <c r="C108" s="95"/>
      <c r="D108" s="95"/>
      <c r="E108" s="96"/>
      <c r="F108" s="95"/>
      <c r="G108" s="95"/>
      <c r="H108" s="95"/>
      <c r="I108" s="87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</row>
    <row r="109">
      <c r="A109" s="94"/>
      <c r="B109" s="95"/>
      <c r="C109" s="95"/>
      <c r="D109" s="95"/>
      <c r="E109" s="96"/>
      <c r="F109" s="95"/>
      <c r="G109" s="95"/>
      <c r="H109" s="95"/>
      <c r="I109" s="87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</row>
    <row r="110">
      <c r="A110" s="94"/>
      <c r="B110" s="95"/>
      <c r="C110" s="95"/>
      <c r="D110" s="95"/>
      <c r="E110" s="96"/>
      <c r="F110" s="95"/>
      <c r="G110" s="95"/>
      <c r="H110" s="95"/>
      <c r="I110" s="87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</row>
    <row r="111">
      <c r="A111" s="94"/>
      <c r="B111" s="95"/>
      <c r="C111" s="95"/>
      <c r="D111" s="95"/>
      <c r="E111" s="96"/>
      <c r="F111" s="95"/>
      <c r="G111" s="95"/>
      <c r="H111" s="95"/>
      <c r="I111" s="87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</row>
    <row r="112">
      <c r="A112" s="94"/>
      <c r="B112" s="95"/>
      <c r="C112" s="95"/>
      <c r="D112" s="95"/>
      <c r="E112" s="96"/>
      <c r="F112" s="95"/>
      <c r="G112" s="95"/>
      <c r="H112" s="95"/>
      <c r="I112" s="87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</row>
    <row r="113">
      <c r="A113" s="94"/>
      <c r="B113" s="95"/>
      <c r="C113" s="95"/>
      <c r="D113" s="95"/>
      <c r="E113" s="96"/>
      <c r="F113" s="95"/>
      <c r="G113" s="95"/>
      <c r="H113" s="95"/>
      <c r="I113" s="87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</row>
    <row r="114">
      <c r="A114" s="94"/>
      <c r="B114" s="95"/>
      <c r="C114" s="95"/>
      <c r="D114" s="95"/>
      <c r="E114" s="96"/>
      <c r="F114" s="95"/>
      <c r="G114" s="95"/>
      <c r="H114" s="95"/>
      <c r="I114" s="87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</row>
    <row r="115">
      <c r="A115" s="94"/>
      <c r="B115" s="95"/>
      <c r="C115" s="95"/>
      <c r="D115" s="95"/>
      <c r="E115" s="96"/>
      <c r="F115" s="95"/>
      <c r="G115" s="95"/>
      <c r="H115" s="95"/>
      <c r="I115" s="87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</row>
    <row r="116">
      <c r="A116" s="94"/>
      <c r="B116" s="95"/>
      <c r="C116" s="95"/>
      <c r="D116" s="95"/>
      <c r="E116" s="96"/>
      <c r="F116" s="95"/>
      <c r="G116" s="95"/>
      <c r="H116" s="95"/>
      <c r="I116" s="87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</row>
    <row r="117">
      <c r="A117" s="94"/>
      <c r="B117" s="95"/>
      <c r="C117" s="95"/>
      <c r="D117" s="95"/>
      <c r="E117" s="96"/>
      <c r="F117" s="95"/>
      <c r="G117" s="95"/>
      <c r="H117" s="95"/>
      <c r="I117" s="87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</row>
    <row r="118">
      <c r="A118" s="94"/>
      <c r="B118" s="95"/>
      <c r="C118" s="95"/>
      <c r="D118" s="95"/>
      <c r="E118" s="96"/>
      <c r="F118" s="95"/>
      <c r="G118" s="95"/>
      <c r="H118" s="95"/>
      <c r="I118" s="87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</row>
    <row r="119">
      <c r="A119" s="94"/>
      <c r="B119" s="95"/>
      <c r="C119" s="95"/>
      <c r="D119" s="95"/>
      <c r="E119" s="96"/>
      <c r="F119" s="95"/>
      <c r="G119" s="95"/>
      <c r="H119" s="95"/>
      <c r="I119" s="87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</row>
    <row r="120">
      <c r="A120" s="94"/>
      <c r="B120" s="95"/>
      <c r="C120" s="95"/>
      <c r="D120" s="95"/>
      <c r="E120" s="96"/>
      <c r="F120" s="95"/>
      <c r="G120" s="95"/>
      <c r="H120" s="95"/>
      <c r="I120" s="87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</row>
    <row r="121">
      <c r="A121" s="94"/>
      <c r="B121" s="95"/>
      <c r="C121" s="95"/>
      <c r="D121" s="95"/>
      <c r="E121" s="96"/>
      <c r="F121" s="95"/>
      <c r="G121" s="95"/>
      <c r="H121" s="95"/>
      <c r="I121" s="87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</row>
    <row r="122">
      <c r="A122" s="94"/>
      <c r="B122" s="95"/>
      <c r="C122" s="95"/>
      <c r="D122" s="95"/>
      <c r="E122" s="96"/>
      <c r="F122" s="95"/>
      <c r="G122" s="95"/>
      <c r="H122" s="95"/>
      <c r="I122" s="87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</row>
    <row r="123">
      <c r="A123" s="94"/>
      <c r="B123" s="95"/>
      <c r="C123" s="95"/>
      <c r="D123" s="95"/>
      <c r="E123" s="96"/>
      <c r="F123" s="95"/>
      <c r="G123" s="95"/>
      <c r="H123" s="95"/>
      <c r="I123" s="87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</row>
  </sheetData>
  <mergeCells count="1">
    <mergeCell ref="A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243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2" t="s">
        <v>178</v>
      </c>
    </row>
    <row r="3">
      <c r="A3" s="97" t="str">
        <f>'Team and Player Stats'!B69</f>
        <v>TITAN MAN 23</v>
      </c>
      <c r="B3" s="97" t="str">
        <f>'Team and Player Stats'!A69</f>
        <v>Monstars</v>
      </c>
      <c r="C3" s="97">
        <f>'Team and Player Stats'!C69</f>
        <v>20</v>
      </c>
      <c r="D3" s="97">
        <f>'Team and Player Stats'!D69</f>
        <v>16</v>
      </c>
      <c r="E3" s="98">
        <f>'Team and Player Stats'!E69</f>
        <v>390.5333333</v>
      </c>
      <c r="F3" s="97">
        <f>'Team and Player Stats'!F69</f>
        <v>79</v>
      </c>
      <c r="G3" s="97">
        <f>'Team and Player Stats'!G69</f>
        <v>789</v>
      </c>
      <c r="H3" s="97">
        <f>'Team and Player Stats'!H69</f>
        <v>8</v>
      </c>
      <c r="I3" s="97">
        <f>'Team and Player Stats'!I69</f>
        <v>977</v>
      </c>
      <c r="J3" s="97">
        <f>'Team and Player Stats'!J69</f>
        <v>-188</v>
      </c>
      <c r="K3" s="99">
        <f>'Team and Player Stats'!K69</f>
        <v>0.8075742068</v>
      </c>
      <c r="L3" s="98">
        <f>'Team and Player Stats'!L69</f>
        <v>423</v>
      </c>
      <c r="M3" s="97">
        <f>'Team and Player Stats'!M69</f>
        <v>1074</v>
      </c>
      <c r="N3" s="97">
        <f>'Team and Player Stats'!N69</f>
        <v>17</v>
      </c>
      <c r="O3" s="100">
        <f>'Team and Player Stats'!O69</f>
        <v>355.5333333</v>
      </c>
      <c r="P3" s="97">
        <f>'Team and Player Stats'!P69</f>
        <v>54</v>
      </c>
      <c r="Q3" s="97">
        <f>'Team and Player Stats'!Q69</f>
        <v>11</v>
      </c>
      <c r="R3" s="97">
        <f>'Team and Player Stats'!R69</f>
        <v>12</v>
      </c>
      <c r="S3" s="97">
        <f>'Team and Player Stats'!S69</f>
        <v>13</v>
      </c>
      <c r="T3" s="97">
        <f>'Team and Player Stats'!T69</f>
        <v>99</v>
      </c>
      <c r="U3" s="97">
        <f>'Team and Player Stats'!U69</f>
        <v>15</v>
      </c>
      <c r="V3" s="97">
        <f>'Team and Player Stats'!V69</f>
        <v>1</v>
      </c>
      <c r="W3" s="97">
        <f>'Team and Player Stats'!W69</f>
        <v>0</v>
      </c>
      <c r="X3" s="97">
        <f>'Team and Player Stats'!X69</f>
        <v>0</v>
      </c>
      <c r="Y3" s="97">
        <f>'Team and Player Stats'!Y69</f>
        <v>0</v>
      </c>
      <c r="Z3" s="97">
        <f>'Team and Player Stats'!Z69</f>
        <v>0</v>
      </c>
      <c r="AA3" s="97">
        <f>'Team and Player Stats'!AA69</f>
        <v>0</v>
      </c>
      <c r="AB3" s="97">
        <f>'Team and Player Stats'!AB69</f>
        <v>0</v>
      </c>
      <c r="AC3" s="97">
        <f>'Team and Player Stats'!AC69</f>
        <v>8</v>
      </c>
      <c r="AD3" s="97">
        <f>'Team and Player Stats'!AD69</f>
        <v>0</v>
      </c>
      <c r="AE3" s="97">
        <f>'Team and Player Stats'!AE69</f>
        <v>0</v>
      </c>
      <c r="AF3" s="97">
        <f>'Team and Player Stats'!AF69</f>
        <v>0</v>
      </c>
      <c r="AG3" s="97">
        <f>'Team and Player Stats'!AG69</f>
        <v>0</v>
      </c>
      <c r="AH3" s="97">
        <f>'Team and Player Stats'!AH69</f>
        <v>0</v>
      </c>
    </row>
    <row r="4">
      <c r="A4" t="str">
        <f>'Team and Player Stats'!B74</f>
        <v>iRobot 9000</v>
      </c>
      <c r="B4" t="str">
        <f>'Team and Player Stats'!A74</f>
        <v>Mediocre at Best</v>
      </c>
      <c r="C4">
        <f>'Team and Player Stats'!C74</f>
        <v>20</v>
      </c>
      <c r="D4">
        <f>'Team and Player Stats'!D74</f>
        <v>10</v>
      </c>
      <c r="E4" s="101">
        <f>'Team and Player Stats'!E74</f>
        <v>397.55</v>
      </c>
      <c r="F4">
        <f>'Team and Player Stats'!F74</f>
        <v>61</v>
      </c>
      <c r="G4">
        <f>'Team and Player Stats'!G74</f>
        <v>978</v>
      </c>
      <c r="H4">
        <f>'Team and Player Stats'!H74</f>
        <v>4</v>
      </c>
      <c r="I4">
        <f>'Team and Player Stats'!I74</f>
        <v>1157</v>
      </c>
      <c r="J4">
        <f>'Team and Player Stats'!J74</f>
        <v>-179</v>
      </c>
      <c r="K4" s="102">
        <f>'Team and Player Stats'!K74</f>
        <v>0.8452895419</v>
      </c>
      <c r="L4" s="101">
        <f>'Team and Player Stats'!L74</f>
        <v>404</v>
      </c>
      <c r="M4">
        <f>'Team and Player Stats'!M74</f>
        <v>1278</v>
      </c>
      <c r="N4">
        <f>'Team and Player Stats'!N74</f>
        <v>20</v>
      </c>
      <c r="O4" s="103">
        <f>'Team and Player Stats'!O74</f>
        <v>397.55</v>
      </c>
      <c r="P4">
        <f>'Team and Player Stats'!P74</f>
        <v>69</v>
      </c>
      <c r="Q4">
        <f>'Team and Player Stats'!Q74</f>
        <v>18</v>
      </c>
      <c r="R4">
        <f>'Team and Player Stats'!R74</f>
        <v>35</v>
      </c>
      <c r="S4">
        <f>'Team and Player Stats'!S74</f>
        <v>34</v>
      </c>
      <c r="T4">
        <f>'Team and Player Stats'!T74</f>
        <v>110</v>
      </c>
      <c r="U4">
        <f>'Team and Player Stats'!U74</f>
        <v>14</v>
      </c>
      <c r="V4">
        <f>'Team and Player Stats'!V74</f>
        <v>3</v>
      </c>
      <c r="W4">
        <f>'Team and Player Stats'!W74</f>
        <v>1</v>
      </c>
      <c r="X4">
        <f>'Team and Player Stats'!X74</f>
        <v>0</v>
      </c>
      <c r="Y4">
        <f>'Team and Player Stats'!Y74</f>
        <v>0</v>
      </c>
      <c r="Z4">
        <f>'Team and Player Stats'!Z74</f>
        <v>0</v>
      </c>
      <c r="AA4">
        <f>'Team and Player Stats'!AA74</f>
        <v>0</v>
      </c>
      <c r="AB4">
        <f>'Team and Player Stats'!AB74</f>
        <v>0</v>
      </c>
      <c r="AC4">
        <f>'Team and Player Stats'!AC74</f>
        <v>13</v>
      </c>
      <c r="AD4">
        <f>'Team and Player Stats'!AD74</f>
        <v>0</v>
      </c>
      <c r="AE4">
        <f>'Team and Player Stats'!AE74</f>
        <v>0</v>
      </c>
      <c r="AF4">
        <f>'Team and Player Stats'!AF74</f>
        <v>0</v>
      </c>
      <c r="AG4">
        <f>'Team and Player Stats'!AG74</f>
        <v>0</v>
      </c>
      <c r="AH4">
        <f>'Team and Player Stats'!AH74</f>
        <v>1</v>
      </c>
    </row>
    <row r="5">
      <c r="A5" s="97" t="str">
        <f>'Team and Player Stats'!B45</f>
        <v>Priest XYZ</v>
      </c>
      <c r="B5" s="97" t="str">
        <f>'Team and Player Stats'!A45</f>
        <v>Failure to Launch</v>
      </c>
      <c r="C5" s="97">
        <f>'Team and Player Stats'!C45</f>
        <v>17</v>
      </c>
      <c r="D5" s="97">
        <f>'Team and Player Stats'!D45</f>
        <v>10</v>
      </c>
      <c r="E5" s="98">
        <f>'Team and Player Stats'!E45</f>
        <v>487.7666667</v>
      </c>
      <c r="F5" s="97">
        <f>'Team and Player Stats'!F45</f>
        <v>49</v>
      </c>
      <c r="G5" s="97">
        <f>'Team and Player Stats'!G45</f>
        <v>971</v>
      </c>
      <c r="H5" s="97">
        <f>'Team and Player Stats'!H45</f>
        <v>9</v>
      </c>
      <c r="I5" s="97">
        <f>'Team and Player Stats'!I45</f>
        <v>1046</v>
      </c>
      <c r="J5" s="97">
        <f>'Team and Player Stats'!J45</f>
        <v>-75</v>
      </c>
      <c r="K5" s="99">
        <f>'Team and Player Stats'!K45</f>
        <v>0.9282982792</v>
      </c>
      <c r="L5" s="98">
        <f>'Team and Player Stats'!L45</f>
        <v>421</v>
      </c>
      <c r="M5" s="97">
        <f>'Team and Player Stats'!M45</f>
        <v>1248</v>
      </c>
      <c r="N5" s="97">
        <f>'Team and Player Stats'!N45</f>
        <v>17</v>
      </c>
      <c r="O5" s="100">
        <f>'Team and Player Stats'!O45</f>
        <v>487.7666667</v>
      </c>
      <c r="P5" s="97">
        <f>'Team and Player Stats'!P45</f>
        <v>48</v>
      </c>
      <c r="Q5" s="97">
        <f>'Team and Player Stats'!Q45</f>
        <v>40</v>
      </c>
      <c r="R5" s="97">
        <f>'Team and Player Stats'!R45</f>
        <v>53</v>
      </c>
      <c r="S5" s="97">
        <f>'Team and Player Stats'!S45</f>
        <v>22</v>
      </c>
      <c r="T5" s="97">
        <f>'Team and Player Stats'!T45</f>
        <v>103</v>
      </c>
      <c r="U5" s="97">
        <f>'Team and Player Stats'!U45</f>
        <v>13</v>
      </c>
      <c r="V5" s="97">
        <f>'Team and Player Stats'!V45</f>
        <v>4</v>
      </c>
      <c r="W5" s="97">
        <f>'Team and Player Stats'!W45</f>
        <v>0</v>
      </c>
      <c r="X5" s="97">
        <f>'Team and Player Stats'!X45</f>
        <v>0</v>
      </c>
      <c r="Y5" s="97">
        <f>'Team and Player Stats'!Y45</f>
        <v>0</v>
      </c>
      <c r="Z5" s="97">
        <f>'Team and Player Stats'!Z45</f>
        <v>0</v>
      </c>
      <c r="AA5" s="97">
        <f>'Team and Player Stats'!AA45</f>
        <v>0</v>
      </c>
      <c r="AB5" s="97">
        <f>'Team and Player Stats'!AB45</f>
        <v>0</v>
      </c>
      <c r="AC5" s="97">
        <f>'Team and Player Stats'!AC45</f>
        <v>17</v>
      </c>
      <c r="AD5" s="97">
        <f>'Team and Player Stats'!AD45</f>
        <v>1</v>
      </c>
      <c r="AE5" s="97">
        <f>'Team and Player Stats'!AE45</f>
        <v>0</v>
      </c>
      <c r="AF5" s="97">
        <f>'Team and Player Stats'!AF45</f>
        <v>0</v>
      </c>
      <c r="AG5" s="97">
        <f>'Team and Player Stats'!AG45</f>
        <v>0</v>
      </c>
      <c r="AH5" s="97">
        <f>'Team and Player Stats'!AH45</f>
        <v>0</v>
      </c>
    </row>
    <row r="6">
      <c r="A6" t="str">
        <f>'Team and Player Stats'!B59</f>
        <v>Regresser TTV</v>
      </c>
      <c r="B6" t="str">
        <f>'Team and Player Stats'!A59</f>
        <v>Hypest</v>
      </c>
      <c r="C6">
        <f>'Team and Player Stats'!C59</f>
        <v>20</v>
      </c>
      <c r="D6">
        <f>'Team and Player Stats'!D59</f>
        <v>13</v>
      </c>
      <c r="E6" s="101">
        <f>'Team and Player Stats'!E59</f>
        <v>376.5</v>
      </c>
      <c r="F6">
        <f>'Team and Player Stats'!F59</f>
        <v>43</v>
      </c>
      <c r="G6">
        <f>'Team and Player Stats'!G59</f>
        <v>1467</v>
      </c>
      <c r="H6">
        <f>'Team and Player Stats'!H59</f>
        <v>8</v>
      </c>
      <c r="I6">
        <f>'Team and Player Stats'!I59</f>
        <v>1287</v>
      </c>
      <c r="J6">
        <f>'Team and Player Stats'!J59</f>
        <v>180</v>
      </c>
      <c r="K6" s="102">
        <f>'Team and Player Stats'!K59</f>
        <v>1.13986014</v>
      </c>
      <c r="L6" s="101">
        <f>'Team and Player Stats'!L59</f>
        <v>293</v>
      </c>
      <c r="M6">
        <f>'Team and Player Stats'!M59</f>
        <v>1868</v>
      </c>
      <c r="N6">
        <f>'Team and Player Stats'!N59</f>
        <v>19</v>
      </c>
      <c r="O6" s="103">
        <f>'Team and Player Stats'!O59</f>
        <v>348.5</v>
      </c>
      <c r="P6">
        <f>'Team and Player Stats'!P59</f>
        <v>73</v>
      </c>
      <c r="Q6">
        <f>'Team and Player Stats'!Q59</f>
        <v>28</v>
      </c>
      <c r="R6">
        <f>'Team and Player Stats'!R59</f>
        <v>97</v>
      </c>
      <c r="S6">
        <f>'Team and Player Stats'!S59</f>
        <v>25</v>
      </c>
      <c r="T6">
        <f>'Team and Player Stats'!T59</f>
        <v>243</v>
      </c>
      <c r="U6">
        <f>'Team and Player Stats'!U59</f>
        <v>58</v>
      </c>
      <c r="V6">
        <f>'Team and Player Stats'!V59</f>
        <v>14</v>
      </c>
      <c r="W6">
        <f>'Team and Player Stats'!W59</f>
        <v>2</v>
      </c>
      <c r="X6">
        <f>'Team and Player Stats'!X59</f>
        <v>2</v>
      </c>
      <c r="Y6">
        <f>'Team and Player Stats'!Y59</f>
        <v>1</v>
      </c>
      <c r="Z6">
        <f>'Team and Player Stats'!Z59</f>
        <v>1</v>
      </c>
      <c r="AA6">
        <f>'Team and Player Stats'!AA59</f>
        <v>1</v>
      </c>
      <c r="AB6">
        <f>'Team and Player Stats'!AB59</f>
        <v>1</v>
      </c>
      <c r="AC6">
        <f>'Team and Player Stats'!AC59</f>
        <v>40</v>
      </c>
      <c r="AD6">
        <f>'Team and Player Stats'!AD59</f>
        <v>3</v>
      </c>
      <c r="AE6">
        <f>'Team and Player Stats'!AE59</f>
        <v>0</v>
      </c>
      <c r="AF6">
        <f>'Team and Player Stats'!AF59</f>
        <v>0</v>
      </c>
      <c r="AG6">
        <f>'Team and Player Stats'!AG59</f>
        <v>2</v>
      </c>
      <c r="AH6">
        <f>'Team and Player Stats'!AH59</f>
        <v>0</v>
      </c>
    </row>
    <row r="7">
      <c r="A7" s="97" t="str">
        <f>'Team and Player Stats'!B12</f>
        <v>The Corn Ninja</v>
      </c>
      <c r="B7" s="97" t="str">
        <f>'Team and Player Stats'!A12</f>
        <v>In MuNgO We Trust</v>
      </c>
      <c r="C7" s="97">
        <f>'Team and Player Stats'!C12</f>
        <v>13</v>
      </c>
      <c r="D7" s="97">
        <f>'Team and Player Stats'!D12</f>
        <v>7</v>
      </c>
      <c r="E7" s="98">
        <f>'Team and Player Stats'!E12</f>
        <v>439.9666667</v>
      </c>
      <c r="F7" s="97">
        <f>'Team and Player Stats'!F12</f>
        <v>42</v>
      </c>
      <c r="G7" s="97">
        <f>'Team and Player Stats'!G12</f>
        <v>969</v>
      </c>
      <c r="H7" s="97">
        <f>'Team and Player Stats'!H12</f>
        <v>4</v>
      </c>
      <c r="I7" s="97">
        <f>'Team and Player Stats'!I12</f>
        <v>1039</v>
      </c>
      <c r="J7" s="97">
        <f>'Team and Player Stats'!J12</f>
        <v>-70</v>
      </c>
      <c r="K7" s="99">
        <f>'Team and Player Stats'!K12</f>
        <v>0.9326275265</v>
      </c>
      <c r="L7" s="98">
        <f>'Team and Player Stats'!L12</f>
        <v>295</v>
      </c>
      <c r="M7" s="97">
        <f>'Team and Player Stats'!M12</f>
        <v>1224</v>
      </c>
      <c r="N7" s="97">
        <f>'Team and Player Stats'!N12</f>
        <v>13</v>
      </c>
      <c r="O7" s="100">
        <f>'Team and Player Stats'!O12</f>
        <v>439.9666667</v>
      </c>
      <c r="P7" s="97">
        <f>'Team and Player Stats'!P12</f>
        <v>59</v>
      </c>
      <c r="Q7" s="97">
        <f>'Team and Player Stats'!Q12</f>
        <v>13</v>
      </c>
      <c r="R7" s="97">
        <f>'Team and Player Stats'!R12</f>
        <v>31</v>
      </c>
      <c r="S7" s="97">
        <f>'Team and Player Stats'!S12</f>
        <v>30</v>
      </c>
      <c r="T7" s="97">
        <f>'Team and Player Stats'!T12</f>
        <v>89</v>
      </c>
      <c r="U7" s="97">
        <f>'Team and Player Stats'!U12</f>
        <v>15</v>
      </c>
      <c r="V7" s="97">
        <f>'Team and Player Stats'!V12</f>
        <v>5</v>
      </c>
      <c r="W7" s="97">
        <f>'Team and Player Stats'!W12</f>
        <v>0</v>
      </c>
      <c r="X7" s="97">
        <f>'Team and Player Stats'!X12</f>
        <v>0</v>
      </c>
      <c r="Y7" s="97">
        <f>'Team and Player Stats'!Y12</f>
        <v>0</v>
      </c>
      <c r="Z7" s="97">
        <f>'Team and Player Stats'!Z12</f>
        <v>0</v>
      </c>
      <c r="AA7" s="97">
        <f>'Team and Player Stats'!AA12</f>
        <v>0</v>
      </c>
      <c r="AB7" s="97">
        <f>'Team and Player Stats'!AB12</f>
        <v>0</v>
      </c>
      <c r="AC7" s="97">
        <f>'Team and Player Stats'!AC12</f>
        <v>16</v>
      </c>
      <c r="AD7" s="97">
        <f>'Team and Player Stats'!AD12</f>
        <v>0</v>
      </c>
      <c r="AE7" s="97">
        <f>'Team and Player Stats'!AE12</f>
        <v>0</v>
      </c>
      <c r="AF7" s="97">
        <f>'Team and Player Stats'!AF12</f>
        <v>0</v>
      </c>
      <c r="AG7" s="97">
        <f>'Team and Player Stats'!AG12</f>
        <v>0</v>
      </c>
      <c r="AH7" s="97">
        <f>'Team and Player Stats'!AH12</f>
        <v>0</v>
      </c>
    </row>
    <row r="8">
      <c r="A8" t="str">
        <f>'Team and Player Stats'!B17</f>
        <v>nkotb4evah</v>
      </c>
      <c r="B8" t="str">
        <f>'Team and Player Stats'!A17</f>
        <v>Junkyard Dogs</v>
      </c>
      <c r="C8">
        <f>'Team and Player Stats'!C17</f>
        <v>18</v>
      </c>
      <c r="D8">
        <f>'Team and Player Stats'!D17</f>
        <v>6</v>
      </c>
      <c r="E8" s="101">
        <f>'Team and Player Stats'!E17</f>
        <v>528.05</v>
      </c>
      <c r="F8">
        <f>'Team and Player Stats'!F17</f>
        <v>41</v>
      </c>
      <c r="G8">
        <f>'Team and Player Stats'!G17</f>
        <v>1114</v>
      </c>
      <c r="H8">
        <f>'Team and Player Stats'!H17</f>
        <v>9</v>
      </c>
      <c r="I8">
        <f>'Team and Player Stats'!I17</f>
        <v>1599</v>
      </c>
      <c r="J8">
        <f>'Team and Player Stats'!J17</f>
        <v>-485</v>
      </c>
      <c r="K8" s="102">
        <f>'Team and Player Stats'!K17</f>
        <v>0.6966854284</v>
      </c>
      <c r="L8" s="101">
        <f>'Team and Player Stats'!L17</f>
        <v>330</v>
      </c>
      <c r="M8">
        <f>'Team and Player Stats'!M17</f>
        <v>1454</v>
      </c>
      <c r="N8">
        <f>'Team and Player Stats'!N17</f>
        <v>18</v>
      </c>
      <c r="O8" s="103">
        <f>'Team and Player Stats'!O17</f>
        <v>528.05</v>
      </c>
      <c r="P8">
        <f>'Team and Player Stats'!P17</f>
        <v>96</v>
      </c>
      <c r="Q8">
        <f>'Team and Player Stats'!Q17</f>
        <v>37</v>
      </c>
      <c r="R8">
        <f>'Team and Player Stats'!R17</f>
        <v>42</v>
      </c>
      <c r="S8">
        <f>'Team and Player Stats'!S17</f>
        <v>34</v>
      </c>
      <c r="T8">
        <f>'Team and Player Stats'!T17</f>
        <v>117</v>
      </c>
      <c r="U8">
        <f>'Team and Player Stats'!U17</f>
        <v>16</v>
      </c>
      <c r="V8">
        <f>'Team and Player Stats'!V17</f>
        <v>1</v>
      </c>
      <c r="W8">
        <f>'Team and Player Stats'!W17</f>
        <v>0</v>
      </c>
      <c r="X8">
        <f>'Team and Player Stats'!X17</f>
        <v>0</v>
      </c>
      <c r="Y8">
        <f>'Team and Player Stats'!Y17</f>
        <v>0</v>
      </c>
      <c r="Z8">
        <f>'Team and Player Stats'!Z17</f>
        <v>0</v>
      </c>
      <c r="AA8">
        <f>'Team and Player Stats'!AA17</f>
        <v>0</v>
      </c>
      <c r="AB8">
        <f>'Team and Player Stats'!AB17</f>
        <v>0</v>
      </c>
      <c r="AC8">
        <f>'Team and Player Stats'!AC17</f>
        <v>19</v>
      </c>
      <c r="AD8">
        <f>'Team and Player Stats'!AD17</f>
        <v>1</v>
      </c>
      <c r="AE8">
        <f>'Team and Player Stats'!AE17</f>
        <v>0</v>
      </c>
      <c r="AF8">
        <f>'Team and Player Stats'!AF17</f>
        <v>0</v>
      </c>
      <c r="AG8">
        <f>'Team and Player Stats'!AG17</f>
        <v>0</v>
      </c>
      <c r="AH8">
        <f>'Team and Player Stats'!AH17</f>
        <v>2</v>
      </c>
    </row>
    <row r="9">
      <c r="A9" s="97" t="str">
        <f>'Team and Player Stats'!B26</f>
        <v>oScet</v>
      </c>
      <c r="B9" s="97" t="str">
        <f>'Team and Player Stats'!A26</f>
        <v>9th Wonders</v>
      </c>
      <c r="C9" s="97">
        <f>'Team and Player Stats'!C26</f>
        <v>18</v>
      </c>
      <c r="D9" s="97">
        <f>'Team and Player Stats'!D26</f>
        <v>10</v>
      </c>
      <c r="E9" s="98">
        <f>'Team and Player Stats'!E26</f>
        <v>496.6</v>
      </c>
      <c r="F9" s="97">
        <f>'Team and Player Stats'!F26</f>
        <v>26</v>
      </c>
      <c r="G9" s="97">
        <f>'Team and Player Stats'!G26</f>
        <v>1434</v>
      </c>
      <c r="H9" s="97">
        <f>'Team and Player Stats'!H26</f>
        <v>5</v>
      </c>
      <c r="I9" s="97">
        <f>'Team and Player Stats'!I26</f>
        <v>1439</v>
      </c>
      <c r="J9" s="97">
        <f>'Team and Player Stats'!J26</f>
        <v>-5</v>
      </c>
      <c r="K9" s="99">
        <f>'Team and Player Stats'!K26</f>
        <v>0.9965253648</v>
      </c>
      <c r="L9" s="98">
        <f>'Team and Player Stats'!L26</f>
        <v>311</v>
      </c>
      <c r="M9" s="97">
        <f>'Team and Player Stats'!M26</f>
        <v>1741</v>
      </c>
      <c r="N9" s="97">
        <f>'Team and Player Stats'!N26</f>
        <v>17</v>
      </c>
      <c r="O9" s="100">
        <f>'Team and Player Stats'!O26</f>
        <v>496.6</v>
      </c>
      <c r="P9" s="97">
        <f>'Team and Player Stats'!P26</f>
        <v>74</v>
      </c>
      <c r="Q9" s="97">
        <f>'Team and Player Stats'!Q26</f>
        <v>43</v>
      </c>
      <c r="R9" s="97">
        <f>'Team and Player Stats'!R26</f>
        <v>93</v>
      </c>
      <c r="S9" s="97">
        <f>'Team and Player Stats'!S26</f>
        <v>32</v>
      </c>
      <c r="T9" s="97">
        <f>'Team and Player Stats'!T26</f>
        <v>199</v>
      </c>
      <c r="U9" s="97">
        <f>'Team and Player Stats'!U26</f>
        <v>36</v>
      </c>
      <c r="V9" s="97">
        <f>'Team and Player Stats'!V26</f>
        <v>5</v>
      </c>
      <c r="W9" s="97">
        <f>'Team and Player Stats'!W26</f>
        <v>3</v>
      </c>
      <c r="X9" s="97">
        <f>'Team and Player Stats'!X26</f>
        <v>2</v>
      </c>
      <c r="Y9" s="97">
        <f>'Team and Player Stats'!Y26</f>
        <v>2</v>
      </c>
      <c r="Z9" s="97">
        <f>'Team and Player Stats'!Z26</f>
        <v>0</v>
      </c>
      <c r="AA9" s="97">
        <f>'Team and Player Stats'!AA26</f>
        <v>0</v>
      </c>
      <c r="AB9" s="97">
        <f>'Team and Player Stats'!AB26</f>
        <v>0</v>
      </c>
      <c r="AC9" s="97">
        <f>'Team and Player Stats'!AC26</f>
        <v>28</v>
      </c>
      <c r="AD9" s="97">
        <f>'Team and Player Stats'!AD26</f>
        <v>4</v>
      </c>
      <c r="AE9" s="97">
        <f>'Team and Player Stats'!AE26</f>
        <v>0</v>
      </c>
      <c r="AF9" s="97">
        <f>'Team and Player Stats'!AF26</f>
        <v>0</v>
      </c>
      <c r="AG9" s="97">
        <f>'Team and Player Stats'!AG26</f>
        <v>2</v>
      </c>
      <c r="AH9" s="97">
        <f>'Team and Player Stats'!AH26</f>
        <v>2</v>
      </c>
    </row>
    <row r="10">
      <c r="A10" t="str">
        <f>'Team and Player Stats'!B55</f>
        <v>xxRebs</v>
      </c>
      <c r="B10" t="str">
        <f>'Team and Player Stats'!A55</f>
        <v>Silva's Connection</v>
      </c>
      <c r="C10">
        <f>'Team and Player Stats'!C55</f>
        <v>18</v>
      </c>
      <c r="D10">
        <f>'Team and Player Stats'!D55</f>
        <v>6</v>
      </c>
      <c r="E10" s="101">
        <f>'Team and Player Stats'!E55</f>
        <v>478.9333333</v>
      </c>
      <c r="F10">
        <f>'Team and Player Stats'!F55</f>
        <v>26</v>
      </c>
      <c r="G10">
        <f>'Team and Player Stats'!G55</f>
        <v>1252</v>
      </c>
      <c r="H10">
        <f>'Team and Player Stats'!H55</f>
        <v>10</v>
      </c>
      <c r="I10">
        <f>'Team and Player Stats'!I55</f>
        <v>1709</v>
      </c>
      <c r="J10">
        <f>'Team and Player Stats'!J55</f>
        <v>-457</v>
      </c>
      <c r="K10" s="102">
        <f>'Team and Player Stats'!K55</f>
        <v>0.7325921592</v>
      </c>
      <c r="L10" s="101">
        <f>'Team and Player Stats'!L55</f>
        <v>260</v>
      </c>
      <c r="M10">
        <f>'Team and Player Stats'!M55</f>
        <v>1573</v>
      </c>
      <c r="N10">
        <f>'Team and Player Stats'!N55</f>
        <v>18</v>
      </c>
      <c r="O10" s="103">
        <f>'Team and Player Stats'!O55</f>
        <v>478.9333333</v>
      </c>
      <c r="P10">
        <f>'Team and Player Stats'!P55</f>
        <v>70</v>
      </c>
      <c r="Q10">
        <f>'Team and Player Stats'!Q55</f>
        <v>39</v>
      </c>
      <c r="R10">
        <f>'Team and Player Stats'!R55</f>
        <v>37</v>
      </c>
      <c r="S10">
        <f>'Team and Player Stats'!S55</f>
        <v>30</v>
      </c>
      <c r="T10">
        <f>'Team and Player Stats'!T55</f>
        <v>143</v>
      </c>
      <c r="U10">
        <f>'Team and Player Stats'!U55</f>
        <v>19</v>
      </c>
      <c r="V10">
        <f>'Team and Player Stats'!V55</f>
        <v>6</v>
      </c>
      <c r="W10">
        <f>'Team and Player Stats'!W55</f>
        <v>0</v>
      </c>
      <c r="X10">
        <f>'Team and Player Stats'!X55</f>
        <v>0</v>
      </c>
      <c r="Y10">
        <f>'Team and Player Stats'!Y55</f>
        <v>0</v>
      </c>
      <c r="Z10">
        <f>'Team and Player Stats'!Z55</f>
        <v>0</v>
      </c>
      <c r="AA10">
        <f>'Team and Player Stats'!AA55</f>
        <v>0</v>
      </c>
      <c r="AB10">
        <f>'Team and Player Stats'!AB55</f>
        <v>0</v>
      </c>
      <c r="AC10">
        <f>'Team and Player Stats'!AC55</f>
        <v>16</v>
      </c>
      <c r="AD10">
        <f>'Team and Player Stats'!AD55</f>
        <v>0</v>
      </c>
      <c r="AE10">
        <f>'Team and Player Stats'!AE55</f>
        <v>0</v>
      </c>
      <c r="AF10">
        <f>'Team and Player Stats'!AF55</f>
        <v>0</v>
      </c>
      <c r="AG10">
        <f>'Team and Player Stats'!AG55</f>
        <v>0</v>
      </c>
      <c r="AH10">
        <f>'Team and Player Stats'!AH55</f>
        <v>2</v>
      </c>
    </row>
    <row r="11">
      <c r="A11" s="97" t="str">
        <f>'Team and Player Stats'!B6</f>
        <v>ThumpingHawk</v>
      </c>
      <c r="B11" s="97" t="str">
        <f>'Team and Player Stats'!A6</f>
        <v>Defiance</v>
      </c>
      <c r="C11" s="97">
        <f>'Team and Player Stats'!C6</f>
        <v>12</v>
      </c>
      <c r="D11" s="97">
        <f>'Team and Player Stats'!D6</f>
        <v>6</v>
      </c>
      <c r="E11" s="98">
        <f>'Team and Player Stats'!E6</f>
        <v>339</v>
      </c>
      <c r="F11" s="97">
        <f>'Team and Player Stats'!F6</f>
        <v>23</v>
      </c>
      <c r="G11" s="97">
        <f>'Team and Player Stats'!G6</f>
        <v>880</v>
      </c>
      <c r="H11" s="97">
        <f>'Team and Player Stats'!H6</f>
        <v>2</v>
      </c>
      <c r="I11" s="97">
        <f>'Team and Player Stats'!I6</f>
        <v>923</v>
      </c>
      <c r="J11" s="97">
        <f>'Team and Player Stats'!J6</f>
        <v>-43</v>
      </c>
      <c r="K11" s="99">
        <f>'Team and Player Stats'!K6</f>
        <v>0.9534127844</v>
      </c>
      <c r="L11" s="98">
        <f>'Team and Player Stats'!L6</f>
        <v>254</v>
      </c>
      <c r="M11" s="97">
        <f>'Team and Player Stats'!M6</f>
        <v>1128</v>
      </c>
      <c r="N11" s="97">
        <f>'Team and Player Stats'!N6</f>
        <v>9</v>
      </c>
      <c r="O11" s="100">
        <f>'Team and Player Stats'!O6</f>
        <v>304</v>
      </c>
      <c r="P11" s="97">
        <f>'Team and Player Stats'!P6</f>
        <v>37</v>
      </c>
      <c r="Q11" s="97">
        <f>'Team and Player Stats'!Q6</f>
        <v>18</v>
      </c>
      <c r="R11" s="97">
        <f>'Team and Player Stats'!R6</f>
        <v>49</v>
      </c>
      <c r="S11" s="97">
        <f>'Team and Player Stats'!S6</f>
        <v>24</v>
      </c>
      <c r="T11" s="97">
        <f>'Team and Player Stats'!T6</f>
        <v>93</v>
      </c>
      <c r="U11" s="97">
        <f>'Team and Player Stats'!U6</f>
        <v>11</v>
      </c>
      <c r="V11" s="97">
        <f>'Team and Player Stats'!V6</f>
        <v>3</v>
      </c>
      <c r="W11" s="97">
        <f>'Team and Player Stats'!W6</f>
        <v>0</v>
      </c>
      <c r="X11" s="97">
        <f>'Team and Player Stats'!X6</f>
        <v>0</v>
      </c>
      <c r="Y11" s="97">
        <f>'Team and Player Stats'!Y6</f>
        <v>0</v>
      </c>
      <c r="Z11" s="97">
        <f>'Team and Player Stats'!Z6</f>
        <v>0</v>
      </c>
      <c r="AA11" s="97">
        <f>'Team and Player Stats'!AA6</f>
        <v>0</v>
      </c>
      <c r="AB11" s="97">
        <f>'Team and Player Stats'!AB6</f>
        <v>0</v>
      </c>
      <c r="AC11" s="97">
        <f>'Team and Player Stats'!AC6</f>
        <v>21</v>
      </c>
      <c r="AD11" s="97">
        <f>'Team and Player Stats'!AD6</f>
        <v>1</v>
      </c>
      <c r="AE11" s="97">
        <f>'Team and Player Stats'!AE6</f>
        <v>0</v>
      </c>
      <c r="AF11" s="97">
        <f>'Team and Player Stats'!AF6</f>
        <v>0</v>
      </c>
      <c r="AG11" s="97">
        <f>'Team and Player Stats'!AG6</f>
        <v>0</v>
      </c>
      <c r="AH11" s="97">
        <f>'Team and Player Stats'!AH6</f>
        <v>0</v>
      </c>
    </row>
    <row r="12">
      <c r="A12" t="str">
        <f>'Team and Player Stats'!B7</f>
        <v>The Eastbrook</v>
      </c>
      <c r="B12" t="str">
        <f>'Team and Player Stats'!A7</f>
        <v>Defiance</v>
      </c>
      <c r="C12">
        <f>'Team and Player Stats'!C7</f>
        <v>6</v>
      </c>
      <c r="D12">
        <f>'Team and Player Stats'!D7</f>
        <v>6</v>
      </c>
      <c r="E12" s="101">
        <f>'Team and Player Stats'!E7</f>
        <v>150</v>
      </c>
      <c r="F12">
        <f>'Team and Player Stats'!F7</f>
        <v>21</v>
      </c>
      <c r="G12">
        <f>'Team and Player Stats'!G7</f>
        <v>371</v>
      </c>
      <c r="H12">
        <f>'Team and Player Stats'!H7</f>
        <v>3</v>
      </c>
      <c r="I12">
        <f>'Team and Player Stats'!I7</f>
        <v>424</v>
      </c>
      <c r="J12">
        <f>'Team and Player Stats'!J7</f>
        <v>-53</v>
      </c>
      <c r="K12" s="102">
        <f>'Team and Player Stats'!K7</f>
        <v>0.875</v>
      </c>
      <c r="L12" s="101">
        <f>'Team and Player Stats'!L7</f>
        <v>101</v>
      </c>
      <c r="M12">
        <f>'Team and Player Stats'!M7</f>
        <v>478</v>
      </c>
      <c r="N12">
        <f>'Team and Player Stats'!N7</f>
        <v>4</v>
      </c>
      <c r="O12" s="103">
        <f>'Team and Player Stats'!O7</f>
        <v>115</v>
      </c>
      <c r="P12">
        <f>'Team and Player Stats'!P7</f>
        <v>16</v>
      </c>
      <c r="Q12">
        <f>'Team and Player Stats'!Q7</f>
        <v>16</v>
      </c>
      <c r="R12">
        <f>'Team and Player Stats'!R7</f>
        <v>4</v>
      </c>
      <c r="S12">
        <f>'Team and Player Stats'!S7</f>
        <v>6</v>
      </c>
      <c r="T12">
        <f>'Team and Player Stats'!T7</f>
        <v>29</v>
      </c>
      <c r="U12">
        <f>'Team and Player Stats'!U7</f>
        <v>5</v>
      </c>
      <c r="V12">
        <f>'Team and Player Stats'!V7</f>
        <v>0</v>
      </c>
      <c r="W12">
        <f>'Team and Player Stats'!W7</f>
        <v>0</v>
      </c>
      <c r="X12">
        <f>'Team and Player Stats'!X7</f>
        <v>0</v>
      </c>
      <c r="Y12">
        <f>'Team and Player Stats'!Y7</f>
        <v>0</v>
      </c>
      <c r="Z12">
        <f>'Team and Player Stats'!Z7</f>
        <v>0</v>
      </c>
      <c r="AA12">
        <f>'Team and Player Stats'!AA7</f>
        <v>0</v>
      </c>
      <c r="AB12">
        <f>'Team and Player Stats'!AB7</f>
        <v>0</v>
      </c>
      <c r="AC12">
        <f>'Team and Player Stats'!AC7</f>
        <v>5</v>
      </c>
      <c r="AD12">
        <f>'Team and Player Stats'!AD7</f>
        <v>0</v>
      </c>
      <c r="AE12">
        <f>'Team and Player Stats'!AE7</f>
        <v>0</v>
      </c>
      <c r="AF12">
        <f>'Team and Player Stats'!AF7</f>
        <v>0</v>
      </c>
      <c r="AG12">
        <f>'Team and Player Stats'!AG7</f>
        <v>0</v>
      </c>
      <c r="AH12">
        <f>'Team and Player Stats'!AH7</f>
        <v>1</v>
      </c>
    </row>
    <row r="13">
      <c r="A13" s="97" t="str">
        <f>'Team and Player Stats'!B52</f>
        <v>Doc Status</v>
      </c>
      <c r="B13" s="97" t="str">
        <f>'Team and Player Stats'!A52</f>
        <v>Silva's Connection</v>
      </c>
      <c r="C13" s="97">
        <f>'Team and Player Stats'!C52</f>
        <v>20</v>
      </c>
      <c r="D13" s="97">
        <f>'Team and Player Stats'!D52</f>
        <v>6</v>
      </c>
      <c r="E13" s="98">
        <f>'Team and Player Stats'!E52</f>
        <v>560.1333333</v>
      </c>
      <c r="F13" s="97">
        <f>'Team and Player Stats'!F52</f>
        <v>18</v>
      </c>
      <c r="G13" s="97">
        <f>'Team and Player Stats'!G52</f>
        <v>1680</v>
      </c>
      <c r="H13" s="97">
        <f>'Team and Player Stats'!H52</f>
        <v>9</v>
      </c>
      <c r="I13" s="97">
        <f>'Team and Player Stats'!I52</f>
        <v>1851</v>
      </c>
      <c r="J13" s="97">
        <f>'Team and Player Stats'!J52</f>
        <v>-171</v>
      </c>
      <c r="K13" s="99">
        <f>'Team and Player Stats'!K52</f>
        <v>0.9076175041</v>
      </c>
      <c r="L13" s="98">
        <f>'Team and Player Stats'!L52</f>
        <v>309</v>
      </c>
      <c r="M13" s="97">
        <f>'Team and Player Stats'!M52</f>
        <v>2097</v>
      </c>
      <c r="N13" s="97">
        <f>'Team and Player Stats'!N52</f>
        <v>20</v>
      </c>
      <c r="O13" s="100">
        <f>'Team and Player Stats'!O52</f>
        <v>560.1333333</v>
      </c>
      <c r="P13" s="97">
        <f>'Team and Player Stats'!P52</f>
        <v>73</v>
      </c>
      <c r="Q13" s="97">
        <f>'Team and Player Stats'!Q52</f>
        <v>30</v>
      </c>
      <c r="R13" s="97">
        <f>'Team and Player Stats'!R52</f>
        <v>103</v>
      </c>
      <c r="S13" s="97">
        <f>'Team and Player Stats'!S52</f>
        <v>36</v>
      </c>
      <c r="T13" s="97">
        <f>'Team and Player Stats'!T52</f>
        <v>202</v>
      </c>
      <c r="U13" s="97">
        <f>'Team and Player Stats'!U52</f>
        <v>36</v>
      </c>
      <c r="V13" s="97">
        <f>'Team and Player Stats'!V52</f>
        <v>6</v>
      </c>
      <c r="W13" s="97">
        <f>'Team and Player Stats'!W52</f>
        <v>3</v>
      </c>
      <c r="X13" s="97">
        <f>'Team and Player Stats'!X52</f>
        <v>1</v>
      </c>
      <c r="Y13" s="97">
        <f>'Team and Player Stats'!Y52</f>
        <v>0</v>
      </c>
      <c r="Z13" s="97">
        <f>'Team and Player Stats'!Z52</f>
        <v>0</v>
      </c>
      <c r="AA13" s="97">
        <f>'Team and Player Stats'!AA52</f>
        <v>0</v>
      </c>
      <c r="AB13" s="97">
        <f>'Team and Player Stats'!AB52</f>
        <v>0</v>
      </c>
      <c r="AC13" s="97">
        <f>'Team and Player Stats'!AC52</f>
        <v>26</v>
      </c>
      <c r="AD13" s="97">
        <f>'Team and Player Stats'!AD52</f>
        <v>1</v>
      </c>
      <c r="AE13" s="97">
        <f>'Team and Player Stats'!AE52</f>
        <v>0</v>
      </c>
      <c r="AF13" s="97">
        <f>'Team and Player Stats'!AF52</f>
        <v>0</v>
      </c>
      <c r="AG13" s="97">
        <f>'Team and Player Stats'!AG52</f>
        <v>0</v>
      </c>
      <c r="AH13" s="97">
        <f>'Team and Player Stats'!AH52</f>
        <v>4</v>
      </c>
    </row>
    <row r="14">
      <c r="A14" t="str">
        <f>'Team and Player Stats'!B28</f>
        <v>Yuhxi</v>
      </c>
      <c r="B14" t="str">
        <f>'Team and Player Stats'!A28</f>
        <v>9th Wonders</v>
      </c>
      <c r="C14">
        <f>'Team and Player Stats'!C28</f>
        <v>11</v>
      </c>
      <c r="D14">
        <f>'Team and Player Stats'!D28</f>
        <v>6</v>
      </c>
      <c r="E14" s="101">
        <f>'Team and Player Stats'!E28</f>
        <v>244.3333333</v>
      </c>
      <c r="F14">
        <f>'Team and Player Stats'!F28</f>
        <v>17</v>
      </c>
      <c r="G14">
        <f>'Team and Player Stats'!G28</f>
        <v>823</v>
      </c>
      <c r="H14">
        <f>'Team and Player Stats'!H28</f>
        <v>3</v>
      </c>
      <c r="I14">
        <f>'Team and Player Stats'!I28</f>
        <v>984</v>
      </c>
      <c r="J14">
        <f>'Team and Player Stats'!J28</f>
        <v>-161</v>
      </c>
      <c r="K14" s="102">
        <f>'Team and Player Stats'!K28</f>
        <v>0.8363821138</v>
      </c>
      <c r="L14" s="101">
        <f>'Team and Player Stats'!L28</f>
        <v>123</v>
      </c>
      <c r="M14">
        <f>'Team and Player Stats'!M28</f>
        <v>867</v>
      </c>
      <c r="N14">
        <f>'Team and Player Stats'!N28</f>
        <v>8</v>
      </c>
      <c r="O14" s="103">
        <f>'Team and Player Stats'!O28</f>
        <v>226.3333333</v>
      </c>
      <c r="P14">
        <f>'Team and Player Stats'!P28</f>
        <v>31</v>
      </c>
      <c r="Q14">
        <f>'Team and Player Stats'!Q28</f>
        <v>9</v>
      </c>
      <c r="R14">
        <f>'Team and Player Stats'!R28</f>
        <v>30</v>
      </c>
      <c r="S14">
        <f>'Team and Player Stats'!S28</f>
        <v>14</v>
      </c>
      <c r="T14">
        <f>'Team and Player Stats'!T28</f>
        <v>104</v>
      </c>
      <c r="U14">
        <f>'Team and Player Stats'!U28</f>
        <v>31</v>
      </c>
      <c r="V14">
        <f>'Team and Player Stats'!V28</f>
        <v>6</v>
      </c>
      <c r="W14">
        <f>'Team and Player Stats'!W28</f>
        <v>3</v>
      </c>
      <c r="X14">
        <f>'Team and Player Stats'!X28</f>
        <v>0</v>
      </c>
      <c r="Y14">
        <f>'Team and Player Stats'!Y28</f>
        <v>0</v>
      </c>
      <c r="Z14">
        <f>'Team and Player Stats'!Z28</f>
        <v>0</v>
      </c>
      <c r="AA14">
        <f>'Team and Player Stats'!AA28</f>
        <v>0</v>
      </c>
      <c r="AB14">
        <f>'Team and Player Stats'!AB28</f>
        <v>0</v>
      </c>
      <c r="AC14">
        <f>'Team and Player Stats'!AC28</f>
        <v>13</v>
      </c>
      <c r="AD14">
        <f>'Team and Player Stats'!AD28</f>
        <v>0</v>
      </c>
      <c r="AE14">
        <f>'Team and Player Stats'!AE28</f>
        <v>0</v>
      </c>
      <c r="AF14">
        <f>'Team and Player Stats'!AF28</f>
        <v>0</v>
      </c>
      <c r="AG14">
        <f>'Team and Player Stats'!AG28</f>
        <v>1</v>
      </c>
      <c r="AH14">
        <f>'Team and Player Stats'!AH28</f>
        <v>0</v>
      </c>
    </row>
    <row r="15">
      <c r="A15" s="97" t="str">
        <f>'Team and Player Stats'!B62</f>
        <v>Melvishdon</v>
      </c>
      <c r="B15" s="97" t="str">
        <f>'Team and Player Stats'!A62</f>
        <v>Hypest</v>
      </c>
      <c r="C15" s="97">
        <f>'Team and Player Stats'!C62</f>
        <v>20</v>
      </c>
      <c r="D15" s="97">
        <f>'Team and Player Stats'!D62</f>
        <v>13</v>
      </c>
      <c r="E15" s="98">
        <f>'Team and Player Stats'!E62</f>
        <v>377.1166667</v>
      </c>
      <c r="F15" s="97">
        <f>'Team and Player Stats'!F62</f>
        <v>17</v>
      </c>
      <c r="G15" s="97">
        <f>'Team and Player Stats'!G62</f>
        <v>1210</v>
      </c>
      <c r="H15" s="97">
        <f>'Team and Player Stats'!H62</f>
        <v>6</v>
      </c>
      <c r="I15" s="97">
        <f>'Team and Player Stats'!I62</f>
        <v>1433</v>
      </c>
      <c r="J15" s="97">
        <f>'Team and Player Stats'!J62</f>
        <v>-223</v>
      </c>
      <c r="K15" s="99">
        <f>'Team and Player Stats'!K62</f>
        <v>0.8443824145</v>
      </c>
      <c r="L15" s="98">
        <f>'Team and Player Stats'!L62</f>
        <v>246</v>
      </c>
      <c r="M15" s="97">
        <f>'Team and Player Stats'!M62</f>
        <v>1441</v>
      </c>
      <c r="N15" s="97">
        <f>'Team and Player Stats'!N62</f>
        <v>19</v>
      </c>
      <c r="O15" s="100">
        <f>'Team and Player Stats'!O62</f>
        <v>349.1166667</v>
      </c>
      <c r="P15" s="97">
        <f>'Team and Player Stats'!P62</f>
        <v>58</v>
      </c>
      <c r="Q15" s="97">
        <f>'Team and Player Stats'!Q62</f>
        <v>32</v>
      </c>
      <c r="R15" s="97">
        <f>'Team and Player Stats'!R62</f>
        <v>83</v>
      </c>
      <c r="S15" s="97">
        <f>'Team and Player Stats'!S62</f>
        <v>23</v>
      </c>
      <c r="T15" s="97">
        <f>'Team and Player Stats'!T62</f>
        <v>163</v>
      </c>
      <c r="U15" s="97">
        <f>'Team and Player Stats'!U62</f>
        <v>31</v>
      </c>
      <c r="V15" s="97">
        <f>'Team and Player Stats'!V62</f>
        <v>6</v>
      </c>
      <c r="W15" s="97">
        <f>'Team and Player Stats'!W62</f>
        <v>1</v>
      </c>
      <c r="X15" s="97">
        <f>'Team and Player Stats'!X62</f>
        <v>0</v>
      </c>
      <c r="Y15" s="97">
        <f>'Team and Player Stats'!Y62</f>
        <v>0</v>
      </c>
      <c r="Z15" s="97">
        <f>'Team and Player Stats'!Z62</f>
        <v>0</v>
      </c>
      <c r="AA15" s="97">
        <f>'Team and Player Stats'!AA62</f>
        <v>0</v>
      </c>
      <c r="AB15" s="97">
        <f>'Team and Player Stats'!AB62</f>
        <v>0</v>
      </c>
      <c r="AC15" s="97">
        <f>'Team and Player Stats'!AC62</f>
        <v>17</v>
      </c>
      <c r="AD15" s="97">
        <f>'Team and Player Stats'!AD62</f>
        <v>0</v>
      </c>
      <c r="AE15" s="97">
        <f>'Team and Player Stats'!AE62</f>
        <v>0</v>
      </c>
      <c r="AF15" s="97">
        <f>'Team and Player Stats'!AF62</f>
        <v>0</v>
      </c>
      <c r="AG15" s="97">
        <f>'Team and Player Stats'!AG62</f>
        <v>0</v>
      </c>
      <c r="AH15" s="97">
        <f>'Team and Player Stats'!AH62</f>
        <v>1</v>
      </c>
    </row>
    <row r="16">
      <c r="A16" t="str">
        <f>'Team and Player Stats'!B35</f>
        <v>Molotov Ghost</v>
      </c>
      <c r="B16" t="str">
        <f>'Team and Player Stats'!A35</f>
        <v>Truthless and the Truthlessettes</v>
      </c>
      <c r="C16">
        <f>'Team and Player Stats'!C35</f>
        <v>13</v>
      </c>
      <c r="D16">
        <f>'Team and Player Stats'!D35</f>
        <v>3</v>
      </c>
      <c r="E16" s="101">
        <f>'Team and Player Stats'!E35</f>
        <v>295.4666667</v>
      </c>
      <c r="F16">
        <f>'Team and Player Stats'!F35</f>
        <v>16</v>
      </c>
      <c r="G16">
        <f>'Team and Player Stats'!G35</f>
        <v>480</v>
      </c>
      <c r="H16">
        <f>'Team and Player Stats'!H35</f>
        <v>3</v>
      </c>
      <c r="I16">
        <f>'Team and Player Stats'!I35</f>
        <v>843</v>
      </c>
      <c r="J16">
        <f>'Team and Player Stats'!J35</f>
        <v>-363</v>
      </c>
      <c r="K16" s="102">
        <f>'Team and Player Stats'!K35</f>
        <v>0.5693950178</v>
      </c>
      <c r="L16" s="101">
        <f>'Team and Player Stats'!L35</f>
        <v>222</v>
      </c>
      <c r="M16">
        <f>'Team and Player Stats'!M35</f>
        <v>575</v>
      </c>
      <c r="N16">
        <f>'Team and Player Stats'!N35</f>
        <v>13</v>
      </c>
      <c r="O16" s="103">
        <f>'Team and Player Stats'!O35</f>
        <v>295.4666667</v>
      </c>
      <c r="P16">
        <f>'Team and Player Stats'!P35</f>
        <v>28</v>
      </c>
      <c r="Q16">
        <f>'Team and Player Stats'!Q35</f>
        <v>24</v>
      </c>
      <c r="R16">
        <f>'Team and Player Stats'!R35</f>
        <v>9</v>
      </c>
      <c r="S16">
        <f>'Team and Player Stats'!S35</f>
        <v>15</v>
      </c>
      <c r="T16">
        <f>'Team and Player Stats'!T35</f>
        <v>41</v>
      </c>
      <c r="U16">
        <f>'Team and Player Stats'!U35</f>
        <v>4</v>
      </c>
      <c r="V16">
        <f>'Team and Player Stats'!V35</f>
        <v>0</v>
      </c>
      <c r="W16">
        <f>'Team and Player Stats'!W35</f>
        <v>0</v>
      </c>
      <c r="X16">
        <f>'Team and Player Stats'!X35</f>
        <v>0</v>
      </c>
      <c r="Y16">
        <f>'Team and Player Stats'!Y35</f>
        <v>0</v>
      </c>
      <c r="Z16">
        <f>'Team and Player Stats'!Z35</f>
        <v>0</v>
      </c>
      <c r="AA16">
        <f>'Team and Player Stats'!AA35</f>
        <v>0</v>
      </c>
      <c r="AB16">
        <f>'Team and Player Stats'!AB35</f>
        <v>0</v>
      </c>
      <c r="AC16">
        <f>'Team and Player Stats'!AC35</f>
        <v>1</v>
      </c>
      <c r="AD16">
        <f>'Team and Player Stats'!AD35</f>
        <v>0</v>
      </c>
      <c r="AE16">
        <f>'Team and Player Stats'!AE35</f>
        <v>0</v>
      </c>
      <c r="AF16">
        <f>'Team and Player Stats'!AF35</f>
        <v>0</v>
      </c>
      <c r="AG16">
        <f>'Team and Player Stats'!AG35</f>
        <v>0</v>
      </c>
      <c r="AH16">
        <f>'Team and Player Stats'!AH35</f>
        <v>0</v>
      </c>
    </row>
    <row r="17">
      <c r="A17" s="97" t="str">
        <f>'Team and Player Stats'!B61</f>
        <v>Perturbingly</v>
      </c>
      <c r="B17" s="97" t="str">
        <f>'Team and Player Stats'!A61</f>
        <v>Hypest</v>
      </c>
      <c r="C17" s="97">
        <f>'Team and Player Stats'!C61</f>
        <v>20</v>
      </c>
      <c r="D17" s="97">
        <f>'Team and Player Stats'!D61</f>
        <v>13</v>
      </c>
      <c r="E17" s="98">
        <f>'Team and Player Stats'!E61</f>
        <v>378.2666667</v>
      </c>
      <c r="F17" s="97">
        <f>'Team and Player Stats'!F61</f>
        <v>16</v>
      </c>
      <c r="G17" s="97">
        <f>'Team and Player Stats'!G61</f>
        <v>991</v>
      </c>
      <c r="H17" s="97">
        <f>'Team and Player Stats'!H61</f>
        <v>6</v>
      </c>
      <c r="I17" s="97">
        <f>'Team and Player Stats'!I61</f>
        <v>1063</v>
      </c>
      <c r="J17" s="97">
        <f>'Team and Player Stats'!J61</f>
        <v>-72</v>
      </c>
      <c r="K17" s="99">
        <f>'Team and Player Stats'!K61</f>
        <v>0.9322671684</v>
      </c>
      <c r="L17" s="98">
        <f>'Team and Player Stats'!L61</f>
        <v>348</v>
      </c>
      <c r="M17" s="97">
        <f>'Team and Player Stats'!M61</f>
        <v>1137</v>
      </c>
      <c r="N17" s="97">
        <f>'Team and Player Stats'!N61</f>
        <v>19</v>
      </c>
      <c r="O17" s="100">
        <f>'Team and Player Stats'!O61</f>
        <v>350.2666667</v>
      </c>
      <c r="P17" s="97">
        <f>'Team and Player Stats'!P61</f>
        <v>41</v>
      </c>
      <c r="Q17" s="97">
        <f>'Team and Player Stats'!Q61</f>
        <v>20</v>
      </c>
      <c r="R17" s="97">
        <f>'Team and Player Stats'!R61</f>
        <v>71</v>
      </c>
      <c r="S17" s="97">
        <f>'Team and Player Stats'!S61</f>
        <v>24</v>
      </c>
      <c r="T17" s="97">
        <f>'Team and Player Stats'!T61</f>
        <v>117</v>
      </c>
      <c r="U17" s="97">
        <f>'Team and Player Stats'!U61</f>
        <v>27</v>
      </c>
      <c r="V17" s="97">
        <f>'Team and Player Stats'!V61</f>
        <v>6</v>
      </c>
      <c r="W17" s="97">
        <f>'Team and Player Stats'!W61</f>
        <v>2</v>
      </c>
      <c r="X17" s="97">
        <f>'Team and Player Stats'!X61</f>
        <v>1</v>
      </c>
      <c r="Y17" s="97">
        <f>'Team and Player Stats'!Y61</f>
        <v>0</v>
      </c>
      <c r="Z17" s="97">
        <f>'Team and Player Stats'!Z61</f>
        <v>0</v>
      </c>
      <c r="AA17" s="97">
        <f>'Team and Player Stats'!AA61</f>
        <v>0</v>
      </c>
      <c r="AB17" s="97">
        <f>'Team and Player Stats'!AB61</f>
        <v>0</v>
      </c>
      <c r="AC17" s="97">
        <f>'Team and Player Stats'!AC61</f>
        <v>16</v>
      </c>
      <c r="AD17" s="97">
        <f>'Team and Player Stats'!AD61</f>
        <v>1</v>
      </c>
      <c r="AE17" s="97">
        <f>'Team and Player Stats'!AE61</f>
        <v>0</v>
      </c>
      <c r="AF17" s="97">
        <f>'Team and Player Stats'!AF61</f>
        <v>0</v>
      </c>
      <c r="AG17" s="97">
        <f>'Team and Player Stats'!AG61</f>
        <v>1</v>
      </c>
      <c r="AH17" s="97">
        <f>'Team and Player Stats'!AH61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101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102">
        <f>'Team and Player Stats'!K24</f>
        <v>1.005678233</v>
      </c>
      <c r="L18" s="101">
        <f>'Team and Player Stats'!L24</f>
        <v>302</v>
      </c>
      <c r="M18">
        <f>'Team and Player Stats'!M24</f>
        <v>1845</v>
      </c>
      <c r="N18">
        <f>'Team and Player Stats'!N24</f>
        <v>17</v>
      </c>
      <c r="O18" s="103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97" t="str">
        <f>'Team and Player Stats'!B5</f>
        <v>Sabasauros Rex</v>
      </c>
      <c r="B19" s="97" t="str">
        <f>'Team and Player Stats'!A5</f>
        <v>Defiance</v>
      </c>
      <c r="C19" s="97">
        <f>'Team and Player Stats'!C5</f>
        <v>16</v>
      </c>
      <c r="D19" s="97">
        <f>'Team and Player Stats'!D5</f>
        <v>10</v>
      </c>
      <c r="E19" s="98">
        <f>'Team and Player Stats'!E5</f>
        <v>454</v>
      </c>
      <c r="F19" s="97">
        <f>'Team and Player Stats'!F5</f>
        <v>13</v>
      </c>
      <c r="G19" s="97">
        <f>'Team and Player Stats'!G5</f>
        <v>1748</v>
      </c>
      <c r="H19" s="97">
        <f>'Team and Player Stats'!H5</f>
        <v>11</v>
      </c>
      <c r="I19" s="97">
        <f>'Team and Player Stats'!I5</f>
        <v>1684</v>
      </c>
      <c r="J19" s="97">
        <f>'Team and Player Stats'!J5</f>
        <v>64</v>
      </c>
      <c r="K19" s="99">
        <f>'Team and Player Stats'!K5</f>
        <v>1.038004751</v>
      </c>
      <c r="L19" s="98">
        <f>'Team and Player Stats'!L5</f>
        <v>226</v>
      </c>
      <c r="M19" s="97">
        <f>'Team and Player Stats'!M5</f>
        <v>2216</v>
      </c>
      <c r="N19" s="97">
        <f>'Team and Player Stats'!N5</f>
        <v>13</v>
      </c>
      <c r="O19" s="100">
        <f>'Team and Player Stats'!O5</f>
        <v>419</v>
      </c>
      <c r="P19" s="97">
        <f>'Team and Player Stats'!P5</f>
        <v>75</v>
      </c>
      <c r="Q19" s="97">
        <f>'Team and Player Stats'!Q5</f>
        <v>25</v>
      </c>
      <c r="R19" s="97">
        <f>'Team and Player Stats'!R5</f>
        <v>128</v>
      </c>
      <c r="S19" s="97">
        <f>'Team and Player Stats'!S5</f>
        <v>27</v>
      </c>
      <c r="T19" s="97">
        <f>'Team and Player Stats'!T5</f>
        <v>219</v>
      </c>
      <c r="U19" s="97">
        <f>'Team and Player Stats'!U5</f>
        <v>51</v>
      </c>
      <c r="V19" s="97">
        <f>'Team and Player Stats'!V5</f>
        <v>10</v>
      </c>
      <c r="W19" s="97">
        <f>'Team and Player Stats'!W5</f>
        <v>1</v>
      </c>
      <c r="X19" s="97">
        <f>'Team and Player Stats'!X5</f>
        <v>0</v>
      </c>
      <c r="Y19" s="97">
        <f>'Team and Player Stats'!Y5</f>
        <v>0</v>
      </c>
      <c r="Z19" s="97">
        <f>'Team and Player Stats'!Z5</f>
        <v>0</v>
      </c>
      <c r="AA19" s="97">
        <f>'Team and Player Stats'!AA5</f>
        <v>0</v>
      </c>
      <c r="AB19" s="97">
        <f>'Team and Player Stats'!AB5</f>
        <v>0</v>
      </c>
      <c r="AC19" s="97">
        <f>'Team and Player Stats'!AC5</f>
        <v>36</v>
      </c>
      <c r="AD19" s="97">
        <f>'Team and Player Stats'!AD5</f>
        <v>2</v>
      </c>
      <c r="AE19" s="97">
        <f>'Team and Player Stats'!AE5</f>
        <v>0</v>
      </c>
      <c r="AF19" s="97">
        <f>'Team and Player Stats'!AF5</f>
        <v>0</v>
      </c>
      <c r="AG19" s="97">
        <f>'Team and Player Stats'!AG5</f>
        <v>2</v>
      </c>
      <c r="AH19" s="97">
        <f>'Team and Player Stats'!AH5</f>
        <v>0</v>
      </c>
    </row>
    <row r="20">
      <c r="A20" t="str">
        <f>'Team and Player Stats'!B39</f>
        <v>Ace B S1lentND1</v>
      </c>
      <c r="B20" t="str">
        <f>'Team and Player Stats'!A39</f>
        <v>On the Fence</v>
      </c>
      <c r="C20">
        <f>'Team and Player Stats'!C39</f>
        <v>14</v>
      </c>
      <c r="D20">
        <f>'Team and Player Stats'!D39</f>
        <v>3</v>
      </c>
      <c r="E20" s="101">
        <f>'Team and Player Stats'!E39</f>
        <v>285.2</v>
      </c>
      <c r="F20">
        <f>'Team and Player Stats'!F39</f>
        <v>12</v>
      </c>
      <c r="G20">
        <f>'Team and Player Stats'!G39</f>
        <v>960</v>
      </c>
      <c r="H20">
        <f>'Team and Player Stats'!H39</f>
        <v>6</v>
      </c>
      <c r="I20">
        <f>'Team and Player Stats'!I39</f>
        <v>958</v>
      </c>
      <c r="J20">
        <f>'Team and Player Stats'!J39</f>
        <v>2</v>
      </c>
      <c r="K20" s="102">
        <f>'Team and Player Stats'!K39</f>
        <v>1.002087683</v>
      </c>
      <c r="L20" s="101">
        <f>'Team and Player Stats'!L39</f>
        <v>212</v>
      </c>
      <c r="M20">
        <f>'Team and Player Stats'!M39</f>
        <v>1246</v>
      </c>
      <c r="N20">
        <f>'Team and Player Stats'!N39</f>
        <v>14</v>
      </c>
      <c r="O20" s="103">
        <f>'Team and Player Stats'!O39</f>
        <v>285.2</v>
      </c>
      <c r="P20">
        <f>'Team and Player Stats'!P39</f>
        <v>50</v>
      </c>
      <c r="Q20">
        <f>'Team and Player Stats'!Q39</f>
        <v>16</v>
      </c>
      <c r="R20">
        <f>'Team and Player Stats'!R39</f>
        <v>57</v>
      </c>
      <c r="S20">
        <f>'Team and Player Stats'!S39</f>
        <v>18</v>
      </c>
      <c r="T20">
        <f>'Team and Player Stats'!T39</f>
        <v>144</v>
      </c>
      <c r="U20">
        <f>'Team and Player Stats'!U39</f>
        <v>24</v>
      </c>
      <c r="V20">
        <f>'Team and Player Stats'!V39</f>
        <v>8</v>
      </c>
      <c r="W20">
        <f>'Team and Player Stats'!W39</f>
        <v>4</v>
      </c>
      <c r="X20">
        <f>'Team and Player Stats'!X39</f>
        <v>2</v>
      </c>
      <c r="Y20">
        <f>'Team and Player Stats'!Y39</f>
        <v>0</v>
      </c>
      <c r="Z20">
        <f>'Team and Player Stats'!Z39</f>
        <v>0</v>
      </c>
      <c r="AA20">
        <f>'Team and Player Stats'!AA39</f>
        <v>0</v>
      </c>
      <c r="AB20">
        <f>'Team and Player Stats'!AB39</f>
        <v>0</v>
      </c>
      <c r="AC20">
        <f>'Team and Player Stats'!AC39</f>
        <v>22</v>
      </c>
      <c r="AD20">
        <f>'Team and Player Stats'!AD39</f>
        <v>1</v>
      </c>
      <c r="AE20">
        <f>'Team and Player Stats'!AE39</f>
        <v>0</v>
      </c>
      <c r="AF20">
        <f>'Team and Player Stats'!AF39</f>
        <v>0</v>
      </c>
      <c r="AG20">
        <f>'Team and Player Stats'!AG39</f>
        <v>0</v>
      </c>
      <c r="AH20">
        <f>'Team and Player Stats'!AH39</f>
        <v>1</v>
      </c>
    </row>
    <row r="21">
      <c r="A21" s="97" t="str">
        <f>'Team and Player Stats'!B41</f>
        <v>blim</v>
      </c>
      <c r="B21" s="97" t="str">
        <f>'Team and Player Stats'!A41</f>
        <v>On the Fence</v>
      </c>
      <c r="C21" s="97">
        <f>'Team and Player Stats'!C41</f>
        <v>13</v>
      </c>
      <c r="D21" s="97">
        <f>'Team and Player Stats'!D41</f>
        <v>2</v>
      </c>
      <c r="E21" s="98">
        <f>'Team and Player Stats'!E41</f>
        <v>271.15</v>
      </c>
      <c r="F21" s="97">
        <f>'Team and Player Stats'!F41</f>
        <v>10</v>
      </c>
      <c r="G21" s="97">
        <f>'Team and Player Stats'!G41</f>
        <v>815</v>
      </c>
      <c r="H21" s="97">
        <f>'Team and Player Stats'!H41</f>
        <v>3</v>
      </c>
      <c r="I21" s="97">
        <f>'Team and Player Stats'!I41</f>
        <v>835</v>
      </c>
      <c r="J21" s="97">
        <f>'Team and Player Stats'!J41</f>
        <v>-20</v>
      </c>
      <c r="K21" s="99">
        <f>'Team and Player Stats'!K41</f>
        <v>0.9760479042</v>
      </c>
      <c r="L21" s="98">
        <f>'Team and Player Stats'!L41</f>
        <v>222</v>
      </c>
      <c r="M21" s="97">
        <f>'Team and Player Stats'!M41</f>
        <v>1053</v>
      </c>
      <c r="N21" s="97">
        <f>'Team and Player Stats'!N41</f>
        <v>13</v>
      </c>
      <c r="O21" s="100">
        <f>'Team and Player Stats'!O41</f>
        <v>271.15</v>
      </c>
      <c r="P21" s="97">
        <f>'Team and Player Stats'!P41</f>
        <v>38</v>
      </c>
      <c r="Q21" s="97">
        <f>'Team and Player Stats'!Q41</f>
        <v>18</v>
      </c>
      <c r="R21" s="97">
        <f>'Team and Player Stats'!R41</f>
        <v>47</v>
      </c>
      <c r="S21" s="97">
        <f>'Team and Player Stats'!S41</f>
        <v>22</v>
      </c>
      <c r="T21" s="97">
        <f>'Team and Player Stats'!T41</f>
        <v>124</v>
      </c>
      <c r="U21" s="97">
        <f>'Team and Player Stats'!U41</f>
        <v>19</v>
      </c>
      <c r="V21" s="97">
        <f>'Team and Player Stats'!V41</f>
        <v>3</v>
      </c>
      <c r="W21" s="97">
        <f>'Team and Player Stats'!W41</f>
        <v>1</v>
      </c>
      <c r="X21" s="97">
        <f>'Team and Player Stats'!X41</f>
        <v>1</v>
      </c>
      <c r="Y21" s="97">
        <f>'Team and Player Stats'!Y41</f>
        <v>1</v>
      </c>
      <c r="Z21" s="97">
        <f>'Team and Player Stats'!Z41</f>
        <v>0</v>
      </c>
      <c r="AA21" s="97">
        <f>'Team and Player Stats'!AA41</f>
        <v>0</v>
      </c>
      <c r="AB21" s="97">
        <f>'Team and Player Stats'!AB41</f>
        <v>0</v>
      </c>
      <c r="AC21" s="97">
        <f>'Team and Player Stats'!AC41</f>
        <v>21</v>
      </c>
      <c r="AD21" s="97">
        <f>'Team and Player Stats'!AD41</f>
        <v>0</v>
      </c>
      <c r="AE21" s="97">
        <f>'Team and Player Stats'!AE41</f>
        <v>0</v>
      </c>
      <c r="AF21" s="97">
        <f>'Team and Player Stats'!AF41</f>
        <v>0</v>
      </c>
      <c r="AG21" s="97">
        <f>'Team and Player Stats'!AG41</f>
        <v>1</v>
      </c>
      <c r="AH21" s="97">
        <f>'Team and Player Stats'!AH41</f>
        <v>0</v>
      </c>
    </row>
    <row r="22">
      <c r="A22" t="str">
        <f>'Team and Player Stats'!B53</f>
        <v>TnTaylor</v>
      </c>
      <c r="B22" t="str">
        <f>'Team and Player Stats'!A53</f>
        <v>Silva's Connection</v>
      </c>
      <c r="C22">
        <f>'Team and Player Stats'!C53</f>
        <v>20</v>
      </c>
      <c r="D22">
        <f>'Team and Player Stats'!D53</f>
        <v>6</v>
      </c>
      <c r="E22" s="101">
        <f>'Team and Player Stats'!E53</f>
        <v>560.9166667</v>
      </c>
      <c r="F22">
        <f>'Team and Player Stats'!F53</f>
        <v>10</v>
      </c>
      <c r="G22">
        <f>'Team and Player Stats'!G53</f>
        <v>1823</v>
      </c>
      <c r="H22">
        <f>'Team and Player Stats'!H53</f>
        <v>6</v>
      </c>
      <c r="I22">
        <f>'Team and Player Stats'!I53</f>
        <v>1752</v>
      </c>
      <c r="J22">
        <f>'Team and Player Stats'!J53</f>
        <v>71</v>
      </c>
      <c r="K22" s="102">
        <f>'Team and Player Stats'!K53</f>
        <v>1.040525114</v>
      </c>
      <c r="L22" s="101">
        <f>'Team and Player Stats'!L53</f>
        <v>329</v>
      </c>
      <c r="M22">
        <f>'Team and Player Stats'!M53</f>
        <v>2328</v>
      </c>
      <c r="N22">
        <f>'Team and Player Stats'!N53</f>
        <v>20</v>
      </c>
      <c r="O22" s="103">
        <f>'Team and Player Stats'!O53</f>
        <v>560.9166667</v>
      </c>
      <c r="P22">
        <f>'Team and Player Stats'!P53</f>
        <v>92</v>
      </c>
      <c r="Q22">
        <f>'Team and Player Stats'!Q53</f>
        <v>74</v>
      </c>
      <c r="R22">
        <f>'Team and Player Stats'!R53</f>
        <v>124</v>
      </c>
      <c r="S22">
        <f>'Team and Player Stats'!S53</f>
        <v>39</v>
      </c>
      <c r="T22">
        <f>'Team and Player Stats'!T53</f>
        <v>225</v>
      </c>
      <c r="U22">
        <f>'Team and Player Stats'!U53</f>
        <v>40</v>
      </c>
      <c r="V22">
        <f>'Team and Player Stats'!V53</f>
        <v>11</v>
      </c>
      <c r="W22">
        <f>'Team and Player Stats'!W53</f>
        <v>2</v>
      </c>
      <c r="X22">
        <f>'Team and Player Stats'!X53</f>
        <v>1</v>
      </c>
      <c r="Y22">
        <f>'Team and Player Stats'!Y53</f>
        <v>0</v>
      </c>
      <c r="Z22">
        <f>'Team and Player Stats'!Z53</f>
        <v>0</v>
      </c>
      <c r="AA22">
        <f>'Team and Player Stats'!AA53</f>
        <v>0</v>
      </c>
      <c r="AB22">
        <f>'Team and Player Stats'!AB53</f>
        <v>0</v>
      </c>
      <c r="AC22">
        <f>'Team and Player Stats'!AC53</f>
        <v>45</v>
      </c>
      <c r="AD22">
        <f>'Team and Player Stats'!AD53</f>
        <v>1</v>
      </c>
      <c r="AE22">
        <f>'Team and Player Stats'!AE53</f>
        <v>0</v>
      </c>
      <c r="AF22">
        <f>'Team and Player Stats'!AF53</f>
        <v>0</v>
      </c>
      <c r="AG22">
        <f>'Team and Player Stats'!AG53</f>
        <v>0</v>
      </c>
      <c r="AH22">
        <f>'Team and Player Stats'!AH53</f>
        <v>2</v>
      </c>
    </row>
    <row r="23">
      <c r="A23" s="97" t="str">
        <f>'Team and Player Stats'!B60</f>
        <v>Blootzy</v>
      </c>
      <c r="B23" s="97" t="str">
        <f>'Team and Player Stats'!A60</f>
        <v>Hypest</v>
      </c>
      <c r="C23" s="97">
        <f>'Team and Player Stats'!C60</f>
        <v>20</v>
      </c>
      <c r="D23" s="97">
        <f>'Team and Player Stats'!D60</f>
        <v>13</v>
      </c>
      <c r="E23" s="98">
        <f>'Team and Player Stats'!E60</f>
        <v>377.2166667</v>
      </c>
      <c r="F23" s="97">
        <f>'Team and Player Stats'!F60</f>
        <v>8</v>
      </c>
      <c r="G23" s="97">
        <f>'Team and Player Stats'!G60</f>
        <v>1417</v>
      </c>
      <c r="H23" s="97">
        <f>'Team and Player Stats'!H60</f>
        <v>12</v>
      </c>
      <c r="I23" s="97">
        <f>'Team and Player Stats'!I60</f>
        <v>1530</v>
      </c>
      <c r="J23" s="97">
        <f>'Team and Player Stats'!J60</f>
        <v>-113</v>
      </c>
      <c r="K23" s="99">
        <f>'Team and Player Stats'!K60</f>
        <v>0.9261437908</v>
      </c>
      <c r="L23" s="98">
        <f>'Team and Player Stats'!L60</f>
        <v>213</v>
      </c>
      <c r="M23" s="97">
        <f>'Team and Player Stats'!M60</f>
        <v>1682</v>
      </c>
      <c r="N23" s="97">
        <f>'Team and Player Stats'!N60</f>
        <v>19</v>
      </c>
      <c r="O23" s="100">
        <f>'Team and Player Stats'!O60</f>
        <v>349.2166667</v>
      </c>
      <c r="P23" s="97">
        <f>'Team and Player Stats'!P60</f>
        <v>57</v>
      </c>
      <c r="Q23" s="97">
        <f>'Team and Player Stats'!Q60</f>
        <v>38</v>
      </c>
      <c r="R23" s="97">
        <f>'Team and Player Stats'!R60</f>
        <v>91</v>
      </c>
      <c r="S23" s="97">
        <f>'Team and Player Stats'!S60</f>
        <v>17</v>
      </c>
      <c r="T23" s="97">
        <f>'Team and Player Stats'!T60</f>
        <v>224</v>
      </c>
      <c r="U23" s="97">
        <f>'Team and Player Stats'!U60</f>
        <v>41</v>
      </c>
      <c r="V23" s="97">
        <f>'Team and Player Stats'!V60</f>
        <v>16</v>
      </c>
      <c r="W23" s="97">
        <f>'Team and Player Stats'!W60</f>
        <v>3</v>
      </c>
      <c r="X23" s="97">
        <f>'Team and Player Stats'!X60</f>
        <v>2</v>
      </c>
      <c r="Y23" s="97">
        <f>'Team and Player Stats'!Y60</f>
        <v>2</v>
      </c>
      <c r="Z23" s="97">
        <f>'Team and Player Stats'!Z60</f>
        <v>0</v>
      </c>
      <c r="AA23" s="97">
        <f>'Team and Player Stats'!AA60</f>
        <v>0</v>
      </c>
      <c r="AB23" s="97">
        <f>'Team and Player Stats'!AB60</f>
        <v>0</v>
      </c>
      <c r="AC23" s="97">
        <f>'Team and Player Stats'!AC60</f>
        <v>19</v>
      </c>
      <c r="AD23" s="97">
        <f>'Team and Player Stats'!AD60</f>
        <v>0</v>
      </c>
      <c r="AE23" s="97">
        <f>'Team and Player Stats'!AE60</f>
        <v>0</v>
      </c>
      <c r="AF23" s="97">
        <f>'Team and Player Stats'!AF60</f>
        <v>0</v>
      </c>
      <c r="AG23" s="97">
        <f>'Team and Player Stats'!AG60</f>
        <v>1</v>
      </c>
      <c r="AH23" s="97">
        <f>'Team and Player Stats'!AH60</f>
        <v>0</v>
      </c>
    </row>
    <row r="24">
      <c r="A24" t="str">
        <f>'Team and Player Stats'!B54</f>
        <v>Elementary</v>
      </c>
      <c r="B24" t="str">
        <f>'Team and Player Stats'!A54</f>
        <v>Silva's Connection</v>
      </c>
      <c r="C24">
        <f>'Team and Player Stats'!C54</f>
        <v>20</v>
      </c>
      <c r="D24">
        <f>'Team and Player Stats'!D54</f>
        <v>6</v>
      </c>
      <c r="E24" s="101">
        <f>'Team and Player Stats'!E54</f>
        <v>560.5</v>
      </c>
      <c r="F24">
        <f>'Team and Player Stats'!F54</f>
        <v>7</v>
      </c>
      <c r="G24">
        <f>'Team and Player Stats'!G54</f>
        <v>2236</v>
      </c>
      <c r="H24">
        <f>'Team and Player Stats'!H54</f>
        <v>10</v>
      </c>
      <c r="I24">
        <f>'Team and Player Stats'!I54</f>
        <v>2187</v>
      </c>
      <c r="J24">
        <f>'Team and Player Stats'!J54</f>
        <v>49</v>
      </c>
      <c r="K24" s="102">
        <f>'Team and Player Stats'!K54</f>
        <v>1.022405121</v>
      </c>
      <c r="L24" s="101">
        <f>'Team and Player Stats'!L54</f>
        <v>251</v>
      </c>
      <c r="M24">
        <f>'Team and Player Stats'!M54</f>
        <v>2929</v>
      </c>
      <c r="N24">
        <f>'Team and Player Stats'!N54</f>
        <v>20</v>
      </c>
      <c r="O24" s="103">
        <f>'Team and Player Stats'!O54</f>
        <v>560.5</v>
      </c>
      <c r="P24">
        <f>'Team and Player Stats'!P54</f>
        <v>88</v>
      </c>
      <c r="Q24">
        <f>'Team and Player Stats'!Q54</f>
        <v>34</v>
      </c>
      <c r="R24">
        <f>'Team and Player Stats'!R54</f>
        <v>172</v>
      </c>
      <c r="S24">
        <f>'Team and Player Stats'!S54</f>
        <v>45</v>
      </c>
      <c r="T24">
        <f>'Team and Player Stats'!T54</f>
        <v>362</v>
      </c>
      <c r="U24">
        <f>'Team and Player Stats'!U54</f>
        <v>66</v>
      </c>
      <c r="V24">
        <f>'Team and Player Stats'!V54</f>
        <v>17</v>
      </c>
      <c r="W24">
        <f>'Team and Player Stats'!W54</f>
        <v>3</v>
      </c>
      <c r="X24">
        <f>'Team and Player Stats'!X54</f>
        <v>0</v>
      </c>
      <c r="Y24">
        <f>'Team and Player Stats'!Y54</f>
        <v>0</v>
      </c>
      <c r="Z24">
        <f>'Team and Player Stats'!Z54</f>
        <v>0</v>
      </c>
      <c r="AA24">
        <f>'Team and Player Stats'!AA54</f>
        <v>0</v>
      </c>
      <c r="AB24">
        <f>'Team and Player Stats'!AB54</f>
        <v>0</v>
      </c>
      <c r="AC24">
        <f>'Team and Player Stats'!AC54</f>
        <v>47</v>
      </c>
      <c r="AD24">
        <f>'Team and Player Stats'!AD54</f>
        <v>0</v>
      </c>
      <c r="AE24">
        <f>'Team and Player Stats'!AE54</f>
        <v>0</v>
      </c>
      <c r="AF24">
        <f>'Team and Player Stats'!AF54</f>
        <v>0</v>
      </c>
      <c r="AG24">
        <f>'Team and Player Stats'!AG54</f>
        <v>1</v>
      </c>
      <c r="AH24">
        <f>'Team and Player Stats'!AH54</f>
        <v>0</v>
      </c>
    </row>
    <row r="25">
      <c r="A25" s="97" t="str">
        <f>'Team and Player Stats'!B73</f>
        <v>Rage More Nerd</v>
      </c>
      <c r="B25" s="97" t="str">
        <f>'Team and Player Stats'!A73</f>
        <v>Mediocre at Best</v>
      </c>
      <c r="C25" s="97">
        <f>'Team and Player Stats'!C73</f>
        <v>20</v>
      </c>
      <c r="D25" s="97">
        <f>'Team and Player Stats'!D73</f>
        <v>10</v>
      </c>
      <c r="E25" s="98">
        <f>'Team and Player Stats'!E73</f>
        <v>395.9333333</v>
      </c>
      <c r="F25" s="97">
        <f>'Team and Player Stats'!F73</f>
        <v>6</v>
      </c>
      <c r="G25" s="97">
        <f>'Team and Player Stats'!G73</f>
        <v>1749</v>
      </c>
      <c r="H25" s="97">
        <f>'Team and Player Stats'!H73</f>
        <v>9</v>
      </c>
      <c r="I25" s="97">
        <f>'Team and Player Stats'!I73</f>
        <v>1520</v>
      </c>
      <c r="J25" s="97">
        <f>'Team and Player Stats'!J73</f>
        <v>229</v>
      </c>
      <c r="K25" s="99">
        <f>'Team and Player Stats'!K73</f>
        <v>1.150657895</v>
      </c>
      <c r="L25" s="98">
        <f>'Team and Player Stats'!L73</f>
        <v>270</v>
      </c>
      <c r="M25" s="97">
        <f>'Team and Player Stats'!M73</f>
        <v>2314</v>
      </c>
      <c r="N25" s="97">
        <f>'Team and Player Stats'!N73</f>
        <v>20</v>
      </c>
      <c r="O25" s="100">
        <f>'Team and Player Stats'!O73</f>
        <v>395.9333333</v>
      </c>
      <c r="P25" s="97">
        <f>'Team and Player Stats'!P73</f>
        <v>67</v>
      </c>
      <c r="Q25" s="97">
        <f>'Team and Player Stats'!Q73</f>
        <v>29</v>
      </c>
      <c r="R25" s="97">
        <f>'Team and Player Stats'!R73</f>
        <v>137</v>
      </c>
      <c r="S25" s="97">
        <f>'Team and Player Stats'!S73</f>
        <v>41</v>
      </c>
      <c r="T25" s="97">
        <f>'Team and Player Stats'!T73</f>
        <v>278</v>
      </c>
      <c r="U25" s="97">
        <f>'Team and Player Stats'!U73</f>
        <v>52</v>
      </c>
      <c r="V25" s="97">
        <f>'Team and Player Stats'!V73</f>
        <v>16</v>
      </c>
      <c r="W25" s="97">
        <f>'Team and Player Stats'!W73</f>
        <v>5</v>
      </c>
      <c r="X25" s="97">
        <f>'Team and Player Stats'!X73</f>
        <v>1</v>
      </c>
      <c r="Y25" s="97">
        <f>'Team and Player Stats'!Y73</f>
        <v>0</v>
      </c>
      <c r="Z25" s="97">
        <f>'Team and Player Stats'!Z73</f>
        <v>0</v>
      </c>
      <c r="AA25" s="97">
        <f>'Team and Player Stats'!AA73</f>
        <v>0</v>
      </c>
      <c r="AB25" s="97">
        <f>'Team and Player Stats'!AB73</f>
        <v>0</v>
      </c>
      <c r="AC25" s="97">
        <f>'Team and Player Stats'!AC73</f>
        <v>47</v>
      </c>
      <c r="AD25" s="97">
        <f>'Team and Player Stats'!AD73</f>
        <v>0</v>
      </c>
      <c r="AE25" s="97">
        <f>'Team and Player Stats'!AE73</f>
        <v>0</v>
      </c>
      <c r="AF25" s="97">
        <f>'Team and Player Stats'!AF73</f>
        <v>0</v>
      </c>
      <c r="AG25" s="97">
        <f>'Team and Player Stats'!AG73</f>
        <v>2</v>
      </c>
      <c r="AH25" s="97">
        <f>'Team and Player Stats'!AH73</f>
        <v>0</v>
      </c>
    </row>
    <row r="26">
      <c r="A26" t="str">
        <f>'Team and Player Stats'!B19</f>
        <v>Gilded Grams</v>
      </c>
      <c r="B26" t="str">
        <f>'Team and Player Stats'!A19</f>
        <v>Junkyard Dogs</v>
      </c>
      <c r="C26">
        <f>'Team and Player Stats'!C19</f>
        <v>18</v>
      </c>
      <c r="D26">
        <f>'Team and Player Stats'!D19</f>
        <v>6</v>
      </c>
      <c r="E26" s="101">
        <f>'Team and Player Stats'!E19</f>
        <v>525.4666667</v>
      </c>
      <c r="F26">
        <f>'Team and Player Stats'!F19</f>
        <v>6</v>
      </c>
      <c r="G26">
        <f>'Team and Player Stats'!G19</f>
        <v>2263</v>
      </c>
      <c r="H26">
        <f>'Team and Player Stats'!H19</f>
        <v>7</v>
      </c>
      <c r="I26">
        <f>'Team and Player Stats'!I19</f>
        <v>1972</v>
      </c>
      <c r="J26">
        <f>'Team and Player Stats'!J19</f>
        <v>291</v>
      </c>
      <c r="K26" s="102">
        <f>'Team and Player Stats'!K19</f>
        <v>1.147565923</v>
      </c>
      <c r="L26" s="101">
        <f>'Team and Player Stats'!L19</f>
        <v>253</v>
      </c>
      <c r="M26">
        <f>'Team and Player Stats'!M19</f>
        <v>2928</v>
      </c>
      <c r="N26">
        <f>'Team and Player Stats'!N19</f>
        <v>18</v>
      </c>
      <c r="O26" s="103">
        <f>'Team and Player Stats'!O19</f>
        <v>525.4666667</v>
      </c>
      <c r="P26">
        <f>'Team and Player Stats'!P19</f>
        <v>83</v>
      </c>
      <c r="Q26">
        <f>'Team and Player Stats'!Q19</f>
        <v>74</v>
      </c>
      <c r="R26">
        <f>'Team and Player Stats'!R19</f>
        <v>115</v>
      </c>
      <c r="S26">
        <f>'Team and Player Stats'!S19</f>
        <v>36</v>
      </c>
      <c r="T26">
        <f>'Team and Player Stats'!T19</f>
        <v>360</v>
      </c>
      <c r="U26">
        <f>'Team and Player Stats'!U19</f>
        <v>59</v>
      </c>
      <c r="V26">
        <f>'Team and Player Stats'!V19</f>
        <v>11</v>
      </c>
      <c r="W26">
        <f>'Team and Player Stats'!W19</f>
        <v>3</v>
      </c>
      <c r="X26">
        <f>'Team and Player Stats'!X19</f>
        <v>0</v>
      </c>
      <c r="Y26">
        <f>'Team and Player Stats'!Y19</f>
        <v>0</v>
      </c>
      <c r="Z26">
        <f>'Team and Player Stats'!Z19</f>
        <v>0</v>
      </c>
      <c r="AA26">
        <f>'Team and Player Stats'!AA19</f>
        <v>0</v>
      </c>
      <c r="AB26">
        <f>'Team and Player Stats'!AB19</f>
        <v>0</v>
      </c>
      <c r="AC26">
        <f>'Team and Player Stats'!AC19</f>
        <v>68</v>
      </c>
      <c r="AD26">
        <f>'Team and Player Stats'!AD19</f>
        <v>1</v>
      </c>
      <c r="AE26">
        <f>'Team and Player Stats'!AE19</f>
        <v>0</v>
      </c>
      <c r="AF26">
        <f>'Team and Player Stats'!AF19</f>
        <v>0</v>
      </c>
      <c r="AG26">
        <f>'Team and Player Stats'!AG19</f>
        <v>2</v>
      </c>
      <c r="AH26">
        <f>'Team and Player Stats'!AH19</f>
        <v>9</v>
      </c>
    </row>
    <row r="27">
      <c r="A27" s="97" t="str">
        <f>'Team and Player Stats'!B66</f>
        <v>imShad</v>
      </c>
      <c r="B27" s="97" t="str">
        <f>'Team and Player Stats'!A66</f>
        <v>Monstars</v>
      </c>
      <c r="C27" s="97">
        <f>'Team and Player Stats'!C66</f>
        <v>20</v>
      </c>
      <c r="D27" s="97">
        <f>'Team and Player Stats'!D66</f>
        <v>16</v>
      </c>
      <c r="E27" s="98">
        <f>'Team and Player Stats'!E66</f>
        <v>380.1166667</v>
      </c>
      <c r="F27" s="97">
        <f>'Team and Player Stats'!F66</f>
        <v>6</v>
      </c>
      <c r="G27" s="97">
        <f>'Team and Player Stats'!G66</f>
        <v>1681</v>
      </c>
      <c r="H27" s="97">
        <f>'Team and Player Stats'!H66</f>
        <v>13</v>
      </c>
      <c r="I27" s="97">
        <f>'Team and Player Stats'!I66</f>
        <v>1253</v>
      </c>
      <c r="J27" s="97">
        <f>'Team and Player Stats'!J66</f>
        <v>428</v>
      </c>
      <c r="K27" s="99">
        <f>'Team and Player Stats'!K66</f>
        <v>1.341580208</v>
      </c>
      <c r="L27" s="98">
        <f>'Team and Player Stats'!L66</f>
        <v>306</v>
      </c>
      <c r="M27" s="97">
        <f>'Team and Player Stats'!M66</f>
        <v>2321</v>
      </c>
      <c r="N27" s="97">
        <f>'Team and Player Stats'!N66</f>
        <v>17</v>
      </c>
      <c r="O27" s="100">
        <f>'Team and Player Stats'!O66</f>
        <v>345.1166667</v>
      </c>
      <c r="P27" s="97">
        <f>'Team and Player Stats'!P66</f>
        <v>52</v>
      </c>
      <c r="Q27" s="97">
        <f>'Team and Player Stats'!Q66</f>
        <v>13</v>
      </c>
      <c r="R27" s="97">
        <f>'Team and Player Stats'!R66</f>
        <v>174</v>
      </c>
      <c r="S27" s="97">
        <f>'Team and Player Stats'!S66</f>
        <v>24</v>
      </c>
      <c r="T27" s="97">
        <f>'Team and Player Stats'!T66</f>
        <v>251</v>
      </c>
      <c r="U27" s="97">
        <f>'Team and Player Stats'!U66</f>
        <v>60</v>
      </c>
      <c r="V27" s="97">
        <f>'Team and Player Stats'!V66</f>
        <v>26</v>
      </c>
      <c r="W27" s="97">
        <f>'Team and Player Stats'!W66</f>
        <v>16</v>
      </c>
      <c r="X27" s="97">
        <f>'Team and Player Stats'!X66</f>
        <v>3</v>
      </c>
      <c r="Y27" s="97">
        <f>'Team and Player Stats'!Y66</f>
        <v>1</v>
      </c>
      <c r="Z27" s="97">
        <f>'Team and Player Stats'!Z66</f>
        <v>0</v>
      </c>
      <c r="AA27" s="97">
        <f>'Team and Player Stats'!AA66</f>
        <v>0</v>
      </c>
      <c r="AB27" s="97">
        <f>'Team and Player Stats'!AB66</f>
        <v>0</v>
      </c>
      <c r="AC27" s="97">
        <f>'Team and Player Stats'!AC66</f>
        <v>57</v>
      </c>
      <c r="AD27" s="97">
        <f>'Team and Player Stats'!AD66</f>
        <v>2</v>
      </c>
      <c r="AE27" s="97">
        <f>'Team and Player Stats'!AE66</f>
        <v>0</v>
      </c>
      <c r="AF27" s="97">
        <f>'Team and Player Stats'!AF66</f>
        <v>0</v>
      </c>
      <c r="AG27" s="97">
        <f>'Team and Player Stats'!AG66</f>
        <v>2</v>
      </c>
      <c r="AH27" s="97">
        <f>'Team and Player Stats'!AH66</f>
        <v>0</v>
      </c>
    </row>
    <row r="28">
      <c r="A28" t="str">
        <f>'Team and Player Stats'!B11</f>
        <v>Saintz the God</v>
      </c>
      <c r="B28" t="str">
        <f>'Team and Player Stats'!A11</f>
        <v>In MuNgO We Trust</v>
      </c>
      <c r="C28">
        <f>'Team and Player Stats'!C11</f>
        <v>12</v>
      </c>
      <c r="D28">
        <f>'Team and Player Stats'!D11</f>
        <v>7</v>
      </c>
      <c r="E28" s="101">
        <f>'Team and Player Stats'!E11</f>
        <v>371.5</v>
      </c>
      <c r="F28">
        <f>'Team and Player Stats'!F11</f>
        <v>5</v>
      </c>
      <c r="G28">
        <f>'Team and Player Stats'!G11</f>
        <v>1527</v>
      </c>
      <c r="H28">
        <f>'Team and Player Stats'!H11</f>
        <v>6</v>
      </c>
      <c r="I28">
        <f>'Team and Player Stats'!I11</f>
        <v>1261</v>
      </c>
      <c r="J28">
        <f>'Team and Player Stats'!J11</f>
        <v>266</v>
      </c>
      <c r="K28" s="102">
        <f>'Team and Player Stats'!K11</f>
        <v>1.210943695</v>
      </c>
      <c r="L28" s="101">
        <f>'Team and Player Stats'!L11</f>
        <v>181</v>
      </c>
      <c r="M28">
        <f>'Team and Player Stats'!M11</f>
        <v>2001</v>
      </c>
      <c r="N28">
        <f>'Team and Player Stats'!N11</f>
        <v>12</v>
      </c>
      <c r="O28" s="103">
        <f>'Team and Player Stats'!O11</f>
        <v>371.5</v>
      </c>
      <c r="P28">
        <f>'Team and Player Stats'!P11</f>
        <v>53</v>
      </c>
      <c r="Q28">
        <f>'Team and Player Stats'!Q11</f>
        <v>24</v>
      </c>
      <c r="R28">
        <f>'Team and Player Stats'!R11</f>
        <v>125</v>
      </c>
      <c r="S28">
        <f>'Team and Player Stats'!S11</f>
        <v>22</v>
      </c>
      <c r="T28">
        <f>'Team and Player Stats'!T11</f>
        <v>240</v>
      </c>
      <c r="U28">
        <f>'Team and Player Stats'!U11</f>
        <v>57</v>
      </c>
      <c r="V28">
        <f>'Team and Player Stats'!V11</f>
        <v>16</v>
      </c>
      <c r="W28">
        <f>'Team and Player Stats'!W11</f>
        <v>5</v>
      </c>
      <c r="X28">
        <f>'Team and Player Stats'!X11</f>
        <v>2</v>
      </c>
      <c r="Y28">
        <f>'Team and Player Stats'!Y11</f>
        <v>1</v>
      </c>
      <c r="Z28">
        <f>'Team and Player Stats'!Z11</f>
        <v>1</v>
      </c>
      <c r="AA28">
        <f>'Team and Player Stats'!AA11</f>
        <v>1</v>
      </c>
      <c r="AB28">
        <f>'Team and Player Stats'!AB11</f>
        <v>1</v>
      </c>
      <c r="AC28">
        <f>'Team and Player Stats'!AC11</f>
        <v>41</v>
      </c>
      <c r="AD28">
        <f>'Team and Player Stats'!AD11</f>
        <v>3</v>
      </c>
      <c r="AE28">
        <f>'Team and Player Stats'!AE11</f>
        <v>0</v>
      </c>
      <c r="AF28">
        <f>'Team and Player Stats'!AF11</f>
        <v>0</v>
      </c>
      <c r="AG28">
        <f>'Team and Player Stats'!AG11</f>
        <v>1</v>
      </c>
      <c r="AH28">
        <f>'Team and Player Stats'!AH11</f>
        <v>1</v>
      </c>
    </row>
    <row r="29">
      <c r="A29" s="97" t="str">
        <f>'Team and Player Stats'!B46</f>
        <v>the man canon</v>
      </c>
      <c r="B29" s="97" t="str">
        <f>'Team and Player Stats'!A46</f>
        <v>Failure to Launch</v>
      </c>
      <c r="C29" s="97">
        <f>'Team and Player Stats'!C46</f>
        <v>17</v>
      </c>
      <c r="D29" s="97">
        <f>'Team and Player Stats'!D46</f>
        <v>10</v>
      </c>
      <c r="E29" s="98">
        <f>'Team and Player Stats'!E46</f>
        <v>486.3166667</v>
      </c>
      <c r="F29" s="97">
        <f>'Team and Player Stats'!F46</f>
        <v>5</v>
      </c>
      <c r="G29" s="97">
        <f>'Team and Player Stats'!G46</f>
        <v>1655</v>
      </c>
      <c r="H29" s="97">
        <f>'Team and Player Stats'!H46</f>
        <v>5</v>
      </c>
      <c r="I29" s="97">
        <f>'Team and Player Stats'!I46</f>
        <v>1604</v>
      </c>
      <c r="J29" s="97">
        <f>'Team and Player Stats'!J46</f>
        <v>51</v>
      </c>
      <c r="K29" s="99">
        <f>'Team and Player Stats'!K46</f>
        <v>1.031795511</v>
      </c>
      <c r="L29" s="98">
        <f>'Team and Player Stats'!L46</f>
        <v>245</v>
      </c>
      <c r="M29" s="97">
        <f>'Team and Player Stats'!M46</f>
        <v>2139</v>
      </c>
      <c r="N29" s="97">
        <f>'Team and Player Stats'!N46</f>
        <v>17</v>
      </c>
      <c r="O29" s="100">
        <f>'Team and Player Stats'!O46</f>
        <v>486.3166667</v>
      </c>
      <c r="P29" s="97">
        <f>'Team and Player Stats'!P46</f>
        <v>82</v>
      </c>
      <c r="Q29" s="97">
        <f>'Team and Player Stats'!Q46</f>
        <v>25</v>
      </c>
      <c r="R29" s="97">
        <f>'Team and Player Stats'!R46</f>
        <v>143</v>
      </c>
      <c r="S29" s="97">
        <f>'Team and Player Stats'!S46</f>
        <v>26</v>
      </c>
      <c r="T29" s="97">
        <f>'Team and Player Stats'!T46</f>
        <v>223</v>
      </c>
      <c r="U29" s="97">
        <f>'Team and Player Stats'!U46</f>
        <v>46</v>
      </c>
      <c r="V29" s="97">
        <f>'Team and Player Stats'!V46</f>
        <v>9</v>
      </c>
      <c r="W29" s="97">
        <f>'Team and Player Stats'!W46</f>
        <v>1</v>
      </c>
      <c r="X29" s="97">
        <f>'Team and Player Stats'!X46</f>
        <v>0</v>
      </c>
      <c r="Y29" s="97">
        <f>'Team and Player Stats'!Y46</f>
        <v>0</v>
      </c>
      <c r="Z29" s="97">
        <f>'Team and Player Stats'!Z46</f>
        <v>0</v>
      </c>
      <c r="AA29" s="97">
        <f>'Team and Player Stats'!AA46</f>
        <v>0</v>
      </c>
      <c r="AB29" s="97">
        <f>'Team and Player Stats'!AB46</f>
        <v>0</v>
      </c>
      <c r="AC29" s="97">
        <f>'Team and Player Stats'!AC46</f>
        <v>32</v>
      </c>
      <c r="AD29" s="97">
        <f>'Team and Player Stats'!AD46</f>
        <v>0</v>
      </c>
      <c r="AE29" s="97">
        <f>'Team and Player Stats'!AE46</f>
        <v>0</v>
      </c>
      <c r="AF29" s="97">
        <f>'Team and Player Stats'!AF46</f>
        <v>0</v>
      </c>
      <c r="AG29" s="97">
        <f>'Team and Player Stats'!AG46</f>
        <v>0</v>
      </c>
      <c r="AH29" s="97">
        <f>'Team and Player Stats'!AH46</f>
        <v>0</v>
      </c>
    </row>
    <row r="30">
      <c r="A30" t="str">
        <f>'Team and Player Stats'!B18</f>
        <v>AJ DaJuiceMayne</v>
      </c>
      <c r="B30" t="str">
        <f>'Team and Player Stats'!A18</f>
        <v>Junkyard Dogs</v>
      </c>
      <c r="C30">
        <f>'Team and Player Stats'!C18</f>
        <v>16</v>
      </c>
      <c r="D30">
        <f>'Team and Player Stats'!D18</f>
        <v>6</v>
      </c>
      <c r="E30" s="101">
        <f>'Team and Player Stats'!E18</f>
        <v>490.1333333</v>
      </c>
      <c r="F30">
        <f>'Team and Player Stats'!F18</f>
        <v>5</v>
      </c>
      <c r="G30">
        <f>'Team and Player Stats'!G18</f>
        <v>2238</v>
      </c>
      <c r="H30">
        <f>'Team and Player Stats'!H18</f>
        <v>13</v>
      </c>
      <c r="I30">
        <f>'Team and Player Stats'!I18</f>
        <v>1945</v>
      </c>
      <c r="J30">
        <f>'Team and Player Stats'!J18</f>
        <v>293</v>
      </c>
      <c r="K30" s="102">
        <f>'Team and Player Stats'!K18</f>
        <v>1.150642674</v>
      </c>
      <c r="L30" s="101">
        <f>'Team and Player Stats'!L18</f>
        <v>218</v>
      </c>
      <c r="M30">
        <f>'Team and Player Stats'!M18</f>
        <v>2963</v>
      </c>
      <c r="N30">
        <f>'Team and Player Stats'!N18</f>
        <v>16</v>
      </c>
      <c r="O30" s="103">
        <f>'Team and Player Stats'!O18</f>
        <v>490.1333333</v>
      </c>
      <c r="P30">
        <f>'Team and Player Stats'!P18</f>
        <v>74</v>
      </c>
      <c r="Q30">
        <f>'Team and Player Stats'!Q18</f>
        <v>32</v>
      </c>
      <c r="R30">
        <f>'Team and Player Stats'!R18</f>
        <v>147</v>
      </c>
      <c r="S30">
        <f>'Team and Player Stats'!S18</f>
        <v>25</v>
      </c>
      <c r="T30">
        <f>'Team and Player Stats'!T18</f>
        <v>373</v>
      </c>
      <c r="U30">
        <f>'Team and Player Stats'!U18</f>
        <v>92</v>
      </c>
      <c r="V30">
        <f>'Team and Player Stats'!V18</f>
        <v>29</v>
      </c>
      <c r="W30">
        <f>'Team and Player Stats'!W18</f>
        <v>5</v>
      </c>
      <c r="X30">
        <f>'Team and Player Stats'!X18</f>
        <v>1</v>
      </c>
      <c r="Y30">
        <f>'Team and Player Stats'!Y18</f>
        <v>1</v>
      </c>
      <c r="Z30">
        <f>'Team and Player Stats'!Z18</f>
        <v>0</v>
      </c>
      <c r="AA30">
        <f>'Team and Player Stats'!AA18</f>
        <v>0</v>
      </c>
      <c r="AB30">
        <f>'Team and Player Stats'!AB18</f>
        <v>0</v>
      </c>
      <c r="AC30">
        <f>'Team and Player Stats'!AC18</f>
        <v>72</v>
      </c>
      <c r="AD30">
        <f>'Team and Player Stats'!AD18</f>
        <v>2</v>
      </c>
      <c r="AE30">
        <f>'Team and Player Stats'!AE18</f>
        <v>0</v>
      </c>
      <c r="AF30">
        <f>'Team and Player Stats'!AF18</f>
        <v>0</v>
      </c>
      <c r="AG30">
        <f>'Team and Player Stats'!AG18</f>
        <v>1</v>
      </c>
      <c r="AH30">
        <f>'Team and Player Stats'!AH18</f>
        <v>0</v>
      </c>
    </row>
    <row r="31">
      <c r="A31" s="97" t="str">
        <f>'Team and Player Stats'!B4</f>
        <v>DIGITAL PAIN</v>
      </c>
      <c r="B31" s="97" t="str">
        <f>'Team and Player Stats'!A4</f>
        <v>Defiance</v>
      </c>
      <c r="C31" s="97">
        <f>'Team and Player Stats'!C4</f>
        <v>16</v>
      </c>
      <c r="D31" s="97">
        <f>'Team and Player Stats'!D4</f>
        <v>10</v>
      </c>
      <c r="E31" s="98">
        <f>'Team and Player Stats'!E4</f>
        <v>454</v>
      </c>
      <c r="F31" s="97">
        <f>'Team and Player Stats'!F4</f>
        <v>5</v>
      </c>
      <c r="G31" s="97">
        <f>'Team and Player Stats'!G4</f>
        <v>1723</v>
      </c>
      <c r="H31" s="97">
        <f>'Team and Player Stats'!H4</f>
        <v>6</v>
      </c>
      <c r="I31" s="97">
        <f>'Team and Player Stats'!I4</f>
        <v>1499</v>
      </c>
      <c r="J31" s="97">
        <f>'Team and Player Stats'!J4</f>
        <v>224</v>
      </c>
      <c r="K31" s="99">
        <f>'Team and Player Stats'!K4</f>
        <v>1.149432955</v>
      </c>
      <c r="L31" s="98">
        <f>'Team and Player Stats'!L4</f>
        <v>263</v>
      </c>
      <c r="M31" s="97">
        <f>'Team and Player Stats'!M4</f>
        <v>2175</v>
      </c>
      <c r="N31" s="97">
        <f>'Team and Player Stats'!N4</f>
        <v>13</v>
      </c>
      <c r="O31" s="100">
        <f>'Team and Player Stats'!O4</f>
        <v>419</v>
      </c>
      <c r="P31" s="97">
        <f>'Team and Player Stats'!P4</f>
        <v>84</v>
      </c>
      <c r="Q31" s="97">
        <f>'Team and Player Stats'!Q4</f>
        <v>29</v>
      </c>
      <c r="R31" s="97">
        <f>'Team and Player Stats'!R4</f>
        <v>141</v>
      </c>
      <c r="S31" s="97">
        <f>'Team and Player Stats'!S4</f>
        <v>20</v>
      </c>
      <c r="T31" s="97">
        <f>'Team and Player Stats'!T4</f>
        <v>203</v>
      </c>
      <c r="U31" s="97">
        <f>'Team and Player Stats'!U4</f>
        <v>30</v>
      </c>
      <c r="V31" s="97">
        <f>'Team and Player Stats'!V4</f>
        <v>9</v>
      </c>
      <c r="W31" s="97">
        <f>'Team and Player Stats'!W4</f>
        <v>4</v>
      </c>
      <c r="X31" s="97">
        <f>'Team and Player Stats'!X4</f>
        <v>1</v>
      </c>
      <c r="Y31" s="97">
        <f>'Team and Player Stats'!Y4</f>
        <v>0</v>
      </c>
      <c r="Z31" s="97">
        <f>'Team and Player Stats'!Z4</f>
        <v>0</v>
      </c>
      <c r="AA31" s="97">
        <f>'Team and Player Stats'!AA4</f>
        <v>0</v>
      </c>
      <c r="AB31" s="97">
        <f>'Team and Player Stats'!AB4</f>
        <v>0</v>
      </c>
      <c r="AC31" s="97">
        <f>'Team and Player Stats'!AC4</f>
        <v>44</v>
      </c>
      <c r="AD31" s="97">
        <f>'Team and Player Stats'!AD4</f>
        <v>1</v>
      </c>
      <c r="AE31" s="97">
        <f>'Team and Player Stats'!AE4</f>
        <v>0</v>
      </c>
      <c r="AF31" s="97">
        <f>'Team and Player Stats'!AF4</f>
        <v>0</v>
      </c>
      <c r="AG31" s="97">
        <f>'Team and Player Stats'!AG4</f>
        <v>1</v>
      </c>
      <c r="AH31" s="97">
        <f>'Team and Player Stats'!AH4</f>
        <v>2</v>
      </c>
    </row>
    <row r="32">
      <c r="A32" t="str">
        <f>'Team and Player Stats'!B20</f>
        <v>PoisonxPoptart</v>
      </c>
      <c r="B32" t="str">
        <f>'Team and Player Stats'!A20</f>
        <v>Junkyard Dogs</v>
      </c>
      <c r="C32">
        <f>'Team and Player Stats'!C20</f>
        <v>16</v>
      </c>
      <c r="D32">
        <f>'Team and Player Stats'!D20</f>
        <v>6</v>
      </c>
      <c r="E32" s="101">
        <f>'Team and Player Stats'!E20</f>
        <v>490.4333333</v>
      </c>
      <c r="F32">
        <f>'Team and Player Stats'!F20</f>
        <v>5</v>
      </c>
      <c r="G32">
        <f>'Team and Player Stats'!G20</f>
        <v>1559</v>
      </c>
      <c r="H32">
        <f>'Team and Player Stats'!H20</f>
        <v>7</v>
      </c>
      <c r="I32">
        <f>'Team and Player Stats'!I20</f>
        <v>1564</v>
      </c>
      <c r="J32">
        <f>'Team and Player Stats'!J20</f>
        <v>-5</v>
      </c>
      <c r="K32" s="102">
        <f>'Team and Player Stats'!K20</f>
        <v>0.9968030691</v>
      </c>
      <c r="L32" s="101">
        <f>'Team and Player Stats'!L20</f>
        <v>283</v>
      </c>
      <c r="M32">
        <f>'Team and Player Stats'!M20</f>
        <v>1938</v>
      </c>
      <c r="N32">
        <f>'Team and Player Stats'!N20</f>
        <v>16</v>
      </c>
      <c r="O32" s="103">
        <f>'Team and Player Stats'!O20</f>
        <v>490.4333333</v>
      </c>
      <c r="P32">
        <f>'Team and Player Stats'!P20</f>
        <v>55</v>
      </c>
      <c r="Q32">
        <f>'Team and Player Stats'!Q20</f>
        <v>48</v>
      </c>
      <c r="R32">
        <f>'Team and Player Stats'!R20</f>
        <v>104</v>
      </c>
      <c r="S32">
        <f>'Team and Player Stats'!S20</f>
        <v>29</v>
      </c>
      <c r="T32">
        <f>'Team and Player Stats'!T20</f>
        <v>188</v>
      </c>
      <c r="U32">
        <f>'Team and Player Stats'!U20</f>
        <v>24</v>
      </c>
      <c r="V32">
        <f>'Team and Player Stats'!V20</f>
        <v>3</v>
      </c>
      <c r="W32">
        <f>'Team and Player Stats'!W20</f>
        <v>1</v>
      </c>
      <c r="X32">
        <f>'Team and Player Stats'!X20</f>
        <v>0</v>
      </c>
      <c r="Y32">
        <f>'Team and Player Stats'!Y20</f>
        <v>0</v>
      </c>
      <c r="Z32">
        <f>'Team and Player Stats'!Z20</f>
        <v>0</v>
      </c>
      <c r="AA32">
        <f>'Team and Player Stats'!AA20</f>
        <v>0</v>
      </c>
      <c r="AB32">
        <f>'Team and Player Stats'!AB20</f>
        <v>0</v>
      </c>
      <c r="AC32">
        <f>'Team and Player Stats'!AC20</f>
        <v>25</v>
      </c>
      <c r="AD32">
        <f>'Team and Player Stats'!AD20</f>
        <v>0</v>
      </c>
      <c r="AE32">
        <f>'Team and Player Stats'!AE20</f>
        <v>0</v>
      </c>
      <c r="AF32">
        <f>'Team and Player Stats'!AF20</f>
        <v>0</v>
      </c>
      <c r="AG32">
        <f>'Team and Player Stats'!AG20</f>
        <v>0</v>
      </c>
      <c r="AH32">
        <f>'Team and Player Stats'!AH20</f>
        <v>3</v>
      </c>
    </row>
    <row r="33">
      <c r="A33" s="97" t="str">
        <f>'Team and Player Stats'!B75</f>
        <v>LiquideNitrogen</v>
      </c>
      <c r="B33" s="97" t="str">
        <f>'Team and Player Stats'!A75</f>
        <v>Mediocre at Best</v>
      </c>
      <c r="C33" s="97">
        <f>'Team and Player Stats'!C75</f>
        <v>15</v>
      </c>
      <c r="D33" s="97">
        <f>'Team and Player Stats'!D75</f>
        <v>8</v>
      </c>
      <c r="E33" s="98">
        <f>'Team and Player Stats'!E75</f>
        <v>296.4</v>
      </c>
      <c r="F33" s="97">
        <f>'Team and Player Stats'!F75</f>
        <v>4</v>
      </c>
      <c r="G33" s="97">
        <f>'Team and Player Stats'!G75</f>
        <v>1003</v>
      </c>
      <c r="H33" s="97">
        <f>'Team and Player Stats'!H75</f>
        <v>1</v>
      </c>
      <c r="I33" s="97">
        <f>'Team and Player Stats'!I75</f>
        <v>1196</v>
      </c>
      <c r="J33" s="97">
        <f>'Team and Player Stats'!J75</f>
        <v>-193</v>
      </c>
      <c r="K33" s="99">
        <f>'Team and Player Stats'!K75</f>
        <v>0.8386287625</v>
      </c>
      <c r="L33" s="98">
        <f>'Team and Player Stats'!L75</f>
        <v>194</v>
      </c>
      <c r="M33" s="97">
        <f>'Team and Player Stats'!M75</f>
        <v>1286</v>
      </c>
      <c r="N33" s="97">
        <f>'Team and Player Stats'!N75</f>
        <v>15</v>
      </c>
      <c r="O33" s="100">
        <f>'Team and Player Stats'!O75</f>
        <v>296.4</v>
      </c>
      <c r="P33" s="97">
        <f>'Team and Player Stats'!P75</f>
        <v>47</v>
      </c>
      <c r="Q33" s="97">
        <f>'Team and Player Stats'!Q75</f>
        <v>20</v>
      </c>
      <c r="R33" s="97">
        <f>'Team and Player Stats'!R75</f>
        <v>104</v>
      </c>
      <c r="S33" s="97">
        <f>'Team and Player Stats'!S75</f>
        <v>16</v>
      </c>
      <c r="T33" s="97">
        <f>'Team and Player Stats'!T75</f>
        <v>131</v>
      </c>
      <c r="U33" s="97">
        <f>'Team and Player Stats'!U75</f>
        <v>26</v>
      </c>
      <c r="V33" s="97">
        <f>'Team and Player Stats'!V75</f>
        <v>10</v>
      </c>
      <c r="W33" s="97">
        <f>'Team and Player Stats'!W75</f>
        <v>6</v>
      </c>
      <c r="X33" s="97">
        <f>'Team and Player Stats'!X75</f>
        <v>1</v>
      </c>
      <c r="Y33" s="97">
        <f>'Team and Player Stats'!Y75</f>
        <v>1</v>
      </c>
      <c r="Z33" s="97">
        <f>'Team and Player Stats'!Z75</f>
        <v>1</v>
      </c>
      <c r="AA33" s="97">
        <f>'Team and Player Stats'!AA75</f>
        <v>0</v>
      </c>
      <c r="AB33" s="97">
        <f>'Team and Player Stats'!AB75</f>
        <v>0</v>
      </c>
      <c r="AC33" s="97">
        <f>'Team and Player Stats'!AC75</f>
        <v>12</v>
      </c>
      <c r="AD33" s="97">
        <f>'Team and Player Stats'!AD75</f>
        <v>0</v>
      </c>
      <c r="AE33" s="97">
        <f>'Team and Player Stats'!AE75</f>
        <v>0</v>
      </c>
      <c r="AF33" s="97">
        <f>'Team and Player Stats'!AF75</f>
        <v>0</v>
      </c>
      <c r="AG33" s="97">
        <f>'Team and Player Stats'!AG75</f>
        <v>4</v>
      </c>
      <c r="AH33" s="97">
        <f>'Team and Player Stats'!AH75</f>
        <v>0</v>
      </c>
    </row>
    <row r="34">
      <c r="A34" t="str">
        <f>'Team and Player Stats'!B32</f>
        <v>El Diablo x230x</v>
      </c>
      <c r="B34" t="str">
        <f>'Team and Player Stats'!A32</f>
        <v>Truthless and the Truthlessettes</v>
      </c>
      <c r="C34">
        <f>'Team and Player Stats'!C32</f>
        <v>15</v>
      </c>
      <c r="D34">
        <f>'Team and Player Stats'!D32</f>
        <v>3</v>
      </c>
      <c r="E34" s="101">
        <f>'Team and Player Stats'!E32</f>
        <v>321.0166667</v>
      </c>
      <c r="F34">
        <f>'Team and Player Stats'!F32</f>
        <v>4</v>
      </c>
      <c r="G34">
        <f>'Team and Player Stats'!G32</f>
        <v>1214</v>
      </c>
      <c r="H34">
        <f>'Team and Player Stats'!H32</f>
        <v>11</v>
      </c>
      <c r="I34">
        <f>'Team and Player Stats'!I32</f>
        <v>1249</v>
      </c>
      <c r="J34">
        <f>'Team and Player Stats'!J32</f>
        <v>-35</v>
      </c>
      <c r="K34" s="102">
        <f>'Team and Player Stats'!K32</f>
        <v>0.9719775821</v>
      </c>
      <c r="L34" s="101">
        <f>'Team and Player Stats'!L32</f>
        <v>195</v>
      </c>
      <c r="M34">
        <f>'Team and Player Stats'!M32</f>
        <v>1516</v>
      </c>
      <c r="N34">
        <f>'Team and Player Stats'!N32</f>
        <v>15</v>
      </c>
      <c r="O34" s="103">
        <f>'Team and Player Stats'!O32</f>
        <v>321.0166667</v>
      </c>
      <c r="P34">
        <f>'Team and Player Stats'!P32</f>
        <v>36</v>
      </c>
      <c r="Q34">
        <f>'Team and Player Stats'!Q32</f>
        <v>24</v>
      </c>
      <c r="R34">
        <f>'Team and Player Stats'!R32</f>
        <v>88</v>
      </c>
      <c r="S34">
        <f>'Team and Player Stats'!S32</f>
        <v>20</v>
      </c>
      <c r="T34">
        <f>'Team and Player Stats'!T32</f>
        <v>157</v>
      </c>
      <c r="U34">
        <f>'Team and Player Stats'!U32</f>
        <v>30</v>
      </c>
      <c r="V34">
        <f>'Team and Player Stats'!V32</f>
        <v>10</v>
      </c>
      <c r="W34">
        <f>'Team and Player Stats'!W32</f>
        <v>3</v>
      </c>
      <c r="X34">
        <f>'Team and Player Stats'!X32</f>
        <v>1</v>
      </c>
      <c r="Y34">
        <f>'Team and Player Stats'!Y32</f>
        <v>0</v>
      </c>
      <c r="Z34">
        <f>'Team and Player Stats'!Z32</f>
        <v>0</v>
      </c>
      <c r="AA34">
        <f>'Team and Player Stats'!AA32</f>
        <v>0</v>
      </c>
      <c r="AB34">
        <f>'Team and Player Stats'!AB32</f>
        <v>0</v>
      </c>
      <c r="AC34">
        <f>'Team and Player Stats'!AC32</f>
        <v>14</v>
      </c>
      <c r="AD34">
        <f>'Team and Player Stats'!AD32</f>
        <v>0</v>
      </c>
      <c r="AE34">
        <f>'Team and Player Stats'!AE32</f>
        <v>0</v>
      </c>
      <c r="AF34">
        <f>'Team and Player Stats'!AF32</f>
        <v>0</v>
      </c>
      <c r="AG34">
        <f>'Team and Player Stats'!AG32</f>
        <v>0</v>
      </c>
      <c r="AH34">
        <f>'Team and Player Stats'!AH32</f>
        <v>0</v>
      </c>
    </row>
    <row r="35">
      <c r="A35" s="97" t="str">
        <f>'Team and Player Stats'!B3</f>
        <v>Trespa5s </v>
      </c>
      <c r="B35" s="97" t="str">
        <f>'Team and Player Stats'!A3</f>
        <v>Defiance</v>
      </c>
      <c r="C35" s="97">
        <f>'Team and Player Stats'!C3</f>
        <v>14</v>
      </c>
      <c r="D35" s="97">
        <f>'Team and Player Stats'!D3</f>
        <v>8</v>
      </c>
      <c r="E35" s="98">
        <f>'Team and Player Stats'!E3</f>
        <v>419</v>
      </c>
      <c r="F35" s="97">
        <f>'Team and Player Stats'!F3</f>
        <v>4</v>
      </c>
      <c r="G35" s="97">
        <f>'Team and Player Stats'!G3</f>
        <v>1276</v>
      </c>
      <c r="H35" s="97">
        <f>'Team and Player Stats'!H3</f>
        <v>2</v>
      </c>
      <c r="I35" s="97">
        <f>'Team and Player Stats'!I3</f>
        <v>1388</v>
      </c>
      <c r="J35" s="97">
        <f>'Team and Player Stats'!J3</f>
        <v>-112</v>
      </c>
      <c r="K35" s="99">
        <f>'Team and Player Stats'!K3</f>
        <v>0.9193083573</v>
      </c>
      <c r="L35" s="98">
        <f>'Team and Player Stats'!L3</f>
        <v>239</v>
      </c>
      <c r="M35" s="97">
        <f>'Team and Player Stats'!M3</f>
        <v>1527</v>
      </c>
      <c r="N35" s="97">
        <f>'Team and Player Stats'!N3</f>
        <v>13</v>
      </c>
      <c r="O35" s="100">
        <f>'Team and Player Stats'!O3</f>
        <v>419</v>
      </c>
      <c r="P35" s="97">
        <f>'Team and Player Stats'!P3</f>
        <v>29</v>
      </c>
      <c r="Q35" s="97">
        <f>'Team and Player Stats'!Q3</f>
        <v>9</v>
      </c>
      <c r="R35" s="97">
        <f>'Team and Player Stats'!R3</f>
        <v>98</v>
      </c>
      <c r="S35" s="97">
        <f>'Team and Player Stats'!S3</f>
        <v>18</v>
      </c>
      <c r="T35" s="97">
        <f>'Team and Player Stats'!T3</f>
        <v>151</v>
      </c>
      <c r="U35" s="97">
        <f>'Team and Player Stats'!U3</f>
        <v>26</v>
      </c>
      <c r="V35" s="97">
        <f>'Team and Player Stats'!V3</f>
        <v>7</v>
      </c>
      <c r="W35" s="97">
        <f>'Team and Player Stats'!W3</f>
        <v>1</v>
      </c>
      <c r="X35" s="97">
        <f>'Team and Player Stats'!X3</f>
        <v>1</v>
      </c>
      <c r="Y35" s="97">
        <f>'Team and Player Stats'!Y3</f>
        <v>0</v>
      </c>
      <c r="Z35" s="97">
        <f>'Team and Player Stats'!Z3</f>
        <v>0</v>
      </c>
      <c r="AA35" s="97">
        <f>'Team and Player Stats'!AA3</f>
        <v>0</v>
      </c>
      <c r="AB35" s="97">
        <f>'Team and Player Stats'!AB3</f>
        <v>0</v>
      </c>
      <c r="AC35" s="97">
        <f>'Team and Player Stats'!AC3</f>
        <v>19</v>
      </c>
      <c r="AD35" s="97">
        <f>'Team and Player Stats'!AD3</f>
        <v>0</v>
      </c>
      <c r="AE35" s="97">
        <f>'Team and Player Stats'!AE3</f>
        <v>0</v>
      </c>
      <c r="AF35" s="97">
        <f>'Team and Player Stats'!AF3</f>
        <v>0</v>
      </c>
      <c r="AG35" s="97">
        <f>'Team and Player Stats'!AG3</f>
        <v>1</v>
      </c>
      <c r="AH35" s="97">
        <f>'Team and Player Stats'!AH3</f>
        <v>0</v>
      </c>
    </row>
    <row r="36">
      <c r="A36" t="str">
        <f>'Team and Player Stats'!B13</f>
        <v>AtoneMilitant</v>
      </c>
      <c r="B36" t="str">
        <f>'Team and Player Stats'!A13</f>
        <v>In MuNgO We Trust</v>
      </c>
      <c r="C36">
        <f>'Team and Player Stats'!C13</f>
        <v>13</v>
      </c>
      <c r="D36">
        <f>'Team and Player Stats'!D13</f>
        <v>7</v>
      </c>
      <c r="E36" s="101">
        <f>'Team and Player Stats'!E13</f>
        <v>457.9166667</v>
      </c>
      <c r="F36">
        <f>'Team and Player Stats'!F13</f>
        <v>4</v>
      </c>
      <c r="G36">
        <f>'Team and Player Stats'!G13</f>
        <v>1481</v>
      </c>
      <c r="H36">
        <f>'Team and Player Stats'!H13</f>
        <v>12</v>
      </c>
      <c r="I36">
        <f>'Team and Player Stats'!I13</f>
        <v>1595</v>
      </c>
      <c r="J36">
        <f>'Team and Player Stats'!J13</f>
        <v>-114</v>
      </c>
      <c r="K36" s="102">
        <f>'Team and Player Stats'!K13</f>
        <v>0.9285266458</v>
      </c>
      <c r="L36" s="101">
        <f>'Team and Player Stats'!L13</f>
        <v>186</v>
      </c>
      <c r="M36">
        <f>'Team and Player Stats'!M13</f>
        <v>1871</v>
      </c>
      <c r="N36">
        <f>'Team and Player Stats'!N13</f>
        <v>13</v>
      </c>
      <c r="O36" s="103">
        <f>'Team and Player Stats'!O13</f>
        <v>457.9166667</v>
      </c>
      <c r="P36">
        <f>'Team and Player Stats'!P13</f>
        <v>42</v>
      </c>
      <c r="Q36">
        <f>'Team and Player Stats'!Q13</f>
        <v>27</v>
      </c>
      <c r="R36">
        <f>'Team and Player Stats'!R13</f>
        <v>137</v>
      </c>
      <c r="S36">
        <f>'Team and Player Stats'!S13</f>
        <v>31</v>
      </c>
      <c r="T36">
        <f>'Team and Player Stats'!T13</f>
        <v>206</v>
      </c>
      <c r="U36">
        <f>'Team and Player Stats'!U13</f>
        <v>33</v>
      </c>
      <c r="V36">
        <f>'Team and Player Stats'!V13</f>
        <v>8</v>
      </c>
      <c r="W36">
        <f>'Team and Player Stats'!W13</f>
        <v>3</v>
      </c>
      <c r="X36">
        <f>'Team and Player Stats'!X13</f>
        <v>1</v>
      </c>
      <c r="Y36">
        <f>'Team and Player Stats'!Y13</f>
        <v>0</v>
      </c>
      <c r="Z36">
        <f>'Team and Player Stats'!Z13</f>
        <v>0</v>
      </c>
      <c r="AA36">
        <f>'Team and Player Stats'!AA13</f>
        <v>0</v>
      </c>
      <c r="AB36">
        <f>'Team and Player Stats'!AB13</f>
        <v>0</v>
      </c>
      <c r="AC36">
        <f>'Team and Player Stats'!AC13</f>
        <v>27</v>
      </c>
      <c r="AD36">
        <f>'Team and Player Stats'!AD13</f>
        <v>0</v>
      </c>
      <c r="AE36">
        <f>'Team and Player Stats'!AE13</f>
        <v>0</v>
      </c>
      <c r="AF36">
        <f>'Team and Player Stats'!AF13</f>
        <v>0</v>
      </c>
      <c r="AG36">
        <f>'Team and Player Stats'!AG13</f>
        <v>0</v>
      </c>
      <c r="AH36">
        <f>'Team and Player Stats'!AH13</f>
        <v>0</v>
      </c>
    </row>
    <row r="37">
      <c r="A37" s="97" t="str">
        <f>'Team and Player Stats'!B40</f>
        <v>Itz Rainin MenZ</v>
      </c>
      <c r="B37" s="97" t="str">
        <f>'Team and Player Stats'!A40</f>
        <v>On the Fence</v>
      </c>
      <c r="C37" s="97">
        <f>'Team and Player Stats'!C40</f>
        <v>14</v>
      </c>
      <c r="D37" s="97">
        <f>'Team and Player Stats'!D40</f>
        <v>3</v>
      </c>
      <c r="E37" s="98">
        <f>'Team and Player Stats'!E40</f>
        <v>285.2333333</v>
      </c>
      <c r="F37" s="97">
        <f>'Team and Player Stats'!F40</f>
        <v>4</v>
      </c>
      <c r="G37" s="97">
        <f>'Team and Player Stats'!G40</f>
        <v>924</v>
      </c>
      <c r="H37" s="97">
        <f>'Team and Player Stats'!H40</f>
        <v>5</v>
      </c>
      <c r="I37" s="97">
        <f>'Team and Player Stats'!I40</f>
        <v>932</v>
      </c>
      <c r="J37" s="97">
        <f>'Team and Player Stats'!J40</f>
        <v>-8</v>
      </c>
      <c r="K37" s="99">
        <f>'Team and Player Stats'!K40</f>
        <v>0.991416309</v>
      </c>
      <c r="L37" s="98">
        <f>'Team and Player Stats'!L40</f>
        <v>215</v>
      </c>
      <c r="M37" s="97">
        <f>'Team and Player Stats'!M40</f>
        <v>1188</v>
      </c>
      <c r="N37" s="97">
        <f>'Team and Player Stats'!N40</f>
        <v>14</v>
      </c>
      <c r="O37" s="100">
        <f>'Team and Player Stats'!O40</f>
        <v>285.2333333</v>
      </c>
      <c r="P37" s="97">
        <f>'Team and Player Stats'!P40</f>
        <v>43</v>
      </c>
      <c r="Q37" s="97">
        <f>'Team and Player Stats'!Q40</f>
        <v>26</v>
      </c>
      <c r="R37" s="97">
        <f>'Team and Player Stats'!R40</f>
        <v>63</v>
      </c>
      <c r="S37" s="97">
        <f>'Team and Player Stats'!S40</f>
        <v>23</v>
      </c>
      <c r="T37" s="97">
        <f>'Team and Player Stats'!T40</f>
        <v>117</v>
      </c>
      <c r="U37" s="97">
        <f>'Team and Player Stats'!U40</f>
        <v>24</v>
      </c>
      <c r="V37" s="97">
        <f>'Team and Player Stats'!V40</f>
        <v>5</v>
      </c>
      <c r="W37" s="97">
        <f>'Team and Player Stats'!W40</f>
        <v>3</v>
      </c>
      <c r="X37" s="97">
        <f>'Team and Player Stats'!X40</f>
        <v>1</v>
      </c>
      <c r="Y37" s="97">
        <f>'Team and Player Stats'!Y40</f>
        <v>0</v>
      </c>
      <c r="Z37" s="97">
        <f>'Team and Player Stats'!Z40</f>
        <v>0</v>
      </c>
      <c r="AA37" s="97">
        <f>'Team and Player Stats'!AA40</f>
        <v>0</v>
      </c>
      <c r="AB37" s="97">
        <f>'Team and Player Stats'!AB40</f>
        <v>0</v>
      </c>
      <c r="AC37" s="97">
        <f>'Team and Player Stats'!AC40</f>
        <v>18</v>
      </c>
      <c r="AD37" s="97">
        <f>'Team and Player Stats'!AD40</f>
        <v>0</v>
      </c>
      <c r="AE37" s="97">
        <f>'Team and Player Stats'!AE40</f>
        <v>0</v>
      </c>
      <c r="AF37" s="97">
        <f>'Team and Player Stats'!AF40</f>
        <v>0</v>
      </c>
      <c r="AG37" s="97">
        <f>'Team and Player Stats'!AG40</f>
        <v>1</v>
      </c>
      <c r="AH37" s="97">
        <f>'Team and Player Stats'!AH40</f>
        <v>1</v>
      </c>
    </row>
    <row r="38">
      <c r="A38" t="str">
        <f>'Team and Player Stats'!B25</f>
        <v>T RICH DA KING</v>
      </c>
      <c r="B38" t="str">
        <f>'Team and Player Stats'!A25</f>
        <v>9th Wonders</v>
      </c>
      <c r="C38">
        <f>'Team and Player Stats'!C25</f>
        <v>18</v>
      </c>
      <c r="D38">
        <f>'Team and Player Stats'!D25</f>
        <v>10</v>
      </c>
      <c r="E38" s="101">
        <f>'Team and Player Stats'!E25</f>
        <v>496.0333333</v>
      </c>
      <c r="F38">
        <f>'Team and Player Stats'!F25</f>
        <v>4</v>
      </c>
      <c r="G38">
        <f>'Team and Player Stats'!G25</f>
        <v>1785</v>
      </c>
      <c r="H38">
        <f>'Team and Player Stats'!H25</f>
        <v>9</v>
      </c>
      <c r="I38">
        <f>'Team and Player Stats'!I25</f>
        <v>1524</v>
      </c>
      <c r="J38">
        <f>'Team and Player Stats'!J25</f>
        <v>261</v>
      </c>
      <c r="K38" s="102">
        <f>'Team and Player Stats'!K25</f>
        <v>1.171259843</v>
      </c>
      <c r="L38" s="101">
        <f>'Team and Player Stats'!L25</f>
        <v>285</v>
      </c>
      <c r="M38">
        <f>'Team and Player Stats'!M25</f>
        <v>2091</v>
      </c>
      <c r="N38">
        <f>'Team and Player Stats'!N25</f>
        <v>17</v>
      </c>
      <c r="O38" s="103">
        <f>'Team and Player Stats'!O25</f>
        <v>496.0333333</v>
      </c>
      <c r="P38">
        <f>'Team and Player Stats'!P25</f>
        <v>73</v>
      </c>
      <c r="Q38">
        <f>'Team and Player Stats'!Q25</f>
        <v>59</v>
      </c>
      <c r="R38">
        <f>'Team and Player Stats'!R25</f>
        <v>121</v>
      </c>
      <c r="S38">
        <f>'Team and Player Stats'!S25</f>
        <v>29</v>
      </c>
      <c r="T38">
        <f>'Team and Player Stats'!T25</f>
        <v>233</v>
      </c>
      <c r="U38">
        <f>'Team and Player Stats'!U25</f>
        <v>43</v>
      </c>
      <c r="V38">
        <f>'Team and Player Stats'!V25</f>
        <v>9</v>
      </c>
      <c r="W38">
        <f>'Team and Player Stats'!W25</f>
        <v>2</v>
      </c>
      <c r="X38">
        <f>'Team and Player Stats'!X25</f>
        <v>2</v>
      </c>
      <c r="Y38">
        <f>'Team and Player Stats'!Y25</f>
        <v>0</v>
      </c>
      <c r="Z38">
        <f>'Team and Player Stats'!Z25</f>
        <v>0</v>
      </c>
      <c r="AA38">
        <f>'Team and Player Stats'!AA25</f>
        <v>0</v>
      </c>
      <c r="AB38">
        <f>'Team and Player Stats'!AB25</f>
        <v>0</v>
      </c>
      <c r="AC38">
        <f>'Team and Player Stats'!AC25</f>
        <v>49</v>
      </c>
      <c r="AD38">
        <f>'Team and Player Stats'!AD25</f>
        <v>2</v>
      </c>
      <c r="AE38">
        <f>'Team and Player Stats'!AE25</f>
        <v>0</v>
      </c>
      <c r="AF38">
        <f>'Team and Player Stats'!AF25</f>
        <v>0</v>
      </c>
      <c r="AG38">
        <f>'Team and Player Stats'!AG25</f>
        <v>0</v>
      </c>
      <c r="AH38">
        <f>'Team and Player Stats'!AH25</f>
        <v>1</v>
      </c>
    </row>
    <row r="39">
      <c r="A39" s="97" t="str">
        <f>'Team and Player Stats'!B31</f>
        <v>Truthless IHero</v>
      </c>
      <c r="B39" s="97" t="str">
        <f>'Team and Player Stats'!A31</f>
        <v>Truthless and the Truthlessettes</v>
      </c>
      <c r="C39" s="97">
        <f>'Team and Player Stats'!C31</f>
        <v>15</v>
      </c>
      <c r="D39" s="97">
        <f>'Team and Player Stats'!D31</f>
        <v>3</v>
      </c>
      <c r="E39" s="98">
        <f>'Team and Player Stats'!E31</f>
        <v>319.1333333</v>
      </c>
      <c r="F39" s="97">
        <f>'Team and Player Stats'!F31</f>
        <v>3</v>
      </c>
      <c r="G39" s="97">
        <f>'Team and Player Stats'!G31</f>
        <v>1274</v>
      </c>
      <c r="H39" s="97">
        <f>'Team and Player Stats'!H31</f>
        <v>5</v>
      </c>
      <c r="I39" s="97">
        <f>'Team and Player Stats'!I31</f>
        <v>1274</v>
      </c>
      <c r="J39" s="97">
        <f>'Team and Player Stats'!J31</f>
        <v>0</v>
      </c>
      <c r="K39" s="99">
        <f>'Team and Player Stats'!K31</f>
        <v>1</v>
      </c>
      <c r="L39" s="98">
        <f>'Team and Player Stats'!L31</f>
        <v>185</v>
      </c>
      <c r="M39" s="97">
        <f>'Team and Player Stats'!M31</f>
        <v>1656</v>
      </c>
      <c r="N39" s="97">
        <f>'Team and Player Stats'!N31</f>
        <v>15</v>
      </c>
      <c r="O39" s="100">
        <f>'Team and Player Stats'!O31</f>
        <v>319.1333333</v>
      </c>
      <c r="P39" s="97">
        <f>'Team and Player Stats'!P31</f>
        <v>50</v>
      </c>
      <c r="Q39" s="97">
        <f>'Team and Player Stats'!Q31</f>
        <v>22</v>
      </c>
      <c r="R39" s="97">
        <f>'Team and Player Stats'!R31</f>
        <v>57</v>
      </c>
      <c r="S39" s="97">
        <f>'Team and Player Stats'!S31</f>
        <v>31</v>
      </c>
      <c r="T39" s="97">
        <f>'Team and Player Stats'!T31</f>
        <v>189</v>
      </c>
      <c r="U39" s="97">
        <f>'Team and Player Stats'!U31</f>
        <v>48</v>
      </c>
      <c r="V39" s="97">
        <f>'Team and Player Stats'!V31</f>
        <v>18</v>
      </c>
      <c r="W39" s="97">
        <f>'Team and Player Stats'!W31</f>
        <v>2</v>
      </c>
      <c r="X39" s="97">
        <f>'Team and Player Stats'!X31</f>
        <v>0</v>
      </c>
      <c r="Y39" s="97">
        <f>'Team and Player Stats'!Y31</f>
        <v>0</v>
      </c>
      <c r="Z39" s="97">
        <f>'Team and Player Stats'!Z31</f>
        <v>0</v>
      </c>
      <c r="AA39" s="97">
        <f>'Team and Player Stats'!AA31</f>
        <v>0</v>
      </c>
      <c r="AB39" s="97">
        <f>'Team and Player Stats'!AB31</f>
        <v>0</v>
      </c>
      <c r="AC39" s="97">
        <f>'Team and Player Stats'!AC31</f>
        <v>33</v>
      </c>
      <c r="AD39" s="97">
        <f>'Team and Player Stats'!AD31</f>
        <v>1</v>
      </c>
      <c r="AE39" s="97">
        <f>'Team and Player Stats'!AE31</f>
        <v>0</v>
      </c>
      <c r="AF39" s="97">
        <f>'Team and Player Stats'!AF31</f>
        <v>0</v>
      </c>
      <c r="AG39" s="97">
        <f>'Team and Player Stats'!AG31</f>
        <v>0</v>
      </c>
      <c r="AH39" s="97">
        <f>'Team and Player Stats'!AH31</f>
        <v>1</v>
      </c>
    </row>
    <row r="40">
      <c r="A40" t="str">
        <f>'Team and Player Stats'!B38</f>
        <v>Juc</v>
      </c>
      <c r="B40" t="str">
        <f>'Team and Player Stats'!A38</f>
        <v>On the Fence</v>
      </c>
      <c r="C40">
        <f>'Team and Player Stats'!C38</f>
        <v>12</v>
      </c>
      <c r="D40">
        <f>'Team and Player Stats'!D38</f>
        <v>1</v>
      </c>
      <c r="E40" s="101">
        <f>'Team and Player Stats'!E38</f>
        <v>248.2666667</v>
      </c>
      <c r="F40">
        <f>'Team and Player Stats'!F38</f>
        <v>3</v>
      </c>
      <c r="G40">
        <f>'Team and Player Stats'!G38</f>
        <v>830</v>
      </c>
      <c r="H40">
        <f>'Team and Player Stats'!H38</f>
        <v>7</v>
      </c>
      <c r="I40">
        <f>'Team and Player Stats'!I38</f>
        <v>1060</v>
      </c>
      <c r="J40">
        <f>'Team and Player Stats'!J38</f>
        <v>-230</v>
      </c>
      <c r="K40" s="102">
        <f>'Team and Player Stats'!K38</f>
        <v>0.7830188679</v>
      </c>
      <c r="L40" s="101">
        <f>'Team and Player Stats'!L38</f>
        <v>130</v>
      </c>
      <c r="M40">
        <f>'Team and Player Stats'!M38</f>
        <v>1053</v>
      </c>
      <c r="N40">
        <f>'Team and Player Stats'!N38</f>
        <v>12</v>
      </c>
      <c r="O40" s="103">
        <f>'Team and Player Stats'!O38</f>
        <v>248.2666667</v>
      </c>
      <c r="P40">
        <f>'Team and Player Stats'!P38</f>
        <v>27</v>
      </c>
      <c r="Q40">
        <f>'Team and Player Stats'!Q38</f>
        <v>19</v>
      </c>
      <c r="R40">
        <f>'Team and Player Stats'!R38</f>
        <v>40</v>
      </c>
      <c r="S40">
        <f>'Team and Player Stats'!S38</f>
        <v>14</v>
      </c>
      <c r="T40">
        <f>'Team and Player Stats'!T38</f>
        <v>120</v>
      </c>
      <c r="U40">
        <f>'Team and Player Stats'!U38</f>
        <v>19</v>
      </c>
      <c r="V40">
        <f>'Team and Player Stats'!V38</f>
        <v>7</v>
      </c>
      <c r="W40">
        <f>'Team and Player Stats'!W38</f>
        <v>3</v>
      </c>
      <c r="X40">
        <f>'Team and Player Stats'!X38</f>
        <v>0</v>
      </c>
      <c r="Y40">
        <f>'Team and Player Stats'!Y38</f>
        <v>0</v>
      </c>
      <c r="Z40">
        <f>'Team and Player Stats'!Z38</f>
        <v>0</v>
      </c>
      <c r="AA40">
        <f>'Team and Player Stats'!AA38</f>
        <v>0</v>
      </c>
      <c r="AB40">
        <f>'Team and Player Stats'!AB38</f>
        <v>0</v>
      </c>
      <c r="AC40">
        <f>'Team and Player Stats'!AC38</f>
        <v>19</v>
      </c>
      <c r="AD40">
        <f>'Team and Player Stats'!AD38</f>
        <v>0</v>
      </c>
      <c r="AE40">
        <f>'Team and Player Stats'!AE38</f>
        <v>0</v>
      </c>
      <c r="AF40">
        <f>'Team and Player Stats'!AF38</f>
        <v>0</v>
      </c>
      <c r="AG40">
        <f>'Team and Player Stats'!AG38</f>
        <v>0</v>
      </c>
      <c r="AH40">
        <f>'Team and Player Stats'!AH38</f>
        <v>0</v>
      </c>
    </row>
    <row r="41">
      <c r="A41" s="97" t="str">
        <f>'Team and Player Stats'!B76</f>
        <v>MsMeowlla</v>
      </c>
      <c r="B41" s="97" t="str">
        <f>'Team and Player Stats'!A76</f>
        <v>Mediocre at Best</v>
      </c>
      <c r="C41" s="97">
        <f>'Team and Player Stats'!C76</f>
        <v>20</v>
      </c>
      <c r="D41" s="97">
        <f>'Team and Player Stats'!D76</f>
        <v>10</v>
      </c>
      <c r="E41" s="98">
        <f>'Team and Player Stats'!E76</f>
        <v>394.5</v>
      </c>
      <c r="F41" s="97">
        <f>'Team and Player Stats'!F76</f>
        <v>3</v>
      </c>
      <c r="G41" s="97">
        <f>'Team and Player Stats'!G76</f>
        <v>1224</v>
      </c>
      <c r="H41" s="97">
        <f>'Team and Player Stats'!H76</f>
        <v>2</v>
      </c>
      <c r="I41" s="97">
        <f>'Team and Player Stats'!I76</f>
        <v>1434</v>
      </c>
      <c r="J41" s="97">
        <f>'Team and Player Stats'!J76</f>
        <v>-210</v>
      </c>
      <c r="K41" s="99">
        <f>'Team and Player Stats'!K76</f>
        <v>0.8535564854</v>
      </c>
      <c r="L41" s="98">
        <f>'Team and Player Stats'!L76</f>
        <v>295</v>
      </c>
      <c r="M41" s="97">
        <f>'Team and Player Stats'!M76</f>
        <v>1522</v>
      </c>
      <c r="N41" s="97">
        <f>'Team and Player Stats'!N76</f>
        <v>20</v>
      </c>
      <c r="O41" s="100">
        <f>'Team and Player Stats'!O76</f>
        <v>394.5</v>
      </c>
      <c r="P41" s="97">
        <f>'Team and Player Stats'!P76</f>
        <v>30</v>
      </c>
      <c r="Q41" s="97">
        <f>'Team and Player Stats'!Q76</f>
        <v>28</v>
      </c>
      <c r="R41" s="97">
        <f>'Team and Player Stats'!R76</f>
        <v>73</v>
      </c>
      <c r="S41" s="97">
        <f>'Team and Player Stats'!S76</f>
        <v>32</v>
      </c>
      <c r="T41" s="97">
        <f>'Team and Player Stats'!T76</f>
        <v>152</v>
      </c>
      <c r="U41" s="97">
        <f>'Team and Player Stats'!U76</f>
        <v>32</v>
      </c>
      <c r="V41" s="97">
        <f>'Team and Player Stats'!V76</f>
        <v>6</v>
      </c>
      <c r="W41" s="97">
        <f>'Team and Player Stats'!W76</f>
        <v>2</v>
      </c>
      <c r="X41" s="97">
        <f>'Team and Player Stats'!X76</f>
        <v>0</v>
      </c>
      <c r="Y41" s="97">
        <f>'Team and Player Stats'!Y76</f>
        <v>0</v>
      </c>
      <c r="Z41" s="97">
        <f>'Team and Player Stats'!Z76</f>
        <v>0</v>
      </c>
      <c r="AA41" s="97">
        <f>'Team and Player Stats'!AA76</f>
        <v>0</v>
      </c>
      <c r="AB41" s="97">
        <f>'Team and Player Stats'!AB76</f>
        <v>0</v>
      </c>
      <c r="AC41" s="97">
        <f>'Team and Player Stats'!AC76</f>
        <v>20</v>
      </c>
      <c r="AD41" s="97">
        <f>'Team and Player Stats'!AD76</f>
        <v>1</v>
      </c>
      <c r="AE41" s="97">
        <f>'Team and Player Stats'!AE76</f>
        <v>0</v>
      </c>
      <c r="AF41" s="97">
        <f>'Team and Player Stats'!AF76</f>
        <v>0</v>
      </c>
      <c r="AG41" s="97">
        <f>'Team and Player Stats'!AG76</f>
        <v>1</v>
      </c>
      <c r="AH41" s="97">
        <f>'Team and Player Stats'!AH76</f>
        <v>0</v>
      </c>
    </row>
    <row r="42">
      <c r="A42" t="str">
        <f>'Team and Player Stats'!B47</f>
        <v> SILV3RI34CK</v>
      </c>
      <c r="B42" t="str">
        <f>'Team and Player Stats'!A47</f>
        <v>Failure to Launch</v>
      </c>
      <c r="C42">
        <f>'Team and Player Stats'!C47</f>
        <v>17</v>
      </c>
      <c r="D42">
        <f>'Team and Player Stats'!D47</f>
        <v>10</v>
      </c>
      <c r="E42" s="101">
        <f>'Team and Player Stats'!E47</f>
        <v>486.8666667</v>
      </c>
      <c r="F42">
        <f>'Team and Player Stats'!F47</f>
        <v>3</v>
      </c>
      <c r="G42">
        <f>'Team and Player Stats'!G47</f>
        <v>1542</v>
      </c>
      <c r="H42">
        <f>'Team and Player Stats'!H47</f>
        <v>10</v>
      </c>
      <c r="I42">
        <f>'Team and Player Stats'!I47</f>
        <v>1459</v>
      </c>
      <c r="J42">
        <f>'Team and Player Stats'!J47</f>
        <v>83</v>
      </c>
      <c r="K42" s="102">
        <f>'Team and Player Stats'!K47</f>
        <v>1.05688828</v>
      </c>
      <c r="L42" s="101">
        <f>'Team and Player Stats'!L47</f>
        <v>276</v>
      </c>
      <c r="M42">
        <f>'Team and Player Stats'!M47</f>
        <v>1959</v>
      </c>
      <c r="N42">
        <f>'Team and Player Stats'!N47</f>
        <v>17</v>
      </c>
      <c r="O42" s="103">
        <f>'Team and Player Stats'!O47</f>
        <v>486.8666667</v>
      </c>
      <c r="P42">
        <f>'Team and Player Stats'!P47</f>
        <v>65</v>
      </c>
      <c r="Q42">
        <f>'Team and Player Stats'!Q47</f>
        <v>25</v>
      </c>
      <c r="R42">
        <f>'Team and Player Stats'!R47</f>
        <v>178</v>
      </c>
      <c r="S42">
        <f>'Team and Player Stats'!S47</f>
        <v>31</v>
      </c>
      <c r="T42">
        <f>'Team and Player Stats'!T47</f>
        <v>177</v>
      </c>
      <c r="U42">
        <f>'Team and Player Stats'!U47</f>
        <v>21</v>
      </c>
      <c r="V42">
        <f>'Team and Player Stats'!V47</f>
        <v>6</v>
      </c>
      <c r="W42">
        <f>'Team and Player Stats'!W47</f>
        <v>1</v>
      </c>
      <c r="X42">
        <f>'Team and Player Stats'!X47</f>
        <v>0</v>
      </c>
      <c r="Y42">
        <f>'Team and Player Stats'!Y47</f>
        <v>0</v>
      </c>
      <c r="Z42">
        <f>'Team and Player Stats'!Z47</f>
        <v>0</v>
      </c>
      <c r="AA42">
        <f>'Team and Player Stats'!AA47</f>
        <v>0</v>
      </c>
      <c r="AB42">
        <f>'Team and Player Stats'!AB47</f>
        <v>0</v>
      </c>
      <c r="AC42">
        <f>'Team and Player Stats'!AC47</f>
        <v>25</v>
      </c>
      <c r="AD42">
        <f>'Team and Player Stats'!AD47</f>
        <v>0</v>
      </c>
      <c r="AE42">
        <f>'Team and Player Stats'!AE47</f>
        <v>0</v>
      </c>
      <c r="AF42">
        <f>'Team and Player Stats'!AF47</f>
        <v>0</v>
      </c>
      <c r="AG42">
        <f>'Team and Player Stats'!AG47</f>
        <v>0</v>
      </c>
      <c r="AH42">
        <f>'Team and Player Stats'!AH47</f>
        <v>0</v>
      </c>
    </row>
    <row r="43">
      <c r="A43" s="97" t="str">
        <f>'Team and Player Stats'!B68</f>
        <v>Liion Wiins</v>
      </c>
      <c r="B43" s="97" t="str">
        <f>'Team and Player Stats'!A68</f>
        <v>Monstars</v>
      </c>
      <c r="C43" s="97">
        <f>'Team and Player Stats'!C68</f>
        <v>20</v>
      </c>
      <c r="D43" s="97">
        <f>'Team and Player Stats'!D68</f>
        <v>16</v>
      </c>
      <c r="E43" s="98">
        <f>'Team and Player Stats'!E68</f>
        <v>378.4333333</v>
      </c>
      <c r="F43" s="97">
        <f>'Team and Player Stats'!F68</f>
        <v>3</v>
      </c>
      <c r="G43" s="97">
        <f>'Team and Player Stats'!G68</f>
        <v>1312</v>
      </c>
      <c r="H43" s="97">
        <f>'Team and Player Stats'!H68</f>
        <v>7</v>
      </c>
      <c r="I43" s="97">
        <f>'Team and Player Stats'!I68</f>
        <v>1418</v>
      </c>
      <c r="J43" s="97">
        <f>'Team and Player Stats'!J68</f>
        <v>-106</v>
      </c>
      <c r="K43" s="99">
        <f>'Team and Player Stats'!K68</f>
        <v>0.9252468265</v>
      </c>
      <c r="L43" s="98">
        <f>'Team and Player Stats'!L68</f>
        <v>264</v>
      </c>
      <c r="M43" s="97">
        <f>'Team and Player Stats'!M68</f>
        <v>1613</v>
      </c>
      <c r="N43" s="97">
        <f>'Team and Player Stats'!N68</f>
        <v>17</v>
      </c>
      <c r="O43" s="100">
        <f>'Team and Player Stats'!O68</f>
        <v>343.4333333</v>
      </c>
      <c r="P43" s="97">
        <f>'Team and Player Stats'!P68</f>
        <v>36</v>
      </c>
      <c r="Q43" s="97">
        <f>'Team and Player Stats'!Q68</f>
        <v>14</v>
      </c>
      <c r="R43" s="97">
        <f>'Team and Player Stats'!R68</f>
        <v>71</v>
      </c>
      <c r="S43" s="97">
        <f>'Team and Player Stats'!S68</f>
        <v>20</v>
      </c>
      <c r="T43" s="97">
        <f>'Team and Player Stats'!T68</f>
        <v>183</v>
      </c>
      <c r="U43" s="97">
        <f>'Team and Player Stats'!U68</f>
        <v>40</v>
      </c>
      <c r="V43" s="97">
        <f>'Team and Player Stats'!V68</f>
        <v>7</v>
      </c>
      <c r="W43" s="97">
        <f>'Team and Player Stats'!W68</f>
        <v>3</v>
      </c>
      <c r="X43" s="97">
        <f>'Team and Player Stats'!X68</f>
        <v>0</v>
      </c>
      <c r="Y43" s="97">
        <f>'Team and Player Stats'!Y68</f>
        <v>0</v>
      </c>
      <c r="Z43" s="97">
        <f>'Team and Player Stats'!Z68</f>
        <v>0</v>
      </c>
      <c r="AA43" s="97">
        <f>'Team and Player Stats'!AA68</f>
        <v>0</v>
      </c>
      <c r="AB43" s="97">
        <f>'Team and Player Stats'!AB68</f>
        <v>0</v>
      </c>
      <c r="AC43" s="97">
        <f>'Team and Player Stats'!AC68</f>
        <v>16</v>
      </c>
      <c r="AD43" s="97">
        <f>'Team and Player Stats'!AD68</f>
        <v>0</v>
      </c>
      <c r="AE43" s="97">
        <f>'Team and Player Stats'!AE68</f>
        <v>0</v>
      </c>
      <c r="AF43" s="97">
        <f>'Team and Player Stats'!AF68</f>
        <v>0</v>
      </c>
      <c r="AG43" s="97">
        <f>'Team and Player Stats'!AG68</f>
        <v>1</v>
      </c>
      <c r="AH43" s="97">
        <f>'Team and Player Stats'!AH68</f>
        <v>0</v>
      </c>
    </row>
    <row r="44">
      <c r="A44" t="str">
        <f>'Team and Player Stats'!B67</f>
        <v>ActiveHate</v>
      </c>
      <c r="B44" t="str">
        <f>'Team and Player Stats'!A67</f>
        <v>Monstars</v>
      </c>
      <c r="C44">
        <f>'Team and Player Stats'!C67</f>
        <v>20</v>
      </c>
      <c r="D44">
        <f>'Team and Player Stats'!D67</f>
        <v>16</v>
      </c>
      <c r="E44" s="101">
        <f>'Team and Player Stats'!E67</f>
        <v>375.1</v>
      </c>
      <c r="F44">
        <f>'Team and Player Stats'!F67</f>
        <v>2</v>
      </c>
      <c r="G44">
        <f>'Team and Player Stats'!G67</f>
        <v>1693</v>
      </c>
      <c r="H44">
        <f>'Team and Player Stats'!H67</f>
        <v>6</v>
      </c>
      <c r="I44">
        <f>'Team and Player Stats'!I67</f>
        <v>1557</v>
      </c>
      <c r="J44">
        <f>'Team and Player Stats'!J67</f>
        <v>136</v>
      </c>
      <c r="K44" s="102">
        <f>'Team and Player Stats'!K67</f>
        <v>1.087347463</v>
      </c>
      <c r="L44" s="101">
        <f>'Team and Player Stats'!L67</f>
        <v>234</v>
      </c>
      <c r="M44">
        <f>'Team and Player Stats'!M67</f>
        <v>2277</v>
      </c>
      <c r="N44">
        <f>'Team and Player Stats'!N67</f>
        <v>17</v>
      </c>
      <c r="O44" s="103">
        <f>'Team and Player Stats'!O67</f>
        <v>340.1</v>
      </c>
      <c r="P44">
        <f>'Team and Player Stats'!P67</f>
        <v>27</v>
      </c>
      <c r="Q44">
        <f>'Team and Player Stats'!Q67</f>
        <v>6</v>
      </c>
      <c r="R44">
        <f>'Team and Player Stats'!R67</f>
        <v>151</v>
      </c>
      <c r="S44">
        <f>'Team and Player Stats'!S67</f>
        <v>22</v>
      </c>
      <c r="T44">
        <f>'Team and Player Stats'!T67</f>
        <v>279</v>
      </c>
      <c r="U44">
        <f>'Team and Player Stats'!U67</f>
        <v>68</v>
      </c>
      <c r="V44">
        <f>'Team and Player Stats'!V67</f>
        <v>24</v>
      </c>
      <c r="W44">
        <f>'Team and Player Stats'!W67</f>
        <v>10</v>
      </c>
      <c r="X44">
        <f>'Team and Player Stats'!X67</f>
        <v>5</v>
      </c>
      <c r="Y44">
        <f>'Team and Player Stats'!Y67</f>
        <v>1</v>
      </c>
      <c r="Z44">
        <f>'Team and Player Stats'!Z67</f>
        <v>0</v>
      </c>
      <c r="AA44">
        <f>'Team and Player Stats'!AA67</f>
        <v>0</v>
      </c>
      <c r="AB44">
        <f>'Team and Player Stats'!AB67</f>
        <v>0</v>
      </c>
      <c r="AC44">
        <f>'Team and Player Stats'!AC67</f>
        <v>37</v>
      </c>
      <c r="AD44">
        <f>'Team and Player Stats'!AD67</f>
        <v>1</v>
      </c>
      <c r="AE44">
        <f>'Team and Player Stats'!AE67</f>
        <v>0</v>
      </c>
      <c r="AF44">
        <f>'Team and Player Stats'!AF67</f>
        <v>0</v>
      </c>
      <c r="AG44">
        <f>'Team and Player Stats'!AG67</f>
        <v>0</v>
      </c>
      <c r="AH44">
        <f>'Team and Player Stats'!AH67</f>
        <v>0</v>
      </c>
    </row>
    <row r="45">
      <c r="A45" s="97" t="str">
        <f>'Team and Player Stats'!B33</f>
        <v>TwitchTvSnipezz</v>
      </c>
      <c r="B45" s="97" t="str">
        <f>'Team and Player Stats'!A33</f>
        <v>Truthless and the Truthlessettes</v>
      </c>
      <c r="C45" s="97">
        <f>'Team and Player Stats'!C33</f>
        <v>8</v>
      </c>
      <c r="D45" s="97">
        <f>'Team and Player Stats'!D33</f>
        <v>1</v>
      </c>
      <c r="E45" s="98">
        <f>'Team and Player Stats'!E33</f>
        <v>169.5333333</v>
      </c>
      <c r="F45" s="97">
        <f>'Team and Player Stats'!F33</f>
        <v>2</v>
      </c>
      <c r="G45" s="97">
        <f>'Team and Player Stats'!G33</f>
        <v>671</v>
      </c>
      <c r="H45" s="97">
        <f>'Team and Player Stats'!H33</f>
        <v>3</v>
      </c>
      <c r="I45" s="97">
        <f>'Team and Player Stats'!I33</f>
        <v>635</v>
      </c>
      <c r="J45" s="97">
        <f>'Team and Player Stats'!J33</f>
        <v>36</v>
      </c>
      <c r="K45" s="99">
        <f>'Team and Player Stats'!K33</f>
        <v>1.056692913</v>
      </c>
      <c r="L45" s="98">
        <f>'Team and Player Stats'!L33</f>
        <v>108</v>
      </c>
      <c r="M45" s="97">
        <f>'Team and Player Stats'!M33</f>
        <v>877</v>
      </c>
      <c r="N45" s="97">
        <f>'Team and Player Stats'!N33</f>
        <v>8</v>
      </c>
      <c r="O45" s="100">
        <f>'Team and Player Stats'!O33</f>
        <v>169.5333333</v>
      </c>
      <c r="P45" s="97">
        <f>'Team and Player Stats'!P33</f>
        <v>23</v>
      </c>
      <c r="Q45" s="97">
        <f>'Team and Player Stats'!Q33</f>
        <v>7</v>
      </c>
      <c r="R45" s="97">
        <f>'Team and Player Stats'!R33</f>
        <v>35</v>
      </c>
      <c r="S45" s="97">
        <f>'Team and Player Stats'!S33</f>
        <v>13</v>
      </c>
      <c r="T45" s="97">
        <f>'Team and Player Stats'!T33</f>
        <v>104</v>
      </c>
      <c r="U45" s="97">
        <f>'Team and Player Stats'!U33</f>
        <v>26</v>
      </c>
      <c r="V45" s="97">
        <f>'Team and Player Stats'!V33</f>
        <v>7</v>
      </c>
      <c r="W45" s="97">
        <f>'Team and Player Stats'!W33</f>
        <v>1</v>
      </c>
      <c r="X45" s="97">
        <f>'Team and Player Stats'!X33</f>
        <v>0</v>
      </c>
      <c r="Y45" s="97">
        <f>'Team and Player Stats'!Y33</f>
        <v>0</v>
      </c>
      <c r="Z45" s="97">
        <f>'Team and Player Stats'!Z33</f>
        <v>0</v>
      </c>
      <c r="AA45" s="97">
        <f>'Team and Player Stats'!AA33</f>
        <v>0</v>
      </c>
      <c r="AB45" s="97">
        <f>'Team and Player Stats'!AB33</f>
        <v>0</v>
      </c>
      <c r="AC45" s="97">
        <f>'Team and Player Stats'!AC33</f>
        <v>20</v>
      </c>
      <c r="AD45" s="97">
        <f>'Team and Player Stats'!AD33</f>
        <v>0</v>
      </c>
      <c r="AE45" s="97">
        <f>'Team and Player Stats'!AE33</f>
        <v>0</v>
      </c>
      <c r="AF45" s="97">
        <f>'Team and Player Stats'!AF33</f>
        <v>0</v>
      </c>
      <c r="AG45" s="97">
        <f>'Team and Player Stats'!AG33</f>
        <v>0</v>
      </c>
      <c r="AH45" s="97">
        <f>'Team and Player Stats'!AH33</f>
        <v>0</v>
      </c>
    </row>
    <row r="46">
      <c r="A46" t="str">
        <f>'Team and Player Stats'!B34</f>
        <v>Myst The Cold</v>
      </c>
      <c r="B46" t="str">
        <f>'Team and Player Stats'!A34</f>
        <v>Truthless and the Truthlessettes</v>
      </c>
      <c r="C46">
        <f>'Team and Player Stats'!C34</f>
        <v>7</v>
      </c>
      <c r="D46">
        <f>'Team and Player Stats'!D34</f>
        <v>2</v>
      </c>
      <c r="E46" s="101">
        <f>'Team and Player Stats'!E34</f>
        <v>157.3166667</v>
      </c>
      <c r="F46">
        <f>'Team and Player Stats'!F34</f>
        <v>2</v>
      </c>
      <c r="G46">
        <f>'Team and Player Stats'!G34</f>
        <v>521</v>
      </c>
      <c r="H46">
        <f>'Team and Player Stats'!H34</f>
        <v>4</v>
      </c>
      <c r="I46">
        <f>'Team and Player Stats'!I34</f>
        <v>583</v>
      </c>
      <c r="J46">
        <f>'Team and Player Stats'!J34</f>
        <v>-62</v>
      </c>
      <c r="K46" s="102">
        <f>'Team and Player Stats'!K34</f>
        <v>0.8936535163</v>
      </c>
      <c r="L46" s="101">
        <v>0.0</v>
      </c>
      <c r="M46">
        <f>'Team and Player Stats'!M34</f>
        <v>640</v>
      </c>
      <c r="N46">
        <f>'Team and Player Stats'!N34</f>
        <v>7</v>
      </c>
      <c r="O46" s="103">
        <f>'Team and Player Stats'!O34</f>
        <v>157.3166667</v>
      </c>
      <c r="P46">
        <f>'Team and Player Stats'!P34</f>
        <v>17</v>
      </c>
      <c r="Q46">
        <f>'Team and Player Stats'!Q34</f>
        <v>11</v>
      </c>
      <c r="R46">
        <f>'Team and Player Stats'!R34</f>
        <v>28</v>
      </c>
      <c r="S46">
        <f>'Team and Player Stats'!S34</f>
        <v>15</v>
      </c>
      <c r="T46">
        <f>'Team and Player Stats'!T34</f>
        <v>59</v>
      </c>
      <c r="U46">
        <f>'Team and Player Stats'!U34</f>
        <v>6</v>
      </c>
      <c r="V46">
        <f>'Team and Player Stats'!V34</f>
        <v>0</v>
      </c>
      <c r="W46">
        <f>'Team and Player Stats'!W34</f>
        <v>0</v>
      </c>
      <c r="X46">
        <f>'Team and Player Stats'!X34</f>
        <v>0</v>
      </c>
      <c r="Y46">
        <f>'Team and Player Stats'!Y34</f>
        <v>0</v>
      </c>
      <c r="Z46">
        <f>'Team and Player Stats'!Z34</f>
        <v>0</v>
      </c>
      <c r="AA46">
        <f>'Team and Player Stats'!AA34</f>
        <v>0</v>
      </c>
      <c r="AB46">
        <f>'Team and Player Stats'!AB34</f>
        <v>0</v>
      </c>
      <c r="AC46">
        <f>'Team and Player Stats'!AC34</f>
        <v>5</v>
      </c>
      <c r="AD46">
        <f>'Team and Player Stats'!AD34</f>
        <v>0</v>
      </c>
      <c r="AE46">
        <f>'Team and Player Stats'!AE34</f>
        <v>0</v>
      </c>
      <c r="AF46">
        <f>'Team and Player Stats'!AF34</f>
        <v>0</v>
      </c>
      <c r="AG46">
        <f>'Team and Player Stats'!AG34</f>
        <v>0</v>
      </c>
      <c r="AH46">
        <f>'Team and Player Stats'!AH34</f>
        <v>0</v>
      </c>
    </row>
    <row r="47">
      <c r="A47" s="97" t="str">
        <f>'Team and Player Stats'!B14</f>
        <v>DCleak</v>
      </c>
      <c r="B47" s="97" t="str">
        <f>'Team and Player Stats'!A14</f>
        <v>In MuNgO We Trust</v>
      </c>
      <c r="C47" s="97">
        <f>'Team and Player Stats'!C14</f>
        <v>1</v>
      </c>
      <c r="D47" s="97">
        <f>'Team and Player Stats'!D14</f>
        <v>0</v>
      </c>
      <c r="E47" s="98">
        <f>'Team and Player Stats'!E14</f>
        <v>42</v>
      </c>
      <c r="F47" s="97">
        <f>'Team and Player Stats'!F14</f>
        <v>1</v>
      </c>
      <c r="G47" s="97">
        <f>'Team and Player Stats'!G14</f>
        <v>124</v>
      </c>
      <c r="H47" s="97">
        <f>'Team and Player Stats'!H14</f>
        <v>0</v>
      </c>
      <c r="I47" s="97">
        <f>'Team and Player Stats'!I14</f>
        <v>187</v>
      </c>
      <c r="J47" s="97">
        <f>'Team and Player Stats'!J14</f>
        <v>-63</v>
      </c>
      <c r="K47" s="99">
        <f>'Team and Player Stats'!K14</f>
        <v>0.6631016043</v>
      </c>
      <c r="L47" s="98">
        <f>'Team and Player Stats'!L14</f>
        <v>10</v>
      </c>
      <c r="M47" s="97">
        <f>'Team and Player Stats'!M14</f>
        <v>152</v>
      </c>
      <c r="N47" s="97">
        <f>'Team and Player Stats'!N14</f>
        <v>1</v>
      </c>
      <c r="O47" s="100">
        <f>'Team and Player Stats'!O14</f>
        <v>42</v>
      </c>
      <c r="P47" s="97">
        <f>'Team and Player Stats'!P14</f>
        <v>4</v>
      </c>
      <c r="Q47" s="97">
        <f>'Team and Player Stats'!Q14</f>
        <v>0</v>
      </c>
      <c r="R47" s="97">
        <f>'Team and Player Stats'!R14</f>
        <v>5</v>
      </c>
      <c r="S47" s="97">
        <f>'Team and Player Stats'!S14</f>
        <v>5</v>
      </c>
      <c r="T47" s="97">
        <f>'Team and Player Stats'!T14</f>
        <v>14</v>
      </c>
      <c r="U47" s="97">
        <f>'Team and Player Stats'!U14</f>
        <v>2</v>
      </c>
      <c r="V47" s="97">
        <f>'Team and Player Stats'!V14</f>
        <v>0</v>
      </c>
      <c r="W47" s="97">
        <f>'Team and Player Stats'!W14</f>
        <v>0</v>
      </c>
      <c r="X47" s="97">
        <f>'Team and Player Stats'!X14</f>
        <v>0</v>
      </c>
      <c r="Y47" s="97">
        <f>'Team and Player Stats'!Y14</f>
        <v>0</v>
      </c>
      <c r="Z47" s="97">
        <f>'Team and Player Stats'!Z14</f>
        <v>0</v>
      </c>
      <c r="AA47" s="97">
        <f>'Team and Player Stats'!AA14</f>
        <v>0</v>
      </c>
      <c r="AB47" s="97">
        <f>'Team and Player Stats'!AB14</f>
        <v>0</v>
      </c>
      <c r="AC47" s="97">
        <f>'Team and Player Stats'!AC14</f>
        <v>0</v>
      </c>
      <c r="AD47" s="97">
        <f>'Team and Player Stats'!AD14</f>
        <v>0</v>
      </c>
      <c r="AE47" s="97">
        <f>'Team and Player Stats'!AE14</f>
        <v>0</v>
      </c>
      <c r="AF47" s="97">
        <f>'Team and Player Stats'!AF14</f>
        <v>0</v>
      </c>
      <c r="AG47" s="97">
        <f>'Team and Player Stats'!AG14</f>
        <v>0</v>
      </c>
      <c r="AH47" s="97">
        <f>'Team and Player Stats'!AH14</f>
        <v>0</v>
      </c>
    </row>
    <row r="48">
      <c r="A48" t="str">
        <f>'Team and Player Stats'!B77</f>
        <v>MachinimistLuke</v>
      </c>
      <c r="B48" t="str">
        <f>'Team and Player Stats'!A77</f>
        <v>Mediocre at Best</v>
      </c>
      <c r="C48">
        <f>'Team and Player Stats'!C77</f>
        <v>1</v>
      </c>
      <c r="D48">
        <f>'Team and Player Stats'!D77</f>
        <v>0</v>
      </c>
      <c r="E48" s="101">
        <f>'Team and Player Stats'!E77</f>
        <v>33</v>
      </c>
      <c r="F48">
        <f>'Team and Player Stats'!F77</f>
        <v>1</v>
      </c>
      <c r="G48">
        <f>'Team and Player Stats'!G77</f>
        <v>56</v>
      </c>
      <c r="H48">
        <f>'Team and Player Stats'!H77</f>
        <v>1</v>
      </c>
      <c r="I48">
        <f>'Team and Player Stats'!I77</f>
        <v>112</v>
      </c>
      <c r="J48">
        <f>'Team and Player Stats'!J77</f>
        <v>-56</v>
      </c>
      <c r="K48" s="102">
        <f>'Team and Player Stats'!K77</f>
        <v>0.5</v>
      </c>
      <c r="L48" s="101">
        <f>'Team and Player Stats'!L77</f>
        <v>14</v>
      </c>
      <c r="M48">
        <f>'Team and Player Stats'!M77</f>
        <v>68</v>
      </c>
      <c r="N48">
        <f>'Team and Player Stats'!N77</f>
        <v>1</v>
      </c>
      <c r="O48" s="103">
        <f>'Team and Player Stats'!O77</f>
        <v>33</v>
      </c>
      <c r="P48">
        <f>'Team and Player Stats'!P77</f>
        <v>4</v>
      </c>
      <c r="Q48">
        <f>'Team and Player Stats'!Q77</f>
        <v>1</v>
      </c>
      <c r="R48">
        <f>'Team and Player Stats'!R77</f>
        <v>1</v>
      </c>
      <c r="S48">
        <f>'Team and Player Stats'!S77</f>
        <v>0</v>
      </c>
      <c r="T48">
        <f>'Team and Player Stats'!T77</f>
        <v>5</v>
      </c>
      <c r="U48">
        <f>'Team and Player Stats'!U77</f>
        <v>1</v>
      </c>
      <c r="V48">
        <f>'Team and Player Stats'!V77</f>
        <v>0</v>
      </c>
      <c r="W48">
        <f>'Team and Player Stats'!W77</f>
        <v>0</v>
      </c>
      <c r="X48">
        <f>'Team and Player Stats'!X77</f>
        <v>0</v>
      </c>
      <c r="Y48">
        <f>'Team and Player Stats'!Y77</f>
        <v>0</v>
      </c>
      <c r="Z48">
        <f>'Team and Player Stats'!Z77</f>
        <v>0</v>
      </c>
      <c r="AA48">
        <f>'Team and Player Stats'!AA77</f>
        <v>0</v>
      </c>
      <c r="AB48">
        <f>'Team and Player Stats'!AB77</f>
        <v>0</v>
      </c>
      <c r="AC48">
        <f>'Team and Player Stats'!AC77</f>
        <v>0</v>
      </c>
      <c r="AD48">
        <f>'Team and Player Stats'!AD77</f>
        <v>0</v>
      </c>
      <c r="AE48">
        <f>'Team and Player Stats'!AE77</f>
        <v>0</v>
      </c>
      <c r="AF48">
        <f>'Team and Player Stats'!AF77</f>
        <v>0</v>
      </c>
      <c r="AG48">
        <f>'Team and Player Stats'!AG77</f>
        <v>0</v>
      </c>
      <c r="AH48">
        <f>'Team and Player Stats'!AH77</f>
        <v>0</v>
      </c>
    </row>
    <row r="49">
      <c r="A49" s="97" t="str">
        <f>'Team and Player Stats'!B49</f>
        <v>Almighty Tycoon</v>
      </c>
      <c r="B49" s="97" t="str">
        <f>'Team and Player Stats'!A49</f>
        <v>Failure to Launch</v>
      </c>
      <c r="C49" s="97">
        <f>'Team and Player Stats'!C49</f>
        <v>9</v>
      </c>
      <c r="D49" s="97">
        <f>'Team and Player Stats'!D49</f>
        <v>6</v>
      </c>
      <c r="E49" s="98">
        <f>'Team and Player Stats'!E49</f>
        <v>297.3333333</v>
      </c>
      <c r="F49" s="97">
        <f>'Team and Player Stats'!F49</f>
        <v>1</v>
      </c>
      <c r="G49" s="97">
        <f>'Team and Player Stats'!G49</f>
        <v>993</v>
      </c>
      <c r="H49" s="97">
        <f>'Team and Player Stats'!H49</f>
        <v>2</v>
      </c>
      <c r="I49" s="97">
        <f>'Team and Player Stats'!I49</f>
        <v>1051</v>
      </c>
      <c r="J49" s="97">
        <f>'Team and Player Stats'!J49</f>
        <v>-58</v>
      </c>
      <c r="K49" s="99">
        <f>'Team and Player Stats'!K49</f>
        <v>0.9448144624</v>
      </c>
      <c r="L49" s="98">
        <f>'Team and Player Stats'!L49</f>
        <v>127</v>
      </c>
      <c r="M49" s="97">
        <f>'Team and Player Stats'!M49</f>
        <v>1305</v>
      </c>
      <c r="N49" s="97">
        <f>'Team and Player Stats'!N49</f>
        <v>9</v>
      </c>
      <c r="O49" s="100">
        <f>'Team and Player Stats'!O49</f>
        <v>297.3333333</v>
      </c>
      <c r="P49" s="97">
        <f>'Team and Player Stats'!P49</f>
        <v>34</v>
      </c>
      <c r="Q49" s="97">
        <f>'Team and Player Stats'!Q49</f>
        <v>28</v>
      </c>
      <c r="R49" s="97">
        <f>'Team and Player Stats'!R49</f>
        <v>81</v>
      </c>
      <c r="S49" s="97">
        <f>'Team and Player Stats'!S49</f>
        <v>18</v>
      </c>
      <c r="T49" s="97">
        <f>'Team and Player Stats'!T49</f>
        <v>141</v>
      </c>
      <c r="U49" s="97">
        <f>'Team and Player Stats'!U49</f>
        <v>33</v>
      </c>
      <c r="V49" s="97">
        <f>'Team and Player Stats'!V49</f>
        <v>13</v>
      </c>
      <c r="W49" s="97">
        <f>'Team and Player Stats'!W49</f>
        <v>4</v>
      </c>
      <c r="X49" s="97">
        <f>'Team and Player Stats'!X49</f>
        <v>1</v>
      </c>
      <c r="Y49" s="97">
        <f>'Team and Player Stats'!Y49</f>
        <v>1</v>
      </c>
      <c r="Z49" s="97">
        <f>'Team and Player Stats'!Z49</f>
        <v>1</v>
      </c>
      <c r="AA49" s="97">
        <f>'Team and Player Stats'!AA49</f>
        <v>1</v>
      </c>
      <c r="AB49" s="97">
        <f>'Team and Player Stats'!AB49</f>
        <v>0</v>
      </c>
      <c r="AC49" s="97">
        <f>'Team and Player Stats'!AC49</f>
        <v>22</v>
      </c>
      <c r="AD49" s="97">
        <f>'Team and Player Stats'!AD49</f>
        <v>1</v>
      </c>
      <c r="AE49" s="97">
        <f>'Team and Player Stats'!AE49</f>
        <v>0</v>
      </c>
      <c r="AF49" s="97">
        <f>'Team and Player Stats'!AF49</f>
        <v>0</v>
      </c>
      <c r="AG49" s="97">
        <f>'Team and Player Stats'!AG49</f>
        <v>1</v>
      </c>
      <c r="AH49" s="97">
        <f>'Team and Player Stats'!AH49</f>
        <v>0</v>
      </c>
    </row>
    <row r="50">
      <c r="A50" t="str">
        <f>'Team and Player Stats'!B10</f>
        <v>MuNgO PuNgO</v>
      </c>
      <c r="B50" t="str">
        <f>'Team and Player Stats'!A10</f>
        <v>In MuNgO We Trust</v>
      </c>
      <c r="C50">
        <f>'Team and Player Stats'!C10</f>
        <v>12</v>
      </c>
      <c r="D50">
        <f>'Team and Player Stats'!D10</f>
        <v>7</v>
      </c>
      <c r="E50" s="101">
        <f>'Team and Player Stats'!E10</f>
        <v>392.85</v>
      </c>
      <c r="F50">
        <f>'Team and Player Stats'!F10</f>
        <v>0</v>
      </c>
      <c r="G50">
        <f>'Team and Player Stats'!G10</f>
        <v>1234</v>
      </c>
      <c r="H50">
        <f>'Team and Player Stats'!H10</f>
        <v>3</v>
      </c>
      <c r="I50">
        <f>'Team and Player Stats'!I10</f>
        <v>1718</v>
      </c>
      <c r="J50">
        <f>'Team and Player Stats'!J10</f>
        <v>-484</v>
      </c>
      <c r="K50" s="102">
        <f>'Team and Player Stats'!K10</f>
        <v>0.7182770664</v>
      </c>
      <c r="L50" s="101">
        <f>'Team and Player Stats'!L10</f>
        <v>133</v>
      </c>
      <c r="M50">
        <f>'Team and Player Stats'!M10</f>
        <v>1551</v>
      </c>
      <c r="N50">
        <f>'Team and Player Stats'!N10</f>
        <v>12</v>
      </c>
      <c r="O50" s="103">
        <f>'Team and Player Stats'!O10</f>
        <v>392.85</v>
      </c>
      <c r="P50">
        <f>'Team and Player Stats'!P10</f>
        <v>32</v>
      </c>
      <c r="Q50">
        <f>'Team and Player Stats'!Q10</f>
        <v>22</v>
      </c>
      <c r="R50">
        <f>'Team and Player Stats'!R10</f>
        <v>114</v>
      </c>
      <c r="S50">
        <f>'Team and Player Stats'!S10</f>
        <v>24</v>
      </c>
      <c r="T50">
        <f>'Team and Player Stats'!T10</f>
        <v>172</v>
      </c>
      <c r="U50">
        <f>'Team and Player Stats'!U10</f>
        <v>21</v>
      </c>
      <c r="V50">
        <f>'Team and Player Stats'!V10</f>
        <v>1</v>
      </c>
      <c r="W50">
        <f>'Team and Player Stats'!W10</f>
        <v>0</v>
      </c>
      <c r="X50">
        <f>'Team and Player Stats'!X10</f>
        <v>0</v>
      </c>
      <c r="Y50">
        <f>'Team and Player Stats'!Y10</f>
        <v>0</v>
      </c>
      <c r="Z50">
        <f>'Team and Player Stats'!Z10</f>
        <v>0</v>
      </c>
      <c r="AA50">
        <f>'Team and Player Stats'!AA10</f>
        <v>0</v>
      </c>
      <c r="AB50">
        <f>'Team and Player Stats'!AB10</f>
        <v>0</v>
      </c>
      <c r="AC50">
        <f>'Team and Player Stats'!AC10</f>
        <v>4</v>
      </c>
      <c r="AD50">
        <f>'Team and Player Stats'!AD10</f>
        <v>0</v>
      </c>
      <c r="AE50">
        <f>'Team and Player Stats'!AE10</f>
        <v>0</v>
      </c>
      <c r="AF50">
        <f>'Team and Player Stats'!AF10</f>
        <v>0</v>
      </c>
      <c r="AG50">
        <f>'Team and Player Stats'!AG10</f>
        <v>0</v>
      </c>
      <c r="AH50">
        <f>'Team and Player Stats'!AH10</f>
        <v>0</v>
      </c>
    </row>
    <row r="51">
      <c r="A51" s="97" t="str">
        <f>'Team and Player Stats'!B21</f>
        <v>caleb loves you</v>
      </c>
      <c r="B51" s="97" t="str">
        <f>'Team and Player Stats'!A21</f>
        <v>Junkyard Dogs</v>
      </c>
      <c r="C51" s="97">
        <f>'Team and Player Stats'!C21</f>
        <v>2</v>
      </c>
      <c r="D51" s="97">
        <f>'Team and Player Stats'!D21</f>
        <v>0</v>
      </c>
      <c r="E51" s="98">
        <f>'Team and Player Stats'!E21</f>
        <v>36</v>
      </c>
      <c r="F51" s="97">
        <f>'Team and Player Stats'!F21</f>
        <v>0</v>
      </c>
      <c r="G51" s="97">
        <f>'Team and Player Stats'!G21</f>
        <v>109</v>
      </c>
      <c r="H51" s="97">
        <f>'Team and Player Stats'!H21</f>
        <v>0</v>
      </c>
      <c r="I51" s="97">
        <f>'Team and Player Stats'!I21</f>
        <v>115</v>
      </c>
      <c r="J51" s="97">
        <f>'Team and Player Stats'!J21</f>
        <v>-6</v>
      </c>
      <c r="K51" s="99">
        <f>'Team and Player Stats'!K21</f>
        <v>0.947826087</v>
      </c>
      <c r="L51" s="98">
        <f>'Team and Player Stats'!L21</f>
        <v>31</v>
      </c>
      <c r="M51" s="97">
        <f>'Team and Player Stats'!M21</f>
        <v>130</v>
      </c>
      <c r="N51" s="97">
        <f>'Team and Player Stats'!N21</f>
        <v>2</v>
      </c>
      <c r="O51" s="100">
        <f>'Team and Player Stats'!O21</f>
        <v>36</v>
      </c>
      <c r="P51" s="97">
        <f>'Team and Player Stats'!P21</f>
        <v>2</v>
      </c>
      <c r="Q51" s="97">
        <f>'Team and Player Stats'!Q21</f>
        <v>2</v>
      </c>
      <c r="R51" s="97">
        <f>'Team and Player Stats'!R21</f>
        <v>7</v>
      </c>
      <c r="S51" s="97">
        <f>'Team and Player Stats'!S21</f>
        <v>2</v>
      </c>
      <c r="T51" s="97">
        <f>'Team and Player Stats'!T21</f>
        <v>16</v>
      </c>
      <c r="U51" s="97">
        <f>'Team and Player Stats'!U21</f>
        <v>5</v>
      </c>
      <c r="V51" s="97">
        <f>'Team and Player Stats'!V21</f>
        <v>2</v>
      </c>
      <c r="W51" s="97">
        <f>'Team and Player Stats'!W21</f>
        <v>0</v>
      </c>
      <c r="X51" s="97">
        <f>'Team and Player Stats'!X21</f>
        <v>0</v>
      </c>
      <c r="Y51" s="97">
        <f>'Team and Player Stats'!Y21</f>
        <v>0</v>
      </c>
      <c r="Z51" s="97">
        <f>'Team and Player Stats'!Z21</f>
        <v>0</v>
      </c>
      <c r="AA51" s="97">
        <f>'Team and Player Stats'!AA21</f>
        <v>0</v>
      </c>
      <c r="AB51" s="97">
        <f>'Team and Player Stats'!AB21</f>
        <v>0</v>
      </c>
      <c r="AC51" s="97">
        <f>'Team and Player Stats'!AC21</f>
        <v>2</v>
      </c>
      <c r="AD51" s="97">
        <f>'Team and Player Stats'!AD21</f>
        <v>0</v>
      </c>
      <c r="AE51" s="97">
        <f>'Team and Player Stats'!AE21</f>
        <v>0</v>
      </c>
      <c r="AF51" s="97">
        <f>'Team and Player Stats'!AF21</f>
        <v>0</v>
      </c>
      <c r="AG51" s="97">
        <f>'Team and Player Stats'!AG21</f>
        <v>0</v>
      </c>
      <c r="AH51" s="97">
        <f>'Team and Player Stats'!AH21</f>
        <v>0</v>
      </c>
    </row>
    <row r="52">
      <c r="A52" t="str">
        <f>'Team and Player Stats'!B27</f>
        <v>x Greenthumb</v>
      </c>
      <c r="B52" t="str">
        <f>'Team and Player Stats'!A27</f>
        <v>9th Wonders</v>
      </c>
      <c r="C52">
        <f>'Team and Player Stats'!C27</f>
        <v>7</v>
      </c>
      <c r="D52">
        <f>'Team and Player Stats'!D27</f>
        <v>4</v>
      </c>
      <c r="E52" s="101">
        <f>'Team and Player Stats'!E27</f>
        <v>247.9833333</v>
      </c>
      <c r="F52">
        <f>'Team and Player Stats'!F27</f>
        <v>0</v>
      </c>
      <c r="G52">
        <f>'Team and Player Stats'!G27</f>
        <v>701</v>
      </c>
      <c r="H52">
        <f>'Team and Player Stats'!H27</f>
        <v>3</v>
      </c>
      <c r="I52">
        <f>'Team and Player Stats'!I27</f>
        <v>834</v>
      </c>
      <c r="J52">
        <f>'Team and Player Stats'!J27</f>
        <v>-133</v>
      </c>
      <c r="K52" s="102">
        <f>'Team and Player Stats'!K27</f>
        <v>0.8405275779</v>
      </c>
      <c r="L52" s="101">
        <f>'Team and Player Stats'!L27</f>
        <v>85</v>
      </c>
      <c r="M52">
        <f>'Team and Player Stats'!M27</f>
        <v>888</v>
      </c>
      <c r="N52">
        <f>'Team and Player Stats'!N27</f>
        <v>8</v>
      </c>
      <c r="O52" s="103">
        <f>'Team and Player Stats'!O27</f>
        <v>247.9833333</v>
      </c>
      <c r="P52">
        <f>'Team and Player Stats'!P27</f>
        <v>27</v>
      </c>
      <c r="Q52">
        <f>'Team and Player Stats'!Q27</f>
        <v>14</v>
      </c>
      <c r="R52">
        <f>'Team and Player Stats'!R27</f>
        <v>54</v>
      </c>
      <c r="S52">
        <f>'Team and Player Stats'!S27</f>
        <v>14</v>
      </c>
      <c r="T52">
        <f>'Team and Player Stats'!T27</f>
        <v>115</v>
      </c>
      <c r="U52">
        <f>'Team and Player Stats'!U27</f>
        <v>14</v>
      </c>
      <c r="V52">
        <f>'Team and Player Stats'!V27</f>
        <v>1</v>
      </c>
      <c r="W52">
        <f>'Team and Player Stats'!W27</f>
        <v>0</v>
      </c>
      <c r="X52">
        <f>'Team and Player Stats'!X27</f>
        <v>0</v>
      </c>
      <c r="Y52">
        <f>'Team and Player Stats'!Y27</f>
        <v>0</v>
      </c>
      <c r="Z52">
        <f>'Team and Player Stats'!Z27</f>
        <v>0</v>
      </c>
      <c r="AA52">
        <f>'Team and Player Stats'!AA27</f>
        <v>0</v>
      </c>
      <c r="AB52">
        <f>'Team and Player Stats'!AB27</f>
        <v>0</v>
      </c>
      <c r="AC52">
        <f>'Team and Player Stats'!AC27</f>
        <v>9</v>
      </c>
      <c r="AD52">
        <f>'Team and Player Stats'!AD27</f>
        <v>0</v>
      </c>
      <c r="AE52">
        <f>'Team and Player Stats'!AE27</f>
        <v>0</v>
      </c>
      <c r="AF52">
        <f>'Team and Player Stats'!AF27</f>
        <v>0</v>
      </c>
      <c r="AG52">
        <f>'Team and Player Stats'!AG27</f>
        <v>1</v>
      </c>
      <c r="AH52">
        <f>'Team and Player Stats'!AH27</f>
        <v>1</v>
      </c>
    </row>
    <row r="53">
      <c r="A53" s="97" t="str">
        <f>'Team and Player Stats'!B56</f>
        <v>TheOneHawk</v>
      </c>
      <c r="B53" s="97" t="str">
        <f>'Team and Player Stats'!A56</f>
        <v>Silva's Connection</v>
      </c>
      <c r="C53" s="97">
        <f>'Team and Player Stats'!C56</f>
        <v>0</v>
      </c>
      <c r="D53" s="97">
        <f>'Team and Player Stats'!D56</f>
        <v>0</v>
      </c>
      <c r="E53" s="98">
        <f>'Team and Player Stats'!E56</f>
        <v>0</v>
      </c>
      <c r="F53" s="97">
        <f>'Team and Player Stats'!F56</f>
        <v>0</v>
      </c>
      <c r="G53" s="97">
        <f>'Team and Player Stats'!G56</f>
        <v>0</v>
      </c>
      <c r="H53" s="97">
        <f>'Team and Player Stats'!H56</f>
        <v>0</v>
      </c>
      <c r="I53" s="97">
        <f>'Team and Player Stats'!I56</f>
        <v>0</v>
      </c>
      <c r="J53" s="97">
        <f>'Team and Player Stats'!J56</f>
        <v>0</v>
      </c>
      <c r="K53" s="99" t="str">
        <f>'Team and Player Stats'!K56</f>
        <v>#DIV/0!</v>
      </c>
      <c r="L53" s="98">
        <f>'Team and Player Stats'!L56</f>
        <v>0</v>
      </c>
      <c r="M53" s="97">
        <f>'Team and Player Stats'!M56</f>
        <v>0</v>
      </c>
      <c r="N53" s="97">
        <f>'Team and Player Stats'!N56</f>
        <v>0</v>
      </c>
      <c r="O53" s="100">
        <f>'Team and Player Stats'!O56</f>
        <v>0</v>
      </c>
      <c r="P53" s="97">
        <f>'Team and Player Stats'!P56</f>
        <v>0</v>
      </c>
      <c r="Q53" s="97">
        <f>'Team and Player Stats'!Q56</f>
        <v>0</v>
      </c>
      <c r="R53" s="97">
        <f>'Team and Player Stats'!R56</f>
        <v>0</v>
      </c>
      <c r="S53" s="97">
        <f>'Team and Player Stats'!S56</f>
        <v>0</v>
      </c>
      <c r="T53" s="97">
        <f>'Team and Player Stats'!T56</f>
        <v>0</v>
      </c>
      <c r="U53" s="97">
        <f>'Team and Player Stats'!U56</f>
        <v>0</v>
      </c>
      <c r="V53" s="97">
        <f>'Team and Player Stats'!V56</f>
        <v>0</v>
      </c>
      <c r="W53" s="97">
        <f>'Team and Player Stats'!W56</f>
        <v>0</v>
      </c>
      <c r="X53" s="97">
        <f>'Team and Player Stats'!X56</f>
        <v>0</v>
      </c>
      <c r="Y53" s="97">
        <f>'Team and Player Stats'!Y56</f>
        <v>0</v>
      </c>
      <c r="Z53" s="97">
        <f>'Team and Player Stats'!Z56</f>
        <v>0</v>
      </c>
      <c r="AA53" s="97">
        <f>'Team and Player Stats'!AA56</f>
        <v>0</v>
      </c>
      <c r="AB53" s="97">
        <f>'Team and Player Stats'!AB56</f>
        <v>0</v>
      </c>
      <c r="AC53" s="97">
        <f>'Team and Player Stats'!AC56</f>
        <v>0</v>
      </c>
      <c r="AD53" s="97">
        <f>'Team and Player Stats'!AD56</f>
        <v>0</v>
      </c>
      <c r="AE53" s="97">
        <f>'Team and Player Stats'!AE56</f>
        <v>0</v>
      </c>
      <c r="AF53" s="97">
        <f>'Team and Player Stats'!AF56</f>
        <v>0</v>
      </c>
      <c r="AG53" s="97">
        <f>'Team and Player Stats'!AG56</f>
        <v>0</v>
      </c>
      <c r="AH53" s="97">
        <f>'Team and Player Stats'!AH56</f>
        <v>0</v>
      </c>
    </row>
    <row r="54">
      <c r="A54" t="str">
        <f>'Team and Player Stats'!B63</f>
        <v>TheNastyWithin</v>
      </c>
      <c r="B54" t="str">
        <f>'Team and Player Stats'!A63</f>
        <v>Hypest</v>
      </c>
      <c r="C54">
        <f>'Team and Player Stats'!C63</f>
        <v>0</v>
      </c>
      <c r="D54">
        <f>'Team and Player Stats'!D63</f>
        <v>0</v>
      </c>
      <c r="E54" s="101">
        <f>'Team and Player Stats'!E63</f>
        <v>0</v>
      </c>
      <c r="F54">
        <f>'Team and Player Stats'!F63</f>
        <v>0</v>
      </c>
      <c r="G54">
        <f>'Team and Player Stats'!G63</f>
        <v>0</v>
      </c>
      <c r="H54">
        <f>'Team and Player Stats'!H63</f>
        <v>0</v>
      </c>
      <c r="I54">
        <f>'Team and Player Stats'!I63</f>
        <v>0</v>
      </c>
      <c r="J54">
        <f>'Team and Player Stats'!J63</f>
        <v>0</v>
      </c>
      <c r="K54" s="102" t="str">
        <f>'Team and Player Stats'!K63</f>
        <v>#DIV/0!</v>
      </c>
      <c r="L54" s="101">
        <f>'Team and Player Stats'!L63</f>
        <v>0</v>
      </c>
      <c r="M54">
        <f>'Team and Player Stats'!M63</f>
        <v>0</v>
      </c>
      <c r="N54">
        <f>'Team and Player Stats'!N63</f>
        <v>0</v>
      </c>
      <c r="O54" s="103">
        <f>'Team and Player Stats'!O63</f>
        <v>0</v>
      </c>
      <c r="P54">
        <f>'Team and Player Stats'!P63</f>
        <v>0</v>
      </c>
      <c r="Q54">
        <f>'Team and Player Stats'!Q63</f>
        <v>0</v>
      </c>
      <c r="R54">
        <f>'Team and Player Stats'!R63</f>
        <v>0</v>
      </c>
      <c r="S54">
        <f>'Team and Player Stats'!S63</f>
        <v>0</v>
      </c>
      <c r="T54">
        <f>'Team and Player Stats'!T63</f>
        <v>0</v>
      </c>
      <c r="U54">
        <f>'Team and Player Stats'!U63</f>
        <v>0</v>
      </c>
      <c r="V54">
        <f>'Team and Player Stats'!V63</f>
        <v>0</v>
      </c>
      <c r="W54">
        <f>'Team and Player Stats'!W63</f>
        <v>0</v>
      </c>
      <c r="X54">
        <f>'Team and Player Stats'!X63</f>
        <v>0</v>
      </c>
      <c r="Y54">
        <f>'Team and Player Stats'!Y63</f>
        <v>0</v>
      </c>
      <c r="Z54">
        <f>'Team and Player Stats'!Z63</f>
        <v>0</v>
      </c>
      <c r="AA54">
        <f>'Team and Player Stats'!AA63</f>
        <v>0</v>
      </c>
      <c r="AB54">
        <f>'Team and Player Stats'!AB63</f>
        <v>0</v>
      </c>
      <c r="AC54">
        <f>'Team and Player Stats'!AC63</f>
        <v>0</v>
      </c>
      <c r="AD54">
        <f>'Team and Player Stats'!AD63</f>
        <v>0</v>
      </c>
      <c r="AE54">
        <f>'Team and Player Stats'!AE63</f>
        <v>0</v>
      </c>
      <c r="AF54">
        <f>'Team and Player Stats'!AF63</f>
        <v>0</v>
      </c>
      <c r="AG54">
        <f>'Team and Player Stats'!AG63</f>
        <v>0</v>
      </c>
      <c r="AH54">
        <f>'Team and Player Stats'!AH63</f>
        <v>0</v>
      </c>
    </row>
    <row r="55">
      <c r="A55" s="97" t="str">
        <f>'Team and Player Stats'!B42</f>
        <v>Hoffa 88</v>
      </c>
      <c r="B55" s="97" t="str">
        <f>'Team and Player Stats'!A42</f>
        <v>On the Fence</v>
      </c>
      <c r="C55" s="97">
        <f>'Team and Player Stats'!C42</f>
        <v>0</v>
      </c>
      <c r="D55" s="97">
        <f>'Team and Player Stats'!D42</f>
        <v>0</v>
      </c>
      <c r="E55" s="98">
        <f>'Team and Player Stats'!E42</f>
        <v>0</v>
      </c>
      <c r="F55" s="97">
        <f>'Team and Player Stats'!F42</f>
        <v>0</v>
      </c>
      <c r="G55" s="97">
        <f>'Team and Player Stats'!G42</f>
        <v>0</v>
      </c>
      <c r="H55" s="97">
        <f>'Team and Player Stats'!H42</f>
        <v>0</v>
      </c>
      <c r="I55" s="97">
        <f>'Team and Player Stats'!I42</f>
        <v>0</v>
      </c>
      <c r="J55" s="97">
        <f>'Team and Player Stats'!J42</f>
        <v>0</v>
      </c>
      <c r="K55" s="99" t="str">
        <f>'Team and Player Stats'!K42</f>
        <v>#DIV/0!</v>
      </c>
      <c r="L55" s="98">
        <f>'Team and Player Stats'!L42</f>
        <v>0</v>
      </c>
      <c r="M55" s="97">
        <f>'Team and Player Stats'!M42</f>
        <v>0</v>
      </c>
      <c r="N55" s="97">
        <f>'Team and Player Stats'!N42</f>
        <v>0</v>
      </c>
      <c r="O55" s="100">
        <f>'Team and Player Stats'!O42</f>
        <v>0</v>
      </c>
      <c r="P55" s="97">
        <f>'Team and Player Stats'!P42</f>
        <v>0</v>
      </c>
      <c r="Q55" s="97">
        <f>'Team and Player Stats'!Q42</f>
        <v>0</v>
      </c>
      <c r="R55" s="97">
        <f>'Team and Player Stats'!R42</f>
        <v>0</v>
      </c>
      <c r="S55" s="97">
        <f>'Team and Player Stats'!S42</f>
        <v>0</v>
      </c>
      <c r="T55" s="97">
        <f>'Team and Player Stats'!T42</f>
        <v>0</v>
      </c>
      <c r="U55" s="97">
        <f>'Team and Player Stats'!U42</f>
        <v>0</v>
      </c>
      <c r="V55" s="97">
        <f>'Team and Player Stats'!V42</f>
        <v>0</v>
      </c>
      <c r="W55" s="97">
        <f>'Team and Player Stats'!W42</f>
        <v>0</v>
      </c>
      <c r="X55" s="97">
        <f>'Team and Player Stats'!X42</f>
        <v>0</v>
      </c>
      <c r="Y55" s="97">
        <f>'Team and Player Stats'!Y42</f>
        <v>0</v>
      </c>
      <c r="Z55" s="97">
        <f>'Team and Player Stats'!Z42</f>
        <v>0</v>
      </c>
      <c r="AA55" s="97">
        <f>'Team and Player Stats'!AA42</f>
        <v>0</v>
      </c>
      <c r="AB55" s="97">
        <f>'Team and Player Stats'!AB42</f>
        <v>0</v>
      </c>
      <c r="AC55" s="97">
        <f>'Team and Player Stats'!AC42</f>
        <v>0</v>
      </c>
      <c r="AD55" s="97">
        <f>'Team and Player Stats'!AD42</f>
        <v>0</v>
      </c>
      <c r="AE55" s="97">
        <f>'Team and Player Stats'!AE42</f>
        <v>0</v>
      </c>
      <c r="AF55" s="97">
        <f>'Team and Player Stats'!AF42</f>
        <v>0</v>
      </c>
      <c r="AG55" s="97">
        <f>'Team and Player Stats'!AG42</f>
        <v>0</v>
      </c>
      <c r="AH55" s="97">
        <f>'Team and Player Stats'!AH42</f>
        <v>0</v>
      </c>
    </row>
    <row r="56">
      <c r="A56" t="str">
        <f>'Team and Player Stats'!B48</f>
        <v>THEXILEDRAGON</v>
      </c>
      <c r="B56" t="str">
        <f>'Team and Player Stats'!A48</f>
        <v>Failure to Launch</v>
      </c>
      <c r="C56">
        <f>'Team and Player Stats'!C48</f>
        <v>0</v>
      </c>
      <c r="D56">
        <f>'Team and Player Stats'!D48</f>
        <v>0</v>
      </c>
      <c r="E56" s="101">
        <f>'Team and Player Stats'!E48</f>
        <v>0</v>
      </c>
      <c r="F56">
        <f>'Team and Player Stats'!F48</f>
        <v>0</v>
      </c>
      <c r="G56">
        <f>'Team and Player Stats'!G48</f>
        <v>0</v>
      </c>
      <c r="H56">
        <f>'Team and Player Stats'!H48</f>
        <v>0</v>
      </c>
      <c r="I56">
        <f>'Team and Player Stats'!I48</f>
        <v>0</v>
      </c>
      <c r="J56">
        <f>'Team and Player Stats'!J48</f>
        <v>0</v>
      </c>
      <c r="K56" s="102" t="str">
        <f>'Team and Player Stats'!K48</f>
        <v>#DIV/0!</v>
      </c>
      <c r="L56" s="101">
        <f>'Team and Player Stats'!L48</f>
        <v>0</v>
      </c>
      <c r="M56">
        <f>'Team and Player Stats'!M48</f>
        <v>0</v>
      </c>
      <c r="N56">
        <f>'Team and Player Stats'!N48</f>
        <v>0</v>
      </c>
      <c r="O56" s="103">
        <f>'Team and Player Stats'!O48</f>
        <v>0</v>
      </c>
      <c r="P56">
        <f>'Team and Player Stats'!P48</f>
        <v>0</v>
      </c>
      <c r="Q56">
        <f>'Team and Player Stats'!Q48</f>
        <v>0</v>
      </c>
      <c r="R56">
        <f>'Team and Player Stats'!R48</f>
        <v>0</v>
      </c>
      <c r="S56">
        <f>'Team and Player Stats'!S48</f>
        <v>0</v>
      </c>
      <c r="T56">
        <f>'Team and Player Stats'!T48</f>
        <v>0</v>
      </c>
      <c r="U56">
        <f>'Team and Player Stats'!U48</f>
        <v>0</v>
      </c>
      <c r="V56">
        <f>'Team and Player Stats'!V48</f>
        <v>0</v>
      </c>
      <c r="W56">
        <f>'Team and Player Stats'!W48</f>
        <v>0</v>
      </c>
      <c r="X56">
        <f>'Team and Player Stats'!X48</f>
        <v>0</v>
      </c>
      <c r="Y56">
        <f>'Team and Player Stats'!Y48</f>
        <v>0</v>
      </c>
      <c r="Z56">
        <f>'Team and Player Stats'!Z48</f>
        <v>0</v>
      </c>
      <c r="AA56">
        <f>'Team and Player Stats'!AA48</f>
        <v>0</v>
      </c>
      <c r="AB56">
        <f>'Team and Player Stats'!AB48</f>
        <v>0</v>
      </c>
      <c r="AC56">
        <f>'Team and Player Stats'!AC48</f>
        <v>0</v>
      </c>
      <c r="AD56">
        <f>'Team and Player Stats'!AD48</f>
        <v>0</v>
      </c>
      <c r="AE56">
        <f>'Team and Player Stats'!AE48</f>
        <v>0</v>
      </c>
      <c r="AF56">
        <f>'Team and Player Stats'!AF48</f>
        <v>0</v>
      </c>
      <c r="AG56">
        <f>'Team and Player Stats'!AG48</f>
        <v>0</v>
      </c>
      <c r="AH56">
        <f>'Team and Player Stats'!AH48</f>
        <v>0</v>
      </c>
    </row>
    <row r="57">
      <c r="A57" s="97" t="str">
        <f>'Team and Player Stats'!B70</f>
        <v>RealSlimSheep</v>
      </c>
      <c r="B57" s="97" t="str">
        <f>'Team and Player Stats'!A70</f>
        <v>Monstars</v>
      </c>
      <c r="C57" s="97">
        <f>'Team and Player Stats'!C70</f>
        <v>0</v>
      </c>
      <c r="D57" s="97">
        <f>'Team and Player Stats'!D70</f>
        <v>0</v>
      </c>
      <c r="E57" s="98">
        <f>'Team and Player Stats'!E70</f>
        <v>0</v>
      </c>
      <c r="F57" s="97">
        <f>'Team and Player Stats'!F70</f>
        <v>0</v>
      </c>
      <c r="G57" s="97">
        <f>'Team and Player Stats'!G70</f>
        <v>0</v>
      </c>
      <c r="H57" s="97">
        <f>'Team and Player Stats'!H70</f>
        <v>0</v>
      </c>
      <c r="I57" s="97">
        <f>'Team and Player Stats'!I70</f>
        <v>0</v>
      </c>
      <c r="J57" s="97">
        <f>'Team and Player Stats'!J70</f>
        <v>0</v>
      </c>
      <c r="K57" s="99" t="str">
        <f>'Team and Player Stats'!K70</f>
        <v>#DIV/0!</v>
      </c>
      <c r="L57" s="98">
        <f>'Team and Player Stats'!L70</f>
        <v>0</v>
      </c>
      <c r="M57" s="97">
        <f>'Team and Player Stats'!M70</f>
        <v>0</v>
      </c>
      <c r="N57" s="97">
        <f>'Team and Player Stats'!N70</f>
        <v>0</v>
      </c>
      <c r="O57" s="100">
        <f>'Team and Player Stats'!O70</f>
        <v>0</v>
      </c>
      <c r="P57" s="97">
        <f>'Team and Player Stats'!P70</f>
        <v>0</v>
      </c>
      <c r="Q57" s="97">
        <f>'Team and Player Stats'!Q70</f>
        <v>0</v>
      </c>
      <c r="R57" s="97">
        <f>'Team and Player Stats'!R70</f>
        <v>0</v>
      </c>
      <c r="S57" s="97">
        <f>'Team and Player Stats'!S70</f>
        <v>0</v>
      </c>
      <c r="T57" s="97">
        <f>'Team and Player Stats'!T70</f>
        <v>0</v>
      </c>
      <c r="U57" s="97">
        <f>'Team and Player Stats'!U70</f>
        <v>0</v>
      </c>
      <c r="V57" s="97">
        <f>'Team and Player Stats'!V70</f>
        <v>0</v>
      </c>
      <c r="W57" s="97">
        <f>'Team and Player Stats'!W70</f>
        <v>0</v>
      </c>
      <c r="X57" s="97">
        <f>'Team and Player Stats'!X70</f>
        <v>0</v>
      </c>
      <c r="Y57" s="97">
        <f>'Team and Player Stats'!Y70</f>
        <v>0</v>
      </c>
      <c r="Z57" s="97">
        <f>'Team and Player Stats'!Z70</f>
        <v>0</v>
      </c>
      <c r="AA57" s="97">
        <f>'Team and Player Stats'!AA70</f>
        <v>0</v>
      </c>
      <c r="AB57" s="97">
        <f>'Team and Player Stats'!AB70</f>
        <v>0</v>
      </c>
      <c r="AC57" s="97">
        <f>'Team and Player Stats'!AC70</f>
        <v>0</v>
      </c>
      <c r="AD57" s="97">
        <f>'Team and Player Stats'!AD70</f>
        <v>0</v>
      </c>
      <c r="AE57" s="97">
        <f>'Team and Player Stats'!AE70</f>
        <v>0</v>
      </c>
      <c r="AF57" s="97">
        <f>'Team and Player Stats'!AF70</f>
        <v>0</v>
      </c>
      <c r="AG57" s="97">
        <f>'Team and Player Stats'!AG70</f>
        <v>0</v>
      </c>
      <c r="AH57" s="97">
        <f>'Team and Player Stats'!AH70</f>
        <v>0</v>
      </c>
    </row>
    <row r="58">
      <c r="A58" t="str">
        <f>'Team and Player Stats'!B8</f>
        <v>MASTER CH3IF</v>
      </c>
      <c r="B58" t="str">
        <f>'Team and Player Stats'!A8</f>
        <v>Defiance</v>
      </c>
      <c r="C58">
        <f>'Team and Player Stats'!C8</f>
        <v>0</v>
      </c>
      <c r="D58">
        <f>'Team and Player Stats'!D8</f>
        <v>0</v>
      </c>
      <c r="E58" s="101">
        <f>'Team and Player Stats'!E8</f>
        <v>0</v>
      </c>
      <c r="F58">
        <f>'Team and Player Stats'!F8</f>
        <v>0</v>
      </c>
      <c r="G58">
        <f>'Team and Player Stats'!G8</f>
        <v>0</v>
      </c>
      <c r="H58">
        <f>'Team and Player Stats'!H8</f>
        <v>0</v>
      </c>
      <c r="I58">
        <f>'Team and Player Stats'!I8</f>
        <v>0</v>
      </c>
      <c r="J58">
        <f>'Team and Player Stats'!J8</f>
        <v>0</v>
      </c>
      <c r="K58" s="102" t="str">
        <f>'Team and Player Stats'!K8</f>
        <v>#DIV/0!</v>
      </c>
      <c r="L58" s="101">
        <f>'Team and Player Stats'!L8</f>
        <v>0</v>
      </c>
      <c r="M58">
        <f>'Team and Player Stats'!M8</f>
        <v>0</v>
      </c>
      <c r="N58">
        <f>'Team and Player Stats'!N8</f>
        <v>0</v>
      </c>
      <c r="O58" s="103">
        <f>'Team and Player Stats'!O8</f>
        <v>0</v>
      </c>
      <c r="P58">
        <f>'Team and Player Stats'!P8</f>
        <v>1</v>
      </c>
      <c r="Q58">
        <f>'Team and Player Stats'!Q8</f>
        <v>0</v>
      </c>
      <c r="R58">
        <f>'Team and Player Stats'!R8</f>
        <v>2</v>
      </c>
      <c r="S58">
        <f>'Team and Player Stats'!S8</f>
        <v>0</v>
      </c>
      <c r="T58">
        <f>'Team and Player Stats'!T8</f>
        <v>4</v>
      </c>
      <c r="U58">
        <f>'Team and Player Stats'!U8</f>
        <v>1</v>
      </c>
      <c r="V58">
        <f>'Team and Player Stats'!V8</f>
        <v>1</v>
      </c>
      <c r="W58">
        <f>'Team and Player Stats'!W8</f>
        <v>1</v>
      </c>
      <c r="X58">
        <f>'Team and Player Stats'!X8</f>
        <v>0</v>
      </c>
      <c r="Y58">
        <f>'Team and Player Stats'!Y8</f>
        <v>0</v>
      </c>
      <c r="Z58">
        <f>'Team and Player Stats'!Z8</f>
        <v>0</v>
      </c>
      <c r="AA58">
        <f>'Team and Player Stats'!AA8</f>
        <v>0</v>
      </c>
      <c r="AB58">
        <f>'Team and Player Stats'!AB8</f>
        <v>0</v>
      </c>
      <c r="AC58">
        <f>'Team and Player Stats'!AC8</f>
        <v>2</v>
      </c>
      <c r="AD58">
        <f>'Team and Player Stats'!AD8</f>
        <v>0</v>
      </c>
      <c r="AE58">
        <f>'Team and Player Stats'!AE8</f>
        <v>0</v>
      </c>
      <c r="AF58">
        <f>'Team and Player Stats'!AF8</f>
        <v>0</v>
      </c>
      <c r="AG58">
        <f>'Team and Player Stats'!AG8</f>
        <v>1</v>
      </c>
      <c r="AH58">
        <f>'Team and Player Stats'!AH8</f>
        <v>0</v>
      </c>
    </row>
    <row r="59">
      <c r="A59" t="str">
        <f>'Team and Player Stats'!B80</f>
        <v/>
      </c>
      <c r="B59" t="str">
        <f>'Team and Player Stats'!A80</f>
        <v/>
      </c>
      <c r="C59" t="str">
        <f>'Team and Player Stats'!C80</f>
        <v/>
      </c>
      <c r="D59" t="str">
        <f>'Team and Player Stats'!D80</f>
        <v/>
      </c>
      <c r="E59" s="101" t="str">
        <f>'Team and Player Stats'!E80</f>
        <v/>
      </c>
      <c r="F59" t="str">
        <f>'Team and Player Stats'!F80</f>
        <v/>
      </c>
      <c r="G59" t="str">
        <f>'Team and Player Stats'!G80</f>
        <v/>
      </c>
      <c r="H59" t="str">
        <f>'Team and Player Stats'!H80</f>
        <v/>
      </c>
      <c r="I59" s="102" t="str">
        <f>'Team and Player Stats'!I80</f>
        <v/>
      </c>
      <c r="J59" t="str">
        <f>'Team and Player Stats'!J80</f>
        <v/>
      </c>
      <c r="K59" t="str">
        <f>'Team and Player Stats'!K80</f>
        <v/>
      </c>
      <c r="L59" t="str">
        <f>'Team and Player Stats'!L80</f>
        <v/>
      </c>
      <c r="M59" t="str">
        <f>'Team and Player Stats'!M80</f>
        <v/>
      </c>
      <c r="N59" t="str">
        <f>'Team and Player Stats'!N80</f>
        <v/>
      </c>
      <c r="O59" t="str">
        <f>'Team and Player Stats'!O80</f>
        <v/>
      </c>
      <c r="P59" t="str">
        <f>'Team and Player Stats'!P80</f>
        <v/>
      </c>
      <c r="Q59" t="str">
        <f>'Team and Player Stats'!Q80</f>
        <v/>
      </c>
      <c r="R59" t="str">
        <f>'Team and Player Stats'!R80</f>
        <v/>
      </c>
      <c r="S59" t="str">
        <f>'Team and Player Stats'!S80</f>
        <v/>
      </c>
      <c r="T59" t="str">
        <f>'Team and Player Stats'!T80</f>
        <v/>
      </c>
      <c r="U59" t="str">
        <f>'Team and Player Stats'!U80</f>
        <v/>
      </c>
      <c r="V59" t="str">
        <f>'Team and Player Stats'!V80</f>
        <v/>
      </c>
      <c r="W59" t="str">
        <f>'Team and Player Stats'!W80</f>
        <v/>
      </c>
      <c r="X59" t="str">
        <f>'Team and Player Stats'!X80</f>
        <v/>
      </c>
      <c r="Y59" t="str">
        <f>'Team and Player Stats'!Y80</f>
        <v/>
      </c>
      <c r="Z59" t="str">
        <f>'Team and Player Stats'!Z80</f>
        <v/>
      </c>
      <c r="AA59" t="str">
        <f>'Team and Player Stats'!AA80</f>
        <v/>
      </c>
      <c r="AB59" t="str">
        <f>'Team and Player Stats'!AB80</f>
        <v/>
      </c>
      <c r="AC59" t="str">
        <f>'Team and Player Stats'!AC80</f>
        <v/>
      </c>
      <c r="AD59" t="str">
        <f>'Team and Player Stats'!AD80</f>
        <v/>
      </c>
      <c r="AE59" t="str">
        <f>'Team and Player Stats'!AE80</f>
        <v/>
      </c>
      <c r="AF59" t="str">
        <f>'Team and Player Stats'!AF80</f>
        <v/>
      </c>
      <c r="AG59" t="str">
        <f>'Team and Player Stats'!AG80</f>
        <v/>
      </c>
    </row>
    <row r="60">
      <c r="A60" t="str">
        <f>'Team and Player Stats'!B81</f>
        <v/>
      </c>
      <c r="B60" t="str">
        <f>'Team and Player Stats'!A81</f>
        <v/>
      </c>
      <c r="C60" t="str">
        <f>'Team and Player Stats'!C81</f>
        <v/>
      </c>
      <c r="D60" t="str">
        <f>'Team and Player Stats'!D81</f>
        <v/>
      </c>
      <c r="E60" s="101" t="str">
        <f>'Team and Player Stats'!E81</f>
        <v/>
      </c>
      <c r="F60" t="str">
        <f>'Team and Player Stats'!F81</f>
        <v/>
      </c>
      <c r="G60" t="str">
        <f>'Team and Player Stats'!G81</f>
        <v/>
      </c>
      <c r="H60" t="str">
        <f>'Team and Player Stats'!H81</f>
        <v/>
      </c>
      <c r="I60" s="102" t="str">
        <f>'Team and Player Stats'!I81</f>
        <v/>
      </c>
      <c r="J60" t="str">
        <f>'Team and Player Stats'!J81</f>
        <v/>
      </c>
      <c r="K60" t="str">
        <f>'Team and Player Stats'!K81</f>
        <v/>
      </c>
      <c r="L60" t="str">
        <f>'Team and Player Stats'!L81</f>
        <v/>
      </c>
      <c r="M60" t="str">
        <f>'Team and Player Stats'!M81</f>
        <v/>
      </c>
      <c r="N60" t="str">
        <f>'Team and Player Stats'!N81</f>
        <v/>
      </c>
      <c r="O60" t="str">
        <f>'Team and Player Stats'!O81</f>
        <v/>
      </c>
      <c r="P60" t="str">
        <f>'Team and Player Stats'!P81</f>
        <v/>
      </c>
      <c r="Q60" t="str">
        <f>'Team and Player Stats'!Q81</f>
        <v/>
      </c>
      <c r="R60" t="str">
        <f>'Team and Player Stats'!R81</f>
        <v/>
      </c>
      <c r="S60" t="str">
        <f>'Team and Player Stats'!S81</f>
        <v/>
      </c>
      <c r="T60" t="str">
        <f>'Team and Player Stats'!T81</f>
        <v/>
      </c>
      <c r="U60" t="str">
        <f>'Team and Player Stats'!U81</f>
        <v/>
      </c>
      <c r="V60" t="str">
        <f>'Team and Player Stats'!V81</f>
        <v/>
      </c>
      <c r="W60" t="str">
        <f>'Team and Player Stats'!W81</f>
        <v/>
      </c>
      <c r="X60" t="str">
        <f>'Team and Player Stats'!X81</f>
        <v/>
      </c>
      <c r="Y60" t="str">
        <f>'Team and Player Stats'!Y81</f>
        <v/>
      </c>
      <c r="Z60" t="str">
        <f>'Team and Player Stats'!Z81</f>
        <v/>
      </c>
      <c r="AA60" t="str">
        <f>'Team and Player Stats'!AA81</f>
        <v/>
      </c>
      <c r="AB60" t="str">
        <f>'Team and Player Stats'!AB81</f>
        <v/>
      </c>
      <c r="AC60" t="str">
        <f>'Team and Player Stats'!AC81</f>
        <v/>
      </c>
      <c r="AD60" t="str">
        <f>'Team and Player Stats'!AD81</f>
        <v/>
      </c>
      <c r="AE60" t="str">
        <f>'Team and Player Stats'!AE81</f>
        <v/>
      </c>
      <c r="AF60" t="str">
        <f>'Team and Player Stats'!AF81</f>
        <v/>
      </c>
      <c r="AG60" t="str">
        <f>'Team and Player Stats'!AG81</f>
        <v/>
      </c>
    </row>
    <row r="61">
      <c r="A61" t="str">
        <f>'Team and Player Stats'!B82</f>
        <v/>
      </c>
      <c r="B61" t="str">
        <f>'Team and Player Stats'!A82</f>
        <v/>
      </c>
      <c r="C61" t="str">
        <f>'Team and Player Stats'!C82</f>
        <v/>
      </c>
      <c r="D61" t="str">
        <f>'Team and Player Stats'!D82</f>
        <v/>
      </c>
      <c r="E61" s="101" t="str">
        <f>'Team and Player Stats'!E82</f>
        <v/>
      </c>
      <c r="F61" t="str">
        <f>'Team and Player Stats'!F82</f>
        <v/>
      </c>
      <c r="G61" t="str">
        <f>'Team and Player Stats'!G82</f>
        <v/>
      </c>
      <c r="H61" t="str">
        <f>'Team and Player Stats'!H82</f>
        <v/>
      </c>
      <c r="I61" s="102" t="str">
        <f>'Team and Player Stats'!I82</f>
        <v/>
      </c>
      <c r="J61" t="str">
        <f>'Team and Player Stats'!J82</f>
        <v/>
      </c>
      <c r="K61" t="str">
        <f>'Team and Player Stats'!K82</f>
        <v/>
      </c>
      <c r="L61" t="str">
        <f>'Team and Player Stats'!L82</f>
        <v/>
      </c>
      <c r="M61" t="str">
        <f>'Team and Player Stats'!M82</f>
        <v/>
      </c>
      <c r="N61" t="str">
        <f>'Team and Player Stats'!N82</f>
        <v/>
      </c>
      <c r="O61" t="str">
        <f>'Team and Player Stats'!O82</f>
        <v/>
      </c>
      <c r="P61" t="str">
        <f>'Team and Player Stats'!P82</f>
        <v/>
      </c>
      <c r="Q61" t="str">
        <f>'Team and Player Stats'!Q82</f>
        <v/>
      </c>
      <c r="R61" t="str">
        <f>'Team and Player Stats'!R82</f>
        <v/>
      </c>
      <c r="S61" t="str">
        <f>'Team and Player Stats'!S82</f>
        <v/>
      </c>
      <c r="T61" t="str">
        <f>'Team and Player Stats'!T82</f>
        <v/>
      </c>
      <c r="U61" t="str">
        <f>'Team and Player Stats'!U82</f>
        <v/>
      </c>
      <c r="V61" t="str">
        <f>'Team and Player Stats'!V82</f>
        <v/>
      </c>
      <c r="W61" t="str">
        <f>'Team and Player Stats'!W82</f>
        <v/>
      </c>
      <c r="X61" t="str">
        <f>'Team and Player Stats'!X82</f>
        <v/>
      </c>
      <c r="Y61" t="str">
        <f>'Team and Player Stats'!Y82</f>
        <v/>
      </c>
      <c r="Z61" t="str">
        <f>'Team and Player Stats'!Z82</f>
        <v/>
      </c>
      <c r="AA61" t="str">
        <f>'Team and Player Stats'!AA82</f>
        <v/>
      </c>
      <c r="AB61" t="str">
        <f>'Team and Player Stats'!AB82</f>
        <v/>
      </c>
      <c r="AC61" t="str">
        <f>'Team and Player Stats'!AC82</f>
        <v/>
      </c>
      <c r="AD61" t="str">
        <f>'Team and Player Stats'!AD82</f>
        <v/>
      </c>
      <c r="AE61" t="str">
        <f>'Team and Player Stats'!AE82</f>
        <v/>
      </c>
      <c r="AF61" t="str">
        <f>'Team and Player Stats'!AF82</f>
        <v/>
      </c>
      <c r="AG61" t="str">
        <f>'Team and Player Stats'!AG82</f>
        <v/>
      </c>
    </row>
    <row r="62">
      <c r="A62" t="str">
        <f>'Team and Player Stats'!B83</f>
        <v/>
      </c>
      <c r="B62" t="str">
        <f>'Team and Player Stats'!A83</f>
        <v/>
      </c>
      <c r="C62" t="str">
        <f>'Team and Player Stats'!C83</f>
        <v/>
      </c>
      <c r="D62" t="str">
        <f>'Team and Player Stats'!D83</f>
        <v/>
      </c>
      <c r="E62" s="101" t="str">
        <f>'Team and Player Stats'!E83</f>
        <v/>
      </c>
      <c r="F62" t="str">
        <f>'Team and Player Stats'!F83</f>
        <v/>
      </c>
      <c r="G62" t="str">
        <f>'Team and Player Stats'!G83</f>
        <v/>
      </c>
      <c r="H62" t="str">
        <f>'Team and Player Stats'!H83</f>
        <v/>
      </c>
      <c r="I62" s="102" t="str">
        <f>'Team and Player Stats'!I83</f>
        <v/>
      </c>
      <c r="J62" t="str">
        <f>'Team and Player Stats'!J83</f>
        <v/>
      </c>
      <c r="K62" t="str">
        <f>'Team and Player Stats'!K83</f>
        <v/>
      </c>
      <c r="L62" t="str">
        <f>'Team and Player Stats'!L83</f>
        <v/>
      </c>
      <c r="M62" t="str">
        <f>'Team and Player Stats'!M83</f>
        <v/>
      </c>
      <c r="N62" t="str">
        <f>'Team and Player Stats'!N83</f>
        <v/>
      </c>
      <c r="O62" t="str">
        <f>'Team and Player Stats'!O83</f>
        <v/>
      </c>
      <c r="P62" t="str">
        <f>'Team and Player Stats'!P83</f>
        <v/>
      </c>
      <c r="Q62" t="str">
        <f>'Team and Player Stats'!Q83</f>
        <v/>
      </c>
      <c r="R62" t="str">
        <f>'Team and Player Stats'!R83</f>
        <v/>
      </c>
      <c r="S62" t="str">
        <f>'Team and Player Stats'!S83</f>
        <v/>
      </c>
      <c r="T62" t="str">
        <f>'Team and Player Stats'!T83</f>
        <v/>
      </c>
      <c r="U62" t="str">
        <f>'Team and Player Stats'!U83</f>
        <v/>
      </c>
      <c r="V62" t="str">
        <f>'Team and Player Stats'!V83</f>
        <v/>
      </c>
      <c r="W62" t="str">
        <f>'Team and Player Stats'!W83</f>
        <v/>
      </c>
      <c r="X62" t="str">
        <f>'Team and Player Stats'!X83</f>
        <v/>
      </c>
      <c r="Y62" t="str">
        <f>'Team and Player Stats'!Y83</f>
        <v/>
      </c>
      <c r="Z62" t="str">
        <f>'Team and Player Stats'!Z83</f>
        <v/>
      </c>
      <c r="AA62" t="str">
        <f>'Team and Player Stats'!AA83</f>
        <v/>
      </c>
      <c r="AB62" t="str">
        <f>'Team and Player Stats'!AB83</f>
        <v/>
      </c>
      <c r="AC62" t="str">
        <f>'Team and Player Stats'!AC83</f>
        <v/>
      </c>
      <c r="AD62" t="str">
        <f>'Team and Player Stats'!AD83</f>
        <v/>
      </c>
      <c r="AE62" t="str">
        <f>'Team and Player Stats'!AE83</f>
        <v/>
      </c>
      <c r="AF62" t="str">
        <f>'Team and Player Stats'!AF83</f>
        <v/>
      </c>
      <c r="AG62" t="str">
        <f>'Team and Player Stats'!AG83</f>
        <v/>
      </c>
    </row>
    <row r="63">
      <c r="A63" t="str">
        <f>'Team and Player Stats'!B84</f>
        <v/>
      </c>
      <c r="B63" t="str">
        <f>'Team and Player Stats'!A84</f>
        <v/>
      </c>
      <c r="C63" t="str">
        <f>'Team and Player Stats'!C84</f>
        <v/>
      </c>
      <c r="D63" t="str">
        <f>'Team and Player Stats'!D84</f>
        <v/>
      </c>
      <c r="E63" s="101" t="str">
        <f>'Team and Player Stats'!E84</f>
        <v/>
      </c>
      <c r="F63" t="str">
        <f>'Team and Player Stats'!F84</f>
        <v/>
      </c>
      <c r="G63" t="str">
        <f>'Team and Player Stats'!G84</f>
        <v/>
      </c>
      <c r="H63" t="str">
        <f>'Team and Player Stats'!H84</f>
        <v/>
      </c>
      <c r="I63" s="102" t="str">
        <f>'Team and Player Stats'!I84</f>
        <v/>
      </c>
      <c r="J63" t="str">
        <f>'Team and Player Stats'!J84</f>
        <v/>
      </c>
      <c r="K63" t="str">
        <f>'Team and Player Stats'!K84</f>
        <v/>
      </c>
      <c r="L63" t="str">
        <f>'Team and Player Stats'!L84</f>
        <v/>
      </c>
      <c r="M63" t="str">
        <f>'Team and Player Stats'!M84</f>
        <v/>
      </c>
      <c r="N63" t="str">
        <f>'Team and Player Stats'!N84</f>
        <v/>
      </c>
      <c r="O63" t="str">
        <f>'Team and Player Stats'!O84</f>
        <v/>
      </c>
      <c r="P63" t="str">
        <f>'Team and Player Stats'!P84</f>
        <v/>
      </c>
      <c r="Q63" t="str">
        <f>'Team and Player Stats'!Q84</f>
        <v/>
      </c>
      <c r="R63" t="str">
        <f>'Team and Player Stats'!R84</f>
        <v/>
      </c>
      <c r="S63" t="str">
        <f>'Team and Player Stats'!S84</f>
        <v/>
      </c>
      <c r="T63" t="str">
        <f>'Team and Player Stats'!T84</f>
        <v/>
      </c>
      <c r="U63" t="str">
        <f>'Team and Player Stats'!U84</f>
        <v/>
      </c>
      <c r="V63" t="str">
        <f>'Team and Player Stats'!V84</f>
        <v/>
      </c>
      <c r="W63" t="str">
        <f>'Team and Player Stats'!W84</f>
        <v/>
      </c>
      <c r="X63" t="str">
        <f>'Team and Player Stats'!X84</f>
        <v/>
      </c>
      <c r="Y63" t="str">
        <f>'Team and Player Stats'!Y84</f>
        <v/>
      </c>
      <c r="Z63" t="str">
        <f>'Team and Player Stats'!Z84</f>
        <v/>
      </c>
      <c r="AA63" t="str">
        <f>'Team and Player Stats'!AA84</f>
        <v/>
      </c>
      <c r="AB63" t="str">
        <f>'Team and Player Stats'!AB84</f>
        <v/>
      </c>
      <c r="AC63" t="str">
        <f>'Team and Player Stats'!AC84</f>
        <v/>
      </c>
      <c r="AD63" t="str">
        <f>'Team and Player Stats'!AD84</f>
        <v/>
      </c>
      <c r="AE63" t="str">
        <f>'Team and Player Stats'!AE84</f>
        <v/>
      </c>
      <c r="AF63" t="str">
        <f>'Team and Player Stats'!AF84</f>
        <v/>
      </c>
      <c r="AG63" t="str">
        <f>'Team and Player Stats'!AG84</f>
        <v/>
      </c>
    </row>
    <row r="64">
      <c r="A64" t="str">
        <f>'Team and Player Stats'!B85</f>
        <v/>
      </c>
      <c r="B64" t="str">
        <f>'Team and Player Stats'!A85</f>
        <v/>
      </c>
      <c r="C64" t="str">
        <f>'Team and Player Stats'!C85</f>
        <v/>
      </c>
      <c r="D64" t="str">
        <f>'Team and Player Stats'!D85</f>
        <v/>
      </c>
      <c r="E64" s="101" t="str">
        <f>'Team and Player Stats'!E85</f>
        <v/>
      </c>
      <c r="F64" t="str">
        <f>'Team and Player Stats'!F85</f>
        <v/>
      </c>
      <c r="G64" t="str">
        <f>'Team and Player Stats'!G85</f>
        <v/>
      </c>
      <c r="H64" t="str">
        <f>'Team and Player Stats'!H85</f>
        <v/>
      </c>
      <c r="I64" s="102" t="str">
        <f>'Team and Player Stats'!I85</f>
        <v/>
      </c>
      <c r="J64" t="str">
        <f>'Team and Player Stats'!J85</f>
        <v/>
      </c>
      <c r="K64" t="str">
        <f>'Team and Player Stats'!K85</f>
        <v/>
      </c>
      <c r="L64" t="str">
        <f>'Team and Player Stats'!L85</f>
        <v/>
      </c>
      <c r="M64" t="str">
        <f>'Team and Player Stats'!M85</f>
        <v/>
      </c>
      <c r="N64" t="str">
        <f>'Team and Player Stats'!N85</f>
        <v/>
      </c>
      <c r="O64" t="str">
        <f>'Team and Player Stats'!O85</f>
        <v/>
      </c>
      <c r="P64" t="str">
        <f>'Team and Player Stats'!P85</f>
        <v/>
      </c>
      <c r="Q64" t="str">
        <f>'Team and Player Stats'!Q85</f>
        <v/>
      </c>
      <c r="R64" t="str">
        <f>'Team and Player Stats'!R85</f>
        <v/>
      </c>
      <c r="S64" t="str">
        <f>'Team and Player Stats'!S85</f>
        <v/>
      </c>
      <c r="T64" t="str">
        <f>'Team and Player Stats'!T85</f>
        <v/>
      </c>
      <c r="U64" t="str">
        <f>'Team and Player Stats'!U85</f>
        <v/>
      </c>
      <c r="V64" t="str">
        <f>'Team and Player Stats'!V85</f>
        <v/>
      </c>
      <c r="W64" t="str">
        <f>'Team and Player Stats'!W85</f>
        <v/>
      </c>
      <c r="X64" t="str">
        <f>'Team and Player Stats'!X85</f>
        <v/>
      </c>
      <c r="Y64" t="str">
        <f>'Team and Player Stats'!Y85</f>
        <v/>
      </c>
      <c r="Z64" t="str">
        <f>'Team and Player Stats'!Z85</f>
        <v/>
      </c>
      <c r="AA64" t="str">
        <f>'Team and Player Stats'!AA85</f>
        <v/>
      </c>
      <c r="AB64" t="str">
        <f>'Team and Player Stats'!AB85</f>
        <v/>
      </c>
      <c r="AC64" t="str">
        <f>'Team and Player Stats'!AC85</f>
        <v/>
      </c>
      <c r="AD64" t="str">
        <f>'Team and Player Stats'!AD85</f>
        <v/>
      </c>
      <c r="AE64" t="str">
        <f>'Team and Player Stats'!AE85</f>
        <v/>
      </c>
      <c r="AF64" t="str">
        <f>'Team and Player Stats'!AF85</f>
        <v/>
      </c>
      <c r="AG64" t="str">
        <f>'Team and Player Stats'!AG85</f>
        <v/>
      </c>
    </row>
    <row r="65">
      <c r="A65" t="str">
        <f>'Team and Player Stats'!B86</f>
        <v/>
      </c>
      <c r="B65" t="str">
        <f>'Team and Player Stats'!A86</f>
        <v/>
      </c>
      <c r="C65" t="str">
        <f>'Team and Player Stats'!C86</f>
        <v/>
      </c>
      <c r="D65" t="str">
        <f>'Team and Player Stats'!D86</f>
        <v/>
      </c>
      <c r="E65" s="101" t="str">
        <f>'Team and Player Stats'!E86</f>
        <v/>
      </c>
      <c r="F65" t="str">
        <f>'Team and Player Stats'!F86</f>
        <v/>
      </c>
      <c r="G65" t="str">
        <f>'Team and Player Stats'!G86</f>
        <v/>
      </c>
      <c r="H65" t="str">
        <f>'Team and Player Stats'!H86</f>
        <v/>
      </c>
      <c r="I65" s="102" t="str">
        <f>'Team and Player Stats'!I86</f>
        <v/>
      </c>
      <c r="J65" t="str">
        <f>'Team and Player Stats'!J86</f>
        <v/>
      </c>
      <c r="K65" t="str">
        <f>'Team and Player Stats'!K86</f>
        <v/>
      </c>
      <c r="L65" t="str">
        <f>'Team and Player Stats'!L86</f>
        <v/>
      </c>
      <c r="M65" t="str">
        <f>'Team and Player Stats'!M86</f>
        <v/>
      </c>
      <c r="N65" t="str">
        <f>'Team and Player Stats'!N86</f>
        <v/>
      </c>
      <c r="O65" t="str">
        <f>'Team and Player Stats'!O86</f>
        <v/>
      </c>
      <c r="P65" t="str">
        <f>'Team and Player Stats'!P86</f>
        <v/>
      </c>
      <c r="Q65" t="str">
        <f>'Team and Player Stats'!Q86</f>
        <v/>
      </c>
      <c r="R65" t="str">
        <f>'Team and Player Stats'!R86</f>
        <v/>
      </c>
      <c r="S65" t="str">
        <f>'Team and Player Stats'!S86</f>
        <v/>
      </c>
      <c r="T65" t="str">
        <f>'Team and Player Stats'!T86</f>
        <v/>
      </c>
      <c r="U65" t="str">
        <f>'Team and Player Stats'!U86</f>
        <v/>
      </c>
      <c r="V65" t="str">
        <f>'Team and Player Stats'!V86</f>
        <v/>
      </c>
      <c r="W65" t="str">
        <f>'Team and Player Stats'!W86</f>
        <v/>
      </c>
      <c r="X65" t="str">
        <f>'Team and Player Stats'!X86</f>
        <v/>
      </c>
      <c r="Y65" t="str">
        <f>'Team and Player Stats'!Y86</f>
        <v/>
      </c>
      <c r="Z65" t="str">
        <f>'Team and Player Stats'!Z86</f>
        <v/>
      </c>
      <c r="AA65" t="str">
        <f>'Team and Player Stats'!AA86</f>
        <v/>
      </c>
      <c r="AB65" t="str">
        <f>'Team and Player Stats'!AB86</f>
        <v/>
      </c>
      <c r="AC65" t="str">
        <f>'Team and Player Stats'!AC86</f>
        <v/>
      </c>
      <c r="AD65" t="str">
        <f>'Team and Player Stats'!AD86</f>
        <v/>
      </c>
      <c r="AE65" t="str">
        <f>'Team and Player Stats'!AE86</f>
        <v/>
      </c>
      <c r="AF65" t="str">
        <f>'Team and Player Stats'!AF86</f>
        <v/>
      </c>
      <c r="AG65" t="str">
        <f>'Team and Player Stats'!AG86</f>
        <v/>
      </c>
    </row>
    <row r="66">
      <c r="A66" t="str">
        <f>'Team and Player Stats'!B87</f>
        <v/>
      </c>
      <c r="B66" t="str">
        <f>'Team and Player Stats'!A87</f>
        <v/>
      </c>
      <c r="C66" t="str">
        <f>'Team and Player Stats'!C87</f>
        <v/>
      </c>
      <c r="D66" t="str">
        <f>'Team and Player Stats'!D87</f>
        <v/>
      </c>
      <c r="E66" s="101" t="str">
        <f>'Team and Player Stats'!E87</f>
        <v/>
      </c>
      <c r="F66" t="str">
        <f>'Team and Player Stats'!F87</f>
        <v/>
      </c>
      <c r="G66" t="str">
        <f>'Team and Player Stats'!G87</f>
        <v/>
      </c>
      <c r="H66" t="str">
        <f>'Team and Player Stats'!H87</f>
        <v/>
      </c>
      <c r="I66" s="102" t="str">
        <f>'Team and Player Stats'!I87</f>
        <v/>
      </c>
      <c r="J66" t="str">
        <f>'Team and Player Stats'!J87</f>
        <v/>
      </c>
      <c r="K66" t="str">
        <f>'Team and Player Stats'!K87</f>
        <v/>
      </c>
      <c r="L66" t="str">
        <f>'Team and Player Stats'!L87</f>
        <v/>
      </c>
      <c r="M66" t="str">
        <f>'Team and Player Stats'!M87</f>
        <v/>
      </c>
      <c r="N66" t="str">
        <f>'Team and Player Stats'!N87</f>
        <v/>
      </c>
      <c r="O66" t="str">
        <f>'Team and Player Stats'!O87</f>
        <v/>
      </c>
      <c r="P66" t="str">
        <f>'Team and Player Stats'!P87</f>
        <v/>
      </c>
      <c r="Q66" t="str">
        <f>'Team and Player Stats'!Q87</f>
        <v/>
      </c>
      <c r="R66" t="str">
        <f>'Team and Player Stats'!R87</f>
        <v/>
      </c>
      <c r="S66" t="str">
        <f>'Team and Player Stats'!S87</f>
        <v/>
      </c>
      <c r="T66" t="str">
        <f>'Team and Player Stats'!T87</f>
        <v/>
      </c>
      <c r="U66" t="str">
        <f>'Team and Player Stats'!U87</f>
        <v/>
      </c>
      <c r="V66" t="str">
        <f>'Team and Player Stats'!V87</f>
        <v/>
      </c>
      <c r="W66" t="str">
        <f>'Team and Player Stats'!W87</f>
        <v/>
      </c>
      <c r="X66" t="str">
        <f>'Team and Player Stats'!X87</f>
        <v/>
      </c>
      <c r="Y66" t="str">
        <f>'Team and Player Stats'!Y87</f>
        <v/>
      </c>
      <c r="Z66" t="str">
        <f>'Team and Player Stats'!Z87</f>
        <v/>
      </c>
      <c r="AA66" t="str">
        <f>'Team and Player Stats'!AA87</f>
        <v/>
      </c>
      <c r="AB66" t="str">
        <f>'Team and Player Stats'!AB87</f>
        <v/>
      </c>
      <c r="AC66" t="str">
        <f>'Team and Player Stats'!AC87</f>
        <v/>
      </c>
      <c r="AD66" t="str">
        <f>'Team and Player Stats'!AD87</f>
        <v/>
      </c>
      <c r="AE66" t="str">
        <f>'Team and Player Stats'!AE87</f>
        <v/>
      </c>
      <c r="AF66" t="str">
        <f>'Team and Player Stats'!AF87</f>
        <v/>
      </c>
      <c r="AG66" t="str">
        <f>'Team and Player Stats'!AG87</f>
        <v/>
      </c>
    </row>
    <row r="67">
      <c r="A67" t="str">
        <f>'Team and Player Stats'!B88</f>
        <v/>
      </c>
      <c r="B67" t="str">
        <f>'Team and Player Stats'!A88</f>
        <v/>
      </c>
      <c r="C67" t="str">
        <f>'Team and Player Stats'!C88</f>
        <v/>
      </c>
      <c r="D67" t="str">
        <f>'Team and Player Stats'!D88</f>
        <v/>
      </c>
      <c r="E67" s="101" t="str">
        <f>'Team and Player Stats'!E88</f>
        <v/>
      </c>
      <c r="F67" t="str">
        <f>'Team and Player Stats'!F88</f>
        <v/>
      </c>
      <c r="G67" t="str">
        <f>'Team and Player Stats'!G88</f>
        <v/>
      </c>
      <c r="H67" t="str">
        <f>'Team and Player Stats'!H88</f>
        <v/>
      </c>
      <c r="I67" s="102" t="str">
        <f>'Team and Player Stats'!I88</f>
        <v/>
      </c>
      <c r="J67" t="str">
        <f>'Team and Player Stats'!J88</f>
        <v/>
      </c>
      <c r="K67" t="str">
        <f>'Team and Player Stats'!K88</f>
        <v/>
      </c>
      <c r="L67" t="str">
        <f>'Team and Player Stats'!L88</f>
        <v/>
      </c>
      <c r="M67" t="str">
        <f>'Team and Player Stats'!M88</f>
        <v/>
      </c>
      <c r="N67" t="str">
        <f>'Team and Player Stats'!N88</f>
        <v/>
      </c>
      <c r="O67" t="str">
        <f>'Team and Player Stats'!O88</f>
        <v/>
      </c>
      <c r="P67" t="str">
        <f>'Team and Player Stats'!P88</f>
        <v/>
      </c>
      <c r="Q67" t="str">
        <f>'Team and Player Stats'!Q88</f>
        <v/>
      </c>
      <c r="R67" t="str">
        <f>'Team and Player Stats'!R88</f>
        <v/>
      </c>
      <c r="S67" t="str">
        <f>'Team and Player Stats'!S88</f>
        <v/>
      </c>
      <c r="T67" t="str">
        <f>'Team and Player Stats'!T88</f>
        <v/>
      </c>
      <c r="U67" t="str">
        <f>'Team and Player Stats'!U88</f>
        <v/>
      </c>
      <c r="V67" t="str">
        <f>'Team and Player Stats'!V88</f>
        <v/>
      </c>
      <c r="W67" t="str">
        <f>'Team and Player Stats'!W88</f>
        <v/>
      </c>
      <c r="X67" t="str">
        <f>'Team and Player Stats'!X88</f>
        <v/>
      </c>
      <c r="Y67" t="str">
        <f>'Team and Player Stats'!Y88</f>
        <v/>
      </c>
      <c r="Z67" t="str">
        <f>'Team and Player Stats'!Z88</f>
        <v/>
      </c>
      <c r="AA67" t="str">
        <f>'Team and Player Stats'!AA88</f>
        <v/>
      </c>
      <c r="AB67" t="str">
        <f>'Team and Player Stats'!AB88</f>
        <v/>
      </c>
      <c r="AC67" t="str">
        <f>'Team and Player Stats'!AC88</f>
        <v/>
      </c>
      <c r="AD67" t="str">
        <f>'Team and Player Stats'!AD88</f>
        <v/>
      </c>
      <c r="AE67" t="str">
        <f>'Team and Player Stats'!AE88</f>
        <v/>
      </c>
      <c r="AF67" t="str">
        <f>'Team and Player Stats'!AF88</f>
        <v/>
      </c>
      <c r="AG67" t="str">
        <f>'Team and Player Stats'!AG88</f>
        <v/>
      </c>
    </row>
    <row r="68">
      <c r="A68" t="str">
        <f>'Team and Player Stats'!B89</f>
        <v/>
      </c>
      <c r="B68" t="str">
        <f>'Team and Player Stats'!A89</f>
        <v/>
      </c>
      <c r="C68" t="str">
        <f>'Team and Player Stats'!C89</f>
        <v/>
      </c>
      <c r="D68" t="str">
        <f>'Team and Player Stats'!D89</f>
        <v/>
      </c>
      <c r="E68" s="101" t="str">
        <f>'Team and Player Stats'!E89</f>
        <v/>
      </c>
      <c r="F68" t="str">
        <f>'Team and Player Stats'!F89</f>
        <v/>
      </c>
      <c r="G68" t="str">
        <f>'Team and Player Stats'!G89</f>
        <v/>
      </c>
      <c r="H68" t="str">
        <f>'Team and Player Stats'!H89</f>
        <v/>
      </c>
      <c r="I68" s="102" t="str">
        <f>'Team and Player Stats'!I89</f>
        <v/>
      </c>
      <c r="J68" t="str">
        <f>'Team and Player Stats'!J89</f>
        <v/>
      </c>
      <c r="K68" t="str">
        <f>'Team and Player Stats'!K89</f>
        <v/>
      </c>
      <c r="L68" t="str">
        <f>'Team and Player Stats'!L89</f>
        <v/>
      </c>
      <c r="M68" t="str">
        <f>'Team and Player Stats'!M89</f>
        <v/>
      </c>
      <c r="N68" t="str">
        <f>'Team and Player Stats'!N89</f>
        <v/>
      </c>
      <c r="O68" t="str">
        <f>'Team and Player Stats'!O89</f>
        <v/>
      </c>
      <c r="P68" t="str">
        <f>'Team and Player Stats'!P89</f>
        <v/>
      </c>
      <c r="Q68" t="str">
        <f>'Team and Player Stats'!Q89</f>
        <v/>
      </c>
      <c r="R68" t="str">
        <f>'Team and Player Stats'!R89</f>
        <v/>
      </c>
      <c r="S68" t="str">
        <f>'Team and Player Stats'!S89</f>
        <v/>
      </c>
      <c r="T68" t="str">
        <f>'Team and Player Stats'!T89</f>
        <v/>
      </c>
      <c r="U68" t="str">
        <f>'Team and Player Stats'!U89</f>
        <v/>
      </c>
      <c r="V68" t="str">
        <f>'Team and Player Stats'!V89</f>
        <v/>
      </c>
      <c r="W68" t="str">
        <f>'Team and Player Stats'!W89</f>
        <v/>
      </c>
      <c r="X68" t="str">
        <f>'Team and Player Stats'!X89</f>
        <v/>
      </c>
      <c r="Y68" t="str">
        <f>'Team and Player Stats'!Y89</f>
        <v/>
      </c>
      <c r="Z68" t="str">
        <f>'Team and Player Stats'!Z89</f>
        <v/>
      </c>
      <c r="AA68" t="str">
        <f>'Team and Player Stats'!AA89</f>
        <v/>
      </c>
      <c r="AB68" t="str">
        <f>'Team and Player Stats'!AB89</f>
        <v/>
      </c>
      <c r="AC68" t="str">
        <f>'Team and Player Stats'!AC89</f>
        <v/>
      </c>
      <c r="AD68" t="str">
        <f>'Team and Player Stats'!AD89</f>
        <v/>
      </c>
      <c r="AE68" t="str">
        <f>'Team and Player Stats'!AE89</f>
        <v/>
      </c>
      <c r="AF68" t="str">
        <f>'Team and Player Stats'!AF89</f>
        <v/>
      </c>
      <c r="AG68" t="str">
        <f>'Team and Player Stats'!AG89</f>
        <v/>
      </c>
    </row>
    <row r="69">
      <c r="A69" t="str">
        <f>'Team and Player Stats'!B90</f>
        <v/>
      </c>
      <c r="B69" t="str">
        <f>'Team and Player Stats'!A90</f>
        <v/>
      </c>
      <c r="C69" t="str">
        <f>'Team and Player Stats'!C90</f>
        <v/>
      </c>
      <c r="D69" t="str">
        <f>'Team and Player Stats'!D90</f>
        <v/>
      </c>
      <c r="E69" s="101" t="str">
        <f>'Team and Player Stats'!E90</f>
        <v/>
      </c>
      <c r="F69" t="str">
        <f>'Team and Player Stats'!F90</f>
        <v/>
      </c>
      <c r="G69" t="str">
        <f>'Team and Player Stats'!G90</f>
        <v/>
      </c>
      <c r="H69" t="str">
        <f>'Team and Player Stats'!H90</f>
        <v/>
      </c>
      <c r="I69" s="102" t="str">
        <f>'Team and Player Stats'!I90</f>
        <v/>
      </c>
      <c r="J69" t="str">
        <f>'Team and Player Stats'!J90</f>
        <v/>
      </c>
      <c r="K69" t="str">
        <f>'Team and Player Stats'!K90</f>
        <v/>
      </c>
      <c r="L69" t="str">
        <f>'Team and Player Stats'!L90</f>
        <v/>
      </c>
      <c r="M69" t="str">
        <f>'Team and Player Stats'!M90</f>
        <v/>
      </c>
      <c r="N69" t="str">
        <f>'Team and Player Stats'!N90</f>
        <v/>
      </c>
      <c r="O69" t="str">
        <f>'Team and Player Stats'!O90</f>
        <v/>
      </c>
      <c r="P69" t="str">
        <f>'Team and Player Stats'!P90</f>
        <v/>
      </c>
      <c r="Q69" t="str">
        <f>'Team and Player Stats'!Q90</f>
        <v/>
      </c>
      <c r="R69" t="str">
        <f>'Team and Player Stats'!R90</f>
        <v/>
      </c>
      <c r="S69" t="str">
        <f>'Team and Player Stats'!S90</f>
        <v/>
      </c>
      <c r="T69" t="str">
        <f>'Team and Player Stats'!T90</f>
        <v/>
      </c>
      <c r="U69" t="str">
        <f>'Team and Player Stats'!U90</f>
        <v/>
      </c>
      <c r="V69" t="str">
        <f>'Team and Player Stats'!V90</f>
        <v/>
      </c>
      <c r="W69" t="str">
        <f>'Team and Player Stats'!W90</f>
        <v/>
      </c>
      <c r="X69" t="str">
        <f>'Team and Player Stats'!X90</f>
        <v/>
      </c>
      <c r="Y69" t="str">
        <f>'Team and Player Stats'!Y90</f>
        <v/>
      </c>
      <c r="Z69" t="str">
        <f>'Team and Player Stats'!Z90</f>
        <v/>
      </c>
      <c r="AA69" t="str">
        <f>'Team and Player Stats'!AA90</f>
        <v/>
      </c>
      <c r="AB69" t="str">
        <f>'Team and Player Stats'!AB90</f>
        <v/>
      </c>
      <c r="AC69" t="str">
        <f>'Team and Player Stats'!AC90</f>
        <v/>
      </c>
      <c r="AD69" t="str">
        <f>'Team and Player Stats'!AD90</f>
        <v/>
      </c>
      <c r="AE69" t="str">
        <f>'Team and Player Stats'!AE90</f>
        <v/>
      </c>
      <c r="AF69" t="str">
        <f>'Team and Player Stats'!AF90</f>
        <v/>
      </c>
      <c r="AG69" t="str">
        <f>'Team and Player Stats'!AG90</f>
        <v/>
      </c>
    </row>
    <row r="70">
      <c r="A70" t="str">
        <f>'Team and Player Stats'!B91</f>
        <v/>
      </c>
      <c r="B70" t="str">
        <f>'Team and Player Stats'!A91</f>
        <v/>
      </c>
      <c r="C70" t="str">
        <f>'Team and Player Stats'!C91</f>
        <v/>
      </c>
      <c r="D70" t="str">
        <f>'Team and Player Stats'!D91</f>
        <v/>
      </c>
      <c r="E70" s="101" t="str">
        <f>'Team and Player Stats'!E91</f>
        <v/>
      </c>
      <c r="F70" t="str">
        <f>'Team and Player Stats'!F91</f>
        <v/>
      </c>
      <c r="G70" t="str">
        <f>'Team and Player Stats'!G91</f>
        <v/>
      </c>
      <c r="H70" t="str">
        <f>'Team and Player Stats'!H91</f>
        <v/>
      </c>
      <c r="I70" s="102" t="str">
        <f>'Team and Player Stats'!I91</f>
        <v/>
      </c>
      <c r="J70" t="str">
        <f>'Team and Player Stats'!J91</f>
        <v/>
      </c>
      <c r="K70" t="str">
        <f>'Team and Player Stats'!K91</f>
        <v/>
      </c>
      <c r="L70" t="str">
        <f>'Team and Player Stats'!L91</f>
        <v/>
      </c>
      <c r="M70" t="str">
        <f>'Team and Player Stats'!M91</f>
        <v/>
      </c>
      <c r="N70" t="str">
        <f>'Team and Player Stats'!N91</f>
        <v/>
      </c>
      <c r="O70" t="str">
        <f>'Team and Player Stats'!O91</f>
        <v/>
      </c>
      <c r="P70" t="str">
        <f>'Team and Player Stats'!P91</f>
        <v/>
      </c>
      <c r="Q70" t="str">
        <f>'Team and Player Stats'!Q91</f>
        <v/>
      </c>
      <c r="R70" t="str">
        <f>'Team and Player Stats'!R91</f>
        <v/>
      </c>
      <c r="S70" t="str">
        <f>'Team and Player Stats'!S91</f>
        <v/>
      </c>
      <c r="T70" t="str">
        <f>'Team and Player Stats'!T91</f>
        <v/>
      </c>
      <c r="U70" t="str">
        <f>'Team and Player Stats'!U91</f>
        <v/>
      </c>
      <c r="V70" t="str">
        <f>'Team and Player Stats'!V91</f>
        <v/>
      </c>
      <c r="W70" t="str">
        <f>'Team and Player Stats'!W91</f>
        <v/>
      </c>
      <c r="X70" t="str">
        <f>'Team and Player Stats'!X91</f>
        <v/>
      </c>
      <c r="Y70" t="str">
        <f>'Team and Player Stats'!Y91</f>
        <v/>
      </c>
      <c r="Z70" t="str">
        <f>'Team and Player Stats'!Z91</f>
        <v/>
      </c>
      <c r="AA70" t="str">
        <f>'Team and Player Stats'!AA91</f>
        <v/>
      </c>
      <c r="AB70" t="str">
        <f>'Team and Player Stats'!AB91</f>
        <v/>
      </c>
      <c r="AC70" t="str">
        <f>'Team and Player Stats'!AC91</f>
        <v/>
      </c>
      <c r="AD70" t="str">
        <f>'Team and Player Stats'!AD91</f>
        <v/>
      </c>
      <c r="AE70" t="str">
        <f>'Team and Player Stats'!AE91</f>
        <v/>
      </c>
      <c r="AF70" t="str">
        <f>'Team and Player Stats'!AF91</f>
        <v/>
      </c>
      <c r="AG70" t="str">
        <f>'Team and Player Stats'!AG91</f>
        <v/>
      </c>
    </row>
    <row r="71">
      <c r="A71" t="str">
        <f>'Team and Player Stats'!B92</f>
        <v/>
      </c>
      <c r="B71" t="str">
        <f>'Team and Player Stats'!A92</f>
        <v/>
      </c>
      <c r="C71" t="str">
        <f>'Team and Player Stats'!C92</f>
        <v/>
      </c>
      <c r="D71" t="str">
        <f>'Team and Player Stats'!D92</f>
        <v/>
      </c>
      <c r="E71" s="101" t="str">
        <f>'Team and Player Stats'!E92</f>
        <v/>
      </c>
      <c r="F71" t="str">
        <f>'Team and Player Stats'!F92</f>
        <v/>
      </c>
      <c r="G71" t="str">
        <f>'Team and Player Stats'!G92</f>
        <v/>
      </c>
      <c r="H71" t="str">
        <f>'Team and Player Stats'!H92</f>
        <v/>
      </c>
      <c r="I71" s="102" t="str">
        <f>'Team and Player Stats'!I92</f>
        <v/>
      </c>
      <c r="J71" t="str">
        <f>'Team and Player Stats'!J92</f>
        <v/>
      </c>
      <c r="K71" t="str">
        <f>'Team and Player Stats'!K92</f>
        <v/>
      </c>
      <c r="L71" t="str">
        <f>'Team and Player Stats'!L92</f>
        <v/>
      </c>
      <c r="M71" t="str">
        <f>'Team and Player Stats'!M92</f>
        <v/>
      </c>
      <c r="N71" t="str">
        <f>'Team and Player Stats'!N92</f>
        <v/>
      </c>
      <c r="O71" t="str">
        <f>'Team and Player Stats'!O92</f>
        <v/>
      </c>
      <c r="P71" t="str">
        <f>'Team and Player Stats'!P92</f>
        <v/>
      </c>
      <c r="Q71" t="str">
        <f>'Team and Player Stats'!Q92</f>
        <v/>
      </c>
      <c r="R71" t="str">
        <f>'Team and Player Stats'!R92</f>
        <v/>
      </c>
      <c r="S71" t="str">
        <f>'Team and Player Stats'!S92</f>
        <v/>
      </c>
      <c r="T71" t="str">
        <f>'Team and Player Stats'!T92</f>
        <v/>
      </c>
      <c r="U71" t="str">
        <f>'Team and Player Stats'!U92</f>
        <v/>
      </c>
      <c r="V71" t="str">
        <f>'Team and Player Stats'!V92</f>
        <v/>
      </c>
      <c r="W71" t="str">
        <f>'Team and Player Stats'!W92</f>
        <v/>
      </c>
      <c r="X71" t="str">
        <f>'Team and Player Stats'!X92</f>
        <v/>
      </c>
      <c r="Y71" t="str">
        <f>'Team and Player Stats'!Y92</f>
        <v/>
      </c>
      <c r="Z71" t="str">
        <f>'Team and Player Stats'!Z92</f>
        <v/>
      </c>
      <c r="AA71" t="str">
        <f>'Team and Player Stats'!AA92</f>
        <v/>
      </c>
      <c r="AB71" t="str">
        <f>'Team and Player Stats'!AB92</f>
        <v/>
      </c>
      <c r="AC71" t="str">
        <f>'Team and Player Stats'!AC92</f>
        <v/>
      </c>
      <c r="AD71" t="str">
        <f>'Team and Player Stats'!AD92</f>
        <v/>
      </c>
      <c r="AE71" t="str">
        <f>'Team and Player Stats'!AE92</f>
        <v/>
      </c>
      <c r="AF71" t="str">
        <f>'Team and Player Stats'!AF92</f>
        <v/>
      </c>
      <c r="AG71" t="str">
        <f>'Team and Player Stats'!AG92</f>
        <v/>
      </c>
    </row>
    <row r="72">
      <c r="A72" t="str">
        <f>'Team and Player Stats'!B93</f>
        <v/>
      </c>
      <c r="B72" t="str">
        <f>'Team and Player Stats'!A93</f>
        <v/>
      </c>
      <c r="C72" t="str">
        <f>'Team and Player Stats'!C93</f>
        <v/>
      </c>
      <c r="D72" t="str">
        <f>'Team and Player Stats'!D93</f>
        <v/>
      </c>
      <c r="E72" s="101" t="str">
        <f>'Team and Player Stats'!E93</f>
        <v/>
      </c>
      <c r="F72" t="str">
        <f>'Team and Player Stats'!F93</f>
        <v/>
      </c>
      <c r="G72" t="str">
        <f>'Team and Player Stats'!G93</f>
        <v/>
      </c>
      <c r="H72" t="str">
        <f>'Team and Player Stats'!H93</f>
        <v/>
      </c>
      <c r="I72" s="102" t="str">
        <f>'Team and Player Stats'!I93</f>
        <v/>
      </c>
      <c r="J72" t="str">
        <f>'Team and Player Stats'!J93</f>
        <v/>
      </c>
      <c r="K72" t="str">
        <f>'Team and Player Stats'!K93</f>
        <v/>
      </c>
      <c r="L72" t="str">
        <f>'Team and Player Stats'!L93</f>
        <v/>
      </c>
      <c r="M72" t="str">
        <f>'Team and Player Stats'!M93</f>
        <v/>
      </c>
      <c r="N72" t="str">
        <f>'Team and Player Stats'!N93</f>
        <v/>
      </c>
      <c r="O72" t="str">
        <f>'Team and Player Stats'!O93</f>
        <v/>
      </c>
      <c r="P72" t="str">
        <f>'Team and Player Stats'!P93</f>
        <v/>
      </c>
      <c r="Q72" t="str">
        <f>'Team and Player Stats'!Q93</f>
        <v/>
      </c>
      <c r="R72" t="str">
        <f>'Team and Player Stats'!R93</f>
        <v/>
      </c>
      <c r="S72" t="str">
        <f>'Team and Player Stats'!S93</f>
        <v/>
      </c>
      <c r="T72" t="str">
        <f>'Team and Player Stats'!T93</f>
        <v/>
      </c>
      <c r="U72" t="str">
        <f>'Team and Player Stats'!U93</f>
        <v/>
      </c>
      <c r="V72" t="str">
        <f>'Team and Player Stats'!V93</f>
        <v/>
      </c>
      <c r="W72" t="str">
        <f>'Team and Player Stats'!W93</f>
        <v/>
      </c>
      <c r="X72" t="str">
        <f>'Team and Player Stats'!X93</f>
        <v/>
      </c>
      <c r="Y72" t="str">
        <f>'Team and Player Stats'!Y93</f>
        <v/>
      </c>
      <c r="Z72" t="str">
        <f>'Team and Player Stats'!Z93</f>
        <v/>
      </c>
      <c r="AA72" t="str">
        <f>'Team and Player Stats'!AA93</f>
        <v/>
      </c>
      <c r="AB72" t="str">
        <f>'Team and Player Stats'!AB93</f>
        <v/>
      </c>
      <c r="AC72" t="str">
        <f>'Team and Player Stats'!AC93</f>
        <v/>
      </c>
      <c r="AD72" t="str">
        <f>'Team and Player Stats'!AD93</f>
        <v/>
      </c>
      <c r="AE72" t="str">
        <f>'Team and Player Stats'!AE93</f>
        <v/>
      </c>
      <c r="AF72" t="str">
        <f>'Team and Player Stats'!AF93</f>
        <v/>
      </c>
      <c r="AG72" t="str">
        <f>'Team and Player Stats'!AG93</f>
        <v/>
      </c>
    </row>
    <row r="73">
      <c r="A73" t="str">
        <f>'Team and Player Stats'!B94</f>
        <v/>
      </c>
      <c r="B73" t="str">
        <f>'Team and Player Stats'!A94</f>
        <v/>
      </c>
      <c r="C73" t="str">
        <f>'Team and Player Stats'!C94</f>
        <v/>
      </c>
      <c r="D73" t="str">
        <f>'Team and Player Stats'!D94</f>
        <v/>
      </c>
      <c r="E73" s="101" t="str">
        <f>'Team and Player Stats'!E94</f>
        <v/>
      </c>
      <c r="F73" t="str">
        <f>'Team and Player Stats'!F94</f>
        <v/>
      </c>
      <c r="G73" t="str">
        <f>'Team and Player Stats'!G94</f>
        <v/>
      </c>
      <c r="H73" t="str">
        <f>'Team and Player Stats'!H94</f>
        <v/>
      </c>
      <c r="I73" s="102" t="str">
        <f>'Team and Player Stats'!I94</f>
        <v/>
      </c>
      <c r="J73" t="str">
        <f>'Team and Player Stats'!J94</f>
        <v/>
      </c>
      <c r="K73" t="str">
        <f>'Team and Player Stats'!K94</f>
        <v/>
      </c>
      <c r="L73" t="str">
        <f>'Team and Player Stats'!L94</f>
        <v/>
      </c>
      <c r="M73" t="str">
        <f>'Team and Player Stats'!M94</f>
        <v/>
      </c>
      <c r="N73" t="str">
        <f>'Team and Player Stats'!N94</f>
        <v/>
      </c>
      <c r="O73" t="str">
        <f>'Team and Player Stats'!O94</f>
        <v/>
      </c>
      <c r="P73" t="str">
        <f>'Team and Player Stats'!P94</f>
        <v/>
      </c>
      <c r="Q73" t="str">
        <f>'Team and Player Stats'!Q94</f>
        <v/>
      </c>
      <c r="R73" t="str">
        <f>'Team and Player Stats'!R94</f>
        <v/>
      </c>
      <c r="S73" t="str">
        <f>'Team and Player Stats'!S94</f>
        <v/>
      </c>
      <c r="T73" t="str">
        <f>'Team and Player Stats'!T94</f>
        <v/>
      </c>
      <c r="U73" t="str">
        <f>'Team and Player Stats'!U94</f>
        <v/>
      </c>
      <c r="V73" t="str">
        <f>'Team and Player Stats'!V94</f>
        <v/>
      </c>
      <c r="W73" t="str">
        <f>'Team and Player Stats'!W94</f>
        <v/>
      </c>
      <c r="X73" t="str">
        <f>'Team and Player Stats'!X94</f>
        <v/>
      </c>
      <c r="Y73" t="str">
        <f>'Team and Player Stats'!Y94</f>
        <v/>
      </c>
      <c r="Z73" t="str">
        <f>'Team and Player Stats'!Z94</f>
        <v/>
      </c>
      <c r="AA73" t="str">
        <f>'Team and Player Stats'!AA94</f>
        <v/>
      </c>
      <c r="AB73" t="str">
        <f>'Team and Player Stats'!AB94</f>
        <v/>
      </c>
      <c r="AC73" t="str">
        <f>'Team and Player Stats'!AC94</f>
        <v/>
      </c>
      <c r="AD73" t="str">
        <f>'Team and Player Stats'!AD94</f>
        <v/>
      </c>
      <c r="AE73" t="str">
        <f>'Team and Player Stats'!AE94</f>
        <v/>
      </c>
      <c r="AF73" t="str">
        <f>'Team and Player Stats'!AF94</f>
        <v/>
      </c>
      <c r="AG73" t="str">
        <f>'Team and Player Stats'!AG94</f>
        <v/>
      </c>
    </row>
    <row r="74">
      <c r="A74" t="str">
        <f>'Team and Player Stats'!B95</f>
        <v/>
      </c>
      <c r="B74" t="str">
        <f>'Team and Player Stats'!A95</f>
        <v/>
      </c>
      <c r="C74" t="str">
        <f>'Team and Player Stats'!C95</f>
        <v/>
      </c>
      <c r="D74" t="str">
        <f>'Team and Player Stats'!D95</f>
        <v/>
      </c>
      <c r="E74" s="101" t="str">
        <f>'Team and Player Stats'!E95</f>
        <v/>
      </c>
      <c r="F74" t="str">
        <f>'Team and Player Stats'!F95</f>
        <v/>
      </c>
      <c r="G74" t="str">
        <f>'Team and Player Stats'!G95</f>
        <v/>
      </c>
      <c r="H74" t="str">
        <f>'Team and Player Stats'!H95</f>
        <v/>
      </c>
      <c r="I74" s="102" t="str">
        <f>'Team and Player Stats'!I95</f>
        <v/>
      </c>
      <c r="J74" t="str">
        <f>'Team and Player Stats'!J95</f>
        <v/>
      </c>
      <c r="K74" t="str">
        <f>'Team and Player Stats'!K95</f>
        <v/>
      </c>
      <c r="L74" t="str">
        <f>'Team and Player Stats'!L95</f>
        <v/>
      </c>
      <c r="M74" t="str">
        <f>'Team and Player Stats'!M95</f>
        <v/>
      </c>
      <c r="N74" t="str">
        <f>'Team and Player Stats'!N95</f>
        <v/>
      </c>
      <c r="O74" t="str">
        <f>'Team and Player Stats'!O95</f>
        <v/>
      </c>
      <c r="P74" t="str">
        <f>'Team and Player Stats'!P95</f>
        <v/>
      </c>
      <c r="Q74" t="str">
        <f>'Team and Player Stats'!Q95</f>
        <v/>
      </c>
      <c r="R74" t="str">
        <f>'Team and Player Stats'!R95</f>
        <v/>
      </c>
      <c r="S74" t="str">
        <f>'Team and Player Stats'!S95</f>
        <v/>
      </c>
      <c r="T74" t="str">
        <f>'Team and Player Stats'!T95</f>
        <v/>
      </c>
      <c r="U74" t="str">
        <f>'Team and Player Stats'!U95</f>
        <v/>
      </c>
      <c r="V74" t="str">
        <f>'Team and Player Stats'!V95</f>
        <v/>
      </c>
      <c r="W74" t="str">
        <f>'Team and Player Stats'!W95</f>
        <v/>
      </c>
      <c r="X74" t="str">
        <f>'Team and Player Stats'!X95</f>
        <v/>
      </c>
      <c r="Y74" t="str">
        <f>'Team and Player Stats'!Y95</f>
        <v/>
      </c>
      <c r="Z74" t="str">
        <f>'Team and Player Stats'!Z95</f>
        <v/>
      </c>
      <c r="AA74" t="str">
        <f>'Team and Player Stats'!AA95</f>
        <v/>
      </c>
      <c r="AB74" t="str">
        <f>'Team and Player Stats'!AB95</f>
        <v/>
      </c>
      <c r="AC74" t="str">
        <f>'Team and Player Stats'!AC95</f>
        <v/>
      </c>
      <c r="AD74" t="str">
        <f>'Team and Player Stats'!AD95</f>
        <v/>
      </c>
      <c r="AE74" t="str">
        <f>'Team and Player Stats'!AE95</f>
        <v/>
      </c>
      <c r="AF74" t="str">
        <f>'Team and Player Stats'!AF95</f>
        <v/>
      </c>
      <c r="AG74" t="str">
        <f>'Team and Player Stats'!AG95</f>
        <v/>
      </c>
    </row>
    <row r="75">
      <c r="A75" t="str">
        <f>'Team and Player Stats'!B96</f>
        <v/>
      </c>
      <c r="B75" t="str">
        <f>'Team and Player Stats'!A96</f>
        <v/>
      </c>
      <c r="C75" t="str">
        <f>'Team and Player Stats'!C96</f>
        <v/>
      </c>
      <c r="D75" t="str">
        <f>'Team and Player Stats'!D96</f>
        <v/>
      </c>
      <c r="E75" s="101" t="str">
        <f>'Team and Player Stats'!E96</f>
        <v/>
      </c>
      <c r="F75" t="str">
        <f>'Team and Player Stats'!F96</f>
        <v/>
      </c>
      <c r="G75" t="str">
        <f>'Team and Player Stats'!G96</f>
        <v/>
      </c>
      <c r="H75" t="str">
        <f>'Team and Player Stats'!H96</f>
        <v/>
      </c>
      <c r="I75" s="102" t="str">
        <f>'Team and Player Stats'!I96</f>
        <v/>
      </c>
      <c r="J75" t="str">
        <f>'Team and Player Stats'!J96</f>
        <v/>
      </c>
      <c r="K75" t="str">
        <f>'Team and Player Stats'!K96</f>
        <v/>
      </c>
      <c r="L75" t="str">
        <f>'Team and Player Stats'!L96</f>
        <v/>
      </c>
      <c r="M75" t="str">
        <f>'Team and Player Stats'!M96</f>
        <v/>
      </c>
      <c r="N75" t="str">
        <f>'Team and Player Stats'!N96</f>
        <v/>
      </c>
      <c r="O75" t="str">
        <f>'Team and Player Stats'!O96</f>
        <v/>
      </c>
      <c r="P75" t="str">
        <f>'Team and Player Stats'!P96</f>
        <v/>
      </c>
      <c r="Q75" t="str">
        <f>'Team and Player Stats'!Q96</f>
        <v/>
      </c>
      <c r="R75" t="str">
        <f>'Team and Player Stats'!R96</f>
        <v/>
      </c>
      <c r="S75" t="str">
        <f>'Team and Player Stats'!S96</f>
        <v/>
      </c>
      <c r="T75" t="str">
        <f>'Team and Player Stats'!T96</f>
        <v/>
      </c>
      <c r="U75" t="str">
        <f>'Team and Player Stats'!U96</f>
        <v/>
      </c>
      <c r="V75" t="str">
        <f>'Team and Player Stats'!V96</f>
        <v/>
      </c>
      <c r="W75" t="str">
        <f>'Team and Player Stats'!W96</f>
        <v/>
      </c>
      <c r="X75" t="str">
        <f>'Team and Player Stats'!X96</f>
        <v/>
      </c>
      <c r="Y75" t="str">
        <f>'Team and Player Stats'!Y96</f>
        <v/>
      </c>
      <c r="Z75" t="str">
        <f>'Team and Player Stats'!Z96</f>
        <v/>
      </c>
      <c r="AA75" t="str">
        <f>'Team and Player Stats'!AA96</f>
        <v/>
      </c>
      <c r="AB75" t="str">
        <f>'Team and Player Stats'!AB96</f>
        <v/>
      </c>
      <c r="AC75" t="str">
        <f>'Team and Player Stats'!AC96</f>
        <v/>
      </c>
      <c r="AD75" t="str">
        <f>'Team and Player Stats'!AD96</f>
        <v/>
      </c>
      <c r="AE75" t="str">
        <f>'Team and Player Stats'!AE96</f>
        <v/>
      </c>
      <c r="AF75" t="str">
        <f>'Team and Player Stats'!AF96</f>
        <v/>
      </c>
      <c r="AG75" t="str">
        <f>'Team and Player Stats'!AG96</f>
        <v/>
      </c>
    </row>
    <row r="76">
      <c r="A76" t="str">
        <f>'Team and Player Stats'!B97</f>
        <v/>
      </c>
      <c r="B76" t="str">
        <f>'Team and Player Stats'!A97</f>
        <v/>
      </c>
      <c r="C76" t="str">
        <f>'Team and Player Stats'!C97</f>
        <v/>
      </c>
      <c r="D76" t="str">
        <f>'Team and Player Stats'!D97</f>
        <v/>
      </c>
      <c r="E76" s="101" t="str">
        <f>'Team and Player Stats'!E97</f>
        <v/>
      </c>
      <c r="F76" t="str">
        <f>'Team and Player Stats'!F97</f>
        <v/>
      </c>
      <c r="G76" t="str">
        <f>'Team and Player Stats'!G97</f>
        <v/>
      </c>
      <c r="H76" t="str">
        <f>'Team and Player Stats'!H97</f>
        <v/>
      </c>
      <c r="I76" s="102" t="str">
        <f>'Team and Player Stats'!I97</f>
        <v/>
      </c>
      <c r="J76" t="str">
        <f>'Team and Player Stats'!J97</f>
        <v/>
      </c>
      <c r="K76" t="str">
        <f>'Team and Player Stats'!K97</f>
        <v/>
      </c>
      <c r="L76" t="str">
        <f>'Team and Player Stats'!L97</f>
        <v/>
      </c>
      <c r="M76" t="str">
        <f>'Team and Player Stats'!M97</f>
        <v/>
      </c>
      <c r="N76" t="str">
        <f>'Team and Player Stats'!N97</f>
        <v/>
      </c>
      <c r="O76" t="str">
        <f>'Team and Player Stats'!O97</f>
        <v/>
      </c>
      <c r="P76" t="str">
        <f>'Team and Player Stats'!P97</f>
        <v/>
      </c>
      <c r="Q76" t="str">
        <f>'Team and Player Stats'!Q97</f>
        <v/>
      </c>
      <c r="R76" t="str">
        <f>'Team and Player Stats'!R97</f>
        <v/>
      </c>
      <c r="S76" t="str">
        <f>'Team and Player Stats'!S97</f>
        <v/>
      </c>
      <c r="T76" t="str">
        <f>'Team and Player Stats'!T97</f>
        <v/>
      </c>
      <c r="U76" t="str">
        <f>'Team and Player Stats'!U97</f>
        <v/>
      </c>
      <c r="V76" t="str">
        <f>'Team and Player Stats'!V97</f>
        <v/>
      </c>
      <c r="W76" t="str">
        <f>'Team and Player Stats'!W97</f>
        <v/>
      </c>
      <c r="X76" t="str">
        <f>'Team and Player Stats'!X97</f>
        <v/>
      </c>
      <c r="Y76" t="str">
        <f>'Team and Player Stats'!Y97</f>
        <v/>
      </c>
      <c r="Z76" t="str">
        <f>'Team and Player Stats'!Z97</f>
        <v/>
      </c>
      <c r="AA76" t="str">
        <f>'Team and Player Stats'!AA97</f>
        <v/>
      </c>
      <c r="AB76" t="str">
        <f>'Team and Player Stats'!AB97</f>
        <v/>
      </c>
      <c r="AC76" t="str">
        <f>'Team and Player Stats'!AC97</f>
        <v/>
      </c>
      <c r="AD76" t="str">
        <f>'Team and Player Stats'!AD97</f>
        <v/>
      </c>
      <c r="AE76" t="str">
        <f>'Team and Player Stats'!AE97</f>
        <v/>
      </c>
      <c r="AF76" t="str">
        <f>'Team and Player Stats'!AF97</f>
        <v/>
      </c>
      <c r="AG76" t="str">
        <f>'Team and Player Stats'!AG97</f>
        <v/>
      </c>
    </row>
    <row r="77">
      <c r="A77" t="str">
        <f>'Team and Player Stats'!B98</f>
        <v/>
      </c>
      <c r="B77" t="str">
        <f>'Team and Player Stats'!A98</f>
        <v/>
      </c>
      <c r="C77" t="str">
        <f>'Team and Player Stats'!C98</f>
        <v/>
      </c>
      <c r="D77" t="str">
        <f>'Team and Player Stats'!D98</f>
        <v/>
      </c>
      <c r="E77" s="101" t="str">
        <f>'Team and Player Stats'!E98</f>
        <v/>
      </c>
      <c r="F77" t="str">
        <f>'Team and Player Stats'!F98</f>
        <v/>
      </c>
      <c r="G77" t="str">
        <f>'Team and Player Stats'!G98</f>
        <v/>
      </c>
      <c r="H77" t="str">
        <f>'Team and Player Stats'!H98</f>
        <v/>
      </c>
      <c r="I77" s="102" t="str">
        <f>'Team and Player Stats'!I98</f>
        <v/>
      </c>
      <c r="J77" t="str">
        <f>'Team and Player Stats'!J98</f>
        <v/>
      </c>
      <c r="K77" t="str">
        <f>'Team and Player Stats'!K98</f>
        <v/>
      </c>
      <c r="L77" t="str">
        <f>'Team and Player Stats'!L98</f>
        <v/>
      </c>
      <c r="M77" t="str">
        <f>'Team and Player Stats'!M98</f>
        <v/>
      </c>
      <c r="N77" t="str">
        <f>'Team and Player Stats'!N98</f>
        <v/>
      </c>
      <c r="O77" t="str">
        <f>'Team and Player Stats'!O98</f>
        <v/>
      </c>
      <c r="P77" t="str">
        <f>'Team and Player Stats'!P98</f>
        <v/>
      </c>
      <c r="Q77" t="str">
        <f>'Team and Player Stats'!Q98</f>
        <v/>
      </c>
      <c r="R77" t="str">
        <f>'Team and Player Stats'!R98</f>
        <v/>
      </c>
      <c r="S77" t="str">
        <f>'Team and Player Stats'!S98</f>
        <v/>
      </c>
      <c r="T77" t="str">
        <f>'Team and Player Stats'!T98</f>
        <v/>
      </c>
      <c r="U77" t="str">
        <f>'Team and Player Stats'!U98</f>
        <v/>
      </c>
      <c r="V77" t="str">
        <f>'Team and Player Stats'!V98</f>
        <v/>
      </c>
      <c r="W77" t="str">
        <f>'Team and Player Stats'!W98</f>
        <v/>
      </c>
      <c r="X77" t="str">
        <f>'Team and Player Stats'!X98</f>
        <v/>
      </c>
      <c r="Y77" t="str">
        <f>'Team and Player Stats'!Y98</f>
        <v/>
      </c>
      <c r="Z77" t="str">
        <f>'Team and Player Stats'!Z98</f>
        <v/>
      </c>
      <c r="AA77" t="str">
        <f>'Team and Player Stats'!AA98</f>
        <v/>
      </c>
      <c r="AB77" t="str">
        <f>'Team and Player Stats'!AB98</f>
        <v/>
      </c>
      <c r="AC77" t="str">
        <f>'Team and Player Stats'!AC98</f>
        <v/>
      </c>
      <c r="AD77" t="str">
        <f>'Team and Player Stats'!AD98</f>
        <v/>
      </c>
      <c r="AE77" t="str">
        <f>'Team and Player Stats'!AE98</f>
        <v/>
      </c>
      <c r="AF77" t="str">
        <f>'Team and Player Stats'!AF98</f>
        <v/>
      </c>
      <c r="AG77" t="str">
        <f>'Team and Player Stats'!AG98</f>
        <v/>
      </c>
    </row>
    <row r="78">
      <c r="A78" t="str">
        <f>'Team and Player Stats'!B99</f>
        <v/>
      </c>
      <c r="B78" t="str">
        <f>'Team and Player Stats'!A99</f>
        <v/>
      </c>
      <c r="C78" t="str">
        <f>'Team and Player Stats'!C99</f>
        <v/>
      </c>
      <c r="D78" t="str">
        <f>'Team and Player Stats'!D99</f>
        <v/>
      </c>
      <c r="E78" s="101" t="str">
        <f>'Team and Player Stats'!E99</f>
        <v/>
      </c>
      <c r="F78" t="str">
        <f>'Team and Player Stats'!F99</f>
        <v/>
      </c>
      <c r="G78" t="str">
        <f>'Team and Player Stats'!G99</f>
        <v/>
      </c>
      <c r="H78" t="str">
        <f>'Team and Player Stats'!H99</f>
        <v/>
      </c>
      <c r="I78" s="102" t="str">
        <f>'Team and Player Stats'!I99</f>
        <v/>
      </c>
      <c r="J78" t="str">
        <f>'Team and Player Stats'!J99</f>
        <v/>
      </c>
      <c r="K78" t="str">
        <f>'Team and Player Stats'!K99</f>
        <v/>
      </c>
      <c r="L78" t="str">
        <f>'Team and Player Stats'!L99</f>
        <v/>
      </c>
      <c r="M78" t="str">
        <f>'Team and Player Stats'!M99</f>
        <v/>
      </c>
      <c r="N78" t="str">
        <f>'Team and Player Stats'!N99</f>
        <v/>
      </c>
      <c r="O78" t="str">
        <f>'Team and Player Stats'!O99</f>
        <v/>
      </c>
      <c r="P78" t="str">
        <f>'Team and Player Stats'!P99</f>
        <v/>
      </c>
      <c r="Q78" t="str">
        <f>'Team and Player Stats'!Q99</f>
        <v/>
      </c>
      <c r="R78" t="str">
        <f>'Team and Player Stats'!R99</f>
        <v/>
      </c>
      <c r="S78" t="str">
        <f>'Team and Player Stats'!S99</f>
        <v/>
      </c>
      <c r="T78" t="str">
        <f>'Team and Player Stats'!T99</f>
        <v/>
      </c>
      <c r="U78" t="str">
        <f>'Team and Player Stats'!U99</f>
        <v/>
      </c>
      <c r="V78" t="str">
        <f>'Team and Player Stats'!V99</f>
        <v/>
      </c>
      <c r="W78" t="str">
        <f>'Team and Player Stats'!W99</f>
        <v/>
      </c>
      <c r="X78" t="str">
        <f>'Team and Player Stats'!X99</f>
        <v/>
      </c>
      <c r="Y78" t="str">
        <f>'Team and Player Stats'!Y99</f>
        <v/>
      </c>
      <c r="Z78" t="str">
        <f>'Team and Player Stats'!Z99</f>
        <v/>
      </c>
      <c r="AA78" t="str">
        <f>'Team and Player Stats'!AA99</f>
        <v/>
      </c>
      <c r="AB78" t="str">
        <f>'Team and Player Stats'!AB99</f>
        <v/>
      </c>
      <c r="AC78" t="str">
        <f>'Team and Player Stats'!AC99</f>
        <v/>
      </c>
      <c r="AD78" t="str">
        <f>'Team and Player Stats'!AD99</f>
        <v/>
      </c>
      <c r="AE78" t="str">
        <f>'Team and Player Stats'!AE99</f>
        <v/>
      </c>
      <c r="AF78" t="str">
        <f>'Team and Player Stats'!AF99</f>
        <v/>
      </c>
      <c r="AG78" t="str">
        <f>'Team and Player Stats'!AG99</f>
        <v/>
      </c>
    </row>
    <row r="79">
      <c r="A79" t="str">
        <f>'Team and Player Stats'!B100</f>
        <v/>
      </c>
      <c r="B79" t="str">
        <f>'Team and Player Stats'!A100</f>
        <v/>
      </c>
      <c r="C79" t="str">
        <f>'Team and Player Stats'!C100</f>
        <v/>
      </c>
      <c r="D79" t="str">
        <f>'Team and Player Stats'!D100</f>
        <v/>
      </c>
      <c r="E79" s="101" t="str">
        <f>'Team and Player Stats'!E100</f>
        <v/>
      </c>
      <c r="F79" t="str">
        <f>'Team and Player Stats'!F100</f>
        <v/>
      </c>
      <c r="G79" t="str">
        <f>'Team and Player Stats'!G100</f>
        <v/>
      </c>
      <c r="H79" t="str">
        <f>'Team and Player Stats'!H100</f>
        <v/>
      </c>
      <c r="I79" s="102" t="str">
        <f>'Team and Player Stats'!I100</f>
        <v/>
      </c>
      <c r="J79" t="str">
        <f>'Team and Player Stats'!J100</f>
        <v/>
      </c>
      <c r="K79" t="str">
        <f>'Team and Player Stats'!K100</f>
        <v/>
      </c>
      <c r="L79" t="str">
        <f>'Team and Player Stats'!L100</f>
        <v/>
      </c>
      <c r="M79" t="str">
        <f>'Team and Player Stats'!M100</f>
        <v/>
      </c>
      <c r="N79" t="str">
        <f>'Team and Player Stats'!N100</f>
        <v/>
      </c>
      <c r="O79" t="str">
        <f>'Team and Player Stats'!O100</f>
        <v/>
      </c>
      <c r="P79" t="str">
        <f>'Team and Player Stats'!P100</f>
        <v/>
      </c>
      <c r="Q79" t="str">
        <f>'Team and Player Stats'!Q100</f>
        <v/>
      </c>
      <c r="R79" t="str">
        <f>'Team and Player Stats'!R100</f>
        <v/>
      </c>
      <c r="S79" t="str">
        <f>'Team and Player Stats'!S100</f>
        <v/>
      </c>
      <c r="T79" t="str">
        <f>'Team and Player Stats'!T100</f>
        <v/>
      </c>
      <c r="U79" t="str">
        <f>'Team and Player Stats'!U100</f>
        <v/>
      </c>
      <c r="V79" t="str">
        <f>'Team and Player Stats'!V100</f>
        <v/>
      </c>
      <c r="W79" t="str">
        <f>'Team and Player Stats'!W100</f>
        <v/>
      </c>
      <c r="X79" t="str">
        <f>'Team and Player Stats'!X100</f>
        <v/>
      </c>
      <c r="Y79" t="str">
        <f>'Team and Player Stats'!Y100</f>
        <v/>
      </c>
      <c r="Z79" t="str">
        <f>'Team and Player Stats'!Z100</f>
        <v/>
      </c>
      <c r="AA79" t="str">
        <f>'Team and Player Stats'!AA100</f>
        <v/>
      </c>
      <c r="AB79" t="str">
        <f>'Team and Player Stats'!AB100</f>
        <v/>
      </c>
      <c r="AC79" t="str">
        <f>'Team and Player Stats'!AC100</f>
        <v/>
      </c>
      <c r="AD79" t="str">
        <f>'Team and Player Stats'!AD100</f>
        <v/>
      </c>
      <c r="AE79" t="str">
        <f>'Team and Player Stats'!AE100</f>
        <v/>
      </c>
      <c r="AF79" t="str">
        <f>'Team and Player Stats'!AF100</f>
        <v/>
      </c>
      <c r="AG79" t="str">
        <f>'Team and Player Stats'!AG100</f>
        <v/>
      </c>
    </row>
    <row r="80">
      <c r="A80" t="str">
        <f>'Team and Player Stats'!B101</f>
        <v/>
      </c>
      <c r="B80" t="str">
        <f>'Team and Player Stats'!A101</f>
        <v/>
      </c>
      <c r="C80" t="str">
        <f>'Team and Player Stats'!C101</f>
        <v/>
      </c>
      <c r="D80" t="str">
        <f>'Team and Player Stats'!D101</f>
        <v/>
      </c>
      <c r="E80" s="101" t="str">
        <f>'Team and Player Stats'!E101</f>
        <v/>
      </c>
      <c r="F80" t="str">
        <f>'Team and Player Stats'!F101</f>
        <v/>
      </c>
      <c r="G80" t="str">
        <f>'Team and Player Stats'!G101</f>
        <v/>
      </c>
      <c r="H80" t="str">
        <f>'Team and Player Stats'!H101</f>
        <v/>
      </c>
      <c r="I80" s="102" t="str">
        <f>'Team and Player Stats'!I101</f>
        <v/>
      </c>
      <c r="J80" t="str">
        <f>'Team and Player Stats'!J101</f>
        <v/>
      </c>
      <c r="K80" t="str">
        <f>'Team and Player Stats'!K101</f>
        <v/>
      </c>
      <c r="L80" t="str">
        <f>'Team and Player Stats'!L101</f>
        <v/>
      </c>
      <c r="M80" t="str">
        <f>'Team and Player Stats'!M101</f>
        <v/>
      </c>
      <c r="N80" t="str">
        <f>'Team and Player Stats'!N101</f>
        <v/>
      </c>
      <c r="O80" t="str">
        <f>'Team and Player Stats'!O101</f>
        <v/>
      </c>
      <c r="P80" t="str">
        <f>'Team and Player Stats'!P101</f>
        <v/>
      </c>
      <c r="Q80" t="str">
        <f>'Team and Player Stats'!Q101</f>
        <v/>
      </c>
      <c r="R80" t="str">
        <f>'Team and Player Stats'!R101</f>
        <v/>
      </c>
      <c r="S80" t="str">
        <f>'Team and Player Stats'!S101</f>
        <v/>
      </c>
      <c r="T80" t="str">
        <f>'Team and Player Stats'!T101</f>
        <v/>
      </c>
      <c r="U80" t="str">
        <f>'Team and Player Stats'!U101</f>
        <v/>
      </c>
      <c r="V80" t="str">
        <f>'Team and Player Stats'!V101</f>
        <v/>
      </c>
      <c r="W80" t="str">
        <f>'Team and Player Stats'!W101</f>
        <v/>
      </c>
      <c r="X80" t="str">
        <f>'Team and Player Stats'!X101</f>
        <v/>
      </c>
      <c r="Y80" t="str">
        <f>'Team and Player Stats'!Y101</f>
        <v/>
      </c>
      <c r="Z80" t="str">
        <f>'Team and Player Stats'!Z101</f>
        <v/>
      </c>
      <c r="AA80" t="str">
        <f>'Team and Player Stats'!AA101</f>
        <v/>
      </c>
      <c r="AB80" t="str">
        <f>'Team and Player Stats'!AB101</f>
        <v/>
      </c>
      <c r="AC80" t="str">
        <f>'Team and Player Stats'!AC101</f>
        <v/>
      </c>
      <c r="AD80" t="str">
        <f>'Team and Player Stats'!AD101</f>
        <v/>
      </c>
      <c r="AE80" t="str">
        <f>'Team and Player Stats'!AE101</f>
        <v/>
      </c>
      <c r="AF80" t="str">
        <f>'Team and Player Stats'!AF101</f>
        <v/>
      </c>
      <c r="AG80" t="str">
        <f>'Team and Player Stats'!AG101</f>
        <v/>
      </c>
    </row>
    <row r="81">
      <c r="E81" s="101"/>
      <c r="K81" s="102"/>
      <c r="L81" s="101"/>
      <c r="O81" s="103"/>
    </row>
  </sheetData>
  <mergeCells count="1">
    <mergeCell ref="A1:A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244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2" t="s">
        <v>178</v>
      </c>
    </row>
    <row r="3">
      <c r="A3" s="97" t="str">
        <f>'Team and Player Stats'!B66</f>
        <v>imShad</v>
      </c>
      <c r="B3" s="97" t="str">
        <f>'Team and Player Stats'!A66</f>
        <v>Monstars</v>
      </c>
      <c r="C3" s="97">
        <f>'Team and Player Stats'!C66</f>
        <v>20</v>
      </c>
      <c r="D3" s="97">
        <f>'Team and Player Stats'!D66</f>
        <v>16</v>
      </c>
      <c r="E3" s="98">
        <f>'Team and Player Stats'!E66</f>
        <v>380.1166667</v>
      </c>
      <c r="F3" s="97">
        <f>'Team and Player Stats'!F66</f>
        <v>6</v>
      </c>
      <c r="G3" s="97">
        <f>'Team and Player Stats'!G66</f>
        <v>1681</v>
      </c>
      <c r="H3" s="97">
        <f>'Team and Player Stats'!H66</f>
        <v>13</v>
      </c>
      <c r="I3" s="97">
        <f>'Team and Player Stats'!I66</f>
        <v>1253</v>
      </c>
      <c r="J3" s="97">
        <f>'Team and Player Stats'!J66</f>
        <v>428</v>
      </c>
      <c r="K3" s="99">
        <f>'Team and Player Stats'!K66</f>
        <v>1.341580208</v>
      </c>
      <c r="L3" s="98">
        <f>'Team and Player Stats'!L66</f>
        <v>306</v>
      </c>
      <c r="M3" s="97">
        <f>'Team and Player Stats'!M66</f>
        <v>2321</v>
      </c>
      <c r="N3" s="97">
        <f>'Team and Player Stats'!N66</f>
        <v>17</v>
      </c>
      <c r="O3" s="100">
        <f>'Team and Player Stats'!O66</f>
        <v>345.1166667</v>
      </c>
      <c r="P3" s="97">
        <f>'Team and Player Stats'!P66</f>
        <v>52</v>
      </c>
      <c r="Q3" s="97">
        <f>'Team and Player Stats'!Q66</f>
        <v>13</v>
      </c>
      <c r="R3" s="97">
        <f>'Team and Player Stats'!R66</f>
        <v>174</v>
      </c>
      <c r="S3" s="97">
        <f>'Team and Player Stats'!S66</f>
        <v>24</v>
      </c>
      <c r="T3" s="97">
        <f>'Team and Player Stats'!T66</f>
        <v>251</v>
      </c>
      <c r="U3" s="97">
        <f>'Team and Player Stats'!U66</f>
        <v>60</v>
      </c>
      <c r="V3" s="97">
        <f>'Team and Player Stats'!V66</f>
        <v>26</v>
      </c>
      <c r="W3" s="97">
        <f>'Team and Player Stats'!W66</f>
        <v>16</v>
      </c>
      <c r="X3" s="97">
        <f>'Team and Player Stats'!X66</f>
        <v>3</v>
      </c>
      <c r="Y3" s="97">
        <f>'Team and Player Stats'!Y66</f>
        <v>1</v>
      </c>
      <c r="Z3" s="97">
        <f>'Team and Player Stats'!Z66</f>
        <v>0</v>
      </c>
      <c r="AA3" s="97">
        <f>'Team and Player Stats'!AA66</f>
        <v>0</v>
      </c>
      <c r="AB3" s="97">
        <f>'Team and Player Stats'!AB66</f>
        <v>0</v>
      </c>
      <c r="AC3" s="97">
        <f>'Team and Player Stats'!AC66</f>
        <v>57</v>
      </c>
      <c r="AD3" s="97">
        <f>'Team and Player Stats'!AD66</f>
        <v>2</v>
      </c>
      <c r="AE3" s="97">
        <f>'Team and Player Stats'!AE66</f>
        <v>0</v>
      </c>
      <c r="AF3" s="97">
        <f>'Team and Player Stats'!AF66</f>
        <v>0</v>
      </c>
      <c r="AG3" s="97">
        <f>'Team and Player Stats'!AG66</f>
        <v>2</v>
      </c>
      <c r="AH3" s="97">
        <f>'Team and Player Stats'!AH66</f>
        <v>0</v>
      </c>
    </row>
    <row r="4">
      <c r="A4" t="str">
        <f>'Team and Player Stats'!B18</f>
        <v>AJ DaJuiceMayne</v>
      </c>
      <c r="B4" t="str">
        <f>'Team and Player Stats'!A18</f>
        <v>Junkyard Dogs</v>
      </c>
      <c r="C4">
        <f>'Team and Player Stats'!C18</f>
        <v>16</v>
      </c>
      <c r="D4">
        <f>'Team and Player Stats'!D18</f>
        <v>6</v>
      </c>
      <c r="E4" s="101">
        <f>'Team and Player Stats'!E18</f>
        <v>490.1333333</v>
      </c>
      <c r="F4">
        <f>'Team and Player Stats'!F18</f>
        <v>5</v>
      </c>
      <c r="G4">
        <f>'Team and Player Stats'!G18</f>
        <v>2238</v>
      </c>
      <c r="H4">
        <f>'Team and Player Stats'!H18</f>
        <v>13</v>
      </c>
      <c r="I4">
        <f>'Team and Player Stats'!I18</f>
        <v>1945</v>
      </c>
      <c r="J4">
        <f>'Team and Player Stats'!J18</f>
        <v>293</v>
      </c>
      <c r="K4" s="102">
        <f>'Team and Player Stats'!K18</f>
        <v>1.150642674</v>
      </c>
      <c r="L4" s="101">
        <f>'Team and Player Stats'!L18</f>
        <v>218</v>
      </c>
      <c r="M4">
        <f>'Team and Player Stats'!M18</f>
        <v>2963</v>
      </c>
      <c r="N4">
        <f>'Team and Player Stats'!N18</f>
        <v>16</v>
      </c>
      <c r="O4" s="103">
        <f>'Team and Player Stats'!O18</f>
        <v>490.1333333</v>
      </c>
      <c r="P4">
        <f>'Team and Player Stats'!P18</f>
        <v>74</v>
      </c>
      <c r="Q4">
        <f>'Team and Player Stats'!Q18</f>
        <v>32</v>
      </c>
      <c r="R4">
        <f>'Team and Player Stats'!R18</f>
        <v>147</v>
      </c>
      <c r="S4">
        <f>'Team and Player Stats'!S18</f>
        <v>25</v>
      </c>
      <c r="T4">
        <f>'Team and Player Stats'!T18</f>
        <v>373</v>
      </c>
      <c r="U4">
        <f>'Team and Player Stats'!U18</f>
        <v>92</v>
      </c>
      <c r="V4">
        <f>'Team and Player Stats'!V18</f>
        <v>29</v>
      </c>
      <c r="W4">
        <f>'Team and Player Stats'!W18</f>
        <v>5</v>
      </c>
      <c r="X4">
        <f>'Team and Player Stats'!X18</f>
        <v>1</v>
      </c>
      <c r="Y4">
        <f>'Team and Player Stats'!Y18</f>
        <v>1</v>
      </c>
      <c r="Z4">
        <f>'Team and Player Stats'!Z18</f>
        <v>0</v>
      </c>
      <c r="AA4">
        <f>'Team and Player Stats'!AA18</f>
        <v>0</v>
      </c>
      <c r="AB4">
        <f>'Team and Player Stats'!AB18</f>
        <v>0</v>
      </c>
      <c r="AC4">
        <f>'Team and Player Stats'!AC18</f>
        <v>72</v>
      </c>
      <c r="AD4">
        <f>'Team and Player Stats'!AD18</f>
        <v>2</v>
      </c>
      <c r="AE4">
        <f>'Team and Player Stats'!AE18</f>
        <v>0</v>
      </c>
      <c r="AF4">
        <f>'Team and Player Stats'!AF18</f>
        <v>0</v>
      </c>
      <c r="AG4">
        <f>'Team and Player Stats'!AG18</f>
        <v>1</v>
      </c>
      <c r="AH4">
        <f>'Team and Player Stats'!AH18</f>
        <v>0</v>
      </c>
    </row>
    <row r="5">
      <c r="A5" s="97" t="str">
        <f>'Team and Player Stats'!B19</f>
        <v>Gilded Grams</v>
      </c>
      <c r="B5" s="97" t="str">
        <f>'Team and Player Stats'!A19</f>
        <v>Junkyard Dogs</v>
      </c>
      <c r="C5" s="97">
        <f>'Team and Player Stats'!C19</f>
        <v>18</v>
      </c>
      <c r="D5" s="97">
        <f>'Team and Player Stats'!D19</f>
        <v>6</v>
      </c>
      <c r="E5" s="98">
        <f>'Team and Player Stats'!E19</f>
        <v>525.4666667</v>
      </c>
      <c r="F5" s="97">
        <f>'Team and Player Stats'!F19</f>
        <v>6</v>
      </c>
      <c r="G5" s="97">
        <f>'Team and Player Stats'!G19</f>
        <v>2263</v>
      </c>
      <c r="H5" s="97">
        <f>'Team and Player Stats'!H19</f>
        <v>7</v>
      </c>
      <c r="I5" s="97">
        <f>'Team and Player Stats'!I19</f>
        <v>1972</v>
      </c>
      <c r="J5" s="97">
        <f>'Team and Player Stats'!J19</f>
        <v>291</v>
      </c>
      <c r="K5" s="99">
        <f>'Team and Player Stats'!K19</f>
        <v>1.147565923</v>
      </c>
      <c r="L5" s="98">
        <f>'Team and Player Stats'!L19</f>
        <v>253</v>
      </c>
      <c r="M5" s="97">
        <f>'Team and Player Stats'!M19</f>
        <v>2928</v>
      </c>
      <c r="N5" s="97">
        <f>'Team and Player Stats'!N19</f>
        <v>18</v>
      </c>
      <c r="O5" s="100">
        <f>'Team and Player Stats'!O19</f>
        <v>525.4666667</v>
      </c>
      <c r="P5" s="97">
        <f>'Team and Player Stats'!P19</f>
        <v>83</v>
      </c>
      <c r="Q5" s="97">
        <f>'Team and Player Stats'!Q19</f>
        <v>74</v>
      </c>
      <c r="R5" s="97">
        <f>'Team and Player Stats'!R19</f>
        <v>115</v>
      </c>
      <c r="S5" s="97">
        <f>'Team and Player Stats'!S19</f>
        <v>36</v>
      </c>
      <c r="T5" s="97">
        <f>'Team and Player Stats'!T19</f>
        <v>360</v>
      </c>
      <c r="U5" s="97">
        <f>'Team and Player Stats'!U19</f>
        <v>59</v>
      </c>
      <c r="V5" s="97">
        <f>'Team and Player Stats'!V19</f>
        <v>11</v>
      </c>
      <c r="W5" s="97">
        <f>'Team and Player Stats'!W19</f>
        <v>3</v>
      </c>
      <c r="X5" s="97">
        <f>'Team and Player Stats'!X19</f>
        <v>0</v>
      </c>
      <c r="Y5" s="97">
        <f>'Team and Player Stats'!Y19</f>
        <v>0</v>
      </c>
      <c r="Z5" s="97">
        <f>'Team and Player Stats'!Z19</f>
        <v>0</v>
      </c>
      <c r="AA5" s="97">
        <f>'Team and Player Stats'!AA19</f>
        <v>0</v>
      </c>
      <c r="AB5" s="97">
        <f>'Team and Player Stats'!AB19</f>
        <v>0</v>
      </c>
      <c r="AC5" s="97">
        <f>'Team and Player Stats'!AC19</f>
        <v>68</v>
      </c>
      <c r="AD5" s="97">
        <f>'Team and Player Stats'!AD19</f>
        <v>1</v>
      </c>
      <c r="AE5" s="97">
        <f>'Team and Player Stats'!AE19</f>
        <v>0</v>
      </c>
      <c r="AF5" s="97">
        <f>'Team and Player Stats'!AF19</f>
        <v>0</v>
      </c>
      <c r="AG5" s="97">
        <f>'Team and Player Stats'!AG19</f>
        <v>2</v>
      </c>
      <c r="AH5" s="97">
        <f>'Team and Player Stats'!AH19</f>
        <v>9</v>
      </c>
    </row>
    <row r="6">
      <c r="A6" t="str">
        <f>'Team and Player Stats'!B11</f>
        <v>Saintz the God</v>
      </c>
      <c r="B6" t="str">
        <f>'Team and Player Stats'!A11</f>
        <v>In MuNgO We Trust</v>
      </c>
      <c r="C6">
        <f>'Team and Player Stats'!C11</f>
        <v>12</v>
      </c>
      <c r="D6">
        <f>'Team and Player Stats'!D11</f>
        <v>7</v>
      </c>
      <c r="E6" s="101">
        <f>'Team and Player Stats'!E11</f>
        <v>371.5</v>
      </c>
      <c r="F6">
        <f>'Team and Player Stats'!F11</f>
        <v>5</v>
      </c>
      <c r="G6">
        <f>'Team and Player Stats'!G11</f>
        <v>1527</v>
      </c>
      <c r="H6">
        <f>'Team and Player Stats'!H11</f>
        <v>6</v>
      </c>
      <c r="I6">
        <f>'Team and Player Stats'!I11</f>
        <v>1261</v>
      </c>
      <c r="J6">
        <f>'Team and Player Stats'!J11</f>
        <v>266</v>
      </c>
      <c r="K6" s="102">
        <f>'Team and Player Stats'!K11</f>
        <v>1.210943695</v>
      </c>
      <c r="L6" s="101">
        <f>'Team and Player Stats'!L11</f>
        <v>181</v>
      </c>
      <c r="M6">
        <f>'Team and Player Stats'!M11</f>
        <v>2001</v>
      </c>
      <c r="N6">
        <f>'Team and Player Stats'!N11</f>
        <v>12</v>
      </c>
      <c r="O6" s="103">
        <f>'Team and Player Stats'!O11</f>
        <v>371.5</v>
      </c>
      <c r="P6">
        <f>'Team and Player Stats'!P11</f>
        <v>53</v>
      </c>
      <c r="Q6">
        <f>'Team and Player Stats'!Q11</f>
        <v>24</v>
      </c>
      <c r="R6">
        <f>'Team and Player Stats'!R11</f>
        <v>125</v>
      </c>
      <c r="S6">
        <f>'Team and Player Stats'!S11</f>
        <v>22</v>
      </c>
      <c r="T6">
        <f>'Team and Player Stats'!T11</f>
        <v>240</v>
      </c>
      <c r="U6">
        <f>'Team and Player Stats'!U11</f>
        <v>57</v>
      </c>
      <c r="V6">
        <f>'Team and Player Stats'!V11</f>
        <v>16</v>
      </c>
      <c r="W6">
        <f>'Team and Player Stats'!W11</f>
        <v>5</v>
      </c>
      <c r="X6">
        <f>'Team and Player Stats'!X11</f>
        <v>2</v>
      </c>
      <c r="Y6">
        <f>'Team and Player Stats'!Y11</f>
        <v>1</v>
      </c>
      <c r="Z6">
        <f>'Team and Player Stats'!Z11</f>
        <v>1</v>
      </c>
      <c r="AA6">
        <f>'Team and Player Stats'!AA11</f>
        <v>1</v>
      </c>
      <c r="AB6">
        <f>'Team and Player Stats'!AB11</f>
        <v>1</v>
      </c>
      <c r="AC6">
        <f>'Team and Player Stats'!AC11</f>
        <v>41</v>
      </c>
      <c r="AD6">
        <f>'Team and Player Stats'!AD11</f>
        <v>3</v>
      </c>
      <c r="AE6">
        <f>'Team and Player Stats'!AE11</f>
        <v>0</v>
      </c>
      <c r="AF6">
        <f>'Team and Player Stats'!AF11</f>
        <v>0</v>
      </c>
      <c r="AG6">
        <f>'Team and Player Stats'!AG11</f>
        <v>1</v>
      </c>
      <c r="AH6">
        <f>'Team and Player Stats'!AH11</f>
        <v>1</v>
      </c>
    </row>
    <row r="7">
      <c r="A7" s="97" t="str">
        <f>'Team and Player Stats'!B25</f>
        <v>T RICH DA KING</v>
      </c>
      <c r="B7" s="97" t="str">
        <f>'Team and Player Stats'!A25</f>
        <v>9th Wonders</v>
      </c>
      <c r="C7" s="97">
        <f>'Team and Player Stats'!C25</f>
        <v>18</v>
      </c>
      <c r="D7" s="97">
        <f>'Team and Player Stats'!D25</f>
        <v>10</v>
      </c>
      <c r="E7" s="98">
        <f>'Team and Player Stats'!E25</f>
        <v>496.0333333</v>
      </c>
      <c r="F7" s="97">
        <f>'Team and Player Stats'!F25</f>
        <v>4</v>
      </c>
      <c r="G7" s="97">
        <f>'Team and Player Stats'!G25</f>
        <v>1785</v>
      </c>
      <c r="H7" s="97">
        <f>'Team and Player Stats'!H25</f>
        <v>9</v>
      </c>
      <c r="I7" s="97">
        <f>'Team and Player Stats'!I25</f>
        <v>1524</v>
      </c>
      <c r="J7" s="97">
        <f>'Team and Player Stats'!J25</f>
        <v>261</v>
      </c>
      <c r="K7" s="99">
        <f>'Team and Player Stats'!K25</f>
        <v>1.171259843</v>
      </c>
      <c r="L7" s="98">
        <f>'Team and Player Stats'!L25</f>
        <v>285</v>
      </c>
      <c r="M7" s="97">
        <f>'Team and Player Stats'!M25</f>
        <v>2091</v>
      </c>
      <c r="N7" s="97">
        <f>'Team and Player Stats'!N25</f>
        <v>17</v>
      </c>
      <c r="O7" s="100">
        <f>'Team and Player Stats'!O25</f>
        <v>496.0333333</v>
      </c>
      <c r="P7" s="97">
        <f>'Team and Player Stats'!P25</f>
        <v>73</v>
      </c>
      <c r="Q7" s="97">
        <f>'Team and Player Stats'!Q25</f>
        <v>59</v>
      </c>
      <c r="R7" s="97">
        <f>'Team and Player Stats'!R25</f>
        <v>121</v>
      </c>
      <c r="S7" s="97">
        <f>'Team and Player Stats'!S25</f>
        <v>29</v>
      </c>
      <c r="T7" s="97">
        <f>'Team and Player Stats'!T25</f>
        <v>233</v>
      </c>
      <c r="U7" s="97">
        <f>'Team and Player Stats'!U25</f>
        <v>43</v>
      </c>
      <c r="V7" s="97">
        <f>'Team and Player Stats'!V25</f>
        <v>9</v>
      </c>
      <c r="W7" s="97">
        <f>'Team and Player Stats'!W25</f>
        <v>2</v>
      </c>
      <c r="X7" s="97">
        <f>'Team and Player Stats'!X25</f>
        <v>2</v>
      </c>
      <c r="Y7" s="97">
        <f>'Team and Player Stats'!Y25</f>
        <v>0</v>
      </c>
      <c r="Z7" s="97">
        <f>'Team and Player Stats'!Z25</f>
        <v>0</v>
      </c>
      <c r="AA7" s="97">
        <f>'Team and Player Stats'!AA25</f>
        <v>0</v>
      </c>
      <c r="AB7" s="97">
        <f>'Team and Player Stats'!AB25</f>
        <v>0</v>
      </c>
      <c r="AC7" s="97">
        <f>'Team and Player Stats'!AC25</f>
        <v>49</v>
      </c>
      <c r="AD7" s="97">
        <f>'Team and Player Stats'!AD25</f>
        <v>2</v>
      </c>
      <c r="AE7" s="97">
        <f>'Team and Player Stats'!AE25</f>
        <v>0</v>
      </c>
      <c r="AF7" s="97">
        <f>'Team and Player Stats'!AF25</f>
        <v>0</v>
      </c>
      <c r="AG7" s="97">
        <f>'Team and Player Stats'!AG25</f>
        <v>0</v>
      </c>
      <c r="AH7" s="97">
        <f>'Team and Player Stats'!AH25</f>
        <v>1</v>
      </c>
    </row>
    <row r="8">
      <c r="A8" t="str">
        <f>'Team and Player Stats'!B73</f>
        <v>Rage More Nerd</v>
      </c>
      <c r="B8" t="str">
        <f>'Team and Player Stats'!A73</f>
        <v>Mediocre at Best</v>
      </c>
      <c r="C8">
        <f>'Team and Player Stats'!C73</f>
        <v>20</v>
      </c>
      <c r="D8">
        <f>'Team and Player Stats'!D73</f>
        <v>10</v>
      </c>
      <c r="E8" s="101">
        <f>'Team and Player Stats'!E73</f>
        <v>395.9333333</v>
      </c>
      <c r="F8">
        <f>'Team and Player Stats'!F73</f>
        <v>6</v>
      </c>
      <c r="G8">
        <f>'Team and Player Stats'!G73</f>
        <v>1749</v>
      </c>
      <c r="H8">
        <f>'Team and Player Stats'!H73</f>
        <v>9</v>
      </c>
      <c r="I8">
        <f>'Team and Player Stats'!I73</f>
        <v>1520</v>
      </c>
      <c r="J8">
        <f>'Team and Player Stats'!J73</f>
        <v>229</v>
      </c>
      <c r="K8" s="102">
        <f>'Team and Player Stats'!K73</f>
        <v>1.150657895</v>
      </c>
      <c r="L8" s="101">
        <f>'Team and Player Stats'!L73</f>
        <v>270</v>
      </c>
      <c r="M8">
        <f>'Team and Player Stats'!M73</f>
        <v>2314</v>
      </c>
      <c r="N8">
        <f>'Team and Player Stats'!N73</f>
        <v>20</v>
      </c>
      <c r="O8" s="103">
        <f>'Team and Player Stats'!O73</f>
        <v>395.9333333</v>
      </c>
      <c r="P8">
        <f>'Team and Player Stats'!P73</f>
        <v>67</v>
      </c>
      <c r="Q8">
        <f>'Team and Player Stats'!Q73</f>
        <v>29</v>
      </c>
      <c r="R8">
        <f>'Team and Player Stats'!R73</f>
        <v>137</v>
      </c>
      <c r="S8">
        <f>'Team and Player Stats'!S73</f>
        <v>41</v>
      </c>
      <c r="T8">
        <f>'Team and Player Stats'!T73</f>
        <v>278</v>
      </c>
      <c r="U8">
        <f>'Team and Player Stats'!U73</f>
        <v>52</v>
      </c>
      <c r="V8">
        <f>'Team and Player Stats'!V73</f>
        <v>16</v>
      </c>
      <c r="W8">
        <f>'Team and Player Stats'!W73</f>
        <v>5</v>
      </c>
      <c r="X8">
        <f>'Team and Player Stats'!X73</f>
        <v>1</v>
      </c>
      <c r="Y8">
        <f>'Team and Player Stats'!Y73</f>
        <v>0</v>
      </c>
      <c r="Z8">
        <f>'Team and Player Stats'!Z73</f>
        <v>0</v>
      </c>
      <c r="AA8">
        <f>'Team and Player Stats'!AA73</f>
        <v>0</v>
      </c>
      <c r="AB8">
        <f>'Team and Player Stats'!AB73</f>
        <v>0</v>
      </c>
      <c r="AC8">
        <f>'Team and Player Stats'!AC73</f>
        <v>47</v>
      </c>
      <c r="AD8">
        <f>'Team and Player Stats'!AD73</f>
        <v>0</v>
      </c>
      <c r="AE8">
        <f>'Team and Player Stats'!AE73</f>
        <v>0</v>
      </c>
      <c r="AF8">
        <f>'Team and Player Stats'!AF73</f>
        <v>0</v>
      </c>
      <c r="AG8">
        <f>'Team and Player Stats'!AG73</f>
        <v>2</v>
      </c>
      <c r="AH8">
        <f>'Team and Player Stats'!AH73</f>
        <v>0</v>
      </c>
    </row>
    <row r="9">
      <c r="A9" s="97" t="str">
        <f>'Team and Player Stats'!B4</f>
        <v>DIGITAL PAIN</v>
      </c>
      <c r="B9" s="97" t="str">
        <f>'Team and Player Stats'!A4</f>
        <v>Defiance</v>
      </c>
      <c r="C9" s="97">
        <f>'Team and Player Stats'!C4</f>
        <v>16</v>
      </c>
      <c r="D9" s="97">
        <f>'Team and Player Stats'!D4</f>
        <v>10</v>
      </c>
      <c r="E9" s="98">
        <f>'Team and Player Stats'!E4</f>
        <v>454</v>
      </c>
      <c r="F9" s="97">
        <f>'Team and Player Stats'!F4</f>
        <v>5</v>
      </c>
      <c r="G9" s="97">
        <f>'Team and Player Stats'!G4</f>
        <v>1723</v>
      </c>
      <c r="H9" s="97">
        <f>'Team and Player Stats'!H4</f>
        <v>6</v>
      </c>
      <c r="I9" s="97">
        <f>'Team and Player Stats'!I4</f>
        <v>1499</v>
      </c>
      <c r="J9" s="97">
        <f>'Team and Player Stats'!J4</f>
        <v>224</v>
      </c>
      <c r="K9" s="99">
        <f>'Team and Player Stats'!K4</f>
        <v>1.149432955</v>
      </c>
      <c r="L9" s="98">
        <f>'Team and Player Stats'!L4</f>
        <v>263</v>
      </c>
      <c r="M9" s="97">
        <f>'Team and Player Stats'!M4</f>
        <v>2175</v>
      </c>
      <c r="N9" s="97">
        <f>'Team and Player Stats'!N4</f>
        <v>13</v>
      </c>
      <c r="O9" s="100">
        <f>'Team and Player Stats'!O4</f>
        <v>419</v>
      </c>
      <c r="P9" s="97">
        <f>'Team and Player Stats'!P4</f>
        <v>84</v>
      </c>
      <c r="Q9" s="97">
        <f>'Team and Player Stats'!Q4</f>
        <v>29</v>
      </c>
      <c r="R9" s="97">
        <f>'Team and Player Stats'!R4</f>
        <v>141</v>
      </c>
      <c r="S9" s="97">
        <f>'Team and Player Stats'!S4</f>
        <v>20</v>
      </c>
      <c r="T9" s="97">
        <f>'Team and Player Stats'!T4</f>
        <v>203</v>
      </c>
      <c r="U9" s="97">
        <f>'Team and Player Stats'!U4</f>
        <v>30</v>
      </c>
      <c r="V9" s="97">
        <f>'Team and Player Stats'!V4</f>
        <v>9</v>
      </c>
      <c r="W9" s="97">
        <f>'Team and Player Stats'!W4</f>
        <v>4</v>
      </c>
      <c r="X9" s="97">
        <f>'Team and Player Stats'!X4</f>
        <v>1</v>
      </c>
      <c r="Y9" s="97">
        <f>'Team and Player Stats'!Y4</f>
        <v>0</v>
      </c>
      <c r="Z9" s="97">
        <f>'Team and Player Stats'!Z4</f>
        <v>0</v>
      </c>
      <c r="AA9" s="97">
        <f>'Team and Player Stats'!AA4</f>
        <v>0</v>
      </c>
      <c r="AB9" s="97">
        <f>'Team and Player Stats'!AB4</f>
        <v>0</v>
      </c>
      <c r="AC9" s="97">
        <f>'Team and Player Stats'!AC4</f>
        <v>44</v>
      </c>
      <c r="AD9" s="97">
        <f>'Team and Player Stats'!AD4</f>
        <v>1</v>
      </c>
      <c r="AE9" s="97">
        <f>'Team and Player Stats'!AE4</f>
        <v>0</v>
      </c>
      <c r="AF9" s="97">
        <f>'Team and Player Stats'!AF4</f>
        <v>0</v>
      </c>
      <c r="AG9" s="97">
        <f>'Team and Player Stats'!AG4</f>
        <v>1</v>
      </c>
      <c r="AH9" s="97">
        <f>'Team and Player Stats'!AH4</f>
        <v>2</v>
      </c>
    </row>
    <row r="10">
      <c r="A10" t="str">
        <f>'Team and Player Stats'!B59</f>
        <v>Regresser TTV</v>
      </c>
      <c r="B10" t="str">
        <f>'Team and Player Stats'!A59</f>
        <v>Hypest</v>
      </c>
      <c r="C10">
        <f>'Team and Player Stats'!C59</f>
        <v>20</v>
      </c>
      <c r="D10">
        <f>'Team and Player Stats'!D59</f>
        <v>13</v>
      </c>
      <c r="E10" s="101">
        <f>'Team and Player Stats'!E59</f>
        <v>376.5</v>
      </c>
      <c r="F10">
        <f>'Team and Player Stats'!F59</f>
        <v>43</v>
      </c>
      <c r="G10">
        <f>'Team and Player Stats'!G59</f>
        <v>1467</v>
      </c>
      <c r="H10">
        <f>'Team and Player Stats'!H59</f>
        <v>8</v>
      </c>
      <c r="I10">
        <f>'Team and Player Stats'!I59</f>
        <v>1287</v>
      </c>
      <c r="J10">
        <f>'Team and Player Stats'!J59</f>
        <v>180</v>
      </c>
      <c r="K10" s="102">
        <f>'Team and Player Stats'!K59</f>
        <v>1.13986014</v>
      </c>
      <c r="L10" s="101">
        <f>'Team and Player Stats'!L59</f>
        <v>293</v>
      </c>
      <c r="M10">
        <f>'Team and Player Stats'!M59</f>
        <v>1868</v>
      </c>
      <c r="N10">
        <f>'Team and Player Stats'!N59</f>
        <v>19</v>
      </c>
      <c r="O10" s="103">
        <f>'Team and Player Stats'!O59</f>
        <v>348.5</v>
      </c>
      <c r="P10">
        <f>'Team and Player Stats'!P59</f>
        <v>73</v>
      </c>
      <c r="Q10">
        <f>'Team and Player Stats'!Q59</f>
        <v>28</v>
      </c>
      <c r="R10">
        <f>'Team and Player Stats'!R59</f>
        <v>97</v>
      </c>
      <c r="S10">
        <f>'Team and Player Stats'!S59</f>
        <v>25</v>
      </c>
      <c r="T10">
        <f>'Team and Player Stats'!T59</f>
        <v>243</v>
      </c>
      <c r="U10">
        <f>'Team and Player Stats'!U59</f>
        <v>58</v>
      </c>
      <c r="V10">
        <f>'Team and Player Stats'!V59</f>
        <v>14</v>
      </c>
      <c r="W10">
        <f>'Team and Player Stats'!W59</f>
        <v>2</v>
      </c>
      <c r="X10">
        <f>'Team and Player Stats'!X59</f>
        <v>2</v>
      </c>
      <c r="Y10">
        <f>'Team and Player Stats'!Y59</f>
        <v>1</v>
      </c>
      <c r="Z10">
        <f>'Team and Player Stats'!Z59</f>
        <v>1</v>
      </c>
      <c r="AA10">
        <f>'Team and Player Stats'!AA59</f>
        <v>1</v>
      </c>
      <c r="AB10">
        <f>'Team and Player Stats'!AB59</f>
        <v>1</v>
      </c>
      <c r="AC10">
        <f>'Team and Player Stats'!AC59</f>
        <v>40</v>
      </c>
      <c r="AD10">
        <f>'Team and Player Stats'!AD59</f>
        <v>3</v>
      </c>
      <c r="AE10">
        <f>'Team and Player Stats'!AE59</f>
        <v>0</v>
      </c>
      <c r="AF10">
        <f>'Team and Player Stats'!AF59</f>
        <v>0</v>
      </c>
      <c r="AG10">
        <f>'Team and Player Stats'!AG59</f>
        <v>2</v>
      </c>
      <c r="AH10">
        <f>'Team and Player Stats'!AH59</f>
        <v>0</v>
      </c>
    </row>
    <row r="11">
      <c r="A11" s="97" t="str">
        <f>'Team and Player Stats'!B67</f>
        <v>ActiveHate</v>
      </c>
      <c r="B11" s="97" t="str">
        <f>'Team and Player Stats'!A67</f>
        <v>Monstars</v>
      </c>
      <c r="C11" s="97">
        <f>'Team and Player Stats'!C67</f>
        <v>20</v>
      </c>
      <c r="D11" s="97">
        <f>'Team and Player Stats'!D67</f>
        <v>16</v>
      </c>
      <c r="E11" s="98">
        <f>'Team and Player Stats'!E67</f>
        <v>375.1</v>
      </c>
      <c r="F11" s="97">
        <f>'Team and Player Stats'!F67</f>
        <v>2</v>
      </c>
      <c r="G11" s="97">
        <f>'Team and Player Stats'!G67</f>
        <v>1693</v>
      </c>
      <c r="H11" s="97">
        <f>'Team and Player Stats'!H67</f>
        <v>6</v>
      </c>
      <c r="I11" s="97">
        <f>'Team and Player Stats'!I67</f>
        <v>1557</v>
      </c>
      <c r="J11" s="97">
        <f>'Team and Player Stats'!J67</f>
        <v>136</v>
      </c>
      <c r="K11" s="99">
        <f>'Team and Player Stats'!K67</f>
        <v>1.087347463</v>
      </c>
      <c r="L11" s="98">
        <f>'Team and Player Stats'!L67</f>
        <v>234</v>
      </c>
      <c r="M11" s="97">
        <f>'Team and Player Stats'!M67</f>
        <v>2277</v>
      </c>
      <c r="N11" s="97">
        <f>'Team and Player Stats'!N67</f>
        <v>17</v>
      </c>
      <c r="O11" s="100">
        <f>'Team and Player Stats'!O67</f>
        <v>340.1</v>
      </c>
      <c r="P11" s="97">
        <f>'Team and Player Stats'!P67</f>
        <v>27</v>
      </c>
      <c r="Q11" s="97">
        <f>'Team and Player Stats'!Q67</f>
        <v>6</v>
      </c>
      <c r="R11" s="97">
        <f>'Team and Player Stats'!R67</f>
        <v>151</v>
      </c>
      <c r="S11" s="97">
        <f>'Team and Player Stats'!S67</f>
        <v>22</v>
      </c>
      <c r="T11" s="97">
        <f>'Team and Player Stats'!T67</f>
        <v>279</v>
      </c>
      <c r="U11" s="97">
        <f>'Team and Player Stats'!U67</f>
        <v>68</v>
      </c>
      <c r="V11" s="97">
        <f>'Team and Player Stats'!V67</f>
        <v>24</v>
      </c>
      <c r="W11" s="97">
        <f>'Team and Player Stats'!W67</f>
        <v>10</v>
      </c>
      <c r="X11" s="97">
        <f>'Team and Player Stats'!X67</f>
        <v>5</v>
      </c>
      <c r="Y11" s="97">
        <f>'Team and Player Stats'!Y67</f>
        <v>1</v>
      </c>
      <c r="Z11" s="97">
        <f>'Team and Player Stats'!Z67</f>
        <v>0</v>
      </c>
      <c r="AA11" s="97">
        <f>'Team and Player Stats'!AA67</f>
        <v>0</v>
      </c>
      <c r="AB11" s="97">
        <f>'Team and Player Stats'!AB67</f>
        <v>0</v>
      </c>
      <c r="AC11" s="97">
        <f>'Team and Player Stats'!AC67</f>
        <v>37</v>
      </c>
      <c r="AD11" s="97">
        <f>'Team and Player Stats'!AD67</f>
        <v>1</v>
      </c>
      <c r="AE11" s="97">
        <f>'Team and Player Stats'!AE67</f>
        <v>0</v>
      </c>
      <c r="AF11" s="97">
        <f>'Team and Player Stats'!AF67</f>
        <v>0</v>
      </c>
      <c r="AG11" s="97">
        <f>'Team and Player Stats'!AG67</f>
        <v>0</v>
      </c>
      <c r="AH11" s="97">
        <f>'Team and Player Stats'!AH67</f>
        <v>0</v>
      </c>
    </row>
    <row r="12">
      <c r="A12" t="str">
        <f>'Team and Player Stats'!B47</f>
        <v> SILV3RI34CK</v>
      </c>
      <c r="B12" t="str">
        <f>'Team and Player Stats'!A47</f>
        <v>Failure to Launch</v>
      </c>
      <c r="C12">
        <f>'Team and Player Stats'!C47</f>
        <v>17</v>
      </c>
      <c r="D12">
        <f>'Team and Player Stats'!D47</f>
        <v>10</v>
      </c>
      <c r="E12" s="101">
        <f>'Team and Player Stats'!E47</f>
        <v>486.8666667</v>
      </c>
      <c r="F12">
        <f>'Team and Player Stats'!F47</f>
        <v>3</v>
      </c>
      <c r="G12">
        <f>'Team and Player Stats'!G47</f>
        <v>1542</v>
      </c>
      <c r="H12">
        <f>'Team and Player Stats'!H47</f>
        <v>10</v>
      </c>
      <c r="I12">
        <f>'Team and Player Stats'!I47</f>
        <v>1459</v>
      </c>
      <c r="J12">
        <f>'Team and Player Stats'!J47</f>
        <v>83</v>
      </c>
      <c r="K12" s="102">
        <f>'Team and Player Stats'!K47</f>
        <v>1.05688828</v>
      </c>
      <c r="L12" s="101">
        <f>'Team and Player Stats'!L47</f>
        <v>276</v>
      </c>
      <c r="M12">
        <f>'Team and Player Stats'!M47</f>
        <v>1959</v>
      </c>
      <c r="N12">
        <f>'Team and Player Stats'!N47</f>
        <v>17</v>
      </c>
      <c r="O12" s="103">
        <f>'Team and Player Stats'!O47</f>
        <v>486.8666667</v>
      </c>
      <c r="P12">
        <f>'Team and Player Stats'!P47</f>
        <v>65</v>
      </c>
      <c r="Q12">
        <f>'Team and Player Stats'!Q47</f>
        <v>25</v>
      </c>
      <c r="R12">
        <f>'Team and Player Stats'!R47</f>
        <v>178</v>
      </c>
      <c r="S12">
        <f>'Team and Player Stats'!S47</f>
        <v>31</v>
      </c>
      <c r="T12">
        <f>'Team and Player Stats'!T47</f>
        <v>177</v>
      </c>
      <c r="U12">
        <f>'Team and Player Stats'!U47</f>
        <v>21</v>
      </c>
      <c r="V12">
        <f>'Team and Player Stats'!V47</f>
        <v>6</v>
      </c>
      <c r="W12">
        <f>'Team and Player Stats'!W47</f>
        <v>1</v>
      </c>
      <c r="X12">
        <f>'Team and Player Stats'!X47</f>
        <v>0</v>
      </c>
      <c r="Y12">
        <f>'Team and Player Stats'!Y47</f>
        <v>0</v>
      </c>
      <c r="Z12">
        <f>'Team and Player Stats'!Z47</f>
        <v>0</v>
      </c>
      <c r="AA12">
        <f>'Team and Player Stats'!AA47</f>
        <v>0</v>
      </c>
      <c r="AB12">
        <f>'Team and Player Stats'!AB47</f>
        <v>0</v>
      </c>
      <c r="AC12">
        <f>'Team and Player Stats'!AC47</f>
        <v>25</v>
      </c>
      <c r="AD12">
        <f>'Team and Player Stats'!AD47</f>
        <v>0</v>
      </c>
      <c r="AE12">
        <f>'Team and Player Stats'!AE47</f>
        <v>0</v>
      </c>
      <c r="AF12">
        <f>'Team and Player Stats'!AF47</f>
        <v>0</v>
      </c>
      <c r="AG12">
        <f>'Team and Player Stats'!AG47</f>
        <v>0</v>
      </c>
      <c r="AH12">
        <f>'Team and Player Stats'!AH47</f>
        <v>0</v>
      </c>
    </row>
    <row r="13">
      <c r="A13" s="97" t="str">
        <f>'Team and Player Stats'!B53</f>
        <v>TnTaylor</v>
      </c>
      <c r="B13" s="97" t="str">
        <f>'Team and Player Stats'!A53</f>
        <v>Silva's Connection</v>
      </c>
      <c r="C13" s="97">
        <f>'Team and Player Stats'!C53</f>
        <v>20</v>
      </c>
      <c r="D13" s="97">
        <f>'Team and Player Stats'!D53</f>
        <v>6</v>
      </c>
      <c r="E13" s="98">
        <f>'Team and Player Stats'!E53</f>
        <v>560.9166667</v>
      </c>
      <c r="F13" s="97">
        <f>'Team and Player Stats'!F53</f>
        <v>10</v>
      </c>
      <c r="G13" s="97">
        <f>'Team and Player Stats'!G53</f>
        <v>1823</v>
      </c>
      <c r="H13" s="97">
        <f>'Team and Player Stats'!H53</f>
        <v>6</v>
      </c>
      <c r="I13" s="97">
        <f>'Team and Player Stats'!I53</f>
        <v>1752</v>
      </c>
      <c r="J13" s="97">
        <f>'Team and Player Stats'!J53</f>
        <v>71</v>
      </c>
      <c r="K13" s="99">
        <f>'Team and Player Stats'!K53</f>
        <v>1.040525114</v>
      </c>
      <c r="L13" s="98">
        <f>'Team and Player Stats'!L53</f>
        <v>329</v>
      </c>
      <c r="M13" s="97">
        <f>'Team and Player Stats'!M53</f>
        <v>2328</v>
      </c>
      <c r="N13" s="97">
        <f>'Team and Player Stats'!N53</f>
        <v>20</v>
      </c>
      <c r="O13" s="100">
        <f>'Team and Player Stats'!O53</f>
        <v>560.9166667</v>
      </c>
      <c r="P13" s="97">
        <f>'Team and Player Stats'!P53</f>
        <v>92</v>
      </c>
      <c r="Q13" s="97">
        <f>'Team and Player Stats'!Q53</f>
        <v>74</v>
      </c>
      <c r="R13" s="97">
        <f>'Team and Player Stats'!R53</f>
        <v>124</v>
      </c>
      <c r="S13" s="97">
        <f>'Team and Player Stats'!S53</f>
        <v>39</v>
      </c>
      <c r="T13" s="97">
        <f>'Team and Player Stats'!T53</f>
        <v>225</v>
      </c>
      <c r="U13" s="97">
        <f>'Team and Player Stats'!U53</f>
        <v>40</v>
      </c>
      <c r="V13" s="97">
        <f>'Team and Player Stats'!V53</f>
        <v>11</v>
      </c>
      <c r="W13" s="97">
        <f>'Team and Player Stats'!W53</f>
        <v>2</v>
      </c>
      <c r="X13" s="97">
        <f>'Team and Player Stats'!X53</f>
        <v>1</v>
      </c>
      <c r="Y13" s="97">
        <f>'Team and Player Stats'!Y53</f>
        <v>0</v>
      </c>
      <c r="Z13" s="97">
        <f>'Team and Player Stats'!Z53</f>
        <v>0</v>
      </c>
      <c r="AA13" s="97">
        <f>'Team and Player Stats'!AA53</f>
        <v>0</v>
      </c>
      <c r="AB13" s="97">
        <f>'Team and Player Stats'!AB53</f>
        <v>0</v>
      </c>
      <c r="AC13" s="97">
        <f>'Team and Player Stats'!AC53</f>
        <v>45</v>
      </c>
      <c r="AD13" s="97">
        <f>'Team and Player Stats'!AD53</f>
        <v>1</v>
      </c>
      <c r="AE13" s="97">
        <f>'Team and Player Stats'!AE53</f>
        <v>0</v>
      </c>
      <c r="AF13" s="97">
        <f>'Team and Player Stats'!AF53</f>
        <v>0</v>
      </c>
      <c r="AG13" s="97">
        <f>'Team and Player Stats'!AG53</f>
        <v>0</v>
      </c>
      <c r="AH13" s="97">
        <f>'Team and Player Stats'!AH53</f>
        <v>2</v>
      </c>
    </row>
    <row r="14">
      <c r="A14" t="str">
        <f>'Team and Player Stats'!B5</f>
        <v>Sabasauros Rex</v>
      </c>
      <c r="B14" t="str">
        <f>'Team and Player Stats'!A5</f>
        <v>Defiance</v>
      </c>
      <c r="C14">
        <f>'Team and Player Stats'!C5</f>
        <v>16</v>
      </c>
      <c r="D14">
        <f>'Team and Player Stats'!D5</f>
        <v>10</v>
      </c>
      <c r="E14" s="101">
        <f>'Team and Player Stats'!E5</f>
        <v>454</v>
      </c>
      <c r="F14">
        <f>'Team and Player Stats'!F5</f>
        <v>13</v>
      </c>
      <c r="G14">
        <f>'Team and Player Stats'!G5</f>
        <v>1748</v>
      </c>
      <c r="H14">
        <f>'Team and Player Stats'!H5</f>
        <v>11</v>
      </c>
      <c r="I14">
        <f>'Team and Player Stats'!I5</f>
        <v>1684</v>
      </c>
      <c r="J14">
        <f>'Team and Player Stats'!J5</f>
        <v>64</v>
      </c>
      <c r="K14" s="102">
        <f>'Team and Player Stats'!K5</f>
        <v>1.038004751</v>
      </c>
      <c r="L14" s="101">
        <f>'Team and Player Stats'!L5</f>
        <v>226</v>
      </c>
      <c r="M14">
        <f>'Team and Player Stats'!M5</f>
        <v>2216</v>
      </c>
      <c r="N14">
        <f>'Team and Player Stats'!N5</f>
        <v>13</v>
      </c>
      <c r="O14" s="103">
        <f>'Team and Player Stats'!O5</f>
        <v>419</v>
      </c>
      <c r="P14">
        <f>'Team and Player Stats'!P5</f>
        <v>75</v>
      </c>
      <c r="Q14">
        <f>'Team and Player Stats'!Q5</f>
        <v>25</v>
      </c>
      <c r="R14">
        <f>'Team and Player Stats'!R5</f>
        <v>128</v>
      </c>
      <c r="S14">
        <f>'Team and Player Stats'!S5</f>
        <v>27</v>
      </c>
      <c r="T14">
        <f>'Team and Player Stats'!T5</f>
        <v>219</v>
      </c>
      <c r="U14">
        <f>'Team and Player Stats'!U5</f>
        <v>51</v>
      </c>
      <c r="V14">
        <f>'Team and Player Stats'!V5</f>
        <v>10</v>
      </c>
      <c r="W14">
        <f>'Team and Player Stats'!W5</f>
        <v>1</v>
      </c>
      <c r="X14">
        <f>'Team and Player Stats'!X5</f>
        <v>0</v>
      </c>
      <c r="Y14">
        <f>'Team and Player Stats'!Y5</f>
        <v>0</v>
      </c>
      <c r="Z14">
        <f>'Team and Player Stats'!Z5</f>
        <v>0</v>
      </c>
      <c r="AA14">
        <f>'Team and Player Stats'!AA5</f>
        <v>0</v>
      </c>
      <c r="AB14">
        <f>'Team and Player Stats'!AB5</f>
        <v>0</v>
      </c>
      <c r="AC14">
        <f>'Team and Player Stats'!AC5</f>
        <v>36</v>
      </c>
      <c r="AD14">
        <f>'Team and Player Stats'!AD5</f>
        <v>2</v>
      </c>
      <c r="AE14">
        <f>'Team and Player Stats'!AE5</f>
        <v>0</v>
      </c>
      <c r="AF14">
        <f>'Team and Player Stats'!AF5</f>
        <v>0</v>
      </c>
      <c r="AG14">
        <f>'Team and Player Stats'!AG5</f>
        <v>2</v>
      </c>
      <c r="AH14">
        <f>'Team and Player Stats'!AH5</f>
        <v>0</v>
      </c>
    </row>
    <row r="15">
      <c r="A15" s="97" t="str">
        <f>'Team and Player Stats'!B46</f>
        <v>the man canon</v>
      </c>
      <c r="B15" s="97" t="str">
        <f>'Team and Player Stats'!A46</f>
        <v>Failure to Launch</v>
      </c>
      <c r="C15" s="97">
        <f>'Team and Player Stats'!C46</f>
        <v>17</v>
      </c>
      <c r="D15" s="97">
        <f>'Team and Player Stats'!D46</f>
        <v>10</v>
      </c>
      <c r="E15" s="98">
        <f>'Team and Player Stats'!E46</f>
        <v>486.3166667</v>
      </c>
      <c r="F15" s="97">
        <f>'Team and Player Stats'!F46</f>
        <v>5</v>
      </c>
      <c r="G15" s="97">
        <f>'Team and Player Stats'!G46</f>
        <v>1655</v>
      </c>
      <c r="H15" s="97">
        <f>'Team and Player Stats'!H46</f>
        <v>5</v>
      </c>
      <c r="I15" s="97">
        <f>'Team and Player Stats'!I46</f>
        <v>1604</v>
      </c>
      <c r="J15" s="97">
        <f>'Team and Player Stats'!J46</f>
        <v>51</v>
      </c>
      <c r="K15" s="99">
        <f>'Team and Player Stats'!K46</f>
        <v>1.031795511</v>
      </c>
      <c r="L15" s="98">
        <f>'Team and Player Stats'!L46</f>
        <v>245</v>
      </c>
      <c r="M15" s="97">
        <f>'Team and Player Stats'!M46</f>
        <v>2139</v>
      </c>
      <c r="N15" s="97">
        <f>'Team and Player Stats'!N46</f>
        <v>17</v>
      </c>
      <c r="O15" s="100">
        <f>'Team and Player Stats'!O46</f>
        <v>486.3166667</v>
      </c>
      <c r="P15" s="97">
        <f>'Team and Player Stats'!P46</f>
        <v>82</v>
      </c>
      <c r="Q15" s="97">
        <f>'Team and Player Stats'!Q46</f>
        <v>25</v>
      </c>
      <c r="R15" s="97">
        <f>'Team and Player Stats'!R46</f>
        <v>143</v>
      </c>
      <c r="S15" s="97">
        <f>'Team and Player Stats'!S46</f>
        <v>26</v>
      </c>
      <c r="T15" s="97">
        <f>'Team and Player Stats'!T46</f>
        <v>223</v>
      </c>
      <c r="U15" s="97">
        <f>'Team and Player Stats'!U46</f>
        <v>46</v>
      </c>
      <c r="V15" s="97">
        <f>'Team and Player Stats'!V46</f>
        <v>9</v>
      </c>
      <c r="W15" s="97">
        <f>'Team and Player Stats'!W46</f>
        <v>1</v>
      </c>
      <c r="X15" s="97">
        <f>'Team and Player Stats'!X46</f>
        <v>0</v>
      </c>
      <c r="Y15" s="97">
        <f>'Team and Player Stats'!Y46</f>
        <v>0</v>
      </c>
      <c r="Z15" s="97">
        <f>'Team and Player Stats'!Z46</f>
        <v>0</v>
      </c>
      <c r="AA15" s="97">
        <f>'Team and Player Stats'!AA46</f>
        <v>0</v>
      </c>
      <c r="AB15" s="97">
        <f>'Team and Player Stats'!AB46</f>
        <v>0</v>
      </c>
      <c r="AC15" s="97">
        <f>'Team and Player Stats'!AC46</f>
        <v>32</v>
      </c>
      <c r="AD15" s="97">
        <f>'Team and Player Stats'!AD46</f>
        <v>0</v>
      </c>
      <c r="AE15" s="97">
        <f>'Team and Player Stats'!AE46</f>
        <v>0</v>
      </c>
      <c r="AF15" s="97">
        <f>'Team and Player Stats'!AF46</f>
        <v>0</v>
      </c>
      <c r="AG15" s="97">
        <f>'Team and Player Stats'!AG46</f>
        <v>0</v>
      </c>
      <c r="AH15" s="97">
        <f>'Team and Player Stats'!AH46</f>
        <v>0</v>
      </c>
    </row>
    <row r="16">
      <c r="A16" t="str">
        <f>'Team and Player Stats'!B54</f>
        <v>Elementary</v>
      </c>
      <c r="B16" t="str">
        <f>'Team and Player Stats'!A54</f>
        <v>Silva's Connection</v>
      </c>
      <c r="C16">
        <f>'Team and Player Stats'!C54</f>
        <v>20</v>
      </c>
      <c r="D16">
        <f>'Team and Player Stats'!D54</f>
        <v>6</v>
      </c>
      <c r="E16" s="101">
        <f>'Team and Player Stats'!E54</f>
        <v>560.5</v>
      </c>
      <c r="F16">
        <f>'Team and Player Stats'!F54</f>
        <v>7</v>
      </c>
      <c r="G16">
        <f>'Team and Player Stats'!G54</f>
        <v>2236</v>
      </c>
      <c r="H16">
        <f>'Team and Player Stats'!H54</f>
        <v>10</v>
      </c>
      <c r="I16">
        <f>'Team and Player Stats'!I54</f>
        <v>2187</v>
      </c>
      <c r="J16">
        <f>'Team and Player Stats'!J54</f>
        <v>49</v>
      </c>
      <c r="K16" s="102">
        <f>'Team and Player Stats'!K54</f>
        <v>1.022405121</v>
      </c>
      <c r="L16" s="101">
        <f>'Team and Player Stats'!L54</f>
        <v>251</v>
      </c>
      <c r="M16">
        <f>'Team and Player Stats'!M54</f>
        <v>2929</v>
      </c>
      <c r="N16">
        <f>'Team and Player Stats'!N54</f>
        <v>20</v>
      </c>
      <c r="O16" s="103">
        <f>'Team and Player Stats'!O54</f>
        <v>560.5</v>
      </c>
      <c r="P16">
        <f>'Team and Player Stats'!P54</f>
        <v>88</v>
      </c>
      <c r="Q16">
        <f>'Team and Player Stats'!Q54</f>
        <v>34</v>
      </c>
      <c r="R16">
        <f>'Team and Player Stats'!R54</f>
        <v>172</v>
      </c>
      <c r="S16">
        <f>'Team and Player Stats'!S54</f>
        <v>45</v>
      </c>
      <c r="T16">
        <f>'Team and Player Stats'!T54</f>
        <v>362</v>
      </c>
      <c r="U16">
        <f>'Team and Player Stats'!U54</f>
        <v>66</v>
      </c>
      <c r="V16">
        <f>'Team and Player Stats'!V54</f>
        <v>17</v>
      </c>
      <c r="W16">
        <f>'Team and Player Stats'!W54</f>
        <v>3</v>
      </c>
      <c r="X16">
        <f>'Team and Player Stats'!X54</f>
        <v>0</v>
      </c>
      <c r="Y16">
        <f>'Team and Player Stats'!Y54</f>
        <v>0</v>
      </c>
      <c r="Z16">
        <f>'Team and Player Stats'!Z54</f>
        <v>0</v>
      </c>
      <c r="AA16">
        <f>'Team and Player Stats'!AA54</f>
        <v>0</v>
      </c>
      <c r="AB16">
        <f>'Team and Player Stats'!AB54</f>
        <v>0</v>
      </c>
      <c r="AC16">
        <f>'Team and Player Stats'!AC54</f>
        <v>47</v>
      </c>
      <c r="AD16">
        <f>'Team and Player Stats'!AD54</f>
        <v>0</v>
      </c>
      <c r="AE16">
        <f>'Team and Player Stats'!AE54</f>
        <v>0</v>
      </c>
      <c r="AF16">
        <f>'Team and Player Stats'!AF54</f>
        <v>0</v>
      </c>
      <c r="AG16">
        <f>'Team and Player Stats'!AG54</f>
        <v>1</v>
      </c>
      <c r="AH16">
        <f>'Team and Player Stats'!AH54</f>
        <v>0</v>
      </c>
    </row>
    <row r="17">
      <c r="A17" s="97" t="str">
        <f>'Team and Player Stats'!B33</f>
        <v>TwitchTvSnipezz</v>
      </c>
      <c r="B17" s="97" t="str">
        <f>'Team and Player Stats'!A33</f>
        <v>Truthless and the Truthlessettes</v>
      </c>
      <c r="C17" s="97">
        <f>'Team and Player Stats'!C33</f>
        <v>8</v>
      </c>
      <c r="D17" s="97">
        <f>'Team and Player Stats'!D33</f>
        <v>1</v>
      </c>
      <c r="E17" s="98">
        <f>'Team and Player Stats'!E33</f>
        <v>169.5333333</v>
      </c>
      <c r="F17" s="97">
        <f>'Team and Player Stats'!F33</f>
        <v>2</v>
      </c>
      <c r="G17" s="97">
        <f>'Team and Player Stats'!G33</f>
        <v>671</v>
      </c>
      <c r="H17" s="97">
        <f>'Team and Player Stats'!H33</f>
        <v>3</v>
      </c>
      <c r="I17" s="97">
        <f>'Team and Player Stats'!I33</f>
        <v>635</v>
      </c>
      <c r="J17" s="97">
        <f>'Team and Player Stats'!J33</f>
        <v>36</v>
      </c>
      <c r="K17" s="99">
        <f>'Team and Player Stats'!K33</f>
        <v>1.056692913</v>
      </c>
      <c r="L17" s="98">
        <f>'Team and Player Stats'!L33</f>
        <v>108</v>
      </c>
      <c r="M17" s="97">
        <f>'Team and Player Stats'!M33</f>
        <v>877</v>
      </c>
      <c r="N17" s="97">
        <f>'Team and Player Stats'!N33</f>
        <v>8</v>
      </c>
      <c r="O17" s="100">
        <f>'Team and Player Stats'!O33</f>
        <v>169.5333333</v>
      </c>
      <c r="P17" s="97">
        <f>'Team and Player Stats'!P33</f>
        <v>23</v>
      </c>
      <c r="Q17" s="97">
        <f>'Team and Player Stats'!Q33</f>
        <v>7</v>
      </c>
      <c r="R17" s="97">
        <f>'Team and Player Stats'!R33</f>
        <v>35</v>
      </c>
      <c r="S17" s="97">
        <f>'Team and Player Stats'!S33</f>
        <v>13</v>
      </c>
      <c r="T17" s="97">
        <f>'Team and Player Stats'!T33</f>
        <v>104</v>
      </c>
      <c r="U17" s="97">
        <f>'Team and Player Stats'!U33</f>
        <v>26</v>
      </c>
      <c r="V17" s="97">
        <f>'Team and Player Stats'!V33</f>
        <v>7</v>
      </c>
      <c r="W17" s="97">
        <f>'Team and Player Stats'!W33</f>
        <v>1</v>
      </c>
      <c r="X17" s="97">
        <f>'Team and Player Stats'!X33</f>
        <v>0</v>
      </c>
      <c r="Y17" s="97">
        <f>'Team and Player Stats'!Y33</f>
        <v>0</v>
      </c>
      <c r="Z17" s="97">
        <f>'Team and Player Stats'!Z33</f>
        <v>0</v>
      </c>
      <c r="AA17" s="97">
        <f>'Team and Player Stats'!AA33</f>
        <v>0</v>
      </c>
      <c r="AB17" s="97">
        <f>'Team and Player Stats'!AB33</f>
        <v>0</v>
      </c>
      <c r="AC17" s="97">
        <f>'Team and Player Stats'!AC33</f>
        <v>20</v>
      </c>
      <c r="AD17" s="97">
        <f>'Team and Player Stats'!AD33</f>
        <v>0</v>
      </c>
      <c r="AE17" s="97">
        <f>'Team and Player Stats'!AE33</f>
        <v>0</v>
      </c>
      <c r="AF17" s="97">
        <f>'Team and Player Stats'!AF33</f>
        <v>0</v>
      </c>
      <c r="AG17" s="97">
        <f>'Team and Player Stats'!AG33</f>
        <v>0</v>
      </c>
      <c r="AH17" s="97">
        <f>'Team and Player Stats'!AH33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101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102">
        <f>'Team and Player Stats'!K24</f>
        <v>1.005678233</v>
      </c>
      <c r="L18" s="101">
        <f>'Team and Player Stats'!L24</f>
        <v>302</v>
      </c>
      <c r="M18">
        <f>'Team and Player Stats'!M24</f>
        <v>1845</v>
      </c>
      <c r="N18">
        <f>'Team and Player Stats'!N24</f>
        <v>17</v>
      </c>
      <c r="O18" s="103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97" t="str">
        <f>'Team and Player Stats'!B39</f>
        <v>Ace B S1lentND1</v>
      </c>
      <c r="B19" s="97" t="str">
        <f>'Team and Player Stats'!A39</f>
        <v>On the Fence</v>
      </c>
      <c r="C19" s="97">
        <f>'Team and Player Stats'!C39</f>
        <v>14</v>
      </c>
      <c r="D19" s="97">
        <f>'Team and Player Stats'!D39</f>
        <v>3</v>
      </c>
      <c r="E19" s="98">
        <f>'Team and Player Stats'!E39</f>
        <v>285.2</v>
      </c>
      <c r="F19" s="97">
        <f>'Team and Player Stats'!F39</f>
        <v>12</v>
      </c>
      <c r="G19" s="97">
        <f>'Team and Player Stats'!G39</f>
        <v>960</v>
      </c>
      <c r="H19" s="97">
        <f>'Team and Player Stats'!H39</f>
        <v>6</v>
      </c>
      <c r="I19" s="97">
        <f>'Team and Player Stats'!I39</f>
        <v>958</v>
      </c>
      <c r="J19" s="97">
        <f>'Team and Player Stats'!J39</f>
        <v>2</v>
      </c>
      <c r="K19" s="99">
        <f>'Team and Player Stats'!K39</f>
        <v>1.002087683</v>
      </c>
      <c r="L19" s="98">
        <f>'Team and Player Stats'!L39</f>
        <v>212</v>
      </c>
      <c r="M19" s="97">
        <f>'Team and Player Stats'!M39</f>
        <v>1246</v>
      </c>
      <c r="N19" s="97">
        <f>'Team and Player Stats'!N39</f>
        <v>14</v>
      </c>
      <c r="O19" s="100">
        <f>'Team and Player Stats'!O39</f>
        <v>285.2</v>
      </c>
      <c r="P19" s="97">
        <f>'Team and Player Stats'!P39</f>
        <v>50</v>
      </c>
      <c r="Q19" s="97">
        <f>'Team and Player Stats'!Q39</f>
        <v>16</v>
      </c>
      <c r="R19" s="97">
        <f>'Team and Player Stats'!R39</f>
        <v>57</v>
      </c>
      <c r="S19" s="97">
        <f>'Team and Player Stats'!S39</f>
        <v>18</v>
      </c>
      <c r="T19" s="97">
        <f>'Team and Player Stats'!T39</f>
        <v>144</v>
      </c>
      <c r="U19" s="97">
        <f>'Team and Player Stats'!U39</f>
        <v>24</v>
      </c>
      <c r="V19" s="97">
        <f>'Team and Player Stats'!V39</f>
        <v>8</v>
      </c>
      <c r="W19" s="97">
        <f>'Team and Player Stats'!W39</f>
        <v>4</v>
      </c>
      <c r="X19" s="97">
        <f>'Team and Player Stats'!X39</f>
        <v>2</v>
      </c>
      <c r="Y19" s="97">
        <f>'Team and Player Stats'!Y39</f>
        <v>0</v>
      </c>
      <c r="Z19" s="97">
        <f>'Team and Player Stats'!Z39</f>
        <v>0</v>
      </c>
      <c r="AA19" s="97">
        <f>'Team and Player Stats'!AA39</f>
        <v>0</v>
      </c>
      <c r="AB19" s="97">
        <f>'Team and Player Stats'!AB39</f>
        <v>0</v>
      </c>
      <c r="AC19" s="97">
        <f>'Team and Player Stats'!AC39</f>
        <v>22</v>
      </c>
      <c r="AD19" s="97">
        <f>'Team and Player Stats'!AD39</f>
        <v>1</v>
      </c>
      <c r="AE19" s="97">
        <f>'Team and Player Stats'!AE39</f>
        <v>0</v>
      </c>
      <c r="AF19" s="97">
        <f>'Team and Player Stats'!AF39</f>
        <v>0</v>
      </c>
      <c r="AG19" s="97">
        <f>'Team and Player Stats'!AG39</f>
        <v>0</v>
      </c>
      <c r="AH19" s="97">
        <f>'Team and Player Stats'!AH39</f>
        <v>1</v>
      </c>
    </row>
    <row r="20">
      <c r="A20" t="str">
        <f>'Team and Player Stats'!B31</f>
        <v>Truthless IHero</v>
      </c>
      <c r="B20" t="str">
        <f>'Team and Player Stats'!A31</f>
        <v>Truthless and the Truthlessettes</v>
      </c>
      <c r="C20">
        <f>'Team and Player Stats'!C31</f>
        <v>15</v>
      </c>
      <c r="D20">
        <f>'Team and Player Stats'!D31</f>
        <v>3</v>
      </c>
      <c r="E20" s="101">
        <f>'Team and Player Stats'!E31</f>
        <v>319.1333333</v>
      </c>
      <c r="F20">
        <f>'Team and Player Stats'!F31</f>
        <v>3</v>
      </c>
      <c r="G20">
        <f>'Team and Player Stats'!G31</f>
        <v>1274</v>
      </c>
      <c r="H20">
        <f>'Team and Player Stats'!H31</f>
        <v>5</v>
      </c>
      <c r="I20">
        <f>'Team and Player Stats'!I31</f>
        <v>1274</v>
      </c>
      <c r="J20">
        <f>'Team and Player Stats'!J31</f>
        <v>0</v>
      </c>
      <c r="K20" s="102">
        <f>'Team and Player Stats'!K31</f>
        <v>1</v>
      </c>
      <c r="L20" s="101">
        <f>'Team and Player Stats'!L31</f>
        <v>185</v>
      </c>
      <c r="M20">
        <f>'Team and Player Stats'!M31</f>
        <v>1656</v>
      </c>
      <c r="N20">
        <f>'Team and Player Stats'!N31</f>
        <v>15</v>
      </c>
      <c r="O20" s="103">
        <f>'Team and Player Stats'!O31</f>
        <v>319.1333333</v>
      </c>
      <c r="P20">
        <f>'Team and Player Stats'!P31</f>
        <v>50</v>
      </c>
      <c r="Q20">
        <f>'Team and Player Stats'!Q31</f>
        <v>22</v>
      </c>
      <c r="R20">
        <f>'Team and Player Stats'!R31</f>
        <v>57</v>
      </c>
      <c r="S20">
        <f>'Team and Player Stats'!S31</f>
        <v>31</v>
      </c>
      <c r="T20">
        <f>'Team and Player Stats'!T31</f>
        <v>189</v>
      </c>
      <c r="U20">
        <f>'Team and Player Stats'!U31</f>
        <v>48</v>
      </c>
      <c r="V20">
        <f>'Team and Player Stats'!V31</f>
        <v>18</v>
      </c>
      <c r="W20">
        <f>'Team and Player Stats'!W31</f>
        <v>2</v>
      </c>
      <c r="X20">
        <f>'Team and Player Stats'!X31</f>
        <v>0</v>
      </c>
      <c r="Y20">
        <f>'Team and Player Stats'!Y31</f>
        <v>0</v>
      </c>
      <c r="Z20">
        <f>'Team and Player Stats'!Z31</f>
        <v>0</v>
      </c>
      <c r="AA20">
        <f>'Team and Player Stats'!AA31</f>
        <v>0</v>
      </c>
      <c r="AB20">
        <f>'Team and Player Stats'!AB31</f>
        <v>0</v>
      </c>
      <c r="AC20">
        <f>'Team and Player Stats'!AC31</f>
        <v>33</v>
      </c>
      <c r="AD20">
        <f>'Team and Player Stats'!AD31</f>
        <v>1</v>
      </c>
      <c r="AE20">
        <f>'Team and Player Stats'!AE31</f>
        <v>0</v>
      </c>
      <c r="AF20">
        <f>'Team and Player Stats'!AF31</f>
        <v>0</v>
      </c>
      <c r="AG20">
        <f>'Team and Player Stats'!AG31</f>
        <v>0</v>
      </c>
      <c r="AH20">
        <f>'Team and Player Stats'!AH31</f>
        <v>1</v>
      </c>
    </row>
    <row r="21">
      <c r="A21" s="97" t="str">
        <f>'Team and Player Stats'!B20</f>
        <v>PoisonxPoptart</v>
      </c>
      <c r="B21" s="97" t="str">
        <f>'Team and Player Stats'!A20</f>
        <v>Junkyard Dogs</v>
      </c>
      <c r="C21" s="97">
        <f>'Team and Player Stats'!C20</f>
        <v>16</v>
      </c>
      <c r="D21" s="97">
        <f>'Team and Player Stats'!D20</f>
        <v>6</v>
      </c>
      <c r="E21" s="98">
        <f>'Team and Player Stats'!E20</f>
        <v>490.4333333</v>
      </c>
      <c r="F21" s="97">
        <f>'Team and Player Stats'!F20</f>
        <v>5</v>
      </c>
      <c r="G21" s="97">
        <f>'Team and Player Stats'!G20</f>
        <v>1559</v>
      </c>
      <c r="H21" s="97">
        <f>'Team and Player Stats'!H20</f>
        <v>7</v>
      </c>
      <c r="I21" s="97">
        <f>'Team and Player Stats'!I20</f>
        <v>1564</v>
      </c>
      <c r="J21" s="97">
        <f>'Team and Player Stats'!J20</f>
        <v>-5</v>
      </c>
      <c r="K21" s="99">
        <f>'Team and Player Stats'!K20</f>
        <v>0.9968030691</v>
      </c>
      <c r="L21" s="98">
        <f>'Team and Player Stats'!L20</f>
        <v>283</v>
      </c>
      <c r="M21" s="97">
        <f>'Team and Player Stats'!M20</f>
        <v>1938</v>
      </c>
      <c r="N21" s="97">
        <f>'Team and Player Stats'!N20</f>
        <v>16</v>
      </c>
      <c r="O21" s="100">
        <f>'Team and Player Stats'!O20</f>
        <v>490.4333333</v>
      </c>
      <c r="P21" s="97">
        <f>'Team and Player Stats'!P20</f>
        <v>55</v>
      </c>
      <c r="Q21" s="97">
        <f>'Team and Player Stats'!Q20</f>
        <v>48</v>
      </c>
      <c r="R21" s="97">
        <f>'Team and Player Stats'!R20</f>
        <v>104</v>
      </c>
      <c r="S21" s="97">
        <f>'Team and Player Stats'!S20</f>
        <v>29</v>
      </c>
      <c r="T21" s="97">
        <f>'Team and Player Stats'!T20</f>
        <v>188</v>
      </c>
      <c r="U21" s="97">
        <f>'Team and Player Stats'!U20</f>
        <v>24</v>
      </c>
      <c r="V21" s="97">
        <f>'Team and Player Stats'!V20</f>
        <v>3</v>
      </c>
      <c r="W21" s="97">
        <f>'Team and Player Stats'!W20</f>
        <v>1</v>
      </c>
      <c r="X21" s="97">
        <f>'Team and Player Stats'!X20</f>
        <v>0</v>
      </c>
      <c r="Y21" s="97">
        <f>'Team and Player Stats'!Y20</f>
        <v>0</v>
      </c>
      <c r="Z21" s="97">
        <f>'Team and Player Stats'!Z20</f>
        <v>0</v>
      </c>
      <c r="AA21" s="97">
        <f>'Team and Player Stats'!AA20</f>
        <v>0</v>
      </c>
      <c r="AB21" s="97">
        <f>'Team and Player Stats'!AB20</f>
        <v>0</v>
      </c>
      <c r="AC21" s="97">
        <f>'Team and Player Stats'!AC20</f>
        <v>25</v>
      </c>
      <c r="AD21" s="97">
        <f>'Team and Player Stats'!AD20</f>
        <v>0</v>
      </c>
      <c r="AE21" s="97">
        <f>'Team and Player Stats'!AE20</f>
        <v>0</v>
      </c>
      <c r="AF21" s="97">
        <f>'Team and Player Stats'!AF20</f>
        <v>0</v>
      </c>
      <c r="AG21" s="97">
        <f>'Team and Player Stats'!AG20</f>
        <v>0</v>
      </c>
      <c r="AH21" s="97">
        <f>'Team and Player Stats'!AH20</f>
        <v>3</v>
      </c>
    </row>
    <row r="22">
      <c r="A22" t="str">
        <f>'Team and Player Stats'!B26</f>
        <v>oScet</v>
      </c>
      <c r="B22" t="str">
        <f>'Team and Player Stats'!A26</f>
        <v>9th Wonders</v>
      </c>
      <c r="C22">
        <f>'Team and Player Stats'!C26</f>
        <v>18</v>
      </c>
      <c r="D22">
        <f>'Team and Player Stats'!D26</f>
        <v>10</v>
      </c>
      <c r="E22" s="101">
        <f>'Team and Player Stats'!E26</f>
        <v>496.6</v>
      </c>
      <c r="F22">
        <f>'Team and Player Stats'!F26</f>
        <v>26</v>
      </c>
      <c r="G22">
        <f>'Team and Player Stats'!G26</f>
        <v>1434</v>
      </c>
      <c r="H22">
        <f>'Team and Player Stats'!H26</f>
        <v>5</v>
      </c>
      <c r="I22">
        <f>'Team and Player Stats'!I26</f>
        <v>1439</v>
      </c>
      <c r="J22">
        <f>'Team and Player Stats'!J26</f>
        <v>-5</v>
      </c>
      <c r="K22" s="102">
        <f>'Team and Player Stats'!K26</f>
        <v>0.9965253648</v>
      </c>
      <c r="L22" s="101">
        <f>'Team and Player Stats'!L26</f>
        <v>311</v>
      </c>
      <c r="M22">
        <f>'Team and Player Stats'!M26</f>
        <v>1741</v>
      </c>
      <c r="N22">
        <f>'Team and Player Stats'!N26</f>
        <v>17</v>
      </c>
      <c r="O22" s="103">
        <f>'Team and Player Stats'!O26</f>
        <v>496.6</v>
      </c>
      <c r="P22">
        <f>'Team and Player Stats'!P26</f>
        <v>74</v>
      </c>
      <c r="Q22">
        <f>'Team and Player Stats'!Q26</f>
        <v>43</v>
      </c>
      <c r="R22">
        <f>'Team and Player Stats'!R26</f>
        <v>93</v>
      </c>
      <c r="S22">
        <f>'Team and Player Stats'!S26</f>
        <v>32</v>
      </c>
      <c r="T22">
        <f>'Team and Player Stats'!T26</f>
        <v>199</v>
      </c>
      <c r="U22">
        <f>'Team and Player Stats'!U26</f>
        <v>36</v>
      </c>
      <c r="V22">
        <f>'Team and Player Stats'!V26</f>
        <v>5</v>
      </c>
      <c r="W22">
        <f>'Team and Player Stats'!W26</f>
        <v>3</v>
      </c>
      <c r="X22">
        <f>'Team and Player Stats'!X26</f>
        <v>2</v>
      </c>
      <c r="Y22">
        <f>'Team and Player Stats'!Y26</f>
        <v>2</v>
      </c>
      <c r="Z22">
        <f>'Team and Player Stats'!Z26</f>
        <v>0</v>
      </c>
      <c r="AA22">
        <f>'Team and Player Stats'!AA26</f>
        <v>0</v>
      </c>
      <c r="AB22">
        <f>'Team and Player Stats'!AB26</f>
        <v>0</v>
      </c>
      <c r="AC22">
        <f>'Team and Player Stats'!AC26</f>
        <v>28</v>
      </c>
      <c r="AD22">
        <f>'Team and Player Stats'!AD26</f>
        <v>4</v>
      </c>
      <c r="AE22">
        <f>'Team and Player Stats'!AE26</f>
        <v>0</v>
      </c>
      <c r="AF22">
        <f>'Team and Player Stats'!AF26</f>
        <v>0</v>
      </c>
      <c r="AG22">
        <f>'Team and Player Stats'!AG26</f>
        <v>2</v>
      </c>
      <c r="AH22">
        <f>'Team and Player Stats'!AH26</f>
        <v>2</v>
      </c>
    </row>
    <row r="23">
      <c r="A23" s="97" t="str">
        <f>'Team and Player Stats'!B21</f>
        <v>caleb loves you</v>
      </c>
      <c r="B23" s="97" t="str">
        <f>'Team and Player Stats'!A21</f>
        <v>Junkyard Dogs</v>
      </c>
      <c r="C23" s="97">
        <f>'Team and Player Stats'!C21</f>
        <v>2</v>
      </c>
      <c r="D23" s="97">
        <f>'Team and Player Stats'!D21</f>
        <v>0</v>
      </c>
      <c r="E23" s="98">
        <f>'Team and Player Stats'!E21</f>
        <v>36</v>
      </c>
      <c r="F23" s="97">
        <f>'Team and Player Stats'!F21</f>
        <v>0</v>
      </c>
      <c r="G23" s="97">
        <f>'Team and Player Stats'!G21</f>
        <v>109</v>
      </c>
      <c r="H23" s="97">
        <f>'Team and Player Stats'!H21</f>
        <v>0</v>
      </c>
      <c r="I23" s="97">
        <f>'Team and Player Stats'!I21</f>
        <v>115</v>
      </c>
      <c r="J23" s="97">
        <f>'Team and Player Stats'!J21</f>
        <v>-6</v>
      </c>
      <c r="K23" s="99">
        <f>'Team and Player Stats'!K21</f>
        <v>0.947826087</v>
      </c>
      <c r="L23" s="98">
        <f>'Team and Player Stats'!L21</f>
        <v>31</v>
      </c>
      <c r="M23" s="97">
        <f>'Team and Player Stats'!M21</f>
        <v>130</v>
      </c>
      <c r="N23" s="97">
        <f>'Team and Player Stats'!N21</f>
        <v>2</v>
      </c>
      <c r="O23" s="100">
        <f>'Team and Player Stats'!O21</f>
        <v>36</v>
      </c>
      <c r="P23" s="97">
        <f>'Team and Player Stats'!P21</f>
        <v>2</v>
      </c>
      <c r="Q23" s="97">
        <f>'Team and Player Stats'!Q21</f>
        <v>2</v>
      </c>
      <c r="R23" s="97">
        <f>'Team and Player Stats'!R21</f>
        <v>7</v>
      </c>
      <c r="S23" s="97">
        <f>'Team and Player Stats'!S21</f>
        <v>2</v>
      </c>
      <c r="T23" s="97">
        <f>'Team and Player Stats'!T21</f>
        <v>16</v>
      </c>
      <c r="U23" s="97">
        <f>'Team and Player Stats'!U21</f>
        <v>5</v>
      </c>
      <c r="V23" s="97">
        <f>'Team and Player Stats'!V21</f>
        <v>2</v>
      </c>
      <c r="W23" s="97">
        <f>'Team and Player Stats'!W21</f>
        <v>0</v>
      </c>
      <c r="X23" s="97">
        <f>'Team and Player Stats'!X21</f>
        <v>0</v>
      </c>
      <c r="Y23" s="97">
        <f>'Team and Player Stats'!Y21</f>
        <v>0</v>
      </c>
      <c r="Z23" s="97">
        <f>'Team and Player Stats'!Z21</f>
        <v>0</v>
      </c>
      <c r="AA23" s="97">
        <f>'Team and Player Stats'!AA21</f>
        <v>0</v>
      </c>
      <c r="AB23" s="97">
        <f>'Team and Player Stats'!AB21</f>
        <v>0</v>
      </c>
      <c r="AC23" s="97">
        <f>'Team and Player Stats'!AC21</f>
        <v>2</v>
      </c>
      <c r="AD23" s="97">
        <f>'Team and Player Stats'!AD21</f>
        <v>0</v>
      </c>
      <c r="AE23" s="97">
        <f>'Team and Player Stats'!AE21</f>
        <v>0</v>
      </c>
      <c r="AF23" s="97">
        <f>'Team and Player Stats'!AF21</f>
        <v>0</v>
      </c>
      <c r="AG23" s="97">
        <f>'Team and Player Stats'!AG21</f>
        <v>0</v>
      </c>
      <c r="AH23" s="97">
        <f>'Team and Player Stats'!AH21</f>
        <v>0</v>
      </c>
    </row>
    <row r="24">
      <c r="A24" t="str">
        <f>'Team and Player Stats'!B40</f>
        <v>Itz Rainin MenZ</v>
      </c>
      <c r="B24" t="str">
        <f>'Team and Player Stats'!A40</f>
        <v>On the Fence</v>
      </c>
      <c r="C24">
        <f>'Team and Player Stats'!C40</f>
        <v>14</v>
      </c>
      <c r="D24">
        <f>'Team and Player Stats'!D40</f>
        <v>3</v>
      </c>
      <c r="E24" s="101">
        <f>'Team and Player Stats'!E40</f>
        <v>285.2333333</v>
      </c>
      <c r="F24">
        <f>'Team and Player Stats'!F40</f>
        <v>4</v>
      </c>
      <c r="G24">
        <f>'Team and Player Stats'!G40</f>
        <v>924</v>
      </c>
      <c r="H24">
        <f>'Team and Player Stats'!H40</f>
        <v>5</v>
      </c>
      <c r="I24">
        <f>'Team and Player Stats'!I40</f>
        <v>932</v>
      </c>
      <c r="J24">
        <f>'Team and Player Stats'!J40</f>
        <v>-8</v>
      </c>
      <c r="K24" s="102">
        <f>'Team and Player Stats'!K40</f>
        <v>0.991416309</v>
      </c>
      <c r="L24" s="101">
        <f>'Team and Player Stats'!L40</f>
        <v>215</v>
      </c>
      <c r="M24">
        <f>'Team and Player Stats'!M40</f>
        <v>1188</v>
      </c>
      <c r="N24">
        <f>'Team and Player Stats'!N40</f>
        <v>14</v>
      </c>
      <c r="O24" s="103">
        <f>'Team and Player Stats'!O40</f>
        <v>285.2333333</v>
      </c>
      <c r="P24">
        <f>'Team and Player Stats'!P40</f>
        <v>43</v>
      </c>
      <c r="Q24">
        <f>'Team and Player Stats'!Q40</f>
        <v>26</v>
      </c>
      <c r="R24">
        <f>'Team and Player Stats'!R40</f>
        <v>63</v>
      </c>
      <c r="S24">
        <f>'Team and Player Stats'!S40</f>
        <v>23</v>
      </c>
      <c r="T24">
        <f>'Team and Player Stats'!T40</f>
        <v>117</v>
      </c>
      <c r="U24">
        <f>'Team and Player Stats'!U40</f>
        <v>24</v>
      </c>
      <c r="V24">
        <f>'Team and Player Stats'!V40</f>
        <v>5</v>
      </c>
      <c r="W24">
        <f>'Team and Player Stats'!W40</f>
        <v>3</v>
      </c>
      <c r="X24">
        <f>'Team and Player Stats'!X40</f>
        <v>1</v>
      </c>
      <c r="Y24">
        <f>'Team and Player Stats'!Y40</f>
        <v>0</v>
      </c>
      <c r="Z24">
        <f>'Team and Player Stats'!Z40</f>
        <v>0</v>
      </c>
      <c r="AA24">
        <f>'Team and Player Stats'!AA40</f>
        <v>0</v>
      </c>
      <c r="AB24">
        <f>'Team and Player Stats'!AB40</f>
        <v>0</v>
      </c>
      <c r="AC24">
        <f>'Team and Player Stats'!AC40</f>
        <v>18</v>
      </c>
      <c r="AD24">
        <f>'Team and Player Stats'!AD40</f>
        <v>0</v>
      </c>
      <c r="AE24">
        <f>'Team and Player Stats'!AE40</f>
        <v>0</v>
      </c>
      <c r="AF24">
        <f>'Team and Player Stats'!AF40</f>
        <v>0</v>
      </c>
      <c r="AG24">
        <f>'Team and Player Stats'!AG40</f>
        <v>1</v>
      </c>
      <c r="AH24">
        <f>'Team and Player Stats'!AH40</f>
        <v>1</v>
      </c>
    </row>
    <row r="25">
      <c r="A25" s="97" t="str">
        <f>'Team and Player Stats'!B41</f>
        <v>blim</v>
      </c>
      <c r="B25" s="97" t="str">
        <f>'Team and Player Stats'!A41</f>
        <v>On the Fence</v>
      </c>
      <c r="C25" s="97">
        <f>'Team and Player Stats'!C41</f>
        <v>13</v>
      </c>
      <c r="D25" s="97">
        <f>'Team and Player Stats'!D41</f>
        <v>2</v>
      </c>
      <c r="E25" s="98">
        <f>'Team and Player Stats'!E41</f>
        <v>271.15</v>
      </c>
      <c r="F25" s="97">
        <f>'Team and Player Stats'!F41</f>
        <v>10</v>
      </c>
      <c r="G25" s="97">
        <f>'Team and Player Stats'!G41</f>
        <v>815</v>
      </c>
      <c r="H25" s="97">
        <f>'Team and Player Stats'!H41</f>
        <v>3</v>
      </c>
      <c r="I25" s="97">
        <f>'Team and Player Stats'!I41</f>
        <v>835</v>
      </c>
      <c r="J25" s="97">
        <f>'Team and Player Stats'!J41</f>
        <v>-20</v>
      </c>
      <c r="K25" s="99">
        <f>'Team and Player Stats'!K41</f>
        <v>0.9760479042</v>
      </c>
      <c r="L25" s="98">
        <f>'Team and Player Stats'!L41</f>
        <v>222</v>
      </c>
      <c r="M25" s="97">
        <f>'Team and Player Stats'!M41</f>
        <v>1053</v>
      </c>
      <c r="N25" s="97">
        <f>'Team and Player Stats'!N41</f>
        <v>13</v>
      </c>
      <c r="O25" s="100">
        <f>'Team and Player Stats'!O41</f>
        <v>271.15</v>
      </c>
      <c r="P25" s="97">
        <f>'Team and Player Stats'!P41</f>
        <v>38</v>
      </c>
      <c r="Q25" s="97">
        <f>'Team and Player Stats'!Q41</f>
        <v>18</v>
      </c>
      <c r="R25" s="97">
        <f>'Team and Player Stats'!R41</f>
        <v>47</v>
      </c>
      <c r="S25" s="97">
        <f>'Team and Player Stats'!S41</f>
        <v>22</v>
      </c>
      <c r="T25" s="97">
        <f>'Team and Player Stats'!T41</f>
        <v>124</v>
      </c>
      <c r="U25" s="97">
        <f>'Team and Player Stats'!U41</f>
        <v>19</v>
      </c>
      <c r="V25" s="97">
        <f>'Team and Player Stats'!V41</f>
        <v>3</v>
      </c>
      <c r="W25" s="97">
        <f>'Team and Player Stats'!W41</f>
        <v>1</v>
      </c>
      <c r="X25" s="97">
        <f>'Team and Player Stats'!X41</f>
        <v>1</v>
      </c>
      <c r="Y25" s="97">
        <f>'Team and Player Stats'!Y41</f>
        <v>1</v>
      </c>
      <c r="Z25" s="97">
        <f>'Team and Player Stats'!Z41</f>
        <v>0</v>
      </c>
      <c r="AA25" s="97">
        <f>'Team and Player Stats'!AA41</f>
        <v>0</v>
      </c>
      <c r="AB25" s="97">
        <f>'Team and Player Stats'!AB41</f>
        <v>0</v>
      </c>
      <c r="AC25" s="97">
        <f>'Team and Player Stats'!AC41</f>
        <v>21</v>
      </c>
      <c r="AD25" s="97">
        <f>'Team and Player Stats'!AD41</f>
        <v>0</v>
      </c>
      <c r="AE25" s="97">
        <f>'Team and Player Stats'!AE41</f>
        <v>0</v>
      </c>
      <c r="AF25" s="97">
        <f>'Team and Player Stats'!AF41</f>
        <v>0</v>
      </c>
      <c r="AG25" s="97">
        <f>'Team and Player Stats'!AG41</f>
        <v>1</v>
      </c>
      <c r="AH25" s="97">
        <f>'Team and Player Stats'!AH41</f>
        <v>0</v>
      </c>
    </row>
    <row r="26">
      <c r="A26" t="str">
        <f>'Team and Player Stats'!B32</f>
        <v>El Diablo x230x</v>
      </c>
      <c r="B26" t="str">
        <f>'Team and Player Stats'!A32</f>
        <v>Truthless and the Truthlessettes</v>
      </c>
      <c r="C26">
        <f>'Team and Player Stats'!C32</f>
        <v>15</v>
      </c>
      <c r="D26">
        <f>'Team and Player Stats'!D32</f>
        <v>3</v>
      </c>
      <c r="E26" s="101">
        <f>'Team and Player Stats'!E32</f>
        <v>321.0166667</v>
      </c>
      <c r="F26">
        <f>'Team and Player Stats'!F32</f>
        <v>4</v>
      </c>
      <c r="G26">
        <f>'Team and Player Stats'!G32</f>
        <v>1214</v>
      </c>
      <c r="H26">
        <f>'Team and Player Stats'!H32</f>
        <v>11</v>
      </c>
      <c r="I26">
        <f>'Team and Player Stats'!I32</f>
        <v>1249</v>
      </c>
      <c r="J26">
        <f>'Team and Player Stats'!J32</f>
        <v>-35</v>
      </c>
      <c r="K26" s="102">
        <f>'Team and Player Stats'!K32</f>
        <v>0.9719775821</v>
      </c>
      <c r="L26" s="101">
        <f>'Team and Player Stats'!L32</f>
        <v>195</v>
      </c>
      <c r="M26">
        <f>'Team and Player Stats'!M32</f>
        <v>1516</v>
      </c>
      <c r="N26">
        <f>'Team and Player Stats'!N32</f>
        <v>15</v>
      </c>
      <c r="O26" s="103">
        <f>'Team and Player Stats'!O32</f>
        <v>321.0166667</v>
      </c>
      <c r="P26">
        <f>'Team and Player Stats'!P32</f>
        <v>36</v>
      </c>
      <c r="Q26">
        <f>'Team and Player Stats'!Q32</f>
        <v>24</v>
      </c>
      <c r="R26">
        <f>'Team and Player Stats'!R32</f>
        <v>88</v>
      </c>
      <c r="S26">
        <f>'Team and Player Stats'!S32</f>
        <v>20</v>
      </c>
      <c r="T26">
        <f>'Team and Player Stats'!T32</f>
        <v>157</v>
      </c>
      <c r="U26">
        <f>'Team and Player Stats'!U32</f>
        <v>30</v>
      </c>
      <c r="V26">
        <f>'Team and Player Stats'!V32</f>
        <v>10</v>
      </c>
      <c r="W26">
        <f>'Team and Player Stats'!W32</f>
        <v>3</v>
      </c>
      <c r="X26">
        <f>'Team and Player Stats'!X32</f>
        <v>1</v>
      </c>
      <c r="Y26">
        <f>'Team and Player Stats'!Y32</f>
        <v>0</v>
      </c>
      <c r="Z26">
        <f>'Team and Player Stats'!Z32</f>
        <v>0</v>
      </c>
      <c r="AA26">
        <f>'Team and Player Stats'!AA32</f>
        <v>0</v>
      </c>
      <c r="AB26">
        <f>'Team and Player Stats'!AB32</f>
        <v>0</v>
      </c>
      <c r="AC26">
        <f>'Team and Player Stats'!AC32</f>
        <v>14</v>
      </c>
      <c r="AD26">
        <f>'Team and Player Stats'!AD32</f>
        <v>0</v>
      </c>
      <c r="AE26">
        <f>'Team and Player Stats'!AE32</f>
        <v>0</v>
      </c>
      <c r="AF26">
        <f>'Team and Player Stats'!AF32</f>
        <v>0</v>
      </c>
      <c r="AG26">
        <f>'Team and Player Stats'!AG32</f>
        <v>0</v>
      </c>
      <c r="AH26">
        <f>'Team and Player Stats'!AH32</f>
        <v>0</v>
      </c>
    </row>
    <row r="27">
      <c r="A27" s="97" t="str">
        <f>'Team and Player Stats'!B6</f>
        <v>ThumpingHawk</v>
      </c>
      <c r="B27" s="97" t="str">
        <f>'Team and Player Stats'!A6</f>
        <v>Defiance</v>
      </c>
      <c r="C27" s="97">
        <f>'Team and Player Stats'!C6</f>
        <v>12</v>
      </c>
      <c r="D27" s="97">
        <f>'Team and Player Stats'!D6</f>
        <v>6</v>
      </c>
      <c r="E27" s="98">
        <f>'Team and Player Stats'!E6</f>
        <v>339</v>
      </c>
      <c r="F27" s="97">
        <f>'Team and Player Stats'!F6</f>
        <v>23</v>
      </c>
      <c r="G27" s="97">
        <f>'Team and Player Stats'!G6</f>
        <v>880</v>
      </c>
      <c r="H27" s="97">
        <f>'Team and Player Stats'!H6</f>
        <v>2</v>
      </c>
      <c r="I27" s="97">
        <f>'Team and Player Stats'!I6</f>
        <v>923</v>
      </c>
      <c r="J27" s="97">
        <f>'Team and Player Stats'!J6</f>
        <v>-43</v>
      </c>
      <c r="K27" s="99">
        <f>'Team and Player Stats'!K6</f>
        <v>0.9534127844</v>
      </c>
      <c r="L27" s="98">
        <f>'Team and Player Stats'!L6</f>
        <v>254</v>
      </c>
      <c r="M27" s="97">
        <f>'Team and Player Stats'!M6</f>
        <v>1128</v>
      </c>
      <c r="N27" s="97">
        <f>'Team and Player Stats'!N6</f>
        <v>9</v>
      </c>
      <c r="O27" s="100">
        <f>'Team and Player Stats'!O6</f>
        <v>304</v>
      </c>
      <c r="P27" s="97">
        <f>'Team and Player Stats'!P6</f>
        <v>37</v>
      </c>
      <c r="Q27" s="97">
        <f>'Team and Player Stats'!Q6</f>
        <v>18</v>
      </c>
      <c r="R27" s="97">
        <f>'Team and Player Stats'!R6</f>
        <v>49</v>
      </c>
      <c r="S27" s="97">
        <f>'Team and Player Stats'!S6</f>
        <v>24</v>
      </c>
      <c r="T27" s="97">
        <f>'Team and Player Stats'!T6</f>
        <v>93</v>
      </c>
      <c r="U27" s="97">
        <f>'Team and Player Stats'!U6</f>
        <v>11</v>
      </c>
      <c r="V27" s="97">
        <f>'Team and Player Stats'!V6</f>
        <v>3</v>
      </c>
      <c r="W27" s="97">
        <f>'Team and Player Stats'!W6</f>
        <v>0</v>
      </c>
      <c r="X27" s="97">
        <f>'Team and Player Stats'!X6</f>
        <v>0</v>
      </c>
      <c r="Y27" s="97">
        <f>'Team and Player Stats'!Y6</f>
        <v>0</v>
      </c>
      <c r="Z27" s="97">
        <f>'Team and Player Stats'!Z6</f>
        <v>0</v>
      </c>
      <c r="AA27" s="97">
        <f>'Team and Player Stats'!AA6</f>
        <v>0</v>
      </c>
      <c r="AB27" s="97">
        <f>'Team and Player Stats'!AB6</f>
        <v>0</v>
      </c>
      <c r="AC27" s="97">
        <f>'Team and Player Stats'!AC6</f>
        <v>21</v>
      </c>
      <c r="AD27" s="97">
        <f>'Team and Player Stats'!AD6</f>
        <v>1</v>
      </c>
      <c r="AE27" s="97">
        <f>'Team and Player Stats'!AE6</f>
        <v>0</v>
      </c>
      <c r="AF27" s="97">
        <f>'Team and Player Stats'!AF6</f>
        <v>0</v>
      </c>
      <c r="AG27" s="97">
        <f>'Team and Player Stats'!AG6</f>
        <v>0</v>
      </c>
      <c r="AH27" s="97">
        <f>'Team and Player Stats'!AH6</f>
        <v>0</v>
      </c>
    </row>
    <row r="28">
      <c r="A28" t="str">
        <f>'Team and Player Stats'!B7</f>
        <v>The Eastbrook</v>
      </c>
      <c r="B28" t="str">
        <f>'Team and Player Stats'!A7</f>
        <v>Defiance</v>
      </c>
      <c r="C28">
        <f>'Team and Player Stats'!C7</f>
        <v>6</v>
      </c>
      <c r="D28">
        <f>'Team and Player Stats'!D7</f>
        <v>6</v>
      </c>
      <c r="E28" s="101">
        <f>'Team and Player Stats'!E7</f>
        <v>150</v>
      </c>
      <c r="F28">
        <f>'Team and Player Stats'!F7</f>
        <v>21</v>
      </c>
      <c r="G28">
        <f>'Team and Player Stats'!G7</f>
        <v>371</v>
      </c>
      <c r="H28">
        <f>'Team and Player Stats'!H7</f>
        <v>3</v>
      </c>
      <c r="I28">
        <f>'Team and Player Stats'!I7</f>
        <v>424</v>
      </c>
      <c r="J28">
        <f>'Team and Player Stats'!J7</f>
        <v>-53</v>
      </c>
      <c r="K28" s="102">
        <f>'Team and Player Stats'!K7</f>
        <v>0.875</v>
      </c>
      <c r="L28" s="101">
        <f>'Team and Player Stats'!L7</f>
        <v>101</v>
      </c>
      <c r="M28">
        <f>'Team and Player Stats'!M7</f>
        <v>478</v>
      </c>
      <c r="N28">
        <f>'Team and Player Stats'!N7</f>
        <v>4</v>
      </c>
      <c r="O28" s="103">
        <f>'Team and Player Stats'!O7</f>
        <v>115</v>
      </c>
      <c r="P28">
        <f>'Team and Player Stats'!P7</f>
        <v>16</v>
      </c>
      <c r="Q28">
        <f>'Team and Player Stats'!Q7</f>
        <v>16</v>
      </c>
      <c r="R28">
        <f>'Team and Player Stats'!R7</f>
        <v>4</v>
      </c>
      <c r="S28">
        <f>'Team and Player Stats'!S7</f>
        <v>6</v>
      </c>
      <c r="T28">
        <f>'Team and Player Stats'!T7</f>
        <v>29</v>
      </c>
      <c r="U28">
        <f>'Team and Player Stats'!U7</f>
        <v>5</v>
      </c>
      <c r="V28">
        <f>'Team and Player Stats'!V7</f>
        <v>0</v>
      </c>
      <c r="W28">
        <f>'Team and Player Stats'!W7</f>
        <v>0</v>
      </c>
      <c r="X28">
        <f>'Team and Player Stats'!X7</f>
        <v>0</v>
      </c>
      <c r="Y28">
        <f>'Team and Player Stats'!Y7</f>
        <v>0</v>
      </c>
      <c r="Z28">
        <f>'Team and Player Stats'!Z7</f>
        <v>0</v>
      </c>
      <c r="AA28">
        <f>'Team and Player Stats'!AA7</f>
        <v>0</v>
      </c>
      <c r="AB28">
        <f>'Team and Player Stats'!AB7</f>
        <v>0</v>
      </c>
      <c r="AC28">
        <f>'Team and Player Stats'!AC7</f>
        <v>5</v>
      </c>
      <c r="AD28">
        <f>'Team and Player Stats'!AD7</f>
        <v>0</v>
      </c>
      <c r="AE28">
        <f>'Team and Player Stats'!AE7</f>
        <v>0</v>
      </c>
      <c r="AF28">
        <f>'Team and Player Stats'!AF7</f>
        <v>0</v>
      </c>
      <c r="AG28">
        <f>'Team and Player Stats'!AG7</f>
        <v>0</v>
      </c>
      <c r="AH28">
        <f>'Team and Player Stats'!AH7</f>
        <v>1</v>
      </c>
    </row>
    <row r="29">
      <c r="A29" s="97" t="str">
        <f>'Team and Player Stats'!B77</f>
        <v>MachinimistLuke</v>
      </c>
      <c r="B29" s="97" t="str">
        <f>'Team and Player Stats'!A77</f>
        <v>Mediocre at Best</v>
      </c>
      <c r="C29" s="97">
        <f>'Team and Player Stats'!C77</f>
        <v>1</v>
      </c>
      <c r="D29" s="97">
        <f>'Team and Player Stats'!D77</f>
        <v>0</v>
      </c>
      <c r="E29" s="98">
        <f>'Team and Player Stats'!E77</f>
        <v>33</v>
      </c>
      <c r="F29" s="97">
        <f>'Team and Player Stats'!F77</f>
        <v>1</v>
      </c>
      <c r="G29" s="97">
        <f>'Team and Player Stats'!G77</f>
        <v>56</v>
      </c>
      <c r="H29" s="97">
        <f>'Team and Player Stats'!H77</f>
        <v>1</v>
      </c>
      <c r="I29" s="97">
        <f>'Team and Player Stats'!I77</f>
        <v>112</v>
      </c>
      <c r="J29" s="97">
        <f>'Team and Player Stats'!J77</f>
        <v>-56</v>
      </c>
      <c r="K29" s="99">
        <f>'Team and Player Stats'!K77</f>
        <v>0.5</v>
      </c>
      <c r="L29" s="98">
        <f>'Team and Player Stats'!L77</f>
        <v>14</v>
      </c>
      <c r="M29" s="97">
        <f>'Team and Player Stats'!M77</f>
        <v>68</v>
      </c>
      <c r="N29" s="97">
        <f>'Team and Player Stats'!N77</f>
        <v>1</v>
      </c>
      <c r="O29" s="100">
        <f>'Team and Player Stats'!O77</f>
        <v>33</v>
      </c>
      <c r="P29" s="97">
        <f>'Team and Player Stats'!P77</f>
        <v>4</v>
      </c>
      <c r="Q29" s="97">
        <f>'Team and Player Stats'!Q77</f>
        <v>1</v>
      </c>
      <c r="R29" s="97">
        <f>'Team and Player Stats'!R77</f>
        <v>1</v>
      </c>
      <c r="S29" s="97">
        <f>'Team and Player Stats'!S77</f>
        <v>0</v>
      </c>
      <c r="T29" s="97">
        <f>'Team and Player Stats'!T77</f>
        <v>5</v>
      </c>
      <c r="U29" s="97">
        <f>'Team and Player Stats'!U77</f>
        <v>1</v>
      </c>
      <c r="V29" s="97">
        <f>'Team and Player Stats'!V77</f>
        <v>0</v>
      </c>
      <c r="W29" s="97">
        <f>'Team and Player Stats'!W77</f>
        <v>0</v>
      </c>
      <c r="X29" s="97">
        <f>'Team and Player Stats'!X77</f>
        <v>0</v>
      </c>
      <c r="Y29" s="97">
        <f>'Team and Player Stats'!Y77</f>
        <v>0</v>
      </c>
      <c r="Z29" s="97">
        <f>'Team and Player Stats'!Z77</f>
        <v>0</v>
      </c>
      <c r="AA29" s="97">
        <f>'Team and Player Stats'!AA77</f>
        <v>0</v>
      </c>
      <c r="AB29" s="97">
        <f>'Team and Player Stats'!AB77</f>
        <v>0</v>
      </c>
      <c r="AC29" s="97">
        <f>'Team and Player Stats'!AC77</f>
        <v>0</v>
      </c>
      <c r="AD29" s="97">
        <f>'Team and Player Stats'!AD77</f>
        <v>0</v>
      </c>
      <c r="AE29" s="97">
        <f>'Team and Player Stats'!AE77</f>
        <v>0</v>
      </c>
      <c r="AF29" s="97">
        <f>'Team and Player Stats'!AF77</f>
        <v>0</v>
      </c>
      <c r="AG29" s="97">
        <f>'Team and Player Stats'!AG77</f>
        <v>0</v>
      </c>
      <c r="AH29" s="97">
        <f>'Team and Player Stats'!AH77</f>
        <v>0</v>
      </c>
    </row>
    <row r="30">
      <c r="A30" t="str">
        <f>'Team and Player Stats'!B49</f>
        <v>Almighty Tycoon</v>
      </c>
      <c r="B30" t="str">
        <f>'Team and Player Stats'!A49</f>
        <v>Failure to Launch</v>
      </c>
      <c r="C30">
        <f>'Team and Player Stats'!C49</f>
        <v>9</v>
      </c>
      <c r="D30">
        <f>'Team and Player Stats'!D49</f>
        <v>6</v>
      </c>
      <c r="E30" s="101">
        <f>'Team and Player Stats'!E49</f>
        <v>297.3333333</v>
      </c>
      <c r="F30">
        <f>'Team and Player Stats'!F49</f>
        <v>1</v>
      </c>
      <c r="G30">
        <f>'Team and Player Stats'!G49</f>
        <v>993</v>
      </c>
      <c r="H30">
        <f>'Team and Player Stats'!H49</f>
        <v>2</v>
      </c>
      <c r="I30">
        <f>'Team and Player Stats'!I49</f>
        <v>1051</v>
      </c>
      <c r="J30">
        <f>'Team and Player Stats'!J49</f>
        <v>-58</v>
      </c>
      <c r="K30" s="102">
        <f>'Team and Player Stats'!K49</f>
        <v>0.9448144624</v>
      </c>
      <c r="L30" s="101">
        <f>'Team and Player Stats'!L49</f>
        <v>127</v>
      </c>
      <c r="M30">
        <f>'Team and Player Stats'!M49</f>
        <v>1305</v>
      </c>
      <c r="N30">
        <f>'Team and Player Stats'!N49</f>
        <v>9</v>
      </c>
      <c r="O30" s="103">
        <f>'Team and Player Stats'!O49</f>
        <v>297.3333333</v>
      </c>
      <c r="P30">
        <f>'Team and Player Stats'!P49</f>
        <v>34</v>
      </c>
      <c r="Q30">
        <f>'Team and Player Stats'!Q49</f>
        <v>28</v>
      </c>
      <c r="R30">
        <f>'Team and Player Stats'!R49</f>
        <v>81</v>
      </c>
      <c r="S30">
        <f>'Team and Player Stats'!S49</f>
        <v>18</v>
      </c>
      <c r="T30">
        <f>'Team and Player Stats'!T49</f>
        <v>141</v>
      </c>
      <c r="U30">
        <f>'Team and Player Stats'!U49</f>
        <v>33</v>
      </c>
      <c r="V30">
        <f>'Team and Player Stats'!V49</f>
        <v>13</v>
      </c>
      <c r="W30">
        <f>'Team and Player Stats'!W49</f>
        <v>4</v>
      </c>
      <c r="X30">
        <f>'Team and Player Stats'!X49</f>
        <v>1</v>
      </c>
      <c r="Y30">
        <f>'Team and Player Stats'!Y49</f>
        <v>1</v>
      </c>
      <c r="Z30">
        <f>'Team and Player Stats'!Z49</f>
        <v>1</v>
      </c>
      <c r="AA30">
        <f>'Team and Player Stats'!AA49</f>
        <v>1</v>
      </c>
      <c r="AB30">
        <f>'Team and Player Stats'!AB49</f>
        <v>0</v>
      </c>
      <c r="AC30">
        <f>'Team and Player Stats'!AC49</f>
        <v>22</v>
      </c>
      <c r="AD30">
        <f>'Team and Player Stats'!AD49</f>
        <v>1</v>
      </c>
      <c r="AE30">
        <f>'Team and Player Stats'!AE49</f>
        <v>0</v>
      </c>
      <c r="AF30">
        <f>'Team and Player Stats'!AF49</f>
        <v>0</v>
      </c>
      <c r="AG30">
        <f>'Team and Player Stats'!AG49</f>
        <v>1</v>
      </c>
      <c r="AH30">
        <f>'Team and Player Stats'!AH49</f>
        <v>0</v>
      </c>
    </row>
    <row r="31">
      <c r="A31" s="97" t="str">
        <f>'Team and Player Stats'!B34</f>
        <v>Myst The Cold</v>
      </c>
      <c r="B31" s="97" t="str">
        <f>'Team and Player Stats'!A34</f>
        <v>Truthless and the Truthlessettes</v>
      </c>
      <c r="C31" s="97">
        <f>'Team and Player Stats'!C34</f>
        <v>7</v>
      </c>
      <c r="D31" s="97">
        <f>'Team and Player Stats'!D34</f>
        <v>2</v>
      </c>
      <c r="E31" s="98">
        <f>'Team and Player Stats'!E34</f>
        <v>157.3166667</v>
      </c>
      <c r="F31" s="97">
        <f>'Team and Player Stats'!F34</f>
        <v>2</v>
      </c>
      <c r="G31" s="97">
        <f>'Team and Player Stats'!G34</f>
        <v>521</v>
      </c>
      <c r="H31" s="97">
        <f>'Team and Player Stats'!H34</f>
        <v>4</v>
      </c>
      <c r="I31" s="97">
        <f>'Team and Player Stats'!I34</f>
        <v>583</v>
      </c>
      <c r="J31" s="97">
        <f>'Team and Player Stats'!J34</f>
        <v>-62</v>
      </c>
      <c r="K31" s="99">
        <f>'Team and Player Stats'!K34</f>
        <v>0.8936535163</v>
      </c>
      <c r="L31" s="98">
        <f>'Team and Player Stats'!L34</f>
        <v>125</v>
      </c>
      <c r="M31" s="97">
        <f>'Team and Player Stats'!M34</f>
        <v>640</v>
      </c>
      <c r="N31" s="97">
        <f>'Team and Player Stats'!N34</f>
        <v>7</v>
      </c>
      <c r="O31" s="100">
        <f>'Team and Player Stats'!O34</f>
        <v>157.3166667</v>
      </c>
      <c r="P31" s="97">
        <f>'Team and Player Stats'!P34</f>
        <v>17</v>
      </c>
      <c r="Q31" s="97">
        <f>'Team and Player Stats'!Q34</f>
        <v>11</v>
      </c>
      <c r="R31" s="97">
        <f>'Team and Player Stats'!R34</f>
        <v>28</v>
      </c>
      <c r="S31" s="97">
        <f>'Team and Player Stats'!S34</f>
        <v>15</v>
      </c>
      <c r="T31" s="97">
        <f>'Team and Player Stats'!T34</f>
        <v>59</v>
      </c>
      <c r="U31" s="97">
        <f>'Team and Player Stats'!U34</f>
        <v>6</v>
      </c>
      <c r="V31" s="97">
        <f>'Team and Player Stats'!V34</f>
        <v>0</v>
      </c>
      <c r="W31" s="97">
        <f>'Team and Player Stats'!W34</f>
        <v>0</v>
      </c>
      <c r="X31" s="97">
        <f>'Team and Player Stats'!X34</f>
        <v>0</v>
      </c>
      <c r="Y31" s="97">
        <f>'Team and Player Stats'!Y34</f>
        <v>0</v>
      </c>
      <c r="Z31" s="97">
        <f>'Team and Player Stats'!Z34</f>
        <v>0</v>
      </c>
      <c r="AA31" s="97">
        <f>'Team and Player Stats'!AA34</f>
        <v>0</v>
      </c>
      <c r="AB31" s="97">
        <f>'Team and Player Stats'!AB34</f>
        <v>0</v>
      </c>
      <c r="AC31" s="97">
        <f>'Team and Player Stats'!AC34</f>
        <v>5</v>
      </c>
      <c r="AD31" s="97">
        <f>'Team and Player Stats'!AD34</f>
        <v>0</v>
      </c>
      <c r="AE31" s="97">
        <f>'Team and Player Stats'!AE34</f>
        <v>0</v>
      </c>
      <c r="AF31" s="97">
        <f>'Team and Player Stats'!AF34</f>
        <v>0</v>
      </c>
      <c r="AG31" s="97">
        <f>'Team and Player Stats'!AG34</f>
        <v>0</v>
      </c>
      <c r="AH31" s="97">
        <f>'Team and Player Stats'!AH34</f>
        <v>0</v>
      </c>
    </row>
    <row r="32">
      <c r="A32" t="str">
        <f>'Team and Player Stats'!B14</f>
        <v>DCleak</v>
      </c>
      <c r="B32" t="str">
        <f>'Team and Player Stats'!A14</f>
        <v>In MuNgO We Trust</v>
      </c>
      <c r="C32">
        <f>'Team and Player Stats'!C14</f>
        <v>1</v>
      </c>
      <c r="D32">
        <f>'Team and Player Stats'!D14</f>
        <v>0</v>
      </c>
      <c r="E32" s="101">
        <f>'Team and Player Stats'!E14</f>
        <v>42</v>
      </c>
      <c r="F32">
        <f>'Team and Player Stats'!F14</f>
        <v>1</v>
      </c>
      <c r="G32">
        <f>'Team and Player Stats'!G14</f>
        <v>124</v>
      </c>
      <c r="H32">
        <f>'Team and Player Stats'!H14</f>
        <v>0</v>
      </c>
      <c r="I32">
        <f>'Team and Player Stats'!I14</f>
        <v>187</v>
      </c>
      <c r="J32">
        <f>'Team and Player Stats'!J14</f>
        <v>-63</v>
      </c>
      <c r="K32" s="102">
        <f>'Team and Player Stats'!K14</f>
        <v>0.6631016043</v>
      </c>
      <c r="L32" s="101">
        <f>'Team and Player Stats'!L14</f>
        <v>10</v>
      </c>
      <c r="M32">
        <f>'Team and Player Stats'!M14</f>
        <v>152</v>
      </c>
      <c r="N32">
        <f>'Team and Player Stats'!N14</f>
        <v>1</v>
      </c>
      <c r="O32" s="103">
        <f>'Team and Player Stats'!O14</f>
        <v>42</v>
      </c>
      <c r="P32">
        <f>'Team and Player Stats'!P14</f>
        <v>4</v>
      </c>
      <c r="Q32">
        <f>'Team and Player Stats'!Q14</f>
        <v>0</v>
      </c>
      <c r="R32">
        <f>'Team and Player Stats'!R14</f>
        <v>5</v>
      </c>
      <c r="S32">
        <f>'Team and Player Stats'!S14</f>
        <v>5</v>
      </c>
      <c r="T32">
        <f>'Team and Player Stats'!T14</f>
        <v>14</v>
      </c>
      <c r="U32">
        <f>'Team and Player Stats'!U14</f>
        <v>2</v>
      </c>
      <c r="V32">
        <f>'Team and Player Stats'!V14</f>
        <v>0</v>
      </c>
      <c r="W32">
        <f>'Team and Player Stats'!W14</f>
        <v>0</v>
      </c>
      <c r="X32">
        <f>'Team and Player Stats'!X14</f>
        <v>0</v>
      </c>
      <c r="Y32">
        <f>'Team and Player Stats'!Y14</f>
        <v>0</v>
      </c>
      <c r="Z32">
        <f>'Team and Player Stats'!Z14</f>
        <v>0</v>
      </c>
      <c r="AA32">
        <f>'Team and Player Stats'!AA14</f>
        <v>0</v>
      </c>
      <c r="AB32">
        <f>'Team and Player Stats'!AB14</f>
        <v>0</v>
      </c>
      <c r="AC32">
        <f>'Team and Player Stats'!AC14</f>
        <v>0</v>
      </c>
      <c r="AD32">
        <f>'Team and Player Stats'!AD14</f>
        <v>0</v>
      </c>
      <c r="AE32">
        <f>'Team and Player Stats'!AE14</f>
        <v>0</v>
      </c>
      <c r="AF32">
        <f>'Team and Player Stats'!AF14</f>
        <v>0</v>
      </c>
      <c r="AG32">
        <f>'Team and Player Stats'!AG14</f>
        <v>0</v>
      </c>
      <c r="AH32">
        <f>'Team and Player Stats'!AH14</f>
        <v>0</v>
      </c>
    </row>
    <row r="33">
      <c r="A33" s="97" t="str">
        <f>'Team and Player Stats'!B12</f>
        <v>The Corn Ninja</v>
      </c>
      <c r="B33" s="97" t="str">
        <f>'Team and Player Stats'!A12</f>
        <v>In MuNgO We Trust</v>
      </c>
      <c r="C33" s="97">
        <f>'Team and Player Stats'!C12</f>
        <v>13</v>
      </c>
      <c r="D33" s="97">
        <f>'Team and Player Stats'!D12</f>
        <v>7</v>
      </c>
      <c r="E33" s="98">
        <f>'Team and Player Stats'!E12</f>
        <v>439.9666667</v>
      </c>
      <c r="F33" s="97">
        <f>'Team and Player Stats'!F12</f>
        <v>42</v>
      </c>
      <c r="G33" s="97">
        <f>'Team and Player Stats'!G12</f>
        <v>969</v>
      </c>
      <c r="H33" s="97">
        <f>'Team and Player Stats'!H12</f>
        <v>4</v>
      </c>
      <c r="I33" s="97">
        <f>'Team and Player Stats'!I12</f>
        <v>1039</v>
      </c>
      <c r="J33" s="97">
        <f>'Team and Player Stats'!J12</f>
        <v>-70</v>
      </c>
      <c r="K33" s="99">
        <f>'Team and Player Stats'!K12</f>
        <v>0.9326275265</v>
      </c>
      <c r="L33" s="98">
        <f>'Team and Player Stats'!L12</f>
        <v>295</v>
      </c>
      <c r="M33" s="97">
        <f>'Team and Player Stats'!M12</f>
        <v>1224</v>
      </c>
      <c r="N33" s="97">
        <f>'Team and Player Stats'!N12</f>
        <v>13</v>
      </c>
      <c r="O33" s="100">
        <f>'Team and Player Stats'!O12</f>
        <v>439.9666667</v>
      </c>
      <c r="P33" s="97">
        <f>'Team and Player Stats'!P12</f>
        <v>59</v>
      </c>
      <c r="Q33" s="97">
        <f>'Team and Player Stats'!Q12</f>
        <v>13</v>
      </c>
      <c r="R33" s="97">
        <f>'Team and Player Stats'!R12</f>
        <v>31</v>
      </c>
      <c r="S33" s="97">
        <f>'Team and Player Stats'!S12</f>
        <v>30</v>
      </c>
      <c r="T33" s="97">
        <f>'Team and Player Stats'!T12</f>
        <v>89</v>
      </c>
      <c r="U33" s="97">
        <f>'Team and Player Stats'!U12</f>
        <v>15</v>
      </c>
      <c r="V33" s="97">
        <f>'Team and Player Stats'!V12</f>
        <v>5</v>
      </c>
      <c r="W33" s="97">
        <f>'Team and Player Stats'!W12</f>
        <v>0</v>
      </c>
      <c r="X33" s="97">
        <f>'Team and Player Stats'!X12</f>
        <v>0</v>
      </c>
      <c r="Y33" s="97">
        <f>'Team and Player Stats'!Y12</f>
        <v>0</v>
      </c>
      <c r="Z33" s="97">
        <f>'Team and Player Stats'!Z12</f>
        <v>0</v>
      </c>
      <c r="AA33" s="97">
        <f>'Team and Player Stats'!AA12</f>
        <v>0</v>
      </c>
      <c r="AB33" s="97">
        <f>'Team and Player Stats'!AB12</f>
        <v>0</v>
      </c>
      <c r="AC33" s="97">
        <f>'Team and Player Stats'!AC12</f>
        <v>16</v>
      </c>
      <c r="AD33" s="97">
        <f>'Team and Player Stats'!AD12</f>
        <v>0</v>
      </c>
      <c r="AE33" s="97">
        <f>'Team and Player Stats'!AE12</f>
        <v>0</v>
      </c>
      <c r="AF33" s="97">
        <f>'Team and Player Stats'!AF12</f>
        <v>0</v>
      </c>
      <c r="AG33" s="97">
        <f>'Team and Player Stats'!AG12</f>
        <v>0</v>
      </c>
      <c r="AH33" s="97">
        <f>'Team and Player Stats'!AH12</f>
        <v>0</v>
      </c>
    </row>
    <row r="34">
      <c r="A34" t="str">
        <f>'Team and Player Stats'!B61</f>
        <v>Perturbingly</v>
      </c>
      <c r="B34" t="str">
        <f>'Team and Player Stats'!A61</f>
        <v>Hypest</v>
      </c>
      <c r="C34">
        <f>'Team and Player Stats'!C61</f>
        <v>20</v>
      </c>
      <c r="D34">
        <f>'Team and Player Stats'!D61</f>
        <v>13</v>
      </c>
      <c r="E34" s="101">
        <f>'Team and Player Stats'!E61</f>
        <v>378.2666667</v>
      </c>
      <c r="F34">
        <f>'Team and Player Stats'!F61</f>
        <v>16</v>
      </c>
      <c r="G34">
        <f>'Team and Player Stats'!G61</f>
        <v>991</v>
      </c>
      <c r="H34">
        <f>'Team and Player Stats'!H61</f>
        <v>6</v>
      </c>
      <c r="I34">
        <f>'Team and Player Stats'!I61</f>
        <v>1063</v>
      </c>
      <c r="J34">
        <f>'Team and Player Stats'!J61</f>
        <v>-72</v>
      </c>
      <c r="K34" s="102">
        <f>'Team and Player Stats'!K61</f>
        <v>0.9322671684</v>
      </c>
      <c r="L34" s="101">
        <f>'Team and Player Stats'!L61</f>
        <v>348</v>
      </c>
      <c r="M34">
        <f>'Team and Player Stats'!M61</f>
        <v>1137</v>
      </c>
      <c r="N34">
        <f>'Team and Player Stats'!N61</f>
        <v>19</v>
      </c>
      <c r="O34" s="103">
        <f>'Team and Player Stats'!O61</f>
        <v>350.2666667</v>
      </c>
      <c r="P34">
        <f>'Team and Player Stats'!P61</f>
        <v>41</v>
      </c>
      <c r="Q34">
        <f>'Team and Player Stats'!Q61</f>
        <v>20</v>
      </c>
      <c r="R34">
        <f>'Team and Player Stats'!R61</f>
        <v>71</v>
      </c>
      <c r="S34">
        <f>'Team and Player Stats'!S61</f>
        <v>24</v>
      </c>
      <c r="T34">
        <f>'Team and Player Stats'!T61</f>
        <v>117</v>
      </c>
      <c r="U34">
        <f>'Team and Player Stats'!U61</f>
        <v>27</v>
      </c>
      <c r="V34">
        <f>'Team and Player Stats'!V61</f>
        <v>6</v>
      </c>
      <c r="W34">
        <f>'Team and Player Stats'!W61</f>
        <v>2</v>
      </c>
      <c r="X34">
        <f>'Team and Player Stats'!X61</f>
        <v>1</v>
      </c>
      <c r="Y34">
        <f>'Team and Player Stats'!Y61</f>
        <v>0</v>
      </c>
      <c r="Z34">
        <f>'Team and Player Stats'!Z61</f>
        <v>0</v>
      </c>
      <c r="AA34">
        <f>'Team and Player Stats'!AA61</f>
        <v>0</v>
      </c>
      <c r="AB34">
        <f>'Team and Player Stats'!AB61</f>
        <v>0</v>
      </c>
      <c r="AC34">
        <f>'Team and Player Stats'!AC61</f>
        <v>16</v>
      </c>
      <c r="AD34">
        <f>'Team and Player Stats'!AD61</f>
        <v>1</v>
      </c>
      <c r="AE34">
        <f>'Team and Player Stats'!AE61</f>
        <v>0</v>
      </c>
      <c r="AF34">
        <f>'Team and Player Stats'!AF61</f>
        <v>0</v>
      </c>
      <c r="AG34">
        <f>'Team and Player Stats'!AG61</f>
        <v>1</v>
      </c>
      <c r="AH34">
        <f>'Team and Player Stats'!AH61</f>
        <v>0</v>
      </c>
    </row>
    <row r="35">
      <c r="A35" s="97" t="str">
        <f>'Team and Player Stats'!B45</f>
        <v>Priest XYZ</v>
      </c>
      <c r="B35" s="97" t="str">
        <f>'Team and Player Stats'!A45</f>
        <v>Failure to Launch</v>
      </c>
      <c r="C35" s="97">
        <f>'Team and Player Stats'!C45</f>
        <v>17</v>
      </c>
      <c r="D35" s="97">
        <f>'Team and Player Stats'!D45</f>
        <v>10</v>
      </c>
      <c r="E35" s="98">
        <f>'Team and Player Stats'!E45</f>
        <v>487.7666667</v>
      </c>
      <c r="F35" s="97">
        <f>'Team and Player Stats'!F45</f>
        <v>49</v>
      </c>
      <c r="G35" s="97">
        <f>'Team and Player Stats'!G45</f>
        <v>971</v>
      </c>
      <c r="H35" s="97">
        <f>'Team and Player Stats'!H45</f>
        <v>9</v>
      </c>
      <c r="I35" s="97">
        <f>'Team and Player Stats'!I45</f>
        <v>1046</v>
      </c>
      <c r="J35" s="97">
        <f>'Team and Player Stats'!J45</f>
        <v>-75</v>
      </c>
      <c r="K35" s="99">
        <f>'Team and Player Stats'!K45</f>
        <v>0.9282982792</v>
      </c>
      <c r="L35" s="98">
        <f>'Team and Player Stats'!L45</f>
        <v>421</v>
      </c>
      <c r="M35" s="97">
        <f>'Team and Player Stats'!M45</f>
        <v>1248</v>
      </c>
      <c r="N35" s="97">
        <f>'Team and Player Stats'!N45</f>
        <v>17</v>
      </c>
      <c r="O35" s="100">
        <f>'Team and Player Stats'!O45</f>
        <v>487.7666667</v>
      </c>
      <c r="P35" s="97">
        <f>'Team and Player Stats'!P45</f>
        <v>48</v>
      </c>
      <c r="Q35" s="97">
        <f>'Team and Player Stats'!Q45</f>
        <v>40</v>
      </c>
      <c r="R35" s="97">
        <f>'Team and Player Stats'!R45</f>
        <v>53</v>
      </c>
      <c r="S35" s="97">
        <f>'Team and Player Stats'!S45</f>
        <v>22</v>
      </c>
      <c r="T35" s="97">
        <f>'Team and Player Stats'!T45</f>
        <v>103</v>
      </c>
      <c r="U35" s="97">
        <f>'Team and Player Stats'!U45</f>
        <v>13</v>
      </c>
      <c r="V35" s="97">
        <f>'Team and Player Stats'!V45</f>
        <v>4</v>
      </c>
      <c r="W35" s="97">
        <f>'Team and Player Stats'!W45</f>
        <v>0</v>
      </c>
      <c r="X35" s="97">
        <f>'Team and Player Stats'!X45</f>
        <v>0</v>
      </c>
      <c r="Y35" s="97">
        <f>'Team and Player Stats'!Y45</f>
        <v>0</v>
      </c>
      <c r="Z35" s="97">
        <f>'Team and Player Stats'!Z45</f>
        <v>0</v>
      </c>
      <c r="AA35" s="97">
        <f>'Team and Player Stats'!AA45</f>
        <v>0</v>
      </c>
      <c r="AB35" s="97">
        <f>'Team and Player Stats'!AB45</f>
        <v>0</v>
      </c>
      <c r="AC35" s="97">
        <f>'Team and Player Stats'!AC45</f>
        <v>17</v>
      </c>
      <c r="AD35" s="97">
        <f>'Team and Player Stats'!AD45</f>
        <v>1</v>
      </c>
      <c r="AE35" s="97">
        <f>'Team and Player Stats'!AE45</f>
        <v>0</v>
      </c>
      <c r="AF35" s="97">
        <f>'Team and Player Stats'!AF45</f>
        <v>0</v>
      </c>
      <c r="AG35" s="97">
        <f>'Team and Player Stats'!AG45</f>
        <v>0</v>
      </c>
      <c r="AH35" s="97">
        <f>'Team and Player Stats'!AH45</f>
        <v>0</v>
      </c>
    </row>
    <row r="36">
      <c r="A36" t="str">
        <f>'Team and Player Stats'!B68</f>
        <v>Liion Wiins</v>
      </c>
      <c r="B36" t="str">
        <f>'Team and Player Stats'!A68</f>
        <v>Monstars</v>
      </c>
      <c r="C36">
        <f>'Team and Player Stats'!C68</f>
        <v>20</v>
      </c>
      <c r="D36">
        <f>'Team and Player Stats'!D68</f>
        <v>16</v>
      </c>
      <c r="E36" s="101">
        <f>'Team and Player Stats'!E68</f>
        <v>378.4333333</v>
      </c>
      <c r="F36">
        <f>'Team and Player Stats'!F68</f>
        <v>3</v>
      </c>
      <c r="G36">
        <f>'Team and Player Stats'!G68</f>
        <v>1312</v>
      </c>
      <c r="H36">
        <f>'Team and Player Stats'!H68</f>
        <v>7</v>
      </c>
      <c r="I36">
        <f>'Team and Player Stats'!I68</f>
        <v>1418</v>
      </c>
      <c r="J36">
        <f>'Team and Player Stats'!J68</f>
        <v>-106</v>
      </c>
      <c r="K36" s="102">
        <f>'Team and Player Stats'!K68</f>
        <v>0.9252468265</v>
      </c>
      <c r="L36" s="101">
        <f>'Team and Player Stats'!L68</f>
        <v>264</v>
      </c>
      <c r="M36">
        <f>'Team and Player Stats'!M68</f>
        <v>1613</v>
      </c>
      <c r="N36">
        <f>'Team and Player Stats'!N68</f>
        <v>17</v>
      </c>
      <c r="O36" s="103">
        <f>'Team and Player Stats'!O68</f>
        <v>343.4333333</v>
      </c>
      <c r="P36">
        <f>'Team and Player Stats'!P68</f>
        <v>36</v>
      </c>
      <c r="Q36">
        <f>'Team and Player Stats'!Q68</f>
        <v>14</v>
      </c>
      <c r="R36">
        <f>'Team and Player Stats'!R68</f>
        <v>71</v>
      </c>
      <c r="S36">
        <f>'Team and Player Stats'!S68</f>
        <v>20</v>
      </c>
      <c r="T36">
        <f>'Team and Player Stats'!T68</f>
        <v>183</v>
      </c>
      <c r="U36">
        <f>'Team and Player Stats'!U68</f>
        <v>40</v>
      </c>
      <c r="V36">
        <f>'Team and Player Stats'!V68</f>
        <v>7</v>
      </c>
      <c r="W36">
        <f>'Team and Player Stats'!W68</f>
        <v>3</v>
      </c>
      <c r="X36">
        <f>'Team and Player Stats'!X68</f>
        <v>0</v>
      </c>
      <c r="Y36">
        <f>'Team and Player Stats'!Y68</f>
        <v>0</v>
      </c>
      <c r="Z36">
        <f>'Team and Player Stats'!Z68</f>
        <v>0</v>
      </c>
      <c r="AA36">
        <f>'Team and Player Stats'!AA68</f>
        <v>0</v>
      </c>
      <c r="AB36">
        <f>'Team and Player Stats'!AB68</f>
        <v>0</v>
      </c>
      <c r="AC36">
        <f>'Team and Player Stats'!AC68</f>
        <v>16</v>
      </c>
      <c r="AD36">
        <f>'Team and Player Stats'!AD68</f>
        <v>0</v>
      </c>
      <c r="AE36">
        <f>'Team and Player Stats'!AE68</f>
        <v>0</v>
      </c>
      <c r="AF36">
        <f>'Team and Player Stats'!AF68</f>
        <v>0</v>
      </c>
      <c r="AG36">
        <f>'Team and Player Stats'!AG68</f>
        <v>1</v>
      </c>
      <c r="AH36">
        <f>'Team and Player Stats'!AH68</f>
        <v>0</v>
      </c>
    </row>
    <row r="37">
      <c r="A37" s="97" t="str">
        <f>'Team and Player Stats'!B3</f>
        <v>Trespa5s </v>
      </c>
      <c r="B37" s="97" t="str">
        <f>'Team and Player Stats'!A3</f>
        <v>Defiance</v>
      </c>
      <c r="C37" s="97">
        <f>'Team and Player Stats'!C3</f>
        <v>14</v>
      </c>
      <c r="D37" s="97">
        <f>'Team and Player Stats'!D3</f>
        <v>8</v>
      </c>
      <c r="E37" s="98">
        <f>'Team and Player Stats'!E3</f>
        <v>419</v>
      </c>
      <c r="F37" s="97">
        <f>'Team and Player Stats'!F3</f>
        <v>4</v>
      </c>
      <c r="G37" s="97">
        <f>'Team and Player Stats'!G3</f>
        <v>1276</v>
      </c>
      <c r="H37" s="97">
        <f>'Team and Player Stats'!H3</f>
        <v>2</v>
      </c>
      <c r="I37" s="97">
        <f>'Team and Player Stats'!I3</f>
        <v>1388</v>
      </c>
      <c r="J37" s="97">
        <f>'Team and Player Stats'!J3</f>
        <v>-112</v>
      </c>
      <c r="K37" s="99">
        <f>'Team and Player Stats'!K3</f>
        <v>0.9193083573</v>
      </c>
      <c r="L37" s="98">
        <f>'Team and Player Stats'!L3</f>
        <v>239</v>
      </c>
      <c r="M37" s="97">
        <f>'Team and Player Stats'!M3</f>
        <v>1527</v>
      </c>
      <c r="N37" s="97">
        <f>'Team and Player Stats'!N3</f>
        <v>13</v>
      </c>
      <c r="O37" s="100">
        <f>'Team and Player Stats'!O3</f>
        <v>419</v>
      </c>
      <c r="P37" s="97">
        <f>'Team and Player Stats'!P3</f>
        <v>29</v>
      </c>
      <c r="Q37" s="97">
        <f>'Team and Player Stats'!Q3</f>
        <v>9</v>
      </c>
      <c r="R37" s="97">
        <f>'Team and Player Stats'!R3</f>
        <v>98</v>
      </c>
      <c r="S37" s="97">
        <f>'Team and Player Stats'!S3</f>
        <v>18</v>
      </c>
      <c r="T37" s="97">
        <f>'Team and Player Stats'!T3</f>
        <v>151</v>
      </c>
      <c r="U37" s="97">
        <f>'Team and Player Stats'!U3</f>
        <v>26</v>
      </c>
      <c r="V37" s="97">
        <f>'Team and Player Stats'!V3</f>
        <v>7</v>
      </c>
      <c r="W37" s="97">
        <f>'Team and Player Stats'!W3</f>
        <v>1</v>
      </c>
      <c r="X37" s="97">
        <f>'Team and Player Stats'!X3</f>
        <v>1</v>
      </c>
      <c r="Y37" s="97">
        <f>'Team and Player Stats'!Y3</f>
        <v>0</v>
      </c>
      <c r="Z37" s="97">
        <f>'Team and Player Stats'!Z3</f>
        <v>0</v>
      </c>
      <c r="AA37" s="97">
        <f>'Team and Player Stats'!AA3</f>
        <v>0</v>
      </c>
      <c r="AB37" s="97">
        <f>'Team and Player Stats'!AB3</f>
        <v>0</v>
      </c>
      <c r="AC37" s="97">
        <f>'Team and Player Stats'!AC3</f>
        <v>19</v>
      </c>
      <c r="AD37" s="97">
        <f>'Team and Player Stats'!AD3</f>
        <v>0</v>
      </c>
      <c r="AE37" s="97">
        <f>'Team and Player Stats'!AE3</f>
        <v>0</v>
      </c>
      <c r="AF37" s="97">
        <f>'Team and Player Stats'!AF3</f>
        <v>0</v>
      </c>
      <c r="AG37" s="97">
        <f>'Team and Player Stats'!AG3</f>
        <v>1</v>
      </c>
      <c r="AH37" s="97">
        <f>'Team and Player Stats'!AH3</f>
        <v>0</v>
      </c>
    </row>
    <row r="38">
      <c r="A38" t="str">
        <f>'Team and Player Stats'!B60</f>
        <v>Blootzy</v>
      </c>
      <c r="B38" t="str">
        <f>'Team and Player Stats'!A60</f>
        <v>Hypest</v>
      </c>
      <c r="C38">
        <f>'Team and Player Stats'!C60</f>
        <v>20</v>
      </c>
      <c r="D38">
        <f>'Team and Player Stats'!D60</f>
        <v>13</v>
      </c>
      <c r="E38" s="101">
        <f>'Team and Player Stats'!E60</f>
        <v>377.2166667</v>
      </c>
      <c r="F38">
        <f>'Team and Player Stats'!F60</f>
        <v>8</v>
      </c>
      <c r="G38">
        <f>'Team and Player Stats'!G60</f>
        <v>1417</v>
      </c>
      <c r="H38">
        <f>'Team and Player Stats'!H60</f>
        <v>12</v>
      </c>
      <c r="I38">
        <f>'Team and Player Stats'!I60</f>
        <v>1530</v>
      </c>
      <c r="J38">
        <f>'Team and Player Stats'!J60</f>
        <v>-113</v>
      </c>
      <c r="K38" s="102">
        <f>'Team and Player Stats'!K60</f>
        <v>0.9261437908</v>
      </c>
      <c r="L38" s="101">
        <f>'Team and Player Stats'!L60</f>
        <v>213</v>
      </c>
      <c r="M38">
        <f>'Team and Player Stats'!M60</f>
        <v>1682</v>
      </c>
      <c r="N38">
        <f>'Team and Player Stats'!N60</f>
        <v>19</v>
      </c>
      <c r="O38" s="103">
        <f>'Team and Player Stats'!O60</f>
        <v>349.2166667</v>
      </c>
      <c r="P38">
        <f>'Team and Player Stats'!P60</f>
        <v>57</v>
      </c>
      <c r="Q38">
        <f>'Team and Player Stats'!Q60</f>
        <v>38</v>
      </c>
      <c r="R38">
        <f>'Team and Player Stats'!R60</f>
        <v>91</v>
      </c>
      <c r="S38">
        <f>'Team and Player Stats'!S60</f>
        <v>17</v>
      </c>
      <c r="T38">
        <f>'Team and Player Stats'!T60</f>
        <v>224</v>
      </c>
      <c r="U38">
        <f>'Team and Player Stats'!U60</f>
        <v>41</v>
      </c>
      <c r="V38">
        <f>'Team and Player Stats'!V60</f>
        <v>16</v>
      </c>
      <c r="W38">
        <f>'Team and Player Stats'!W60</f>
        <v>3</v>
      </c>
      <c r="X38">
        <f>'Team and Player Stats'!X60</f>
        <v>2</v>
      </c>
      <c r="Y38">
        <f>'Team and Player Stats'!Y60</f>
        <v>2</v>
      </c>
      <c r="Z38">
        <f>'Team and Player Stats'!Z60</f>
        <v>0</v>
      </c>
      <c r="AA38">
        <f>'Team and Player Stats'!AA60</f>
        <v>0</v>
      </c>
      <c r="AB38">
        <f>'Team and Player Stats'!AB60</f>
        <v>0</v>
      </c>
      <c r="AC38">
        <f>'Team and Player Stats'!AC60</f>
        <v>19</v>
      </c>
      <c r="AD38">
        <f>'Team and Player Stats'!AD60</f>
        <v>0</v>
      </c>
      <c r="AE38">
        <f>'Team and Player Stats'!AE60</f>
        <v>0</v>
      </c>
      <c r="AF38">
        <f>'Team and Player Stats'!AF60</f>
        <v>0</v>
      </c>
      <c r="AG38">
        <f>'Team and Player Stats'!AG60</f>
        <v>1</v>
      </c>
      <c r="AH38">
        <f>'Team and Player Stats'!AH60</f>
        <v>0</v>
      </c>
    </row>
    <row r="39">
      <c r="A39" s="97" t="str">
        <f>'Team and Player Stats'!B13</f>
        <v>AtoneMilitant</v>
      </c>
      <c r="B39" s="97" t="str">
        <f>'Team and Player Stats'!A13</f>
        <v>In MuNgO We Trust</v>
      </c>
      <c r="C39" s="97">
        <f>'Team and Player Stats'!C13</f>
        <v>13</v>
      </c>
      <c r="D39" s="97">
        <f>'Team and Player Stats'!D13</f>
        <v>7</v>
      </c>
      <c r="E39" s="98">
        <f>'Team and Player Stats'!E13</f>
        <v>457.9166667</v>
      </c>
      <c r="F39" s="97">
        <f>'Team and Player Stats'!F13</f>
        <v>4</v>
      </c>
      <c r="G39" s="97">
        <f>'Team and Player Stats'!G13</f>
        <v>1481</v>
      </c>
      <c r="H39" s="97">
        <f>'Team and Player Stats'!H13</f>
        <v>12</v>
      </c>
      <c r="I39" s="97">
        <f>'Team and Player Stats'!I13</f>
        <v>1595</v>
      </c>
      <c r="J39" s="97">
        <f>'Team and Player Stats'!J13</f>
        <v>-114</v>
      </c>
      <c r="K39" s="99">
        <f>'Team and Player Stats'!K13</f>
        <v>0.9285266458</v>
      </c>
      <c r="L39" s="98">
        <f>'Team and Player Stats'!L13</f>
        <v>186</v>
      </c>
      <c r="M39" s="97">
        <f>'Team and Player Stats'!M13</f>
        <v>1871</v>
      </c>
      <c r="N39" s="97">
        <f>'Team and Player Stats'!N13</f>
        <v>13</v>
      </c>
      <c r="O39" s="100">
        <f>'Team and Player Stats'!O13</f>
        <v>457.9166667</v>
      </c>
      <c r="P39" s="97">
        <f>'Team and Player Stats'!P13</f>
        <v>42</v>
      </c>
      <c r="Q39" s="97">
        <f>'Team and Player Stats'!Q13</f>
        <v>27</v>
      </c>
      <c r="R39" s="97">
        <f>'Team and Player Stats'!R13</f>
        <v>137</v>
      </c>
      <c r="S39" s="97">
        <f>'Team and Player Stats'!S13</f>
        <v>31</v>
      </c>
      <c r="T39" s="97">
        <f>'Team and Player Stats'!T13</f>
        <v>206</v>
      </c>
      <c r="U39" s="97">
        <f>'Team and Player Stats'!U13</f>
        <v>33</v>
      </c>
      <c r="V39" s="97">
        <f>'Team and Player Stats'!V13</f>
        <v>8</v>
      </c>
      <c r="W39" s="97">
        <f>'Team and Player Stats'!W13</f>
        <v>3</v>
      </c>
      <c r="X39" s="97">
        <f>'Team and Player Stats'!X13</f>
        <v>1</v>
      </c>
      <c r="Y39" s="97">
        <f>'Team and Player Stats'!Y13</f>
        <v>0</v>
      </c>
      <c r="Z39" s="97">
        <f>'Team and Player Stats'!Z13</f>
        <v>0</v>
      </c>
      <c r="AA39" s="97">
        <f>'Team and Player Stats'!AA13</f>
        <v>0</v>
      </c>
      <c r="AB39" s="97">
        <f>'Team and Player Stats'!AB13</f>
        <v>0</v>
      </c>
      <c r="AC39" s="97">
        <f>'Team and Player Stats'!AC13</f>
        <v>27</v>
      </c>
      <c r="AD39" s="97">
        <f>'Team and Player Stats'!AD13</f>
        <v>0</v>
      </c>
      <c r="AE39" s="97">
        <f>'Team and Player Stats'!AE13</f>
        <v>0</v>
      </c>
      <c r="AF39" s="97">
        <f>'Team and Player Stats'!AF13</f>
        <v>0</v>
      </c>
      <c r="AG39" s="97">
        <f>'Team and Player Stats'!AG13</f>
        <v>0</v>
      </c>
      <c r="AH39" s="97">
        <f>'Team and Player Stats'!AH13</f>
        <v>0</v>
      </c>
    </row>
    <row r="40">
      <c r="A40" t="str">
        <f>'Team and Player Stats'!B27</f>
        <v>x Greenthumb</v>
      </c>
      <c r="B40" t="str">
        <f>'Team and Player Stats'!A27</f>
        <v>9th Wonders</v>
      </c>
      <c r="C40">
        <f>'Team and Player Stats'!C27</f>
        <v>7</v>
      </c>
      <c r="D40">
        <f>'Team and Player Stats'!D27</f>
        <v>4</v>
      </c>
      <c r="E40" s="101">
        <f>'Team and Player Stats'!E27</f>
        <v>247.9833333</v>
      </c>
      <c r="F40">
        <f>'Team and Player Stats'!F27</f>
        <v>0</v>
      </c>
      <c r="G40">
        <f>'Team and Player Stats'!G27</f>
        <v>701</v>
      </c>
      <c r="H40">
        <f>'Team and Player Stats'!H27</f>
        <v>3</v>
      </c>
      <c r="I40">
        <f>'Team and Player Stats'!I27</f>
        <v>834</v>
      </c>
      <c r="J40">
        <f>'Team and Player Stats'!J27</f>
        <v>-133</v>
      </c>
      <c r="K40" s="102">
        <f>'Team and Player Stats'!K27</f>
        <v>0.8405275779</v>
      </c>
      <c r="L40" s="101">
        <f>'Team and Player Stats'!L27</f>
        <v>85</v>
      </c>
      <c r="M40">
        <f>'Team and Player Stats'!M27</f>
        <v>888</v>
      </c>
      <c r="N40">
        <f>'Team and Player Stats'!N27</f>
        <v>8</v>
      </c>
      <c r="O40" s="103">
        <f>'Team and Player Stats'!O27</f>
        <v>247.9833333</v>
      </c>
      <c r="P40">
        <f>'Team and Player Stats'!P27</f>
        <v>27</v>
      </c>
      <c r="Q40">
        <f>'Team and Player Stats'!Q27</f>
        <v>14</v>
      </c>
      <c r="R40">
        <f>'Team and Player Stats'!R27</f>
        <v>54</v>
      </c>
      <c r="S40">
        <f>'Team and Player Stats'!S27</f>
        <v>14</v>
      </c>
      <c r="T40">
        <f>'Team and Player Stats'!T27</f>
        <v>115</v>
      </c>
      <c r="U40">
        <f>'Team and Player Stats'!U27</f>
        <v>14</v>
      </c>
      <c r="V40">
        <f>'Team and Player Stats'!V27</f>
        <v>1</v>
      </c>
      <c r="W40">
        <f>'Team and Player Stats'!W27</f>
        <v>0</v>
      </c>
      <c r="X40">
        <f>'Team and Player Stats'!X27</f>
        <v>0</v>
      </c>
      <c r="Y40">
        <f>'Team and Player Stats'!Y27</f>
        <v>0</v>
      </c>
      <c r="Z40">
        <f>'Team and Player Stats'!Z27</f>
        <v>0</v>
      </c>
      <c r="AA40">
        <f>'Team and Player Stats'!AA27</f>
        <v>0</v>
      </c>
      <c r="AB40">
        <f>'Team and Player Stats'!AB27</f>
        <v>0</v>
      </c>
      <c r="AC40">
        <f>'Team and Player Stats'!AC27</f>
        <v>9</v>
      </c>
      <c r="AD40">
        <f>'Team and Player Stats'!AD27</f>
        <v>0</v>
      </c>
      <c r="AE40">
        <f>'Team and Player Stats'!AE27</f>
        <v>0</v>
      </c>
      <c r="AF40">
        <f>'Team and Player Stats'!AF27</f>
        <v>0</v>
      </c>
      <c r="AG40">
        <f>'Team and Player Stats'!AG27</f>
        <v>1</v>
      </c>
      <c r="AH40">
        <f>'Team and Player Stats'!AH27</f>
        <v>1</v>
      </c>
    </row>
    <row r="41">
      <c r="A41" s="97" t="str">
        <f>'Team and Player Stats'!B28</f>
        <v>Yuhxi</v>
      </c>
      <c r="B41" s="97" t="str">
        <f>'Team and Player Stats'!A28</f>
        <v>9th Wonders</v>
      </c>
      <c r="C41" s="97">
        <f>'Team and Player Stats'!C28</f>
        <v>11</v>
      </c>
      <c r="D41" s="97">
        <f>'Team and Player Stats'!D28</f>
        <v>6</v>
      </c>
      <c r="E41" s="98">
        <f>'Team and Player Stats'!E28</f>
        <v>244.3333333</v>
      </c>
      <c r="F41" s="97">
        <f>'Team and Player Stats'!F28</f>
        <v>17</v>
      </c>
      <c r="G41" s="97">
        <f>'Team and Player Stats'!G28</f>
        <v>823</v>
      </c>
      <c r="H41" s="97">
        <f>'Team and Player Stats'!H28</f>
        <v>3</v>
      </c>
      <c r="I41" s="97">
        <f>'Team and Player Stats'!I28</f>
        <v>984</v>
      </c>
      <c r="J41" s="97">
        <f>'Team and Player Stats'!J28</f>
        <v>-161</v>
      </c>
      <c r="K41" s="99">
        <f>'Team and Player Stats'!K28</f>
        <v>0.8363821138</v>
      </c>
      <c r="L41" s="98">
        <f>'Team and Player Stats'!L28</f>
        <v>123</v>
      </c>
      <c r="M41" s="97">
        <f>'Team and Player Stats'!M28</f>
        <v>867</v>
      </c>
      <c r="N41" s="97">
        <f>'Team and Player Stats'!N28</f>
        <v>8</v>
      </c>
      <c r="O41" s="100">
        <f>'Team and Player Stats'!O28</f>
        <v>226.3333333</v>
      </c>
      <c r="P41" s="97">
        <f>'Team and Player Stats'!P28</f>
        <v>31</v>
      </c>
      <c r="Q41" s="97">
        <f>'Team and Player Stats'!Q28</f>
        <v>9</v>
      </c>
      <c r="R41" s="97">
        <f>'Team and Player Stats'!R28</f>
        <v>30</v>
      </c>
      <c r="S41" s="97">
        <f>'Team and Player Stats'!S28</f>
        <v>14</v>
      </c>
      <c r="T41" s="97">
        <f>'Team and Player Stats'!T28</f>
        <v>104</v>
      </c>
      <c r="U41" s="97">
        <f>'Team and Player Stats'!U28</f>
        <v>31</v>
      </c>
      <c r="V41" s="97">
        <f>'Team and Player Stats'!V28</f>
        <v>6</v>
      </c>
      <c r="W41" s="97">
        <f>'Team and Player Stats'!W28</f>
        <v>3</v>
      </c>
      <c r="X41" s="97">
        <f>'Team and Player Stats'!X28</f>
        <v>0</v>
      </c>
      <c r="Y41" s="97">
        <f>'Team and Player Stats'!Y28</f>
        <v>0</v>
      </c>
      <c r="Z41" s="97">
        <f>'Team and Player Stats'!Z28</f>
        <v>0</v>
      </c>
      <c r="AA41" s="97">
        <f>'Team and Player Stats'!AA28</f>
        <v>0</v>
      </c>
      <c r="AB41" s="97">
        <f>'Team and Player Stats'!AB28</f>
        <v>0</v>
      </c>
      <c r="AC41" s="97">
        <f>'Team and Player Stats'!AC28</f>
        <v>13</v>
      </c>
      <c r="AD41" s="97">
        <f>'Team and Player Stats'!AD28</f>
        <v>0</v>
      </c>
      <c r="AE41" s="97">
        <f>'Team and Player Stats'!AE28</f>
        <v>0</v>
      </c>
      <c r="AF41" s="97">
        <f>'Team and Player Stats'!AF28</f>
        <v>0</v>
      </c>
      <c r="AG41" s="97">
        <f>'Team and Player Stats'!AG28</f>
        <v>1</v>
      </c>
      <c r="AH41" s="97">
        <f>'Team and Player Stats'!AH28</f>
        <v>0</v>
      </c>
    </row>
    <row r="42">
      <c r="A42" t="str">
        <f>'Team and Player Stats'!B52</f>
        <v>Doc Status</v>
      </c>
      <c r="B42" t="str">
        <f>'Team and Player Stats'!A52</f>
        <v>Silva's Connection</v>
      </c>
      <c r="C42">
        <f>'Team and Player Stats'!C52</f>
        <v>20</v>
      </c>
      <c r="D42">
        <f>'Team and Player Stats'!D52</f>
        <v>6</v>
      </c>
      <c r="E42" s="101">
        <f>'Team and Player Stats'!E52</f>
        <v>560.1333333</v>
      </c>
      <c r="F42">
        <f>'Team and Player Stats'!F52</f>
        <v>18</v>
      </c>
      <c r="G42">
        <f>'Team and Player Stats'!G52</f>
        <v>1680</v>
      </c>
      <c r="H42">
        <f>'Team and Player Stats'!H52</f>
        <v>9</v>
      </c>
      <c r="I42">
        <f>'Team and Player Stats'!I52</f>
        <v>1851</v>
      </c>
      <c r="J42">
        <f>'Team and Player Stats'!J52</f>
        <v>-171</v>
      </c>
      <c r="K42" s="102">
        <f>'Team and Player Stats'!K52</f>
        <v>0.9076175041</v>
      </c>
      <c r="L42" s="101">
        <f>'Team and Player Stats'!L52</f>
        <v>309</v>
      </c>
      <c r="M42">
        <f>'Team and Player Stats'!M52</f>
        <v>2097</v>
      </c>
      <c r="N42">
        <f>'Team and Player Stats'!N52</f>
        <v>20</v>
      </c>
      <c r="O42" s="103">
        <f>'Team and Player Stats'!O52</f>
        <v>560.1333333</v>
      </c>
      <c r="P42">
        <f>'Team and Player Stats'!P52</f>
        <v>73</v>
      </c>
      <c r="Q42">
        <f>'Team and Player Stats'!Q52</f>
        <v>30</v>
      </c>
      <c r="R42">
        <f>'Team and Player Stats'!R52</f>
        <v>103</v>
      </c>
      <c r="S42">
        <f>'Team and Player Stats'!S52</f>
        <v>36</v>
      </c>
      <c r="T42">
        <f>'Team and Player Stats'!T52</f>
        <v>202</v>
      </c>
      <c r="U42">
        <f>'Team and Player Stats'!U52</f>
        <v>36</v>
      </c>
      <c r="V42">
        <f>'Team and Player Stats'!V52</f>
        <v>6</v>
      </c>
      <c r="W42">
        <f>'Team and Player Stats'!W52</f>
        <v>3</v>
      </c>
      <c r="X42">
        <f>'Team and Player Stats'!X52</f>
        <v>1</v>
      </c>
      <c r="Y42">
        <f>'Team and Player Stats'!Y52</f>
        <v>0</v>
      </c>
      <c r="Z42">
        <f>'Team and Player Stats'!Z52</f>
        <v>0</v>
      </c>
      <c r="AA42">
        <f>'Team and Player Stats'!AA52</f>
        <v>0</v>
      </c>
      <c r="AB42">
        <f>'Team and Player Stats'!AB52</f>
        <v>0</v>
      </c>
      <c r="AC42">
        <f>'Team and Player Stats'!AC52</f>
        <v>26</v>
      </c>
      <c r="AD42">
        <f>'Team and Player Stats'!AD52</f>
        <v>1</v>
      </c>
      <c r="AE42">
        <f>'Team and Player Stats'!AE52</f>
        <v>0</v>
      </c>
      <c r="AF42">
        <f>'Team and Player Stats'!AF52</f>
        <v>0</v>
      </c>
      <c r="AG42">
        <f>'Team and Player Stats'!AG52</f>
        <v>0</v>
      </c>
      <c r="AH42">
        <f>'Team and Player Stats'!AH52</f>
        <v>4</v>
      </c>
    </row>
    <row r="43">
      <c r="A43" s="97" t="str">
        <f>'Team and Player Stats'!B74</f>
        <v>iRobot 9000</v>
      </c>
      <c r="B43" s="97" t="str">
        <f>'Team and Player Stats'!A74</f>
        <v>Mediocre at Best</v>
      </c>
      <c r="C43" s="97">
        <f>'Team and Player Stats'!C74</f>
        <v>20</v>
      </c>
      <c r="D43" s="97">
        <f>'Team and Player Stats'!D74</f>
        <v>10</v>
      </c>
      <c r="E43" s="98">
        <f>'Team and Player Stats'!E74</f>
        <v>397.55</v>
      </c>
      <c r="F43" s="97">
        <f>'Team and Player Stats'!F74</f>
        <v>61</v>
      </c>
      <c r="G43" s="97">
        <f>'Team and Player Stats'!G74</f>
        <v>978</v>
      </c>
      <c r="H43" s="97">
        <f>'Team and Player Stats'!H74</f>
        <v>4</v>
      </c>
      <c r="I43" s="97">
        <f>'Team and Player Stats'!I74</f>
        <v>1157</v>
      </c>
      <c r="J43" s="97">
        <f>'Team and Player Stats'!J74</f>
        <v>-179</v>
      </c>
      <c r="K43" s="99">
        <f>'Team and Player Stats'!K74</f>
        <v>0.8452895419</v>
      </c>
      <c r="L43" s="98">
        <f>'Team and Player Stats'!L74</f>
        <v>404</v>
      </c>
      <c r="M43" s="97">
        <f>'Team and Player Stats'!M74</f>
        <v>1278</v>
      </c>
      <c r="N43" s="97">
        <f>'Team and Player Stats'!N74</f>
        <v>20</v>
      </c>
      <c r="O43" s="100">
        <f>'Team and Player Stats'!O74</f>
        <v>397.55</v>
      </c>
      <c r="P43" s="97">
        <f>'Team and Player Stats'!P74</f>
        <v>69</v>
      </c>
      <c r="Q43" s="97">
        <f>'Team and Player Stats'!Q74</f>
        <v>18</v>
      </c>
      <c r="R43" s="97">
        <f>'Team and Player Stats'!R74</f>
        <v>35</v>
      </c>
      <c r="S43" s="97">
        <f>'Team and Player Stats'!S74</f>
        <v>34</v>
      </c>
      <c r="T43" s="97">
        <f>'Team and Player Stats'!T74</f>
        <v>110</v>
      </c>
      <c r="U43" s="97">
        <f>'Team and Player Stats'!U74</f>
        <v>14</v>
      </c>
      <c r="V43" s="97">
        <f>'Team and Player Stats'!V74</f>
        <v>3</v>
      </c>
      <c r="W43" s="97">
        <f>'Team and Player Stats'!W74</f>
        <v>1</v>
      </c>
      <c r="X43" s="97">
        <f>'Team and Player Stats'!X74</f>
        <v>0</v>
      </c>
      <c r="Y43" s="97">
        <f>'Team and Player Stats'!Y74</f>
        <v>0</v>
      </c>
      <c r="Z43" s="97">
        <f>'Team and Player Stats'!Z74</f>
        <v>0</v>
      </c>
      <c r="AA43" s="97">
        <f>'Team and Player Stats'!AA74</f>
        <v>0</v>
      </c>
      <c r="AB43" s="97">
        <f>'Team and Player Stats'!AB74</f>
        <v>0</v>
      </c>
      <c r="AC43" s="97">
        <f>'Team and Player Stats'!AC74</f>
        <v>13</v>
      </c>
      <c r="AD43" s="97">
        <f>'Team and Player Stats'!AD74</f>
        <v>0</v>
      </c>
      <c r="AE43" s="97">
        <f>'Team and Player Stats'!AE74</f>
        <v>0</v>
      </c>
      <c r="AF43" s="97">
        <f>'Team and Player Stats'!AF74</f>
        <v>0</v>
      </c>
      <c r="AG43" s="97">
        <f>'Team and Player Stats'!AG74</f>
        <v>0</v>
      </c>
      <c r="AH43" s="97">
        <f>'Team and Player Stats'!AH74</f>
        <v>1</v>
      </c>
    </row>
    <row r="44">
      <c r="A44" t="str">
        <f>'Team and Player Stats'!B69</f>
        <v>TITAN MAN 23</v>
      </c>
      <c r="B44" t="str">
        <f>'Team and Player Stats'!A69</f>
        <v>Monstars</v>
      </c>
      <c r="C44">
        <f>'Team and Player Stats'!C69</f>
        <v>20</v>
      </c>
      <c r="D44">
        <f>'Team and Player Stats'!D69</f>
        <v>16</v>
      </c>
      <c r="E44" s="101">
        <f>'Team and Player Stats'!E69</f>
        <v>390.5333333</v>
      </c>
      <c r="F44">
        <f>'Team and Player Stats'!F69</f>
        <v>79</v>
      </c>
      <c r="G44">
        <f>'Team and Player Stats'!G69</f>
        <v>789</v>
      </c>
      <c r="H44">
        <f>'Team and Player Stats'!H69</f>
        <v>8</v>
      </c>
      <c r="I44">
        <f>'Team and Player Stats'!I69</f>
        <v>977</v>
      </c>
      <c r="J44">
        <f>'Team and Player Stats'!J69</f>
        <v>-188</v>
      </c>
      <c r="K44" s="102">
        <f>'Team and Player Stats'!K69</f>
        <v>0.8075742068</v>
      </c>
      <c r="L44" s="101">
        <f>'Team and Player Stats'!L69</f>
        <v>423</v>
      </c>
      <c r="M44">
        <f>'Team and Player Stats'!M69</f>
        <v>1074</v>
      </c>
      <c r="N44">
        <f>'Team and Player Stats'!N69</f>
        <v>17</v>
      </c>
      <c r="O44" s="103">
        <f>'Team and Player Stats'!O69</f>
        <v>355.5333333</v>
      </c>
      <c r="P44">
        <f>'Team and Player Stats'!P69</f>
        <v>54</v>
      </c>
      <c r="Q44">
        <f>'Team and Player Stats'!Q69</f>
        <v>11</v>
      </c>
      <c r="R44">
        <f>'Team and Player Stats'!R69</f>
        <v>12</v>
      </c>
      <c r="S44">
        <f>'Team and Player Stats'!S69</f>
        <v>13</v>
      </c>
      <c r="T44">
        <f>'Team and Player Stats'!T69</f>
        <v>99</v>
      </c>
      <c r="U44">
        <f>'Team and Player Stats'!U69</f>
        <v>15</v>
      </c>
      <c r="V44">
        <f>'Team and Player Stats'!V69</f>
        <v>1</v>
      </c>
      <c r="W44">
        <f>'Team and Player Stats'!W69</f>
        <v>0</v>
      </c>
      <c r="X44">
        <f>'Team and Player Stats'!X69</f>
        <v>0</v>
      </c>
      <c r="Y44">
        <f>'Team and Player Stats'!Y69</f>
        <v>0</v>
      </c>
      <c r="Z44">
        <f>'Team and Player Stats'!Z69</f>
        <v>0</v>
      </c>
      <c r="AA44">
        <f>'Team and Player Stats'!AA69</f>
        <v>0</v>
      </c>
      <c r="AB44">
        <f>'Team and Player Stats'!AB69</f>
        <v>0</v>
      </c>
      <c r="AC44">
        <f>'Team and Player Stats'!AC69</f>
        <v>8</v>
      </c>
      <c r="AD44">
        <f>'Team and Player Stats'!AD69</f>
        <v>0</v>
      </c>
      <c r="AE44">
        <f>'Team and Player Stats'!AE69</f>
        <v>0</v>
      </c>
      <c r="AF44">
        <f>'Team and Player Stats'!AF69</f>
        <v>0</v>
      </c>
      <c r="AG44">
        <f>'Team and Player Stats'!AG69</f>
        <v>0</v>
      </c>
      <c r="AH44">
        <f>'Team and Player Stats'!AH69</f>
        <v>0</v>
      </c>
    </row>
    <row r="45">
      <c r="A45" s="97" t="str">
        <f>'Team and Player Stats'!B75</f>
        <v>LiquideNitrogen</v>
      </c>
      <c r="B45" s="97" t="str">
        <f>'Team and Player Stats'!A75</f>
        <v>Mediocre at Best</v>
      </c>
      <c r="C45" s="97">
        <f>'Team and Player Stats'!C75</f>
        <v>15</v>
      </c>
      <c r="D45" s="97">
        <f>'Team and Player Stats'!D75</f>
        <v>8</v>
      </c>
      <c r="E45" s="98">
        <f>'Team and Player Stats'!E75</f>
        <v>296.4</v>
      </c>
      <c r="F45" s="97">
        <f>'Team and Player Stats'!F75</f>
        <v>4</v>
      </c>
      <c r="G45" s="97">
        <f>'Team and Player Stats'!G75</f>
        <v>1003</v>
      </c>
      <c r="H45" s="97">
        <f>'Team and Player Stats'!H75</f>
        <v>1</v>
      </c>
      <c r="I45" s="97">
        <f>'Team and Player Stats'!I75</f>
        <v>1196</v>
      </c>
      <c r="J45" s="97">
        <f>'Team and Player Stats'!J75</f>
        <v>-193</v>
      </c>
      <c r="K45" s="99">
        <f>'Team and Player Stats'!K75</f>
        <v>0.8386287625</v>
      </c>
      <c r="L45" s="98">
        <f>'Team and Player Stats'!L75</f>
        <v>194</v>
      </c>
      <c r="M45" s="97">
        <f>'Team and Player Stats'!M75</f>
        <v>1286</v>
      </c>
      <c r="N45" s="97">
        <f>'Team and Player Stats'!N75</f>
        <v>15</v>
      </c>
      <c r="O45" s="100">
        <f>'Team and Player Stats'!O75</f>
        <v>296.4</v>
      </c>
      <c r="P45" s="97">
        <f>'Team and Player Stats'!P75</f>
        <v>47</v>
      </c>
      <c r="Q45" s="97">
        <f>'Team and Player Stats'!Q75</f>
        <v>20</v>
      </c>
      <c r="R45" s="97">
        <f>'Team and Player Stats'!R75</f>
        <v>104</v>
      </c>
      <c r="S45" s="97">
        <f>'Team and Player Stats'!S75</f>
        <v>16</v>
      </c>
      <c r="T45" s="97">
        <f>'Team and Player Stats'!T75</f>
        <v>131</v>
      </c>
      <c r="U45" s="97">
        <f>'Team and Player Stats'!U75</f>
        <v>26</v>
      </c>
      <c r="V45" s="97">
        <f>'Team and Player Stats'!V75</f>
        <v>10</v>
      </c>
      <c r="W45" s="97">
        <f>'Team and Player Stats'!W75</f>
        <v>6</v>
      </c>
      <c r="X45" s="97">
        <f>'Team and Player Stats'!X75</f>
        <v>1</v>
      </c>
      <c r="Y45" s="97">
        <f>'Team and Player Stats'!Y75</f>
        <v>1</v>
      </c>
      <c r="Z45" s="97">
        <f>'Team and Player Stats'!Z75</f>
        <v>1</v>
      </c>
      <c r="AA45" s="97">
        <f>'Team and Player Stats'!AA75</f>
        <v>0</v>
      </c>
      <c r="AB45" s="97">
        <f>'Team and Player Stats'!AB75</f>
        <v>0</v>
      </c>
      <c r="AC45" s="97">
        <f>'Team and Player Stats'!AC75</f>
        <v>12</v>
      </c>
      <c r="AD45" s="97">
        <f>'Team and Player Stats'!AD75</f>
        <v>0</v>
      </c>
      <c r="AE45" s="97">
        <f>'Team and Player Stats'!AE75</f>
        <v>0</v>
      </c>
      <c r="AF45" s="97">
        <f>'Team and Player Stats'!AF75</f>
        <v>0</v>
      </c>
      <c r="AG45" s="97">
        <f>'Team and Player Stats'!AG75</f>
        <v>4</v>
      </c>
      <c r="AH45" s="97">
        <f>'Team and Player Stats'!AH75</f>
        <v>0</v>
      </c>
    </row>
    <row r="46">
      <c r="A46" t="str">
        <f>'Team and Player Stats'!B76</f>
        <v>MsMeowlla</v>
      </c>
      <c r="B46" t="str">
        <f>'Team and Player Stats'!A76</f>
        <v>Mediocre at Best</v>
      </c>
      <c r="C46">
        <f>'Team and Player Stats'!C76</f>
        <v>20</v>
      </c>
      <c r="D46">
        <f>'Team and Player Stats'!D76</f>
        <v>10</v>
      </c>
      <c r="E46" s="101">
        <f>'Team and Player Stats'!E76</f>
        <v>394.5</v>
      </c>
      <c r="F46">
        <f>'Team and Player Stats'!F76</f>
        <v>3</v>
      </c>
      <c r="G46">
        <f>'Team and Player Stats'!G76</f>
        <v>1224</v>
      </c>
      <c r="H46">
        <f>'Team and Player Stats'!H76</f>
        <v>2</v>
      </c>
      <c r="I46">
        <f>'Team and Player Stats'!I76</f>
        <v>1434</v>
      </c>
      <c r="J46">
        <f>'Team and Player Stats'!J76</f>
        <v>-210</v>
      </c>
      <c r="K46" s="102">
        <f>'Team and Player Stats'!K76</f>
        <v>0.8535564854</v>
      </c>
      <c r="L46" s="101">
        <f>'Team and Player Stats'!L76</f>
        <v>295</v>
      </c>
      <c r="M46">
        <f>'Team and Player Stats'!M76</f>
        <v>1522</v>
      </c>
      <c r="N46">
        <f>'Team and Player Stats'!N76</f>
        <v>20</v>
      </c>
      <c r="O46" s="103">
        <f>'Team and Player Stats'!O76</f>
        <v>394.5</v>
      </c>
      <c r="P46">
        <f>'Team and Player Stats'!P76</f>
        <v>30</v>
      </c>
      <c r="Q46">
        <f>'Team and Player Stats'!Q76</f>
        <v>28</v>
      </c>
      <c r="R46">
        <f>'Team and Player Stats'!R76</f>
        <v>73</v>
      </c>
      <c r="S46">
        <f>'Team and Player Stats'!S76</f>
        <v>32</v>
      </c>
      <c r="T46">
        <f>'Team and Player Stats'!T76</f>
        <v>152</v>
      </c>
      <c r="U46">
        <f>'Team and Player Stats'!U76</f>
        <v>32</v>
      </c>
      <c r="V46">
        <f>'Team and Player Stats'!V76</f>
        <v>6</v>
      </c>
      <c r="W46">
        <f>'Team and Player Stats'!W76</f>
        <v>2</v>
      </c>
      <c r="X46">
        <f>'Team and Player Stats'!X76</f>
        <v>0</v>
      </c>
      <c r="Y46">
        <f>'Team and Player Stats'!Y76</f>
        <v>0</v>
      </c>
      <c r="Z46">
        <f>'Team and Player Stats'!Z76</f>
        <v>0</v>
      </c>
      <c r="AA46">
        <f>'Team and Player Stats'!AA76</f>
        <v>0</v>
      </c>
      <c r="AB46">
        <f>'Team and Player Stats'!AB76</f>
        <v>0</v>
      </c>
      <c r="AC46">
        <f>'Team and Player Stats'!AC76</f>
        <v>20</v>
      </c>
      <c r="AD46">
        <f>'Team and Player Stats'!AD76</f>
        <v>1</v>
      </c>
      <c r="AE46">
        <f>'Team and Player Stats'!AE76</f>
        <v>0</v>
      </c>
      <c r="AF46">
        <f>'Team and Player Stats'!AF76</f>
        <v>0</v>
      </c>
      <c r="AG46">
        <f>'Team and Player Stats'!AG76</f>
        <v>1</v>
      </c>
      <c r="AH46">
        <f>'Team and Player Stats'!AH76</f>
        <v>0</v>
      </c>
    </row>
    <row r="47">
      <c r="A47" s="97" t="str">
        <f>'Team and Player Stats'!B62</f>
        <v>Melvishdon</v>
      </c>
      <c r="B47" s="97" t="str">
        <f>'Team and Player Stats'!A62</f>
        <v>Hypest</v>
      </c>
      <c r="C47" s="97">
        <f>'Team and Player Stats'!C62</f>
        <v>20</v>
      </c>
      <c r="D47" s="97">
        <f>'Team and Player Stats'!D62</f>
        <v>13</v>
      </c>
      <c r="E47" s="98">
        <f>'Team and Player Stats'!E62</f>
        <v>377.1166667</v>
      </c>
      <c r="F47" s="97">
        <f>'Team and Player Stats'!F62</f>
        <v>17</v>
      </c>
      <c r="G47" s="97">
        <f>'Team and Player Stats'!G62</f>
        <v>1210</v>
      </c>
      <c r="H47" s="97">
        <f>'Team and Player Stats'!H62</f>
        <v>6</v>
      </c>
      <c r="I47" s="97">
        <f>'Team and Player Stats'!I62</f>
        <v>1433</v>
      </c>
      <c r="J47" s="97">
        <f>'Team and Player Stats'!J62</f>
        <v>-223</v>
      </c>
      <c r="K47" s="99">
        <f>'Team and Player Stats'!K62</f>
        <v>0.8443824145</v>
      </c>
      <c r="L47" s="98">
        <f>'Team and Player Stats'!L62</f>
        <v>246</v>
      </c>
      <c r="M47" s="97">
        <f>'Team and Player Stats'!M62</f>
        <v>1441</v>
      </c>
      <c r="N47" s="97">
        <f>'Team and Player Stats'!N62</f>
        <v>19</v>
      </c>
      <c r="O47" s="100">
        <f>'Team and Player Stats'!O62</f>
        <v>349.1166667</v>
      </c>
      <c r="P47" s="97">
        <f>'Team and Player Stats'!P62</f>
        <v>58</v>
      </c>
      <c r="Q47" s="97">
        <f>'Team and Player Stats'!Q62</f>
        <v>32</v>
      </c>
      <c r="R47" s="97">
        <f>'Team and Player Stats'!R62</f>
        <v>83</v>
      </c>
      <c r="S47" s="97">
        <f>'Team and Player Stats'!S62</f>
        <v>23</v>
      </c>
      <c r="T47" s="97">
        <f>'Team and Player Stats'!T62</f>
        <v>163</v>
      </c>
      <c r="U47" s="97">
        <f>'Team and Player Stats'!U62</f>
        <v>31</v>
      </c>
      <c r="V47" s="97">
        <f>'Team and Player Stats'!V62</f>
        <v>6</v>
      </c>
      <c r="W47" s="97">
        <f>'Team and Player Stats'!W62</f>
        <v>1</v>
      </c>
      <c r="X47" s="97">
        <f>'Team and Player Stats'!X62</f>
        <v>0</v>
      </c>
      <c r="Y47" s="97">
        <f>'Team and Player Stats'!Y62</f>
        <v>0</v>
      </c>
      <c r="Z47" s="97">
        <f>'Team and Player Stats'!Z62</f>
        <v>0</v>
      </c>
      <c r="AA47" s="97">
        <f>'Team and Player Stats'!AA62</f>
        <v>0</v>
      </c>
      <c r="AB47" s="97">
        <f>'Team and Player Stats'!AB62</f>
        <v>0</v>
      </c>
      <c r="AC47" s="97">
        <f>'Team and Player Stats'!AC62</f>
        <v>17</v>
      </c>
      <c r="AD47" s="97">
        <f>'Team and Player Stats'!AD62</f>
        <v>0</v>
      </c>
      <c r="AE47" s="97">
        <f>'Team and Player Stats'!AE62</f>
        <v>0</v>
      </c>
      <c r="AF47" s="97">
        <f>'Team and Player Stats'!AF62</f>
        <v>0</v>
      </c>
      <c r="AG47" s="97">
        <f>'Team and Player Stats'!AG62</f>
        <v>0</v>
      </c>
      <c r="AH47" s="97">
        <f>'Team and Player Stats'!AH62</f>
        <v>1</v>
      </c>
    </row>
    <row r="48">
      <c r="A48" t="str">
        <f>'Team and Player Stats'!B38</f>
        <v>Juc</v>
      </c>
      <c r="B48" t="str">
        <f>'Team and Player Stats'!A38</f>
        <v>On the Fence</v>
      </c>
      <c r="C48">
        <f>'Team and Player Stats'!C38</f>
        <v>12</v>
      </c>
      <c r="D48">
        <f>'Team and Player Stats'!D38</f>
        <v>1</v>
      </c>
      <c r="E48" s="101">
        <f>'Team and Player Stats'!E38</f>
        <v>248.2666667</v>
      </c>
      <c r="F48">
        <f>'Team and Player Stats'!F38</f>
        <v>3</v>
      </c>
      <c r="G48">
        <f>'Team and Player Stats'!G38</f>
        <v>830</v>
      </c>
      <c r="H48">
        <f>'Team and Player Stats'!H38</f>
        <v>7</v>
      </c>
      <c r="I48">
        <f>'Team and Player Stats'!I38</f>
        <v>1060</v>
      </c>
      <c r="J48">
        <f>'Team and Player Stats'!J38</f>
        <v>-230</v>
      </c>
      <c r="K48" s="102">
        <f>'Team and Player Stats'!K38</f>
        <v>0.7830188679</v>
      </c>
      <c r="L48" s="101">
        <f>'Team and Player Stats'!L38</f>
        <v>130</v>
      </c>
      <c r="M48">
        <f>'Team and Player Stats'!M38</f>
        <v>1053</v>
      </c>
      <c r="N48">
        <f>'Team and Player Stats'!N38</f>
        <v>12</v>
      </c>
      <c r="O48" s="103">
        <f>'Team and Player Stats'!O38</f>
        <v>248.2666667</v>
      </c>
      <c r="P48">
        <f>'Team and Player Stats'!P38</f>
        <v>27</v>
      </c>
      <c r="Q48">
        <f>'Team and Player Stats'!Q38</f>
        <v>19</v>
      </c>
      <c r="R48">
        <f>'Team and Player Stats'!R38</f>
        <v>40</v>
      </c>
      <c r="S48">
        <f>'Team and Player Stats'!S38</f>
        <v>14</v>
      </c>
      <c r="T48">
        <f>'Team and Player Stats'!T38</f>
        <v>120</v>
      </c>
      <c r="U48">
        <f>'Team and Player Stats'!U38</f>
        <v>19</v>
      </c>
      <c r="V48">
        <f>'Team and Player Stats'!V38</f>
        <v>7</v>
      </c>
      <c r="W48">
        <f>'Team and Player Stats'!W38</f>
        <v>3</v>
      </c>
      <c r="X48">
        <f>'Team and Player Stats'!X38</f>
        <v>0</v>
      </c>
      <c r="Y48">
        <f>'Team and Player Stats'!Y38</f>
        <v>0</v>
      </c>
      <c r="Z48">
        <f>'Team and Player Stats'!Z38</f>
        <v>0</v>
      </c>
      <c r="AA48">
        <f>'Team and Player Stats'!AA38</f>
        <v>0</v>
      </c>
      <c r="AB48">
        <f>'Team and Player Stats'!AB38</f>
        <v>0</v>
      </c>
      <c r="AC48">
        <f>'Team and Player Stats'!AC38</f>
        <v>19</v>
      </c>
      <c r="AD48">
        <f>'Team and Player Stats'!AD38</f>
        <v>0</v>
      </c>
      <c r="AE48">
        <f>'Team and Player Stats'!AE38</f>
        <v>0</v>
      </c>
      <c r="AF48">
        <f>'Team and Player Stats'!AF38</f>
        <v>0</v>
      </c>
      <c r="AG48">
        <f>'Team and Player Stats'!AG38</f>
        <v>0</v>
      </c>
      <c r="AH48">
        <f>'Team and Player Stats'!AH38</f>
        <v>0</v>
      </c>
    </row>
    <row r="49">
      <c r="A49" s="97" t="str">
        <f>'Team and Player Stats'!B35</f>
        <v>Molotov Ghost</v>
      </c>
      <c r="B49" s="97" t="str">
        <f>'Team and Player Stats'!A35</f>
        <v>Truthless and the Truthlessettes</v>
      </c>
      <c r="C49" s="97">
        <f>'Team and Player Stats'!C35</f>
        <v>13</v>
      </c>
      <c r="D49" s="97">
        <f>'Team and Player Stats'!D35</f>
        <v>3</v>
      </c>
      <c r="E49" s="98">
        <f>'Team and Player Stats'!E35</f>
        <v>295.4666667</v>
      </c>
      <c r="F49" s="97">
        <f>'Team and Player Stats'!F35</f>
        <v>16</v>
      </c>
      <c r="G49" s="97">
        <f>'Team and Player Stats'!G35</f>
        <v>480</v>
      </c>
      <c r="H49" s="97">
        <f>'Team and Player Stats'!H35</f>
        <v>3</v>
      </c>
      <c r="I49" s="97">
        <f>'Team and Player Stats'!I35</f>
        <v>843</v>
      </c>
      <c r="J49" s="97">
        <f>'Team and Player Stats'!J35</f>
        <v>-363</v>
      </c>
      <c r="K49" s="99">
        <f>'Team and Player Stats'!K35</f>
        <v>0.5693950178</v>
      </c>
      <c r="L49" s="98">
        <f>'Team and Player Stats'!L35</f>
        <v>222</v>
      </c>
      <c r="M49" s="97">
        <f>'Team and Player Stats'!M35</f>
        <v>575</v>
      </c>
      <c r="N49" s="97">
        <f>'Team and Player Stats'!N35</f>
        <v>13</v>
      </c>
      <c r="O49" s="100">
        <f>'Team and Player Stats'!O35</f>
        <v>295.4666667</v>
      </c>
      <c r="P49" s="97">
        <f>'Team and Player Stats'!P35</f>
        <v>28</v>
      </c>
      <c r="Q49" s="97">
        <f>'Team and Player Stats'!Q35</f>
        <v>24</v>
      </c>
      <c r="R49" s="97">
        <f>'Team and Player Stats'!R35</f>
        <v>9</v>
      </c>
      <c r="S49" s="97">
        <f>'Team and Player Stats'!S35</f>
        <v>15</v>
      </c>
      <c r="T49" s="97">
        <f>'Team and Player Stats'!T35</f>
        <v>41</v>
      </c>
      <c r="U49" s="97">
        <f>'Team and Player Stats'!U35</f>
        <v>4</v>
      </c>
      <c r="V49" s="97">
        <f>'Team and Player Stats'!V35</f>
        <v>0</v>
      </c>
      <c r="W49" s="97">
        <f>'Team and Player Stats'!W35</f>
        <v>0</v>
      </c>
      <c r="X49" s="97">
        <f>'Team and Player Stats'!X35</f>
        <v>0</v>
      </c>
      <c r="Y49" s="97">
        <f>'Team and Player Stats'!Y35</f>
        <v>0</v>
      </c>
      <c r="Z49" s="97">
        <f>'Team and Player Stats'!Z35</f>
        <v>0</v>
      </c>
      <c r="AA49" s="97">
        <f>'Team and Player Stats'!AA35</f>
        <v>0</v>
      </c>
      <c r="AB49" s="97">
        <f>'Team and Player Stats'!AB35</f>
        <v>0</v>
      </c>
      <c r="AC49" s="97">
        <f>'Team and Player Stats'!AC35</f>
        <v>1</v>
      </c>
      <c r="AD49" s="97">
        <f>'Team and Player Stats'!AD35</f>
        <v>0</v>
      </c>
      <c r="AE49" s="97">
        <f>'Team and Player Stats'!AE35</f>
        <v>0</v>
      </c>
      <c r="AF49" s="97">
        <f>'Team and Player Stats'!AF35</f>
        <v>0</v>
      </c>
      <c r="AG49" s="97">
        <f>'Team and Player Stats'!AG35</f>
        <v>0</v>
      </c>
      <c r="AH49" s="97">
        <f>'Team and Player Stats'!AH35</f>
        <v>0</v>
      </c>
    </row>
    <row r="50">
      <c r="A50" t="str">
        <f>'Team and Player Stats'!B55</f>
        <v>xxRebs</v>
      </c>
      <c r="B50" t="str">
        <f>'Team and Player Stats'!A55</f>
        <v>Silva's Connection</v>
      </c>
      <c r="C50">
        <f>'Team and Player Stats'!C55</f>
        <v>18</v>
      </c>
      <c r="D50">
        <f>'Team and Player Stats'!D55</f>
        <v>6</v>
      </c>
      <c r="E50" s="101">
        <f>'Team and Player Stats'!E55</f>
        <v>478.9333333</v>
      </c>
      <c r="F50">
        <f>'Team and Player Stats'!F55</f>
        <v>26</v>
      </c>
      <c r="G50">
        <f>'Team and Player Stats'!G55</f>
        <v>1252</v>
      </c>
      <c r="H50">
        <f>'Team and Player Stats'!H55</f>
        <v>10</v>
      </c>
      <c r="I50">
        <f>'Team and Player Stats'!I55</f>
        <v>1709</v>
      </c>
      <c r="J50">
        <f>'Team and Player Stats'!J55</f>
        <v>-457</v>
      </c>
      <c r="K50" s="102">
        <f>'Team and Player Stats'!K55</f>
        <v>0.7325921592</v>
      </c>
      <c r="L50" s="101">
        <f>'Team and Player Stats'!L55</f>
        <v>260</v>
      </c>
      <c r="M50">
        <f>'Team and Player Stats'!M55</f>
        <v>1573</v>
      </c>
      <c r="N50">
        <f>'Team and Player Stats'!N55</f>
        <v>18</v>
      </c>
      <c r="O50" s="103">
        <f>'Team and Player Stats'!O55</f>
        <v>478.9333333</v>
      </c>
      <c r="P50">
        <f>'Team and Player Stats'!P55</f>
        <v>70</v>
      </c>
      <c r="Q50">
        <f>'Team and Player Stats'!Q55</f>
        <v>39</v>
      </c>
      <c r="R50">
        <f>'Team and Player Stats'!R55</f>
        <v>37</v>
      </c>
      <c r="S50">
        <f>'Team and Player Stats'!S55</f>
        <v>30</v>
      </c>
      <c r="T50">
        <f>'Team and Player Stats'!T55</f>
        <v>143</v>
      </c>
      <c r="U50">
        <f>'Team and Player Stats'!U55</f>
        <v>19</v>
      </c>
      <c r="V50">
        <f>'Team and Player Stats'!V55</f>
        <v>6</v>
      </c>
      <c r="W50">
        <f>'Team and Player Stats'!W55</f>
        <v>0</v>
      </c>
      <c r="X50">
        <f>'Team and Player Stats'!X55</f>
        <v>0</v>
      </c>
      <c r="Y50">
        <f>'Team and Player Stats'!Y55</f>
        <v>0</v>
      </c>
      <c r="Z50">
        <f>'Team and Player Stats'!Z55</f>
        <v>0</v>
      </c>
      <c r="AA50">
        <f>'Team and Player Stats'!AA55</f>
        <v>0</v>
      </c>
      <c r="AB50">
        <f>'Team and Player Stats'!AB55</f>
        <v>0</v>
      </c>
      <c r="AC50">
        <f>'Team and Player Stats'!AC55</f>
        <v>16</v>
      </c>
      <c r="AD50">
        <f>'Team and Player Stats'!AD55</f>
        <v>0</v>
      </c>
      <c r="AE50">
        <f>'Team and Player Stats'!AE55</f>
        <v>0</v>
      </c>
      <c r="AF50">
        <f>'Team and Player Stats'!AF55</f>
        <v>0</v>
      </c>
      <c r="AG50">
        <f>'Team and Player Stats'!AG55</f>
        <v>0</v>
      </c>
      <c r="AH50">
        <f>'Team and Player Stats'!AH55</f>
        <v>2</v>
      </c>
    </row>
    <row r="51">
      <c r="A51" s="97" t="str">
        <f>'Team and Player Stats'!B10</f>
        <v>MuNgO PuNgO</v>
      </c>
      <c r="B51" s="97" t="str">
        <f>'Team and Player Stats'!A10</f>
        <v>In MuNgO We Trust</v>
      </c>
      <c r="C51" s="97">
        <f>'Team and Player Stats'!C10</f>
        <v>12</v>
      </c>
      <c r="D51" s="97">
        <f>'Team and Player Stats'!D10</f>
        <v>7</v>
      </c>
      <c r="E51" s="98">
        <f>'Team and Player Stats'!E10</f>
        <v>392.85</v>
      </c>
      <c r="F51" s="97">
        <f>'Team and Player Stats'!F10</f>
        <v>0</v>
      </c>
      <c r="G51" s="97">
        <f>'Team and Player Stats'!G10</f>
        <v>1234</v>
      </c>
      <c r="H51" s="97">
        <f>'Team and Player Stats'!H10</f>
        <v>3</v>
      </c>
      <c r="I51" s="97">
        <f>'Team and Player Stats'!I10</f>
        <v>1718</v>
      </c>
      <c r="J51" s="97">
        <f>'Team and Player Stats'!J10</f>
        <v>-484</v>
      </c>
      <c r="K51" s="99">
        <f>'Team and Player Stats'!K10</f>
        <v>0.7182770664</v>
      </c>
      <c r="L51" s="98">
        <f>'Team and Player Stats'!L10</f>
        <v>133</v>
      </c>
      <c r="M51" s="97">
        <f>'Team and Player Stats'!M10</f>
        <v>1551</v>
      </c>
      <c r="N51" s="97">
        <f>'Team and Player Stats'!N10</f>
        <v>12</v>
      </c>
      <c r="O51" s="100">
        <f>'Team and Player Stats'!O10</f>
        <v>392.85</v>
      </c>
      <c r="P51" s="97">
        <f>'Team and Player Stats'!P10</f>
        <v>32</v>
      </c>
      <c r="Q51" s="97">
        <f>'Team and Player Stats'!Q10</f>
        <v>22</v>
      </c>
      <c r="R51" s="97">
        <f>'Team and Player Stats'!R10</f>
        <v>114</v>
      </c>
      <c r="S51" s="97">
        <f>'Team and Player Stats'!S10</f>
        <v>24</v>
      </c>
      <c r="T51" s="97">
        <f>'Team and Player Stats'!T10</f>
        <v>172</v>
      </c>
      <c r="U51" s="97">
        <f>'Team and Player Stats'!U10</f>
        <v>21</v>
      </c>
      <c r="V51" s="97">
        <f>'Team and Player Stats'!V10</f>
        <v>1</v>
      </c>
      <c r="W51" s="97">
        <f>'Team and Player Stats'!W10</f>
        <v>0</v>
      </c>
      <c r="X51" s="97">
        <f>'Team and Player Stats'!X10</f>
        <v>0</v>
      </c>
      <c r="Y51" s="97">
        <f>'Team and Player Stats'!Y10</f>
        <v>0</v>
      </c>
      <c r="Z51" s="97">
        <f>'Team and Player Stats'!Z10</f>
        <v>0</v>
      </c>
      <c r="AA51" s="97">
        <f>'Team and Player Stats'!AA10</f>
        <v>0</v>
      </c>
      <c r="AB51" s="97">
        <f>'Team and Player Stats'!AB10</f>
        <v>0</v>
      </c>
      <c r="AC51" s="97">
        <f>'Team and Player Stats'!AC10</f>
        <v>4</v>
      </c>
      <c r="AD51" s="97">
        <f>'Team and Player Stats'!AD10</f>
        <v>0</v>
      </c>
      <c r="AE51" s="97">
        <f>'Team and Player Stats'!AE10</f>
        <v>0</v>
      </c>
      <c r="AF51" s="97">
        <f>'Team and Player Stats'!AF10</f>
        <v>0</v>
      </c>
      <c r="AG51" s="97">
        <f>'Team and Player Stats'!AG10</f>
        <v>0</v>
      </c>
      <c r="AH51" s="97">
        <f>'Team and Player Stats'!AH10</f>
        <v>0</v>
      </c>
    </row>
    <row r="52">
      <c r="A52" t="str">
        <f>'Team and Player Stats'!B17</f>
        <v>nkotb4evah</v>
      </c>
      <c r="B52" t="str">
        <f>'Team and Player Stats'!A17</f>
        <v>Junkyard Dogs</v>
      </c>
      <c r="C52">
        <f>'Team and Player Stats'!C17</f>
        <v>18</v>
      </c>
      <c r="D52">
        <f>'Team and Player Stats'!D17</f>
        <v>6</v>
      </c>
      <c r="E52" s="101">
        <f>'Team and Player Stats'!E17</f>
        <v>528.05</v>
      </c>
      <c r="F52">
        <f>'Team and Player Stats'!F17</f>
        <v>41</v>
      </c>
      <c r="G52">
        <f>'Team and Player Stats'!G17</f>
        <v>1114</v>
      </c>
      <c r="H52">
        <f>'Team and Player Stats'!H17</f>
        <v>9</v>
      </c>
      <c r="I52">
        <f>'Team and Player Stats'!I17</f>
        <v>1599</v>
      </c>
      <c r="J52">
        <f>'Team and Player Stats'!J17</f>
        <v>-485</v>
      </c>
      <c r="K52" s="102">
        <f>'Team and Player Stats'!K17</f>
        <v>0.6966854284</v>
      </c>
      <c r="L52" s="101">
        <f>'Team and Player Stats'!L17</f>
        <v>330</v>
      </c>
      <c r="M52">
        <f>'Team and Player Stats'!M17</f>
        <v>1454</v>
      </c>
      <c r="N52">
        <f>'Team and Player Stats'!N17</f>
        <v>18</v>
      </c>
      <c r="O52" s="103">
        <f>'Team and Player Stats'!O17</f>
        <v>528.05</v>
      </c>
      <c r="P52">
        <f>'Team and Player Stats'!P17</f>
        <v>96</v>
      </c>
      <c r="Q52">
        <f>'Team and Player Stats'!Q17</f>
        <v>37</v>
      </c>
      <c r="R52">
        <f>'Team and Player Stats'!R17</f>
        <v>42</v>
      </c>
      <c r="S52">
        <f>'Team and Player Stats'!S17</f>
        <v>34</v>
      </c>
      <c r="T52">
        <f>'Team and Player Stats'!T17</f>
        <v>117</v>
      </c>
      <c r="U52">
        <f>'Team and Player Stats'!U17</f>
        <v>16</v>
      </c>
      <c r="V52">
        <f>'Team and Player Stats'!V17</f>
        <v>1</v>
      </c>
      <c r="W52">
        <f>'Team and Player Stats'!W17</f>
        <v>0</v>
      </c>
      <c r="X52">
        <f>'Team and Player Stats'!X17</f>
        <v>0</v>
      </c>
      <c r="Y52">
        <f>'Team and Player Stats'!Y17</f>
        <v>0</v>
      </c>
      <c r="Z52">
        <f>'Team and Player Stats'!Z17</f>
        <v>0</v>
      </c>
      <c r="AA52">
        <f>'Team and Player Stats'!AA17</f>
        <v>0</v>
      </c>
      <c r="AB52">
        <f>'Team and Player Stats'!AB17</f>
        <v>0</v>
      </c>
      <c r="AC52">
        <f>'Team and Player Stats'!AC17</f>
        <v>19</v>
      </c>
      <c r="AD52">
        <f>'Team and Player Stats'!AD17</f>
        <v>1</v>
      </c>
      <c r="AE52">
        <f>'Team and Player Stats'!AE17</f>
        <v>0</v>
      </c>
      <c r="AF52">
        <f>'Team and Player Stats'!AF17</f>
        <v>0</v>
      </c>
      <c r="AG52">
        <f>'Team and Player Stats'!AG17</f>
        <v>0</v>
      </c>
      <c r="AH52">
        <f>'Team and Player Stats'!AH17</f>
        <v>2</v>
      </c>
    </row>
    <row r="53">
      <c r="A53" s="97" t="str">
        <f>'Team and Player Stats'!B8</f>
        <v>MASTER CH3IF</v>
      </c>
      <c r="B53" s="97" t="str">
        <f>'Team and Player Stats'!A8</f>
        <v>Defiance</v>
      </c>
      <c r="C53" s="97">
        <f>'Team and Player Stats'!C8</f>
        <v>0</v>
      </c>
      <c r="D53" s="97">
        <f>'Team and Player Stats'!D8</f>
        <v>0</v>
      </c>
      <c r="E53" s="98">
        <f>'Team and Player Stats'!E8</f>
        <v>0</v>
      </c>
      <c r="F53" s="97">
        <f>'Team and Player Stats'!F8</f>
        <v>0</v>
      </c>
      <c r="G53" s="97">
        <f>'Team and Player Stats'!G8</f>
        <v>0</v>
      </c>
      <c r="H53" s="97">
        <f>'Team and Player Stats'!H8</f>
        <v>0</v>
      </c>
      <c r="I53" s="97">
        <f>'Team and Player Stats'!I8</f>
        <v>0</v>
      </c>
      <c r="J53" s="97">
        <f>'Team and Player Stats'!J8</f>
        <v>0</v>
      </c>
      <c r="K53" s="99" t="str">
        <f>'Team and Player Stats'!K8</f>
        <v>#DIV/0!</v>
      </c>
      <c r="L53" s="98">
        <f>'Team and Player Stats'!L8</f>
        <v>0</v>
      </c>
      <c r="M53" s="97">
        <f>'Team and Player Stats'!M8</f>
        <v>0</v>
      </c>
      <c r="N53" s="97">
        <f>'Team and Player Stats'!N8</f>
        <v>0</v>
      </c>
      <c r="O53" s="100">
        <f>'Team and Player Stats'!O8</f>
        <v>0</v>
      </c>
      <c r="P53" s="97">
        <f>'Team and Player Stats'!P8</f>
        <v>1</v>
      </c>
      <c r="Q53" s="97">
        <f>'Team and Player Stats'!Q8</f>
        <v>0</v>
      </c>
      <c r="R53" s="97">
        <f>'Team and Player Stats'!R8</f>
        <v>2</v>
      </c>
      <c r="S53" s="97">
        <f>'Team and Player Stats'!S8</f>
        <v>0</v>
      </c>
      <c r="T53" s="97">
        <f>'Team and Player Stats'!T8</f>
        <v>4</v>
      </c>
      <c r="U53" s="97">
        <f>'Team and Player Stats'!U8</f>
        <v>1</v>
      </c>
      <c r="V53" s="97">
        <f>'Team and Player Stats'!V8</f>
        <v>1</v>
      </c>
      <c r="W53" s="97">
        <f>'Team and Player Stats'!W8</f>
        <v>1</v>
      </c>
      <c r="X53" s="97">
        <f>'Team and Player Stats'!X8</f>
        <v>0</v>
      </c>
      <c r="Y53" s="97">
        <f>'Team and Player Stats'!Y8</f>
        <v>0</v>
      </c>
      <c r="Z53" s="97">
        <f>'Team and Player Stats'!Z8</f>
        <v>0</v>
      </c>
      <c r="AA53" s="97">
        <f>'Team and Player Stats'!AA8</f>
        <v>0</v>
      </c>
      <c r="AB53" s="97">
        <f>'Team and Player Stats'!AB8</f>
        <v>0</v>
      </c>
      <c r="AC53" s="97">
        <f>'Team and Player Stats'!AC8</f>
        <v>2</v>
      </c>
      <c r="AD53" s="97">
        <f>'Team and Player Stats'!AD8</f>
        <v>0</v>
      </c>
      <c r="AE53" s="97">
        <f>'Team and Player Stats'!AE8</f>
        <v>0</v>
      </c>
      <c r="AF53" s="97">
        <f>'Team and Player Stats'!AF8</f>
        <v>0</v>
      </c>
      <c r="AG53" s="97">
        <f>'Team and Player Stats'!AG8</f>
        <v>1</v>
      </c>
      <c r="AH53" s="97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101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102" t="str">
        <f>'Team and Player Stats'!K42</f>
        <v>#DIV/0!</v>
      </c>
      <c r="L54" s="101">
        <f>'Team and Player Stats'!L42</f>
        <v>0</v>
      </c>
      <c r="M54">
        <f>'Team and Player Stats'!M42</f>
        <v>0</v>
      </c>
      <c r="N54">
        <f>'Team and Player Stats'!N42</f>
        <v>0</v>
      </c>
      <c r="O54" s="103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97" t="str">
        <f>'Team and Player Stats'!B48</f>
        <v>THEXILEDRAGON</v>
      </c>
      <c r="B55" s="97" t="str">
        <f>'Team and Player Stats'!A48</f>
        <v>Failure to Launch</v>
      </c>
      <c r="C55" s="97">
        <f>'Team and Player Stats'!C48</f>
        <v>0</v>
      </c>
      <c r="D55" s="97">
        <f>'Team and Player Stats'!D48</f>
        <v>0</v>
      </c>
      <c r="E55" s="98">
        <f>'Team and Player Stats'!E48</f>
        <v>0</v>
      </c>
      <c r="F55" s="97">
        <f>'Team and Player Stats'!F48</f>
        <v>0</v>
      </c>
      <c r="G55" s="97">
        <f>'Team and Player Stats'!G48</f>
        <v>0</v>
      </c>
      <c r="H55" s="97">
        <f>'Team and Player Stats'!H48</f>
        <v>0</v>
      </c>
      <c r="I55" s="97">
        <f>'Team and Player Stats'!I48</f>
        <v>0</v>
      </c>
      <c r="J55" s="97">
        <f>'Team and Player Stats'!J48</f>
        <v>0</v>
      </c>
      <c r="K55" s="99" t="str">
        <f>'Team and Player Stats'!K48</f>
        <v>#DIV/0!</v>
      </c>
      <c r="L55" s="98">
        <f>'Team and Player Stats'!L48</f>
        <v>0</v>
      </c>
      <c r="M55" s="97">
        <f>'Team and Player Stats'!M48</f>
        <v>0</v>
      </c>
      <c r="N55" s="97">
        <f>'Team and Player Stats'!N48</f>
        <v>0</v>
      </c>
      <c r="O55" s="100">
        <f>'Team and Player Stats'!O48</f>
        <v>0</v>
      </c>
      <c r="P55" s="97">
        <f>'Team and Player Stats'!P48</f>
        <v>0</v>
      </c>
      <c r="Q55" s="97">
        <f>'Team and Player Stats'!Q48</f>
        <v>0</v>
      </c>
      <c r="R55" s="97">
        <f>'Team and Player Stats'!R48</f>
        <v>0</v>
      </c>
      <c r="S55" s="97">
        <f>'Team and Player Stats'!S48</f>
        <v>0</v>
      </c>
      <c r="T55" s="97">
        <f>'Team and Player Stats'!T48</f>
        <v>0</v>
      </c>
      <c r="U55" s="97">
        <f>'Team and Player Stats'!U48</f>
        <v>0</v>
      </c>
      <c r="V55" s="97">
        <f>'Team and Player Stats'!V48</f>
        <v>0</v>
      </c>
      <c r="W55" s="97">
        <f>'Team and Player Stats'!W48</f>
        <v>0</v>
      </c>
      <c r="X55" s="97">
        <f>'Team and Player Stats'!X48</f>
        <v>0</v>
      </c>
      <c r="Y55" s="97">
        <f>'Team and Player Stats'!Y48</f>
        <v>0</v>
      </c>
      <c r="Z55" s="97">
        <f>'Team and Player Stats'!Z48</f>
        <v>0</v>
      </c>
      <c r="AA55" s="97">
        <f>'Team and Player Stats'!AA48</f>
        <v>0</v>
      </c>
      <c r="AB55" s="97">
        <f>'Team and Player Stats'!AB48</f>
        <v>0</v>
      </c>
      <c r="AC55" s="97">
        <f>'Team and Player Stats'!AC48</f>
        <v>0</v>
      </c>
      <c r="AD55" s="97">
        <f>'Team and Player Stats'!AD48</f>
        <v>0</v>
      </c>
      <c r="AE55" s="97">
        <f>'Team and Player Stats'!AE48</f>
        <v>0</v>
      </c>
      <c r="AF55" s="97">
        <f>'Team and Player Stats'!AF48</f>
        <v>0</v>
      </c>
      <c r="AG55" s="97">
        <f>'Team and Player Stats'!AG48</f>
        <v>0</v>
      </c>
      <c r="AH55" s="97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101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102" t="str">
        <f>'Team and Player Stats'!K56</f>
        <v>#DIV/0!</v>
      </c>
      <c r="L56" s="101">
        <f>'Team and Player Stats'!L56</f>
        <v>0</v>
      </c>
      <c r="M56">
        <f>'Team and Player Stats'!M56</f>
        <v>0</v>
      </c>
      <c r="N56">
        <f>'Team and Player Stats'!N56</f>
        <v>0</v>
      </c>
      <c r="O56" s="103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97" t="str">
        <f>'Team and Player Stats'!B63</f>
        <v>TheNastyWithin</v>
      </c>
      <c r="B57" s="97" t="str">
        <f>'Team and Player Stats'!A63</f>
        <v>Hypest</v>
      </c>
      <c r="C57" s="97">
        <f>'Team and Player Stats'!C63</f>
        <v>0</v>
      </c>
      <c r="D57" s="97">
        <f>'Team and Player Stats'!D63</f>
        <v>0</v>
      </c>
      <c r="E57" s="98">
        <f>'Team and Player Stats'!E63</f>
        <v>0</v>
      </c>
      <c r="F57" s="97">
        <f>'Team and Player Stats'!F63</f>
        <v>0</v>
      </c>
      <c r="G57" s="97">
        <f>'Team and Player Stats'!G63</f>
        <v>0</v>
      </c>
      <c r="H57" s="97">
        <f>'Team and Player Stats'!H63</f>
        <v>0</v>
      </c>
      <c r="I57" s="97">
        <f>'Team and Player Stats'!I63</f>
        <v>0</v>
      </c>
      <c r="J57" s="97">
        <f>'Team and Player Stats'!J63</f>
        <v>0</v>
      </c>
      <c r="K57" s="99" t="str">
        <f>'Team and Player Stats'!K63</f>
        <v>#DIV/0!</v>
      </c>
      <c r="L57" s="98">
        <f>'Team and Player Stats'!L63</f>
        <v>0</v>
      </c>
      <c r="M57" s="97">
        <f>'Team and Player Stats'!M63</f>
        <v>0</v>
      </c>
      <c r="N57" s="97">
        <f>'Team and Player Stats'!N63</f>
        <v>0</v>
      </c>
      <c r="O57" s="100">
        <f>'Team and Player Stats'!O63</f>
        <v>0</v>
      </c>
      <c r="P57" s="97">
        <f>'Team and Player Stats'!P63</f>
        <v>0</v>
      </c>
      <c r="Q57" s="97">
        <f>'Team and Player Stats'!Q63</f>
        <v>0</v>
      </c>
      <c r="R57" s="97">
        <f>'Team and Player Stats'!R63</f>
        <v>0</v>
      </c>
      <c r="S57" s="97">
        <f>'Team and Player Stats'!S63</f>
        <v>0</v>
      </c>
      <c r="T57" s="97">
        <f>'Team and Player Stats'!T63</f>
        <v>0</v>
      </c>
      <c r="U57" s="97">
        <f>'Team and Player Stats'!U63</f>
        <v>0</v>
      </c>
      <c r="V57" s="97">
        <f>'Team and Player Stats'!V63</f>
        <v>0</v>
      </c>
      <c r="W57" s="97">
        <f>'Team and Player Stats'!W63</f>
        <v>0</v>
      </c>
      <c r="X57" s="97">
        <f>'Team and Player Stats'!X63</f>
        <v>0</v>
      </c>
      <c r="Y57" s="97">
        <f>'Team and Player Stats'!Y63</f>
        <v>0</v>
      </c>
      <c r="Z57" s="97">
        <f>'Team and Player Stats'!Z63</f>
        <v>0</v>
      </c>
      <c r="AA57" s="97">
        <f>'Team and Player Stats'!AA63</f>
        <v>0</v>
      </c>
      <c r="AB57" s="97">
        <f>'Team and Player Stats'!AB63</f>
        <v>0</v>
      </c>
      <c r="AC57" s="97">
        <f>'Team and Player Stats'!AC63</f>
        <v>0</v>
      </c>
      <c r="AD57" s="97">
        <f>'Team and Player Stats'!AD63</f>
        <v>0</v>
      </c>
      <c r="AE57" s="97">
        <f>'Team and Player Stats'!AE63</f>
        <v>0</v>
      </c>
      <c r="AF57" s="97">
        <f>'Team and Player Stats'!AF63</f>
        <v>0</v>
      </c>
      <c r="AG57" s="97">
        <f>'Team and Player Stats'!AG63</f>
        <v>0</v>
      </c>
      <c r="AH57" s="97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101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102" t="str">
        <f>'Team and Player Stats'!K70</f>
        <v>#DIV/0!</v>
      </c>
      <c r="L58" s="101">
        <f>'Team and Player Stats'!L70</f>
        <v>0</v>
      </c>
      <c r="M58">
        <f>'Team and Player Stats'!M70</f>
        <v>0</v>
      </c>
      <c r="N58">
        <f>'Team and Player Stats'!N70</f>
        <v>0</v>
      </c>
      <c r="O58" s="103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101"/>
      <c r="K59" s="102"/>
      <c r="L59" s="101"/>
      <c r="O59" s="103"/>
    </row>
    <row r="60">
      <c r="E60" s="101"/>
      <c r="K60" s="102"/>
      <c r="L60" s="101"/>
      <c r="O60" s="103"/>
    </row>
    <row r="61">
      <c r="E61" s="101"/>
      <c r="K61" s="102"/>
      <c r="L61" s="101"/>
      <c r="O61" s="103"/>
    </row>
    <row r="62">
      <c r="E62" s="101"/>
      <c r="K62" s="102"/>
      <c r="L62" s="101"/>
      <c r="O62" s="103"/>
    </row>
    <row r="63">
      <c r="E63" s="101"/>
      <c r="K63" s="102"/>
      <c r="L63" s="101"/>
      <c r="O63" s="103"/>
    </row>
    <row r="64">
      <c r="E64" s="101"/>
      <c r="K64" s="102"/>
      <c r="L64" s="101"/>
      <c r="O64" s="103"/>
    </row>
    <row r="65">
      <c r="E65" s="101"/>
      <c r="K65" s="102"/>
      <c r="L65" s="101"/>
      <c r="O65" s="103"/>
    </row>
    <row r="66">
      <c r="E66" s="101"/>
      <c r="K66" s="102"/>
      <c r="L66" s="101"/>
      <c r="O66" s="103"/>
    </row>
    <row r="67">
      <c r="E67" s="101"/>
      <c r="K67" s="102"/>
      <c r="L67" s="101"/>
      <c r="O67" s="103"/>
    </row>
    <row r="68">
      <c r="E68" s="101"/>
      <c r="K68" s="102"/>
      <c r="L68" s="101"/>
      <c r="O68" s="103"/>
    </row>
    <row r="69">
      <c r="E69" s="101"/>
      <c r="K69" s="102"/>
      <c r="L69" s="101"/>
      <c r="O69" s="103"/>
    </row>
    <row r="70">
      <c r="E70" s="101"/>
      <c r="K70" s="102"/>
      <c r="L70" s="101"/>
      <c r="O70" s="103"/>
    </row>
    <row r="71">
      <c r="E71" s="101"/>
      <c r="K71" s="102"/>
      <c r="L71" s="101"/>
      <c r="O71" s="103"/>
    </row>
    <row r="72">
      <c r="E72" s="101"/>
      <c r="K72" s="102"/>
      <c r="L72" s="101"/>
      <c r="O72" s="103"/>
    </row>
    <row r="73">
      <c r="E73" s="101"/>
      <c r="K73" s="102"/>
      <c r="L73" s="101"/>
      <c r="O73" s="103"/>
    </row>
    <row r="74">
      <c r="E74" s="101"/>
      <c r="K74" s="102"/>
      <c r="L74" s="101"/>
      <c r="O74" s="103"/>
    </row>
    <row r="75">
      <c r="E75" s="101"/>
      <c r="K75" s="102"/>
      <c r="L75" s="101"/>
      <c r="O75" s="103"/>
    </row>
    <row r="76">
      <c r="E76" s="101"/>
      <c r="K76" s="102"/>
      <c r="L76" s="101"/>
      <c r="O76" s="103"/>
    </row>
    <row r="77">
      <c r="E77" s="101"/>
      <c r="K77" s="102"/>
      <c r="L77" s="101"/>
      <c r="O77" s="103"/>
    </row>
    <row r="78">
      <c r="E78" s="101"/>
      <c r="K78" s="102"/>
      <c r="L78" s="101"/>
      <c r="O78" s="103"/>
    </row>
    <row r="79">
      <c r="E79" s="101"/>
      <c r="K79" s="102"/>
      <c r="L79" s="101"/>
      <c r="O79" s="103"/>
    </row>
    <row r="80">
      <c r="E80" s="101"/>
      <c r="K80" s="102"/>
      <c r="L80" s="101"/>
      <c r="O80" s="103"/>
    </row>
    <row r="81">
      <c r="E81" s="101"/>
      <c r="K81" s="102"/>
      <c r="L81" s="101"/>
      <c r="O81" s="103"/>
    </row>
    <row r="82">
      <c r="E82" s="101"/>
      <c r="K82" s="102"/>
      <c r="L82" s="101"/>
      <c r="O82" s="103"/>
    </row>
    <row r="83">
      <c r="E83" s="101"/>
      <c r="K83" s="102"/>
      <c r="L83" s="101"/>
      <c r="O83" s="103"/>
    </row>
    <row r="84">
      <c r="E84" s="101"/>
      <c r="K84" s="102"/>
      <c r="L84" s="101"/>
      <c r="O84" s="103"/>
    </row>
    <row r="85">
      <c r="E85" s="101"/>
      <c r="K85" s="102"/>
      <c r="L85" s="101"/>
      <c r="O85" s="103"/>
    </row>
    <row r="86">
      <c r="E86" s="101"/>
      <c r="K86" s="102"/>
      <c r="L86" s="101"/>
      <c r="O86" s="103"/>
    </row>
    <row r="87">
      <c r="E87" s="101"/>
      <c r="K87" s="102"/>
      <c r="L87" s="101"/>
      <c r="O87" s="103"/>
    </row>
    <row r="88">
      <c r="E88" s="101"/>
      <c r="K88" s="102"/>
      <c r="L88" s="101"/>
      <c r="O88" s="103"/>
    </row>
    <row r="89">
      <c r="E89" s="101"/>
      <c r="K89" s="102"/>
      <c r="L89" s="101"/>
      <c r="O89" s="103"/>
    </row>
    <row r="90">
      <c r="E90" s="101"/>
      <c r="K90" s="102"/>
      <c r="L90" s="101"/>
      <c r="O90" s="103"/>
    </row>
    <row r="91">
      <c r="E91" s="101"/>
      <c r="K91" s="102"/>
      <c r="L91" s="101"/>
      <c r="O91" s="103"/>
    </row>
    <row r="92">
      <c r="E92" s="101"/>
      <c r="K92" s="102"/>
      <c r="L92" s="101"/>
      <c r="O92" s="103"/>
    </row>
    <row r="93">
      <c r="E93" s="101"/>
      <c r="K93" s="102"/>
      <c r="L93" s="101"/>
      <c r="O93" s="103"/>
    </row>
    <row r="94">
      <c r="E94" s="101"/>
      <c r="K94" s="102"/>
      <c r="L94" s="101"/>
      <c r="O94" s="103"/>
    </row>
    <row r="95">
      <c r="E95" s="101"/>
      <c r="K95" s="102"/>
      <c r="L95" s="101"/>
      <c r="O95" s="103"/>
    </row>
    <row r="96">
      <c r="E96" s="101"/>
      <c r="K96" s="102"/>
      <c r="L96" s="101"/>
      <c r="O96" s="103"/>
    </row>
    <row r="97">
      <c r="E97" s="101"/>
      <c r="K97" s="102"/>
      <c r="L97" s="101"/>
      <c r="O97" s="103"/>
    </row>
    <row r="98">
      <c r="E98" s="101"/>
      <c r="K98" s="102"/>
      <c r="L98" s="101"/>
      <c r="O98" s="103"/>
    </row>
    <row r="99">
      <c r="E99" s="101"/>
      <c r="K99" s="102"/>
      <c r="L99" s="101"/>
      <c r="O99" s="103"/>
    </row>
    <row r="100">
      <c r="E100" s="101"/>
      <c r="K100" s="102"/>
      <c r="L100" s="101"/>
      <c r="O100" s="103"/>
    </row>
    <row r="101">
      <c r="E101" s="101"/>
      <c r="K101" s="102"/>
      <c r="L101" s="101"/>
      <c r="O101" s="103"/>
    </row>
    <row r="102">
      <c r="E102" s="101"/>
      <c r="K102" s="102"/>
      <c r="L102" s="101"/>
      <c r="O102" s="103"/>
    </row>
  </sheetData>
  <mergeCells count="1">
    <mergeCell ref="A1:A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245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1"/>
    </row>
    <row r="3">
      <c r="A3" s="97" t="str">
        <f>'Team and Player Stats'!B66</f>
        <v>imShad</v>
      </c>
      <c r="B3" s="97" t="str">
        <f>'Team and Player Stats'!A66</f>
        <v>Monstars</v>
      </c>
      <c r="C3" s="97">
        <f>'Team and Player Stats'!C66</f>
        <v>20</v>
      </c>
      <c r="D3" s="97">
        <f>'Team and Player Stats'!D66</f>
        <v>16</v>
      </c>
      <c r="E3" s="98">
        <f>'Team and Player Stats'!E66</f>
        <v>380.1166667</v>
      </c>
      <c r="F3" s="97">
        <f>'Team and Player Stats'!F66</f>
        <v>6</v>
      </c>
      <c r="G3" s="97">
        <f>'Team and Player Stats'!G66</f>
        <v>1681</v>
      </c>
      <c r="H3" s="97">
        <f>'Team and Player Stats'!H66</f>
        <v>13</v>
      </c>
      <c r="I3" s="97">
        <f>'Team and Player Stats'!I66</f>
        <v>1253</v>
      </c>
      <c r="J3" s="97">
        <f>'Team and Player Stats'!J66</f>
        <v>428</v>
      </c>
      <c r="K3" s="99">
        <f>'Team and Player Stats'!K66</f>
        <v>1.341580208</v>
      </c>
      <c r="L3" s="98">
        <f>'Team and Player Stats'!L66</f>
        <v>306</v>
      </c>
      <c r="M3" s="97">
        <f>'Team and Player Stats'!M66</f>
        <v>2321</v>
      </c>
      <c r="N3" s="97">
        <f>'Team and Player Stats'!N66</f>
        <v>17</v>
      </c>
      <c r="O3" s="100">
        <f>'Team and Player Stats'!O66</f>
        <v>345.1166667</v>
      </c>
      <c r="P3" s="97">
        <f>'Team and Player Stats'!P66</f>
        <v>52</v>
      </c>
      <c r="Q3" s="97">
        <f>'Team and Player Stats'!Q66</f>
        <v>13</v>
      </c>
      <c r="R3" s="97">
        <f>'Team and Player Stats'!R66</f>
        <v>174</v>
      </c>
      <c r="S3" s="97">
        <f>'Team and Player Stats'!S66</f>
        <v>24</v>
      </c>
      <c r="T3" s="97">
        <f>'Team and Player Stats'!T66</f>
        <v>251</v>
      </c>
      <c r="U3" s="97">
        <f>'Team and Player Stats'!U66</f>
        <v>60</v>
      </c>
      <c r="V3" s="97">
        <f>'Team and Player Stats'!V66</f>
        <v>26</v>
      </c>
      <c r="W3" s="97">
        <f>'Team and Player Stats'!W66</f>
        <v>16</v>
      </c>
      <c r="X3" s="97">
        <f>'Team and Player Stats'!X66</f>
        <v>3</v>
      </c>
      <c r="Y3" s="97">
        <f>'Team and Player Stats'!Y66</f>
        <v>1</v>
      </c>
      <c r="Z3" s="97">
        <f>'Team and Player Stats'!Z66</f>
        <v>0</v>
      </c>
      <c r="AA3" s="97">
        <f>'Team and Player Stats'!AA66</f>
        <v>0</v>
      </c>
      <c r="AB3" s="97">
        <f>'Team and Player Stats'!AB66</f>
        <v>0</v>
      </c>
      <c r="AC3" s="97">
        <f>'Team and Player Stats'!AC66</f>
        <v>57</v>
      </c>
      <c r="AD3" s="97">
        <f>'Team and Player Stats'!AD66</f>
        <v>2</v>
      </c>
      <c r="AE3" s="97">
        <f>'Team and Player Stats'!AE66</f>
        <v>0</v>
      </c>
      <c r="AF3" s="97">
        <f>'Team and Player Stats'!AF66</f>
        <v>0</v>
      </c>
      <c r="AG3" s="97">
        <f>'Team and Player Stats'!AG66</f>
        <v>2</v>
      </c>
      <c r="AH3" s="97">
        <f>'Team and Player Stats'!AH66</f>
        <v>0</v>
      </c>
    </row>
    <row r="4">
      <c r="A4" t="str">
        <f>'Team and Player Stats'!B11</f>
        <v>Saintz the God</v>
      </c>
      <c r="B4" t="str">
        <f>'Team and Player Stats'!A11</f>
        <v>In MuNgO We Trust</v>
      </c>
      <c r="C4">
        <f>'Team and Player Stats'!C11</f>
        <v>12</v>
      </c>
      <c r="D4">
        <f>'Team and Player Stats'!D11</f>
        <v>7</v>
      </c>
      <c r="E4" s="101">
        <f>'Team and Player Stats'!E11</f>
        <v>371.5</v>
      </c>
      <c r="F4">
        <f>'Team and Player Stats'!F11</f>
        <v>5</v>
      </c>
      <c r="G4">
        <f>'Team and Player Stats'!G11</f>
        <v>1527</v>
      </c>
      <c r="H4">
        <f>'Team and Player Stats'!H11</f>
        <v>6</v>
      </c>
      <c r="I4">
        <f>'Team and Player Stats'!I11</f>
        <v>1261</v>
      </c>
      <c r="J4">
        <f>'Team and Player Stats'!J11</f>
        <v>266</v>
      </c>
      <c r="K4" s="102">
        <f>'Team and Player Stats'!K11</f>
        <v>1.210943695</v>
      </c>
      <c r="L4" s="101">
        <f>'Team and Player Stats'!L11</f>
        <v>181</v>
      </c>
      <c r="M4">
        <f>'Team and Player Stats'!M11</f>
        <v>2001</v>
      </c>
      <c r="N4">
        <f>'Team and Player Stats'!N11</f>
        <v>12</v>
      </c>
      <c r="O4" s="103">
        <f>'Team and Player Stats'!O11</f>
        <v>371.5</v>
      </c>
      <c r="P4">
        <f>'Team and Player Stats'!P11</f>
        <v>53</v>
      </c>
      <c r="Q4">
        <f>'Team and Player Stats'!Q11</f>
        <v>24</v>
      </c>
      <c r="R4">
        <f>'Team and Player Stats'!R11</f>
        <v>125</v>
      </c>
      <c r="S4">
        <f>'Team and Player Stats'!S11</f>
        <v>22</v>
      </c>
      <c r="T4">
        <f>'Team and Player Stats'!T11</f>
        <v>240</v>
      </c>
      <c r="U4">
        <f>'Team and Player Stats'!U11</f>
        <v>57</v>
      </c>
      <c r="V4">
        <f>'Team and Player Stats'!V11</f>
        <v>16</v>
      </c>
      <c r="W4">
        <f>'Team and Player Stats'!W11</f>
        <v>5</v>
      </c>
      <c r="X4">
        <f>'Team and Player Stats'!X11</f>
        <v>2</v>
      </c>
      <c r="Y4">
        <f>'Team and Player Stats'!Y11</f>
        <v>1</v>
      </c>
      <c r="Z4">
        <f>'Team and Player Stats'!Z11</f>
        <v>1</v>
      </c>
      <c r="AA4">
        <f>'Team and Player Stats'!AA11</f>
        <v>1</v>
      </c>
      <c r="AB4">
        <f>'Team and Player Stats'!AB11</f>
        <v>1</v>
      </c>
      <c r="AC4">
        <f>'Team and Player Stats'!AC11</f>
        <v>41</v>
      </c>
      <c r="AD4">
        <f>'Team and Player Stats'!AD11</f>
        <v>3</v>
      </c>
      <c r="AE4">
        <f>'Team and Player Stats'!AE11</f>
        <v>0</v>
      </c>
      <c r="AF4">
        <f>'Team and Player Stats'!AF11</f>
        <v>0</v>
      </c>
      <c r="AG4">
        <f>'Team and Player Stats'!AG11</f>
        <v>1</v>
      </c>
      <c r="AH4">
        <f>'Team and Player Stats'!AH11</f>
        <v>1</v>
      </c>
    </row>
    <row r="5">
      <c r="A5" s="97" t="str">
        <f>'Team and Player Stats'!B25</f>
        <v>T RICH DA KING</v>
      </c>
      <c r="B5" s="97" t="str">
        <f>'Team and Player Stats'!A25</f>
        <v>9th Wonders</v>
      </c>
      <c r="C5" s="97">
        <f>'Team and Player Stats'!C25</f>
        <v>18</v>
      </c>
      <c r="D5" s="97">
        <f>'Team and Player Stats'!D25</f>
        <v>10</v>
      </c>
      <c r="E5" s="98">
        <f>'Team and Player Stats'!E25</f>
        <v>496.0333333</v>
      </c>
      <c r="F5" s="97">
        <f>'Team and Player Stats'!F25</f>
        <v>4</v>
      </c>
      <c r="G5" s="97">
        <f>'Team and Player Stats'!G25</f>
        <v>1785</v>
      </c>
      <c r="H5" s="97">
        <f>'Team and Player Stats'!H25</f>
        <v>9</v>
      </c>
      <c r="I5" s="97">
        <f>'Team and Player Stats'!I25</f>
        <v>1524</v>
      </c>
      <c r="J5" s="97">
        <f>'Team and Player Stats'!J25</f>
        <v>261</v>
      </c>
      <c r="K5" s="99">
        <f>'Team and Player Stats'!K25</f>
        <v>1.171259843</v>
      </c>
      <c r="L5" s="98">
        <f>'Team and Player Stats'!L25</f>
        <v>285</v>
      </c>
      <c r="M5" s="97">
        <f>'Team and Player Stats'!M25</f>
        <v>2091</v>
      </c>
      <c r="N5" s="97">
        <f>'Team and Player Stats'!N25</f>
        <v>17</v>
      </c>
      <c r="O5" s="100">
        <f>'Team and Player Stats'!O25</f>
        <v>496.0333333</v>
      </c>
      <c r="P5" s="97">
        <f>'Team and Player Stats'!P25</f>
        <v>73</v>
      </c>
      <c r="Q5" s="97">
        <f>'Team and Player Stats'!Q25</f>
        <v>59</v>
      </c>
      <c r="R5" s="97">
        <f>'Team and Player Stats'!R25</f>
        <v>121</v>
      </c>
      <c r="S5" s="97">
        <f>'Team and Player Stats'!S25</f>
        <v>29</v>
      </c>
      <c r="T5" s="97">
        <f>'Team and Player Stats'!T25</f>
        <v>233</v>
      </c>
      <c r="U5" s="97">
        <f>'Team and Player Stats'!U25</f>
        <v>43</v>
      </c>
      <c r="V5" s="97">
        <f>'Team and Player Stats'!V25</f>
        <v>9</v>
      </c>
      <c r="W5" s="97">
        <f>'Team and Player Stats'!W25</f>
        <v>2</v>
      </c>
      <c r="X5" s="97">
        <f>'Team and Player Stats'!X25</f>
        <v>2</v>
      </c>
      <c r="Y5" s="97">
        <f>'Team and Player Stats'!Y25</f>
        <v>0</v>
      </c>
      <c r="Z5" s="97">
        <f>'Team and Player Stats'!Z25</f>
        <v>0</v>
      </c>
      <c r="AA5" s="97">
        <f>'Team and Player Stats'!AA25</f>
        <v>0</v>
      </c>
      <c r="AB5" s="97">
        <f>'Team and Player Stats'!AB25</f>
        <v>0</v>
      </c>
      <c r="AC5" s="97">
        <f>'Team and Player Stats'!AC25</f>
        <v>49</v>
      </c>
      <c r="AD5" s="97">
        <f>'Team and Player Stats'!AD25</f>
        <v>2</v>
      </c>
      <c r="AE5" s="97">
        <f>'Team and Player Stats'!AE25</f>
        <v>0</v>
      </c>
      <c r="AF5" s="97">
        <f>'Team and Player Stats'!AF25</f>
        <v>0</v>
      </c>
      <c r="AG5" s="97">
        <f>'Team and Player Stats'!AG25</f>
        <v>0</v>
      </c>
      <c r="AH5" s="97">
        <f>'Team and Player Stats'!AH25</f>
        <v>1</v>
      </c>
    </row>
    <row r="6">
      <c r="A6" t="str">
        <f>'Team and Player Stats'!B73</f>
        <v>Rage More Nerd</v>
      </c>
      <c r="B6" t="str">
        <f>'Team and Player Stats'!A73</f>
        <v>Mediocre at Best</v>
      </c>
      <c r="C6">
        <f>'Team and Player Stats'!C73</f>
        <v>20</v>
      </c>
      <c r="D6">
        <f>'Team and Player Stats'!D73</f>
        <v>10</v>
      </c>
      <c r="E6" s="101">
        <f>'Team and Player Stats'!E73</f>
        <v>395.9333333</v>
      </c>
      <c r="F6">
        <f>'Team and Player Stats'!F73</f>
        <v>6</v>
      </c>
      <c r="G6">
        <f>'Team and Player Stats'!G73</f>
        <v>1749</v>
      </c>
      <c r="H6">
        <f>'Team and Player Stats'!H73</f>
        <v>9</v>
      </c>
      <c r="I6">
        <f>'Team and Player Stats'!I73</f>
        <v>1520</v>
      </c>
      <c r="J6">
        <f>'Team and Player Stats'!J73</f>
        <v>229</v>
      </c>
      <c r="K6" s="102">
        <f>'Team and Player Stats'!K73</f>
        <v>1.150657895</v>
      </c>
      <c r="L6" s="101">
        <f>'Team and Player Stats'!L73</f>
        <v>270</v>
      </c>
      <c r="M6">
        <f>'Team and Player Stats'!M73</f>
        <v>2314</v>
      </c>
      <c r="N6">
        <f>'Team and Player Stats'!N73</f>
        <v>20</v>
      </c>
      <c r="O6" s="103">
        <f>'Team and Player Stats'!O73</f>
        <v>395.9333333</v>
      </c>
      <c r="P6">
        <f>'Team and Player Stats'!P73</f>
        <v>67</v>
      </c>
      <c r="Q6">
        <f>'Team and Player Stats'!Q73</f>
        <v>29</v>
      </c>
      <c r="R6">
        <f>'Team and Player Stats'!R73</f>
        <v>137</v>
      </c>
      <c r="S6">
        <f>'Team and Player Stats'!S73</f>
        <v>41</v>
      </c>
      <c r="T6">
        <f>'Team and Player Stats'!T73</f>
        <v>278</v>
      </c>
      <c r="U6">
        <f>'Team and Player Stats'!U73</f>
        <v>52</v>
      </c>
      <c r="V6">
        <f>'Team and Player Stats'!V73</f>
        <v>16</v>
      </c>
      <c r="W6">
        <f>'Team and Player Stats'!W73</f>
        <v>5</v>
      </c>
      <c r="X6">
        <f>'Team and Player Stats'!X73</f>
        <v>1</v>
      </c>
      <c r="Y6">
        <f>'Team and Player Stats'!Y73</f>
        <v>0</v>
      </c>
      <c r="Z6">
        <f>'Team and Player Stats'!Z73</f>
        <v>0</v>
      </c>
      <c r="AA6">
        <f>'Team and Player Stats'!AA73</f>
        <v>0</v>
      </c>
      <c r="AB6">
        <f>'Team and Player Stats'!AB73</f>
        <v>0</v>
      </c>
      <c r="AC6">
        <f>'Team and Player Stats'!AC73</f>
        <v>47</v>
      </c>
      <c r="AD6">
        <f>'Team and Player Stats'!AD73</f>
        <v>0</v>
      </c>
      <c r="AE6">
        <f>'Team and Player Stats'!AE73</f>
        <v>0</v>
      </c>
      <c r="AF6">
        <f>'Team and Player Stats'!AF73</f>
        <v>0</v>
      </c>
      <c r="AG6">
        <f>'Team and Player Stats'!AG73</f>
        <v>2</v>
      </c>
      <c r="AH6">
        <f>'Team and Player Stats'!AH73</f>
        <v>0</v>
      </c>
    </row>
    <row r="7">
      <c r="A7" s="97" t="str">
        <f>'Team and Player Stats'!B18</f>
        <v>AJ DaJuiceMayne</v>
      </c>
      <c r="B7" s="97" t="str">
        <f>'Team and Player Stats'!A18</f>
        <v>Junkyard Dogs</v>
      </c>
      <c r="C7" s="97">
        <f>'Team and Player Stats'!C18</f>
        <v>16</v>
      </c>
      <c r="D7" s="97">
        <f>'Team and Player Stats'!D18</f>
        <v>6</v>
      </c>
      <c r="E7" s="98">
        <f>'Team and Player Stats'!E18</f>
        <v>490.1333333</v>
      </c>
      <c r="F7" s="97">
        <f>'Team and Player Stats'!F18</f>
        <v>5</v>
      </c>
      <c r="G7" s="97">
        <f>'Team and Player Stats'!G18</f>
        <v>2238</v>
      </c>
      <c r="H7" s="97">
        <f>'Team and Player Stats'!H18</f>
        <v>13</v>
      </c>
      <c r="I7" s="97">
        <f>'Team and Player Stats'!I18</f>
        <v>1945</v>
      </c>
      <c r="J7" s="97">
        <f>'Team and Player Stats'!J18</f>
        <v>293</v>
      </c>
      <c r="K7" s="99">
        <f>'Team and Player Stats'!K18</f>
        <v>1.150642674</v>
      </c>
      <c r="L7" s="98">
        <f>'Team and Player Stats'!L18</f>
        <v>218</v>
      </c>
      <c r="M7" s="97">
        <f>'Team and Player Stats'!M18</f>
        <v>2963</v>
      </c>
      <c r="N7" s="97">
        <f>'Team and Player Stats'!N18</f>
        <v>16</v>
      </c>
      <c r="O7" s="100">
        <f>'Team and Player Stats'!O18</f>
        <v>490.1333333</v>
      </c>
      <c r="P7" s="97">
        <f>'Team and Player Stats'!P18</f>
        <v>74</v>
      </c>
      <c r="Q7" s="97">
        <f>'Team and Player Stats'!Q18</f>
        <v>32</v>
      </c>
      <c r="R7" s="97">
        <f>'Team and Player Stats'!R18</f>
        <v>147</v>
      </c>
      <c r="S7" s="97">
        <f>'Team and Player Stats'!S18</f>
        <v>25</v>
      </c>
      <c r="T7" s="97">
        <f>'Team and Player Stats'!T18</f>
        <v>373</v>
      </c>
      <c r="U7" s="97">
        <f>'Team and Player Stats'!U18</f>
        <v>92</v>
      </c>
      <c r="V7" s="97">
        <f>'Team and Player Stats'!V18</f>
        <v>29</v>
      </c>
      <c r="W7" s="97">
        <f>'Team and Player Stats'!W18</f>
        <v>5</v>
      </c>
      <c r="X7" s="97">
        <f>'Team and Player Stats'!X18</f>
        <v>1</v>
      </c>
      <c r="Y7" s="97">
        <f>'Team and Player Stats'!Y18</f>
        <v>1</v>
      </c>
      <c r="Z7" s="97">
        <f>'Team and Player Stats'!Z18</f>
        <v>0</v>
      </c>
      <c r="AA7" s="97">
        <f>'Team and Player Stats'!AA18</f>
        <v>0</v>
      </c>
      <c r="AB7" s="97">
        <f>'Team and Player Stats'!AB18</f>
        <v>0</v>
      </c>
      <c r="AC7" s="97">
        <f>'Team and Player Stats'!AC18</f>
        <v>72</v>
      </c>
      <c r="AD7" s="97">
        <f>'Team and Player Stats'!AD18</f>
        <v>2</v>
      </c>
      <c r="AE7" s="97">
        <f>'Team and Player Stats'!AE18</f>
        <v>0</v>
      </c>
      <c r="AF7" s="97">
        <f>'Team and Player Stats'!AF18</f>
        <v>0</v>
      </c>
      <c r="AG7" s="97">
        <f>'Team and Player Stats'!AG18</f>
        <v>1</v>
      </c>
      <c r="AH7" s="97">
        <f>'Team and Player Stats'!AH18</f>
        <v>0</v>
      </c>
    </row>
    <row r="8">
      <c r="A8" t="str">
        <f>'Team and Player Stats'!B4</f>
        <v>DIGITAL PAIN</v>
      </c>
      <c r="B8" t="str">
        <f>'Team and Player Stats'!A4</f>
        <v>Defiance</v>
      </c>
      <c r="C8">
        <f>'Team and Player Stats'!C4</f>
        <v>16</v>
      </c>
      <c r="D8">
        <f>'Team and Player Stats'!D4</f>
        <v>10</v>
      </c>
      <c r="E8" s="101">
        <f>'Team and Player Stats'!E4</f>
        <v>454</v>
      </c>
      <c r="F8">
        <f>'Team and Player Stats'!F4</f>
        <v>5</v>
      </c>
      <c r="G8">
        <f>'Team and Player Stats'!G4</f>
        <v>1723</v>
      </c>
      <c r="H8">
        <f>'Team and Player Stats'!H4</f>
        <v>6</v>
      </c>
      <c r="I8">
        <f>'Team and Player Stats'!I4</f>
        <v>1499</v>
      </c>
      <c r="J8">
        <f>'Team and Player Stats'!J4</f>
        <v>224</v>
      </c>
      <c r="K8" s="102">
        <f>'Team and Player Stats'!K4</f>
        <v>1.149432955</v>
      </c>
      <c r="L8" s="101">
        <f>'Team and Player Stats'!L4</f>
        <v>263</v>
      </c>
      <c r="M8">
        <f>'Team and Player Stats'!M4</f>
        <v>2175</v>
      </c>
      <c r="N8">
        <f>'Team and Player Stats'!N4</f>
        <v>13</v>
      </c>
      <c r="O8" s="103">
        <f>'Team and Player Stats'!O4</f>
        <v>419</v>
      </c>
      <c r="P8">
        <f>'Team and Player Stats'!P4</f>
        <v>84</v>
      </c>
      <c r="Q8">
        <f>'Team and Player Stats'!Q4</f>
        <v>29</v>
      </c>
      <c r="R8">
        <f>'Team and Player Stats'!R4</f>
        <v>141</v>
      </c>
      <c r="S8">
        <f>'Team and Player Stats'!S4</f>
        <v>20</v>
      </c>
      <c r="T8">
        <f>'Team and Player Stats'!T4</f>
        <v>203</v>
      </c>
      <c r="U8">
        <f>'Team and Player Stats'!U4</f>
        <v>30</v>
      </c>
      <c r="V8">
        <f>'Team and Player Stats'!V4</f>
        <v>9</v>
      </c>
      <c r="W8">
        <f>'Team and Player Stats'!W4</f>
        <v>4</v>
      </c>
      <c r="X8">
        <f>'Team and Player Stats'!X4</f>
        <v>1</v>
      </c>
      <c r="Y8">
        <f>'Team and Player Stats'!Y4</f>
        <v>0</v>
      </c>
      <c r="Z8">
        <f>'Team and Player Stats'!Z4</f>
        <v>0</v>
      </c>
      <c r="AA8">
        <f>'Team and Player Stats'!AA4</f>
        <v>0</v>
      </c>
      <c r="AB8">
        <f>'Team and Player Stats'!AB4</f>
        <v>0</v>
      </c>
      <c r="AC8">
        <f>'Team and Player Stats'!AC4</f>
        <v>44</v>
      </c>
      <c r="AD8">
        <f>'Team and Player Stats'!AD4</f>
        <v>1</v>
      </c>
      <c r="AE8">
        <f>'Team and Player Stats'!AE4</f>
        <v>0</v>
      </c>
      <c r="AF8">
        <f>'Team and Player Stats'!AF4</f>
        <v>0</v>
      </c>
      <c r="AG8">
        <f>'Team and Player Stats'!AG4</f>
        <v>1</v>
      </c>
      <c r="AH8">
        <f>'Team and Player Stats'!AH4</f>
        <v>2</v>
      </c>
    </row>
    <row r="9">
      <c r="A9" s="97" t="str">
        <f>'Team and Player Stats'!B19</f>
        <v>Gilded Grams</v>
      </c>
      <c r="B9" s="97" t="str">
        <f>'Team and Player Stats'!A19</f>
        <v>Junkyard Dogs</v>
      </c>
      <c r="C9" s="97">
        <f>'Team and Player Stats'!C19</f>
        <v>18</v>
      </c>
      <c r="D9" s="97">
        <f>'Team and Player Stats'!D19</f>
        <v>6</v>
      </c>
      <c r="E9" s="98">
        <f>'Team and Player Stats'!E19</f>
        <v>525.4666667</v>
      </c>
      <c r="F9" s="97">
        <f>'Team and Player Stats'!F19</f>
        <v>6</v>
      </c>
      <c r="G9" s="97">
        <f>'Team and Player Stats'!G19</f>
        <v>2263</v>
      </c>
      <c r="H9" s="97">
        <f>'Team and Player Stats'!H19</f>
        <v>7</v>
      </c>
      <c r="I9" s="97">
        <f>'Team and Player Stats'!I19</f>
        <v>1972</v>
      </c>
      <c r="J9" s="97">
        <f>'Team and Player Stats'!J19</f>
        <v>291</v>
      </c>
      <c r="K9" s="99">
        <f>'Team and Player Stats'!K19</f>
        <v>1.147565923</v>
      </c>
      <c r="L9" s="98">
        <f>'Team and Player Stats'!L19</f>
        <v>253</v>
      </c>
      <c r="M9" s="97">
        <f>'Team and Player Stats'!M19</f>
        <v>2928</v>
      </c>
      <c r="N9" s="97">
        <f>'Team and Player Stats'!N19</f>
        <v>18</v>
      </c>
      <c r="O9" s="100">
        <f>'Team and Player Stats'!O19</f>
        <v>525.4666667</v>
      </c>
      <c r="P9" s="97">
        <f>'Team and Player Stats'!P19</f>
        <v>83</v>
      </c>
      <c r="Q9" s="97">
        <f>'Team and Player Stats'!Q19</f>
        <v>74</v>
      </c>
      <c r="R9" s="97">
        <f>'Team and Player Stats'!R19</f>
        <v>115</v>
      </c>
      <c r="S9" s="97">
        <f>'Team and Player Stats'!S19</f>
        <v>36</v>
      </c>
      <c r="T9" s="97">
        <f>'Team and Player Stats'!T19</f>
        <v>360</v>
      </c>
      <c r="U9" s="97">
        <f>'Team and Player Stats'!U19</f>
        <v>59</v>
      </c>
      <c r="V9" s="97">
        <f>'Team and Player Stats'!V19</f>
        <v>11</v>
      </c>
      <c r="W9" s="97">
        <f>'Team and Player Stats'!W19</f>
        <v>3</v>
      </c>
      <c r="X9" s="97">
        <f>'Team and Player Stats'!X19</f>
        <v>0</v>
      </c>
      <c r="Y9" s="97">
        <f>'Team and Player Stats'!Y19</f>
        <v>0</v>
      </c>
      <c r="Z9" s="97">
        <f>'Team and Player Stats'!Z19</f>
        <v>0</v>
      </c>
      <c r="AA9" s="97">
        <f>'Team and Player Stats'!AA19</f>
        <v>0</v>
      </c>
      <c r="AB9" s="97">
        <f>'Team and Player Stats'!AB19</f>
        <v>0</v>
      </c>
      <c r="AC9" s="97">
        <f>'Team and Player Stats'!AC19</f>
        <v>68</v>
      </c>
      <c r="AD9" s="97">
        <f>'Team and Player Stats'!AD19</f>
        <v>1</v>
      </c>
      <c r="AE9" s="97">
        <f>'Team and Player Stats'!AE19</f>
        <v>0</v>
      </c>
      <c r="AF9" s="97">
        <f>'Team and Player Stats'!AF19</f>
        <v>0</v>
      </c>
      <c r="AG9" s="97">
        <f>'Team and Player Stats'!AG19</f>
        <v>2</v>
      </c>
      <c r="AH9" s="97">
        <f>'Team and Player Stats'!AH19</f>
        <v>9</v>
      </c>
    </row>
    <row r="10">
      <c r="A10" t="str">
        <f>'Team and Player Stats'!B59</f>
        <v>Regresser TTV</v>
      </c>
      <c r="B10" t="str">
        <f>'Team and Player Stats'!A59</f>
        <v>Hypest</v>
      </c>
      <c r="C10">
        <f>'Team and Player Stats'!C59</f>
        <v>20</v>
      </c>
      <c r="D10">
        <f>'Team and Player Stats'!D59</f>
        <v>13</v>
      </c>
      <c r="E10" s="101">
        <f>'Team and Player Stats'!E59</f>
        <v>376.5</v>
      </c>
      <c r="F10">
        <f>'Team and Player Stats'!F59</f>
        <v>43</v>
      </c>
      <c r="G10">
        <f>'Team and Player Stats'!G59</f>
        <v>1467</v>
      </c>
      <c r="H10">
        <f>'Team and Player Stats'!H59</f>
        <v>8</v>
      </c>
      <c r="I10">
        <f>'Team and Player Stats'!I59</f>
        <v>1287</v>
      </c>
      <c r="J10">
        <f>'Team and Player Stats'!J59</f>
        <v>180</v>
      </c>
      <c r="K10" s="102">
        <f>'Team and Player Stats'!K59</f>
        <v>1.13986014</v>
      </c>
      <c r="L10" s="101">
        <f>'Team and Player Stats'!L59</f>
        <v>293</v>
      </c>
      <c r="M10">
        <f>'Team and Player Stats'!M59</f>
        <v>1868</v>
      </c>
      <c r="N10">
        <f>'Team and Player Stats'!N59</f>
        <v>19</v>
      </c>
      <c r="O10" s="103">
        <f>'Team and Player Stats'!O59</f>
        <v>348.5</v>
      </c>
      <c r="P10">
        <f>'Team and Player Stats'!P59</f>
        <v>73</v>
      </c>
      <c r="Q10">
        <f>'Team and Player Stats'!Q59</f>
        <v>28</v>
      </c>
      <c r="R10">
        <f>'Team and Player Stats'!R59</f>
        <v>97</v>
      </c>
      <c r="S10">
        <f>'Team and Player Stats'!S59</f>
        <v>25</v>
      </c>
      <c r="T10">
        <f>'Team and Player Stats'!T59</f>
        <v>243</v>
      </c>
      <c r="U10">
        <f>'Team and Player Stats'!U59</f>
        <v>58</v>
      </c>
      <c r="V10">
        <f>'Team and Player Stats'!V59</f>
        <v>14</v>
      </c>
      <c r="W10">
        <f>'Team and Player Stats'!W59</f>
        <v>2</v>
      </c>
      <c r="X10">
        <f>'Team and Player Stats'!X59</f>
        <v>2</v>
      </c>
      <c r="Y10">
        <f>'Team and Player Stats'!Y59</f>
        <v>1</v>
      </c>
      <c r="Z10">
        <f>'Team and Player Stats'!Z59</f>
        <v>1</v>
      </c>
      <c r="AA10">
        <f>'Team and Player Stats'!AA59</f>
        <v>1</v>
      </c>
      <c r="AB10">
        <f>'Team and Player Stats'!AB59</f>
        <v>1</v>
      </c>
      <c r="AC10">
        <f>'Team and Player Stats'!AC59</f>
        <v>40</v>
      </c>
      <c r="AD10">
        <f>'Team and Player Stats'!AD59</f>
        <v>3</v>
      </c>
      <c r="AE10">
        <f>'Team and Player Stats'!AE59</f>
        <v>0</v>
      </c>
      <c r="AF10">
        <f>'Team and Player Stats'!AF59</f>
        <v>0</v>
      </c>
      <c r="AG10">
        <f>'Team and Player Stats'!AG59</f>
        <v>2</v>
      </c>
      <c r="AH10">
        <f>'Team and Player Stats'!AH59</f>
        <v>0</v>
      </c>
    </row>
    <row r="11">
      <c r="A11" s="97" t="str">
        <f>'Team and Player Stats'!B67</f>
        <v>ActiveHate</v>
      </c>
      <c r="B11" s="97" t="str">
        <f>'Team and Player Stats'!A67</f>
        <v>Monstars</v>
      </c>
      <c r="C11" s="97">
        <f>'Team and Player Stats'!C67</f>
        <v>20</v>
      </c>
      <c r="D11" s="97">
        <f>'Team and Player Stats'!D67</f>
        <v>16</v>
      </c>
      <c r="E11" s="98">
        <f>'Team and Player Stats'!E67</f>
        <v>375.1</v>
      </c>
      <c r="F11" s="97">
        <f>'Team and Player Stats'!F67</f>
        <v>2</v>
      </c>
      <c r="G11" s="97">
        <f>'Team and Player Stats'!G67</f>
        <v>1693</v>
      </c>
      <c r="H11" s="97">
        <f>'Team and Player Stats'!H67</f>
        <v>6</v>
      </c>
      <c r="I11" s="97">
        <f>'Team and Player Stats'!I67</f>
        <v>1557</v>
      </c>
      <c r="J11" s="97">
        <f>'Team and Player Stats'!J67</f>
        <v>136</v>
      </c>
      <c r="K11" s="99">
        <f>'Team and Player Stats'!K67</f>
        <v>1.087347463</v>
      </c>
      <c r="L11" s="98">
        <f>'Team and Player Stats'!L67</f>
        <v>234</v>
      </c>
      <c r="M11" s="97">
        <f>'Team and Player Stats'!M67</f>
        <v>2277</v>
      </c>
      <c r="N11" s="97">
        <f>'Team and Player Stats'!N67</f>
        <v>17</v>
      </c>
      <c r="O11" s="100">
        <f>'Team and Player Stats'!O67</f>
        <v>340.1</v>
      </c>
      <c r="P11" s="97">
        <f>'Team and Player Stats'!P67</f>
        <v>27</v>
      </c>
      <c r="Q11" s="97">
        <f>'Team and Player Stats'!Q67</f>
        <v>6</v>
      </c>
      <c r="R11" s="97">
        <f>'Team and Player Stats'!R67</f>
        <v>151</v>
      </c>
      <c r="S11" s="97">
        <f>'Team and Player Stats'!S67</f>
        <v>22</v>
      </c>
      <c r="T11" s="97">
        <f>'Team and Player Stats'!T67</f>
        <v>279</v>
      </c>
      <c r="U11" s="97">
        <f>'Team and Player Stats'!U67</f>
        <v>68</v>
      </c>
      <c r="V11" s="97">
        <f>'Team and Player Stats'!V67</f>
        <v>24</v>
      </c>
      <c r="W11" s="97">
        <f>'Team and Player Stats'!W67</f>
        <v>10</v>
      </c>
      <c r="X11" s="97">
        <f>'Team and Player Stats'!X67</f>
        <v>5</v>
      </c>
      <c r="Y11" s="97">
        <f>'Team and Player Stats'!Y67</f>
        <v>1</v>
      </c>
      <c r="Z11" s="97">
        <f>'Team and Player Stats'!Z67</f>
        <v>0</v>
      </c>
      <c r="AA11" s="97">
        <f>'Team and Player Stats'!AA67</f>
        <v>0</v>
      </c>
      <c r="AB11" s="97">
        <f>'Team and Player Stats'!AB67</f>
        <v>0</v>
      </c>
      <c r="AC11" s="97">
        <f>'Team and Player Stats'!AC67</f>
        <v>37</v>
      </c>
      <c r="AD11" s="97">
        <f>'Team and Player Stats'!AD67</f>
        <v>1</v>
      </c>
      <c r="AE11" s="97">
        <f>'Team and Player Stats'!AE67</f>
        <v>0</v>
      </c>
      <c r="AF11" s="97">
        <f>'Team and Player Stats'!AF67</f>
        <v>0</v>
      </c>
      <c r="AG11" s="97">
        <f>'Team and Player Stats'!AG67</f>
        <v>0</v>
      </c>
      <c r="AH11" s="97">
        <f>'Team and Player Stats'!AH67</f>
        <v>0</v>
      </c>
    </row>
    <row r="12">
      <c r="A12" t="str">
        <f>'Team and Player Stats'!B47</f>
        <v> SILV3RI34CK</v>
      </c>
      <c r="B12" t="str">
        <f>'Team and Player Stats'!A47</f>
        <v>Failure to Launch</v>
      </c>
      <c r="C12">
        <f>'Team and Player Stats'!C47</f>
        <v>17</v>
      </c>
      <c r="D12">
        <f>'Team and Player Stats'!D47</f>
        <v>10</v>
      </c>
      <c r="E12" s="101">
        <f>'Team and Player Stats'!E47</f>
        <v>486.8666667</v>
      </c>
      <c r="F12">
        <f>'Team and Player Stats'!F47</f>
        <v>3</v>
      </c>
      <c r="G12">
        <f>'Team and Player Stats'!G47</f>
        <v>1542</v>
      </c>
      <c r="H12">
        <f>'Team and Player Stats'!H47</f>
        <v>10</v>
      </c>
      <c r="I12">
        <f>'Team and Player Stats'!I47</f>
        <v>1459</v>
      </c>
      <c r="J12">
        <f>'Team and Player Stats'!J47</f>
        <v>83</v>
      </c>
      <c r="K12" s="102">
        <f>'Team and Player Stats'!K47</f>
        <v>1.05688828</v>
      </c>
      <c r="L12" s="101">
        <f>'Team and Player Stats'!L47</f>
        <v>276</v>
      </c>
      <c r="M12">
        <f>'Team and Player Stats'!M47</f>
        <v>1959</v>
      </c>
      <c r="N12">
        <f>'Team and Player Stats'!N47</f>
        <v>17</v>
      </c>
      <c r="O12" s="103">
        <f>'Team and Player Stats'!O47</f>
        <v>486.8666667</v>
      </c>
      <c r="P12">
        <f>'Team and Player Stats'!P47</f>
        <v>65</v>
      </c>
      <c r="Q12">
        <f>'Team and Player Stats'!Q47</f>
        <v>25</v>
      </c>
      <c r="R12">
        <f>'Team and Player Stats'!R47</f>
        <v>178</v>
      </c>
      <c r="S12">
        <f>'Team and Player Stats'!S47</f>
        <v>31</v>
      </c>
      <c r="T12">
        <f>'Team and Player Stats'!T47</f>
        <v>177</v>
      </c>
      <c r="U12">
        <f>'Team and Player Stats'!U47</f>
        <v>21</v>
      </c>
      <c r="V12">
        <f>'Team and Player Stats'!V47</f>
        <v>6</v>
      </c>
      <c r="W12">
        <f>'Team and Player Stats'!W47</f>
        <v>1</v>
      </c>
      <c r="X12">
        <f>'Team and Player Stats'!X47</f>
        <v>0</v>
      </c>
      <c r="Y12">
        <f>'Team and Player Stats'!Y47</f>
        <v>0</v>
      </c>
      <c r="Z12">
        <f>'Team and Player Stats'!Z47</f>
        <v>0</v>
      </c>
      <c r="AA12">
        <f>'Team and Player Stats'!AA47</f>
        <v>0</v>
      </c>
      <c r="AB12">
        <f>'Team and Player Stats'!AB47</f>
        <v>0</v>
      </c>
      <c r="AC12">
        <f>'Team and Player Stats'!AC47</f>
        <v>25</v>
      </c>
      <c r="AD12">
        <f>'Team and Player Stats'!AD47</f>
        <v>0</v>
      </c>
      <c r="AE12">
        <f>'Team and Player Stats'!AE47</f>
        <v>0</v>
      </c>
      <c r="AF12">
        <f>'Team and Player Stats'!AF47</f>
        <v>0</v>
      </c>
      <c r="AG12">
        <f>'Team and Player Stats'!AG47</f>
        <v>0</v>
      </c>
      <c r="AH12">
        <f>'Team and Player Stats'!AH47</f>
        <v>0</v>
      </c>
    </row>
    <row r="13">
      <c r="A13" s="97" t="str">
        <f>'Team and Player Stats'!B33</f>
        <v>TwitchTvSnipezz</v>
      </c>
      <c r="B13" s="97" t="str">
        <f>'Team and Player Stats'!A33</f>
        <v>Truthless and the Truthlessettes</v>
      </c>
      <c r="C13" s="97">
        <f>'Team and Player Stats'!C33</f>
        <v>8</v>
      </c>
      <c r="D13" s="97">
        <f>'Team and Player Stats'!D33</f>
        <v>1</v>
      </c>
      <c r="E13" s="98">
        <f>'Team and Player Stats'!E33</f>
        <v>169.5333333</v>
      </c>
      <c r="F13" s="97">
        <f>'Team and Player Stats'!F33</f>
        <v>2</v>
      </c>
      <c r="G13" s="97">
        <f>'Team and Player Stats'!G33</f>
        <v>671</v>
      </c>
      <c r="H13" s="97">
        <f>'Team and Player Stats'!H33</f>
        <v>3</v>
      </c>
      <c r="I13" s="97">
        <f>'Team and Player Stats'!I33</f>
        <v>635</v>
      </c>
      <c r="J13" s="97">
        <f>'Team and Player Stats'!J33</f>
        <v>36</v>
      </c>
      <c r="K13" s="99">
        <f>'Team and Player Stats'!K33</f>
        <v>1.056692913</v>
      </c>
      <c r="L13" s="98">
        <f>'Team and Player Stats'!L33</f>
        <v>108</v>
      </c>
      <c r="M13" s="97">
        <f>'Team and Player Stats'!M33</f>
        <v>877</v>
      </c>
      <c r="N13" s="97">
        <f>'Team and Player Stats'!N33</f>
        <v>8</v>
      </c>
      <c r="O13" s="100">
        <f>'Team and Player Stats'!O33</f>
        <v>169.5333333</v>
      </c>
      <c r="P13" s="97">
        <f>'Team and Player Stats'!P33</f>
        <v>23</v>
      </c>
      <c r="Q13" s="97">
        <f>'Team and Player Stats'!Q33</f>
        <v>7</v>
      </c>
      <c r="R13" s="97">
        <f>'Team and Player Stats'!R33</f>
        <v>35</v>
      </c>
      <c r="S13" s="97">
        <f>'Team and Player Stats'!S33</f>
        <v>13</v>
      </c>
      <c r="T13" s="97">
        <f>'Team and Player Stats'!T33</f>
        <v>104</v>
      </c>
      <c r="U13" s="97">
        <f>'Team and Player Stats'!U33</f>
        <v>26</v>
      </c>
      <c r="V13" s="97">
        <f>'Team and Player Stats'!V33</f>
        <v>7</v>
      </c>
      <c r="W13" s="97">
        <f>'Team and Player Stats'!W33</f>
        <v>1</v>
      </c>
      <c r="X13" s="97">
        <f>'Team and Player Stats'!X33</f>
        <v>0</v>
      </c>
      <c r="Y13" s="97">
        <f>'Team and Player Stats'!Y33</f>
        <v>0</v>
      </c>
      <c r="Z13" s="97">
        <f>'Team and Player Stats'!Z33</f>
        <v>0</v>
      </c>
      <c r="AA13" s="97">
        <f>'Team and Player Stats'!AA33</f>
        <v>0</v>
      </c>
      <c r="AB13" s="97">
        <f>'Team and Player Stats'!AB33</f>
        <v>0</v>
      </c>
      <c r="AC13" s="97">
        <f>'Team and Player Stats'!AC33</f>
        <v>20</v>
      </c>
      <c r="AD13" s="97">
        <f>'Team and Player Stats'!AD33</f>
        <v>0</v>
      </c>
      <c r="AE13" s="97">
        <f>'Team and Player Stats'!AE33</f>
        <v>0</v>
      </c>
      <c r="AF13" s="97">
        <f>'Team and Player Stats'!AF33</f>
        <v>0</v>
      </c>
      <c r="AG13" s="97">
        <f>'Team and Player Stats'!AG33</f>
        <v>0</v>
      </c>
      <c r="AH13" s="97">
        <f>'Team and Player Stats'!AH33</f>
        <v>0</v>
      </c>
    </row>
    <row r="14">
      <c r="A14" t="str">
        <f>'Team and Player Stats'!B53</f>
        <v>TnTaylor</v>
      </c>
      <c r="B14" t="str">
        <f>'Team and Player Stats'!A53</f>
        <v>Silva's Connection</v>
      </c>
      <c r="C14">
        <f>'Team and Player Stats'!C53</f>
        <v>20</v>
      </c>
      <c r="D14">
        <f>'Team and Player Stats'!D53</f>
        <v>6</v>
      </c>
      <c r="E14" s="101">
        <f>'Team and Player Stats'!E53</f>
        <v>560.9166667</v>
      </c>
      <c r="F14">
        <f>'Team and Player Stats'!F53</f>
        <v>10</v>
      </c>
      <c r="G14">
        <f>'Team and Player Stats'!G53</f>
        <v>1823</v>
      </c>
      <c r="H14">
        <f>'Team and Player Stats'!H53</f>
        <v>6</v>
      </c>
      <c r="I14">
        <f>'Team and Player Stats'!I53</f>
        <v>1752</v>
      </c>
      <c r="J14">
        <f>'Team and Player Stats'!J53</f>
        <v>71</v>
      </c>
      <c r="K14" s="102">
        <f>'Team and Player Stats'!K53</f>
        <v>1.040525114</v>
      </c>
      <c r="L14" s="101">
        <f>'Team and Player Stats'!L53</f>
        <v>329</v>
      </c>
      <c r="M14">
        <f>'Team and Player Stats'!M53</f>
        <v>2328</v>
      </c>
      <c r="N14">
        <f>'Team and Player Stats'!N53</f>
        <v>20</v>
      </c>
      <c r="O14" s="103">
        <f>'Team and Player Stats'!O53</f>
        <v>560.9166667</v>
      </c>
      <c r="P14">
        <f>'Team and Player Stats'!P53</f>
        <v>92</v>
      </c>
      <c r="Q14">
        <f>'Team and Player Stats'!Q53</f>
        <v>74</v>
      </c>
      <c r="R14">
        <f>'Team and Player Stats'!R53</f>
        <v>124</v>
      </c>
      <c r="S14">
        <f>'Team and Player Stats'!S53</f>
        <v>39</v>
      </c>
      <c r="T14">
        <f>'Team and Player Stats'!T53</f>
        <v>225</v>
      </c>
      <c r="U14">
        <f>'Team and Player Stats'!U53</f>
        <v>40</v>
      </c>
      <c r="V14">
        <f>'Team and Player Stats'!V53</f>
        <v>11</v>
      </c>
      <c r="W14">
        <f>'Team and Player Stats'!W53</f>
        <v>2</v>
      </c>
      <c r="X14">
        <f>'Team and Player Stats'!X53</f>
        <v>1</v>
      </c>
      <c r="Y14">
        <f>'Team and Player Stats'!Y53</f>
        <v>0</v>
      </c>
      <c r="Z14">
        <f>'Team and Player Stats'!Z53</f>
        <v>0</v>
      </c>
      <c r="AA14">
        <f>'Team and Player Stats'!AA53</f>
        <v>0</v>
      </c>
      <c r="AB14">
        <f>'Team and Player Stats'!AB53</f>
        <v>0</v>
      </c>
      <c r="AC14">
        <f>'Team and Player Stats'!AC53</f>
        <v>45</v>
      </c>
      <c r="AD14">
        <f>'Team and Player Stats'!AD53</f>
        <v>1</v>
      </c>
      <c r="AE14">
        <f>'Team and Player Stats'!AE53</f>
        <v>0</v>
      </c>
      <c r="AF14">
        <f>'Team and Player Stats'!AF53</f>
        <v>0</v>
      </c>
      <c r="AG14">
        <f>'Team and Player Stats'!AG53</f>
        <v>0</v>
      </c>
      <c r="AH14">
        <f>'Team and Player Stats'!AH53</f>
        <v>2</v>
      </c>
    </row>
    <row r="15">
      <c r="A15" s="97" t="str">
        <f>'Team and Player Stats'!B5</f>
        <v>Sabasauros Rex</v>
      </c>
      <c r="B15" s="97" t="str">
        <f>'Team and Player Stats'!A5</f>
        <v>Defiance</v>
      </c>
      <c r="C15" s="97">
        <f>'Team and Player Stats'!C5</f>
        <v>16</v>
      </c>
      <c r="D15" s="97">
        <f>'Team and Player Stats'!D5</f>
        <v>10</v>
      </c>
      <c r="E15" s="98">
        <f>'Team and Player Stats'!E5</f>
        <v>454</v>
      </c>
      <c r="F15" s="97">
        <f>'Team and Player Stats'!F5</f>
        <v>13</v>
      </c>
      <c r="G15" s="97">
        <f>'Team and Player Stats'!G5</f>
        <v>1748</v>
      </c>
      <c r="H15" s="97">
        <f>'Team and Player Stats'!H5</f>
        <v>11</v>
      </c>
      <c r="I15" s="97">
        <f>'Team and Player Stats'!I5</f>
        <v>1684</v>
      </c>
      <c r="J15" s="97">
        <f>'Team and Player Stats'!J5</f>
        <v>64</v>
      </c>
      <c r="K15" s="99">
        <f>'Team and Player Stats'!K5</f>
        <v>1.038004751</v>
      </c>
      <c r="L15" s="98">
        <f>'Team and Player Stats'!L5</f>
        <v>226</v>
      </c>
      <c r="M15" s="97">
        <f>'Team and Player Stats'!M5</f>
        <v>2216</v>
      </c>
      <c r="N15" s="97">
        <f>'Team and Player Stats'!N5</f>
        <v>13</v>
      </c>
      <c r="O15" s="100">
        <f>'Team and Player Stats'!O5</f>
        <v>419</v>
      </c>
      <c r="P15" s="97">
        <f>'Team and Player Stats'!P5</f>
        <v>75</v>
      </c>
      <c r="Q15" s="97">
        <f>'Team and Player Stats'!Q5</f>
        <v>25</v>
      </c>
      <c r="R15" s="97">
        <f>'Team and Player Stats'!R5</f>
        <v>128</v>
      </c>
      <c r="S15" s="97">
        <f>'Team and Player Stats'!S5</f>
        <v>27</v>
      </c>
      <c r="T15" s="97">
        <f>'Team and Player Stats'!T5</f>
        <v>219</v>
      </c>
      <c r="U15" s="97">
        <f>'Team and Player Stats'!U5</f>
        <v>51</v>
      </c>
      <c r="V15" s="97">
        <f>'Team and Player Stats'!V5</f>
        <v>10</v>
      </c>
      <c r="W15" s="97">
        <f>'Team and Player Stats'!W5</f>
        <v>1</v>
      </c>
      <c r="X15" s="97">
        <f>'Team and Player Stats'!X5</f>
        <v>0</v>
      </c>
      <c r="Y15" s="97">
        <f>'Team and Player Stats'!Y5</f>
        <v>0</v>
      </c>
      <c r="Z15" s="97">
        <f>'Team and Player Stats'!Z5</f>
        <v>0</v>
      </c>
      <c r="AA15" s="97">
        <f>'Team and Player Stats'!AA5</f>
        <v>0</v>
      </c>
      <c r="AB15" s="97">
        <f>'Team and Player Stats'!AB5</f>
        <v>0</v>
      </c>
      <c r="AC15" s="97">
        <f>'Team and Player Stats'!AC5</f>
        <v>36</v>
      </c>
      <c r="AD15" s="97">
        <f>'Team and Player Stats'!AD5</f>
        <v>2</v>
      </c>
      <c r="AE15" s="97">
        <f>'Team and Player Stats'!AE5</f>
        <v>0</v>
      </c>
      <c r="AF15" s="97">
        <f>'Team and Player Stats'!AF5</f>
        <v>0</v>
      </c>
      <c r="AG15" s="97">
        <f>'Team and Player Stats'!AG5</f>
        <v>2</v>
      </c>
      <c r="AH15" s="97">
        <f>'Team and Player Stats'!AH5</f>
        <v>0</v>
      </c>
    </row>
    <row r="16">
      <c r="A16" t="str">
        <f>'Team and Player Stats'!B46</f>
        <v>the man canon</v>
      </c>
      <c r="B16" t="str">
        <f>'Team and Player Stats'!A46</f>
        <v>Failure to Launch</v>
      </c>
      <c r="C16">
        <f>'Team and Player Stats'!C46</f>
        <v>17</v>
      </c>
      <c r="D16">
        <f>'Team and Player Stats'!D46</f>
        <v>10</v>
      </c>
      <c r="E16" s="101">
        <f>'Team and Player Stats'!E46</f>
        <v>486.3166667</v>
      </c>
      <c r="F16">
        <f>'Team and Player Stats'!F46</f>
        <v>5</v>
      </c>
      <c r="G16">
        <f>'Team and Player Stats'!G46</f>
        <v>1655</v>
      </c>
      <c r="H16">
        <f>'Team and Player Stats'!H46</f>
        <v>5</v>
      </c>
      <c r="I16">
        <f>'Team and Player Stats'!I46</f>
        <v>1604</v>
      </c>
      <c r="J16">
        <f>'Team and Player Stats'!J46</f>
        <v>51</v>
      </c>
      <c r="K16" s="102">
        <f>'Team and Player Stats'!K46</f>
        <v>1.031795511</v>
      </c>
      <c r="L16" s="101">
        <f>'Team and Player Stats'!L46</f>
        <v>245</v>
      </c>
      <c r="M16">
        <f>'Team and Player Stats'!M46</f>
        <v>2139</v>
      </c>
      <c r="N16">
        <f>'Team and Player Stats'!N46</f>
        <v>17</v>
      </c>
      <c r="O16" s="103">
        <f>'Team and Player Stats'!O46</f>
        <v>486.3166667</v>
      </c>
      <c r="P16">
        <f>'Team and Player Stats'!P46</f>
        <v>82</v>
      </c>
      <c r="Q16">
        <f>'Team and Player Stats'!Q46</f>
        <v>25</v>
      </c>
      <c r="R16">
        <f>'Team and Player Stats'!R46</f>
        <v>143</v>
      </c>
      <c r="S16">
        <f>'Team and Player Stats'!S46</f>
        <v>26</v>
      </c>
      <c r="T16">
        <f>'Team and Player Stats'!T46</f>
        <v>223</v>
      </c>
      <c r="U16">
        <f>'Team and Player Stats'!U46</f>
        <v>46</v>
      </c>
      <c r="V16">
        <f>'Team and Player Stats'!V46</f>
        <v>9</v>
      </c>
      <c r="W16">
        <f>'Team and Player Stats'!W46</f>
        <v>1</v>
      </c>
      <c r="X16">
        <f>'Team and Player Stats'!X46</f>
        <v>0</v>
      </c>
      <c r="Y16">
        <f>'Team and Player Stats'!Y46</f>
        <v>0</v>
      </c>
      <c r="Z16">
        <f>'Team and Player Stats'!Z46</f>
        <v>0</v>
      </c>
      <c r="AA16">
        <f>'Team and Player Stats'!AA46</f>
        <v>0</v>
      </c>
      <c r="AB16">
        <f>'Team and Player Stats'!AB46</f>
        <v>0</v>
      </c>
      <c r="AC16">
        <f>'Team and Player Stats'!AC46</f>
        <v>32</v>
      </c>
      <c r="AD16">
        <f>'Team and Player Stats'!AD46</f>
        <v>0</v>
      </c>
      <c r="AE16">
        <f>'Team and Player Stats'!AE46</f>
        <v>0</v>
      </c>
      <c r="AF16">
        <f>'Team and Player Stats'!AF46</f>
        <v>0</v>
      </c>
      <c r="AG16">
        <f>'Team and Player Stats'!AG46</f>
        <v>0</v>
      </c>
      <c r="AH16">
        <f>'Team and Player Stats'!AH46</f>
        <v>0</v>
      </c>
    </row>
    <row r="17">
      <c r="A17" s="97" t="str">
        <f>'Team and Player Stats'!B54</f>
        <v>Elementary</v>
      </c>
      <c r="B17" s="97" t="str">
        <f>'Team and Player Stats'!A54</f>
        <v>Silva's Connection</v>
      </c>
      <c r="C17" s="97">
        <f>'Team and Player Stats'!C54</f>
        <v>20</v>
      </c>
      <c r="D17" s="97">
        <f>'Team and Player Stats'!D54</f>
        <v>6</v>
      </c>
      <c r="E17" s="98">
        <f>'Team and Player Stats'!E54</f>
        <v>560.5</v>
      </c>
      <c r="F17" s="97">
        <f>'Team and Player Stats'!F54</f>
        <v>7</v>
      </c>
      <c r="G17" s="97">
        <f>'Team and Player Stats'!G54</f>
        <v>2236</v>
      </c>
      <c r="H17" s="97">
        <f>'Team and Player Stats'!H54</f>
        <v>10</v>
      </c>
      <c r="I17" s="97">
        <f>'Team and Player Stats'!I54</f>
        <v>2187</v>
      </c>
      <c r="J17" s="97">
        <f>'Team and Player Stats'!J54</f>
        <v>49</v>
      </c>
      <c r="K17" s="99">
        <f>'Team and Player Stats'!K54</f>
        <v>1.022405121</v>
      </c>
      <c r="L17" s="98">
        <f>'Team and Player Stats'!L54</f>
        <v>251</v>
      </c>
      <c r="M17" s="97">
        <f>'Team and Player Stats'!M54</f>
        <v>2929</v>
      </c>
      <c r="N17" s="97">
        <f>'Team and Player Stats'!N54</f>
        <v>20</v>
      </c>
      <c r="O17" s="100">
        <f>'Team and Player Stats'!O54</f>
        <v>560.5</v>
      </c>
      <c r="P17" s="97">
        <f>'Team and Player Stats'!P54</f>
        <v>88</v>
      </c>
      <c r="Q17" s="97">
        <f>'Team and Player Stats'!Q54</f>
        <v>34</v>
      </c>
      <c r="R17" s="97">
        <f>'Team and Player Stats'!R54</f>
        <v>172</v>
      </c>
      <c r="S17" s="97">
        <f>'Team and Player Stats'!S54</f>
        <v>45</v>
      </c>
      <c r="T17" s="97">
        <f>'Team and Player Stats'!T54</f>
        <v>362</v>
      </c>
      <c r="U17" s="97">
        <f>'Team and Player Stats'!U54</f>
        <v>66</v>
      </c>
      <c r="V17" s="97">
        <f>'Team and Player Stats'!V54</f>
        <v>17</v>
      </c>
      <c r="W17" s="97">
        <f>'Team and Player Stats'!W54</f>
        <v>3</v>
      </c>
      <c r="X17" s="97">
        <f>'Team and Player Stats'!X54</f>
        <v>0</v>
      </c>
      <c r="Y17" s="97">
        <f>'Team and Player Stats'!Y54</f>
        <v>0</v>
      </c>
      <c r="Z17" s="97">
        <f>'Team and Player Stats'!Z54</f>
        <v>0</v>
      </c>
      <c r="AA17" s="97">
        <f>'Team and Player Stats'!AA54</f>
        <v>0</v>
      </c>
      <c r="AB17" s="97">
        <f>'Team and Player Stats'!AB54</f>
        <v>0</v>
      </c>
      <c r="AC17" s="97">
        <f>'Team and Player Stats'!AC54</f>
        <v>47</v>
      </c>
      <c r="AD17" s="97">
        <f>'Team and Player Stats'!AD54</f>
        <v>0</v>
      </c>
      <c r="AE17" s="97">
        <f>'Team and Player Stats'!AE54</f>
        <v>0</v>
      </c>
      <c r="AF17" s="97">
        <f>'Team and Player Stats'!AF54</f>
        <v>0</v>
      </c>
      <c r="AG17" s="97">
        <f>'Team and Player Stats'!AG54</f>
        <v>1</v>
      </c>
      <c r="AH17" s="97">
        <f>'Team and Player Stats'!AH54</f>
        <v>0</v>
      </c>
    </row>
    <row r="18">
      <c r="A18" t="str">
        <f>'Team and Player Stats'!B24</f>
        <v>x Zeg x</v>
      </c>
      <c r="B18" t="str">
        <f>'Team and Player Stats'!A24</f>
        <v>9th Wonders</v>
      </c>
      <c r="C18">
        <f>'Team and Player Stats'!C24</f>
        <v>18</v>
      </c>
      <c r="D18">
        <f>'Team and Player Stats'!D24</f>
        <v>10</v>
      </c>
      <c r="E18" s="101">
        <f>'Team and Player Stats'!E24</f>
        <v>498.2833333</v>
      </c>
      <c r="F18">
        <f>'Team and Player Stats'!F24</f>
        <v>13</v>
      </c>
      <c r="G18">
        <f>'Team and Player Stats'!G24</f>
        <v>1594</v>
      </c>
      <c r="H18">
        <f>'Team and Player Stats'!H24</f>
        <v>12</v>
      </c>
      <c r="I18">
        <f>'Team and Player Stats'!I24</f>
        <v>1585</v>
      </c>
      <c r="J18">
        <f>'Team and Player Stats'!J24</f>
        <v>9</v>
      </c>
      <c r="K18" s="102">
        <f>'Team and Player Stats'!K24</f>
        <v>1.005678233</v>
      </c>
      <c r="L18" s="101">
        <f>'Team and Player Stats'!L24</f>
        <v>302</v>
      </c>
      <c r="M18">
        <f>'Team and Player Stats'!M24</f>
        <v>1845</v>
      </c>
      <c r="N18">
        <f>'Team and Player Stats'!N24</f>
        <v>17</v>
      </c>
      <c r="O18" s="103">
        <f>'Team and Player Stats'!O24</f>
        <v>498.2833333</v>
      </c>
      <c r="P18">
        <f>'Team and Player Stats'!P24</f>
        <v>54</v>
      </c>
      <c r="Q18">
        <f>'Team and Player Stats'!Q24</f>
        <v>22</v>
      </c>
      <c r="R18">
        <f>'Team and Player Stats'!R24</f>
        <v>116</v>
      </c>
      <c r="S18">
        <f>'Team and Player Stats'!S24</f>
        <v>35</v>
      </c>
      <c r="T18">
        <f>'Team and Player Stats'!T24</f>
        <v>192</v>
      </c>
      <c r="U18">
        <f>'Team and Player Stats'!U24</f>
        <v>35</v>
      </c>
      <c r="V18">
        <f>'Team and Player Stats'!V24</f>
        <v>8</v>
      </c>
      <c r="W18">
        <f>'Team and Player Stats'!W24</f>
        <v>3</v>
      </c>
      <c r="X18">
        <f>'Team and Player Stats'!X24</f>
        <v>2</v>
      </c>
      <c r="Y18">
        <f>'Team and Player Stats'!Y24</f>
        <v>0</v>
      </c>
      <c r="Z18">
        <f>'Team and Player Stats'!Z24</f>
        <v>0</v>
      </c>
      <c r="AA18">
        <f>'Team and Player Stats'!AA24</f>
        <v>0</v>
      </c>
      <c r="AB18">
        <f>'Team and Player Stats'!AB24</f>
        <v>0</v>
      </c>
      <c r="AC18">
        <f>'Team and Player Stats'!AC24</f>
        <v>34</v>
      </c>
      <c r="AD18">
        <f>'Team and Player Stats'!AD24</f>
        <v>1</v>
      </c>
      <c r="AE18">
        <f>'Team and Player Stats'!AE24</f>
        <v>0</v>
      </c>
      <c r="AF18">
        <f>'Team and Player Stats'!AF24</f>
        <v>0</v>
      </c>
      <c r="AG18">
        <f>'Team and Player Stats'!AG24</f>
        <v>0</v>
      </c>
      <c r="AH18">
        <f>'Team and Player Stats'!AH24</f>
        <v>0</v>
      </c>
    </row>
    <row r="19">
      <c r="A19" s="97" t="str">
        <f>'Team and Player Stats'!B39</f>
        <v>Ace B S1lentND1</v>
      </c>
      <c r="B19" s="97" t="str">
        <f>'Team and Player Stats'!A39</f>
        <v>On the Fence</v>
      </c>
      <c r="C19" s="97">
        <f>'Team and Player Stats'!C39</f>
        <v>14</v>
      </c>
      <c r="D19" s="97">
        <f>'Team and Player Stats'!D39</f>
        <v>3</v>
      </c>
      <c r="E19" s="98">
        <f>'Team and Player Stats'!E39</f>
        <v>285.2</v>
      </c>
      <c r="F19" s="97">
        <f>'Team and Player Stats'!F39</f>
        <v>12</v>
      </c>
      <c r="G19" s="97">
        <f>'Team and Player Stats'!G39</f>
        <v>960</v>
      </c>
      <c r="H19" s="97">
        <f>'Team and Player Stats'!H39</f>
        <v>6</v>
      </c>
      <c r="I19" s="97">
        <f>'Team and Player Stats'!I39</f>
        <v>958</v>
      </c>
      <c r="J19" s="97">
        <f>'Team and Player Stats'!J39</f>
        <v>2</v>
      </c>
      <c r="K19" s="99">
        <f>'Team and Player Stats'!K39</f>
        <v>1.002087683</v>
      </c>
      <c r="L19" s="98">
        <f>'Team and Player Stats'!L39</f>
        <v>212</v>
      </c>
      <c r="M19" s="97">
        <f>'Team and Player Stats'!M39</f>
        <v>1246</v>
      </c>
      <c r="N19" s="97">
        <f>'Team and Player Stats'!N39</f>
        <v>14</v>
      </c>
      <c r="O19" s="100">
        <f>'Team and Player Stats'!O39</f>
        <v>285.2</v>
      </c>
      <c r="P19" s="97">
        <f>'Team and Player Stats'!P39</f>
        <v>50</v>
      </c>
      <c r="Q19" s="97">
        <f>'Team and Player Stats'!Q39</f>
        <v>16</v>
      </c>
      <c r="R19" s="97">
        <f>'Team and Player Stats'!R39</f>
        <v>57</v>
      </c>
      <c r="S19" s="97">
        <f>'Team and Player Stats'!S39</f>
        <v>18</v>
      </c>
      <c r="T19" s="97">
        <f>'Team and Player Stats'!T39</f>
        <v>144</v>
      </c>
      <c r="U19" s="97">
        <f>'Team and Player Stats'!U39</f>
        <v>24</v>
      </c>
      <c r="V19" s="97">
        <f>'Team and Player Stats'!V39</f>
        <v>8</v>
      </c>
      <c r="W19" s="97">
        <f>'Team and Player Stats'!W39</f>
        <v>4</v>
      </c>
      <c r="X19" s="97">
        <f>'Team and Player Stats'!X39</f>
        <v>2</v>
      </c>
      <c r="Y19" s="97">
        <f>'Team and Player Stats'!Y39</f>
        <v>0</v>
      </c>
      <c r="Z19" s="97">
        <f>'Team and Player Stats'!Z39</f>
        <v>0</v>
      </c>
      <c r="AA19" s="97">
        <f>'Team and Player Stats'!AA39</f>
        <v>0</v>
      </c>
      <c r="AB19" s="97">
        <f>'Team and Player Stats'!AB39</f>
        <v>0</v>
      </c>
      <c r="AC19" s="97">
        <f>'Team and Player Stats'!AC39</f>
        <v>22</v>
      </c>
      <c r="AD19" s="97">
        <f>'Team and Player Stats'!AD39</f>
        <v>1</v>
      </c>
      <c r="AE19" s="97">
        <f>'Team and Player Stats'!AE39</f>
        <v>0</v>
      </c>
      <c r="AF19" s="97">
        <f>'Team and Player Stats'!AF39</f>
        <v>0</v>
      </c>
      <c r="AG19" s="97">
        <f>'Team and Player Stats'!AG39</f>
        <v>0</v>
      </c>
      <c r="AH19" s="97">
        <f>'Team and Player Stats'!AH39</f>
        <v>1</v>
      </c>
    </row>
    <row r="20">
      <c r="A20" t="str">
        <f>'Team and Player Stats'!B31</f>
        <v>Truthless IHero</v>
      </c>
      <c r="B20" t="str">
        <f>'Team and Player Stats'!A31</f>
        <v>Truthless and the Truthlessettes</v>
      </c>
      <c r="C20">
        <f>'Team and Player Stats'!C31</f>
        <v>15</v>
      </c>
      <c r="D20">
        <f>'Team and Player Stats'!D31</f>
        <v>3</v>
      </c>
      <c r="E20" s="101">
        <f>'Team and Player Stats'!E31</f>
        <v>319.1333333</v>
      </c>
      <c r="F20">
        <f>'Team and Player Stats'!F31</f>
        <v>3</v>
      </c>
      <c r="G20">
        <f>'Team and Player Stats'!G31</f>
        <v>1274</v>
      </c>
      <c r="H20">
        <f>'Team and Player Stats'!H31</f>
        <v>5</v>
      </c>
      <c r="I20">
        <f>'Team and Player Stats'!I31</f>
        <v>1274</v>
      </c>
      <c r="J20">
        <f>'Team and Player Stats'!J31</f>
        <v>0</v>
      </c>
      <c r="K20" s="102">
        <f>'Team and Player Stats'!K31</f>
        <v>1</v>
      </c>
      <c r="L20" s="101">
        <f>'Team and Player Stats'!L31</f>
        <v>185</v>
      </c>
      <c r="M20">
        <f>'Team and Player Stats'!M31</f>
        <v>1656</v>
      </c>
      <c r="N20">
        <f>'Team and Player Stats'!N31</f>
        <v>15</v>
      </c>
      <c r="O20" s="103">
        <f>'Team and Player Stats'!O31</f>
        <v>319.1333333</v>
      </c>
      <c r="P20">
        <f>'Team and Player Stats'!P31</f>
        <v>50</v>
      </c>
      <c r="Q20">
        <f>'Team and Player Stats'!Q31</f>
        <v>22</v>
      </c>
      <c r="R20">
        <f>'Team and Player Stats'!R31</f>
        <v>57</v>
      </c>
      <c r="S20">
        <f>'Team and Player Stats'!S31</f>
        <v>31</v>
      </c>
      <c r="T20">
        <f>'Team and Player Stats'!T31</f>
        <v>189</v>
      </c>
      <c r="U20">
        <f>'Team and Player Stats'!U31</f>
        <v>48</v>
      </c>
      <c r="V20">
        <f>'Team and Player Stats'!V31</f>
        <v>18</v>
      </c>
      <c r="W20">
        <f>'Team and Player Stats'!W31</f>
        <v>2</v>
      </c>
      <c r="X20">
        <f>'Team and Player Stats'!X31</f>
        <v>0</v>
      </c>
      <c r="Y20">
        <f>'Team and Player Stats'!Y31</f>
        <v>0</v>
      </c>
      <c r="Z20">
        <f>'Team and Player Stats'!Z31</f>
        <v>0</v>
      </c>
      <c r="AA20">
        <f>'Team and Player Stats'!AA31</f>
        <v>0</v>
      </c>
      <c r="AB20">
        <f>'Team and Player Stats'!AB31</f>
        <v>0</v>
      </c>
      <c r="AC20">
        <f>'Team and Player Stats'!AC31</f>
        <v>33</v>
      </c>
      <c r="AD20">
        <f>'Team and Player Stats'!AD31</f>
        <v>1</v>
      </c>
      <c r="AE20">
        <f>'Team and Player Stats'!AE31</f>
        <v>0</v>
      </c>
      <c r="AF20">
        <f>'Team and Player Stats'!AF31</f>
        <v>0</v>
      </c>
      <c r="AG20">
        <f>'Team and Player Stats'!AG31</f>
        <v>0</v>
      </c>
      <c r="AH20">
        <f>'Team and Player Stats'!AH31</f>
        <v>1</v>
      </c>
    </row>
    <row r="21">
      <c r="A21" s="97" t="str">
        <f>'Team and Player Stats'!B20</f>
        <v>PoisonxPoptart</v>
      </c>
      <c r="B21" s="97" t="str">
        <f>'Team and Player Stats'!A20</f>
        <v>Junkyard Dogs</v>
      </c>
      <c r="C21" s="97">
        <f>'Team and Player Stats'!C20</f>
        <v>16</v>
      </c>
      <c r="D21" s="97">
        <f>'Team and Player Stats'!D20</f>
        <v>6</v>
      </c>
      <c r="E21" s="98">
        <f>'Team and Player Stats'!E20</f>
        <v>490.4333333</v>
      </c>
      <c r="F21" s="97">
        <f>'Team and Player Stats'!F20</f>
        <v>5</v>
      </c>
      <c r="G21" s="97">
        <f>'Team and Player Stats'!G20</f>
        <v>1559</v>
      </c>
      <c r="H21" s="97">
        <f>'Team and Player Stats'!H20</f>
        <v>7</v>
      </c>
      <c r="I21" s="97">
        <f>'Team and Player Stats'!I20</f>
        <v>1564</v>
      </c>
      <c r="J21" s="97">
        <f>'Team and Player Stats'!J20</f>
        <v>-5</v>
      </c>
      <c r="K21" s="99">
        <f>'Team and Player Stats'!K20</f>
        <v>0.9968030691</v>
      </c>
      <c r="L21" s="98">
        <f>'Team and Player Stats'!L20</f>
        <v>283</v>
      </c>
      <c r="M21" s="97">
        <f>'Team and Player Stats'!M20</f>
        <v>1938</v>
      </c>
      <c r="N21" s="97">
        <f>'Team and Player Stats'!N20</f>
        <v>16</v>
      </c>
      <c r="O21" s="100">
        <f>'Team and Player Stats'!O20</f>
        <v>490.4333333</v>
      </c>
      <c r="P21" s="97">
        <f>'Team and Player Stats'!P20</f>
        <v>55</v>
      </c>
      <c r="Q21" s="97">
        <f>'Team and Player Stats'!Q20</f>
        <v>48</v>
      </c>
      <c r="R21" s="97">
        <f>'Team and Player Stats'!R20</f>
        <v>104</v>
      </c>
      <c r="S21" s="97">
        <f>'Team and Player Stats'!S20</f>
        <v>29</v>
      </c>
      <c r="T21" s="97">
        <f>'Team and Player Stats'!T20</f>
        <v>188</v>
      </c>
      <c r="U21" s="97">
        <f>'Team and Player Stats'!U20</f>
        <v>24</v>
      </c>
      <c r="V21" s="97">
        <f>'Team and Player Stats'!V20</f>
        <v>3</v>
      </c>
      <c r="W21" s="97">
        <f>'Team and Player Stats'!W20</f>
        <v>1</v>
      </c>
      <c r="X21" s="97">
        <f>'Team and Player Stats'!X20</f>
        <v>0</v>
      </c>
      <c r="Y21" s="97">
        <f>'Team and Player Stats'!Y20</f>
        <v>0</v>
      </c>
      <c r="Z21" s="97">
        <f>'Team and Player Stats'!Z20</f>
        <v>0</v>
      </c>
      <c r="AA21" s="97">
        <f>'Team and Player Stats'!AA20</f>
        <v>0</v>
      </c>
      <c r="AB21" s="97">
        <f>'Team and Player Stats'!AB20</f>
        <v>0</v>
      </c>
      <c r="AC21" s="97">
        <f>'Team and Player Stats'!AC20</f>
        <v>25</v>
      </c>
      <c r="AD21" s="97">
        <f>'Team and Player Stats'!AD20</f>
        <v>0</v>
      </c>
      <c r="AE21" s="97">
        <f>'Team and Player Stats'!AE20</f>
        <v>0</v>
      </c>
      <c r="AF21" s="97">
        <f>'Team and Player Stats'!AF20</f>
        <v>0</v>
      </c>
      <c r="AG21" s="97">
        <f>'Team and Player Stats'!AG20</f>
        <v>0</v>
      </c>
      <c r="AH21" s="97">
        <f>'Team and Player Stats'!AH20</f>
        <v>3</v>
      </c>
    </row>
    <row r="22">
      <c r="A22" t="str">
        <f>'Team and Player Stats'!B26</f>
        <v>oScet</v>
      </c>
      <c r="B22" t="str">
        <f>'Team and Player Stats'!A26</f>
        <v>9th Wonders</v>
      </c>
      <c r="C22">
        <f>'Team and Player Stats'!C26</f>
        <v>18</v>
      </c>
      <c r="D22">
        <f>'Team and Player Stats'!D26</f>
        <v>10</v>
      </c>
      <c r="E22" s="101">
        <f>'Team and Player Stats'!E26</f>
        <v>496.6</v>
      </c>
      <c r="F22">
        <f>'Team and Player Stats'!F26</f>
        <v>26</v>
      </c>
      <c r="G22">
        <f>'Team and Player Stats'!G26</f>
        <v>1434</v>
      </c>
      <c r="H22">
        <f>'Team and Player Stats'!H26</f>
        <v>5</v>
      </c>
      <c r="I22">
        <f>'Team and Player Stats'!I26</f>
        <v>1439</v>
      </c>
      <c r="J22">
        <f>'Team and Player Stats'!J26</f>
        <v>-5</v>
      </c>
      <c r="K22" s="102">
        <f>'Team and Player Stats'!K26</f>
        <v>0.9965253648</v>
      </c>
      <c r="L22" s="101">
        <f>'Team and Player Stats'!L26</f>
        <v>311</v>
      </c>
      <c r="M22">
        <f>'Team and Player Stats'!M26</f>
        <v>1741</v>
      </c>
      <c r="N22">
        <f>'Team and Player Stats'!N26</f>
        <v>17</v>
      </c>
      <c r="O22" s="103">
        <f>'Team and Player Stats'!O26</f>
        <v>496.6</v>
      </c>
      <c r="P22">
        <f>'Team and Player Stats'!P26</f>
        <v>74</v>
      </c>
      <c r="Q22">
        <f>'Team and Player Stats'!Q26</f>
        <v>43</v>
      </c>
      <c r="R22">
        <f>'Team and Player Stats'!R26</f>
        <v>93</v>
      </c>
      <c r="S22">
        <f>'Team and Player Stats'!S26</f>
        <v>32</v>
      </c>
      <c r="T22">
        <f>'Team and Player Stats'!T26</f>
        <v>199</v>
      </c>
      <c r="U22">
        <f>'Team and Player Stats'!U26</f>
        <v>36</v>
      </c>
      <c r="V22">
        <f>'Team and Player Stats'!V26</f>
        <v>5</v>
      </c>
      <c r="W22">
        <f>'Team and Player Stats'!W26</f>
        <v>3</v>
      </c>
      <c r="X22">
        <f>'Team and Player Stats'!X26</f>
        <v>2</v>
      </c>
      <c r="Y22">
        <f>'Team and Player Stats'!Y26</f>
        <v>2</v>
      </c>
      <c r="Z22">
        <f>'Team and Player Stats'!Z26</f>
        <v>0</v>
      </c>
      <c r="AA22">
        <f>'Team and Player Stats'!AA26</f>
        <v>0</v>
      </c>
      <c r="AB22">
        <f>'Team and Player Stats'!AB26</f>
        <v>0</v>
      </c>
      <c r="AC22">
        <f>'Team and Player Stats'!AC26</f>
        <v>28</v>
      </c>
      <c r="AD22">
        <f>'Team and Player Stats'!AD26</f>
        <v>4</v>
      </c>
      <c r="AE22">
        <f>'Team and Player Stats'!AE26</f>
        <v>0</v>
      </c>
      <c r="AF22">
        <f>'Team and Player Stats'!AF26</f>
        <v>0</v>
      </c>
      <c r="AG22">
        <f>'Team and Player Stats'!AG26</f>
        <v>2</v>
      </c>
      <c r="AH22">
        <f>'Team and Player Stats'!AH26</f>
        <v>2</v>
      </c>
    </row>
    <row r="23">
      <c r="A23" s="97" t="str">
        <f>'Team and Player Stats'!B40</f>
        <v>Itz Rainin MenZ</v>
      </c>
      <c r="B23" s="97" t="str">
        <f>'Team and Player Stats'!A40</f>
        <v>On the Fence</v>
      </c>
      <c r="C23" s="97">
        <f>'Team and Player Stats'!C40</f>
        <v>14</v>
      </c>
      <c r="D23" s="97">
        <f>'Team and Player Stats'!D40</f>
        <v>3</v>
      </c>
      <c r="E23" s="98">
        <f>'Team and Player Stats'!E40</f>
        <v>285.2333333</v>
      </c>
      <c r="F23" s="97">
        <f>'Team and Player Stats'!F40</f>
        <v>4</v>
      </c>
      <c r="G23" s="97">
        <f>'Team and Player Stats'!G40</f>
        <v>924</v>
      </c>
      <c r="H23" s="97">
        <f>'Team and Player Stats'!H40</f>
        <v>5</v>
      </c>
      <c r="I23" s="97">
        <f>'Team and Player Stats'!I40</f>
        <v>932</v>
      </c>
      <c r="J23" s="97">
        <f>'Team and Player Stats'!J40</f>
        <v>-8</v>
      </c>
      <c r="K23" s="99">
        <f>'Team and Player Stats'!K40</f>
        <v>0.991416309</v>
      </c>
      <c r="L23" s="98">
        <f>'Team and Player Stats'!L40</f>
        <v>215</v>
      </c>
      <c r="M23" s="97">
        <f>'Team and Player Stats'!M40</f>
        <v>1188</v>
      </c>
      <c r="N23" s="97">
        <f>'Team and Player Stats'!N40</f>
        <v>14</v>
      </c>
      <c r="O23" s="100">
        <f>'Team and Player Stats'!O40</f>
        <v>285.2333333</v>
      </c>
      <c r="P23" s="97">
        <f>'Team and Player Stats'!P40</f>
        <v>43</v>
      </c>
      <c r="Q23" s="97">
        <f>'Team and Player Stats'!Q40</f>
        <v>26</v>
      </c>
      <c r="R23" s="97">
        <f>'Team and Player Stats'!R40</f>
        <v>63</v>
      </c>
      <c r="S23" s="97">
        <f>'Team and Player Stats'!S40</f>
        <v>23</v>
      </c>
      <c r="T23" s="97">
        <f>'Team and Player Stats'!T40</f>
        <v>117</v>
      </c>
      <c r="U23" s="97">
        <f>'Team and Player Stats'!U40</f>
        <v>24</v>
      </c>
      <c r="V23" s="97">
        <f>'Team and Player Stats'!V40</f>
        <v>5</v>
      </c>
      <c r="W23" s="97">
        <f>'Team and Player Stats'!W40</f>
        <v>3</v>
      </c>
      <c r="X23" s="97">
        <f>'Team and Player Stats'!X40</f>
        <v>1</v>
      </c>
      <c r="Y23" s="97">
        <f>'Team and Player Stats'!Y40</f>
        <v>0</v>
      </c>
      <c r="Z23" s="97">
        <f>'Team and Player Stats'!Z40</f>
        <v>0</v>
      </c>
      <c r="AA23" s="97">
        <f>'Team and Player Stats'!AA40</f>
        <v>0</v>
      </c>
      <c r="AB23" s="97">
        <f>'Team and Player Stats'!AB40</f>
        <v>0</v>
      </c>
      <c r="AC23" s="97">
        <f>'Team and Player Stats'!AC40</f>
        <v>18</v>
      </c>
      <c r="AD23" s="97">
        <f>'Team and Player Stats'!AD40</f>
        <v>0</v>
      </c>
      <c r="AE23" s="97">
        <f>'Team and Player Stats'!AE40</f>
        <v>0</v>
      </c>
      <c r="AF23" s="97">
        <f>'Team and Player Stats'!AF40</f>
        <v>0</v>
      </c>
      <c r="AG23" s="97">
        <f>'Team and Player Stats'!AG40</f>
        <v>1</v>
      </c>
      <c r="AH23" s="97">
        <f>'Team and Player Stats'!AH40</f>
        <v>1</v>
      </c>
    </row>
    <row r="24">
      <c r="A24" t="str">
        <f>'Team and Player Stats'!B41</f>
        <v>blim</v>
      </c>
      <c r="B24" t="str">
        <f>'Team and Player Stats'!A41</f>
        <v>On the Fence</v>
      </c>
      <c r="C24">
        <f>'Team and Player Stats'!C41</f>
        <v>13</v>
      </c>
      <c r="D24">
        <f>'Team and Player Stats'!D41</f>
        <v>2</v>
      </c>
      <c r="E24" s="101">
        <f>'Team and Player Stats'!E41</f>
        <v>271.15</v>
      </c>
      <c r="F24">
        <f>'Team and Player Stats'!F41</f>
        <v>10</v>
      </c>
      <c r="G24">
        <f>'Team and Player Stats'!G41</f>
        <v>815</v>
      </c>
      <c r="H24">
        <f>'Team and Player Stats'!H41</f>
        <v>3</v>
      </c>
      <c r="I24">
        <f>'Team and Player Stats'!I41</f>
        <v>835</v>
      </c>
      <c r="J24">
        <f>'Team and Player Stats'!J41</f>
        <v>-20</v>
      </c>
      <c r="K24" s="102">
        <f>'Team and Player Stats'!K41</f>
        <v>0.9760479042</v>
      </c>
      <c r="L24" s="101">
        <f>'Team and Player Stats'!L41</f>
        <v>222</v>
      </c>
      <c r="M24">
        <f>'Team and Player Stats'!M41</f>
        <v>1053</v>
      </c>
      <c r="N24">
        <f>'Team and Player Stats'!N41</f>
        <v>13</v>
      </c>
      <c r="O24" s="103">
        <f>'Team and Player Stats'!O41</f>
        <v>271.15</v>
      </c>
      <c r="P24">
        <f>'Team and Player Stats'!P41</f>
        <v>38</v>
      </c>
      <c r="Q24">
        <f>'Team and Player Stats'!Q41</f>
        <v>18</v>
      </c>
      <c r="R24">
        <f>'Team and Player Stats'!R41</f>
        <v>47</v>
      </c>
      <c r="S24">
        <f>'Team and Player Stats'!S41</f>
        <v>22</v>
      </c>
      <c r="T24">
        <f>'Team and Player Stats'!T41</f>
        <v>124</v>
      </c>
      <c r="U24">
        <f>'Team and Player Stats'!U41</f>
        <v>19</v>
      </c>
      <c r="V24">
        <f>'Team and Player Stats'!V41</f>
        <v>3</v>
      </c>
      <c r="W24">
        <f>'Team and Player Stats'!W41</f>
        <v>1</v>
      </c>
      <c r="X24">
        <f>'Team and Player Stats'!X41</f>
        <v>1</v>
      </c>
      <c r="Y24">
        <f>'Team and Player Stats'!Y41</f>
        <v>1</v>
      </c>
      <c r="Z24">
        <f>'Team and Player Stats'!Z41</f>
        <v>0</v>
      </c>
      <c r="AA24">
        <f>'Team and Player Stats'!AA41</f>
        <v>0</v>
      </c>
      <c r="AB24">
        <f>'Team and Player Stats'!AB41</f>
        <v>0</v>
      </c>
      <c r="AC24">
        <f>'Team and Player Stats'!AC41</f>
        <v>21</v>
      </c>
      <c r="AD24">
        <f>'Team and Player Stats'!AD41</f>
        <v>0</v>
      </c>
      <c r="AE24">
        <f>'Team and Player Stats'!AE41</f>
        <v>0</v>
      </c>
      <c r="AF24">
        <f>'Team and Player Stats'!AF41</f>
        <v>0</v>
      </c>
      <c r="AG24">
        <f>'Team and Player Stats'!AG41</f>
        <v>1</v>
      </c>
      <c r="AH24">
        <f>'Team and Player Stats'!AH41</f>
        <v>0</v>
      </c>
    </row>
    <row r="25">
      <c r="A25" s="97" t="str">
        <f>'Team and Player Stats'!B32</f>
        <v>El Diablo x230x</v>
      </c>
      <c r="B25" s="97" t="str">
        <f>'Team and Player Stats'!A32</f>
        <v>Truthless and the Truthlessettes</v>
      </c>
      <c r="C25" s="97">
        <f>'Team and Player Stats'!C32</f>
        <v>15</v>
      </c>
      <c r="D25" s="97">
        <f>'Team and Player Stats'!D32</f>
        <v>3</v>
      </c>
      <c r="E25" s="98">
        <f>'Team and Player Stats'!E32</f>
        <v>321.0166667</v>
      </c>
      <c r="F25" s="97">
        <f>'Team and Player Stats'!F32</f>
        <v>4</v>
      </c>
      <c r="G25" s="97">
        <f>'Team and Player Stats'!G32</f>
        <v>1214</v>
      </c>
      <c r="H25" s="97">
        <f>'Team and Player Stats'!H32</f>
        <v>11</v>
      </c>
      <c r="I25" s="97">
        <f>'Team and Player Stats'!I32</f>
        <v>1249</v>
      </c>
      <c r="J25" s="97">
        <f>'Team and Player Stats'!J32</f>
        <v>-35</v>
      </c>
      <c r="K25" s="99">
        <f>'Team and Player Stats'!K32</f>
        <v>0.9719775821</v>
      </c>
      <c r="L25" s="98">
        <f>'Team and Player Stats'!L32</f>
        <v>195</v>
      </c>
      <c r="M25" s="97">
        <f>'Team and Player Stats'!M32</f>
        <v>1516</v>
      </c>
      <c r="N25" s="97">
        <f>'Team and Player Stats'!N32</f>
        <v>15</v>
      </c>
      <c r="O25" s="100">
        <f>'Team and Player Stats'!O32</f>
        <v>321.0166667</v>
      </c>
      <c r="P25" s="97">
        <f>'Team and Player Stats'!P32</f>
        <v>36</v>
      </c>
      <c r="Q25" s="97">
        <f>'Team and Player Stats'!Q32</f>
        <v>24</v>
      </c>
      <c r="R25" s="97">
        <f>'Team and Player Stats'!R32</f>
        <v>88</v>
      </c>
      <c r="S25" s="97">
        <f>'Team and Player Stats'!S32</f>
        <v>20</v>
      </c>
      <c r="T25" s="97">
        <f>'Team and Player Stats'!T32</f>
        <v>157</v>
      </c>
      <c r="U25" s="97">
        <f>'Team and Player Stats'!U32</f>
        <v>30</v>
      </c>
      <c r="V25" s="97">
        <f>'Team and Player Stats'!V32</f>
        <v>10</v>
      </c>
      <c r="W25" s="97">
        <f>'Team and Player Stats'!W32</f>
        <v>3</v>
      </c>
      <c r="X25" s="97">
        <f>'Team and Player Stats'!X32</f>
        <v>1</v>
      </c>
      <c r="Y25" s="97">
        <f>'Team and Player Stats'!Y32</f>
        <v>0</v>
      </c>
      <c r="Z25" s="97">
        <f>'Team and Player Stats'!Z32</f>
        <v>0</v>
      </c>
      <c r="AA25" s="97">
        <f>'Team and Player Stats'!AA32</f>
        <v>0</v>
      </c>
      <c r="AB25" s="97">
        <f>'Team and Player Stats'!AB32</f>
        <v>0</v>
      </c>
      <c r="AC25" s="97">
        <f>'Team and Player Stats'!AC32</f>
        <v>14</v>
      </c>
      <c r="AD25" s="97">
        <f>'Team and Player Stats'!AD32</f>
        <v>0</v>
      </c>
      <c r="AE25" s="97">
        <f>'Team and Player Stats'!AE32</f>
        <v>0</v>
      </c>
      <c r="AF25" s="97">
        <f>'Team and Player Stats'!AF32</f>
        <v>0</v>
      </c>
      <c r="AG25" s="97">
        <f>'Team and Player Stats'!AG32</f>
        <v>0</v>
      </c>
      <c r="AH25" s="97">
        <f>'Team and Player Stats'!AH32</f>
        <v>0</v>
      </c>
    </row>
    <row r="26">
      <c r="A26" t="str">
        <f>'Team and Player Stats'!B6</f>
        <v>ThumpingHawk</v>
      </c>
      <c r="B26" t="str">
        <f>'Team and Player Stats'!A6</f>
        <v>Defiance</v>
      </c>
      <c r="C26">
        <f>'Team and Player Stats'!C6</f>
        <v>12</v>
      </c>
      <c r="D26">
        <f>'Team and Player Stats'!D6</f>
        <v>6</v>
      </c>
      <c r="E26" s="101">
        <f>'Team and Player Stats'!E6</f>
        <v>339</v>
      </c>
      <c r="F26">
        <f>'Team and Player Stats'!F6</f>
        <v>23</v>
      </c>
      <c r="G26">
        <f>'Team and Player Stats'!G6</f>
        <v>880</v>
      </c>
      <c r="H26">
        <f>'Team and Player Stats'!H6</f>
        <v>2</v>
      </c>
      <c r="I26">
        <f>'Team and Player Stats'!I6</f>
        <v>923</v>
      </c>
      <c r="J26">
        <f>'Team and Player Stats'!J6</f>
        <v>-43</v>
      </c>
      <c r="K26" s="102">
        <f>'Team and Player Stats'!K6</f>
        <v>0.9534127844</v>
      </c>
      <c r="L26" s="101">
        <f>'Team and Player Stats'!L6</f>
        <v>254</v>
      </c>
      <c r="M26">
        <f>'Team and Player Stats'!M6</f>
        <v>1128</v>
      </c>
      <c r="N26">
        <f>'Team and Player Stats'!N6</f>
        <v>9</v>
      </c>
      <c r="O26" s="103">
        <f>'Team and Player Stats'!O6</f>
        <v>304</v>
      </c>
      <c r="P26">
        <f>'Team and Player Stats'!P6</f>
        <v>37</v>
      </c>
      <c r="Q26">
        <f>'Team and Player Stats'!Q6</f>
        <v>18</v>
      </c>
      <c r="R26">
        <f>'Team and Player Stats'!R6</f>
        <v>49</v>
      </c>
      <c r="S26">
        <f>'Team and Player Stats'!S6</f>
        <v>24</v>
      </c>
      <c r="T26">
        <f>'Team and Player Stats'!T6</f>
        <v>93</v>
      </c>
      <c r="U26">
        <f>'Team and Player Stats'!U6</f>
        <v>11</v>
      </c>
      <c r="V26">
        <f>'Team and Player Stats'!V6</f>
        <v>3</v>
      </c>
      <c r="W26">
        <f>'Team and Player Stats'!W6</f>
        <v>0</v>
      </c>
      <c r="X26">
        <f>'Team and Player Stats'!X6</f>
        <v>0</v>
      </c>
      <c r="Y26">
        <f>'Team and Player Stats'!Y6</f>
        <v>0</v>
      </c>
      <c r="Z26">
        <f>'Team and Player Stats'!Z6</f>
        <v>0</v>
      </c>
      <c r="AA26">
        <f>'Team and Player Stats'!AA6</f>
        <v>0</v>
      </c>
      <c r="AB26">
        <f>'Team and Player Stats'!AB6</f>
        <v>0</v>
      </c>
      <c r="AC26">
        <f>'Team and Player Stats'!AC6</f>
        <v>21</v>
      </c>
      <c r="AD26">
        <f>'Team and Player Stats'!AD6</f>
        <v>1</v>
      </c>
      <c r="AE26">
        <f>'Team and Player Stats'!AE6</f>
        <v>0</v>
      </c>
      <c r="AF26">
        <f>'Team and Player Stats'!AF6</f>
        <v>0</v>
      </c>
      <c r="AG26">
        <f>'Team and Player Stats'!AG6</f>
        <v>0</v>
      </c>
      <c r="AH26">
        <f>'Team and Player Stats'!AH6</f>
        <v>0</v>
      </c>
    </row>
    <row r="27">
      <c r="A27" s="97" t="str">
        <f>'Team and Player Stats'!B21</f>
        <v>caleb loves you</v>
      </c>
      <c r="B27" s="97" t="str">
        <f>'Team and Player Stats'!A21</f>
        <v>Junkyard Dogs</v>
      </c>
      <c r="C27" s="97">
        <f>'Team and Player Stats'!C21</f>
        <v>2</v>
      </c>
      <c r="D27" s="97">
        <f>'Team and Player Stats'!D21</f>
        <v>0</v>
      </c>
      <c r="E27" s="98">
        <f>'Team and Player Stats'!E21</f>
        <v>36</v>
      </c>
      <c r="F27" s="97">
        <f>'Team and Player Stats'!F21</f>
        <v>0</v>
      </c>
      <c r="G27" s="97">
        <f>'Team and Player Stats'!G21</f>
        <v>109</v>
      </c>
      <c r="H27" s="97">
        <f>'Team and Player Stats'!H21</f>
        <v>0</v>
      </c>
      <c r="I27" s="97">
        <f>'Team and Player Stats'!I21</f>
        <v>115</v>
      </c>
      <c r="J27" s="97">
        <f>'Team and Player Stats'!J21</f>
        <v>-6</v>
      </c>
      <c r="K27" s="99">
        <f>'Team and Player Stats'!K21</f>
        <v>0.947826087</v>
      </c>
      <c r="L27" s="98">
        <f>'Team and Player Stats'!L21</f>
        <v>31</v>
      </c>
      <c r="M27" s="97">
        <f>'Team and Player Stats'!M21</f>
        <v>130</v>
      </c>
      <c r="N27" s="97">
        <f>'Team and Player Stats'!N21</f>
        <v>2</v>
      </c>
      <c r="O27" s="100">
        <f>'Team and Player Stats'!O21</f>
        <v>36</v>
      </c>
      <c r="P27" s="97">
        <f>'Team and Player Stats'!P21</f>
        <v>2</v>
      </c>
      <c r="Q27" s="97">
        <f>'Team and Player Stats'!Q21</f>
        <v>2</v>
      </c>
      <c r="R27" s="97">
        <f>'Team and Player Stats'!R21</f>
        <v>7</v>
      </c>
      <c r="S27" s="97">
        <f>'Team and Player Stats'!S21</f>
        <v>2</v>
      </c>
      <c r="T27" s="97">
        <f>'Team and Player Stats'!T21</f>
        <v>16</v>
      </c>
      <c r="U27" s="97">
        <f>'Team and Player Stats'!U21</f>
        <v>5</v>
      </c>
      <c r="V27" s="97">
        <f>'Team and Player Stats'!V21</f>
        <v>2</v>
      </c>
      <c r="W27" s="97">
        <f>'Team and Player Stats'!W21</f>
        <v>0</v>
      </c>
      <c r="X27" s="97">
        <f>'Team and Player Stats'!X21</f>
        <v>0</v>
      </c>
      <c r="Y27" s="97">
        <f>'Team and Player Stats'!Y21</f>
        <v>0</v>
      </c>
      <c r="Z27" s="97">
        <f>'Team and Player Stats'!Z21</f>
        <v>0</v>
      </c>
      <c r="AA27" s="97">
        <f>'Team and Player Stats'!AA21</f>
        <v>0</v>
      </c>
      <c r="AB27" s="97">
        <f>'Team and Player Stats'!AB21</f>
        <v>0</v>
      </c>
      <c r="AC27" s="97">
        <f>'Team and Player Stats'!AC21</f>
        <v>2</v>
      </c>
      <c r="AD27" s="97">
        <f>'Team and Player Stats'!AD21</f>
        <v>0</v>
      </c>
      <c r="AE27" s="97">
        <f>'Team and Player Stats'!AE21</f>
        <v>0</v>
      </c>
      <c r="AF27" s="97">
        <f>'Team and Player Stats'!AF21</f>
        <v>0</v>
      </c>
      <c r="AG27" s="97">
        <f>'Team and Player Stats'!AG21</f>
        <v>0</v>
      </c>
      <c r="AH27" s="97">
        <f>'Team and Player Stats'!AH21</f>
        <v>0</v>
      </c>
    </row>
    <row r="28">
      <c r="A28" t="str">
        <f>'Team and Player Stats'!B49</f>
        <v>Almighty Tycoon</v>
      </c>
      <c r="B28" t="str">
        <f>'Team and Player Stats'!A49</f>
        <v>Failure to Launch</v>
      </c>
      <c r="C28">
        <f>'Team and Player Stats'!C49</f>
        <v>9</v>
      </c>
      <c r="D28">
        <f>'Team and Player Stats'!D49</f>
        <v>6</v>
      </c>
      <c r="E28" s="101">
        <f>'Team and Player Stats'!E49</f>
        <v>297.3333333</v>
      </c>
      <c r="F28">
        <f>'Team and Player Stats'!F49</f>
        <v>1</v>
      </c>
      <c r="G28">
        <f>'Team and Player Stats'!G49</f>
        <v>993</v>
      </c>
      <c r="H28">
        <f>'Team and Player Stats'!H49</f>
        <v>2</v>
      </c>
      <c r="I28">
        <f>'Team and Player Stats'!I49</f>
        <v>1051</v>
      </c>
      <c r="J28">
        <f>'Team and Player Stats'!J49</f>
        <v>-58</v>
      </c>
      <c r="K28" s="102">
        <f>'Team and Player Stats'!K49</f>
        <v>0.9448144624</v>
      </c>
      <c r="L28" s="101">
        <f>'Team and Player Stats'!L49</f>
        <v>127</v>
      </c>
      <c r="M28">
        <f>'Team and Player Stats'!M49</f>
        <v>1305</v>
      </c>
      <c r="N28">
        <f>'Team and Player Stats'!N49</f>
        <v>9</v>
      </c>
      <c r="O28" s="103">
        <f>'Team and Player Stats'!O49</f>
        <v>297.3333333</v>
      </c>
      <c r="P28">
        <f>'Team and Player Stats'!P49</f>
        <v>34</v>
      </c>
      <c r="Q28">
        <f>'Team and Player Stats'!Q49</f>
        <v>28</v>
      </c>
      <c r="R28">
        <f>'Team and Player Stats'!R49</f>
        <v>81</v>
      </c>
      <c r="S28">
        <f>'Team and Player Stats'!S49</f>
        <v>18</v>
      </c>
      <c r="T28">
        <f>'Team and Player Stats'!T49</f>
        <v>141</v>
      </c>
      <c r="U28">
        <f>'Team and Player Stats'!U49</f>
        <v>33</v>
      </c>
      <c r="V28">
        <f>'Team and Player Stats'!V49</f>
        <v>13</v>
      </c>
      <c r="W28">
        <f>'Team and Player Stats'!W49</f>
        <v>4</v>
      </c>
      <c r="X28">
        <f>'Team and Player Stats'!X49</f>
        <v>1</v>
      </c>
      <c r="Y28">
        <f>'Team and Player Stats'!Y49</f>
        <v>1</v>
      </c>
      <c r="Z28">
        <f>'Team and Player Stats'!Z49</f>
        <v>1</v>
      </c>
      <c r="AA28">
        <f>'Team and Player Stats'!AA49</f>
        <v>1</v>
      </c>
      <c r="AB28">
        <f>'Team and Player Stats'!AB49</f>
        <v>0</v>
      </c>
      <c r="AC28">
        <f>'Team and Player Stats'!AC49</f>
        <v>22</v>
      </c>
      <c r="AD28">
        <f>'Team and Player Stats'!AD49</f>
        <v>1</v>
      </c>
      <c r="AE28">
        <f>'Team and Player Stats'!AE49</f>
        <v>0</v>
      </c>
      <c r="AF28">
        <f>'Team and Player Stats'!AF49</f>
        <v>0</v>
      </c>
      <c r="AG28">
        <f>'Team and Player Stats'!AG49</f>
        <v>1</v>
      </c>
      <c r="AH28">
        <f>'Team and Player Stats'!AH49</f>
        <v>0</v>
      </c>
    </row>
    <row r="29">
      <c r="A29" s="97" t="str">
        <f>'Team and Player Stats'!B12</f>
        <v>The Corn Ninja</v>
      </c>
      <c r="B29" s="97" t="str">
        <f>'Team and Player Stats'!A12</f>
        <v>In MuNgO We Trust</v>
      </c>
      <c r="C29" s="97">
        <f>'Team and Player Stats'!C12</f>
        <v>13</v>
      </c>
      <c r="D29" s="97">
        <f>'Team and Player Stats'!D12</f>
        <v>7</v>
      </c>
      <c r="E29" s="98">
        <f>'Team and Player Stats'!E12</f>
        <v>439.9666667</v>
      </c>
      <c r="F29" s="97">
        <f>'Team and Player Stats'!F12</f>
        <v>42</v>
      </c>
      <c r="G29" s="97">
        <f>'Team and Player Stats'!G12</f>
        <v>969</v>
      </c>
      <c r="H29" s="97">
        <f>'Team and Player Stats'!H12</f>
        <v>4</v>
      </c>
      <c r="I29" s="97">
        <f>'Team and Player Stats'!I12</f>
        <v>1039</v>
      </c>
      <c r="J29" s="97">
        <f>'Team and Player Stats'!J12</f>
        <v>-70</v>
      </c>
      <c r="K29" s="99">
        <f>'Team and Player Stats'!K12</f>
        <v>0.9326275265</v>
      </c>
      <c r="L29" s="98">
        <f>'Team and Player Stats'!L12</f>
        <v>295</v>
      </c>
      <c r="M29" s="97">
        <f>'Team and Player Stats'!M12</f>
        <v>1224</v>
      </c>
      <c r="N29" s="97">
        <f>'Team and Player Stats'!N12</f>
        <v>13</v>
      </c>
      <c r="O29" s="100">
        <f>'Team and Player Stats'!O12</f>
        <v>439.9666667</v>
      </c>
      <c r="P29" s="97">
        <f>'Team and Player Stats'!P12</f>
        <v>59</v>
      </c>
      <c r="Q29" s="97">
        <f>'Team and Player Stats'!Q12</f>
        <v>13</v>
      </c>
      <c r="R29" s="97">
        <f>'Team and Player Stats'!R12</f>
        <v>31</v>
      </c>
      <c r="S29" s="97">
        <f>'Team and Player Stats'!S12</f>
        <v>30</v>
      </c>
      <c r="T29" s="97">
        <f>'Team and Player Stats'!T12</f>
        <v>89</v>
      </c>
      <c r="U29" s="97">
        <f>'Team and Player Stats'!U12</f>
        <v>15</v>
      </c>
      <c r="V29" s="97">
        <f>'Team and Player Stats'!V12</f>
        <v>5</v>
      </c>
      <c r="W29" s="97">
        <f>'Team and Player Stats'!W12</f>
        <v>0</v>
      </c>
      <c r="X29" s="97">
        <f>'Team and Player Stats'!X12</f>
        <v>0</v>
      </c>
      <c r="Y29" s="97">
        <f>'Team and Player Stats'!Y12</f>
        <v>0</v>
      </c>
      <c r="Z29" s="97">
        <f>'Team and Player Stats'!Z12</f>
        <v>0</v>
      </c>
      <c r="AA29" s="97">
        <f>'Team and Player Stats'!AA12</f>
        <v>0</v>
      </c>
      <c r="AB29" s="97">
        <f>'Team and Player Stats'!AB12</f>
        <v>0</v>
      </c>
      <c r="AC29" s="97">
        <f>'Team and Player Stats'!AC12</f>
        <v>16</v>
      </c>
      <c r="AD29" s="97">
        <f>'Team and Player Stats'!AD12</f>
        <v>0</v>
      </c>
      <c r="AE29" s="97">
        <f>'Team and Player Stats'!AE12</f>
        <v>0</v>
      </c>
      <c r="AF29" s="97">
        <f>'Team and Player Stats'!AF12</f>
        <v>0</v>
      </c>
      <c r="AG29" s="97">
        <f>'Team and Player Stats'!AG12</f>
        <v>0</v>
      </c>
      <c r="AH29" s="97">
        <f>'Team and Player Stats'!AH12</f>
        <v>0</v>
      </c>
    </row>
    <row r="30">
      <c r="A30" t="str">
        <f>'Team and Player Stats'!B61</f>
        <v>Perturbingly</v>
      </c>
      <c r="B30" t="str">
        <f>'Team and Player Stats'!A61</f>
        <v>Hypest</v>
      </c>
      <c r="C30">
        <f>'Team and Player Stats'!C61</f>
        <v>20</v>
      </c>
      <c r="D30">
        <f>'Team and Player Stats'!D61</f>
        <v>13</v>
      </c>
      <c r="E30" s="101">
        <f>'Team and Player Stats'!E61</f>
        <v>378.2666667</v>
      </c>
      <c r="F30">
        <f>'Team and Player Stats'!F61</f>
        <v>16</v>
      </c>
      <c r="G30">
        <f>'Team and Player Stats'!G61</f>
        <v>991</v>
      </c>
      <c r="H30">
        <f>'Team and Player Stats'!H61</f>
        <v>6</v>
      </c>
      <c r="I30">
        <f>'Team and Player Stats'!I61</f>
        <v>1063</v>
      </c>
      <c r="J30">
        <f>'Team and Player Stats'!J61</f>
        <v>-72</v>
      </c>
      <c r="K30" s="102">
        <f>'Team and Player Stats'!K61</f>
        <v>0.9322671684</v>
      </c>
      <c r="L30" s="101">
        <f>'Team and Player Stats'!L61</f>
        <v>348</v>
      </c>
      <c r="M30">
        <f>'Team and Player Stats'!M61</f>
        <v>1137</v>
      </c>
      <c r="N30">
        <f>'Team and Player Stats'!N61</f>
        <v>19</v>
      </c>
      <c r="O30" s="103">
        <f>'Team and Player Stats'!O61</f>
        <v>350.2666667</v>
      </c>
      <c r="P30">
        <f>'Team and Player Stats'!P61</f>
        <v>41</v>
      </c>
      <c r="Q30">
        <f>'Team and Player Stats'!Q61</f>
        <v>20</v>
      </c>
      <c r="R30">
        <f>'Team and Player Stats'!R61</f>
        <v>71</v>
      </c>
      <c r="S30">
        <f>'Team and Player Stats'!S61</f>
        <v>24</v>
      </c>
      <c r="T30">
        <f>'Team and Player Stats'!T61</f>
        <v>117</v>
      </c>
      <c r="U30">
        <f>'Team and Player Stats'!U61</f>
        <v>27</v>
      </c>
      <c r="V30">
        <f>'Team and Player Stats'!V61</f>
        <v>6</v>
      </c>
      <c r="W30">
        <f>'Team and Player Stats'!W61</f>
        <v>2</v>
      </c>
      <c r="X30">
        <f>'Team and Player Stats'!X61</f>
        <v>1</v>
      </c>
      <c r="Y30">
        <f>'Team and Player Stats'!Y61</f>
        <v>0</v>
      </c>
      <c r="Z30">
        <f>'Team and Player Stats'!Z61</f>
        <v>0</v>
      </c>
      <c r="AA30">
        <f>'Team and Player Stats'!AA61</f>
        <v>0</v>
      </c>
      <c r="AB30">
        <f>'Team and Player Stats'!AB61</f>
        <v>0</v>
      </c>
      <c r="AC30">
        <f>'Team and Player Stats'!AC61</f>
        <v>16</v>
      </c>
      <c r="AD30">
        <f>'Team and Player Stats'!AD61</f>
        <v>1</v>
      </c>
      <c r="AE30">
        <f>'Team and Player Stats'!AE61</f>
        <v>0</v>
      </c>
      <c r="AF30">
        <f>'Team and Player Stats'!AF61</f>
        <v>0</v>
      </c>
      <c r="AG30">
        <f>'Team and Player Stats'!AG61</f>
        <v>1</v>
      </c>
      <c r="AH30">
        <f>'Team and Player Stats'!AH61</f>
        <v>0</v>
      </c>
    </row>
    <row r="31">
      <c r="A31" s="97" t="str">
        <f>'Team and Player Stats'!B13</f>
        <v>AtoneMilitant</v>
      </c>
      <c r="B31" s="97" t="str">
        <f>'Team and Player Stats'!A13</f>
        <v>In MuNgO We Trust</v>
      </c>
      <c r="C31" s="97">
        <f>'Team and Player Stats'!C13</f>
        <v>13</v>
      </c>
      <c r="D31" s="97">
        <f>'Team and Player Stats'!D13</f>
        <v>7</v>
      </c>
      <c r="E31" s="98">
        <f>'Team and Player Stats'!E13</f>
        <v>457.9166667</v>
      </c>
      <c r="F31" s="97">
        <f>'Team and Player Stats'!F13</f>
        <v>4</v>
      </c>
      <c r="G31" s="97">
        <f>'Team and Player Stats'!G13</f>
        <v>1481</v>
      </c>
      <c r="H31" s="97">
        <f>'Team and Player Stats'!H13</f>
        <v>12</v>
      </c>
      <c r="I31" s="97">
        <f>'Team and Player Stats'!I13</f>
        <v>1595</v>
      </c>
      <c r="J31" s="97">
        <f>'Team and Player Stats'!J13</f>
        <v>-114</v>
      </c>
      <c r="K31" s="99">
        <f>'Team and Player Stats'!K13</f>
        <v>0.9285266458</v>
      </c>
      <c r="L31" s="98">
        <f>'Team and Player Stats'!L13</f>
        <v>186</v>
      </c>
      <c r="M31" s="97">
        <f>'Team and Player Stats'!M13</f>
        <v>1871</v>
      </c>
      <c r="N31" s="97">
        <f>'Team and Player Stats'!N13</f>
        <v>13</v>
      </c>
      <c r="O31" s="100">
        <f>'Team and Player Stats'!O13</f>
        <v>457.9166667</v>
      </c>
      <c r="P31" s="97">
        <f>'Team and Player Stats'!P13</f>
        <v>42</v>
      </c>
      <c r="Q31" s="97">
        <f>'Team and Player Stats'!Q13</f>
        <v>27</v>
      </c>
      <c r="R31" s="97">
        <f>'Team and Player Stats'!R13</f>
        <v>137</v>
      </c>
      <c r="S31" s="97">
        <f>'Team and Player Stats'!S13</f>
        <v>31</v>
      </c>
      <c r="T31" s="97">
        <f>'Team and Player Stats'!T13</f>
        <v>206</v>
      </c>
      <c r="U31" s="97">
        <f>'Team and Player Stats'!U13</f>
        <v>33</v>
      </c>
      <c r="V31" s="97">
        <f>'Team and Player Stats'!V13</f>
        <v>8</v>
      </c>
      <c r="W31" s="97">
        <f>'Team and Player Stats'!W13</f>
        <v>3</v>
      </c>
      <c r="X31" s="97">
        <f>'Team and Player Stats'!X13</f>
        <v>1</v>
      </c>
      <c r="Y31" s="97">
        <f>'Team and Player Stats'!Y13</f>
        <v>0</v>
      </c>
      <c r="Z31" s="97">
        <f>'Team and Player Stats'!Z13</f>
        <v>0</v>
      </c>
      <c r="AA31" s="97">
        <f>'Team and Player Stats'!AA13</f>
        <v>0</v>
      </c>
      <c r="AB31" s="97">
        <f>'Team and Player Stats'!AB13</f>
        <v>0</v>
      </c>
      <c r="AC31" s="97">
        <f>'Team and Player Stats'!AC13</f>
        <v>27</v>
      </c>
      <c r="AD31" s="97">
        <f>'Team and Player Stats'!AD13</f>
        <v>0</v>
      </c>
      <c r="AE31" s="97">
        <f>'Team and Player Stats'!AE13</f>
        <v>0</v>
      </c>
      <c r="AF31" s="97">
        <f>'Team and Player Stats'!AF13</f>
        <v>0</v>
      </c>
      <c r="AG31" s="97">
        <f>'Team and Player Stats'!AG13</f>
        <v>0</v>
      </c>
      <c r="AH31" s="97">
        <f>'Team and Player Stats'!AH13</f>
        <v>0</v>
      </c>
    </row>
    <row r="32">
      <c r="A32" t="str">
        <f>'Team and Player Stats'!B45</f>
        <v>Priest XYZ</v>
      </c>
      <c r="B32" t="str">
        <f>'Team and Player Stats'!A45</f>
        <v>Failure to Launch</v>
      </c>
      <c r="C32">
        <f>'Team and Player Stats'!C45</f>
        <v>17</v>
      </c>
      <c r="D32">
        <f>'Team and Player Stats'!D45</f>
        <v>10</v>
      </c>
      <c r="E32" s="101">
        <f>'Team and Player Stats'!E45</f>
        <v>487.7666667</v>
      </c>
      <c r="F32">
        <f>'Team and Player Stats'!F45</f>
        <v>49</v>
      </c>
      <c r="G32">
        <f>'Team and Player Stats'!G45</f>
        <v>971</v>
      </c>
      <c r="H32">
        <f>'Team and Player Stats'!H45</f>
        <v>9</v>
      </c>
      <c r="I32">
        <f>'Team and Player Stats'!I45</f>
        <v>1046</v>
      </c>
      <c r="J32">
        <f>'Team and Player Stats'!J45</f>
        <v>-75</v>
      </c>
      <c r="K32" s="102">
        <f>'Team and Player Stats'!K45</f>
        <v>0.9282982792</v>
      </c>
      <c r="L32" s="101">
        <f>'Team and Player Stats'!L45</f>
        <v>421</v>
      </c>
      <c r="M32">
        <f>'Team and Player Stats'!M45</f>
        <v>1248</v>
      </c>
      <c r="N32">
        <f>'Team and Player Stats'!N45</f>
        <v>17</v>
      </c>
      <c r="O32" s="103">
        <f>'Team and Player Stats'!O45</f>
        <v>487.7666667</v>
      </c>
      <c r="P32">
        <f>'Team and Player Stats'!P45</f>
        <v>48</v>
      </c>
      <c r="Q32">
        <f>'Team and Player Stats'!Q45</f>
        <v>40</v>
      </c>
      <c r="R32">
        <f>'Team and Player Stats'!R45</f>
        <v>53</v>
      </c>
      <c r="S32">
        <f>'Team and Player Stats'!S45</f>
        <v>22</v>
      </c>
      <c r="T32">
        <f>'Team and Player Stats'!T45</f>
        <v>103</v>
      </c>
      <c r="U32">
        <f>'Team and Player Stats'!U45</f>
        <v>13</v>
      </c>
      <c r="V32">
        <f>'Team and Player Stats'!V45</f>
        <v>4</v>
      </c>
      <c r="W32">
        <f>'Team and Player Stats'!W45</f>
        <v>0</v>
      </c>
      <c r="X32">
        <f>'Team and Player Stats'!X45</f>
        <v>0</v>
      </c>
      <c r="Y32">
        <f>'Team and Player Stats'!Y45</f>
        <v>0</v>
      </c>
      <c r="Z32">
        <f>'Team and Player Stats'!Z45</f>
        <v>0</v>
      </c>
      <c r="AA32">
        <f>'Team and Player Stats'!AA45</f>
        <v>0</v>
      </c>
      <c r="AB32">
        <f>'Team and Player Stats'!AB45</f>
        <v>0</v>
      </c>
      <c r="AC32">
        <f>'Team and Player Stats'!AC45</f>
        <v>17</v>
      </c>
      <c r="AD32">
        <f>'Team and Player Stats'!AD45</f>
        <v>1</v>
      </c>
      <c r="AE32">
        <f>'Team and Player Stats'!AE45</f>
        <v>0</v>
      </c>
      <c r="AF32">
        <f>'Team and Player Stats'!AF45</f>
        <v>0</v>
      </c>
      <c r="AG32">
        <f>'Team and Player Stats'!AG45</f>
        <v>0</v>
      </c>
      <c r="AH32">
        <f>'Team and Player Stats'!AH45</f>
        <v>0</v>
      </c>
    </row>
    <row r="33">
      <c r="A33" s="97" t="str">
        <f>'Team and Player Stats'!B60</f>
        <v>Blootzy</v>
      </c>
      <c r="B33" s="97" t="str">
        <f>'Team and Player Stats'!A60</f>
        <v>Hypest</v>
      </c>
      <c r="C33" s="97">
        <f>'Team and Player Stats'!C60</f>
        <v>20</v>
      </c>
      <c r="D33" s="97">
        <f>'Team and Player Stats'!D60</f>
        <v>13</v>
      </c>
      <c r="E33" s="98">
        <f>'Team and Player Stats'!E60</f>
        <v>377.2166667</v>
      </c>
      <c r="F33" s="97">
        <f>'Team and Player Stats'!F60</f>
        <v>8</v>
      </c>
      <c r="G33" s="97">
        <f>'Team and Player Stats'!G60</f>
        <v>1417</v>
      </c>
      <c r="H33" s="97">
        <f>'Team and Player Stats'!H60</f>
        <v>12</v>
      </c>
      <c r="I33" s="97">
        <f>'Team and Player Stats'!I60</f>
        <v>1530</v>
      </c>
      <c r="J33" s="97">
        <f>'Team and Player Stats'!J60</f>
        <v>-113</v>
      </c>
      <c r="K33" s="99">
        <f>'Team and Player Stats'!K60</f>
        <v>0.9261437908</v>
      </c>
      <c r="L33" s="98">
        <f>'Team and Player Stats'!L60</f>
        <v>213</v>
      </c>
      <c r="M33" s="97">
        <f>'Team and Player Stats'!M60</f>
        <v>1682</v>
      </c>
      <c r="N33" s="97">
        <f>'Team and Player Stats'!N60</f>
        <v>19</v>
      </c>
      <c r="O33" s="100">
        <f>'Team and Player Stats'!O60</f>
        <v>349.2166667</v>
      </c>
      <c r="P33" s="97">
        <f>'Team and Player Stats'!P60</f>
        <v>57</v>
      </c>
      <c r="Q33" s="97">
        <f>'Team and Player Stats'!Q60</f>
        <v>38</v>
      </c>
      <c r="R33" s="97">
        <f>'Team and Player Stats'!R60</f>
        <v>91</v>
      </c>
      <c r="S33" s="97">
        <f>'Team and Player Stats'!S60</f>
        <v>17</v>
      </c>
      <c r="T33" s="97">
        <f>'Team and Player Stats'!T60</f>
        <v>224</v>
      </c>
      <c r="U33" s="97">
        <f>'Team and Player Stats'!U60</f>
        <v>41</v>
      </c>
      <c r="V33" s="97">
        <f>'Team and Player Stats'!V60</f>
        <v>16</v>
      </c>
      <c r="W33" s="97">
        <f>'Team and Player Stats'!W60</f>
        <v>3</v>
      </c>
      <c r="X33" s="97">
        <f>'Team and Player Stats'!X60</f>
        <v>2</v>
      </c>
      <c r="Y33" s="97">
        <f>'Team and Player Stats'!Y60</f>
        <v>2</v>
      </c>
      <c r="Z33" s="97">
        <f>'Team and Player Stats'!Z60</f>
        <v>0</v>
      </c>
      <c r="AA33" s="97">
        <f>'Team and Player Stats'!AA60</f>
        <v>0</v>
      </c>
      <c r="AB33" s="97">
        <f>'Team and Player Stats'!AB60</f>
        <v>0</v>
      </c>
      <c r="AC33" s="97">
        <f>'Team and Player Stats'!AC60</f>
        <v>19</v>
      </c>
      <c r="AD33" s="97">
        <f>'Team and Player Stats'!AD60</f>
        <v>0</v>
      </c>
      <c r="AE33" s="97">
        <f>'Team and Player Stats'!AE60</f>
        <v>0</v>
      </c>
      <c r="AF33" s="97">
        <f>'Team and Player Stats'!AF60</f>
        <v>0</v>
      </c>
      <c r="AG33" s="97">
        <f>'Team and Player Stats'!AG60</f>
        <v>1</v>
      </c>
      <c r="AH33" s="97">
        <f>'Team and Player Stats'!AH60</f>
        <v>0</v>
      </c>
    </row>
    <row r="34">
      <c r="A34" t="str">
        <f>'Team and Player Stats'!B68</f>
        <v>Liion Wiins</v>
      </c>
      <c r="B34" t="str">
        <f>'Team and Player Stats'!A68</f>
        <v>Monstars</v>
      </c>
      <c r="C34">
        <f>'Team and Player Stats'!C68</f>
        <v>20</v>
      </c>
      <c r="D34">
        <f>'Team and Player Stats'!D68</f>
        <v>16</v>
      </c>
      <c r="E34" s="101">
        <f>'Team and Player Stats'!E68</f>
        <v>378.4333333</v>
      </c>
      <c r="F34">
        <f>'Team and Player Stats'!F68</f>
        <v>3</v>
      </c>
      <c r="G34">
        <f>'Team and Player Stats'!G68</f>
        <v>1312</v>
      </c>
      <c r="H34">
        <f>'Team and Player Stats'!H68</f>
        <v>7</v>
      </c>
      <c r="I34">
        <f>'Team and Player Stats'!I68</f>
        <v>1418</v>
      </c>
      <c r="J34">
        <f>'Team and Player Stats'!J68</f>
        <v>-106</v>
      </c>
      <c r="K34" s="102">
        <f>'Team and Player Stats'!K68</f>
        <v>0.9252468265</v>
      </c>
      <c r="L34" s="101">
        <f>'Team and Player Stats'!L68</f>
        <v>264</v>
      </c>
      <c r="M34">
        <f>'Team and Player Stats'!M68</f>
        <v>1613</v>
      </c>
      <c r="N34">
        <f>'Team and Player Stats'!N68</f>
        <v>17</v>
      </c>
      <c r="O34" s="103">
        <f>'Team and Player Stats'!O68</f>
        <v>343.4333333</v>
      </c>
      <c r="P34">
        <f>'Team and Player Stats'!P68</f>
        <v>36</v>
      </c>
      <c r="Q34">
        <f>'Team and Player Stats'!Q68</f>
        <v>14</v>
      </c>
      <c r="R34">
        <f>'Team and Player Stats'!R68</f>
        <v>71</v>
      </c>
      <c r="S34">
        <f>'Team and Player Stats'!S68</f>
        <v>20</v>
      </c>
      <c r="T34">
        <f>'Team and Player Stats'!T68</f>
        <v>183</v>
      </c>
      <c r="U34">
        <f>'Team and Player Stats'!U68</f>
        <v>40</v>
      </c>
      <c r="V34">
        <f>'Team and Player Stats'!V68</f>
        <v>7</v>
      </c>
      <c r="W34">
        <f>'Team and Player Stats'!W68</f>
        <v>3</v>
      </c>
      <c r="X34">
        <f>'Team and Player Stats'!X68</f>
        <v>0</v>
      </c>
      <c r="Y34">
        <f>'Team and Player Stats'!Y68</f>
        <v>0</v>
      </c>
      <c r="Z34">
        <f>'Team and Player Stats'!Z68</f>
        <v>0</v>
      </c>
      <c r="AA34">
        <f>'Team and Player Stats'!AA68</f>
        <v>0</v>
      </c>
      <c r="AB34">
        <f>'Team and Player Stats'!AB68</f>
        <v>0</v>
      </c>
      <c r="AC34">
        <f>'Team and Player Stats'!AC68</f>
        <v>16</v>
      </c>
      <c r="AD34">
        <f>'Team and Player Stats'!AD68</f>
        <v>0</v>
      </c>
      <c r="AE34">
        <f>'Team and Player Stats'!AE68</f>
        <v>0</v>
      </c>
      <c r="AF34">
        <f>'Team and Player Stats'!AF68</f>
        <v>0</v>
      </c>
      <c r="AG34">
        <f>'Team and Player Stats'!AG68</f>
        <v>1</v>
      </c>
      <c r="AH34">
        <f>'Team and Player Stats'!AH68</f>
        <v>0</v>
      </c>
    </row>
    <row r="35">
      <c r="A35" s="97" t="str">
        <f>'Team and Player Stats'!B3</f>
        <v>Trespa5s </v>
      </c>
      <c r="B35" s="97" t="str">
        <f>'Team and Player Stats'!A3</f>
        <v>Defiance</v>
      </c>
      <c r="C35" s="97">
        <f>'Team and Player Stats'!C3</f>
        <v>14</v>
      </c>
      <c r="D35" s="97">
        <f>'Team and Player Stats'!D3</f>
        <v>8</v>
      </c>
      <c r="E35" s="98">
        <f>'Team and Player Stats'!E3</f>
        <v>419</v>
      </c>
      <c r="F35" s="97">
        <f>'Team and Player Stats'!F3</f>
        <v>4</v>
      </c>
      <c r="G35" s="97">
        <f>'Team and Player Stats'!G3</f>
        <v>1276</v>
      </c>
      <c r="H35" s="97">
        <f>'Team and Player Stats'!H3</f>
        <v>2</v>
      </c>
      <c r="I35" s="97">
        <f>'Team and Player Stats'!I3</f>
        <v>1388</v>
      </c>
      <c r="J35" s="97">
        <f>'Team and Player Stats'!J3</f>
        <v>-112</v>
      </c>
      <c r="K35" s="99">
        <f>'Team and Player Stats'!K3</f>
        <v>0.9193083573</v>
      </c>
      <c r="L35" s="98">
        <f>'Team and Player Stats'!L3</f>
        <v>239</v>
      </c>
      <c r="M35" s="97">
        <f>'Team and Player Stats'!M3</f>
        <v>1527</v>
      </c>
      <c r="N35" s="97">
        <f>'Team and Player Stats'!N3</f>
        <v>13</v>
      </c>
      <c r="O35" s="100">
        <f>'Team and Player Stats'!O3</f>
        <v>419</v>
      </c>
      <c r="P35" s="97">
        <f>'Team and Player Stats'!P3</f>
        <v>29</v>
      </c>
      <c r="Q35" s="97">
        <f>'Team and Player Stats'!Q3</f>
        <v>9</v>
      </c>
      <c r="R35" s="97">
        <f>'Team and Player Stats'!R3</f>
        <v>98</v>
      </c>
      <c r="S35" s="97">
        <f>'Team and Player Stats'!S3</f>
        <v>18</v>
      </c>
      <c r="T35" s="97">
        <f>'Team and Player Stats'!T3</f>
        <v>151</v>
      </c>
      <c r="U35" s="97">
        <f>'Team and Player Stats'!U3</f>
        <v>26</v>
      </c>
      <c r="V35" s="97">
        <f>'Team and Player Stats'!V3</f>
        <v>7</v>
      </c>
      <c r="W35" s="97">
        <f>'Team and Player Stats'!W3</f>
        <v>1</v>
      </c>
      <c r="X35" s="97">
        <f>'Team and Player Stats'!X3</f>
        <v>1</v>
      </c>
      <c r="Y35" s="97">
        <f>'Team and Player Stats'!Y3</f>
        <v>0</v>
      </c>
      <c r="Z35" s="97">
        <f>'Team and Player Stats'!Z3</f>
        <v>0</v>
      </c>
      <c r="AA35" s="97">
        <f>'Team and Player Stats'!AA3</f>
        <v>0</v>
      </c>
      <c r="AB35" s="97">
        <f>'Team and Player Stats'!AB3</f>
        <v>0</v>
      </c>
      <c r="AC35" s="97">
        <f>'Team and Player Stats'!AC3</f>
        <v>19</v>
      </c>
      <c r="AD35" s="97">
        <f>'Team and Player Stats'!AD3</f>
        <v>0</v>
      </c>
      <c r="AE35" s="97">
        <f>'Team and Player Stats'!AE3</f>
        <v>0</v>
      </c>
      <c r="AF35" s="97">
        <f>'Team and Player Stats'!AF3</f>
        <v>0</v>
      </c>
      <c r="AG35" s="97">
        <f>'Team and Player Stats'!AG3</f>
        <v>1</v>
      </c>
      <c r="AH35" s="97">
        <f>'Team and Player Stats'!AH3</f>
        <v>0</v>
      </c>
    </row>
    <row r="36">
      <c r="A36" t="str">
        <f>'Team and Player Stats'!B52</f>
        <v>Doc Status</v>
      </c>
      <c r="B36" t="str">
        <f>'Team and Player Stats'!A52</f>
        <v>Silva's Connection</v>
      </c>
      <c r="C36">
        <f>'Team and Player Stats'!C52</f>
        <v>20</v>
      </c>
      <c r="D36">
        <f>'Team and Player Stats'!D52</f>
        <v>6</v>
      </c>
      <c r="E36" s="101">
        <f>'Team and Player Stats'!E52</f>
        <v>560.1333333</v>
      </c>
      <c r="F36">
        <f>'Team and Player Stats'!F52</f>
        <v>18</v>
      </c>
      <c r="G36">
        <f>'Team and Player Stats'!G52</f>
        <v>1680</v>
      </c>
      <c r="H36">
        <f>'Team and Player Stats'!H52</f>
        <v>9</v>
      </c>
      <c r="I36">
        <f>'Team and Player Stats'!I52</f>
        <v>1851</v>
      </c>
      <c r="J36">
        <f>'Team and Player Stats'!J52</f>
        <v>-171</v>
      </c>
      <c r="K36" s="102">
        <f>'Team and Player Stats'!K52</f>
        <v>0.9076175041</v>
      </c>
      <c r="L36" s="101">
        <f>'Team and Player Stats'!L52</f>
        <v>309</v>
      </c>
      <c r="M36">
        <f>'Team and Player Stats'!M52</f>
        <v>2097</v>
      </c>
      <c r="N36">
        <f>'Team and Player Stats'!N52</f>
        <v>20</v>
      </c>
      <c r="O36" s="103">
        <f>'Team and Player Stats'!O52</f>
        <v>560.1333333</v>
      </c>
      <c r="P36">
        <f>'Team and Player Stats'!P52</f>
        <v>73</v>
      </c>
      <c r="Q36">
        <f>'Team and Player Stats'!Q52</f>
        <v>30</v>
      </c>
      <c r="R36">
        <f>'Team and Player Stats'!R52</f>
        <v>103</v>
      </c>
      <c r="S36">
        <f>'Team and Player Stats'!S52</f>
        <v>36</v>
      </c>
      <c r="T36">
        <f>'Team and Player Stats'!T52</f>
        <v>202</v>
      </c>
      <c r="U36">
        <f>'Team and Player Stats'!U52</f>
        <v>36</v>
      </c>
      <c r="V36">
        <f>'Team and Player Stats'!V52</f>
        <v>6</v>
      </c>
      <c r="W36">
        <f>'Team and Player Stats'!W52</f>
        <v>3</v>
      </c>
      <c r="X36">
        <f>'Team and Player Stats'!X52</f>
        <v>1</v>
      </c>
      <c r="Y36">
        <f>'Team and Player Stats'!Y52</f>
        <v>0</v>
      </c>
      <c r="Z36">
        <f>'Team and Player Stats'!Z52</f>
        <v>0</v>
      </c>
      <c r="AA36">
        <f>'Team and Player Stats'!AA52</f>
        <v>0</v>
      </c>
      <c r="AB36">
        <f>'Team and Player Stats'!AB52</f>
        <v>0</v>
      </c>
      <c r="AC36">
        <f>'Team and Player Stats'!AC52</f>
        <v>26</v>
      </c>
      <c r="AD36">
        <f>'Team and Player Stats'!AD52</f>
        <v>1</v>
      </c>
      <c r="AE36">
        <f>'Team and Player Stats'!AE52</f>
        <v>0</v>
      </c>
      <c r="AF36">
        <f>'Team and Player Stats'!AF52</f>
        <v>0</v>
      </c>
      <c r="AG36">
        <f>'Team and Player Stats'!AG52</f>
        <v>0</v>
      </c>
      <c r="AH36">
        <f>'Team and Player Stats'!AH52</f>
        <v>4</v>
      </c>
    </row>
    <row r="37">
      <c r="A37" s="97" t="str">
        <f>'Team and Player Stats'!B34</f>
        <v>Myst The Cold</v>
      </c>
      <c r="B37" s="97" t="str">
        <f>'Team and Player Stats'!A34</f>
        <v>Truthless and the Truthlessettes</v>
      </c>
      <c r="C37" s="97">
        <f>'Team and Player Stats'!C34</f>
        <v>7</v>
      </c>
      <c r="D37" s="97">
        <f>'Team and Player Stats'!D34</f>
        <v>2</v>
      </c>
      <c r="E37" s="98">
        <f>'Team and Player Stats'!E34</f>
        <v>157.3166667</v>
      </c>
      <c r="F37" s="97">
        <f>'Team and Player Stats'!F34</f>
        <v>2</v>
      </c>
      <c r="G37" s="97">
        <f>'Team and Player Stats'!G34</f>
        <v>521</v>
      </c>
      <c r="H37" s="97">
        <f>'Team and Player Stats'!H34</f>
        <v>4</v>
      </c>
      <c r="I37" s="97">
        <f>'Team and Player Stats'!I34</f>
        <v>583</v>
      </c>
      <c r="J37" s="97">
        <f>'Team and Player Stats'!J34</f>
        <v>-62</v>
      </c>
      <c r="K37" s="99">
        <f>'Team and Player Stats'!K34</f>
        <v>0.8936535163</v>
      </c>
      <c r="L37" s="98">
        <f>'Team and Player Stats'!L34</f>
        <v>125</v>
      </c>
      <c r="M37" s="97">
        <f>'Team and Player Stats'!M34</f>
        <v>640</v>
      </c>
      <c r="N37" s="97">
        <f>'Team and Player Stats'!N34</f>
        <v>7</v>
      </c>
      <c r="O37" s="100">
        <f>'Team and Player Stats'!O34</f>
        <v>157.3166667</v>
      </c>
      <c r="P37" s="97">
        <f>'Team and Player Stats'!P34</f>
        <v>17</v>
      </c>
      <c r="Q37" s="97">
        <f>'Team and Player Stats'!Q34</f>
        <v>11</v>
      </c>
      <c r="R37" s="97">
        <f>'Team and Player Stats'!R34</f>
        <v>28</v>
      </c>
      <c r="S37" s="97">
        <f>'Team and Player Stats'!S34</f>
        <v>15</v>
      </c>
      <c r="T37" s="97">
        <f>'Team and Player Stats'!T34</f>
        <v>59</v>
      </c>
      <c r="U37" s="97">
        <f>'Team and Player Stats'!U34</f>
        <v>6</v>
      </c>
      <c r="V37" s="97">
        <f>'Team and Player Stats'!V34</f>
        <v>0</v>
      </c>
      <c r="W37" s="97">
        <f>'Team and Player Stats'!W34</f>
        <v>0</v>
      </c>
      <c r="X37" s="97">
        <f>'Team and Player Stats'!X34</f>
        <v>0</v>
      </c>
      <c r="Y37" s="97">
        <f>'Team and Player Stats'!Y34</f>
        <v>0</v>
      </c>
      <c r="Z37" s="97">
        <f>'Team and Player Stats'!Z34</f>
        <v>0</v>
      </c>
      <c r="AA37" s="97">
        <f>'Team and Player Stats'!AA34</f>
        <v>0</v>
      </c>
      <c r="AB37" s="97">
        <f>'Team and Player Stats'!AB34</f>
        <v>0</v>
      </c>
      <c r="AC37" s="97">
        <f>'Team and Player Stats'!AC34</f>
        <v>5</v>
      </c>
      <c r="AD37" s="97">
        <f>'Team and Player Stats'!AD34</f>
        <v>0</v>
      </c>
      <c r="AE37" s="97">
        <f>'Team and Player Stats'!AE34</f>
        <v>0</v>
      </c>
      <c r="AF37" s="97">
        <f>'Team and Player Stats'!AF34</f>
        <v>0</v>
      </c>
      <c r="AG37" s="97">
        <f>'Team and Player Stats'!AG34</f>
        <v>0</v>
      </c>
      <c r="AH37" s="97">
        <f>'Team and Player Stats'!AH34</f>
        <v>0</v>
      </c>
    </row>
    <row r="38">
      <c r="A38" t="str">
        <f>'Team and Player Stats'!B7</f>
        <v>The Eastbrook</v>
      </c>
      <c r="B38" t="str">
        <f>'Team and Player Stats'!A7</f>
        <v>Defiance</v>
      </c>
      <c r="C38">
        <f>'Team and Player Stats'!C7</f>
        <v>6</v>
      </c>
      <c r="D38">
        <f>'Team and Player Stats'!D7</f>
        <v>6</v>
      </c>
      <c r="E38" s="101">
        <f>'Team and Player Stats'!E7</f>
        <v>150</v>
      </c>
      <c r="F38">
        <f>'Team and Player Stats'!F7</f>
        <v>21</v>
      </c>
      <c r="G38">
        <f>'Team and Player Stats'!G7</f>
        <v>371</v>
      </c>
      <c r="H38">
        <f>'Team and Player Stats'!H7</f>
        <v>3</v>
      </c>
      <c r="I38">
        <f>'Team and Player Stats'!I7</f>
        <v>424</v>
      </c>
      <c r="J38">
        <f>'Team and Player Stats'!J7</f>
        <v>-53</v>
      </c>
      <c r="K38" s="102">
        <f>'Team and Player Stats'!K7</f>
        <v>0.875</v>
      </c>
      <c r="L38" s="101">
        <f>'Team and Player Stats'!L7</f>
        <v>101</v>
      </c>
      <c r="M38">
        <f>'Team and Player Stats'!M7</f>
        <v>478</v>
      </c>
      <c r="N38">
        <f>'Team and Player Stats'!N7</f>
        <v>4</v>
      </c>
      <c r="O38" s="103">
        <f>'Team and Player Stats'!O7</f>
        <v>115</v>
      </c>
      <c r="P38">
        <f>'Team and Player Stats'!P7</f>
        <v>16</v>
      </c>
      <c r="Q38">
        <f>'Team and Player Stats'!Q7</f>
        <v>16</v>
      </c>
      <c r="R38">
        <f>'Team and Player Stats'!R7</f>
        <v>4</v>
      </c>
      <c r="S38">
        <f>'Team and Player Stats'!S7</f>
        <v>6</v>
      </c>
      <c r="T38">
        <f>'Team and Player Stats'!T7</f>
        <v>29</v>
      </c>
      <c r="U38">
        <f>'Team and Player Stats'!U7</f>
        <v>5</v>
      </c>
      <c r="V38">
        <f>'Team and Player Stats'!V7</f>
        <v>0</v>
      </c>
      <c r="W38">
        <f>'Team and Player Stats'!W7</f>
        <v>0</v>
      </c>
      <c r="X38">
        <f>'Team and Player Stats'!X7</f>
        <v>0</v>
      </c>
      <c r="Y38">
        <f>'Team and Player Stats'!Y7</f>
        <v>0</v>
      </c>
      <c r="Z38">
        <f>'Team and Player Stats'!Z7</f>
        <v>0</v>
      </c>
      <c r="AA38">
        <f>'Team and Player Stats'!AA7</f>
        <v>0</v>
      </c>
      <c r="AB38">
        <f>'Team and Player Stats'!AB7</f>
        <v>0</v>
      </c>
      <c r="AC38">
        <f>'Team and Player Stats'!AC7</f>
        <v>5</v>
      </c>
      <c r="AD38">
        <f>'Team and Player Stats'!AD7</f>
        <v>0</v>
      </c>
      <c r="AE38">
        <f>'Team and Player Stats'!AE7</f>
        <v>0</v>
      </c>
      <c r="AF38">
        <f>'Team and Player Stats'!AF7</f>
        <v>0</v>
      </c>
      <c r="AG38">
        <f>'Team and Player Stats'!AG7</f>
        <v>0</v>
      </c>
      <c r="AH38">
        <f>'Team and Player Stats'!AH7</f>
        <v>1</v>
      </c>
    </row>
    <row r="39">
      <c r="A39" s="97" t="str">
        <f>'Team and Player Stats'!B76</f>
        <v>MsMeowlla</v>
      </c>
      <c r="B39" s="97" t="str">
        <f>'Team and Player Stats'!A76</f>
        <v>Mediocre at Best</v>
      </c>
      <c r="C39" s="97">
        <f>'Team and Player Stats'!C76</f>
        <v>20</v>
      </c>
      <c r="D39" s="97">
        <f>'Team and Player Stats'!D76</f>
        <v>10</v>
      </c>
      <c r="E39" s="98">
        <f>'Team and Player Stats'!E76</f>
        <v>394.5</v>
      </c>
      <c r="F39" s="97">
        <f>'Team and Player Stats'!F76</f>
        <v>3</v>
      </c>
      <c r="G39" s="97">
        <f>'Team and Player Stats'!G76</f>
        <v>1224</v>
      </c>
      <c r="H39" s="97">
        <f>'Team and Player Stats'!H76</f>
        <v>2</v>
      </c>
      <c r="I39" s="97">
        <f>'Team and Player Stats'!I76</f>
        <v>1434</v>
      </c>
      <c r="J39" s="97">
        <f>'Team and Player Stats'!J76</f>
        <v>-210</v>
      </c>
      <c r="K39" s="99">
        <f>'Team and Player Stats'!K76</f>
        <v>0.8535564854</v>
      </c>
      <c r="L39" s="98">
        <f>'Team and Player Stats'!L76</f>
        <v>295</v>
      </c>
      <c r="M39" s="97">
        <f>'Team and Player Stats'!M76</f>
        <v>1522</v>
      </c>
      <c r="N39" s="97">
        <f>'Team and Player Stats'!N76</f>
        <v>20</v>
      </c>
      <c r="O39" s="100">
        <f>'Team and Player Stats'!O76</f>
        <v>394.5</v>
      </c>
      <c r="P39" s="97">
        <f>'Team and Player Stats'!P76</f>
        <v>30</v>
      </c>
      <c r="Q39" s="97">
        <f>'Team and Player Stats'!Q76</f>
        <v>28</v>
      </c>
      <c r="R39" s="97">
        <f>'Team and Player Stats'!R76</f>
        <v>73</v>
      </c>
      <c r="S39" s="97">
        <f>'Team and Player Stats'!S76</f>
        <v>32</v>
      </c>
      <c r="T39" s="97">
        <f>'Team and Player Stats'!T76</f>
        <v>152</v>
      </c>
      <c r="U39" s="97">
        <f>'Team and Player Stats'!U76</f>
        <v>32</v>
      </c>
      <c r="V39" s="97">
        <f>'Team and Player Stats'!V76</f>
        <v>6</v>
      </c>
      <c r="W39" s="97">
        <f>'Team and Player Stats'!W76</f>
        <v>2</v>
      </c>
      <c r="X39" s="97">
        <f>'Team and Player Stats'!X76</f>
        <v>0</v>
      </c>
      <c r="Y39" s="97">
        <f>'Team and Player Stats'!Y76</f>
        <v>0</v>
      </c>
      <c r="Z39" s="97">
        <f>'Team and Player Stats'!Z76</f>
        <v>0</v>
      </c>
      <c r="AA39" s="97">
        <f>'Team and Player Stats'!AA76</f>
        <v>0</v>
      </c>
      <c r="AB39" s="97">
        <f>'Team and Player Stats'!AB76</f>
        <v>0</v>
      </c>
      <c r="AC39" s="97">
        <f>'Team and Player Stats'!AC76</f>
        <v>20</v>
      </c>
      <c r="AD39" s="97">
        <f>'Team and Player Stats'!AD76</f>
        <v>1</v>
      </c>
      <c r="AE39" s="97">
        <f>'Team and Player Stats'!AE76</f>
        <v>0</v>
      </c>
      <c r="AF39" s="97">
        <f>'Team and Player Stats'!AF76</f>
        <v>0</v>
      </c>
      <c r="AG39" s="97">
        <f>'Team and Player Stats'!AG76</f>
        <v>1</v>
      </c>
      <c r="AH39" s="97">
        <f>'Team and Player Stats'!AH76</f>
        <v>0</v>
      </c>
    </row>
    <row r="40">
      <c r="A40" t="str">
        <f>'Team and Player Stats'!B74</f>
        <v>iRobot 9000</v>
      </c>
      <c r="B40" t="str">
        <f>'Team and Player Stats'!A74</f>
        <v>Mediocre at Best</v>
      </c>
      <c r="C40">
        <f>'Team and Player Stats'!C74</f>
        <v>20</v>
      </c>
      <c r="D40">
        <f>'Team and Player Stats'!D74</f>
        <v>10</v>
      </c>
      <c r="E40" s="101">
        <f>'Team and Player Stats'!E74</f>
        <v>397.55</v>
      </c>
      <c r="F40">
        <f>'Team and Player Stats'!F74</f>
        <v>61</v>
      </c>
      <c r="G40">
        <f>'Team and Player Stats'!G74</f>
        <v>978</v>
      </c>
      <c r="H40">
        <f>'Team and Player Stats'!H74</f>
        <v>4</v>
      </c>
      <c r="I40">
        <f>'Team and Player Stats'!I74</f>
        <v>1157</v>
      </c>
      <c r="J40">
        <f>'Team and Player Stats'!J74</f>
        <v>-179</v>
      </c>
      <c r="K40" s="102">
        <f>'Team and Player Stats'!K74</f>
        <v>0.8452895419</v>
      </c>
      <c r="L40" s="101">
        <f>'Team and Player Stats'!L74</f>
        <v>404</v>
      </c>
      <c r="M40">
        <f>'Team and Player Stats'!M74</f>
        <v>1278</v>
      </c>
      <c r="N40">
        <f>'Team and Player Stats'!N74</f>
        <v>20</v>
      </c>
      <c r="O40" s="103">
        <f>'Team and Player Stats'!O74</f>
        <v>397.55</v>
      </c>
      <c r="P40">
        <f>'Team and Player Stats'!P74</f>
        <v>69</v>
      </c>
      <c r="Q40">
        <f>'Team and Player Stats'!Q74</f>
        <v>18</v>
      </c>
      <c r="R40">
        <f>'Team and Player Stats'!R74</f>
        <v>35</v>
      </c>
      <c r="S40">
        <f>'Team and Player Stats'!S74</f>
        <v>34</v>
      </c>
      <c r="T40">
        <f>'Team and Player Stats'!T74</f>
        <v>110</v>
      </c>
      <c r="U40">
        <f>'Team and Player Stats'!U74</f>
        <v>14</v>
      </c>
      <c r="V40">
        <f>'Team and Player Stats'!V74</f>
        <v>3</v>
      </c>
      <c r="W40">
        <f>'Team and Player Stats'!W74</f>
        <v>1</v>
      </c>
      <c r="X40">
        <f>'Team and Player Stats'!X74</f>
        <v>0</v>
      </c>
      <c r="Y40">
        <f>'Team and Player Stats'!Y74</f>
        <v>0</v>
      </c>
      <c r="Z40">
        <f>'Team and Player Stats'!Z74</f>
        <v>0</v>
      </c>
      <c r="AA40">
        <f>'Team and Player Stats'!AA74</f>
        <v>0</v>
      </c>
      <c r="AB40">
        <f>'Team and Player Stats'!AB74</f>
        <v>0</v>
      </c>
      <c r="AC40">
        <f>'Team and Player Stats'!AC74</f>
        <v>13</v>
      </c>
      <c r="AD40">
        <f>'Team and Player Stats'!AD74</f>
        <v>0</v>
      </c>
      <c r="AE40">
        <f>'Team and Player Stats'!AE74</f>
        <v>0</v>
      </c>
      <c r="AF40">
        <f>'Team and Player Stats'!AF74</f>
        <v>0</v>
      </c>
      <c r="AG40">
        <f>'Team and Player Stats'!AG74</f>
        <v>0</v>
      </c>
      <c r="AH40">
        <f>'Team and Player Stats'!AH74</f>
        <v>1</v>
      </c>
    </row>
    <row r="41">
      <c r="A41" s="97" t="str">
        <f>'Team and Player Stats'!B62</f>
        <v>Melvishdon</v>
      </c>
      <c r="B41" s="97" t="str">
        <f>'Team and Player Stats'!A62</f>
        <v>Hypest</v>
      </c>
      <c r="C41" s="97">
        <f>'Team and Player Stats'!C62</f>
        <v>20</v>
      </c>
      <c r="D41" s="97">
        <f>'Team and Player Stats'!D62</f>
        <v>13</v>
      </c>
      <c r="E41" s="98">
        <f>'Team and Player Stats'!E62</f>
        <v>377.1166667</v>
      </c>
      <c r="F41" s="97">
        <f>'Team and Player Stats'!F62</f>
        <v>17</v>
      </c>
      <c r="G41" s="97">
        <f>'Team and Player Stats'!G62</f>
        <v>1210</v>
      </c>
      <c r="H41" s="97">
        <f>'Team and Player Stats'!H62</f>
        <v>6</v>
      </c>
      <c r="I41" s="97">
        <f>'Team and Player Stats'!I62</f>
        <v>1433</v>
      </c>
      <c r="J41" s="97">
        <f>'Team and Player Stats'!J62</f>
        <v>-223</v>
      </c>
      <c r="K41" s="99">
        <f>'Team and Player Stats'!K62</f>
        <v>0.8443824145</v>
      </c>
      <c r="L41" s="98">
        <f>'Team and Player Stats'!L62</f>
        <v>246</v>
      </c>
      <c r="M41" s="97">
        <f>'Team and Player Stats'!M62</f>
        <v>1441</v>
      </c>
      <c r="N41" s="97">
        <f>'Team and Player Stats'!N62</f>
        <v>19</v>
      </c>
      <c r="O41" s="100">
        <f>'Team and Player Stats'!O62</f>
        <v>349.1166667</v>
      </c>
      <c r="P41" s="97">
        <f>'Team and Player Stats'!P62</f>
        <v>58</v>
      </c>
      <c r="Q41" s="97">
        <f>'Team and Player Stats'!Q62</f>
        <v>32</v>
      </c>
      <c r="R41" s="97">
        <f>'Team and Player Stats'!R62</f>
        <v>83</v>
      </c>
      <c r="S41" s="97">
        <f>'Team and Player Stats'!S62</f>
        <v>23</v>
      </c>
      <c r="T41" s="97">
        <f>'Team and Player Stats'!T62</f>
        <v>163</v>
      </c>
      <c r="U41" s="97">
        <f>'Team and Player Stats'!U62</f>
        <v>31</v>
      </c>
      <c r="V41" s="97">
        <f>'Team and Player Stats'!V62</f>
        <v>6</v>
      </c>
      <c r="W41" s="97">
        <f>'Team and Player Stats'!W62</f>
        <v>1</v>
      </c>
      <c r="X41" s="97">
        <f>'Team and Player Stats'!X62</f>
        <v>0</v>
      </c>
      <c r="Y41" s="97">
        <f>'Team and Player Stats'!Y62</f>
        <v>0</v>
      </c>
      <c r="Z41" s="97">
        <f>'Team and Player Stats'!Z62</f>
        <v>0</v>
      </c>
      <c r="AA41" s="97">
        <f>'Team and Player Stats'!AA62</f>
        <v>0</v>
      </c>
      <c r="AB41" s="97">
        <f>'Team and Player Stats'!AB62</f>
        <v>0</v>
      </c>
      <c r="AC41" s="97">
        <f>'Team and Player Stats'!AC62</f>
        <v>17</v>
      </c>
      <c r="AD41" s="97">
        <f>'Team and Player Stats'!AD62</f>
        <v>0</v>
      </c>
      <c r="AE41" s="97">
        <f>'Team and Player Stats'!AE62</f>
        <v>0</v>
      </c>
      <c r="AF41" s="97">
        <f>'Team and Player Stats'!AF62</f>
        <v>0</v>
      </c>
      <c r="AG41" s="97">
        <f>'Team and Player Stats'!AG62</f>
        <v>0</v>
      </c>
      <c r="AH41" s="97">
        <f>'Team and Player Stats'!AH62</f>
        <v>1</v>
      </c>
    </row>
    <row r="42">
      <c r="A42" t="str">
        <f>'Team and Player Stats'!B27</f>
        <v>x Greenthumb</v>
      </c>
      <c r="B42" t="str">
        <f>'Team and Player Stats'!A27</f>
        <v>9th Wonders</v>
      </c>
      <c r="C42">
        <f>'Team and Player Stats'!C27</f>
        <v>7</v>
      </c>
      <c r="D42">
        <f>'Team and Player Stats'!D27</f>
        <v>4</v>
      </c>
      <c r="E42" s="101">
        <f>'Team and Player Stats'!E27</f>
        <v>247.9833333</v>
      </c>
      <c r="F42">
        <f>'Team and Player Stats'!F27</f>
        <v>0</v>
      </c>
      <c r="G42">
        <f>'Team and Player Stats'!G27</f>
        <v>701</v>
      </c>
      <c r="H42">
        <f>'Team and Player Stats'!H27</f>
        <v>3</v>
      </c>
      <c r="I42">
        <f>'Team and Player Stats'!I27</f>
        <v>834</v>
      </c>
      <c r="J42">
        <f>'Team and Player Stats'!J27</f>
        <v>-133</v>
      </c>
      <c r="K42" s="102">
        <f>'Team and Player Stats'!K27</f>
        <v>0.8405275779</v>
      </c>
      <c r="L42" s="101">
        <f>'Team and Player Stats'!L27</f>
        <v>85</v>
      </c>
      <c r="M42">
        <f>'Team and Player Stats'!M27</f>
        <v>888</v>
      </c>
      <c r="N42">
        <f>'Team and Player Stats'!N27</f>
        <v>8</v>
      </c>
      <c r="O42" s="103">
        <f>'Team and Player Stats'!O27</f>
        <v>247.9833333</v>
      </c>
      <c r="P42">
        <f>'Team and Player Stats'!P27</f>
        <v>27</v>
      </c>
      <c r="Q42">
        <f>'Team and Player Stats'!Q27</f>
        <v>14</v>
      </c>
      <c r="R42">
        <f>'Team and Player Stats'!R27</f>
        <v>54</v>
      </c>
      <c r="S42">
        <f>'Team and Player Stats'!S27</f>
        <v>14</v>
      </c>
      <c r="T42">
        <f>'Team and Player Stats'!T27</f>
        <v>115</v>
      </c>
      <c r="U42">
        <f>'Team and Player Stats'!U27</f>
        <v>14</v>
      </c>
      <c r="V42">
        <f>'Team and Player Stats'!V27</f>
        <v>1</v>
      </c>
      <c r="W42">
        <f>'Team and Player Stats'!W27</f>
        <v>0</v>
      </c>
      <c r="X42">
        <f>'Team and Player Stats'!X27</f>
        <v>0</v>
      </c>
      <c r="Y42">
        <f>'Team and Player Stats'!Y27</f>
        <v>0</v>
      </c>
      <c r="Z42">
        <f>'Team and Player Stats'!Z27</f>
        <v>0</v>
      </c>
      <c r="AA42">
        <f>'Team and Player Stats'!AA27</f>
        <v>0</v>
      </c>
      <c r="AB42">
        <f>'Team and Player Stats'!AB27</f>
        <v>0</v>
      </c>
      <c r="AC42">
        <f>'Team and Player Stats'!AC27</f>
        <v>9</v>
      </c>
      <c r="AD42">
        <f>'Team and Player Stats'!AD27</f>
        <v>0</v>
      </c>
      <c r="AE42">
        <f>'Team and Player Stats'!AE27</f>
        <v>0</v>
      </c>
      <c r="AF42">
        <f>'Team and Player Stats'!AF27</f>
        <v>0</v>
      </c>
      <c r="AG42">
        <f>'Team and Player Stats'!AG27</f>
        <v>1</v>
      </c>
      <c r="AH42">
        <f>'Team and Player Stats'!AH27</f>
        <v>1</v>
      </c>
    </row>
    <row r="43">
      <c r="A43" s="97" t="str">
        <f>'Team and Player Stats'!B75</f>
        <v>LiquideNitrogen</v>
      </c>
      <c r="B43" s="97" t="str">
        <f>'Team and Player Stats'!A75</f>
        <v>Mediocre at Best</v>
      </c>
      <c r="C43" s="97">
        <f>'Team and Player Stats'!C75</f>
        <v>15</v>
      </c>
      <c r="D43" s="97">
        <f>'Team and Player Stats'!D75</f>
        <v>8</v>
      </c>
      <c r="E43" s="98">
        <f>'Team and Player Stats'!E75</f>
        <v>296.4</v>
      </c>
      <c r="F43" s="97">
        <f>'Team and Player Stats'!F75</f>
        <v>4</v>
      </c>
      <c r="G43" s="97">
        <f>'Team and Player Stats'!G75</f>
        <v>1003</v>
      </c>
      <c r="H43" s="97">
        <f>'Team and Player Stats'!H75</f>
        <v>1</v>
      </c>
      <c r="I43" s="97">
        <f>'Team and Player Stats'!I75</f>
        <v>1196</v>
      </c>
      <c r="J43" s="97">
        <f>'Team and Player Stats'!J75</f>
        <v>-193</v>
      </c>
      <c r="K43" s="99">
        <f>'Team and Player Stats'!K75</f>
        <v>0.8386287625</v>
      </c>
      <c r="L43" s="98">
        <f>'Team and Player Stats'!L75</f>
        <v>194</v>
      </c>
      <c r="M43" s="97">
        <f>'Team and Player Stats'!M75</f>
        <v>1286</v>
      </c>
      <c r="N43" s="97">
        <f>'Team and Player Stats'!N75</f>
        <v>15</v>
      </c>
      <c r="O43" s="100">
        <f>'Team and Player Stats'!O75</f>
        <v>296.4</v>
      </c>
      <c r="P43" s="97">
        <f>'Team and Player Stats'!P75</f>
        <v>47</v>
      </c>
      <c r="Q43" s="97">
        <f>'Team and Player Stats'!Q75</f>
        <v>20</v>
      </c>
      <c r="R43" s="97">
        <f>'Team and Player Stats'!R75</f>
        <v>104</v>
      </c>
      <c r="S43" s="97">
        <f>'Team and Player Stats'!S75</f>
        <v>16</v>
      </c>
      <c r="T43" s="97">
        <f>'Team and Player Stats'!T75</f>
        <v>131</v>
      </c>
      <c r="U43" s="97">
        <f>'Team and Player Stats'!U75</f>
        <v>26</v>
      </c>
      <c r="V43" s="97">
        <f>'Team and Player Stats'!V75</f>
        <v>10</v>
      </c>
      <c r="W43" s="97">
        <f>'Team and Player Stats'!W75</f>
        <v>6</v>
      </c>
      <c r="X43" s="97">
        <f>'Team and Player Stats'!X75</f>
        <v>1</v>
      </c>
      <c r="Y43" s="97">
        <f>'Team and Player Stats'!Y75</f>
        <v>1</v>
      </c>
      <c r="Z43" s="97">
        <f>'Team and Player Stats'!Z75</f>
        <v>1</v>
      </c>
      <c r="AA43" s="97">
        <f>'Team and Player Stats'!AA75</f>
        <v>0</v>
      </c>
      <c r="AB43" s="97">
        <f>'Team and Player Stats'!AB75</f>
        <v>0</v>
      </c>
      <c r="AC43" s="97">
        <f>'Team and Player Stats'!AC75</f>
        <v>12</v>
      </c>
      <c r="AD43" s="97">
        <f>'Team and Player Stats'!AD75</f>
        <v>0</v>
      </c>
      <c r="AE43" s="97">
        <f>'Team and Player Stats'!AE75</f>
        <v>0</v>
      </c>
      <c r="AF43" s="97">
        <f>'Team and Player Stats'!AF75</f>
        <v>0</v>
      </c>
      <c r="AG43" s="97">
        <f>'Team and Player Stats'!AG75</f>
        <v>4</v>
      </c>
      <c r="AH43" s="97">
        <f>'Team and Player Stats'!AH75</f>
        <v>0</v>
      </c>
    </row>
    <row r="44">
      <c r="A44" t="str">
        <f>'Team and Player Stats'!B28</f>
        <v>Yuhxi</v>
      </c>
      <c r="B44" t="str">
        <f>'Team and Player Stats'!A28</f>
        <v>9th Wonders</v>
      </c>
      <c r="C44">
        <f>'Team and Player Stats'!C28</f>
        <v>11</v>
      </c>
      <c r="D44">
        <f>'Team and Player Stats'!D28</f>
        <v>6</v>
      </c>
      <c r="E44" s="101">
        <f>'Team and Player Stats'!E28</f>
        <v>244.3333333</v>
      </c>
      <c r="F44">
        <f>'Team and Player Stats'!F28</f>
        <v>17</v>
      </c>
      <c r="G44">
        <f>'Team and Player Stats'!G28</f>
        <v>823</v>
      </c>
      <c r="H44">
        <f>'Team and Player Stats'!H28</f>
        <v>3</v>
      </c>
      <c r="I44">
        <f>'Team and Player Stats'!I28</f>
        <v>984</v>
      </c>
      <c r="J44">
        <f>'Team and Player Stats'!J28</f>
        <v>-161</v>
      </c>
      <c r="K44" s="102">
        <f>'Team and Player Stats'!K28</f>
        <v>0.8363821138</v>
      </c>
      <c r="L44" s="101">
        <f>'Team and Player Stats'!L28</f>
        <v>123</v>
      </c>
      <c r="M44">
        <f>'Team and Player Stats'!M28</f>
        <v>867</v>
      </c>
      <c r="N44">
        <f>'Team and Player Stats'!N28</f>
        <v>8</v>
      </c>
      <c r="O44" s="103">
        <f>'Team and Player Stats'!O28</f>
        <v>226.3333333</v>
      </c>
      <c r="P44">
        <f>'Team and Player Stats'!P28</f>
        <v>31</v>
      </c>
      <c r="Q44">
        <f>'Team and Player Stats'!Q28</f>
        <v>9</v>
      </c>
      <c r="R44">
        <f>'Team and Player Stats'!R28</f>
        <v>30</v>
      </c>
      <c r="S44">
        <f>'Team and Player Stats'!S28</f>
        <v>14</v>
      </c>
      <c r="T44">
        <f>'Team and Player Stats'!T28</f>
        <v>104</v>
      </c>
      <c r="U44">
        <f>'Team and Player Stats'!U28</f>
        <v>31</v>
      </c>
      <c r="V44">
        <f>'Team and Player Stats'!V28</f>
        <v>6</v>
      </c>
      <c r="W44">
        <f>'Team and Player Stats'!W28</f>
        <v>3</v>
      </c>
      <c r="X44">
        <f>'Team and Player Stats'!X28</f>
        <v>0</v>
      </c>
      <c r="Y44">
        <f>'Team and Player Stats'!Y28</f>
        <v>0</v>
      </c>
      <c r="Z44">
        <f>'Team and Player Stats'!Z28</f>
        <v>0</v>
      </c>
      <c r="AA44">
        <f>'Team and Player Stats'!AA28</f>
        <v>0</v>
      </c>
      <c r="AB44">
        <f>'Team and Player Stats'!AB28</f>
        <v>0</v>
      </c>
      <c r="AC44">
        <f>'Team and Player Stats'!AC28</f>
        <v>13</v>
      </c>
      <c r="AD44">
        <f>'Team and Player Stats'!AD28</f>
        <v>0</v>
      </c>
      <c r="AE44">
        <f>'Team and Player Stats'!AE28</f>
        <v>0</v>
      </c>
      <c r="AF44">
        <f>'Team and Player Stats'!AF28</f>
        <v>0</v>
      </c>
      <c r="AG44">
        <f>'Team and Player Stats'!AG28</f>
        <v>1</v>
      </c>
      <c r="AH44">
        <f>'Team and Player Stats'!AH28</f>
        <v>0</v>
      </c>
    </row>
    <row r="45">
      <c r="A45" s="97" t="str">
        <f>'Team and Player Stats'!B69</f>
        <v>TITAN MAN 23</v>
      </c>
      <c r="B45" s="97" t="str">
        <f>'Team and Player Stats'!A69</f>
        <v>Monstars</v>
      </c>
      <c r="C45" s="97">
        <f>'Team and Player Stats'!C69</f>
        <v>20</v>
      </c>
      <c r="D45" s="97">
        <f>'Team and Player Stats'!D69</f>
        <v>16</v>
      </c>
      <c r="E45" s="98">
        <f>'Team and Player Stats'!E69</f>
        <v>390.5333333</v>
      </c>
      <c r="F45" s="97">
        <f>'Team and Player Stats'!F69</f>
        <v>79</v>
      </c>
      <c r="G45" s="97">
        <f>'Team and Player Stats'!G69</f>
        <v>789</v>
      </c>
      <c r="H45" s="97">
        <f>'Team and Player Stats'!H69</f>
        <v>8</v>
      </c>
      <c r="I45" s="97">
        <f>'Team and Player Stats'!I69</f>
        <v>977</v>
      </c>
      <c r="J45" s="97">
        <f>'Team and Player Stats'!J69</f>
        <v>-188</v>
      </c>
      <c r="K45" s="99">
        <f>'Team and Player Stats'!K69</f>
        <v>0.8075742068</v>
      </c>
      <c r="L45" s="98">
        <f>'Team and Player Stats'!L69</f>
        <v>423</v>
      </c>
      <c r="M45" s="97">
        <f>'Team and Player Stats'!M69</f>
        <v>1074</v>
      </c>
      <c r="N45" s="97">
        <f>'Team and Player Stats'!N69</f>
        <v>17</v>
      </c>
      <c r="O45" s="100">
        <f>'Team and Player Stats'!O69</f>
        <v>355.5333333</v>
      </c>
      <c r="P45" s="97">
        <f>'Team and Player Stats'!P69</f>
        <v>54</v>
      </c>
      <c r="Q45" s="97">
        <f>'Team and Player Stats'!Q69</f>
        <v>11</v>
      </c>
      <c r="R45" s="97">
        <f>'Team and Player Stats'!R69</f>
        <v>12</v>
      </c>
      <c r="S45" s="97">
        <f>'Team and Player Stats'!S69</f>
        <v>13</v>
      </c>
      <c r="T45" s="97">
        <f>'Team and Player Stats'!T69</f>
        <v>99</v>
      </c>
      <c r="U45" s="97">
        <f>'Team and Player Stats'!U69</f>
        <v>15</v>
      </c>
      <c r="V45" s="97">
        <f>'Team and Player Stats'!V69</f>
        <v>1</v>
      </c>
      <c r="W45" s="97">
        <f>'Team and Player Stats'!W69</f>
        <v>0</v>
      </c>
      <c r="X45" s="97">
        <f>'Team and Player Stats'!X69</f>
        <v>0</v>
      </c>
      <c r="Y45" s="97">
        <f>'Team and Player Stats'!Y69</f>
        <v>0</v>
      </c>
      <c r="Z45" s="97">
        <f>'Team and Player Stats'!Z69</f>
        <v>0</v>
      </c>
      <c r="AA45" s="97">
        <f>'Team and Player Stats'!AA69</f>
        <v>0</v>
      </c>
      <c r="AB45" s="97">
        <f>'Team and Player Stats'!AB69</f>
        <v>0</v>
      </c>
      <c r="AC45" s="97">
        <f>'Team and Player Stats'!AC69</f>
        <v>8</v>
      </c>
      <c r="AD45" s="97">
        <f>'Team and Player Stats'!AD69</f>
        <v>0</v>
      </c>
      <c r="AE45" s="97">
        <f>'Team and Player Stats'!AE69</f>
        <v>0</v>
      </c>
      <c r="AF45" s="97">
        <f>'Team and Player Stats'!AF69</f>
        <v>0</v>
      </c>
      <c r="AG45" s="97">
        <f>'Team and Player Stats'!AG69</f>
        <v>0</v>
      </c>
      <c r="AH45" s="97">
        <f>'Team and Player Stats'!AH69</f>
        <v>0</v>
      </c>
    </row>
    <row r="46">
      <c r="A46" t="str">
        <f>'Team and Player Stats'!B38</f>
        <v>Juc</v>
      </c>
      <c r="B46" t="str">
        <f>'Team and Player Stats'!A38</f>
        <v>On the Fence</v>
      </c>
      <c r="C46">
        <f>'Team and Player Stats'!C38</f>
        <v>12</v>
      </c>
      <c r="D46">
        <f>'Team and Player Stats'!D38</f>
        <v>1</v>
      </c>
      <c r="E46" s="101">
        <f>'Team and Player Stats'!E38</f>
        <v>248.2666667</v>
      </c>
      <c r="F46">
        <f>'Team and Player Stats'!F38</f>
        <v>3</v>
      </c>
      <c r="G46">
        <f>'Team and Player Stats'!G38</f>
        <v>830</v>
      </c>
      <c r="H46">
        <f>'Team and Player Stats'!H38</f>
        <v>7</v>
      </c>
      <c r="I46">
        <f>'Team and Player Stats'!I38</f>
        <v>1060</v>
      </c>
      <c r="J46">
        <f>'Team and Player Stats'!J38</f>
        <v>-230</v>
      </c>
      <c r="K46" s="102">
        <f>'Team and Player Stats'!K38</f>
        <v>0.7830188679</v>
      </c>
      <c r="L46" s="101">
        <f>'Team and Player Stats'!L38</f>
        <v>130</v>
      </c>
      <c r="M46">
        <f>'Team and Player Stats'!M38</f>
        <v>1053</v>
      </c>
      <c r="N46">
        <f>'Team and Player Stats'!N38</f>
        <v>12</v>
      </c>
      <c r="O46" s="103">
        <f>'Team and Player Stats'!O38</f>
        <v>248.2666667</v>
      </c>
      <c r="P46">
        <f>'Team and Player Stats'!P38</f>
        <v>27</v>
      </c>
      <c r="Q46">
        <f>'Team and Player Stats'!Q38</f>
        <v>19</v>
      </c>
      <c r="R46">
        <f>'Team and Player Stats'!R38</f>
        <v>40</v>
      </c>
      <c r="S46">
        <f>'Team and Player Stats'!S38</f>
        <v>14</v>
      </c>
      <c r="T46">
        <f>'Team and Player Stats'!T38</f>
        <v>120</v>
      </c>
      <c r="U46">
        <f>'Team and Player Stats'!U38</f>
        <v>19</v>
      </c>
      <c r="V46">
        <f>'Team and Player Stats'!V38</f>
        <v>7</v>
      </c>
      <c r="W46">
        <f>'Team and Player Stats'!W38</f>
        <v>3</v>
      </c>
      <c r="X46">
        <f>'Team and Player Stats'!X38</f>
        <v>0</v>
      </c>
      <c r="Y46">
        <f>'Team and Player Stats'!Y38</f>
        <v>0</v>
      </c>
      <c r="Z46">
        <f>'Team and Player Stats'!Z38</f>
        <v>0</v>
      </c>
      <c r="AA46">
        <f>'Team and Player Stats'!AA38</f>
        <v>0</v>
      </c>
      <c r="AB46">
        <f>'Team and Player Stats'!AB38</f>
        <v>0</v>
      </c>
      <c r="AC46">
        <f>'Team and Player Stats'!AC38</f>
        <v>19</v>
      </c>
      <c r="AD46">
        <f>'Team and Player Stats'!AD38</f>
        <v>0</v>
      </c>
      <c r="AE46">
        <f>'Team and Player Stats'!AE38</f>
        <v>0</v>
      </c>
      <c r="AF46">
        <f>'Team and Player Stats'!AF38</f>
        <v>0</v>
      </c>
      <c r="AG46">
        <f>'Team and Player Stats'!AG38</f>
        <v>0</v>
      </c>
      <c r="AH46">
        <f>'Team and Player Stats'!AH38</f>
        <v>0</v>
      </c>
    </row>
    <row r="47">
      <c r="A47" s="97" t="str">
        <f>'Team and Player Stats'!B55</f>
        <v>xxRebs</v>
      </c>
      <c r="B47" s="97" t="str">
        <f>'Team and Player Stats'!A55</f>
        <v>Silva's Connection</v>
      </c>
      <c r="C47" s="97">
        <f>'Team and Player Stats'!C55</f>
        <v>18</v>
      </c>
      <c r="D47" s="97">
        <f>'Team and Player Stats'!D55</f>
        <v>6</v>
      </c>
      <c r="E47" s="98">
        <f>'Team and Player Stats'!E55</f>
        <v>478.9333333</v>
      </c>
      <c r="F47" s="97">
        <f>'Team and Player Stats'!F55</f>
        <v>26</v>
      </c>
      <c r="G47" s="97">
        <f>'Team and Player Stats'!G55</f>
        <v>1252</v>
      </c>
      <c r="H47" s="97">
        <f>'Team and Player Stats'!H55</f>
        <v>10</v>
      </c>
      <c r="I47" s="97">
        <f>'Team and Player Stats'!I55</f>
        <v>1709</v>
      </c>
      <c r="J47" s="97">
        <f>'Team and Player Stats'!J55</f>
        <v>-457</v>
      </c>
      <c r="K47" s="99">
        <f>'Team and Player Stats'!K55</f>
        <v>0.7325921592</v>
      </c>
      <c r="L47" s="98">
        <f>'Team and Player Stats'!L55</f>
        <v>260</v>
      </c>
      <c r="M47" s="97">
        <f>'Team and Player Stats'!M55</f>
        <v>1573</v>
      </c>
      <c r="N47" s="97">
        <f>'Team and Player Stats'!N55</f>
        <v>18</v>
      </c>
      <c r="O47" s="100">
        <f>'Team and Player Stats'!O55</f>
        <v>478.9333333</v>
      </c>
      <c r="P47" s="97">
        <f>'Team and Player Stats'!P55</f>
        <v>70</v>
      </c>
      <c r="Q47" s="97">
        <f>'Team and Player Stats'!Q55</f>
        <v>39</v>
      </c>
      <c r="R47" s="97">
        <f>'Team and Player Stats'!R55</f>
        <v>37</v>
      </c>
      <c r="S47" s="97">
        <f>'Team and Player Stats'!S55</f>
        <v>30</v>
      </c>
      <c r="T47" s="97">
        <f>'Team and Player Stats'!T55</f>
        <v>143</v>
      </c>
      <c r="U47" s="97">
        <f>'Team and Player Stats'!U55</f>
        <v>19</v>
      </c>
      <c r="V47" s="97">
        <f>'Team and Player Stats'!V55</f>
        <v>6</v>
      </c>
      <c r="W47" s="97">
        <f>'Team and Player Stats'!W55</f>
        <v>0</v>
      </c>
      <c r="X47" s="97">
        <f>'Team and Player Stats'!X55</f>
        <v>0</v>
      </c>
      <c r="Y47" s="97">
        <f>'Team and Player Stats'!Y55</f>
        <v>0</v>
      </c>
      <c r="Z47" s="97">
        <f>'Team and Player Stats'!Z55</f>
        <v>0</v>
      </c>
      <c r="AA47" s="97">
        <f>'Team and Player Stats'!AA55</f>
        <v>0</v>
      </c>
      <c r="AB47" s="97">
        <f>'Team and Player Stats'!AB55</f>
        <v>0</v>
      </c>
      <c r="AC47" s="97">
        <f>'Team and Player Stats'!AC55</f>
        <v>16</v>
      </c>
      <c r="AD47" s="97">
        <f>'Team and Player Stats'!AD55</f>
        <v>0</v>
      </c>
      <c r="AE47" s="97">
        <f>'Team and Player Stats'!AE55</f>
        <v>0</v>
      </c>
      <c r="AF47" s="97">
        <f>'Team and Player Stats'!AF55</f>
        <v>0</v>
      </c>
      <c r="AG47" s="97">
        <f>'Team and Player Stats'!AG55</f>
        <v>0</v>
      </c>
      <c r="AH47" s="97">
        <f>'Team and Player Stats'!AH55</f>
        <v>2</v>
      </c>
    </row>
    <row r="48">
      <c r="A48" t="str">
        <f>'Team and Player Stats'!B10</f>
        <v>MuNgO PuNgO</v>
      </c>
      <c r="B48" t="str">
        <f>'Team and Player Stats'!A10</f>
        <v>In MuNgO We Trust</v>
      </c>
      <c r="C48">
        <f>'Team and Player Stats'!C10</f>
        <v>12</v>
      </c>
      <c r="D48">
        <f>'Team and Player Stats'!D10</f>
        <v>7</v>
      </c>
      <c r="E48" s="101">
        <f>'Team and Player Stats'!E10</f>
        <v>392.85</v>
      </c>
      <c r="F48">
        <f>'Team and Player Stats'!F10</f>
        <v>0</v>
      </c>
      <c r="G48">
        <f>'Team and Player Stats'!G10</f>
        <v>1234</v>
      </c>
      <c r="H48">
        <f>'Team and Player Stats'!H10</f>
        <v>3</v>
      </c>
      <c r="I48">
        <f>'Team and Player Stats'!I10</f>
        <v>1718</v>
      </c>
      <c r="J48">
        <f>'Team and Player Stats'!J10</f>
        <v>-484</v>
      </c>
      <c r="K48" s="102">
        <f>'Team and Player Stats'!K10</f>
        <v>0.7182770664</v>
      </c>
      <c r="L48" s="101">
        <f>'Team and Player Stats'!L10</f>
        <v>133</v>
      </c>
      <c r="M48">
        <f>'Team and Player Stats'!M10</f>
        <v>1551</v>
      </c>
      <c r="N48">
        <f>'Team and Player Stats'!N10</f>
        <v>12</v>
      </c>
      <c r="O48" s="103">
        <f>'Team and Player Stats'!O10</f>
        <v>392.85</v>
      </c>
      <c r="P48">
        <f>'Team and Player Stats'!P10</f>
        <v>32</v>
      </c>
      <c r="Q48">
        <f>'Team and Player Stats'!Q10</f>
        <v>22</v>
      </c>
      <c r="R48">
        <f>'Team and Player Stats'!R10</f>
        <v>114</v>
      </c>
      <c r="S48">
        <f>'Team and Player Stats'!S10</f>
        <v>24</v>
      </c>
      <c r="T48">
        <f>'Team and Player Stats'!T10</f>
        <v>172</v>
      </c>
      <c r="U48">
        <f>'Team and Player Stats'!U10</f>
        <v>21</v>
      </c>
      <c r="V48">
        <f>'Team and Player Stats'!V10</f>
        <v>1</v>
      </c>
      <c r="W48">
        <f>'Team and Player Stats'!W10</f>
        <v>0</v>
      </c>
      <c r="X48">
        <f>'Team and Player Stats'!X10</f>
        <v>0</v>
      </c>
      <c r="Y48">
        <f>'Team and Player Stats'!Y10</f>
        <v>0</v>
      </c>
      <c r="Z48">
        <f>'Team and Player Stats'!Z10</f>
        <v>0</v>
      </c>
      <c r="AA48">
        <f>'Team and Player Stats'!AA10</f>
        <v>0</v>
      </c>
      <c r="AB48">
        <f>'Team and Player Stats'!AB10</f>
        <v>0</v>
      </c>
      <c r="AC48">
        <f>'Team and Player Stats'!AC10</f>
        <v>4</v>
      </c>
      <c r="AD48">
        <f>'Team and Player Stats'!AD10</f>
        <v>0</v>
      </c>
      <c r="AE48">
        <f>'Team and Player Stats'!AE10</f>
        <v>0</v>
      </c>
      <c r="AF48">
        <f>'Team and Player Stats'!AF10</f>
        <v>0</v>
      </c>
      <c r="AG48">
        <f>'Team and Player Stats'!AG10</f>
        <v>0</v>
      </c>
      <c r="AH48">
        <f>'Team and Player Stats'!AH10</f>
        <v>0</v>
      </c>
    </row>
    <row r="49">
      <c r="A49" s="97" t="str">
        <f>'Team and Player Stats'!B17</f>
        <v>nkotb4evah</v>
      </c>
      <c r="B49" s="97" t="str">
        <f>'Team and Player Stats'!A17</f>
        <v>Junkyard Dogs</v>
      </c>
      <c r="C49" s="97">
        <f>'Team and Player Stats'!C17</f>
        <v>18</v>
      </c>
      <c r="D49" s="97">
        <f>'Team and Player Stats'!D17</f>
        <v>6</v>
      </c>
      <c r="E49" s="98">
        <f>'Team and Player Stats'!E17</f>
        <v>528.05</v>
      </c>
      <c r="F49" s="97">
        <f>'Team and Player Stats'!F17</f>
        <v>41</v>
      </c>
      <c r="G49" s="97">
        <f>'Team and Player Stats'!G17</f>
        <v>1114</v>
      </c>
      <c r="H49" s="97">
        <f>'Team and Player Stats'!H17</f>
        <v>9</v>
      </c>
      <c r="I49" s="97">
        <f>'Team and Player Stats'!I17</f>
        <v>1599</v>
      </c>
      <c r="J49" s="97">
        <f>'Team and Player Stats'!J17</f>
        <v>-485</v>
      </c>
      <c r="K49" s="99">
        <f>'Team and Player Stats'!K17</f>
        <v>0.6966854284</v>
      </c>
      <c r="L49" s="98">
        <f>'Team and Player Stats'!L17</f>
        <v>330</v>
      </c>
      <c r="M49" s="97">
        <f>'Team and Player Stats'!M17</f>
        <v>1454</v>
      </c>
      <c r="N49" s="97">
        <f>'Team and Player Stats'!N17</f>
        <v>18</v>
      </c>
      <c r="O49" s="100">
        <f>'Team and Player Stats'!O17</f>
        <v>528.05</v>
      </c>
      <c r="P49" s="97">
        <f>'Team and Player Stats'!P17</f>
        <v>96</v>
      </c>
      <c r="Q49" s="97">
        <f>'Team and Player Stats'!Q17</f>
        <v>37</v>
      </c>
      <c r="R49" s="97">
        <f>'Team and Player Stats'!R17</f>
        <v>42</v>
      </c>
      <c r="S49" s="97">
        <f>'Team and Player Stats'!S17</f>
        <v>34</v>
      </c>
      <c r="T49" s="97">
        <f>'Team and Player Stats'!T17</f>
        <v>117</v>
      </c>
      <c r="U49" s="97">
        <f>'Team and Player Stats'!U17</f>
        <v>16</v>
      </c>
      <c r="V49" s="97">
        <f>'Team and Player Stats'!V17</f>
        <v>1</v>
      </c>
      <c r="W49" s="97">
        <f>'Team and Player Stats'!W17</f>
        <v>0</v>
      </c>
      <c r="X49" s="97">
        <f>'Team and Player Stats'!X17</f>
        <v>0</v>
      </c>
      <c r="Y49" s="97">
        <f>'Team and Player Stats'!Y17</f>
        <v>0</v>
      </c>
      <c r="Z49" s="97">
        <f>'Team and Player Stats'!Z17</f>
        <v>0</v>
      </c>
      <c r="AA49" s="97">
        <f>'Team and Player Stats'!AA17</f>
        <v>0</v>
      </c>
      <c r="AB49" s="97">
        <f>'Team and Player Stats'!AB17</f>
        <v>0</v>
      </c>
      <c r="AC49" s="97">
        <f>'Team and Player Stats'!AC17</f>
        <v>19</v>
      </c>
      <c r="AD49" s="97">
        <f>'Team and Player Stats'!AD17</f>
        <v>1</v>
      </c>
      <c r="AE49" s="97">
        <f>'Team and Player Stats'!AE17</f>
        <v>0</v>
      </c>
      <c r="AF49" s="97">
        <f>'Team and Player Stats'!AF17</f>
        <v>0</v>
      </c>
      <c r="AG49" s="97">
        <f>'Team and Player Stats'!AG17</f>
        <v>0</v>
      </c>
      <c r="AH49" s="97">
        <f>'Team and Player Stats'!AH17</f>
        <v>2</v>
      </c>
    </row>
    <row r="50">
      <c r="A50" t="str">
        <f>'Team and Player Stats'!B14</f>
        <v>DCleak</v>
      </c>
      <c r="B50" t="str">
        <f>'Team and Player Stats'!A14</f>
        <v>In MuNgO We Trust</v>
      </c>
      <c r="C50">
        <f>'Team and Player Stats'!C14</f>
        <v>1</v>
      </c>
      <c r="D50">
        <f>'Team and Player Stats'!D14</f>
        <v>0</v>
      </c>
      <c r="E50" s="101">
        <f>'Team and Player Stats'!E14</f>
        <v>42</v>
      </c>
      <c r="F50">
        <f>'Team and Player Stats'!F14</f>
        <v>1</v>
      </c>
      <c r="G50">
        <f>'Team and Player Stats'!G14</f>
        <v>124</v>
      </c>
      <c r="H50">
        <f>'Team and Player Stats'!H14</f>
        <v>0</v>
      </c>
      <c r="I50">
        <f>'Team and Player Stats'!I14</f>
        <v>187</v>
      </c>
      <c r="J50">
        <f>'Team and Player Stats'!J14</f>
        <v>-63</v>
      </c>
      <c r="K50" s="102">
        <f>'Team and Player Stats'!K14</f>
        <v>0.6631016043</v>
      </c>
      <c r="L50" s="101">
        <f>'Team and Player Stats'!L14</f>
        <v>10</v>
      </c>
      <c r="M50">
        <f>'Team and Player Stats'!M14</f>
        <v>152</v>
      </c>
      <c r="N50">
        <f>'Team and Player Stats'!N14</f>
        <v>1</v>
      </c>
      <c r="O50" s="103">
        <f>'Team and Player Stats'!O14</f>
        <v>42</v>
      </c>
      <c r="P50">
        <f>'Team and Player Stats'!P14</f>
        <v>4</v>
      </c>
      <c r="Q50">
        <f>'Team and Player Stats'!Q14</f>
        <v>0</v>
      </c>
      <c r="R50">
        <f>'Team and Player Stats'!R14</f>
        <v>5</v>
      </c>
      <c r="S50">
        <f>'Team and Player Stats'!S14</f>
        <v>5</v>
      </c>
      <c r="T50">
        <f>'Team and Player Stats'!T14</f>
        <v>14</v>
      </c>
      <c r="U50">
        <f>'Team and Player Stats'!U14</f>
        <v>2</v>
      </c>
      <c r="V50">
        <f>'Team and Player Stats'!V14</f>
        <v>0</v>
      </c>
      <c r="W50">
        <f>'Team and Player Stats'!W14</f>
        <v>0</v>
      </c>
      <c r="X50">
        <f>'Team and Player Stats'!X14</f>
        <v>0</v>
      </c>
      <c r="Y50">
        <f>'Team and Player Stats'!Y14</f>
        <v>0</v>
      </c>
      <c r="Z50">
        <f>'Team and Player Stats'!Z14</f>
        <v>0</v>
      </c>
      <c r="AA50">
        <f>'Team and Player Stats'!AA14</f>
        <v>0</v>
      </c>
      <c r="AB50">
        <f>'Team and Player Stats'!AB14</f>
        <v>0</v>
      </c>
      <c r="AC50">
        <f>'Team and Player Stats'!AC14</f>
        <v>0</v>
      </c>
      <c r="AD50">
        <f>'Team and Player Stats'!AD14</f>
        <v>0</v>
      </c>
      <c r="AE50">
        <f>'Team and Player Stats'!AE14</f>
        <v>0</v>
      </c>
      <c r="AF50">
        <f>'Team and Player Stats'!AF14</f>
        <v>0</v>
      </c>
      <c r="AG50">
        <f>'Team and Player Stats'!AG14</f>
        <v>0</v>
      </c>
      <c r="AH50">
        <f>'Team and Player Stats'!AH14</f>
        <v>0</v>
      </c>
    </row>
    <row r="51">
      <c r="A51" s="97" t="str">
        <f>'Team and Player Stats'!B35</f>
        <v>Molotov Ghost</v>
      </c>
      <c r="B51" s="97" t="str">
        <f>'Team and Player Stats'!A35</f>
        <v>Truthless and the Truthlessettes</v>
      </c>
      <c r="C51" s="97">
        <f>'Team and Player Stats'!C35</f>
        <v>13</v>
      </c>
      <c r="D51" s="97">
        <f>'Team and Player Stats'!D35</f>
        <v>3</v>
      </c>
      <c r="E51" s="98">
        <f>'Team and Player Stats'!E35</f>
        <v>295.4666667</v>
      </c>
      <c r="F51" s="97">
        <f>'Team and Player Stats'!F35</f>
        <v>16</v>
      </c>
      <c r="G51" s="97">
        <f>'Team and Player Stats'!G35</f>
        <v>480</v>
      </c>
      <c r="H51" s="97">
        <f>'Team and Player Stats'!H35</f>
        <v>3</v>
      </c>
      <c r="I51" s="97">
        <f>'Team and Player Stats'!I35</f>
        <v>843</v>
      </c>
      <c r="J51" s="97">
        <f>'Team and Player Stats'!J35</f>
        <v>-363</v>
      </c>
      <c r="K51" s="99">
        <f>'Team and Player Stats'!K35</f>
        <v>0.5693950178</v>
      </c>
      <c r="L51" s="98">
        <f>'Team and Player Stats'!L35</f>
        <v>222</v>
      </c>
      <c r="M51" s="97">
        <f>'Team and Player Stats'!M35</f>
        <v>575</v>
      </c>
      <c r="N51" s="97">
        <f>'Team and Player Stats'!N35</f>
        <v>13</v>
      </c>
      <c r="O51" s="100">
        <f>'Team and Player Stats'!O35</f>
        <v>295.4666667</v>
      </c>
      <c r="P51" s="97">
        <f>'Team and Player Stats'!P35</f>
        <v>28</v>
      </c>
      <c r="Q51" s="97">
        <f>'Team and Player Stats'!Q35</f>
        <v>24</v>
      </c>
      <c r="R51" s="97">
        <f>'Team and Player Stats'!R35</f>
        <v>9</v>
      </c>
      <c r="S51" s="97">
        <f>'Team and Player Stats'!S35</f>
        <v>15</v>
      </c>
      <c r="T51" s="97">
        <f>'Team and Player Stats'!T35</f>
        <v>41</v>
      </c>
      <c r="U51" s="97">
        <f>'Team and Player Stats'!U35</f>
        <v>4</v>
      </c>
      <c r="V51" s="97">
        <f>'Team and Player Stats'!V35</f>
        <v>0</v>
      </c>
      <c r="W51" s="97">
        <f>'Team and Player Stats'!W35</f>
        <v>0</v>
      </c>
      <c r="X51" s="97">
        <f>'Team and Player Stats'!X35</f>
        <v>0</v>
      </c>
      <c r="Y51" s="97">
        <f>'Team and Player Stats'!Y35</f>
        <v>0</v>
      </c>
      <c r="Z51" s="97">
        <f>'Team and Player Stats'!Z35</f>
        <v>0</v>
      </c>
      <c r="AA51" s="97">
        <f>'Team and Player Stats'!AA35</f>
        <v>0</v>
      </c>
      <c r="AB51" s="97">
        <f>'Team and Player Stats'!AB35</f>
        <v>0</v>
      </c>
      <c r="AC51" s="97">
        <f>'Team and Player Stats'!AC35</f>
        <v>1</v>
      </c>
      <c r="AD51" s="97">
        <f>'Team and Player Stats'!AD35</f>
        <v>0</v>
      </c>
      <c r="AE51" s="97">
        <f>'Team and Player Stats'!AE35</f>
        <v>0</v>
      </c>
      <c r="AF51" s="97">
        <f>'Team and Player Stats'!AF35</f>
        <v>0</v>
      </c>
      <c r="AG51" s="97">
        <f>'Team and Player Stats'!AG35</f>
        <v>0</v>
      </c>
      <c r="AH51" s="97">
        <f>'Team and Player Stats'!AH35</f>
        <v>0</v>
      </c>
    </row>
    <row r="52">
      <c r="A52" t="str">
        <f>'Team and Player Stats'!B77</f>
        <v>MachinimistLuke</v>
      </c>
      <c r="B52" t="str">
        <f>'Team and Player Stats'!A77</f>
        <v>Mediocre at Best</v>
      </c>
      <c r="C52">
        <f>'Team and Player Stats'!C77</f>
        <v>1</v>
      </c>
      <c r="D52">
        <f>'Team and Player Stats'!D77</f>
        <v>0</v>
      </c>
      <c r="E52" s="101">
        <f>'Team and Player Stats'!E77</f>
        <v>33</v>
      </c>
      <c r="F52">
        <f>'Team and Player Stats'!F77</f>
        <v>1</v>
      </c>
      <c r="G52">
        <f>'Team and Player Stats'!G77</f>
        <v>56</v>
      </c>
      <c r="H52">
        <f>'Team and Player Stats'!H77</f>
        <v>1</v>
      </c>
      <c r="I52">
        <f>'Team and Player Stats'!I77</f>
        <v>112</v>
      </c>
      <c r="J52">
        <f>'Team and Player Stats'!J77</f>
        <v>-56</v>
      </c>
      <c r="K52" s="102">
        <f>'Team and Player Stats'!K77</f>
        <v>0.5</v>
      </c>
      <c r="L52" s="101">
        <f>'Team and Player Stats'!L77</f>
        <v>14</v>
      </c>
      <c r="M52">
        <f>'Team and Player Stats'!M77</f>
        <v>68</v>
      </c>
      <c r="N52">
        <f>'Team and Player Stats'!N77</f>
        <v>1</v>
      </c>
      <c r="O52" s="103">
        <f>'Team and Player Stats'!O77</f>
        <v>33</v>
      </c>
      <c r="P52">
        <f>'Team and Player Stats'!P77</f>
        <v>4</v>
      </c>
      <c r="Q52">
        <f>'Team and Player Stats'!Q77</f>
        <v>1</v>
      </c>
      <c r="R52">
        <f>'Team and Player Stats'!R77</f>
        <v>1</v>
      </c>
      <c r="S52">
        <f>'Team and Player Stats'!S77</f>
        <v>0</v>
      </c>
      <c r="T52">
        <f>'Team and Player Stats'!T77</f>
        <v>5</v>
      </c>
      <c r="U52">
        <f>'Team and Player Stats'!U77</f>
        <v>1</v>
      </c>
      <c r="V52">
        <f>'Team and Player Stats'!V77</f>
        <v>0</v>
      </c>
      <c r="W52">
        <f>'Team and Player Stats'!W77</f>
        <v>0</v>
      </c>
      <c r="X52">
        <f>'Team and Player Stats'!X77</f>
        <v>0</v>
      </c>
      <c r="Y52">
        <f>'Team and Player Stats'!Y77</f>
        <v>0</v>
      </c>
      <c r="Z52">
        <f>'Team and Player Stats'!Z77</f>
        <v>0</v>
      </c>
      <c r="AA52">
        <f>'Team and Player Stats'!AA77</f>
        <v>0</v>
      </c>
      <c r="AB52">
        <f>'Team and Player Stats'!AB77</f>
        <v>0</v>
      </c>
      <c r="AC52">
        <f>'Team and Player Stats'!AC77</f>
        <v>0</v>
      </c>
      <c r="AD52">
        <f>'Team and Player Stats'!AD77</f>
        <v>0</v>
      </c>
      <c r="AE52">
        <f>'Team and Player Stats'!AE77</f>
        <v>0</v>
      </c>
      <c r="AF52">
        <f>'Team and Player Stats'!AF77</f>
        <v>0</v>
      </c>
      <c r="AG52">
        <f>'Team and Player Stats'!AG77</f>
        <v>0</v>
      </c>
      <c r="AH52">
        <f>'Team and Player Stats'!AH77</f>
        <v>0</v>
      </c>
    </row>
    <row r="53">
      <c r="A53" s="97" t="str">
        <f>'Team and Player Stats'!B8</f>
        <v>MASTER CH3IF</v>
      </c>
      <c r="B53" s="97" t="str">
        <f>'Team and Player Stats'!A8</f>
        <v>Defiance</v>
      </c>
      <c r="C53" s="97">
        <f>'Team and Player Stats'!C8</f>
        <v>0</v>
      </c>
      <c r="D53" s="97">
        <f>'Team and Player Stats'!D8</f>
        <v>0</v>
      </c>
      <c r="E53" s="98">
        <f>'Team and Player Stats'!E8</f>
        <v>0</v>
      </c>
      <c r="F53" s="97">
        <f>'Team and Player Stats'!F8</f>
        <v>0</v>
      </c>
      <c r="G53" s="97">
        <f>'Team and Player Stats'!G8</f>
        <v>0</v>
      </c>
      <c r="H53" s="97">
        <f>'Team and Player Stats'!H8</f>
        <v>0</v>
      </c>
      <c r="I53" s="97">
        <f>'Team and Player Stats'!I8</f>
        <v>0</v>
      </c>
      <c r="J53" s="97">
        <f>'Team and Player Stats'!J8</f>
        <v>0</v>
      </c>
      <c r="K53" s="99" t="str">
        <f>'Team and Player Stats'!K8</f>
        <v>#DIV/0!</v>
      </c>
      <c r="L53" s="98">
        <f>'Team and Player Stats'!L8</f>
        <v>0</v>
      </c>
      <c r="M53" s="97">
        <f>'Team and Player Stats'!M8</f>
        <v>0</v>
      </c>
      <c r="N53" s="97">
        <f>'Team and Player Stats'!N8</f>
        <v>0</v>
      </c>
      <c r="O53" s="100">
        <f>'Team and Player Stats'!O8</f>
        <v>0</v>
      </c>
      <c r="P53" s="97">
        <f>'Team and Player Stats'!P8</f>
        <v>1</v>
      </c>
      <c r="Q53" s="97">
        <f>'Team and Player Stats'!Q8</f>
        <v>0</v>
      </c>
      <c r="R53" s="97">
        <f>'Team and Player Stats'!R8</f>
        <v>2</v>
      </c>
      <c r="S53" s="97">
        <f>'Team and Player Stats'!S8</f>
        <v>0</v>
      </c>
      <c r="T53" s="97">
        <f>'Team and Player Stats'!T8</f>
        <v>4</v>
      </c>
      <c r="U53" s="97">
        <f>'Team and Player Stats'!U8</f>
        <v>1</v>
      </c>
      <c r="V53" s="97">
        <f>'Team and Player Stats'!V8</f>
        <v>1</v>
      </c>
      <c r="W53" s="97">
        <f>'Team and Player Stats'!W8</f>
        <v>1</v>
      </c>
      <c r="X53" s="97">
        <f>'Team and Player Stats'!X8</f>
        <v>0</v>
      </c>
      <c r="Y53" s="97">
        <f>'Team and Player Stats'!Y8</f>
        <v>0</v>
      </c>
      <c r="Z53" s="97">
        <f>'Team and Player Stats'!Z8</f>
        <v>0</v>
      </c>
      <c r="AA53" s="97">
        <f>'Team and Player Stats'!AA8</f>
        <v>0</v>
      </c>
      <c r="AB53" s="97">
        <f>'Team and Player Stats'!AB8</f>
        <v>0</v>
      </c>
      <c r="AC53" s="97">
        <f>'Team and Player Stats'!AC8</f>
        <v>2</v>
      </c>
      <c r="AD53" s="97">
        <f>'Team and Player Stats'!AD8</f>
        <v>0</v>
      </c>
      <c r="AE53" s="97">
        <f>'Team and Player Stats'!AE8</f>
        <v>0</v>
      </c>
      <c r="AF53" s="97">
        <f>'Team and Player Stats'!AF8</f>
        <v>0</v>
      </c>
      <c r="AG53" s="97">
        <f>'Team and Player Stats'!AG8</f>
        <v>1</v>
      </c>
      <c r="AH53" s="97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101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102" t="str">
        <f>'Team and Player Stats'!K42</f>
        <v>#DIV/0!</v>
      </c>
      <c r="L54" s="101">
        <f>'Team and Player Stats'!L42</f>
        <v>0</v>
      </c>
      <c r="M54">
        <f>'Team and Player Stats'!M42</f>
        <v>0</v>
      </c>
      <c r="N54">
        <f>'Team and Player Stats'!N42</f>
        <v>0</v>
      </c>
      <c r="O54" s="103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97" t="str">
        <f>'Team and Player Stats'!B48</f>
        <v>THEXILEDRAGON</v>
      </c>
      <c r="B55" s="97" t="str">
        <f>'Team and Player Stats'!A48</f>
        <v>Failure to Launch</v>
      </c>
      <c r="C55" s="97">
        <f>'Team and Player Stats'!C48</f>
        <v>0</v>
      </c>
      <c r="D55" s="97">
        <f>'Team and Player Stats'!D48</f>
        <v>0</v>
      </c>
      <c r="E55" s="98">
        <f>'Team and Player Stats'!E48</f>
        <v>0</v>
      </c>
      <c r="F55" s="97">
        <f>'Team and Player Stats'!F48</f>
        <v>0</v>
      </c>
      <c r="G55" s="97">
        <f>'Team and Player Stats'!G48</f>
        <v>0</v>
      </c>
      <c r="H55" s="97">
        <f>'Team and Player Stats'!H48</f>
        <v>0</v>
      </c>
      <c r="I55" s="97">
        <f>'Team and Player Stats'!I48</f>
        <v>0</v>
      </c>
      <c r="J55" s="97">
        <f>'Team and Player Stats'!J48</f>
        <v>0</v>
      </c>
      <c r="K55" s="99" t="str">
        <f>'Team and Player Stats'!K48</f>
        <v>#DIV/0!</v>
      </c>
      <c r="L55" s="98">
        <f>'Team and Player Stats'!L48</f>
        <v>0</v>
      </c>
      <c r="M55" s="97">
        <f>'Team and Player Stats'!M48</f>
        <v>0</v>
      </c>
      <c r="N55" s="97">
        <f>'Team and Player Stats'!N48</f>
        <v>0</v>
      </c>
      <c r="O55" s="100">
        <f>'Team and Player Stats'!O48</f>
        <v>0</v>
      </c>
      <c r="P55" s="97">
        <f>'Team and Player Stats'!P48</f>
        <v>0</v>
      </c>
      <c r="Q55" s="97">
        <f>'Team and Player Stats'!Q48</f>
        <v>0</v>
      </c>
      <c r="R55" s="97">
        <f>'Team and Player Stats'!R48</f>
        <v>0</v>
      </c>
      <c r="S55" s="97">
        <f>'Team and Player Stats'!S48</f>
        <v>0</v>
      </c>
      <c r="T55" s="97">
        <f>'Team and Player Stats'!T48</f>
        <v>0</v>
      </c>
      <c r="U55" s="97">
        <f>'Team and Player Stats'!U48</f>
        <v>0</v>
      </c>
      <c r="V55" s="97">
        <f>'Team and Player Stats'!V48</f>
        <v>0</v>
      </c>
      <c r="W55" s="97">
        <f>'Team and Player Stats'!W48</f>
        <v>0</v>
      </c>
      <c r="X55" s="97">
        <f>'Team and Player Stats'!X48</f>
        <v>0</v>
      </c>
      <c r="Y55" s="97">
        <f>'Team and Player Stats'!Y48</f>
        <v>0</v>
      </c>
      <c r="Z55" s="97">
        <f>'Team and Player Stats'!Z48</f>
        <v>0</v>
      </c>
      <c r="AA55" s="97">
        <f>'Team and Player Stats'!AA48</f>
        <v>0</v>
      </c>
      <c r="AB55" s="97">
        <f>'Team and Player Stats'!AB48</f>
        <v>0</v>
      </c>
      <c r="AC55" s="97">
        <f>'Team and Player Stats'!AC48</f>
        <v>0</v>
      </c>
      <c r="AD55" s="97">
        <f>'Team and Player Stats'!AD48</f>
        <v>0</v>
      </c>
      <c r="AE55" s="97">
        <f>'Team and Player Stats'!AE48</f>
        <v>0</v>
      </c>
      <c r="AF55" s="97">
        <f>'Team and Player Stats'!AF48</f>
        <v>0</v>
      </c>
      <c r="AG55" s="97">
        <f>'Team and Player Stats'!AG48</f>
        <v>0</v>
      </c>
      <c r="AH55" s="97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101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102" t="str">
        <f>'Team and Player Stats'!K56</f>
        <v>#DIV/0!</v>
      </c>
      <c r="L56" s="101">
        <f>'Team and Player Stats'!L56</f>
        <v>0</v>
      </c>
      <c r="M56">
        <f>'Team and Player Stats'!M56</f>
        <v>0</v>
      </c>
      <c r="N56">
        <f>'Team and Player Stats'!N56</f>
        <v>0</v>
      </c>
      <c r="O56" s="103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97" t="str">
        <f>'Team and Player Stats'!B63</f>
        <v>TheNastyWithin</v>
      </c>
      <c r="B57" s="97" t="str">
        <f>'Team and Player Stats'!A63</f>
        <v>Hypest</v>
      </c>
      <c r="C57" s="97">
        <f>'Team and Player Stats'!C63</f>
        <v>0</v>
      </c>
      <c r="D57" s="97">
        <f>'Team and Player Stats'!D63</f>
        <v>0</v>
      </c>
      <c r="E57" s="98">
        <f>'Team and Player Stats'!E63</f>
        <v>0</v>
      </c>
      <c r="F57" s="97">
        <f>'Team and Player Stats'!F63</f>
        <v>0</v>
      </c>
      <c r="G57" s="97">
        <f>'Team and Player Stats'!G63</f>
        <v>0</v>
      </c>
      <c r="H57" s="97">
        <f>'Team and Player Stats'!H63</f>
        <v>0</v>
      </c>
      <c r="I57" s="97">
        <f>'Team and Player Stats'!I63</f>
        <v>0</v>
      </c>
      <c r="J57" s="97">
        <f>'Team and Player Stats'!J63</f>
        <v>0</v>
      </c>
      <c r="K57" s="99" t="str">
        <f>'Team and Player Stats'!K63</f>
        <v>#DIV/0!</v>
      </c>
      <c r="L57" s="98">
        <f>'Team and Player Stats'!L63</f>
        <v>0</v>
      </c>
      <c r="M57" s="97">
        <f>'Team and Player Stats'!M63</f>
        <v>0</v>
      </c>
      <c r="N57" s="97">
        <f>'Team and Player Stats'!N63</f>
        <v>0</v>
      </c>
      <c r="O57" s="100">
        <f>'Team and Player Stats'!O63</f>
        <v>0</v>
      </c>
      <c r="P57" s="97">
        <f>'Team and Player Stats'!P63</f>
        <v>0</v>
      </c>
      <c r="Q57" s="97">
        <f>'Team and Player Stats'!Q63</f>
        <v>0</v>
      </c>
      <c r="R57" s="97">
        <f>'Team and Player Stats'!R63</f>
        <v>0</v>
      </c>
      <c r="S57" s="97">
        <f>'Team and Player Stats'!S63</f>
        <v>0</v>
      </c>
      <c r="T57" s="97">
        <f>'Team and Player Stats'!T63</f>
        <v>0</v>
      </c>
      <c r="U57" s="97">
        <f>'Team and Player Stats'!U63</f>
        <v>0</v>
      </c>
      <c r="V57" s="97">
        <f>'Team and Player Stats'!V63</f>
        <v>0</v>
      </c>
      <c r="W57" s="97">
        <f>'Team and Player Stats'!W63</f>
        <v>0</v>
      </c>
      <c r="X57" s="97">
        <f>'Team and Player Stats'!X63</f>
        <v>0</v>
      </c>
      <c r="Y57" s="97">
        <f>'Team and Player Stats'!Y63</f>
        <v>0</v>
      </c>
      <c r="Z57" s="97">
        <f>'Team and Player Stats'!Z63</f>
        <v>0</v>
      </c>
      <c r="AA57" s="97">
        <f>'Team and Player Stats'!AA63</f>
        <v>0</v>
      </c>
      <c r="AB57" s="97">
        <f>'Team and Player Stats'!AB63</f>
        <v>0</v>
      </c>
      <c r="AC57" s="97">
        <f>'Team and Player Stats'!AC63</f>
        <v>0</v>
      </c>
      <c r="AD57" s="97">
        <f>'Team and Player Stats'!AD63</f>
        <v>0</v>
      </c>
      <c r="AE57" s="97">
        <f>'Team and Player Stats'!AE63</f>
        <v>0</v>
      </c>
      <c r="AF57" s="97">
        <f>'Team and Player Stats'!AF63</f>
        <v>0</v>
      </c>
      <c r="AG57" s="97">
        <f>'Team and Player Stats'!AG63</f>
        <v>0</v>
      </c>
      <c r="AH57" s="97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101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102" t="str">
        <f>'Team and Player Stats'!K70</f>
        <v>#DIV/0!</v>
      </c>
      <c r="L58" s="101">
        <f>'Team and Player Stats'!L70</f>
        <v>0</v>
      </c>
      <c r="M58">
        <f>'Team and Player Stats'!M70</f>
        <v>0</v>
      </c>
      <c r="N58">
        <f>'Team and Player Stats'!N70</f>
        <v>0</v>
      </c>
      <c r="O58" s="103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101"/>
      <c r="K59" s="102"/>
      <c r="L59" s="101"/>
      <c r="O59" s="103"/>
    </row>
    <row r="60">
      <c r="E60" s="101"/>
      <c r="K60" s="102"/>
      <c r="L60" s="101"/>
      <c r="O60" s="103"/>
    </row>
    <row r="61">
      <c r="E61" s="101"/>
      <c r="K61" s="102"/>
      <c r="L61" s="101"/>
      <c r="O61" s="103"/>
    </row>
    <row r="62">
      <c r="E62" s="101"/>
      <c r="K62" s="102"/>
      <c r="L62" s="101"/>
      <c r="O62" s="103"/>
    </row>
    <row r="63">
      <c r="E63" s="101"/>
      <c r="K63" s="102"/>
      <c r="L63" s="101"/>
      <c r="O63" s="103"/>
    </row>
    <row r="64">
      <c r="E64" s="101"/>
      <c r="K64" s="102"/>
      <c r="L64" s="101"/>
      <c r="O64" s="103"/>
    </row>
    <row r="65">
      <c r="E65" s="101"/>
      <c r="K65" s="102"/>
      <c r="L65" s="101"/>
      <c r="O65" s="103"/>
    </row>
    <row r="66">
      <c r="E66" s="101"/>
      <c r="K66" s="102"/>
      <c r="L66" s="101"/>
      <c r="O66" s="103"/>
    </row>
    <row r="67">
      <c r="E67" s="101"/>
      <c r="K67" s="102"/>
      <c r="L67" s="101"/>
      <c r="O67" s="103"/>
    </row>
    <row r="68">
      <c r="E68" s="101"/>
      <c r="K68" s="102"/>
      <c r="L68" s="101"/>
      <c r="O68" s="103"/>
    </row>
    <row r="69">
      <c r="E69" s="101"/>
      <c r="K69" s="102"/>
      <c r="L69" s="101"/>
      <c r="O69" s="103"/>
    </row>
    <row r="70">
      <c r="E70" s="101"/>
      <c r="K70" s="102"/>
      <c r="L70" s="101"/>
      <c r="O70" s="103"/>
    </row>
    <row r="71">
      <c r="E71" s="101"/>
      <c r="K71" s="102"/>
      <c r="L71" s="101"/>
      <c r="O71" s="103"/>
    </row>
    <row r="72">
      <c r="E72" s="101"/>
      <c r="K72" s="102"/>
      <c r="L72" s="101"/>
      <c r="O72" s="103"/>
    </row>
    <row r="73">
      <c r="E73" s="101"/>
      <c r="K73" s="102"/>
      <c r="L73" s="101"/>
      <c r="O73" s="103"/>
    </row>
    <row r="74">
      <c r="E74" s="101"/>
      <c r="K74" s="102"/>
      <c r="L74" s="101"/>
      <c r="O74" s="103"/>
    </row>
    <row r="75">
      <c r="E75" s="101"/>
      <c r="K75" s="102"/>
      <c r="L75" s="101"/>
      <c r="O75" s="103"/>
    </row>
    <row r="76">
      <c r="E76" s="101"/>
      <c r="K76" s="102"/>
      <c r="L76" s="101"/>
      <c r="O76" s="103"/>
    </row>
    <row r="77">
      <c r="E77" s="101"/>
      <c r="K77" s="102"/>
      <c r="L77" s="101"/>
      <c r="O77" s="103"/>
    </row>
    <row r="78">
      <c r="E78" s="101"/>
      <c r="K78" s="102"/>
      <c r="L78" s="101"/>
      <c r="O78" s="103"/>
    </row>
    <row r="79">
      <c r="E79" s="101"/>
      <c r="K79" s="102"/>
      <c r="L79" s="101"/>
      <c r="O79" s="103"/>
    </row>
    <row r="80">
      <c r="E80" s="101"/>
      <c r="K80" s="102"/>
      <c r="L80" s="101"/>
      <c r="O80" s="103"/>
    </row>
    <row r="81">
      <c r="E81" s="101"/>
      <c r="K81" s="102"/>
      <c r="L81" s="101"/>
      <c r="O81" s="103"/>
    </row>
    <row r="82">
      <c r="E82" s="101"/>
      <c r="K82" s="102"/>
      <c r="L82" s="101"/>
      <c r="O82" s="103"/>
    </row>
    <row r="83">
      <c r="E83" s="101"/>
      <c r="K83" s="102"/>
      <c r="L83" s="101"/>
      <c r="O83" s="103"/>
    </row>
    <row r="84">
      <c r="E84" s="101"/>
      <c r="K84" s="102"/>
      <c r="L84" s="101"/>
      <c r="O84" s="103"/>
    </row>
    <row r="85">
      <c r="E85" s="101"/>
      <c r="K85" s="102"/>
      <c r="L85" s="101"/>
      <c r="O85" s="103"/>
    </row>
    <row r="86">
      <c r="E86" s="101"/>
      <c r="K86" s="102"/>
      <c r="L86" s="101"/>
      <c r="O86" s="103"/>
    </row>
    <row r="87">
      <c r="E87" s="101"/>
      <c r="K87" s="102"/>
      <c r="L87" s="101"/>
      <c r="O87" s="103"/>
    </row>
    <row r="88">
      <c r="E88" s="101"/>
      <c r="K88" s="102"/>
      <c r="L88" s="101"/>
      <c r="O88" s="103"/>
    </row>
    <row r="89">
      <c r="E89" s="101"/>
      <c r="K89" s="102"/>
      <c r="L89" s="101"/>
      <c r="O89" s="103"/>
    </row>
    <row r="90">
      <c r="E90" s="101"/>
      <c r="K90" s="102"/>
      <c r="L90" s="101"/>
      <c r="O90" s="103"/>
    </row>
    <row r="91">
      <c r="E91" s="101"/>
      <c r="K91" s="102"/>
      <c r="L91" s="101"/>
      <c r="O91" s="103"/>
    </row>
    <row r="92">
      <c r="E92" s="101"/>
      <c r="K92" s="102"/>
      <c r="L92" s="101"/>
      <c r="O92" s="103"/>
    </row>
    <row r="93">
      <c r="E93" s="101"/>
      <c r="K93" s="102"/>
      <c r="L93" s="101"/>
      <c r="O93" s="103"/>
    </row>
    <row r="94">
      <c r="E94" s="101"/>
      <c r="K94" s="102"/>
      <c r="L94" s="101"/>
      <c r="O94" s="103"/>
    </row>
    <row r="95">
      <c r="E95" s="101"/>
      <c r="K95" s="102"/>
      <c r="L95" s="101"/>
      <c r="O95" s="103"/>
    </row>
    <row r="96">
      <c r="E96" s="101"/>
      <c r="K96" s="102"/>
      <c r="L96" s="101"/>
      <c r="O96" s="103"/>
    </row>
    <row r="97">
      <c r="E97" s="101"/>
      <c r="K97" s="102"/>
      <c r="L97" s="101"/>
      <c r="O97" s="103"/>
    </row>
    <row r="98">
      <c r="E98" s="101"/>
      <c r="K98" s="102"/>
      <c r="L98" s="101"/>
      <c r="O98" s="103"/>
    </row>
    <row r="99">
      <c r="E99" s="101"/>
      <c r="K99" s="102"/>
      <c r="L99" s="101"/>
      <c r="O99" s="103"/>
    </row>
    <row r="100">
      <c r="E100" s="101"/>
      <c r="K100" s="102"/>
      <c r="L100" s="101"/>
      <c r="O100" s="103"/>
    </row>
    <row r="101">
      <c r="E101" s="101"/>
      <c r="K101" s="102"/>
      <c r="L101" s="101"/>
      <c r="O101" s="103"/>
    </row>
    <row r="102">
      <c r="E102" s="101"/>
      <c r="K102" s="102"/>
      <c r="L102" s="101"/>
      <c r="O102" s="103"/>
    </row>
  </sheetData>
  <mergeCells count="1">
    <mergeCell ref="A1:A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246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1"/>
    </row>
    <row r="3">
      <c r="A3" s="97" t="str">
        <f>'Team and Player Stats'!B17</f>
        <v>nkotb4evah</v>
      </c>
      <c r="B3" s="97" t="str">
        <f>'Team and Player Stats'!A17</f>
        <v>Junkyard Dogs</v>
      </c>
      <c r="C3" s="97">
        <f>'Team and Player Stats'!C17</f>
        <v>18</v>
      </c>
      <c r="D3" s="97">
        <f>'Team and Player Stats'!D17</f>
        <v>6</v>
      </c>
      <c r="E3" s="98">
        <f>'Team and Player Stats'!E17</f>
        <v>528.05</v>
      </c>
      <c r="F3" s="97">
        <f>'Team and Player Stats'!F17</f>
        <v>41</v>
      </c>
      <c r="G3" s="97">
        <f>'Team and Player Stats'!G17</f>
        <v>1114</v>
      </c>
      <c r="H3" s="97">
        <f>'Team and Player Stats'!H17</f>
        <v>9</v>
      </c>
      <c r="I3" s="97">
        <f>'Team and Player Stats'!I17</f>
        <v>1599</v>
      </c>
      <c r="J3" s="97">
        <f>'Team and Player Stats'!J17</f>
        <v>-485</v>
      </c>
      <c r="K3" s="99">
        <f>'Team and Player Stats'!K17</f>
        <v>0.6966854284</v>
      </c>
      <c r="L3" s="98">
        <f>'Team and Player Stats'!L17</f>
        <v>330</v>
      </c>
      <c r="M3" s="97">
        <f>'Team and Player Stats'!M17</f>
        <v>1454</v>
      </c>
      <c r="N3" s="97">
        <f>'Team and Player Stats'!N17</f>
        <v>18</v>
      </c>
      <c r="O3" s="100">
        <f>'Team and Player Stats'!O17</f>
        <v>528.05</v>
      </c>
      <c r="P3" s="97">
        <f>'Team and Player Stats'!P17</f>
        <v>96</v>
      </c>
      <c r="Q3" s="97">
        <f>'Team and Player Stats'!Q17</f>
        <v>37</v>
      </c>
      <c r="R3" s="97">
        <f>'Team and Player Stats'!R17</f>
        <v>42</v>
      </c>
      <c r="S3" s="97">
        <f>'Team and Player Stats'!S17</f>
        <v>34</v>
      </c>
      <c r="T3" s="97">
        <f>'Team and Player Stats'!T17</f>
        <v>117</v>
      </c>
      <c r="U3" s="97">
        <f>'Team and Player Stats'!U17</f>
        <v>16</v>
      </c>
      <c r="V3" s="97">
        <f>'Team and Player Stats'!V17</f>
        <v>1</v>
      </c>
      <c r="W3" s="97">
        <f>'Team and Player Stats'!W17</f>
        <v>0</v>
      </c>
      <c r="X3" s="97">
        <f>'Team and Player Stats'!X17</f>
        <v>0</v>
      </c>
      <c r="Y3" s="97">
        <f>'Team and Player Stats'!Y17</f>
        <v>0</v>
      </c>
      <c r="Z3" s="97">
        <f>'Team and Player Stats'!Z17</f>
        <v>0</v>
      </c>
      <c r="AA3" s="97">
        <f>'Team and Player Stats'!AA17</f>
        <v>0</v>
      </c>
      <c r="AB3" s="97">
        <f>'Team and Player Stats'!AB17</f>
        <v>0</v>
      </c>
      <c r="AC3" s="97">
        <f>'Team and Player Stats'!AC17</f>
        <v>19</v>
      </c>
      <c r="AD3" s="97">
        <f>'Team and Player Stats'!AD17</f>
        <v>1</v>
      </c>
      <c r="AE3" s="97">
        <f>'Team and Player Stats'!AE17</f>
        <v>0</v>
      </c>
      <c r="AF3" s="97">
        <f>'Team and Player Stats'!AF17</f>
        <v>0</v>
      </c>
      <c r="AG3" s="97">
        <f>'Team and Player Stats'!AG17</f>
        <v>0</v>
      </c>
      <c r="AH3" s="97">
        <f>'Team and Player Stats'!AH17</f>
        <v>2</v>
      </c>
    </row>
    <row r="4">
      <c r="A4" t="str">
        <f>'Team and Player Stats'!B53</f>
        <v>TnTaylor</v>
      </c>
      <c r="B4" t="str">
        <f>'Team and Player Stats'!A53</f>
        <v>Silva's Connection</v>
      </c>
      <c r="C4">
        <f>'Team and Player Stats'!C53</f>
        <v>20</v>
      </c>
      <c r="D4">
        <f>'Team and Player Stats'!D53</f>
        <v>6</v>
      </c>
      <c r="E4" s="101">
        <f>'Team and Player Stats'!E53</f>
        <v>560.9166667</v>
      </c>
      <c r="F4">
        <f>'Team and Player Stats'!F53</f>
        <v>10</v>
      </c>
      <c r="G4">
        <f>'Team and Player Stats'!G53</f>
        <v>1823</v>
      </c>
      <c r="H4">
        <f>'Team and Player Stats'!H53</f>
        <v>6</v>
      </c>
      <c r="I4">
        <f>'Team and Player Stats'!I53</f>
        <v>1752</v>
      </c>
      <c r="J4">
        <f>'Team and Player Stats'!J53</f>
        <v>71</v>
      </c>
      <c r="K4" s="102">
        <f>'Team and Player Stats'!K53</f>
        <v>1.040525114</v>
      </c>
      <c r="L4" s="101">
        <f>'Team and Player Stats'!L53</f>
        <v>329</v>
      </c>
      <c r="M4">
        <f>'Team and Player Stats'!M53</f>
        <v>2328</v>
      </c>
      <c r="N4">
        <f>'Team and Player Stats'!N53</f>
        <v>20</v>
      </c>
      <c r="O4" s="103">
        <f>'Team and Player Stats'!O53</f>
        <v>560.9166667</v>
      </c>
      <c r="P4">
        <f>'Team and Player Stats'!P53</f>
        <v>92</v>
      </c>
      <c r="Q4">
        <f>'Team and Player Stats'!Q53</f>
        <v>74</v>
      </c>
      <c r="R4">
        <f>'Team and Player Stats'!R53</f>
        <v>124</v>
      </c>
      <c r="S4">
        <f>'Team and Player Stats'!S53</f>
        <v>39</v>
      </c>
      <c r="T4">
        <f>'Team and Player Stats'!T53</f>
        <v>225</v>
      </c>
      <c r="U4">
        <f>'Team and Player Stats'!U53</f>
        <v>40</v>
      </c>
      <c r="V4">
        <f>'Team and Player Stats'!V53</f>
        <v>11</v>
      </c>
      <c r="W4">
        <f>'Team and Player Stats'!W53</f>
        <v>2</v>
      </c>
      <c r="X4">
        <f>'Team and Player Stats'!X53</f>
        <v>1</v>
      </c>
      <c r="Y4">
        <f>'Team and Player Stats'!Y53</f>
        <v>0</v>
      </c>
      <c r="Z4">
        <f>'Team and Player Stats'!Z53</f>
        <v>0</v>
      </c>
      <c r="AA4">
        <f>'Team and Player Stats'!AA53</f>
        <v>0</v>
      </c>
      <c r="AB4">
        <f>'Team and Player Stats'!AB53</f>
        <v>0</v>
      </c>
      <c r="AC4">
        <f>'Team and Player Stats'!AC53</f>
        <v>45</v>
      </c>
      <c r="AD4">
        <f>'Team and Player Stats'!AD53</f>
        <v>1</v>
      </c>
      <c r="AE4">
        <f>'Team and Player Stats'!AE53</f>
        <v>0</v>
      </c>
      <c r="AF4">
        <f>'Team and Player Stats'!AF53</f>
        <v>0</v>
      </c>
      <c r="AG4">
        <f>'Team and Player Stats'!AG53</f>
        <v>0</v>
      </c>
      <c r="AH4">
        <f>'Team and Player Stats'!AH53</f>
        <v>2</v>
      </c>
    </row>
    <row r="5">
      <c r="A5" s="97" t="str">
        <f>'Team and Player Stats'!B54</f>
        <v>Elementary</v>
      </c>
      <c r="B5" s="97" t="str">
        <f>'Team and Player Stats'!A54</f>
        <v>Silva's Connection</v>
      </c>
      <c r="C5" s="97">
        <f>'Team and Player Stats'!C54</f>
        <v>20</v>
      </c>
      <c r="D5" s="97">
        <f>'Team and Player Stats'!D54</f>
        <v>6</v>
      </c>
      <c r="E5" s="98">
        <f>'Team and Player Stats'!E54</f>
        <v>560.5</v>
      </c>
      <c r="F5" s="97">
        <f>'Team and Player Stats'!F54</f>
        <v>7</v>
      </c>
      <c r="G5" s="97">
        <f>'Team and Player Stats'!G54</f>
        <v>2236</v>
      </c>
      <c r="H5" s="97">
        <f>'Team and Player Stats'!H54</f>
        <v>10</v>
      </c>
      <c r="I5" s="97">
        <f>'Team and Player Stats'!I54</f>
        <v>2187</v>
      </c>
      <c r="J5" s="97">
        <f>'Team and Player Stats'!J54</f>
        <v>49</v>
      </c>
      <c r="K5" s="99">
        <f>'Team and Player Stats'!K54</f>
        <v>1.022405121</v>
      </c>
      <c r="L5" s="98">
        <f>'Team and Player Stats'!L54</f>
        <v>251</v>
      </c>
      <c r="M5" s="97">
        <f>'Team and Player Stats'!M54</f>
        <v>2929</v>
      </c>
      <c r="N5" s="97">
        <f>'Team and Player Stats'!N54</f>
        <v>20</v>
      </c>
      <c r="O5" s="100">
        <f>'Team and Player Stats'!O54</f>
        <v>560.5</v>
      </c>
      <c r="P5" s="97">
        <f>'Team and Player Stats'!P54</f>
        <v>88</v>
      </c>
      <c r="Q5" s="97">
        <f>'Team and Player Stats'!Q54</f>
        <v>34</v>
      </c>
      <c r="R5" s="97">
        <f>'Team and Player Stats'!R54</f>
        <v>172</v>
      </c>
      <c r="S5" s="97">
        <f>'Team and Player Stats'!S54</f>
        <v>45</v>
      </c>
      <c r="T5" s="97">
        <f>'Team and Player Stats'!T54</f>
        <v>362</v>
      </c>
      <c r="U5" s="97">
        <f>'Team and Player Stats'!U54</f>
        <v>66</v>
      </c>
      <c r="V5" s="97">
        <f>'Team and Player Stats'!V54</f>
        <v>17</v>
      </c>
      <c r="W5" s="97">
        <f>'Team and Player Stats'!W54</f>
        <v>3</v>
      </c>
      <c r="X5" s="97">
        <f>'Team and Player Stats'!X54</f>
        <v>0</v>
      </c>
      <c r="Y5" s="97">
        <f>'Team and Player Stats'!Y54</f>
        <v>0</v>
      </c>
      <c r="Z5" s="97">
        <f>'Team and Player Stats'!Z54</f>
        <v>0</v>
      </c>
      <c r="AA5" s="97">
        <f>'Team and Player Stats'!AA54</f>
        <v>0</v>
      </c>
      <c r="AB5" s="97">
        <f>'Team and Player Stats'!AB54</f>
        <v>0</v>
      </c>
      <c r="AC5" s="97">
        <f>'Team and Player Stats'!AC54</f>
        <v>47</v>
      </c>
      <c r="AD5" s="97">
        <f>'Team and Player Stats'!AD54</f>
        <v>0</v>
      </c>
      <c r="AE5" s="97">
        <f>'Team and Player Stats'!AE54</f>
        <v>0</v>
      </c>
      <c r="AF5" s="97">
        <f>'Team and Player Stats'!AF54</f>
        <v>0</v>
      </c>
      <c r="AG5" s="97">
        <f>'Team and Player Stats'!AG54</f>
        <v>1</v>
      </c>
      <c r="AH5" s="97">
        <f>'Team and Player Stats'!AH54</f>
        <v>0</v>
      </c>
    </row>
    <row r="6">
      <c r="A6" t="str">
        <f>'Team and Player Stats'!B4</f>
        <v>DIGITAL PAIN</v>
      </c>
      <c r="B6" t="str">
        <f>'Team and Player Stats'!A4</f>
        <v>Defiance</v>
      </c>
      <c r="C6">
        <f>'Team and Player Stats'!C4</f>
        <v>16</v>
      </c>
      <c r="D6">
        <f>'Team and Player Stats'!D4</f>
        <v>10</v>
      </c>
      <c r="E6" s="101">
        <f>'Team and Player Stats'!E4</f>
        <v>454</v>
      </c>
      <c r="F6">
        <f>'Team and Player Stats'!F4</f>
        <v>5</v>
      </c>
      <c r="G6">
        <f>'Team and Player Stats'!G4</f>
        <v>1723</v>
      </c>
      <c r="H6">
        <f>'Team and Player Stats'!H4</f>
        <v>6</v>
      </c>
      <c r="I6">
        <f>'Team and Player Stats'!I4</f>
        <v>1499</v>
      </c>
      <c r="J6">
        <f>'Team and Player Stats'!J4</f>
        <v>224</v>
      </c>
      <c r="K6" s="102">
        <f>'Team and Player Stats'!K4</f>
        <v>1.149432955</v>
      </c>
      <c r="L6" s="101">
        <f>'Team and Player Stats'!L4</f>
        <v>263</v>
      </c>
      <c r="M6">
        <f>'Team and Player Stats'!M4</f>
        <v>2175</v>
      </c>
      <c r="N6">
        <f>'Team and Player Stats'!N4</f>
        <v>13</v>
      </c>
      <c r="O6" s="103">
        <f>'Team and Player Stats'!O4</f>
        <v>419</v>
      </c>
      <c r="P6">
        <f>'Team and Player Stats'!P4</f>
        <v>84</v>
      </c>
      <c r="Q6">
        <f>'Team and Player Stats'!Q4</f>
        <v>29</v>
      </c>
      <c r="R6">
        <f>'Team and Player Stats'!R4</f>
        <v>141</v>
      </c>
      <c r="S6">
        <f>'Team and Player Stats'!S4</f>
        <v>20</v>
      </c>
      <c r="T6">
        <f>'Team and Player Stats'!T4</f>
        <v>203</v>
      </c>
      <c r="U6">
        <f>'Team and Player Stats'!U4</f>
        <v>30</v>
      </c>
      <c r="V6">
        <f>'Team and Player Stats'!V4</f>
        <v>9</v>
      </c>
      <c r="W6">
        <f>'Team and Player Stats'!W4</f>
        <v>4</v>
      </c>
      <c r="X6">
        <f>'Team and Player Stats'!X4</f>
        <v>1</v>
      </c>
      <c r="Y6">
        <f>'Team and Player Stats'!Y4</f>
        <v>0</v>
      </c>
      <c r="Z6">
        <f>'Team and Player Stats'!Z4</f>
        <v>0</v>
      </c>
      <c r="AA6">
        <f>'Team and Player Stats'!AA4</f>
        <v>0</v>
      </c>
      <c r="AB6">
        <f>'Team and Player Stats'!AB4</f>
        <v>0</v>
      </c>
      <c r="AC6">
        <f>'Team and Player Stats'!AC4</f>
        <v>44</v>
      </c>
      <c r="AD6">
        <f>'Team and Player Stats'!AD4</f>
        <v>1</v>
      </c>
      <c r="AE6">
        <f>'Team and Player Stats'!AE4</f>
        <v>0</v>
      </c>
      <c r="AF6">
        <f>'Team and Player Stats'!AF4</f>
        <v>0</v>
      </c>
      <c r="AG6">
        <f>'Team and Player Stats'!AG4</f>
        <v>1</v>
      </c>
      <c r="AH6">
        <f>'Team and Player Stats'!AH4</f>
        <v>2</v>
      </c>
    </row>
    <row r="7">
      <c r="A7" s="97" t="str">
        <f>'Team and Player Stats'!B19</f>
        <v>Gilded Grams</v>
      </c>
      <c r="B7" s="97" t="str">
        <f>'Team and Player Stats'!A19</f>
        <v>Junkyard Dogs</v>
      </c>
      <c r="C7" s="97">
        <f>'Team and Player Stats'!C19</f>
        <v>18</v>
      </c>
      <c r="D7" s="97">
        <f>'Team and Player Stats'!D19</f>
        <v>6</v>
      </c>
      <c r="E7" s="98">
        <f>'Team and Player Stats'!E19</f>
        <v>525.4666667</v>
      </c>
      <c r="F7" s="97">
        <f>'Team and Player Stats'!F19</f>
        <v>6</v>
      </c>
      <c r="G7" s="97">
        <f>'Team and Player Stats'!G19</f>
        <v>2263</v>
      </c>
      <c r="H7" s="97">
        <f>'Team and Player Stats'!H19</f>
        <v>7</v>
      </c>
      <c r="I7" s="97">
        <f>'Team and Player Stats'!I19</f>
        <v>1972</v>
      </c>
      <c r="J7" s="97">
        <f>'Team and Player Stats'!J19</f>
        <v>291</v>
      </c>
      <c r="K7" s="99">
        <f>'Team and Player Stats'!K19</f>
        <v>1.147565923</v>
      </c>
      <c r="L7" s="98">
        <f>'Team and Player Stats'!L19</f>
        <v>253</v>
      </c>
      <c r="M7" s="97">
        <f>'Team and Player Stats'!M19</f>
        <v>2928</v>
      </c>
      <c r="N7" s="97">
        <f>'Team and Player Stats'!N19</f>
        <v>18</v>
      </c>
      <c r="O7" s="100">
        <f>'Team and Player Stats'!O19</f>
        <v>525.4666667</v>
      </c>
      <c r="P7" s="97">
        <f>'Team and Player Stats'!P19</f>
        <v>83</v>
      </c>
      <c r="Q7" s="97">
        <f>'Team and Player Stats'!Q19</f>
        <v>74</v>
      </c>
      <c r="R7" s="97">
        <f>'Team and Player Stats'!R19</f>
        <v>115</v>
      </c>
      <c r="S7" s="97">
        <f>'Team and Player Stats'!S19</f>
        <v>36</v>
      </c>
      <c r="T7" s="97">
        <f>'Team and Player Stats'!T19</f>
        <v>360</v>
      </c>
      <c r="U7" s="97">
        <f>'Team and Player Stats'!U19</f>
        <v>59</v>
      </c>
      <c r="V7" s="97">
        <f>'Team and Player Stats'!V19</f>
        <v>11</v>
      </c>
      <c r="W7" s="97">
        <f>'Team and Player Stats'!W19</f>
        <v>3</v>
      </c>
      <c r="X7" s="97">
        <f>'Team and Player Stats'!X19</f>
        <v>0</v>
      </c>
      <c r="Y7" s="97">
        <f>'Team and Player Stats'!Y19</f>
        <v>0</v>
      </c>
      <c r="Z7" s="97">
        <f>'Team and Player Stats'!Z19</f>
        <v>0</v>
      </c>
      <c r="AA7" s="97">
        <f>'Team and Player Stats'!AA19</f>
        <v>0</v>
      </c>
      <c r="AB7" s="97">
        <f>'Team and Player Stats'!AB19</f>
        <v>0</v>
      </c>
      <c r="AC7" s="97">
        <f>'Team and Player Stats'!AC19</f>
        <v>68</v>
      </c>
      <c r="AD7" s="97">
        <f>'Team and Player Stats'!AD19</f>
        <v>1</v>
      </c>
      <c r="AE7" s="97">
        <f>'Team and Player Stats'!AE19</f>
        <v>0</v>
      </c>
      <c r="AF7" s="97">
        <f>'Team and Player Stats'!AF19</f>
        <v>0</v>
      </c>
      <c r="AG7" s="97">
        <f>'Team and Player Stats'!AG19</f>
        <v>2</v>
      </c>
      <c r="AH7" s="97">
        <f>'Team and Player Stats'!AH19</f>
        <v>9</v>
      </c>
    </row>
    <row r="8">
      <c r="A8" t="str">
        <f>'Team and Player Stats'!B46</f>
        <v>the man canon</v>
      </c>
      <c r="B8" t="str">
        <f>'Team and Player Stats'!A46</f>
        <v>Failure to Launch</v>
      </c>
      <c r="C8">
        <f>'Team and Player Stats'!C46</f>
        <v>17</v>
      </c>
      <c r="D8">
        <f>'Team and Player Stats'!D46</f>
        <v>10</v>
      </c>
      <c r="E8" s="101">
        <f>'Team and Player Stats'!E46</f>
        <v>486.3166667</v>
      </c>
      <c r="F8">
        <f>'Team and Player Stats'!F46</f>
        <v>5</v>
      </c>
      <c r="G8">
        <f>'Team and Player Stats'!G46</f>
        <v>1655</v>
      </c>
      <c r="H8">
        <f>'Team and Player Stats'!H46</f>
        <v>5</v>
      </c>
      <c r="I8">
        <f>'Team and Player Stats'!I46</f>
        <v>1604</v>
      </c>
      <c r="J8">
        <f>'Team and Player Stats'!J46</f>
        <v>51</v>
      </c>
      <c r="K8" s="102">
        <f>'Team and Player Stats'!K46</f>
        <v>1.031795511</v>
      </c>
      <c r="L8" s="101">
        <f>'Team and Player Stats'!L46</f>
        <v>245</v>
      </c>
      <c r="M8">
        <f>'Team and Player Stats'!M46</f>
        <v>2139</v>
      </c>
      <c r="N8">
        <f>'Team and Player Stats'!N46</f>
        <v>17</v>
      </c>
      <c r="O8" s="103">
        <f>'Team and Player Stats'!O46</f>
        <v>486.3166667</v>
      </c>
      <c r="P8">
        <f>'Team and Player Stats'!P46</f>
        <v>82</v>
      </c>
      <c r="Q8">
        <f>'Team and Player Stats'!Q46</f>
        <v>25</v>
      </c>
      <c r="R8">
        <f>'Team and Player Stats'!R46</f>
        <v>143</v>
      </c>
      <c r="S8">
        <f>'Team and Player Stats'!S46</f>
        <v>26</v>
      </c>
      <c r="T8">
        <f>'Team and Player Stats'!T46</f>
        <v>223</v>
      </c>
      <c r="U8">
        <f>'Team and Player Stats'!U46</f>
        <v>46</v>
      </c>
      <c r="V8">
        <f>'Team and Player Stats'!V46</f>
        <v>9</v>
      </c>
      <c r="W8">
        <f>'Team and Player Stats'!W46</f>
        <v>1</v>
      </c>
      <c r="X8">
        <f>'Team and Player Stats'!X46</f>
        <v>0</v>
      </c>
      <c r="Y8">
        <f>'Team and Player Stats'!Y46</f>
        <v>0</v>
      </c>
      <c r="Z8">
        <f>'Team and Player Stats'!Z46</f>
        <v>0</v>
      </c>
      <c r="AA8">
        <f>'Team and Player Stats'!AA46</f>
        <v>0</v>
      </c>
      <c r="AB8">
        <f>'Team and Player Stats'!AB46</f>
        <v>0</v>
      </c>
      <c r="AC8">
        <f>'Team and Player Stats'!AC46</f>
        <v>32</v>
      </c>
      <c r="AD8">
        <f>'Team and Player Stats'!AD46</f>
        <v>0</v>
      </c>
      <c r="AE8">
        <f>'Team and Player Stats'!AE46</f>
        <v>0</v>
      </c>
      <c r="AF8">
        <f>'Team and Player Stats'!AF46</f>
        <v>0</v>
      </c>
      <c r="AG8">
        <f>'Team and Player Stats'!AG46</f>
        <v>0</v>
      </c>
      <c r="AH8">
        <f>'Team and Player Stats'!AH46</f>
        <v>0</v>
      </c>
    </row>
    <row r="9">
      <c r="A9" s="97" t="str">
        <f>'Team and Player Stats'!B5</f>
        <v>Sabasauros Rex</v>
      </c>
      <c r="B9" s="97" t="str">
        <f>'Team and Player Stats'!A5</f>
        <v>Defiance</v>
      </c>
      <c r="C9" s="97">
        <f>'Team and Player Stats'!C5</f>
        <v>16</v>
      </c>
      <c r="D9" s="97">
        <f>'Team and Player Stats'!D5</f>
        <v>10</v>
      </c>
      <c r="E9" s="98">
        <f>'Team and Player Stats'!E5</f>
        <v>454</v>
      </c>
      <c r="F9" s="97">
        <f>'Team and Player Stats'!F5</f>
        <v>13</v>
      </c>
      <c r="G9" s="97">
        <f>'Team and Player Stats'!G5</f>
        <v>1748</v>
      </c>
      <c r="H9" s="97">
        <f>'Team and Player Stats'!H5</f>
        <v>11</v>
      </c>
      <c r="I9" s="97">
        <f>'Team and Player Stats'!I5</f>
        <v>1684</v>
      </c>
      <c r="J9" s="97">
        <f>'Team and Player Stats'!J5</f>
        <v>64</v>
      </c>
      <c r="K9" s="99">
        <f>'Team and Player Stats'!K5</f>
        <v>1.038004751</v>
      </c>
      <c r="L9" s="98">
        <f>'Team and Player Stats'!L5</f>
        <v>226</v>
      </c>
      <c r="M9" s="97">
        <f>'Team and Player Stats'!M5</f>
        <v>2216</v>
      </c>
      <c r="N9" s="97">
        <f>'Team and Player Stats'!N5</f>
        <v>13</v>
      </c>
      <c r="O9" s="100">
        <f>'Team and Player Stats'!O5</f>
        <v>419</v>
      </c>
      <c r="P9" s="97">
        <f>'Team and Player Stats'!P5</f>
        <v>75</v>
      </c>
      <c r="Q9" s="97">
        <f>'Team and Player Stats'!Q5</f>
        <v>25</v>
      </c>
      <c r="R9" s="97">
        <f>'Team and Player Stats'!R5</f>
        <v>128</v>
      </c>
      <c r="S9" s="97">
        <f>'Team and Player Stats'!S5</f>
        <v>27</v>
      </c>
      <c r="T9" s="97">
        <f>'Team and Player Stats'!T5</f>
        <v>219</v>
      </c>
      <c r="U9" s="97">
        <f>'Team and Player Stats'!U5</f>
        <v>51</v>
      </c>
      <c r="V9" s="97">
        <f>'Team and Player Stats'!V5</f>
        <v>10</v>
      </c>
      <c r="W9" s="97">
        <f>'Team and Player Stats'!W5</f>
        <v>1</v>
      </c>
      <c r="X9" s="97">
        <f>'Team and Player Stats'!X5</f>
        <v>0</v>
      </c>
      <c r="Y9" s="97">
        <f>'Team and Player Stats'!Y5</f>
        <v>0</v>
      </c>
      <c r="Z9" s="97">
        <f>'Team and Player Stats'!Z5</f>
        <v>0</v>
      </c>
      <c r="AA9" s="97">
        <f>'Team and Player Stats'!AA5</f>
        <v>0</v>
      </c>
      <c r="AB9" s="97">
        <f>'Team and Player Stats'!AB5</f>
        <v>0</v>
      </c>
      <c r="AC9" s="97">
        <f>'Team and Player Stats'!AC5</f>
        <v>36</v>
      </c>
      <c r="AD9" s="97">
        <f>'Team and Player Stats'!AD5</f>
        <v>2</v>
      </c>
      <c r="AE9" s="97">
        <f>'Team and Player Stats'!AE5</f>
        <v>0</v>
      </c>
      <c r="AF9" s="97">
        <f>'Team and Player Stats'!AF5</f>
        <v>0</v>
      </c>
      <c r="AG9" s="97">
        <f>'Team and Player Stats'!AG5</f>
        <v>2</v>
      </c>
      <c r="AH9" s="97">
        <f>'Team and Player Stats'!AH5</f>
        <v>0</v>
      </c>
    </row>
    <row r="10">
      <c r="A10" t="str">
        <f>'Team and Player Stats'!B26</f>
        <v>oScet</v>
      </c>
      <c r="B10" t="str">
        <f>'Team and Player Stats'!A26</f>
        <v>9th Wonders</v>
      </c>
      <c r="C10">
        <f>'Team and Player Stats'!C26</f>
        <v>18</v>
      </c>
      <c r="D10">
        <f>'Team and Player Stats'!D26</f>
        <v>10</v>
      </c>
      <c r="E10" s="101">
        <f>'Team and Player Stats'!E26</f>
        <v>496.6</v>
      </c>
      <c r="F10">
        <f>'Team and Player Stats'!F26</f>
        <v>26</v>
      </c>
      <c r="G10">
        <f>'Team and Player Stats'!G26</f>
        <v>1434</v>
      </c>
      <c r="H10">
        <f>'Team and Player Stats'!H26</f>
        <v>5</v>
      </c>
      <c r="I10">
        <f>'Team and Player Stats'!I26</f>
        <v>1439</v>
      </c>
      <c r="J10">
        <f>'Team and Player Stats'!J26</f>
        <v>-5</v>
      </c>
      <c r="K10" s="102">
        <f>'Team and Player Stats'!K26</f>
        <v>0.9965253648</v>
      </c>
      <c r="L10" s="101">
        <f>'Team and Player Stats'!L26</f>
        <v>311</v>
      </c>
      <c r="M10">
        <f>'Team and Player Stats'!M26</f>
        <v>1741</v>
      </c>
      <c r="N10">
        <f>'Team and Player Stats'!N26</f>
        <v>17</v>
      </c>
      <c r="O10" s="103">
        <f>'Team and Player Stats'!O26</f>
        <v>496.6</v>
      </c>
      <c r="P10">
        <f>'Team and Player Stats'!P26</f>
        <v>74</v>
      </c>
      <c r="Q10">
        <f>'Team and Player Stats'!Q26</f>
        <v>43</v>
      </c>
      <c r="R10">
        <f>'Team and Player Stats'!R26</f>
        <v>93</v>
      </c>
      <c r="S10">
        <f>'Team and Player Stats'!S26</f>
        <v>32</v>
      </c>
      <c r="T10">
        <f>'Team and Player Stats'!T26</f>
        <v>199</v>
      </c>
      <c r="U10">
        <f>'Team and Player Stats'!U26</f>
        <v>36</v>
      </c>
      <c r="V10">
        <f>'Team and Player Stats'!V26</f>
        <v>5</v>
      </c>
      <c r="W10">
        <f>'Team and Player Stats'!W26</f>
        <v>3</v>
      </c>
      <c r="X10">
        <f>'Team and Player Stats'!X26</f>
        <v>2</v>
      </c>
      <c r="Y10">
        <f>'Team and Player Stats'!Y26</f>
        <v>2</v>
      </c>
      <c r="Z10">
        <f>'Team and Player Stats'!Z26</f>
        <v>0</v>
      </c>
      <c r="AA10">
        <f>'Team and Player Stats'!AA26</f>
        <v>0</v>
      </c>
      <c r="AB10">
        <f>'Team and Player Stats'!AB26</f>
        <v>0</v>
      </c>
      <c r="AC10">
        <f>'Team and Player Stats'!AC26</f>
        <v>28</v>
      </c>
      <c r="AD10">
        <f>'Team and Player Stats'!AD26</f>
        <v>4</v>
      </c>
      <c r="AE10">
        <f>'Team and Player Stats'!AE26</f>
        <v>0</v>
      </c>
      <c r="AF10">
        <f>'Team and Player Stats'!AF26</f>
        <v>0</v>
      </c>
      <c r="AG10">
        <f>'Team and Player Stats'!AG26</f>
        <v>2</v>
      </c>
      <c r="AH10">
        <f>'Team and Player Stats'!AH26</f>
        <v>2</v>
      </c>
    </row>
    <row r="11">
      <c r="A11" s="97" t="str">
        <f>'Team and Player Stats'!B18</f>
        <v>AJ DaJuiceMayne</v>
      </c>
      <c r="B11" s="97" t="str">
        <f>'Team and Player Stats'!A18</f>
        <v>Junkyard Dogs</v>
      </c>
      <c r="C11" s="97">
        <f>'Team and Player Stats'!C18</f>
        <v>16</v>
      </c>
      <c r="D11" s="97">
        <f>'Team and Player Stats'!D18</f>
        <v>6</v>
      </c>
      <c r="E11" s="98">
        <f>'Team and Player Stats'!E18</f>
        <v>490.1333333</v>
      </c>
      <c r="F11" s="97">
        <f>'Team and Player Stats'!F18</f>
        <v>5</v>
      </c>
      <c r="G11" s="97">
        <f>'Team and Player Stats'!G18</f>
        <v>2238</v>
      </c>
      <c r="H11" s="97">
        <f>'Team and Player Stats'!H18</f>
        <v>13</v>
      </c>
      <c r="I11" s="97">
        <f>'Team and Player Stats'!I18</f>
        <v>1945</v>
      </c>
      <c r="J11" s="97">
        <f>'Team and Player Stats'!J18</f>
        <v>293</v>
      </c>
      <c r="K11" s="99">
        <f>'Team and Player Stats'!K18</f>
        <v>1.150642674</v>
      </c>
      <c r="L11" s="98">
        <f>'Team and Player Stats'!L18</f>
        <v>218</v>
      </c>
      <c r="M11" s="97">
        <f>'Team and Player Stats'!M18</f>
        <v>2963</v>
      </c>
      <c r="N11" s="97">
        <f>'Team and Player Stats'!N18</f>
        <v>16</v>
      </c>
      <c r="O11" s="100">
        <f>'Team and Player Stats'!O18</f>
        <v>490.1333333</v>
      </c>
      <c r="P11" s="97">
        <f>'Team and Player Stats'!P18</f>
        <v>74</v>
      </c>
      <c r="Q11" s="97">
        <f>'Team and Player Stats'!Q18</f>
        <v>32</v>
      </c>
      <c r="R11" s="97">
        <f>'Team and Player Stats'!R18</f>
        <v>147</v>
      </c>
      <c r="S11" s="97">
        <f>'Team and Player Stats'!S18</f>
        <v>25</v>
      </c>
      <c r="T11" s="97">
        <f>'Team and Player Stats'!T18</f>
        <v>373</v>
      </c>
      <c r="U11" s="97">
        <f>'Team and Player Stats'!U18</f>
        <v>92</v>
      </c>
      <c r="V11" s="97">
        <f>'Team and Player Stats'!V18</f>
        <v>29</v>
      </c>
      <c r="W11" s="97">
        <f>'Team and Player Stats'!W18</f>
        <v>5</v>
      </c>
      <c r="X11" s="97">
        <f>'Team and Player Stats'!X18</f>
        <v>1</v>
      </c>
      <c r="Y11" s="97">
        <f>'Team and Player Stats'!Y18</f>
        <v>1</v>
      </c>
      <c r="Z11" s="97">
        <f>'Team and Player Stats'!Z18</f>
        <v>0</v>
      </c>
      <c r="AA11" s="97">
        <f>'Team and Player Stats'!AA18</f>
        <v>0</v>
      </c>
      <c r="AB11" s="97">
        <f>'Team and Player Stats'!AB18</f>
        <v>0</v>
      </c>
      <c r="AC11" s="97">
        <f>'Team and Player Stats'!AC18</f>
        <v>72</v>
      </c>
      <c r="AD11" s="97">
        <f>'Team and Player Stats'!AD18</f>
        <v>2</v>
      </c>
      <c r="AE11" s="97">
        <f>'Team and Player Stats'!AE18</f>
        <v>0</v>
      </c>
      <c r="AF11" s="97">
        <f>'Team and Player Stats'!AF18</f>
        <v>0</v>
      </c>
      <c r="AG11" s="97">
        <f>'Team and Player Stats'!AG18</f>
        <v>1</v>
      </c>
      <c r="AH11" s="97">
        <f>'Team and Player Stats'!AH18</f>
        <v>0</v>
      </c>
    </row>
    <row r="12">
      <c r="A12" t="str">
        <f>'Team and Player Stats'!B25</f>
        <v>T RICH DA KING</v>
      </c>
      <c r="B12" t="str">
        <f>'Team and Player Stats'!A25</f>
        <v>9th Wonders</v>
      </c>
      <c r="C12">
        <f>'Team and Player Stats'!C25</f>
        <v>18</v>
      </c>
      <c r="D12">
        <f>'Team and Player Stats'!D25</f>
        <v>10</v>
      </c>
      <c r="E12" s="101">
        <f>'Team and Player Stats'!E25</f>
        <v>496.0333333</v>
      </c>
      <c r="F12">
        <f>'Team and Player Stats'!F25</f>
        <v>4</v>
      </c>
      <c r="G12">
        <f>'Team and Player Stats'!G25</f>
        <v>1785</v>
      </c>
      <c r="H12">
        <f>'Team and Player Stats'!H25</f>
        <v>9</v>
      </c>
      <c r="I12">
        <f>'Team and Player Stats'!I25</f>
        <v>1524</v>
      </c>
      <c r="J12">
        <f>'Team and Player Stats'!J25</f>
        <v>261</v>
      </c>
      <c r="K12" s="102">
        <f>'Team and Player Stats'!K25</f>
        <v>1.171259843</v>
      </c>
      <c r="L12" s="101">
        <f>'Team and Player Stats'!L25</f>
        <v>285</v>
      </c>
      <c r="M12">
        <f>'Team and Player Stats'!M25</f>
        <v>2091</v>
      </c>
      <c r="N12">
        <f>'Team and Player Stats'!N25</f>
        <v>17</v>
      </c>
      <c r="O12" s="103">
        <f>'Team and Player Stats'!O25</f>
        <v>496.0333333</v>
      </c>
      <c r="P12">
        <f>'Team and Player Stats'!P25</f>
        <v>73</v>
      </c>
      <c r="Q12">
        <f>'Team and Player Stats'!Q25</f>
        <v>59</v>
      </c>
      <c r="R12">
        <f>'Team and Player Stats'!R25</f>
        <v>121</v>
      </c>
      <c r="S12">
        <f>'Team and Player Stats'!S25</f>
        <v>29</v>
      </c>
      <c r="T12">
        <f>'Team and Player Stats'!T25</f>
        <v>233</v>
      </c>
      <c r="U12">
        <f>'Team and Player Stats'!U25</f>
        <v>43</v>
      </c>
      <c r="V12">
        <f>'Team and Player Stats'!V25</f>
        <v>9</v>
      </c>
      <c r="W12">
        <f>'Team and Player Stats'!W25</f>
        <v>2</v>
      </c>
      <c r="X12">
        <f>'Team and Player Stats'!X25</f>
        <v>2</v>
      </c>
      <c r="Y12">
        <f>'Team and Player Stats'!Y25</f>
        <v>0</v>
      </c>
      <c r="Z12">
        <f>'Team and Player Stats'!Z25</f>
        <v>0</v>
      </c>
      <c r="AA12">
        <f>'Team and Player Stats'!AA25</f>
        <v>0</v>
      </c>
      <c r="AB12">
        <f>'Team and Player Stats'!AB25</f>
        <v>0</v>
      </c>
      <c r="AC12">
        <f>'Team and Player Stats'!AC25</f>
        <v>49</v>
      </c>
      <c r="AD12">
        <f>'Team and Player Stats'!AD25</f>
        <v>2</v>
      </c>
      <c r="AE12">
        <f>'Team and Player Stats'!AE25</f>
        <v>0</v>
      </c>
      <c r="AF12">
        <f>'Team and Player Stats'!AF25</f>
        <v>0</v>
      </c>
      <c r="AG12">
        <f>'Team and Player Stats'!AG25</f>
        <v>0</v>
      </c>
      <c r="AH12">
        <f>'Team and Player Stats'!AH25</f>
        <v>1</v>
      </c>
    </row>
    <row r="13">
      <c r="A13" s="97" t="str">
        <f>'Team and Player Stats'!B52</f>
        <v>Doc Status</v>
      </c>
      <c r="B13" s="97" t="str">
        <f>'Team and Player Stats'!A52</f>
        <v>Silva's Connection</v>
      </c>
      <c r="C13" s="97">
        <f>'Team and Player Stats'!C52</f>
        <v>20</v>
      </c>
      <c r="D13" s="97">
        <f>'Team and Player Stats'!D52</f>
        <v>6</v>
      </c>
      <c r="E13" s="98">
        <f>'Team and Player Stats'!E52</f>
        <v>560.1333333</v>
      </c>
      <c r="F13" s="97">
        <f>'Team and Player Stats'!F52</f>
        <v>18</v>
      </c>
      <c r="G13" s="97">
        <f>'Team and Player Stats'!G52</f>
        <v>1680</v>
      </c>
      <c r="H13" s="97">
        <f>'Team and Player Stats'!H52</f>
        <v>9</v>
      </c>
      <c r="I13" s="97">
        <f>'Team and Player Stats'!I52</f>
        <v>1851</v>
      </c>
      <c r="J13" s="97">
        <f>'Team and Player Stats'!J52</f>
        <v>-171</v>
      </c>
      <c r="K13" s="99">
        <f>'Team and Player Stats'!K52</f>
        <v>0.9076175041</v>
      </c>
      <c r="L13" s="98">
        <f>'Team and Player Stats'!L52</f>
        <v>309</v>
      </c>
      <c r="M13" s="97">
        <f>'Team and Player Stats'!M52</f>
        <v>2097</v>
      </c>
      <c r="N13" s="97">
        <f>'Team and Player Stats'!N52</f>
        <v>20</v>
      </c>
      <c r="O13" s="100">
        <f>'Team and Player Stats'!O52</f>
        <v>560.1333333</v>
      </c>
      <c r="P13" s="97">
        <f>'Team and Player Stats'!P52</f>
        <v>73</v>
      </c>
      <c r="Q13" s="97">
        <f>'Team and Player Stats'!Q52</f>
        <v>30</v>
      </c>
      <c r="R13" s="97">
        <f>'Team and Player Stats'!R52</f>
        <v>103</v>
      </c>
      <c r="S13" s="97">
        <f>'Team and Player Stats'!S52</f>
        <v>36</v>
      </c>
      <c r="T13" s="97">
        <f>'Team and Player Stats'!T52</f>
        <v>202</v>
      </c>
      <c r="U13" s="97">
        <f>'Team and Player Stats'!U52</f>
        <v>36</v>
      </c>
      <c r="V13" s="97">
        <f>'Team and Player Stats'!V52</f>
        <v>6</v>
      </c>
      <c r="W13" s="97">
        <f>'Team and Player Stats'!W52</f>
        <v>3</v>
      </c>
      <c r="X13" s="97">
        <f>'Team and Player Stats'!X52</f>
        <v>1</v>
      </c>
      <c r="Y13" s="97">
        <f>'Team and Player Stats'!Y52</f>
        <v>0</v>
      </c>
      <c r="Z13" s="97">
        <f>'Team and Player Stats'!Z52</f>
        <v>0</v>
      </c>
      <c r="AA13" s="97">
        <f>'Team and Player Stats'!AA52</f>
        <v>0</v>
      </c>
      <c r="AB13" s="97">
        <f>'Team and Player Stats'!AB52</f>
        <v>0</v>
      </c>
      <c r="AC13" s="97">
        <f>'Team and Player Stats'!AC52</f>
        <v>26</v>
      </c>
      <c r="AD13" s="97">
        <f>'Team and Player Stats'!AD52</f>
        <v>1</v>
      </c>
      <c r="AE13" s="97">
        <f>'Team and Player Stats'!AE52</f>
        <v>0</v>
      </c>
      <c r="AF13" s="97">
        <f>'Team and Player Stats'!AF52</f>
        <v>0</v>
      </c>
      <c r="AG13" s="97">
        <f>'Team and Player Stats'!AG52</f>
        <v>0</v>
      </c>
      <c r="AH13" s="97">
        <f>'Team and Player Stats'!AH52</f>
        <v>4</v>
      </c>
    </row>
    <row r="14">
      <c r="A14" t="str">
        <f>'Team and Player Stats'!B59</f>
        <v>Regresser TTV</v>
      </c>
      <c r="B14" t="str">
        <f>'Team and Player Stats'!A59</f>
        <v>Hypest</v>
      </c>
      <c r="C14">
        <f>'Team and Player Stats'!C59</f>
        <v>20</v>
      </c>
      <c r="D14">
        <f>'Team and Player Stats'!D59</f>
        <v>13</v>
      </c>
      <c r="E14" s="101">
        <f>'Team and Player Stats'!E59</f>
        <v>376.5</v>
      </c>
      <c r="F14">
        <f>'Team and Player Stats'!F59</f>
        <v>43</v>
      </c>
      <c r="G14">
        <f>'Team and Player Stats'!G59</f>
        <v>1467</v>
      </c>
      <c r="H14">
        <f>'Team and Player Stats'!H59</f>
        <v>8</v>
      </c>
      <c r="I14">
        <f>'Team and Player Stats'!I59</f>
        <v>1287</v>
      </c>
      <c r="J14">
        <f>'Team and Player Stats'!J59</f>
        <v>180</v>
      </c>
      <c r="K14" s="102">
        <f>'Team and Player Stats'!K59</f>
        <v>1.13986014</v>
      </c>
      <c r="L14" s="101">
        <f>'Team and Player Stats'!L59</f>
        <v>293</v>
      </c>
      <c r="M14">
        <f>'Team and Player Stats'!M59</f>
        <v>1868</v>
      </c>
      <c r="N14">
        <f>'Team and Player Stats'!N59</f>
        <v>19</v>
      </c>
      <c r="O14" s="103">
        <f>'Team and Player Stats'!O59</f>
        <v>348.5</v>
      </c>
      <c r="P14">
        <f>'Team and Player Stats'!P59</f>
        <v>73</v>
      </c>
      <c r="Q14">
        <f>'Team and Player Stats'!Q59</f>
        <v>28</v>
      </c>
      <c r="R14">
        <f>'Team and Player Stats'!R59</f>
        <v>97</v>
      </c>
      <c r="S14">
        <f>'Team and Player Stats'!S59</f>
        <v>25</v>
      </c>
      <c r="T14">
        <f>'Team and Player Stats'!T59</f>
        <v>243</v>
      </c>
      <c r="U14">
        <f>'Team and Player Stats'!U59</f>
        <v>58</v>
      </c>
      <c r="V14">
        <f>'Team and Player Stats'!V59</f>
        <v>14</v>
      </c>
      <c r="W14">
        <f>'Team and Player Stats'!W59</f>
        <v>2</v>
      </c>
      <c r="X14">
        <f>'Team and Player Stats'!X59</f>
        <v>2</v>
      </c>
      <c r="Y14">
        <f>'Team and Player Stats'!Y59</f>
        <v>1</v>
      </c>
      <c r="Z14">
        <f>'Team and Player Stats'!Z59</f>
        <v>1</v>
      </c>
      <c r="AA14">
        <f>'Team and Player Stats'!AA59</f>
        <v>1</v>
      </c>
      <c r="AB14">
        <f>'Team and Player Stats'!AB59</f>
        <v>1</v>
      </c>
      <c r="AC14">
        <f>'Team and Player Stats'!AC59</f>
        <v>40</v>
      </c>
      <c r="AD14">
        <f>'Team and Player Stats'!AD59</f>
        <v>3</v>
      </c>
      <c r="AE14">
        <f>'Team and Player Stats'!AE59</f>
        <v>0</v>
      </c>
      <c r="AF14">
        <f>'Team and Player Stats'!AF59</f>
        <v>0</v>
      </c>
      <c r="AG14">
        <f>'Team and Player Stats'!AG59</f>
        <v>2</v>
      </c>
      <c r="AH14">
        <f>'Team and Player Stats'!AH59</f>
        <v>0</v>
      </c>
    </row>
    <row r="15">
      <c r="A15" s="97" t="str">
        <f>'Team and Player Stats'!B55</f>
        <v>xxRebs</v>
      </c>
      <c r="B15" s="97" t="str">
        <f>'Team and Player Stats'!A55</f>
        <v>Silva's Connection</v>
      </c>
      <c r="C15" s="97">
        <f>'Team and Player Stats'!C55</f>
        <v>18</v>
      </c>
      <c r="D15" s="97">
        <f>'Team and Player Stats'!D55</f>
        <v>6</v>
      </c>
      <c r="E15" s="98">
        <f>'Team and Player Stats'!E55</f>
        <v>478.9333333</v>
      </c>
      <c r="F15" s="97">
        <f>'Team and Player Stats'!F55</f>
        <v>26</v>
      </c>
      <c r="G15" s="97">
        <f>'Team and Player Stats'!G55</f>
        <v>1252</v>
      </c>
      <c r="H15" s="97">
        <f>'Team and Player Stats'!H55</f>
        <v>10</v>
      </c>
      <c r="I15" s="97">
        <f>'Team and Player Stats'!I55</f>
        <v>1709</v>
      </c>
      <c r="J15" s="97">
        <f>'Team and Player Stats'!J55</f>
        <v>-457</v>
      </c>
      <c r="K15" s="99">
        <f>'Team and Player Stats'!K55</f>
        <v>0.7325921592</v>
      </c>
      <c r="L15" s="98">
        <f>'Team and Player Stats'!L55</f>
        <v>260</v>
      </c>
      <c r="M15" s="97">
        <f>'Team and Player Stats'!M55</f>
        <v>1573</v>
      </c>
      <c r="N15" s="97">
        <f>'Team and Player Stats'!N55</f>
        <v>18</v>
      </c>
      <c r="O15" s="100">
        <f>'Team and Player Stats'!O55</f>
        <v>478.9333333</v>
      </c>
      <c r="P15" s="97">
        <f>'Team and Player Stats'!P55</f>
        <v>70</v>
      </c>
      <c r="Q15" s="97">
        <f>'Team and Player Stats'!Q55</f>
        <v>39</v>
      </c>
      <c r="R15" s="97">
        <f>'Team and Player Stats'!R55</f>
        <v>37</v>
      </c>
      <c r="S15" s="97">
        <f>'Team and Player Stats'!S55</f>
        <v>30</v>
      </c>
      <c r="T15" s="97">
        <f>'Team and Player Stats'!T55</f>
        <v>143</v>
      </c>
      <c r="U15" s="97">
        <f>'Team and Player Stats'!U55</f>
        <v>19</v>
      </c>
      <c r="V15" s="97">
        <f>'Team and Player Stats'!V55</f>
        <v>6</v>
      </c>
      <c r="W15" s="97">
        <f>'Team and Player Stats'!W55</f>
        <v>0</v>
      </c>
      <c r="X15" s="97">
        <f>'Team and Player Stats'!X55</f>
        <v>0</v>
      </c>
      <c r="Y15" s="97">
        <f>'Team and Player Stats'!Y55</f>
        <v>0</v>
      </c>
      <c r="Z15" s="97">
        <f>'Team and Player Stats'!Z55</f>
        <v>0</v>
      </c>
      <c r="AA15" s="97">
        <f>'Team and Player Stats'!AA55</f>
        <v>0</v>
      </c>
      <c r="AB15" s="97">
        <f>'Team and Player Stats'!AB55</f>
        <v>0</v>
      </c>
      <c r="AC15" s="97">
        <f>'Team and Player Stats'!AC55</f>
        <v>16</v>
      </c>
      <c r="AD15" s="97">
        <f>'Team and Player Stats'!AD55</f>
        <v>0</v>
      </c>
      <c r="AE15" s="97">
        <f>'Team and Player Stats'!AE55</f>
        <v>0</v>
      </c>
      <c r="AF15" s="97">
        <f>'Team and Player Stats'!AF55</f>
        <v>0</v>
      </c>
      <c r="AG15" s="97">
        <f>'Team and Player Stats'!AG55</f>
        <v>0</v>
      </c>
      <c r="AH15" s="97">
        <f>'Team and Player Stats'!AH55</f>
        <v>2</v>
      </c>
    </row>
    <row r="16">
      <c r="A16" t="str">
        <f>'Team and Player Stats'!B74</f>
        <v>iRobot 9000</v>
      </c>
      <c r="B16" t="str">
        <f>'Team and Player Stats'!A74</f>
        <v>Mediocre at Best</v>
      </c>
      <c r="C16">
        <f>'Team and Player Stats'!C74</f>
        <v>20</v>
      </c>
      <c r="D16">
        <f>'Team and Player Stats'!D74</f>
        <v>10</v>
      </c>
      <c r="E16" s="101">
        <f>'Team and Player Stats'!E74</f>
        <v>397.55</v>
      </c>
      <c r="F16">
        <f>'Team and Player Stats'!F74</f>
        <v>61</v>
      </c>
      <c r="G16">
        <f>'Team and Player Stats'!G74</f>
        <v>978</v>
      </c>
      <c r="H16">
        <f>'Team and Player Stats'!H74</f>
        <v>4</v>
      </c>
      <c r="I16">
        <f>'Team and Player Stats'!I74</f>
        <v>1157</v>
      </c>
      <c r="J16">
        <f>'Team and Player Stats'!J74</f>
        <v>-179</v>
      </c>
      <c r="K16" s="102">
        <f>'Team and Player Stats'!K74</f>
        <v>0.8452895419</v>
      </c>
      <c r="L16" s="101">
        <f>'Team and Player Stats'!L74</f>
        <v>404</v>
      </c>
      <c r="M16">
        <f>'Team and Player Stats'!M74</f>
        <v>1278</v>
      </c>
      <c r="N16">
        <f>'Team and Player Stats'!N74</f>
        <v>20</v>
      </c>
      <c r="O16" s="103">
        <f>'Team and Player Stats'!O74</f>
        <v>397.55</v>
      </c>
      <c r="P16">
        <f>'Team and Player Stats'!P74</f>
        <v>69</v>
      </c>
      <c r="Q16">
        <f>'Team and Player Stats'!Q74</f>
        <v>18</v>
      </c>
      <c r="R16">
        <f>'Team and Player Stats'!R74</f>
        <v>35</v>
      </c>
      <c r="S16">
        <f>'Team and Player Stats'!S74</f>
        <v>34</v>
      </c>
      <c r="T16">
        <f>'Team and Player Stats'!T74</f>
        <v>110</v>
      </c>
      <c r="U16">
        <f>'Team and Player Stats'!U74</f>
        <v>14</v>
      </c>
      <c r="V16">
        <f>'Team and Player Stats'!V74</f>
        <v>3</v>
      </c>
      <c r="W16">
        <f>'Team and Player Stats'!W74</f>
        <v>1</v>
      </c>
      <c r="X16">
        <f>'Team and Player Stats'!X74</f>
        <v>0</v>
      </c>
      <c r="Y16">
        <f>'Team and Player Stats'!Y74</f>
        <v>0</v>
      </c>
      <c r="Z16">
        <f>'Team and Player Stats'!Z74</f>
        <v>0</v>
      </c>
      <c r="AA16">
        <f>'Team and Player Stats'!AA74</f>
        <v>0</v>
      </c>
      <c r="AB16">
        <f>'Team and Player Stats'!AB74</f>
        <v>0</v>
      </c>
      <c r="AC16">
        <f>'Team and Player Stats'!AC74</f>
        <v>13</v>
      </c>
      <c r="AD16">
        <f>'Team and Player Stats'!AD74</f>
        <v>0</v>
      </c>
      <c r="AE16">
        <f>'Team and Player Stats'!AE74</f>
        <v>0</v>
      </c>
      <c r="AF16">
        <f>'Team and Player Stats'!AF74</f>
        <v>0</v>
      </c>
      <c r="AG16">
        <f>'Team and Player Stats'!AG74</f>
        <v>0</v>
      </c>
      <c r="AH16">
        <f>'Team and Player Stats'!AH74</f>
        <v>1</v>
      </c>
    </row>
    <row r="17">
      <c r="A17" s="97" t="str">
        <f>'Team and Player Stats'!B73</f>
        <v>Rage More Nerd</v>
      </c>
      <c r="B17" s="97" t="str">
        <f>'Team and Player Stats'!A73</f>
        <v>Mediocre at Best</v>
      </c>
      <c r="C17" s="97">
        <f>'Team and Player Stats'!C73</f>
        <v>20</v>
      </c>
      <c r="D17" s="97">
        <f>'Team and Player Stats'!D73</f>
        <v>10</v>
      </c>
      <c r="E17" s="98">
        <f>'Team and Player Stats'!E73</f>
        <v>395.9333333</v>
      </c>
      <c r="F17" s="97">
        <f>'Team and Player Stats'!F73</f>
        <v>6</v>
      </c>
      <c r="G17" s="97">
        <f>'Team and Player Stats'!G73</f>
        <v>1749</v>
      </c>
      <c r="H17" s="97">
        <f>'Team and Player Stats'!H73</f>
        <v>9</v>
      </c>
      <c r="I17" s="97">
        <f>'Team and Player Stats'!I73</f>
        <v>1520</v>
      </c>
      <c r="J17" s="97">
        <f>'Team and Player Stats'!J73</f>
        <v>229</v>
      </c>
      <c r="K17" s="99">
        <f>'Team and Player Stats'!K73</f>
        <v>1.150657895</v>
      </c>
      <c r="L17" s="98">
        <f>'Team and Player Stats'!L73</f>
        <v>270</v>
      </c>
      <c r="M17" s="97">
        <f>'Team and Player Stats'!M73</f>
        <v>2314</v>
      </c>
      <c r="N17" s="97">
        <f>'Team and Player Stats'!N73</f>
        <v>20</v>
      </c>
      <c r="O17" s="100">
        <f>'Team and Player Stats'!O73</f>
        <v>395.9333333</v>
      </c>
      <c r="P17" s="97">
        <f>'Team and Player Stats'!P73</f>
        <v>67</v>
      </c>
      <c r="Q17" s="97">
        <f>'Team and Player Stats'!Q73</f>
        <v>29</v>
      </c>
      <c r="R17" s="97">
        <f>'Team and Player Stats'!R73</f>
        <v>137</v>
      </c>
      <c r="S17" s="97">
        <f>'Team and Player Stats'!S73</f>
        <v>41</v>
      </c>
      <c r="T17" s="97">
        <f>'Team and Player Stats'!T73</f>
        <v>278</v>
      </c>
      <c r="U17" s="97">
        <f>'Team and Player Stats'!U73</f>
        <v>52</v>
      </c>
      <c r="V17" s="97">
        <f>'Team and Player Stats'!V73</f>
        <v>16</v>
      </c>
      <c r="W17" s="97">
        <f>'Team and Player Stats'!W73</f>
        <v>5</v>
      </c>
      <c r="X17" s="97">
        <f>'Team and Player Stats'!X73</f>
        <v>1</v>
      </c>
      <c r="Y17" s="97">
        <f>'Team and Player Stats'!Y73</f>
        <v>0</v>
      </c>
      <c r="Z17" s="97">
        <f>'Team and Player Stats'!Z73</f>
        <v>0</v>
      </c>
      <c r="AA17" s="97">
        <f>'Team and Player Stats'!AA73</f>
        <v>0</v>
      </c>
      <c r="AB17" s="97">
        <f>'Team and Player Stats'!AB73</f>
        <v>0</v>
      </c>
      <c r="AC17" s="97">
        <f>'Team and Player Stats'!AC73</f>
        <v>47</v>
      </c>
      <c r="AD17" s="97">
        <f>'Team and Player Stats'!AD73</f>
        <v>0</v>
      </c>
      <c r="AE17" s="97">
        <f>'Team and Player Stats'!AE73</f>
        <v>0</v>
      </c>
      <c r="AF17" s="97">
        <f>'Team and Player Stats'!AF73</f>
        <v>0</v>
      </c>
      <c r="AG17" s="97">
        <f>'Team and Player Stats'!AG73</f>
        <v>2</v>
      </c>
      <c r="AH17" s="97">
        <f>'Team and Player Stats'!AH73</f>
        <v>0</v>
      </c>
    </row>
    <row r="18">
      <c r="A18" t="str">
        <f>'Team and Player Stats'!B47</f>
        <v> SILV3RI34CK</v>
      </c>
      <c r="B18" t="str">
        <f>'Team and Player Stats'!A47</f>
        <v>Failure to Launch</v>
      </c>
      <c r="C18">
        <f>'Team and Player Stats'!C47</f>
        <v>17</v>
      </c>
      <c r="D18">
        <f>'Team and Player Stats'!D47</f>
        <v>10</v>
      </c>
      <c r="E18" s="101">
        <f>'Team and Player Stats'!E47</f>
        <v>486.8666667</v>
      </c>
      <c r="F18">
        <f>'Team and Player Stats'!F47</f>
        <v>3</v>
      </c>
      <c r="G18">
        <f>'Team and Player Stats'!G47</f>
        <v>1542</v>
      </c>
      <c r="H18">
        <f>'Team and Player Stats'!H47</f>
        <v>10</v>
      </c>
      <c r="I18">
        <f>'Team and Player Stats'!I47</f>
        <v>1459</v>
      </c>
      <c r="J18">
        <f>'Team and Player Stats'!J47</f>
        <v>83</v>
      </c>
      <c r="K18" s="102">
        <f>'Team and Player Stats'!K47</f>
        <v>1.05688828</v>
      </c>
      <c r="L18" s="101">
        <f>'Team and Player Stats'!L47</f>
        <v>276</v>
      </c>
      <c r="M18">
        <f>'Team and Player Stats'!M47</f>
        <v>1959</v>
      </c>
      <c r="N18">
        <f>'Team and Player Stats'!N47</f>
        <v>17</v>
      </c>
      <c r="O18" s="103">
        <f>'Team and Player Stats'!O47</f>
        <v>486.8666667</v>
      </c>
      <c r="P18">
        <f>'Team and Player Stats'!P47</f>
        <v>65</v>
      </c>
      <c r="Q18">
        <f>'Team and Player Stats'!Q47</f>
        <v>25</v>
      </c>
      <c r="R18">
        <f>'Team and Player Stats'!R47</f>
        <v>178</v>
      </c>
      <c r="S18">
        <f>'Team and Player Stats'!S47</f>
        <v>31</v>
      </c>
      <c r="T18">
        <f>'Team and Player Stats'!T47</f>
        <v>177</v>
      </c>
      <c r="U18">
        <f>'Team and Player Stats'!U47</f>
        <v>21</v>
      </c>
      <c r="V18">
        <f>'Team and Player Stats'!V47</f>
        <v>6</v>
      </c>
      <c r="W18">
        <f>'Team and Player Stats'!W47</f>
        <v>1</v>
      </c>
      <c r="X18">
        <f>'Team and Player Stats'!X47</f>
        <v>0</v>
      </c>
      <c r="Y18">
        <f>'Team and Player Stats'!Y47</f>
        <v>0</v>
      </c>
      <c r="Z18">
        <f>'Team and Player Stats'!Z47</f>
        <v>0</v>
      </c>
      <c r="AA18">
        <f>'Team and Player Stats'!AA47</f>
        <v>0</v>
      </c>
      <c r="AB18">
        <f>'Team and Player Stats'!AB47</f>
        <v>0</v>
      </c>
      <c r="AC18">
        <f>'Team and Player Stats'!AC47</f>
        <v>25</v>
      </c>
      <c r="AD18">
        <f>'Team and Player Stats'!AD47</f>
        <v>0</v>
      </c>
      <c r="AE18">
        <f>'Team and Player Stats'!AE47</f>
        <v>0</v>
      </c>
      <c r="AF18">
        <f>'Team and Player Stats'!AF47</f>
        <v>0</v>
      </c>
      <c r="AG18">
        <f>'Team and Player Stats'!AG47</f>
        <v>0</v>
      </c>
      <c r="AH18">
        <f>'Team and Player Stats'!AH47</f>
        <v>0</v>
      </c>
    </row>
    <row r="19">
      <c r="A19" s="97" t="str">
        <f>'Team and Player Stats'!B12</f>
        <v>The Corn Ninja</v>
      </c>
      <c r="B19" s="97" t="str">
        <f>'Team and Player Stats'!A12</f>
        <v>In MuNgO We Trust</v>
      </c>
      <c r="C19" s="97">
        <f>'Team and Player Stats'!C12</f>
        <v>13</v>
      </c>
      <c r="D19" s="97">
        <f>'Team and Player Stats'!D12</f>
        <v>7</v>
      </c>
      <c r="E19" s="98">
        <f>'Team and Player Stats'!E12</f>
        <v>439.9666667</v>
      </c>
      <c r="F19" s="97">
        <f>'Team and Player Stats'!F12</f>
        <v>42</v>
      </c>
      <c r="G19" s="97">
        <f>'Team and Player Stats'!G12</f>
        <v>969</v>
      </c>
      <c r="H19" s="97">
        <f>'Team and Player Stats'!H12</f>
        <v>4</v>
      </c>
      <c r="I19" s="97">
        <f>'Team and Player Stats'!I12</f>
        <v>1039</v>
      </c>
      <c r="J19" s="97">
        <f>'Team and Player Stats'!J12</f>
        <v>-70</v>
      </c>
      <c r="K19" s="99">
        <f>'Team and Player Stats'!K12</f>
        <v>0.9326275265</v>
      </c>
      <c r="L19" s="98">
        <f>'Team and Player Stats'!L12</f>
        <v>295</v>
      </c>
      <c r="M19" s="97">
        <f>'Team and Player Stats'!M12</f>
        <v>1224</v>
      </c>
      <c r="N19" s="97">
        <f>'Team and Player Stats'!N12</f>
        <v>13</v>
      </c>
      <c r="O19" s="100">
        <f>'Team and Player Stats'!O12</f>
        <v>439.9666667</v>
      </c>
      <c r="P19" s="97">
        <f>'Team and Player Stats'!P12</f>
        <v>59</v>
      </c>
      <c r="Q19" s="97">
        <f>'Team and Player Stats'!Q12</f>
        <v>13</v>
      </c>
      <c r="R19" s="97">
        <f>'Team and Player Stats'!R12</f>
        <v>31</v>
      </c>
      <c r="S19" s="97">
        <f>'Team and Player Stats'!S12</f>
        <v>30</v>
      </c>
      <c r="T19" s="97">
        <f>'Team and Player Stats'!T12</f>
        <v>89</v>
      </c>
      <c r="U19" s="97">
        <f>'Team and Player Stats'!U12</f>
        <v>15</v>
      </c>
      <c r="V19" s="97">
        <f>'Team and Player Stats'!V12</f>
        <v>5</v>
      </c>
      <c r="W19" s="97">
        <f>'Team and Player Stats'!W12</f>
        <v>0</v>
      </c>
      <c r="X19" s="97">
        <f>'Team and Player Stats'!X12</f>
        <v>0</v>
      </c>
      <c r="Y19" s="97">
        <f>'Team and Player Stats'!Y12</f>
        <v>0</v>
      </c>
      <c r="Z19" s="97">
        <f>'Team and Player Stats'!Z12</f>
        <v>0</v>
      </c>
      <c r="AA19" s="97">
        <f>'Team and Player Stats'!AA12</f>
        <v>0</v>
      </c>
      <c r="AB19" s="97">
        <f>'Team and Player Stats'!AB12</f>
        <v>0</v>
      </c>
      <c r="AC19" s="97">
        <f>'Team and Player Stats'!AC12</f>
        <v>16</v>
      </c>
      <c r="AD19" s="97">
        <f>'Team and Player Stats'!AD12</f>
        <v>0</v>
      </c>
      <c r="AE19" s="97">
        <f>'Team and Player Stats'!AE12</f>
        <v>0</v>
      </c>
      <c r="AF19" s="97">
        <f>'Team and Player Stats'!AF12</f>
        <v>0</v>
      </c>
      <c r="AG19" s="97">
        <f>'Team and Player Stats'!AG12</f>
        <v>0</v>
      </c>
      <c r="AH19" s="97">
        <f>'Team and Player Stats'!AH12</f>
        <v>0</v>
      </c>
    </row>
    <row r="20">
      <c r="A20" t="str">
        <f>'Team and Player Stats'!B62</f>
        <v>Melvishdon</v>
      </c>
      <c r="B20" t="str">
        <f>'Team and Player Stats'!A62</f>
        <v>Hypest</v>
      </c>
      <c r="C20">
        <f>'Team and Player Stats'!C62</f>
        <v>20</v>
      </c>
      <c r="D20">
        <f>'Team and Player Stats'!D62</f>
        <v>13</v>
      </c>
      <c r="E20" s="101">
        <f>'Team and Player Stats'!E62</f>
        <v>377.1166667</v>
      </c>
      <c r="F20">
        <f>'Team and Player Stats'!F62</f>
        <v>17</v>
      </c>
      <c r="G20">
        <f>'Team and Player Stats'!G62</f>
        <v>1210</v>
      </c>
      <c r="H20">
        <f>'Team and Player Stats'!H62</f>
        <v>6</v>
      </c>
      <c r="I20">
        <f>'Team and Player Stats'!I62</f>
        <v>1433</v>
      </c>
      <c r="J20">
        <f>'Team and Player Stats'!J62</f>
        <v>-223</v>
      </c>
      <c r="K20" s="102">
        <f>'Team and Player Stats'!K62</f>
        <v>0.8443824145</v>
      </c>
      <c r="L20" s="101">
        <f>'Team and Player Stats'!L62</f>
        <v>246</v>
      </c>
      <c r="M20">
        <f>'Team and Player Stats'!M62</f>
        <v>1441</v>
      </c>
      <c r="N20">
        <f>'Team and Player Stats'!N62</f>
        <v>19</v>
      </c>
      <c r="O20" s="103">
        <f>'Team and Player Stats'!O62</f>
        <v>349.1166667</v>
      </c>
      <c r="P20">
        <f>'Team and Player Stats'!P62</f>
        <v>58</v>
      </c>
      <c r="Q20">
        <f>'Team and Player Stats'!Q62</f>
        <v>32</v>
      </c>
      <c r="R20">
        <f>'Team and Player Stats'!R62</f>
        <v>83</v>
      </c>
      <c r="S20">
        <f>'Team and Player Stats'!S62</f>
        <v>23</v>
      </c>
      <c r="T20">
        <f>'Team and Player Stats'!T62</f>
        <v>163</v>
      </c>
      <c r="U20">
        <f>'Team and Player Stats'!U62</f>
        <v>31</v>
      </c>
      <c r="V20">
        <f>'Team and Player Stats'!V62</f>
        <v>6</v>
      </c>
      <c r="W20">
        <f>'Team and Player Stats'!W62</f>
        <v>1</v>
      </c>
      <c r="X20">
        <f>'Team and Player Stats'!X62</f>
        <v>0</v>
      </c>
      <c r="Y20">
        <f>'Team and Player Stats'!Y62</f>
        <v>0</v>
      </c>
      <c r="Z20">
        <f>'Team and Player Stats'!Z62</f>
        <v>0</v>
      </c>
      <c r="AA20">
        <f>'Team and Player Stats'!AA62</f>
        <v>0</v>
      </c>
      <c r="AB20">
        <f>'Team and Player Stats'!AB62</f>
        <v>0</v>
      </c>
      <c r="AC20">
        <f>'Team and Player Stats'!AC62</f>
        <v>17</v>
      </c>
      <c r="AD20">
        <f>'Team and Player Stats'!AD62</f>
        <v>0</v>
      </c>
      <c r="AE20">
        <f>'Team and Player Stats'!AE62</f>
        <v>0</v>
      </c>
      <c r="AF20">
        <f>'Team and Player Stats'!AF62</f>
        <v>0</v>
      </c>
      <c r="AG20">
        <f>'Team and Player Stats'!AG62</f>
        <v>0</v>
      </c>
      <c r="AH20">
        <f>'Team and Player Stats'!AH62</f>
        <v>1</v>
      </c>
    </row>
    <row r="21">
      <c r="A21" s="97" t="str">
        <f>'Team and Player Stats'!B60</f>
        <v>Blootzy</v>
      </c>
      <c r="B21" s="97" t="str">
        <f>'Team and Player Stats'!A60</f>
        <v>Hypest</v>
      </c>
      <c r="C21" s="97">
        <f>'Team and Player Stats'!C60</f>
        <v>20</v>
      </c>
      <c r="D21" s="97">
        <f>'Team and Player Stats'!D60</f>
        <v>13</v>
      </c>
      <c r="E21" s="98">
        <f>'Team and Player Stats'!E60</f>
        <v>377.2166667</v>
      </c>
      <c r="F21" s="97">
        <f>'Team and Player Stats'!F60</f>
        <v>8</v>
      </c>
      <c r="G21" s="97">
        <f>'Team and Player Stats'!G60</f>
        <v>1417</v>
      </c>
      <c r="H21" s="97">
        <f>'Team and Player Stats'!H60</f>
        <v>12</v>
      </c>
      <c r="I21" s="97">
        <f>'Team and Player Stats'!I60</f>
        <v>1530</v>
      </c>
      <c r="J21" s="97">
        <f>'Team and Player Stats'!J60</f>
        <v>-113</v>
      </c>
      <c r="K21" s="99">
        <f>'Team and Player Stats'!K60</f>
        <v>0.9261437908</v>
      </c>
      <c r="L21" s="98">
        <f>'Team and Player Stats'!L60</f>
        <v>213</v>
      </c>
      <c r="M21" s="97">
        <f>'Team and Player Stats'!M60</f>
        <v>1682</v>
      </c>
      <c r="N21" s="97">
        <f>'Team and Player Stats'!N60</f>
        <v>19</v>
      </c>
      <c r="O21" s="100">
        <f>'Team and Player Stats'!O60</f>
        <v>349.2166667</v>
      </c>
      <c r="P21" s="97">
        <f>'Team and Player Stats'!P60</f>
        <v>57</v>
      </c>
      <c r="Q21" s="97">
        <f>'Team and Player Stats'!Q60</f>
        <v>38</v>
      </c>
      <c r="R21" s="97">
        <f>'Team and Player Stats'!R60</f>
        <v>91</v>
      </c>
      <c r="S21" s="97">
        <f>'Team and Player Stats'!S60</f>
        <v>17</v>
      </c>
      <c r="T21" s="97">
        <f>'Team and Player Stats'!T60</f>
        <v>224</v>
      </c>
      <c r="U21" s="97">
        <f>'Team and Player Stats'!U60</f>
        <v>41</v>
      </c>
      <c r="V21" s="97">
        <f>'Team and Player Stats'!V60</f>
        <v>16</v>
      </c>
      <c r="W21" s="97">
        <f>'Team and Player Stats'!W60</f>
        <v>3</v>
      </c>
      <c r="X21" s="97">
        <f>'Team and Player Stats'!X60</f>
        <v>2</v>
      </c>
      <c r="Y21" s="97">
        <f>'Team and Player Stats'!Y60</f>
        <v>2</v>
      </c>
      <c r="Z21" s="97">
        <f>'Team and Player Stats'!Z60</f>
        <v>0</v>
      </c>
      <c r="AA21" s="97">
        <f>'Team and Player Stats'!AA60</f>
        <v>0</v>
      </c>
      <c r="AB21" s="97">
        <f>'Team and Player Stats'!AB60</f>
        <v>0</v>
      </c>
      <c r="AC21" s="97">
        <f>'Team and Player Stats'!AC60</f>
        <v>19</v>
      </c>
      <c r="AD21" s="97">
        <f>'Team and Player Stats'!AD60</f>
        <v>0</v>
      </c>
      <c r="AE21" s="97">
        <f>'Team and Player Stats'!AE60</f>
        <v>0</v>
      </c>
      <c r="AF21" s="97">
        <f>'Team and Player Stats'!AF60</f>
        <v>0</v>
      </c>
      <c r="AG21" s="97">
        <f>'Team and Player Stats'!AG60</f>
        <v>1</v>
      </c>
      <c r="AH21" s="97">
        <f>'Team and Player Stats'!AH60</f>
        <v>0</v>
      </c>
    </row>
    <row r="22">
      <c r="A22" t="str">
        <f>'Team and Player Stats'!B20</f>
        <v>PoisonxPoptart</v>
      </c>
      <c r="B22" t="str">
        <f>'Team and Player Stats'!A20</f>
        <v>Junkyard Dogs</v>
      </c>
      <c r="C22">
        <f>'Team and Player Stats'!C20</f>
        <v>16</v>
      </c>
      <c r="D22">
        <f>'Team and Player Stats'!D20</f>
        <v>6</v>
      </c>
      <c r="E22" s="101">
        <f>'Team and Player Stats'!E20</f>
        <v>490.4333333</v>
      </c>
      <c r="F22">
        <f>'Team and Player Stats'!F20</f>
        <v>5</v>
      </c>
      <c r="G22">
        <f>'Team and Player Stats'!G20</f>
        <v>1559</v>
      </c>
      <c r="H22">
        <f>'Team and Player Stats'!H20</f>
        <v>7</v>
      </c>
      <c r="I22">
        <f>'Team and Player Stats'!I20</f>
        <v>1564</v>
      </c>
      <c r="J22">
        <f>'Team and Player Stats'!J20</f>
        <v>-5</v>
      </c>
      <c r="K22" s="102">
        <f>'Team and Player Stats'!K20</f>
        <v>0.9968030691</v>
      </c>
      <c r="L22" s="101">
        <f>'Team and Player Stats'!L20</f>
        <v>283</v>
      </c>
      <c r="M22">
        <f>'Team and Player Stats'!M20</f>
        <v>1938</v>
      </c>
      <c r="N22">
        <f>'Team and Player Stats'!N20</f>
        <v>16</v>
      </c>
      <c r="O22" s="103">
        <f>'Team and Player Stats'!O20</f>
        <v>490.4333333</v>
      </c>
      <c r="P22">
        <f>'Team and Player Stats'!P20</f>
        <v>55</v>
      </c>
      <c r="Q22">
        <f>'Team and Player Stats'!Q20</f>
        <v>48</v>
      </c>
      <c r="R22">
        <f>'Team and Player Stats'!R20</f>
        <v>104</v>
      </c>
      <c r="S22">
        <f>'Team and Player Stats'!S20</f>
        <v>29</v>
      </c>
      <c r="T22">
        <f>'Team and Player Stats'!T20</f>
        <v>188</v>
      </c>
      <c r="U22">
        <f>'Team and Player Stats'!U20</f>
        <v>24</v>
      </c>
      <c r="V22">
        <f>'Team and Player Stats'!V20</f>
        <v>3</v>
      </c>
      <c r="W22">
        <f>'Team and Player Stats'!W20</f>
        <v>1</v>
      </c>
      <c r="X22">
        <f>'Team and Player Stats'!X20</f>
        <v>0</v>
      </c>
      <c r="Y22">
        <f>'Team and Player Stats'!Y20</f>
        <v>0</v>
      </c>
      <c r="Z22">
        <f>'Team and Player Stats'!Z20</f>
        <v>0</v>
      </c>
      <c r="AA22">
        <f>'Team and Player Stats'!AA20</f>
        <v>0</v>
      </c>
      <c r="AB22">
        <f>'Team and Player Stats'!AB20</f>
        <v>0</v>
      </c>
      <c r="AC22">
        <f>'Team and Player Stats'!AC20</f>
        <v>25</v>
      </c>
      <c r="AD22">
        <f>'Team and Player Stats'!AD20</f>
        <v>0</v>
      </c>
      <c r="AE22">
        <f>'Team and Player Stats'!AE20</f>
        <v>0</v>
      </c>
      <c r="AF22">
        <f>'Team and Player Stats'!AF20</f>
        <v>0</v>
      </c>
      <c r="AG22">
        <f>'Team and Player Stats'!AG20</f>
        <v>0</v>
      </c>
      <c r="AH22">
        <f>'Team and Player Stats'!AH20</f>
        <v>3</v>
      </c>
    </row>
    <row r="23">
      <c r="A23" s="97" t="str">
        <f>'Team and Player Stats'!B24</f>
        <v>x Zeg x</v>
      </c>
      <c r="B23" s="97" t="str">
        <f>'Team and Player Stats'!A24</f>
        <v>9th Wonders</v>
      </c>
      <c r="C23" s="97">
        <f>'Team and Player Stats'!C24</f>
        <v>18</v>
      </c>
      <c r="D23" s="97">
        <f>'Team and Player Stats'!D24</f>
        <v>10</v>
      </c>
      <c r="E23" s="98">
        <f>'Team and Player Stats'!E24</f>
        <v>498.2833333</v>
      </c>
      <c r="F23" s="97">
        <f>'Team and Player Stats'!F24</f>
        <v>13</v>
      </c>
      <c r="G23" s="97">
        <f>'Team and Player Stats'!G24</f>
        <v>1594</v>
      </c>
      <c r="H23" s="97">
        <f>'Team and Player Stats'!H24</f>
        <v>12</v>
      </c>
      <c r="I23" s="97">
        <f>'Team and Player Stats'!I24</f>
        <v>1585</v>
      </c>
      <c r="J23" s="97">
        <f>'Team and Player Stats'!J24</f>
        <v>9</v>
      </c>
      <c r="K23" s="99">
        <f>'Team and Player Stats'!K24</f>
        <v>1.005678233</v>
      </c>
      <c r="L23" s="98">
        <f>'Team and Player Stats'!L24</f>
        <v>302</v>
      </c>
      <c r="M23" s="97">
        <f>'Team and Player Stats'!M24</f>
        <v>1845</v>
      </c>
      <c r="N23" s="97">
        <f>'Team and Player Stats'!N24</f>
        <v>17</v>
      </c>
      <c r="O23" s="100">
        <f>'Team and Player Stats'!O24</f>
        <v>498.2833333</v>
      </c>
      <c r="P23" s="97">
        <f>'Team and Player Stats'!P24</f>
        <v>54</v>
      </c>
      <c r="Q23" s="97">
        <f>'Team and Player Stats'!Q24</f>
        <v>22</v>
      </c>
      <c r="R23" s="97">
        <f>'Team and Player Stats'!R24</f>
        <v>116</v>
      </c>
      <c r="S23" s="97">
        <f>'Team and Player Stats'!S24</f>
        <v>35</v>
      </c>
      <c r="T23" s="97">
        <f>'Team and Player Stats'!T24</f>
        <v>192</v>
      </c>
      <c r="U23" s="97">
        <f>'Team and Player Stats'!U24</f>
        <v>35</v>
      </c>
      <c r="V23" s="97">
        <f>'Team and Player Stats'!V24</f>
        <v>8</v>
      </c>
      <c r="W23" s="97">
        <f>'Team and Player Stats'!W24</f>
        <v>3</v>
      </c>
      <c r="X23" s="97">
        <f>'Team and Player Stats'!X24</f>
        <v>2</v>
      </c>
      <c r="Y23" s="97">
        <f>'Team and Player Stats'!Y24</f>
        <v>0</v>
      </c>
      <c r="Z23" s="97">
        <f>'Team and Player Stats'!Z24</f>
        <v>0</v>
      </c>
      <c r="AA23" s="97">
        <f>'Team and Player Stats'!AA24</f>
        <v>0</v>
      </c>
      <c r="AB23" s="97">
        <f>'Team and Player Stats'!AB24</f>
        <v>0</v>
      </c>
      <c r="AC23" s="97">
        <f>'Team and Player Stats'!AC24</f>
        <v>34</v>
      </c>
      <c r="AD23" s="97">
        <f>'Team and Player Stats'!AD24</f>
        <v>1</v>
      </c>
      <c r="AE23" s="97">
        <f>'Team and Player Stats'!AE24</f>
        <v>0</v>
      </c>
      <c r="AF23" s="97">
        <f>'Team and Player Stats'!AF24</f>
        <v>0</v>
      </c>
      <c r="AG23" s="97">
        <f>'Team and Player Stats'!AG24</f>
        <v>0</v>
      </c>
      <c r="AH23" s="97">
        <f>'Team and Player Stats'!AH24</f>
        <v>0</v>
      </c>
    </row>
    <row r="24">
      <c r="A24" t="str">
        <f>'Team and Player Stats'!B69</f>
        <v>TITAN MAN 23</v>
      </c>
      <c r="B24" t="str">
        <f>'Team and Player Stats'!A69</f>
        <v>Monstars</v>
      </c>
      <c r="C24">
        <f>'Team and Player Stats'!C69</f>
        <v>20</v>
      </c>
      <c r="D24">
        <f>'Team and Player Stats'!D69</f>
        <v>16</v>
      </c>
      <c r="E24" s="101">
        <f>'Team and Player Stats'!E69</f>
        <v>390.5333333</v>
      </c>
      <c r="F24">
        <f>'Team and Player Stats'!F69</f>
        <v>79</v>
      </c>
      <c r="G24">
        <f>'Team and Player Stats'!G69</f>
        <v>789</v>
      </c>
      <c r="H24">
        <f>'Team and Player Stats'!H69</f>
        <v>8</v>
      </c>
      <c r="I24">
        <f>'Team and Player Stats'!I69</f>
        <v>977</v>
      </c>
      <c r="J24">
        <f>'Team and Player Stats'!J69</f>
        <v>-188</v>
      </c>
      <c r="K24" s="102">
        <f>'Team and Player Stats'!K69</f>
        <v>0.8075742068</v>
      </c>
      <c r="L24" s="101">
        <f>'Team and Player Stats'!L69</f>
        <v>423</v>
      </c>
      <c r="M24">
        <f>'Team and Player Stats'!M69</f>
        <v>1074</v>
      </c>
      <c r="N24">
        <f>'Team and Player Stats'!N69</f>
        <v>17</v>
      </c>
      <c r="O24" s="103">
        <f>'Team and Player Stats'!O69</f>
        <v>355.5333333</v>
      </c>
      <c r="P24">
        <f>'Team and Player Stats'!P69</f>
        <v>54</v>
      </c>
      <c r="Q24">
        <f>'Team and Player Stats'!Q69</f>
        <v>11</v>
      </c>
      <c r="R24">
        <f>'Team and Player Stats'!R69</f>
        <v>12</v>
      </c>
      <c r="S24">
        <f>'Team and Player Stats'!S69</f>
        <v>13</v>
      </c>
      <c r="T24">
        <f>'Team and Player Stats'!T69</f>
        <v>99</v>
      </c>
      <c r="U24">
        <f>'Team and Player Stats'!U69</f>
        <v>15</v>
      </c>
      <c r="V24">
        <f>'Team and Player Stats'!V69</f>
        <v>1</v>
      </c>
      <c r="W24">
        <f>'Team and Player Stats'!W69</f>
        <v>0</v>
      </c>
      <c r="X24">
        <f>'Team and Player Stats'!X69</f>
        <v>0</v>
      </c>
      <c r="Y24">
        <f>'Team and Player Stats'!Y69</f>
        <v>0</v>
      </c>
      <c r="Z24">
        <f>'Team and Player Stats'!Z69</f>
        <v>0</v>
      </c>
      <c r="AA24">
        <f>'Team and Player Stats'!AA69</f>
        <v>0</v>
      </c>
      <c r="AB24">
        <f>'Team and Player Stats'!AB69</f>
        <v>0</v>
      </c>
      <c r="AC24">
        <f>'Team and Player Stats'!AC69</f>
        <v>8</v>
      </c>
      <c r="AD24">
        <f>'Team and Player Stats'!AD69</f>
        <v>0</v>
      </c>
      <c r="AE24">
        <f>'Team and Player Stats'!AE69</f>
        <v>0</v>
      </c>
      <c r="AF24">
        <f>'Team and Player Stats'!AF69</f>
        <v>0</v>
      </c>
      <c r="AG24">
        <f>'Team and Player Stats'!AG69</f>
        <v>0</v>
      </c>
      <c r="AH24">
        <f>'Team and Player Stats'!AH69</f>
        <v>0</v>
      </c>
    </row>
    <row r="25">
      <c r="A25" s="97" t="str">
        <f>'Team and Player Stats'!B11</f>
        <v>Saintz the God</v>
      </c>
      <c r="B25" s="97" t="str">
        <f>'Team and Player Stats'!A11</f>
        <v>In MuNgO We Trust</v>
      </c>
      <c r="C25" s="97">
        <f>'Team and Player Stats'!C11</f>
        <v>12</v>
      </c>
      <c r="D25" s="97">
        <f>'Team and Player Stats'!D11</f>
        <v>7</v>
      </c>
      <c r="E25" s="98">
        <f>'Team and Player Stats'!E11</f>
        <v>371.5</v>
      </c>
      <c r="F25" s="97">
        <f>'Team and Player Stats'!F11</f>
        <v>5</v>
      </c>
      <c r="G25" s="97">
        <f>'Team and Player Stats'!G11</f>
        <v>1527</v>
      </c>
      <c r="H25" s="97">
        <f>'Team and Player Stats'!H11</f>
        <v>6</v>
      </c>
      <c r="I25" s="97">
        <f>'Team and Player Stats'!I11</f>
        <v>1261</v>
      </c>
      <c r="J25" s="97">
        <f>'Team and Player Stats'!J11</f>
        <v>266</v>
      </c>
      <c r="K25" s="99">
        <f>'Team and Player Stats'!K11</f>
        <v>1.210943695</v>
      </c>
      <c r="L25" s="98">
        <f>'Team and Player Stats'!L11</f>
        <v>181</v>
      </c>
      <c r="M25" s="97">
        <f>'Team and Player Stats'!M11</f>
        <v>2001</v>
      </c>
      <c r="N25" s="97">
        <f>'Team and Player Stats'!N11</f>
        <v>12</v>
      </c>
      <c r="O25" s="100">
        <f>'Team and Player Stats'!O11</f>
        <v>371.5</v>
      </c>
      <c r="P25" s="97">
        <f>'Team and Player Stats'!P11</f>
        <v>53</v>
      </c>
      <c r="Q25" s="97">
        <f>'Team and Player Stats'!Q11</f>
        <v>24</v>
      </c>
      <c r="R25" s="97">
        <f>'Team and Player Stats'!R11</f>
        <v>125</v>
      </c>
      <c r="S25" s="97">
        <f>'Team and Player Stats'!S11</f>
        <v>22</v>
      </c>
      <c r="T25" s="97">
        <f>'Team and Player Stats'!T11</f>
        <v>240</v>
      </c>
      <c r="U25" s="97">
        <f>'Team and Player Stats'!U11</f>
        <v>57</v>
      </c>
      <c r="V25" s="97">
        <f>'Team and Player Stats'!V11</f>
        <v>16</v>
      </c>
      <c r="W25" s="97">
        <f>'Team and Player Stats'!W11</f>
        <v>5</v>
      </c>
      <c r="X25" s="97">
        <f>'Team and Player Stats'!X11</f>
        <v>2</v>
      </c>
      <c r="Y25" s="97">
        <f>'Team and Player Stats'!Y11</f>
        <v>1</v>
      </c>
      <c r="Z25" s="97">
        <f>'Team and Player Stats'!Z11</f>
        <v>1</v>
      </c>
      <c r="AA25" s="97">
        <f>'Team and Player Stats'!AA11</f>
        <v>1</v>
      </c>
      <c r="AB25" s="97">
        <f>'Team and Player Stats'!AB11</f>
        <v>1</v>
      </c>
      <c r="AC25" s="97">
        <f>'Team and Player Stats'!AC11</f>
        <v>41</v>
      </c>
      <c r="AD25" s="97">
        <f>'Team and Player Stats'!AD11</f>
        <v>3</v>
      </c>
      <c r="AE25" s="97">
        <f>'Team and Player Stats'!AE11</f>
        <v>0</v>
      </c>
      <c r="AF25" s="97">
        <f>'Team and Player Stats'!AF11</f>
        <v>0</v>
      </c>
      <c r="AG25" s="97">
        <f>'Team and Player Stats'!AG11</f>
        <v>1</v>
      </c>
      <c r="AH25" s="97">
        <f>'Team and Player Stats'!AH11</f>
        <v>1</v>
      </c>
    </row>
    <row r="26">
      <c r="A26" t="str">
        <f>'Team and Player Stats'!B66</f>
        <v>imShad</v>
      </c>
      <c r="B26" t="str">
        <f>'Team and Player Stats'!A66</f>
        <v>Monstars</v>
      </c>
      <c r="C26">
        <f>'Team and Player Stats'!C66</f>
        <v>20</v>
      </c>
      <c r="D26">
        <f>'Team and Player Stats'!D66</f>
        <v>16</v>
      </c>
      <c r="E26" s="101">
        <f>'Team and Player Stats'!E66</f>
        <v>380.1166667</v>
      </c>
      <c r="F26">
        <f>'Team and Player Stats'!F66</f>
        <v>6</v>
      </c>
      <c r="G26">
        <f>'Team and Player Stats'!G66</f>
        <v>1681</v>
      </c>
      <c r="H26">
        <f>'Team and Player Stats'!H66</f>
        <v>13</v>
      </c>
      <c r="I26">
        <f>'Team and Player Stats'!I66</f>
        <v>1253</v>
      </c>
      <c r="J26">
        <f>'Team and Player Stats'!J66</f>
        <v>428</v>
      </c>
      <c r="K26" s="102">
        <f>'Team and Player Stats'!K66</f>
        <v>1.341580208</v>
      </c>
      <c r="L26" s="101">
        <f>'Team and Player Stats'!L66</f>
        <v>306</v>
      </c>
      <c r="M26">
        <f>'Team and Player Stats'!M66</f>
        <v>2321</v>
      </c>
      <c r="N26">
        <f>'Team and Player Stats'!N66</f>
        <v>17</v>
      </c>
      <c r="O26" s="103">
        <f>'Team and Player Stats'!O66</f>
        <v>345.1166667</v>
      </c>
      <c r="P26">
        <f>'Team and Player Stats'!P66</f>
        <v>52</v>
      </c>
      <c r="Q26">
        <f>'Team and Player Stats'!Q66</f>
        <v>13</v>
      </c>
      <c r="R26">
        <f>'Team and Player Stats'!R66</f>
        <v>174</v>
      </c>
      <c r="S26">
        <f>'Team and Player Stats'!S66</f>
        <v>24</v>
      </c>
      <c r="T26">
        <f>'Team and Player Stats'!T66</f>
        <v>251</v>
      </c>
      <c r="U26">
        <f>'Team and Player Stats'!U66</f>
        <v>60</v>
      </c>
      <c r="V26">
        <f>'Team and Player Stats'!V66</f>
        <v>26</v>
      </c>
      <c r="W26">
        <f>'Team and Player Stats'!W66</f>
        <v>16</v>
      </c>
      <c r="X26">
        <f>'Team and Player Stats'!X66</f>
        <v>3</v>
      </c>
      <c r="Y26">
        <f>'Team and Player Stats'!Y66</f>
        <v>1</v>
      </c>
      <c r="Z26">
        <f>'Team and Player Stats'!Z66</f>
        <v>0</v>
      </c>
      <c r="AA26">
        <f>'Team and Player Stats'!AA66</f>
        <v>0</v>
      </c>
      <c r="AB26">
        <f>'Team and Player Stats'!AB66</f>
        <v>0</v>
      </c>
      <c r="AC26">
        <f>'Team and Player Stats'!AC66</f>
        <v>57</v>
      </c>
      <c r="AD26">
        <f>'Team and Player Stats'!AD66</f>
        <v>2</v>
      </c>
      <c r="AE26">
        <f>'Team and Player Stats'!AE66</f>
        <v>0</v>
      </c>
      <c r="AF26">
        <f>'Team and Player Stats'!AF66</f>
        <v>0</v>
      </c>
      <c r="AG26">
        <f>'Team and Player Stats'!AG66</f>
        <v>2</v>
      </c>
      <c r="AH26">
        <f>'Team and Player Stats'!AH66</f>
        <v>0</v>
      </c>
    </row>
    <row r="27">
      <c r="A27" s="97" t="str">
        <f>'Team and Player Stats'!B39</f>
        <v>Ace B S1lentND1</v>
      </c>
      <c r="B27" s="97" t="str">
        <f>'Team and Player Stats'!A39</f>
        <v>On the Fence</v>
      </c>
      <c r="C27" s="97">
        <f>'Team and Player Stats'!C39</f>
        <v>14</v>
      </c>
      <c r="D27" s="97">
        <f>'Team and Player Stats'!D39</f>
        <v>3</v>
      </c>
      <c r="E27" s="98">
        <f>'Team and Player Stats'!E39</f>
        <v>285.2</v>
      </c>
      <c r="F27" s="97">
        <f>'Team and Player Stats'!F39</f>
        <v>12</v>
      </c>
      <c r="G27" s="97">
        <f>'Team and Player Stats'!G39</f>
        <v>960</v>
      </c>
      <c r="H27" s="97">
        <f>'Team and Player Stats'!H39</f>
        <v>6</v>
      </c>
      <c r="I27" s="97">
        <f>'Team and Player Stats'!I39</f>
        <v>958</v>
      </c>
      <c r="J27" s="97">
        <f>'Team and Player Stats'!J39</f>
        <v>2</v>
      </c>
      <c r="K27" s="99">
        <f>'Team and Player Stats'!K39</f>
        <v>1.002087683</v>
      </c>
      <c r="L27" s="98">
        <f>'Team and Player Stats'!L39</f>
        <v>212</v>
      </c>
      <c r="M27" s="97">
        <f>'Team and Player Stats'!M39</f>
        <v>1246</v>
      </c>
      <c r="N27" s="97">
        <f>'Team and Player Stats'!N39</f>
        <v>14</v>
      </c>
      <c r="O27" s="100">
        <f>'Team and Player Stats'!O39</f>
        <v>285.2</v>
      </c>
      <c r="P27" s="97">
        <f>'Team and Player Stats'!P39</f>
        <v>50</v>
      </c>
      <c r="Q27" s="97">
        <f>'Team and Player Stats'!Q39</f>
        <v>16</v>
      </c>
      <c r="R27" s="97">
        <f>'Team and Player Stats'!R39</f>
        <v>57</v>
      </c>
      <c r="S27" s="97">
        <f>'Team and Player Stats'!S39</f>
        <v>18</v>
      </c>
      <c r="T27" s="97">
        <f>'Team and Player Stats'!T39</f>
        <v>144</v>
      </c>
      <c r="U27" s="97">
        <f>'Team and Player Stats'!U39</f>
        <v>24</v>
      </c>
      <c r="V27" s="97">
        <f>'Team and Player Stats'!V39</f>
        <v>8</v>
      </c>
      <c r="W27" s="97">
        <f>'Team and Player Stats'!W39</f>
        <v>4</v>
      </c>
      <c r="X27" s="97">
        <f>'Team and Player Stats'!X39</f>
        <v>2</v>
      </c>
      <c r="Y27" s="97">
        <f>'Team and Player Stats'!Y39</f>
        <v>0</v>
      </c>
      <c r="Z27" s="97">
        <f>'Team and Player Stats'!Z39</f>
        <v>0</v>
      </c>
      <c r="AA27" s="97">
        <f>'Team and Player Stats'!AA39</f>
        <v>0</v>
      </c>
      <c r="AB27" s="97">
        <f>'Team and Player Stats'!AB39</f>
        <v>0</v>
      </c>
      <c r="AC27" s="97">
        <f>'Team and Player Stats'!AC39</f>
        <v>22</v>
      </c>
      <c r="AD27" s="97">
        <f>'Team and Player Stats'!AD39</f>
        <v>1</v>
      </c>
      <c r="AE27" s="97">
        <f>'Team and Player Stats'!AE39</f>
        <v>0</v>
      </c>
      <c r="AF27" s="97">
        <f>'Team and Player Stats'!AF39</f>
        <v>0</v>
      </c>
      <c r="AG27" s="97">
        <f>'Team and Player Stats'!AG39</f>
        <v>0</v>
      </c>
      <c r="AH27" s="97">
        <f>'Team and Player Stats'!AH39</f>
        <v>1</v>
      </c>
    </row>
    <row r="28">
      <c r="A28" t="str">
        <f>'Team and Player Stats'!B31</f>
        <v>Truthless IHero</v>
      </c>
      <c r="B28" t="str">
        <f>'Team and Player Stats'!A31</f>
        <v>Truthless and the Truthlessettes</v>
      </c>
      <c r="C28">
        <f>'Team and Player Stats'!C31</f>
        <v>15</v>
      </c>
      <c r="D28">
        <f>'Team and Player Stats'!D31</f>
        <v>3</v>
      </c>
      <c r="E28" s="101">
        <f>'Team and Player Stats'!E31</f>
        <v>319.1333333</v>
      </c>
      <c r="F28">
        <f>'Team and Player Stats'!F31</f>
        <v>3</v>
      </c>
      <c r="G28">
        <f>'Team and Player Stats'!G31</f>
        <v>1274</v>
      </c>
      <c r="H28">
        <f>'Team and Player Stats'!H31</f>
        <v>5</v>
      </c>
      <c r="I28">
        <f>'Team and Player Stats'!I31</f>
        <v>1274</v>
      </c>
      <c r="J28">
        <f>'Team and Player Stats'!J31</f>
        <v>0</v>
      </c>
      <c r="K28" s="102">
        <f>'Team and Player Stats'!K31</f>
        <v>1</v>
      </c>
      <c r="L28" s="101">
        <f>'Team and Player Stats'!L31</f>
        <v>185</v>
      </c>
      <c r="M28">
        <f>'Team and Player Stats'!M31</f>
        <v>1656</v>
      </c>
      <c r="N28">
        <f>'Team and Player Stats'!N31</f>
        <v>15</v>
      </c>
      <c r="O28" s="103">
        <f>'Team and Player Stats'!O31</f>
        <v>319.1333333</v>
      </c>
      <c r="P28">
        <f>'Team and Player Stats'!P31</f>
        <v>50</v>
      </c>
      <c r="Q28">
        <f>'Team and Player Stats'!Q31</f>
        <v>22</v>
      </c>
      <c r="R28">
        <f>'Team and Player Stats'!R31</f>
        <v>57</v>
      </c>
      <c r="S28">
        <f>'Team and Player Stats'!S31</f>
        <v>31</v>
      </c>
      <c r="T28">
        <f>'Team and Player Stats'!T31</f>
        <v>189</v>
      </c>
      <c r="U28">
        <f>'Team and Player Stats'!U31</f>
        <v>48</v>
      </c>
      <c r="V28">
        <f>'Team and Player Stats'!V31</f>
        <v>18</v>
      </c>
      <c r="W28">
        <f>'Team and Player Stats'!W31</f>
        <v>2</v>
      </c>
      <c r="X28">
        <f>'Team and Player Stats'!X31</f>
        <v>0</v>
      </c>
      <c r="Y28">
        <f>'Team and Player Stats'!Y31</f>
        <v>0</v>
      </c>
      <c r="Z28">
        <f>'Team and Player Stats'!Z31</f>
        <v>0</v>
      </c>
      <c r="AA28">
        <f>'Team and Player Stats'!AA31</f>
        <v>0</v>
      </c>
      <c r="AB28">
        <f>'Team and Player Stats'!AB31</f>
        <v>0</v>
      </c>
      <c r="AC28">
        <f>'Team and Player Stats'!AC31</f>
        <v>33</v>
      </c>
      <c r="AD28">
        <f>'Team and Player Stats'!AD31</f>
        <v>1</v>
      </c>
      <c r="AE28">
        <f>'Team and Player Stats'!AE31</f>
        <v>0</v>
      </c>
      <c r="AF28">
        <f>'Team and Player Stats'!AF31</f>
        <v>0</v>
      </c>
      <c r="AG28">
        <f>'Team and Player Stats'!AG31</f>
        <v>0</v>
      </c>
      <c r="AH28">
        <f>'Team and Player Stats'!AH31</f>
        <v>1</v>
      </c>
    </row>
    <row r="29">
      <c r="A29" s="97" t="str">
        <f>'Team and Player Stats'!B45</f>
        <v>Priest XYZ</v>
      </c>
      <c r="B29" s="97" t="str">
        <f>'Team and Player Stats'!A45</f>
        <v>Failure to Launch</v>
      </c>
      <c r="C29" s="97">
        <f>'Team and Player Stats'!C45</f>
        <v>17</v>
      </c>
      <c r="D29" s="97">
        <f>'Team and Player Stats'!D45</f>
        <v>10</v>
      </c>
      <c r="E29" s="98">
        <f>'Team and Player Stats'!E45</f>
        <v>487.7666667</v>
      </c>
      <c r="F29" s="97">
        <f>'Team and Player Stats'!F45</f>
        <v>49</v>
      </c>
      <c r="G29" s="97">
        <f>'Team and Player Stats'!G45</f>
        <v>971</v>
      </c>
      <c r="H29" s="97">
        <f>'Team and Player Stats'!H45</f>
        <v>9</v>
      </c>
      <c r="I29" s="97">
        <f>'Team and Player Stats'!I45</f>
        <v>1046</v>
      </c>
      <c r="J29" s="97">
        <f>'Team and Player Stats'!J45</f>
        <v>-75</v>
      </c>
      <c r="K29" s="99">
        <f>'Team and Player Stats'!K45</f>
        <v>0.9282982792</v>
      </c>
      <c r="L29" s="98">
        <f>'Team and Player Stats'!L45</f>
        <v>421</v>
      </c>
      <c r="M29" s="97">
        <f>'Team and Player Stats'!M45</f>
        <v>1248</v>
      </c>
      <c r="N29" s="97">
        <f>'Team and Player Stats'!N45</f>
        <v>17</v>
      </c>
      <c r="O29" s="100">
        <f>'Team and Player Stats'!O45</f>
        <v>487.7666667</v>
      </c>
      <c r="P29" s="97">
        <f>'Team and Player Stats'!P45</f>
        <v>48</v>
      </c>
      <c r="Q29" s="97">
        <f>'Team and Player Stats'!Q45</f>
        <v>40</v>
      </c>
      <c r="R29" s="97">
        <f>'Team and Player Stats'!R45</f>
        <v>53</v>
      </c>
      <c r="S29" s="97">
        <f>'Team and Player Stats'!S45</f>
        <v>22</v>
      </c>
      <c r="T29" s="97">
        <f>'Team and Player Stats'!T45</f>
        <v>103</v>
      </c>
      <c r="U29" s="97">
        <f>'Team and Player Stats'!U45</f>
        <v>13</v>
      </c>
      <c r="V29" s="97">
        <f>'Team and Player Stats'!V45</f>
        <v>4</v>
      </c>
      <c r="W29" s="97">
        <f>'Team and Player Stats'!W45</f>
        <v>0</v>
      </c>
      <c r="X29" s="97">
        <f>'Team and Player Stats'!X45</f>
        <v>0</v>
      </c>
      <c r="Y29" s="97">
        <f>'Team and Player Stats'!Y45</f>
        <v>0</v>
      </c>
      <c r="Z29" s="97">
        <f>'Team and Player Stats'!Z45</f>
        <v>0</v>
      </c>
      <c r="AA29" s="97">
        <f>'Team and Player Stats'!AA45</f>
        <v>0</v>
      </c>
      <c r="AB29" s="97">
        <f>'Team and Player Stats'!AB45</f>
        <v>0</v>
      </c>
      <c r="AC29" s="97">
        <f>'Team and Player Stats'!AC45</f>
        <v>17</v>
      </c>
      <c r="AD29" s="97">
        <f>'Team and Player Stats'!AD45</f>
        <v>1</v>
      </c>
      <c r="AE29" s="97">
        <f>'Team and Player Stats'!AE45</f>
        <v>0</v>
      </c>
      <c r="AF29" s="97">
        <f>'Team and Player Stats'!AF45</f>
        <v>0</v>
      </c>
      <c r="AG29" s="97">
        <f>'Team and Player Stats'!AG45</f>
        <v>0</v>
      </c>
      <c r="AH29" s="97">
        <f>'Team and Player Stats'!AH45</f>
        <v>0</v>
      </c>
    </row>
    <row r="30">
      <c r="A30" t="str">
        <f>'Team and Player Stats'!B75</f>
        <v>LiquideNitrogen</v>
      </c>
      <c r="B30" t="str">
        <f>'Team and Player Stats'!A75</f>
        <v>Mediocre at Best</v>
      </c>
      <c r="C30">
        <f>'Team and Player Stats'!C75</f>
        <v>15</v>
      </c>
      <c r="D30">
        <f>'Team and Player Stats'!D75</f>
        <v>8</v>
      </c>
      <c r="E30" s="101">
        <f>'Team and Player Stats'!E75</f>
        <v>296.4</v>
      </c>
      <c r="F30">
        <f>'Team and Player Stats'!F75</f>
        <v>4</v>
      </c>
      <c r="G30">
        <f>'Team and Player Stats'!G75</f>
        <v>1003</v>
      </c>
      <c r="H30">
        <f>'Team and Player Stats'!H75</f>
        <v>1</v>
      </c>
      <c r="I30">
        <f>'Team and Player Stats'!I75</f>
        <v>1196</v>
      </c>
      <c r="J30">
        <f>'Team and Player Stats'!J75</f>
        <v>-193</v>
      </c>
      <c r="K30" s="102">
        <f>'Team and Player Stats'!K75</f>
        <v>0.8386287625</v>
      </c>
      <c r="L30" s="101">
        <f>'Team and Player Stats'!L75</f>
        <v>194</v>
      </c>
      <c r="M30">
        <f>'Team and Player Stats'!M75</f>
        <v>1286</v>
      </c>
      <c r="N30">
        <f>'Team and Player Stats'!N75</f>
        <v>15</v>
      </c>
      <c r="O30" s="103">
        <f>'Team and Player Stats'!O75</f>
        <v>296.4</v>
      </c>
      <c r="P30">
        <f>'Team and Player Stats'!P75</f>
        <v>47</v>
      </c>
      <c r="Q30">
        <f>'Team and Player Stats'!Q75</f>
        <v>20</v>
      </c>
      <c r="R30">
        <f>'Team and Player Stats'!R75</f>
        <v>104</v>
      </c>
      <c r="S30">
        <f>'Team and Player Stats'!S75</f>
        <v>16</v>
      </c>
      <c r="T30">
        <f>'Team and Player Stats'!T75</f>
        <v>131</v>
      </c>
      <c r="U30">
        <f>'Team and Player Stats'!U75</f>
        <v>26</v>
      </c>
      <c r="V30">
        <f>'Team and Player Stats'!V75</f>
        <v>10</v>
      </c>
      <c r="W30">
        <f>'Team and Player Stats'!W75</f>
        <v>6</v>
      </c>
      <c r="X30">
        <f>'Team and Player Stats'!X75</f>
        <v>1</v>
      </c>
      <c r="Y30">
        <f>'Team and Player Stats'!Y75</f>
        <v>1</v>
      </c>
      <c r="Z30">
        <f>'Team and Player Stats'!Z75</f>
        <v>1</v>
      </c>
      <c r="AA30">
        <f>'Team and Player Stats'!AA75</f>
        <v>0</v>
      </c>
      <c r="AB30">
        <f>'Team and Player Stats'!AB75</f>
        <v>0</v>
      </c>
      <c r="AC30">
        <f>'Team and Player Stats'!AC75</f>
        <v>12</v>
      </c>
      <c r="AD30">
        <f>'Team and Player Stats'!AD75</f>
        <v>0</v>
      </c>
      <c r="AE30">
        <f>'Team and Player Stats'!AE75</f>
        <v>0</v>
      </c>
      <c r="AF30">
        <f>'Team and Player Stats'!AF75</f>
        <v>0</v>
      </c>
      <c r="AG30">
        <f>'Team and Player Stats'!AG75</f>
        <v>4</v>
      </c>
      <c r="AH30">
        <f>'Team and Player Stats'!AH75</f>
        <v>0</v>
      </c>
    </row>
    <row r="31">
      <c r="A31" s="97" t="str">
        <f>'Team and Player Stats'!B40</f>
        <v>Itz Rainin MenZ</v>
      </c>
      <c r="B31" s="97" t="str">
        <f>'Team and Player Stats'!A40</f>
        <v>On the Fence</v>
      </c>
      <c r="C31" s="97">
        <f>'Team and Player Stats'!C40</f>
        <v>14</v>
      </c>
      <c r="D31" s="97">
        <f>'Team and Player Stats'!D40</f>
        <v>3</v>
      </c>
      <c r="E31" s="98">
        <f>'Team and Player Stats'!E40</f>
        <v>285.2333333</v>
      </c>
      <c r="F31" s="97">
        <f>'Team and Player Stats'!F40</f>
        <v>4</v>
      </c>
      <c r="G31" s="97">
        <f>'Team and Player Stats'!G40</f>
        <v>924</v>
      </c>
      <c r="H31" s="97">
        <f>'Team and Player Stats'!H40</f>
        <v>5</v>
      </c>
      <c r="I31" s="97">
        <f>'Team and Player Stats'!I40</f>
        <v>932</v>
      </c>
      <c r="J31" s="97">
        <f>'Team and Player Stats'!J40</f>
        <v>-8</v>
      </c>
      <c r="K31" s="99">
        <f>'Team and Player Stats'!K40</f>
        <v>0.991416309</v>
      </c>
      <c r="L31" s="98">
        <f>'Team and Player Stats'!L40</f>
        <v>215</v>
      </c>
      <c r="M31" s="97">
        <f>'Team and Player Stats'!M40</f>
        <v>1188</v>
      </c>
      <c r="N31" s="97">
        <f>'Team and Player Stats'!N40</f>
        <v>14</v>
      </c>
      <c r="O31" s="100">
        <f>'Team and Player Stats'!O40</f>
        <v>285.2333333</v>
      </c>
      <c r="P31" s="97">
        <f>'Team and Player Stats'!P40</f>
        <v>43</v>
      </c>
      <c r="Q31" s="97">
        <f>'Team and Player Stats'!Q40</f>
        <v>26</v>
      </c>
      <c r="R31" s="97">
        <f>'Team and Player Stats'!R40</f>
        <v>63</v>
      </c>
      <c r="S31" s="97">
        <f>'Team and Player Stats'!S40</f>
        <v>23</v>
      </c>
      <c r="T31" s="97">
        <f>'Team and Player Stats'!T40</f>
        <v>117</v>
      </c>
      <c r="U31" s="97">
        <f>'Team and Player Stats'!U40</f>
        <v>24</v>
      </c>
      <c r="V31" s="97">
        <f>'Team and Player Stats'!V40</f>
        <v>5</v>
      </c>
      <c r="W31" s="97">
        <f>'Team and Player Stats'!W40</f>
        <v>3</v>
      </c>
      <c r="X31" s="97">
        <f>'Team and Player Stats'!X40</f>
        <v>1</v>
      </c>
      <c r="Y31" s="97">
        <f>'Team and Player Stats'!Y40</f>
        <v>0</v>
      </c>
      <c r="Z31" s="97">
        <f>'Team and Player Stats'!Z40</f>
        <v>0</v>
      </c>
      <c r="AA31" s="97">
        <f>'Team and Player Stats'!AA40</f>
        <v>0</v>
      </c>
      <c r="AB31" s="97">
        <f>'Team and Player Stats'!AB40</f>
        <v>0</v>
      </c>
      <c r="AC31" s="97">
        <f>'Team and Player Stats'!AC40</f>
        <v>18</v>
      </c>
      <c r="AD31" s="97">
        <f>'Team and Player Stats'!AD40</f>
        <v>0</v>
      </c>
      <c r="AE31" s="97">
        <f>'Team and Player Stats'!AE40</f>
        <v>0</v>
      </c>
      <c r="AF31" s="97">
        <f>'Team and Player Stats'!AF40</f>
        <v>0</v>
      </c>
      <c r="AG31" s="97">
        <f>'Team and Player Stats'!AG40</f>
        <v>1</v>
      </c>
      <c r="AH31" s="97">
        <f>'Team and Player Stats'!AH40</f>
        <v>1</v>
      </c>
    </row>
    <row r="32">
      <c r="A32" t="str">
        <f>'Team and Player Stats'!B13</f>
        <v>AtoneMilitant</v>
      </c>
      <c r="B32" t="str">
        <f>'Team and Player Stats'!A13</f>
        <v>In MuNgO We Trust</v>
      </c>
      <c r="C32">
        <f>'Team and Player Stats'!C13</f>
        <v>13</v>
      </c>
      <c r="D32">
        <f>'Team and Player Stats'!D13</f>
        <v>7</v>
      </c>
      <c r="E32" s="101">
        <f>'Team and Player Stats'!E13</f>
        <v>457.9166667</v>
      </c>
      <c r="F32">
        <f>'Team and Player Stats'!F13</f>
        <v>4</v>
      </c>
      <c r="G32">
        <f>'Team and Player Stats'!G13</f>
        <v>1481</v>
      </c>
      <c r="H32">
        <f>'Team and Player Stats'!H13</f>
        <v>12</v>
      </c>
      <c r="I32">
        <f>'Team and Player Stats'!I13</f>
        <v>1595</v>
      </c>
      <c r="J32">
        <f>'Team and Player Stats'!J13</f>
        <v>-114</v>
      </c>
      <c r="K32" s="102">
        <f>'Team and Player Stats'!K13</f>
        <v>0.9285266458</v>
      </c>
      <c r="L32" s="101">
        <f>'Team and Player Stats'!L13</f>
        <v>186</v>
      </c>
      <c r="M32">
        <f>'Team and Player Stats'!M13</f>
        <v>1871</v>
      </c>
      <c r="N32">
        <f>'Team and Player Stats'!N13</f>
        <v>13</v>
      </c>
      <c r="O32" s="103">
        <f>'Team and Player Stats'!O13</f>
        <v>457.9166667</v>
      </c>
      <c r="P32">
        <f>'Team and Player Stats'!P13</f>
        <v>42</v>
      </c>
      <c r="Q32">
        <f>'Team and Player Stats'!Q13</f>
        <v>27</v>
      </c>
      <c r="R32">
        <f>'Team and Player Stats'!R13</f>
        <v>137</v>
      </c>
      <c r="S32">
        <f>'Team and Player Stats'!S13</f>
        <v>31</v>
      </c>
      <c r="T32">
        <f>'Team and Player Stats'!T13</f>
        <v>206</v>
      </c>
      <c r="U32">
        <f>'Team and Player Stats'!U13</f>
        <v>33</v>
      </c>
      <c r="V32">
        <f>'Team and Player Stats'!V13</f>
        <v>8</v>
      </c>
      <c r="W32">
        <f>'Team and Player Stats'!W13</f>
        <v>3</v>
      </c>
      <c r="X32">
        <f>'Team and Player Stats'!X13</f>
        <v>1</v>
      </c>
      <c r="Y32">
        <f>'Team and Player Stats'!Y13</f>
        <v>0</v>
      </c>
      <c r="Z32">
        <f>'Team and Player Stats'!Z13</f>
        <v>0</v>
      </c>
      <c r="AA32">
        <f>'Team and Player Stats'!AA13</f>
        <v>0</v>
      </c>
      <c r="AB32">
        <f>'Team and Player Stats'!AB13</f>
        <v>0</v>
      </c>
      <c r="AC32">
        <f>'Team and Player Stats'!AC13</f>
        <v>27</v>
      </c>
      <c r="AD32">
        <f>'Team and Player Stats'!AD13</f>
        <v>0</v>
      </c>
      <c r="AE32">
        <f>'Team and Player Stats'!AE13</f>
        <v>0</v>
      </c>
      <c r="AF32">
        <f>'Team and Player Stats'!AF13</f>
        <v>0</v>
      </c>
      <c r="AG32">
        <f>'Team and Player Stats'!AG13</f>
        <v>0</v>
      </c>
      <c r="AH32">
        <f>'Team and Player Stats'!AH13</f>
        <v>0</v>
      </c>
    </row>
    <row r="33">
      <c r="A33" s="97" t="str">
        <f>'Team and Player Stats'!B61</f>
        <v>Perturbingly</v>
      </c>
      <c r="B33" s="97" t="str">
        <f>'Team and Player Stats'!A61</f>
        <v>Hypest</v>
      </c>
      <c r="C33" s="97">
        <f>'Team and Player Stats'!C61</f>
        <v>20</v>
      </c>
      <c r="D33" s="97">
        <f>'Team and Player Stats'!D61</f>
        <v>13</v>
      </c>
      <c r="E33" s="98">
        <f>'Team and Player Stats'!E61</f>
        <v>378.2666667</v>
      </c>
      <c r="F33" s="97">
        <f>'Team and Player Stats'!F61</f>
        <v>16</v>
      </c>
      <c r="G33" s="97">
        <f>'Team and Player Stats'!G61</f>
        <v>991</v>
      </c>
      <c r="H33" s="97">
        <f>'Team and Player Stats'!H61</f>
        <v>6</v>
      </c>
      <c r="I33" s="97">
        <f>'Team and Player Stats'!I61</f>
        <v>1063</v>
      </c>
      <c r="J33" s="97">
        <f>'Team and Player Stats'!J61</f>
        <v>-72</v>
      </c>
      <c r="K33" s="99">
        <f>'Team and Player Stats'!K61</f>
        <v>0.9322671684</v>
      </c>
      <c r="L33" s="98">
        <f>'Team and Player Stats'!L61</f>
        <v>348</v>
      </c>
      <c r="M33" s="97">
        <f>'Team and Player Stats'!M61</f>
        <v>1137</v>
      </c>
      <c r="N33" s="97">
        <f>'Team and Player Stats'!N61</f>
        <v>19</v>
      </c>
      <c r="O33" s="100">
        <f>'Team and Player Stats'!O61</f>
        <v>350.2666667</v>
      </c>
      <c r="P33" s="97">
        <f>'Team and Player Stats'!P61</f>
        <v>41</v>
      </c>
      <c r="Q33" s="97">
        <f>'Team and Player Stats'!Q61</f>
        <v>20</v>
      </c>
      <c r="R33" s="97">
        <f>'Team and Player Stats'!R61</f>
        <v>71</v>
      </c>
      <c r="S33" s="97">
        <f>'Team and Player Stats'!S61</f>
        <v>24</v>
      </c>
      <c r="T33" s="97">
        <f>'Team and Player Stats'!T61</f>
        <v>117</v>
      </c>
      <c r="U33" s="97">
        <f>'Team and Player Stats'!U61</f>
        <v>27</v>
      </c>
      <c r="V33" s="97">
        <f>'Team and Player Stats'!V61</f>
        <v>6</v>
      </c>
      <c r="W33" s="97">
        <f>'Team and Player Stats'!W61</f>
        <v>2</v>
      </c>
      <c r="X33" s="97">
        <f>'Team and Player Stats'!X61</f>
        <v>1</v>
      </c>
      <c r="Y33" s="97">
        <f>'Team and Player Stats'!Y61</f>
        <v>0</v>
      </c>
      <c r="Z33" s="97">
        <f>'Team and Player Stats'!Z61</f>
        <v>0</v>
      </c>
      <c r="AA33" s="97">
        <f>'Team and Player Stats'!AA61</f>
        <v>0</v>
      </c>
      <c r="AB33" s="97">
        <f>'Team and Player Stats'!AB61</f>
        <v>0</v>
      </c>
      <c r="AC33" s="97">
        <f>'Team and Player Stats'!AC61</f>
        <v>16</v>
      </c>
      <c r="AD33" s="97">
        <f>'Team and Player Stats'!AD61</f>
        <v>1</v>
      </c>
      <c r="AE33" s="97">
        <f>'Team and Player Stats'!AE61</f>
        <v>0</v>
      </c>
      <c r="AF33" s="97">
        <f>'Team and Player Stats'!AF61</f>
        <v>0</v>
      </c>
      <c r="AG33" s="97">
        <f>'Team and Player Stats'!AG61</f>
        <v>1</v>
      </c>
      <c r="AH33" s="97">
        <f>'Team and Player Stats'!AH61</f>
        <v>0</v>
      </c>
    </row>
    <row r="34">
      <c r="A34" t="str">
        <f>'Team and Player Stats'!B41</f>
        <v>blim</v>
      </c>
      <c r="B34" t="str">
        <f>'Team and Player Stats'!A41</f>
        <v>On the Fence</v>
      </c>
      <c r="C34">
        <f>'Team and Player Stats'!C41</f>
        <v>13</v>
      </c>
      <c r="D34">
        <f>'Team and Player Stats'!D41</f>
        <v>2</v>
      </c>
      <c r="E34" s="101">
        <f>'Team and Player Stats'!E41</f>
        <v>271.15</v>
      </c>
      <c r="F34">
        <f>'Team and Player Stats'!F41</f>
        <v>10</v>
      </c>
      <c r="G34">
        <f>'Team and Player Stats'!G41</f>
        <v>815</v>
      </c>
      <c r="H34">
        <f>'Team and Player Stats'!H41</f>
        <v>3</v>
      </c>
      <c r="I34">
        <f>'Team and Player Stats'!I41</f>
        <v>835</v>
      </c>
      <c r="J34">
        <f>'Team and Player Stats'!J41</f>
        <v>-20</v>
      </c>
      <c r="K34" s="102">
        <f>'Team and Player Stats'!K41</f>
        <v>0.9760479042</v>
      </c>
      <c r="L34" s="101">
        <f>'Team and Player Stats'!L41</f>
        <v>222</v>
      </c>
      <c r="M34">
        <f>'Team and Player Stats'!M41</f>
        <v>1053</v>
      </c>
      <c r="N34">
        <f>'Team and Player Stats'!N41</f>
        <v>13</v>
      </c>
      <c r="O34" s="103">
        <f>'Team and Player Stats'!O41</f>
        <v>271.15</v>
      </c>
      <c r="P34">
        <f>'Team and Player Stats'!P41</f>
        <v>38</v>
      </c>
      <c r="Q34">
        <f>'Team and Player Stats'!Q41</f>
        <v>18</v>
      </c>
      <c r="R34">
        <f>'Team and Player Stats'!R41</f>
        <v>47</v>
      </c>
      <c r="S34">
        <f>'Team and Player Stats'!S41</f>
        <v>22</v>
      </c>
      <c r="T34">
        <f>'Team and Player Stats'!T41</f>
        <v>124</v>
      </c>
      <c r="U34">
        <f>'Team and Player Stats'!U41</f>
        <v>19</v>
      </c>
      <c r="V34">
        <f>'Team and Player Stats'!V41</f>
        <v>3</v>
      </c>
      <c r="W34">
        <f>'Team and Player Stats'!W41</f>
        <v>1</v>
      </c>
      <c r="X34">
        <f>'Team and Player Stats'!X41</f>
        <v>1</v>
      </c>
      <c r="Y34">
        <f>'Team and Player Stats'!Y41</f>
        <v>1</v>
      </c>
      <c r="Z34">
        <f>'Team and Player Stats'!Z41</f>
        <v>0</v>
      </c>
      <c r="AA34">
        <f>'Team and Player Stats'!AA41</f>
        <v>0</v>
      </c>
      <c r="AB34">
        <f>'Team and Player Stats'!AB41</f>
        <v>0</v>
      </c>
      <c r="AC34">
        <f>'Team and Player Stats'!AC41</f>
        <v>21</v>
      </c>
      <c r="AD34">
        <f>'Team and Player Stats'!AD41</f>
        <v>0</v>
      </c>
      <c r="AE34">
        <f>'Team and Player Stats'!AE41</f>
        <v>0</v>
      </c>
      <c r="AF34">
        <f>'Team and Player Stats'!AF41</f>
        <v>0</v>
      </c>
      <c r="AG34">
        <f>'Team and Player Stats'!AG41</f>
        <v>1</v>
      </c>
      <c r="AH34">
        <f>'Team and Player Stats'!AH41</f>
        <v>0</v>
      </c>
    </row>
    <row r="35">
      <c r="A35" s="97" t="str">
        <f>'Team and Player Stats'!B6</f>
        <v>ThumpingHawk</v>
      </c>
      <c r="B35" s="97" t="str">
        <f>'Team and Player Stats'!A6</f>
        <v>Defiance</v>
      </c>
      <c r="C35" s="97">
        <f>'Team and Player Stats'!C6</f>
        <v>12</v>
      </c>
      <c r="D35" s="97">
        <f>'Team and Player Stats'!D6</f>
        <v>6</v>
      </c>
      <c r="E35" s="98">
        <f>'Team and Player Stats'!E6</f>
        <v>339</v>
      </c>
      <c r="F35" s="97">
        <f>'Team and Player Stats'!F6</f>
        <v>23</v>
      </c>
      <c r="G35" s="97">
        <f>'Team and Player Stats'!G6</f>
        <v>880</v>
      </c>
      <c r="H35" s="97">
        <f>'Team and Player Stats'!H6</f>
        <v>2</v>
      </c>
      <c r="I35" s="97">
        <f>'Team and Player Stats'!I6</f>
        <v>923</v>
      </c>
      <c r="J35" s="97">
        <f>'Team and Player Stats'!J6</f>
        <v>-43</v>
      </c>
      <c r="K35" s="99">
        <f>'Team and Player Stats'!K6</f>
        <v>0.9534127844</v>
      </c>
      <c r="L35" s="98">
        <f>'Team and Player Stats'!L6</f>
        <v>254</v>
      </c>
      <c r="M35" s="97">
        <f>'Team and Player Stats'!M6</f>
        <v>1128</v>
      </c>
      <c r="N35" s="97">
        <f>'Team and Player Stats'!N6</f>
        <v>9</v>
      </c>
      <c r="O35" s="100">
        <f>'Team and Player Stats'!O6</f>
        <v>304</v>
      </c>
      <c r="P35" s="97">
        <f>'Team and Player Stats'!P6</f>
        <v>37</v>
      </c>
      <c r="Q35" s="97">
        <f>'Team and Player Stats'!Q6</f>
        <v>18</v>
      </c>
      <c r="R35" s="97">
        <f>'Team and Player Stats'!R6</f>
        <v>49</v>
      </c>
      <c r="S35" s="97">
        <f>'Team and Player Stats'!S6</f>
        <v>24</v>
      </c>
      <c r="T35" s="97">
        <f>'Team and Player Stats'!T6</f>
        <v>93</v>
      </c>
      <c r="U35" s="97">
        <f>'Team and Player Stats'!U6</f>
        <v>11</v>
      </c>
      <c r="V35" s="97">
        <f>'Team and Player Stats'!V6</f>
        <v>3</v>
      </c>
      <c r="W35" s="97">
        <f>'Team and Player Stats'!W6</f>
        <v>0</v>
      </c>
      <c r="X35" s="97">
        <f>'Team and Player Stats'!X6</f>
        <v>0</v>
      </c>
      <c r="Y35" s="97">
        <f>'Team and Player Stats'!Y6</f>
        <v>0</v>
      </c>
      <c r="Z35" s="97">
        <f>'Team and Player Stats'!Z6</f>
        <v>0</v>
      </c>
      <c r="AA35" s="97">
        <f>'Team and Player Stats'!AA6</f>
        <v>0</v>
      </c>
      <c r="AB35" s="97">
        <f>'Team and Player Stats'!AB6</f>
        <v>0</v>
      </c>
      <c r="AC35" s="97">
        <f>'Team and Player Stats'!AC6</f>
        <v>21</v>
      </c>
      <c r="AD35" s="97">
        <f>'Team and Player Stats'!AD6</f>
        <v>1</v>
      </c>
      <c r="AE35" s="97">
        <f>'Team and Player Stats'!AE6</f>
        <v>0</v>
      </c>
      <c r="AF35" s="97">
        <f>'Team and Player Stats'!AF6</f>
        <v>0</v>
      </c>
      <c r="AG35" s="97">
        <f>'Team and Player Stats'!AG6</f>
        <v>0</v>
      </c>
      <c r="AH35" s="97">
        <f>'Team and Player Stats'!AH6</f>
        <v>0</v>
      </c>
    </row>
    <row r="36">
      <c r="A36" t="str">
        <f>'Team and Player Stats'!B32</f>
        <v>El Diablo x230x</v>
      </c>
      <c r="B36" t="str">
        <f>'Team and Player Stats'!A32</f>
        <v>Truthless and the Truthlessettes</v>
      </c>
      <c r="C36">
        <f>'Team and Player Stats'!C32</f>
        <v>15</v>
      </c>
      <c r="D36">
        <f>'Team and Player Stats'!D32</f>
        <v>3</v>
      </c>
      <c r="E36" s="101">
        <f>'Team and Player Stats'!E32</f>
        <v>321.0166667</v>
      </c>
      <c r="F36">
        <f>'Team and Player Stats'!F32</f>
        <v>4</v>
      </c>
      <c r="G36">
        <f>'Team and Player Stats'!G32</f>
        <v>1214</v>
      </c>
      <c r="H36">
        <f>'Team and Player Stats'!H32</f>
        <v>11</v>
      </c>
      <c r="I36">
        <f>'Team and Player Stats'!I32</f>
        <v>1249</v>
      </c>
      <c r="J36">
        <f>'Team and Player Stats'!J32</f>
        <v>-35</v>
      </c>
      <c r="K36" s="102">
        <f>'Team and Player Stats'!K32</f>
        <v>0.9719775821</v>
      </c>
      <c r="L36" s="101">
        <f>'Team and Player Stats'!L32</f>
        <v>195</v>
      </c>
      <c r="M36">
        <f>'Team and Player Stats'!M32</f>
        <v>1516</v>
      </c>
      <c r="N36">
        <f>'Team and Player Stats'!N32</f>
        <v>15</v>
      </c>
      <c r="O36" s="103">
        <f>'Team and Player Stats'!O32</f>
        <v>321.0166667</v>
      </c>
      <c r="P36">
        <f>'Team and Player Stats'!P32</f>
        <v>36</v>
      </c>
      <c r="Q36">
        <f>'Team and Player Stats'!Q32</f>
        <v>24</v>
      </c>
      <c r="R36">
        <f>'Team and Player Stats'!R32</f>
        <v>88</v>
      </c>
      <c r="S36">
        <f>'Team and Player Stats'!S32</f>
        <v>20</v>
      </c>
      <c r="T36">
        <f>'Team and Player Stats'!T32</f>
        <v>157</v>
      </c>
      <c r="U36">
        <f>'Team and Player Stats'!U32</f>
        <v>30</v>
      </c>
      <c r="V36">
        <f>'Team and Player Stats'!V32</f>
        <v>10</v>
      </c>
      <c r="W36">
        <f>'Team and Player Stats'!W32</f>
        <v>3</v>
      </c>
      <c r="X36">
        <f>'Team and Player Stats'!X32</f>
        <v>1</v>
      </c>
      <c r="Y36">
        <f>'Team and Player Stats'!Y32</f>
        <v>0</v>
      </c>
      <c r="Z36">
        <f>'Team and Player Stats'!Z32</f>
        <v>0</v>
      </c>
      <c r="AA36">
        <f>'Team and Player Stats'!AA32</f>
        <v>0</v>
      </c>
      <c r="AB36">
        <f>'Team and Player Stats'!AB32</f>
        <v>0</v>
      </c>
      <c r="AC36">
        <f>'Team and Player Stats'!AC32</f>
        <v>14</v>
      </c>
      <c r="AD36">
        <f>'Team and Player Stats'!AD32</f>
        <v>0</v>
      </c>
      <c r="AE36">
        <f>'Team and Player Stats'!AE32</f>
        <v>0</v>
      </c>
      <c r="AF36">
        <f>'Team and Player Stats'!AF32</f>
        <v>0</v>
      </c>
      <c r="AG36">
        <f>'Team and Player Stats'!AG32</f>
        <v>0</v>
      </c>
      <c r="AH36">
        <f>'Team and Player Stats'!AH32</f>
        <v>0</v>
      </c>
    </row>
    <row r="37">
      <c r="A37" s="97" t="str">
        <f>'Team and Player Stats'!B68</f>
        <v>Liion Wiins</v>
      </c>
      <c r="B37" s="97" t="str">
        <f>'Team and Player Stats'!A68</f>
        <v>Monstars</v>
      </c>
      <c r="C37" s="97">
        <f>'Team and Player Stats'!C68</f>
        <v>20</v>
      </c>
      <c r="D37" s="97">
        <f>'Team and Player Stats'!D68</f>
        <v>16</v>
      </c>
      <c r="E37" s="98">
        <f>'Team and Player Stats'!E68</f>
        <v>378.4333333</v>
      </c>
      <c r="F37" s="97">
        <f>'Team and Player Stats'!F68</f>
        <v>3</v>
      </c>
      <c r="G37" s="97">
        <f>'Team and Player Stats'!G68</f>
        <v>1312</v>
      </c>
      <c r="H37" s="97">
        <f>'Team and Player Stats'!H68</f>
        <v>7</v>
      </c>
      <c r="I37" s="97">
        <f>'Team and Player Stats'!I68</f>
        <v>1418</v>
      </c>
      <c r="J37" s="97">
        <f>'Team and Player Stats'!J68</f>
        <v>-106</v>
      </c>
      <c r="K37" s="99">
        <f>'Team and Player Stats'!K68</f>
        <v>0.9252468265</v>
      </c>
      <c r="L37" s="98">
        <f>'Team and Player Stats'!L68</f>
        <v>264</v>
      </c>
      <c r="M37" s="97">
        <f>'Team and Player Stats'!M68</f>
        <v>1613</v>
      </c>
      <c r="N37" s="97">
        <f>'Team and Player Stats'!N68</f>
        <v>17</v>
      </c>
      <c r="O37" s="100">
        <f>'Team and Player Stats'!O68</f>
        <v>343.4333333</v>
      </c>
      <c r="P37" s="97">
        <f>'Team and Player Stats'!P68</f>
        <v>36</v>
      </c>
      <c r="Q37" s="97">
        <f>'Team and Player Stats'!Q68</f>
        <v>14</v>
      </c>
      <c r="R37" s="97">
        <f>'Team and Player Stats'!R68</f>
        <v>71</v>
      </c>
      <c r="S37" s="97">
        <f>'Team and Player Stats'!S68</f>
        <v>20</v>
      </c>
      <c r="T37" s="97">
        <f>'Team and Player Stats'!T68</f>
        <v>183</v>
      </c>
      <c r="U37" s="97">
        <f>'Team and Player Stats'!U68</f>
        <v>40</v>
      </c>
      <c r="V37" s="97">
        <f>'Team and Player Stats'!V68</f>
        <v>7</v>
      </c>
      <c r="W37" s="97">
        <f>'Team and Player Stats'!W68</f>
        <v>3</v>
      </c>
      <c r="X37" s="97">
        <f>'Team and Player Stats'!X68</f>
        <v>0</v>
      </c>
      <c r="Y37" s="97">
        <f>'Team and Player Stats'!Y68</f>
        <v>0</v>
      </c>
      <c r="Z37" s="97">
        <f>'Team and Player Stats'!Z68</f>
        <v>0</v>
      </c>
      <c r="AA37" s="97">
        <f>'Team and Player Stats'!AA68</f>
        <v>0</v>
      </c>
      <c r="AB37" s="97">
        <f>'Team and Player Stats'!AB68</f>
        <v>0</v>
      </c>
      <c r="AC37" s="97">
        <f>'Team and Player Stats'!AC68</f>
        <v>16</v>
      </c>
      <c r="AD37" s="97">
        <f>'Team and Player Stats'!AD68</f>
        <v>0</v>
      </c>
      <c r="AE37" s="97">
        <f>'Team and Player Stats'!AE68</f>
        <v>0</v>
      </c>
      <c r="AF37" s="97">
        <f>'Team and Player Stats'!AF68</f>
        <v>0</v>
      </c>
      <c r="AG37" s="97">
        <f>'Team and Player Stats'!AG68</f>
        <v>1</v>
      </c>
      <c r="AH37" s="97">
        <f>'Team and Player Stats'!AH68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101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102">
        <f>'Team and Player Stats'!K49</f>
        <v>0.9448144624</v>
      </c>
      <c r="L38" s="101">
        <f>'Team and Player Stats'!L49</f>
        <v>127</v>
      </c>
      <c r="M38">
        <f>'Team and Player Stats'!M49</f>
        <v>1305</v>
      </c>
      <c r="N38">
        <f>'Team and Player Stats'!N49</f>
        <v>9</v>
      </c>
      <c r="O38" s="103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97" t="str">
        <f>'Team and Player Stats'!B10</f>
        <v>MuNgO PuNgO</v>
      </c>
      <c r="B39" s="97" t="str">
        <f>'Team and Player Stats'!A10</f>
        <v>In MuNgO We Trust</v>
      </c>
      <c r="C39" s="97">
        <f>'Team and Player Stats'!C10</f>
        <v>12</v>
      </c>
      <c r="D39" s="97">
        <f>'Team and Player Stats'!D10</f>
        <v>7</v>
      </c>
      <c r="E39" s="98">
        <f>'Team and Player Stats'!E10</f>
        <v>392.85</v>
      </c>
      <c r="F39" s="97">
        <f>'Team and Player Stats'!F10</f>
        <v>0</v>
      </c>
      <c r="G39" s="97">
        <f>'Team and Player Stats'!G10</f>
        <v>1234</v>
      </c>
      <c r="H39" s="97">
        <f>'Team and Player Stats'!H10</f>
        <v>3</v>
      </c>
      <c r="I39" s="97">
        <f>'Team and Player Stats'!I10</f>
        <v>1718</v>
      </c>
      <c r="J39" s="97">
        <f>'Team and Player Stats'!J10</f>
        <v>-484</v>
      </c>
      <c r="K39" s="99">
        <f>'Team and Player Stats'!K10</f>
        <v>0.7182770664</v>
      </c>
      <c r="L39" s="98">
        <f>'Team and Player Stats'!L10</f>
        <v>133</v>
      </c>
      <c r="M39" s="97">
        <f>'Team and Player Stats'!M10</f>
        <v>1551</v>
      </c>
      <c r="N39" s="97">
        <f>'Team and Player Stats'!N10</f>
        <v>12</v>
      </c>
      <c r="O39" s="100">
        <f>'Team and Player Stats'!O10</f>
        <v>392.85</v>
      </c>
      <c r="P39" s="97">
        <f>'Team and Player Stats'!P10</f>
        <v>32</v>
      </c>
      <c r="Q39" s="97">
        <f>'Team and Player Stats'!Q10</f>
        <v>22</v>
      </c>
      <c r="R39" s="97">
        <f>'Team and Player Stats'!R10</f>
        <v>114</v>
      </c>
      <c r="S39" s="97">
        <f>'Team and Player Stats'!S10</f>
        <v>24</v>
      </c>
      <c r="T39" s="97">
        <f>'Team and Player Stats'!T10</f>
        <v>172</v>
      </c>
      <c r="U39" s="97">
        <f>'Team and Player Stats'!U10</f>
        <v>21</v>
      </c>
      <c r="V39" s="97">
        <f>'Team and Player Stats'!V10</f>
        <v>1</v>
      </c>
      <c r="W39" s="97">
        <f>'Team and Player Stats'!W10</f>
        <v>0</v>
      </c>
      <c r="X39" s="97">
        <f>'Team and Player Stats'!X10</f>
        <v>0</v>
      </c>
      <c r="Y39" s="97">
        <f>'Team and Player Stats'!Y10</f>
        <v>0</v>
      </c>
      <c r="Z39" s="97">
        <f>'Team and Player Stats'!Z10</f>
        <v>0</v>
      </c>
      <c r="AA39" s="97">
        <f>'Team and Player Stats'!AA10</f>
        <v>0</v>
      </c>
      <c r="AB39" s="97">
        <f>'Team and Player Stats'!AB10</f>
        <v>0</v>
      </c>
      <c r="AC39" s="97">
        <f>'Team and Player Stats'!AC10</f>
        <v>4</v>
      </c>
      <c r="AD39" s="97">
        <f>'Team and Player Stats'!AD10</f>
        <v>0</v>
      </c>
      <c r="AE39" s="97">
        <f>'Team and Player Stats'!AE10</f>
        <v>0</v>
      </c>
      <c r="AF39" s="97">
        <f>'Team and Player Stats'!AF10</f>
        <v>0</v>
      </c>
      <c r="AG39" s="97">
        <f>'Team and Player Stats'!AG10</f>
        <v>0</v>
      </c>
      <c r="AH39" s="97">
        <f>'Team and Player Stats'!AH10</f>
        <v>0</v>
      </c>
    </row>
    <row r="40">
      <c r="A40" t="str">
        <f>'Team and Player Stats'!B28</f>
        <v>Yuhxi</v>
      </c>
      <c r="B40" t="str">
        <f>'Team and Player Stats'!A28</f>
        <v>9th Wonders</v>
      </c>
      <c r="C40">
        <f>'Team and Player Stats'!C28</f>
        <v>11</v>
      </c>
      <c r="D40">
        <f>'Team and Player Stats'!D28</f>
        <v>6</v>
      </c>
      <c r="E40" s="101">
        <f>'Team and Player Stats'!E28</f>
        <v>244.3333333</v>
      </c>
      <c r="F40">
        <f>'Team and Player Stats'!F28</f>
        <v>17</v>
      </c>
      <c r="G40">
        <f>'Team and Player Stats'!G28</f>
        <v>823</v>
      </c>
      <c r="H40">
        <f>'Team and Player Stats'!H28</f>
        <v>3</v>
      </c>
      <c r="I40">
        <f>'Team and Player Stats'!I28</f>
        <v>984</v>
      </c>
      <c r="J40">
        <f>'Team and Player Stats'!J28</f>
        <v>-161</v>
      </c>
      <c r="K40" s="102">
        <f>'Team and Player Stats'!K28</f>
        <v>0.8363821138</v>
      </c>
      <c r="L40" s="101">
        <f>'Team and Player Stats'!L28</f>
        <v>123</v>
      </c>
      <c r="M40">
        <f>'Team and Player Stats'!M28</f>
        <v>867</v>
      </c>
      <c r="N40">
        <f>'Team and Player Stats'!N28</f>
        <v>8</v>
      </c>
      <c r="O40" s="103">
        <f>'Team and Player Stats'!O28</f>
        <v>226.3333333</v>
      </c>
      <c r="P40">
        <f>'Team and Player Stats'!P28</f>
        <v>31</v>
      </c>
      <c r="Q40">
        <f>'Team and Player Stats'!Q28</f>
        <v>9</v>
      </c>
      <c r="R40">
        <f>'Team and Player Stats'!R28</f>
        <v>30</v>
      </c>
      <c r="S40">
        <f>'Team and Player Stats'!S28</f>
        <v>14</v>
      </c>
      <c r="T40">
        <f>'Team and Player Stats'!T28</f>
        <v>104</v>
      </c>
      <c r="U40">
        <f>'Team and Player Stats'!U28</f>
        <v>31</v>
      </c>
      <c r="V40">
        <f>'Team and Player Stats'!V28</f>
        <v>6</v>
      </c>
      <c r="W40">
        <f>'Team and Player Stats'!W28</f>
        <v>3</v>
      </c>
      <c r="X40">
        <f>'Team and Player Stats'!X28</f>
        <v>0</v>
      </c>
      <c r="Y40">
        <f>'Team and Player Stats'!Y28</f>
        <v>0</v>
      </c>
      <c r="Z40">
        <f>'Team and Player Stats'!Z28</f>
        <v>0</v>
      </c>
      <c r="AA40">
        <f>'Team and Player Stats'!AA28</f>
        <v>0</v>
      </c>
      <c r="AB40">
        <f>'Team and Player Stats'!AB28</f>
        <v>0</v>
      </c>
      <c r="AC40">
        <f>'Team and Player Stats'!AC28</f>
        <v>13</v>
      </c>
      <c r="AD40">
        <f>'Team and Player Stats'!AD28</f>
        <v>0</v>
      </c>
      <c r="AE40">
        <f>'Team and Player Stats'!AE28</f>
        <v>0</v>
      </c>
      <c r="AF40">
        <f>'Team and Player Stats'!AF28</f>
        <v>0</v>
      </c>
      <c r="AG40">
        <f>'Team and Player Stats'!AG28</f>
        <v>1</v>
      </c>
      <c r="AH40">
        <f>'Team and Player Stats'!AH28</f>
        <v>0</v>
      </c>
    </row>
    <row r="41">
      <c r="A41" s="97" t="str">
        <f>'Team and Player Stats'!B76</f>
        <v>MsMeowlla</v>
      </c>
      <c r="B41" s="97" t="str">
        <f>'Team and Player Stats'!A76</f>
        <v>Mediocre at Best</v>
      </c>
      <c r="C41" s="97">
        <f>'Team and Player Stats'!C76</f>
        <v>20</v>
      </c>
      <c r="D41" s="97">
        <f>'Team and Player Stats'!D76</f>
        <v>10</v>
      </c>
      <c r="E41" s="98">
        <f>'Team and Player Stats'!E76</f>
        <v>394.5</v>
      </c>
      <c r="F41" s="97">
        <f>'Team and Player Stats'!F76</f>
        <v>3</v>
      </c>
      <c r="G41" s="97">
        <f>'Team and Player Stats'!G76</f>
        <v>1224</v>
      </c>
      <c r="H41" s="97">
        <f>'Team and Player Stats'!H76</f>
        <v>2</v>
      </c>
      <c r="I41" s="97">
        <f>'Team and Player Stats'!I76</f>
        <v>1434</v>
      </c>
      <c r="J41" s="97">
        <f>'Team and Player Stats'!J76</f>
        <v>-210</v>
      </c>
      <c r="K41" s="99">
        <f>'Team and Player Stats'!K76</f>
        <v>0.8535564854</v>
      </c>
      <c r="L41" s="98">
        <f>'Team and Player Stats'!L76</f>
        <v>295</v>
      </c>
      <c r="M41" s="97">
        <f>'Team and Player Stats'!M76</f>
        <v>1522</v>
      </c>
      <c r="N41" s="97">
        <f>'Team and Player Stats'!N76</f>
        <v>20</v>
      </c>
      <c r="O41" s="100">
        <f>'Team and Player Stats'!O76</f>
        <v>394.5</v>
      </c>
      <c r="P41" s="97">
        <f>'Team and Player Stats'!P76</f>
        <v>30</v>
      </c>
      <c r="Q41" s="97">
        <f>'Team and Player Stats'!Q76</f>
        <v>28</v>
      </c>
      <c r="R41" s="97">
        <f>'Team and Player Stats'!R76</f>
        <v>73</v>
      </c>
      <c r="S41" s="97">
        <f>'Team and Player Stats'!S76</f>
        <v>32</v>
      </c>
      <c r="T41" s="97">
        <f>'Team and Player Stats'!T76</f>
        <v>152</v>
      </c>
      <c r="U41" s="97">
        <f>'Team and Player Stats'!U76</f>
        <v>32</v>
      </c>
      <c r="V41" s="97">
        <f>'Team and Player Stats'!V76</f>
        <v>6</v>
      </c>
      <c r="W41" s="97">
        <f>'Team and Player Stats'!W76</f>
        <v>2</v>
      </c>
      <c r="X41" s="97">
        <f>'Team and Player Stats'!X76</f>
        <v>0</v>
      </c>
      <c r="Y41" s="97">
        <f>'Team and Player Stats'!Y76</f>
        <v>0</v>
      </c>
      <c r="Z41" s="97">
        <f>'Team and Player Stats'!Z76</f>
        <v>0</v>
      </c>
      <c r="AA41" s="97">
        <f>'Team and Player Stats'!AA76</f>
        <v>0</v>
      </c>
      <c r="AB41" s="97">
        <f>'Team and Player Stats'!AB76</f>
        <v>0</v>
      </c>
      <c r="AC41" s="97">
        <f>'Team and Player Stats'!AC76</f>
        <v>20</v>
      </c>
      <c r="AD41" s="97">
        <f>'Team and Player Stats'!AD76</f>
        <v>1</v>
      </c>
      <c r="AE41" s="97">
        <f>'Team and Player Stats'!AE76</f>
        <v>0</v>
      </c>
      <c r="AF41" s="97">
        <f>'Team and Player Stats'!AF76</f>
        <v>0</v>
      </c>
      <c r="AG41" s="97">
        <f>'Team and Player Stats'!AG76</f>
        <v>1</v>
      </c>
      <c r="AH41" s="97">
        <f>'Team and Player Stats'!AH76</f>
        <v>0</v>
      </c>
    </row>
    <row r="42">
      <c r="A42" t="str">
        <f>'Team and Player Stats'!B3</f>
        <v>Trespa5s </v>
      </c>
      <c r="B42" t="str">
        <f>'Team and Player Stats'!A3</f>
        <v>Defiance</v>
      </c>
      <c r="C42">
        <f>'Team and Player Stats'!C3</f>
        <v>14</v>
      </c>
      <c r="D42">
        <f>'Team and Player Stats'!D3</f>
        <v>8</v>
      </c>
      <c r="E42" s="101">
        <f>'Team and Player Stats'!E3</f>
        <v>419</v>
      </c>
      <c r="F42">
        <f>'Team and Player Stats'!F3</f>
        <v>4</v>
      </c>
      <c r="G42">
        <f>'Team and Player Stats'!G3</f>
        <v>1276</v>
      </c>
      <c r="H42">
        <f>'Team and Player Stats'!H3</f>
        <v>2</v>
      </c>
      <c r="I42">
        <f>'Team and Player Stats'!I3</f>
        <v>1388</v>
      </c>
      <c r="J42">
        <f>'Team and Player Stats'!J3</f>
        <v>-112</v>
      </c>
      <c r="K42" s="102">
        <f>'Team and Player Stats'!K3</f>
        <v>0.9193083573</v>
      </c>
      <c r="L42" s="101">
        <f>'Team and Player Stats'!L3</f>
        <v>239</v>
      </c>
      <c r="M42">
        <f>'Team and Player Stats'!M3</f>
        <v>1527</v>
      </c>
      <c r="N42">
        <f>'Team and Player Stats'!N3</f>
        <v>13</v>
      </c>
      <c r="O42" s="103">
        <f>'Team and Player Stats'!O3</f>
        <v>419</v>
      </c>
      <c r="P42">
        <f>'Team and Player Stats'!P3</f>
        <v>29</v>
      </c>
      <c r="Q42">
        <f>'Team and Player Stats'!Q3</f>
        <v>9</v>
      </c>
      <c r="R42">
        <f>'Team and Player Stats'!R3</f>
        <v>98</v>
      </c>
      <c r="S42">
        <f>'Team and Player Stats'!S3</f>
        <v>18</v>
      </c>
      <c r="T42">
        <f>'Team and Player Stats'!T3</f>
        <v>151</v>
      </c>
      <c r="U42">
        <f>'Team and Player Stats'!U3</f>
        <v>26</v>
      </c>
      <c r="V42">
        <f>'Team and Player Stats'!V3</f>
        <v>7</v>
      </c>
      <c r="W42">
        <f>'Team and Player Stats'!W3</f>
        <v>1</v>
      </c>
      <c r="X42">
        <f>'Team and Player Stats'!X3</f>
        <v>1</v>
      </c>
      <c r="Y42">
        <f>'Team and Player Stats'!Y3</f>
        <v>0</v>
      </c>
      <c r="Z42">
        <f>'Team and Player Stats'!Z3</f>
        <v>0</v>
      </c>
      <c r="AA42">
        <f>'Team and Player Stats'!AA3</f>
        <v>0</v>
      </c>
      <c r="AB42">
        <f>'Team and Player Stats'!AB3</f>
        <v>0</v>
      </c>
      <c r="AC42">
        <f>'Team and Player Stats'!AC3</f>
        <v>19</v>
      </c>
      <c r="AD42">
        <f>'Team and Player Stats'!AD3</f>
        <v>0</v>
      </c>
      <c r="AE42">
        <f>'Team and Player Stats'!AE3</f>
        <v>0</v>
      </c>
      <c r="AF42">
        <f>'Team and Player Stats'!AF3</f>
        <v>0</v>
      </c>
      <c r="AG42">
        <f>'Team and Player Stats'!AG3</f>
        <v>1</v>
      </c>
      <c r="AH42">
        <f>'Team and Player Stats'!AH3</f>
        <v>0</v>
      </c>
    </row>
    <row r="43">
      <c r="A43" s="97" t="str">
        <f>'Team and Player Stats'!B35</f>
        <v>Molotov Ghost</v>
      </c>
      <c r="B43" s="97" t="str">
        <f>'Team and Player Stats'!A35</f>
        <v>Truthless and the Truthlessettes</v>
      </c>
      <c r="C43" s="97">
        <f>'Team and Player Stats'!C35</f>
        <v>13</v>
      </c>
      <c r="D43" s="97">
        <f>'Team and Player Stats'!D35</f>
        <v>3</v>
      </c>
      <c r="E43" s="98">
        <f>'Team and Player Stats'!E35</f>
        <v>295.4666667</v>
      </c>
      <c r="F43" s="97">
        <f>'Team and Player Stats'!F35</f>
        <v>16</v>
      </c>
      <c r="G43" s="97">
        <f>'Team and Player Stats'!G35</f>
        <v>480</v>
      </c>
      <c r="H43" s="97">
        <f>'Team and Player Stats'!H35</f>
        <v>3</v>
      </c>
      <c r="I43" s="97">
        <f>'Team and Player Stats'!I35</f>
        <v>843</v>
      </c>
      <c r="J43" s="97">
        <f>'Team and Player Stats'!J35</f>
        <v>-363</v>
      </c>
      <c r="K43" s="99">
        <f>'Team and Player Stats'!K35</f>
        <v>0.5693950178</v>
      </c>
      <c r="L43" s="98">
        <f>'Team and Player Stats'!L35</f>
        <v>222</v>
      </c>
      <c r="M43" s="97">
        <f>'Team and Player Stats'!M35</f>
        <v>575</v>
      </c>
      <c r="N43" s="97">
        <f>'Team and Player Stats'!N35</f>
        <v>13</v>
      </c>
      <c r="O43" s="100">
        <f>'Team and Player Stats'!O35</f>
        <v>295.4666667</v>
      </c>
      <c r="P43" s="97">
        <f>'Team and Player Stats'!P35</f>
        <v>28</v>
      </c>
      <c r="Q43" s="97">
        <f>'Team and Player Stats'!Q35</f>
        <v>24</v>
      </c>
      <c r="R43" s="97">
        <f>'Team and Player Stats'!R35</f>
        <v>9</v>
      </c>
      <c r="S43" s="97">
        <f>'Team and Player Stats'!S35</f>
        <v>15</v>
      </c>
      <c r="T43" s="97">
        <f>'Team and Player Stats'!T35</f>
        <v>41</v>
      </c>
      <c r="U43" s="97">
        <f>'Team and Player Stats'!U35</f>
        <v>4</v>
      </c>
      <c r="V43" s="97">
        <f>'Team and Player Stats'!V35</f>
        <v>0</v>
      </c>
      <c r="W43" s="97">
        <f>'Team and Player Stats'!W35</f>
        <v>0</v>
      </c>
      <c r="X43" s="97">
        <f>'Team and Player Stats'!X35</f>
        <v>0</v>
      </c>
      <c r="Y43" s="97">
        <f>'Team and Player Stats'!Y35</f>
        <v>0</v>
      </c>
      <c r="Z43" s="97">
        <f>'Team and Player Stats'!Z35</f>
        <v>0</v>
      </c>
      <c r="AA43" s="97">
        <f>'Team and Player Stats'!AA35</f>
        <v>0</v>
      </c>
      <c r="AB43" s="97">
        <f>'Team and Player Stats'!AB35</f>
        <v>0</v>
      </c>
      <c r="AC43" s="97">
        <f>'Team and Player Stats'!AC35</f>
        <v>1</v>
      </c>
      <c r="AD43" s="97">
        <f>'Team and Player Stats'!AD35</f>
        <v>0</v>
      </c>
      <c r="AE43" s="97">
        <f>'Team and Player Stats'!AE35</f>
        <v>0</v>
      </c>
      <c r="AF43" s="97">
        <f>'Team and Player Stats'!AF35</f>
        <v>0</v>
      </c>
      <c r="AG43" s="97">
        <f>'Team and Player Stats'!AG35</f>
        <v>0</v>
      </c>
      <c r="AH43" s="97">
        <f>'Team and Player Stats'!AH35</f>
        <v>0</v>
      </c>
    </row>
    <row r="44">
      <c r="A44" t="str">
        <f>'Team and Player Stats'!B38</f>
        <v>Juc</v>
      </c>
      <c r="B44" t="str">
        <f>'Team and Player Stats'!A38</f>
        <v>On the Fence</v>
      </c>
      <c r="C44">
        <f>'Team and Player Stats'!C38</f>
        <v>12</v>
      </c>
      <c r="D44">
        <f>'Team and Player Stats'!D38</f>
        <v>1</v>
      </c>
      <c r="E44" s="101">
        <f>'Team and Player Stats'!E38</f>
        <v>248.2666667</v>
      </c>
      <c r="F44">
        <f>'Team and Player Stats'!F38</f>
        <v>3</v>
      </c>
      <c r="G44">
        <f>'Team and Player Stats'!G38</f>
        <v>830</v>
      </c>
      <c r="H44">
        <f>'Team and Player Stats'!H38</f>
        <v>7</v>
      </c>
      <c r="I44">
        <f>'Team and Player Stats'!I38</f>
        <v>1060</v>
      </c>
      <c r="J44">
        <f>'Team and Player Stats'!J38</f>
        <v>-230</v>
      </c>
      <c r="K44" s="102">
        <f>'Team and Player Stats'!K38</f>
        <v>0.7830188679</v>
      </c>
      <c r="L44" s="101">
        <f>'Team and Player Stats'!L38</f>
        <v>130</v>
      </c>
      <c r="M44">
        <f>'Team and Player Stats'!M38</f>
        <v>1053</v>
      </c>
      <c r="N44">
        <f>'Team and Player Stats'!N38</f>
        <v>12</v>
      </c>
      <c r="O44" s="103">
        <f>'Team and Player Stats'!O38</f>
        <v>248.2666667</v>
      </c>
      <c r="P44">
        <f>'Team and Player Stats'!P38</f>
        <v>27</v>
      </c>
      <c r="Q44">
        <f>'Team and Player Stats'!Q38</f>
        <v>19</v>
      </c>
      <c r="R44">
        <f>'Team and Player Stats'!R38</f>
        <v>40</v>
      </c>
      <c r="S44">
        <f>'Team and Player Stats'!S38</f>
        <v>14</v>
      </c>
      <c r="T44">
        <f>'Team and Player Stats'!T38</f>
        <v>120</v>
      </c>
      <c r="U44">
        <f>'Team and Player Stats'!U38</f>
        <v>19</v>
      </c>
      <c r="V44">
        <f>'Team and Player Stats'!V38</f>
        <v>7</v>
      </c>
      <c r="W44">
        <f>'Team and Player Stats'!W38</f>
        <v>3</v>
      </c>
      <c r="X44">
        <f>'Team and Player Stats'!X38</f>
        <v>0</v>
      </c>
      <c r="Y44">
        <f>'Team and Player Stats'!Y38</f>
        <v>0</v>
      </c>
      <c r="Z44">
        <f>'Team and Player Stats'!Z38</f>
        <v>0</v>
      </c>
      <c r="AA44">
        <f>'Team and Player Stats'!AA38</f>
        <v>0</v>
      </c>
      <c r="AB44">
        <f>'Team and Player Stats'!AB38</f>
        <v>0</v>
      </c>
      <c r="AC44">
        <f>'Team and Player Stats'!AC38</f>
        <v>19</v>
      </c>
      <c r="AD44">
        <f>'Team and Player Stats'!AD38</f>
        <v>0</v>
      </c>
      <c r="AE44">
        <f>'Team and Player Stats'!AE38</f>
        <v>0</v>
      </c>
      <c r="AF44">
        <f>'Team and Player Stats'!AF38</f>
        <v>0</v>
      </c>
      <c r="AG44">
        <f>'Team and Player Stats'!AG38</f>
        <v>0</v>
      </c>
      <c r="AH44">
        <f>'Team and Player Stats'!AH38</f>
        <v>0</v>
      </c>
    </row>
    <row r="45">
      <c r="A45" s="97" t="str">
        <f>'Team and Player Stats'!B27</f>
        <v>x Greenthumb</v>
      </c>
      <c r="B45" s="97" t="str">
        <f>'Team and Player Stats'!A27</f>
        <v>9th Wonders</v>
      </c>
      <c r="C45" s="97">
        <f>'Team and Player Stats'!C27</f>
        <v>7</v>
      </c>
      <c r="D45" s="97">
        <f>'Team and Player Stats'!D27</f>
        <v>4</v>
      </c>
      <c r="E45" s="98">
        <f>'Team and Player Stats'!E27</f>
        <v>247.9833333</v>
      </c>
      <c r="F45" s="97">
        <f>'Team and Player Stats'!F27</f>
        <v>0</v>
      </c>
      <c r="G45" s="97">
        <f>'Team and Player Stats'!G27</f>
        <v>701</v>
      </c>
      <c r="H45" s="97">
        <f>'Team and Player Stats'!H27</f>
        <v>3</v>
      </c>
      <c r="I45" s="97">
        <f>'Team and Player Stats'!I27</f>
        <v>834</v>
      </c>
      <c r="J45" s="97">
        <f>'Team and Player Stats'!J27</f>
        <v>-133</v>
      </c>
      <c r="K45" s="99">
        <f>'Team and Player Stats'!K27</f>
        <v>0.8405275779</v>
      </c>
      <c r="L45" s="98">
        <f>'Team and Player Stats'!L27</f>
        <v>85</v>
      </c>
      <c r="M45" s="97">
        <f>'Team and Player Stats'!M27</f>
        <v>888</v>
      </c>
      <c r="N45" s="97">
        <f>'Team and Player Stats'!N27</f>
        <v>8</v>
      </c>
      <c r="O45" s="100">
        <f>'Team and Player Stats'!O27</f>
        <v>247.9833333</v>
      </c>
      <c r="P45" s="97">
        <f>'Team and Player Stats'!P27</f>
        <v>27</v>
      </c>
      <c r="Q45" s="97">
        <f>'Team and Player Stats'!Q27</f>
        <v>14</v>
      </c>
      <c r="R45" s="97">
        <f>'Team and Player Stats'!R27</f>
        <v>54</v>
      </c>
      <c r="S45" s="97">
        <f>'Team and Player Stats'!S27</f>
        <v>14</v>
      </c>
      <c r="T45" s="97">
        <f>'Team and Player Stats'!T27</f>
        <v>115</v>
      </c>
      <c r="U45" s="97">
        <f>'Team and Player Stats'!U27</f>
        <v>14</v>
      </c>
      <c r="V45" s="97">
        <f>'Team and Player Stats'!V27</f>
        <v>1</v>
      </c>
      <c r="W45" s="97">
        <f>'Team and Player Stats'!W27</f>
        <v>0</v>
      </c>
      <c r="X45" s="97">
        <f>'Team and Player Stats'!X27</f>
        <v>0</v>
      </c>
      <c r="Y45" s="97">
        <f>'Team and Player Stats'!Y27</f>
        <v>0</v>
      </c>
      <c r="Z45" s="97">
        <f>'Team and Player Stats'!Z27</f>
        <v>0</v>
      </c>
      <c r="AA45" s="97">
        <f>'Team and Player Stats'!AA27</f>
        <v>0</v>
      </c>
      <c r="AB45" s="97">
        <f>'Team and Player Stats'!AB27</f>
        <v>0</v>
      </c>
      <c r="AC45" s="97">
        <f>'Team and Player Stats'!AC27</f>
        <v>9</v>
      </c>
      <c r="AD45" s="97">
        <f>'Team and Player Stats'!AD27</f>
        <v>0</v>
      </c>
      <c r="AE45" s="97">
        <f>'Team and Player Stats'!AE27</f>
        <v>0</v>
      </c>
      <c r="AF45" s="97">
        <f>'Team and Player Stats'!AF27</f>
        <v>0</v>
      </c>
      <c r="AG45" s="97">
        <f>'Team and Player Stats'!AG27</f>
        <v>1</v>
      </c>
      <c r="AH45" s="97">
        <f>'Team and Player Stats'!AH27</f>
        <v>1</v>
      </c>
    </row>
    <row r="46">
      <c r="A46" t="str">
        <f>'Team and Player Stats'!B67</f>
        <v>ActiveHate</v>
      </c>
      <c r="B46" t="str">
        <f>'Team and Player Stats'!A67</f>
        <v>Monstars</v>
      </c>
      <c r="C46">
        <f>'Team and Player Stats'!C67</f>
        <v>20</v>
      </c>
      <c r="D46">
        <f>'Team and Player Stats'!D67</f>
        <v>16</v>
      </c>
      <c r="E46" s="101">
        <f>'Team and Player Stats'!E67</f>
        <v>375.1</v>
      </c>
      <c r="F46">
        <f>'Team and Player Stats'!F67</f>
        <v>2</v>
      </c>
      <c r="G46">
        <f>'Team and Player Stats'!G67</f>
        <v>1693</v>
      </c>
      <c r="H46">
        <f>'Team and Player Stats'!H67</f>
        <v>6</v>
      </c>
      <c r="I46">
        <f>'Team and Player Stats'!I67</f>
        <v>1557</v>
      </c>
      <c r="J46">
        <f>'Team and Player Stats'!J67</f>
        <v>136</v>
      </c>
      <c r="K46" s="102">
        <f>'Team and Player Stats'!K67</f>
        <v>1.087347463</v>
      </c>
      <c r="L46" s="101">
        <f>'Team and Player Stats'!L67</f>
        <v>234</v>
      </c>
      <c r="M46">
        <f>'Team and Player Stats'!M67</f>
        <v>2277</v>
      </c>
      <c r="N46">
        <f>'Team and Player Stats'!N67</f>
        <v>17</v>
      </c>
      <c r="O46" s="103">
        <f>'Team and Player Stats'!O67</f>
        <v>340.1</v>
      </c>
      <c r="P46">
        <f>'Team and Player Stats'!P67</f>
        <v>27</v>
      </c>
      <c r="Q46">
        <f>'Team and Player Stats'!Q67</f>
        <v>6</v>
      </c>
      <c r="R46">
        <f>'Team and Player Stats'!R67</f>
        <v>151</v>
      </c>
      <c r="S46">
        <f>'Team and Player Stats'!S67</f>
        <v>22</v>
      </c>
      <c r="T46">
        <f>'Team and Player Stats'!T67</f>
        <v>279</v>
      </c>
      <c r="U46">
        <f>'Team and Player Stats'!U67</f>
        <v>68</v>
      </c>
      <c r="V46">
        <f>'Team and Player Stats'!V67</f>
        <v>24</v>
      </c>
      <c r="W46">
        <f>'Team and Player Stats'!W67</f>
        <v>10</v>
      </c>
      <c r="X46">
        <f>'Team and Player Stats'!X67</f>
        <v>5</v>
      </c>
      <c r="Y46">
        <f>'Team and Player Stats'!Y67</f>
        <v>1</v>
      </c>
      <c r="Z46">
        <f>'Team and Player Stats'!Z67</f>
        <v>0</v>
      </c>
      <c r="AA46">
        <f>'Team and Player Stats'!AA67</f>
        <v>0</v>
      </c>
      <c r="AB46">
        <f>'Team and Player Stats'!AB67</f>
        <v>0</v>
      </c>
      <c r="AC46">
        <f>'Team and Player Stats'!AC67</f>
        <v>37</v>
      </c>
      <c r="AD46">
        <f>'Team and Player Stats'!AD67</f>
        <v>1</v>
      </c>
      <c r="AE46">
        <f>'Team and Player Stats'!AE67</f>
        <v>0</v>
      </c>
      <c r="AF46">
        <f>'Team and Player Stats'!AF67</f>
        <v>0</v>
      </c>
      <c r="AG46">
        <f>'Team and Player Stats'!AG67</f>
        <v>0</v>
      </c>
      <c r="AH46">
        <f>'Team and Player Stats'!AH67</f>
        <v>0</v>
      </c>
    </row>
    <row r="47">
      <c r="A47" s="97" t="str">
        <f>'Team and Player Stats'!B33</f>
        <v>TwitchTvSnipezz</v>
      </c>
      <c r="B47" s="97" t="str">
        <f>'Team and Player Stats'!A33</f>
        <v>Truthless and the Truthlessettes</v>
      </c>
      <c r="C47" s="97">
        <f>'Team and Player Stats'!C33</f>
        <v>8</v>
      </c>
      <c r="D47" s="97">
        <f>'Team and Player Stats'!D33</f>
        <v>1</v>
      </c>
      <c r="E47" s="98">
        <f>'Team and Player Stats'!E33</f>
        <v>169.5333333</v>
      </c>
      <c r="F47" s="97">
        <f>'Team and Player Stats'!F33</f>
        <v>2</v>
      </c>
      <c r="G47" s="97">
        <f>'Team and Player Stats'!G33</f>
        <v>671</v>
      </c>
      <c r="H47" s="97">
        <f>'Team and Player Stats'!H33</f>
        <v>3</v>
      </c>
      <c r="I47" s="97">
        <f>'Team and Player Stats'!I33</f>
        <v>635</v>
      </c>
      <c r="J47" s="97">
        <f>'Team and Player Stats'!J33</f>
        <v>36</v>
      </c>
      <c r="K47" s="99">
        <f>'Team and Player Stats'!K33</f>
        <v>1.056692913</v>
      </c>
      <c r="L47" s="98">
        <f>'Team and Player Stats'!L33</f>
        <v>108</v>
      </c>
      <c r="M47" s="97">
        <f>'Team and Player Stats'!M33</f>
        <v>877</v>
      </c>
      <c r="N47" s="97">
        <f>'Team and Player Stats'!N33</f>
        <v>8</v>
      </c>
      <c r="O47" s="100">
        <f>'Team and Player Stats'!O33</f>
        <v>169.5333333</v>
      </c>
      <c r="P47" s="97">
        <f>'Team and Player Stats'!P33</f>
        <v>23</v>
      </c>
      <c r="Q47" s="97">
        <f>'Team and Player Stats'!Q33</f>
        <v>7</v>
      </c>
      <c r="R47" s="97">
        <f>'Team and Player Stats'!R33</f>
        <v>35</v>
      </c>
      <c r="S47" s="97">
        <f>'Team and Player Stats'!S33</f>
        <v>13</v>
      </c>
      <c r="T47" s="97">
        <f>'Team and Player Stats'!T33</f>
        <v>104</v>
      </c>
      <c r="U47" s="97">
        <f>'Team and Player Stats'!U33</f>
        <v>26</v>
      </c>
      <c r="V47" s="97">
        <f>'Team and Player Stats'!V33</f>
        <v>7</v>
      </c>
      <c r="W47" s="97">
        <f>'Team and Player Stats'!W33</f>
        <v>1</v>
      </c>
      <c r="X47" s="97">
        <f>'Team and Player Stats'!X33</f>
        <v>0</v>
      </c>
      <c r="Y47" s="97">
        <f>'Team and Player Stats'!Y33</f>
        <v>0</v>
      </c>
      <c r="Z47" s="97">
        <f>'Team and Player Stats'!Z33</f>
        <v>0</v>
      </c>
      <c r="AA47" s="97">
        <f>'Team and Player Stats'!AA33</f>
        <v>0</v>
      </c>
      <c r="AB47" s="97">
        <f>'Team and Player Stats'!AB33</f>
        <v>0</v>
      </c>
      <c r="AC47" s="97">
        <f>'Team and Player Stats'!AC33</f>
        <v>20</v>
      </c>
      <c r="AD47" s="97">
        <f>'Team and Player Stats'!AD33</f>
        <v>0</v>
      </c>
      <c r="AE47" s="97">
        <f>'Team and Player Stats'!AE33</f>
        <v>0</v>
      </c>
      <c r="AF47" s="97">
        <f>'Team and Player Stats'!AF33</f>
        <v>0</v>
      </c>
      <c r="AG47" s="97">
        <f>'Team and Player Stats'!AG33</f>
        <v>0</v>
      </c>
      <c r="AH47" s="97">
        <f>'Team and Player Stats'!AH33</f>
        <v>0</v>
      </c>
    </row>
    <row r="48">
      <c r="A48" t="str">
        <f>'Team and Player Stats'!B34</f>
        <v>Myst The Cold</v>
      </c>
      <c r="B48" t="str">
        <f>'Team and Player Stats'!A34</f>
        <v>Truthless and the Truthlessettes</v>
      </c>
      <c r="C48">
        <f>'Team and Player Stats'!C34</f>
        <v>7</v>
      </c>
      <c r="D48">
        <f>'Team and Player Stats'!D34</f>
        <v>2</v>
      </c>
      <c r="E48" s="101">
        <f>'Team and Player Stats'!E34</f>
        <v>157.3166667</v>
      </c>
      <c r="F48">
        <f>'Team and Player Stats'!F34</f>
        <v>2</v>
      </c>
      <c r="G48">
        <f>'Team and Player Stats'!G34</f>
        <v>521</v>
      </c>
      <c r="H48">
        <f>'Team and Player Stats'!H34</f>
        <v>4</v>
      </c>
      <c r="I48">
        <f>'Team and Player Stats'!I34</f>
        <v>583</v>
      </c>
      <c r="J48">
        <f>'Team and Player Stats'!J34</f>
        <v>-62</v>
      </c>
      <c r="K48" s="102">
        <f>'Team and Player Stats'!K34</f>
        <v>0.8936535163</v>
      </c>
      <c r="L48" s="101">
        <f>'Team and Player Stats'!L34</f>
        <v>125</v>
      </c>
      <c r="M48">
        <f>'Team and Player Stats'!M34</f>
        <v>640</v>
      </c>
      <c r="N48">
        <f>'Team and Player Stats'!N34</f>
        <v>7</v>
      </c>
      <c r="O48" s="103">
        <f>'Team and Player Stats'!O34</f>
        <v>157.3166667</v>
      </c>
      <c r="P48">
        <f>'Team and Player Stats'!P34</f>
        <v>17</v>
      </c>
      <c r="Q48">
        <f>'Team and Player Stats'!Q34</f>
        <v>11</v>
      </c>
      <c r="R48">
        <f>'Team and Player Stats'!R34</f>
        <v>28</v>
      </c>
      <c r="S48">
        <f>'Team and Player Stats'!S34</f>
        <v>15</v>
      </c>
      <c r="T48">
        <f>'Team and Player Stats'!T34</f>
        <v>59</v>
      </c>
      <c r="U48">
        <f>'Team and Player Stats'!U34</f>
        <v>6</v>
      </c>
      <c r="V48">
        <f>'Team and Player Stats'!V34</f>
        <v>0</v>
      </c>
      <c r="W48">
        <f>'Team and Player Stats'!W34</f>
        <v>0</v>
      </c>
      <c r="X48">
        <f>'Team and Player Stats'!X34</f>
        <v>0</v>
      </c>
      <c r="Y48">
        <f>'Team and Player Stats'!Y34</f>
        <v>0</v>
      </c>
      <c r="Z48">
        <f>'Team and Player Stats'!Z34</f>
        <v>0</v>
      </c>
      <c r="AA48">
        <f>'Team and Player Stats'!AA34</f>
        <v>0</v>
      </c>
      <c r="AB48">
        <f>'Team and Player Stats'!AB34</f>
        <v>0</v>
      </c>
      <c r="AC48">
        <f>'Team and Player Stats'!AC34</f>
        <v>5</v>
      </c>
      <c r="AD48">
        <f>'Team and Player Stats'!AD34</f>
        <v>0</v>
      </c>
      <c r="AE48">
        <f>'Team and Player Stats'!AE34</f>
        <v>0</v>
      </c>
      <c r="AF48">
        <f>'Team and Player Stats'!AF34</f>
        <v>0</v>
      </c>
      <c r="AG48">
        <f>'Team and Player Stats'!AG34</f>
        <v>0</v>
      </c>
      <c r="AH48">
        <f>'Team and Player Stats'!AH34</f>
        <v>0</v>
      </c>
    </row>
    <row r="49">
      <c r="A49" s="97" t="str">
        <f>'Team and Player Stats'!B7</f>
        <v>The Eastbrook</v>
      </c>
      <c r="B49" s="97" t="str">
        <f>'Team and Player Stats'!A7</f>
        <v>Defiance</v>
      </c>
      <c r="C49" s="97">
        <f>'Team and Player Stats'!C7</f>
        <v>6</v>
      </c>
      <c r="D49" s="97">
        <f>'Team and Player Stats'!D7</f>
        <v>6</v>
      </c>
      <c r="E49" s="98">
        <f>'Team and Player Stats'!E7</f>
        <v>150</v>
      </c>
      <c r="F49" s="97">
        <f>'Team and Player Stats'!F7</f>
        <v>21</v>
      </c>
      <c r="G49" s="97">
        <f>'Team and Player Stats'!G7</f>
        <v>371</v>
      </c>
      <c r="H49" s="97">
        <f>'Team and Player Stats'!H7</f>
        <v>3</v>
      </c>
      <c r="I49" s="97">
        <f>'Team and Player Stats'!I7</f>
        <v>424</v>
      </c>
      <c r="J49" s="97">
        <f>'Team and Player Stats'!J7</f>
        <v>-53</v>
      </c>
      <c r="K49" s="99">
        <f>'Team and Player Stats'!K7</f>
        <v>0.875</v>
      </c>
      <c r="L49" s="98">
        <f>'Team and Player Stats'!L7</f>
        <v>101</v>
      </c>
      <c r="M49" s="97">
        <f>'Team and Player Stats'!M7</f>
        <v>478</v>
      </c>
      <c r="N49" s="97">
        <f>'Team and Player Stats'!N7</f>
        <v>4</v>
      </c>
      <c r="O49" s="100">
        <f>'Team and Player Stats'!O7</f>
        <v>115</v>
      </c>
      <c r="P49" s="97">
        <f>'Team and Player Stats'!P7</f>
        <v>16</v>
      </c>
      <c r="Q49" s="97">
        <f>'Team and Player Stats'!Q7</f>
        <v>16</v>
      </c>
      <c r="R49" s="97">
        <f>'Team and Player Stats'!R7</f>
        <v>4</v>
      </c>
      <c r="S49" s="97">
        <f>'Team and Player Stats'!S7</f>
        <v>6</v>
      </c>
      <c r="T49" s="97">
        <f>'Team and Player Stats'!T7</f>
        <v>29</v>
      </c>
      <c r="U49" s="97">
        <f>'Team and Player Stats'!U7</f>
        <v>5</v>
      </c>
      <c r="V49" s="97">
        <f>'Team and Player Stats'!V7</f>
        <v>0</v>
      </c>
      <c r="W49" s="97">
        <f>'Team and Player Stats'!W7</f>
        <v>0</v>
      </c>
      <c r="X49" s="97">
        <f>'Team and Player Stats'!X7</f>
        <v>0</v>
      </c>
      <c r="Y49" s="97">
        <f>'Team and Player Stats'!Y7</f>
        <v>0</v>
      </c>
      <c r="Z49" s="97">
        <f>'Team and Player Stats'!Z7</f>
        <v>0</v>
      </c>
      <c r="AA49" s="97">
        <f>'Team and Player Stats'!AA7</f>
        <v>0</v>
      </c>
      <c r="AB49" s="97">
        <f>'Team and Player Stats'!AB7</f>
        <v>0</v>
      </c>
      <c r="AC49" s="97">
        <f>'Team and Player Stats'!AC7</f>
        <v>5</v>
      </c>
      <c r="AD49" s="97">
        <f>'Team and Player Stats'!AD7</f>
        <v>0</v>
      </c>
      <c r="AE49" s="97">
        <f>'Team and Player Stats'!AE7</f>
        <v>0</v>
      </c>
      <c r="AF49" s="97">
        <f>'Team and Player Stats'!AF7</f>
        <v>0</v>
      </c>
      <c r="AG49" s="97">
        <f>'Team and Player Stats'!AG7</f>
        <v>0</v>
      </c>
      <c r="AH49" s="97">
        <f>'Team and Player Stats'!AH7</f>
        <v>1</v>
      </c>
    </row>
    <row r="50">
      <c r="A50" t="str">
        <f>'Team and Player Stats'!B14</f>
        <v>DCleak</v>
      </c>
      <c r="B50" t="str">
        <f>'Team and Player Stats'!A14</f>
        <v>In MuNgO We Trust</v>
      </c>
      <c r="C50">
        <f>'Team and Player Stats'!C14</f>
        <v>1</v>
      </c>
      <c r="D50">
        <f>'Team and Player Stats'!D14</f>
        <v>0</v>
      </c>
      <c r="E50" s="101">
        <f>'Team and Player Stats'!E14</f>
        <v>42</v>
      </c>
      <c r="F50">
        <f>'Team and Player Stats'!F14</f>
        <v>1</v>
      </c>
      <c r="G50">
        <f>'Team and Player Stats'!G14</f>
        <v>124</v>
      </c>
      <c r="H50">
        <f>'Team and Player Stats'!H14</f>
        <v>0</v>
      </c>
      <c r="I50">
        <f>'Team and Player Stats'!I14</f>
        <v>187</v>
      </c>
      <c r="J50">
        <f>'Team and Player Stats'!J14</f>
        <v>-63</v>
      </c>
      <c r="K50" s="102">
        <f>'Team and Player Stats'!K14</f>
        <v>0.6631016043</v>
      </c>
      <c r="L50" s="101">
        <f>'Team and Player Stats'!L14</f>
        <v>10</v>
      </c>
      <c r="M50">
        <f>'Team and Player Stats'!M14</f>
        <v>152</v>
      </c>
      <c r="N50">
        <f>'Team and Player Stats'!N14</f>
        <v>1</v>
      </c>
      <c r="O50" s="103">
        <f>'Team and Player Stats'!O14</f>
        <v>42</v>
      </c>
      <c r="P50">
        <f>'Team and Player Stats'!P14</f>
        <v>4</v>
      </c>
      <c r="Q50">
        <f>'Team and Player Stats'!Q14</f>
        <v>0</v>
      </c>
      <c r="R50">
        <f>'Team and Player Stats'!R14</f>
        <v>5</v>
      </c>
      <c r="S50">
        <f>'Team and Player Stats'!S14</f>
        <v>5</v>
      </c>
      <c r="T50">
        <f>'Team and Player Stats'!T14</f>
        <v>14</v>
      </c>
      <c r="U50">
        <f>'Team and Player Stats'!U14</f>
        <v>2</v>
      </c>
      <c r="V50">
        <f>'Team and Player Stats'!V14</f>
        <v>0</v>
      </c>
      <c r="W50">
        <f>'Team and Player Stats'!W14</f>
        <v>0</v>
      </c>
      <c r="X50">
        <f>'Team and Player Stats'!X14</f>
        <v>0</v>
      </c>
      <c r="Y50">
        <f>'Team and Player Stats'!Y14</f>
        <v>0</v>
      </c>
      <c r="Z50">
        <f>'Team and Player Stats'!Z14</f>
        <v>0</v>
      </c>
      <c r="AA50">
        <f>'Team and Player Stats'!AA14</f>
        <v>0</v>
      </c>
      <c r="AB50">
        <f>'Team and Player Stats'!AB14</f>
        <v>0</v>
      </c>
      <c r="AC50">
        <f>'Team and Player Stats'!AC14</f>
        <v>0</v>
      </c>
      <c r="AD50">
        <f>'Team and Player Stats'!AD14</f>
        <v>0</v>
      </c>
      <c r="AE50">
        <f>'Team and Player Stats'!AE14</f>
        <v>0</v>
      </c>
      <c r="AF50">
        <f>'Team and Player Stats'!AF14</f>
        <v>0</v>
      </c>
      <c r="AG50">
        <f>'Team and Player Stats'!AG14</f>
        <v>0</v>
      </c>
      <c r="AH50">
        <f>'Team and Player Stats'!AH14</f>
        <v>0</v>
      </c>
    </row>
    <row r="51">
      <c r="A51" s="97" t="str">
        <f>'Team and Player Stats'!B77</f>
        <v>MachinimistLuke</v>
      </c>
      <c r="B51" s="97" t="str">
        <f>'Team and Player Stats'!A77</f>
        <v>Mediocre at Best</v>
      </c>
      <c r="C51" s="97">
        <f>'Team and Player Stats'!C77</f>
        <v>1</v>
      </c>
      <c r="D51" s="97">
        <f>'Team and Player Stats'!D77</f>
        <v>0</v>
      </c>
      <c r="E51" s="98">
        <f>'Team and Player Stats'!E77</f>
        <v>33</v>
      </c>
      <c r="F51" s="97">
        <f>'Team and Player Stats'!F77</f>
        <v>1</v>
      </c>
      <c r="G51" s="97">
        <f>'Team and Player Stats'!G77</f>
        <v>56</v>
      </c>
      <c r="H51" s="97">
        <f>'Team and Player Stats'!H77</f>
        <v>1</v>
      </c>
      <c r="I51" s="97">
        <f>'Team and Player Stats'!I77</f>
        <v>112</v>
      </c>
      <c r="J51" s="97">
        <f>'Team and Player Stats'!J77</f>
        <v>-56</v>
      </c>
      <c r="K51" s="99">
        <f>'Team and Player Stats'!K77</f>
        <v>0.5</v>
      </c>
      <c r="L51" s="98">
        <f>'Team and Player Stats'!L77</f>
        <v>14</v>
      </c>
      <c r="M51" s="97">
        <f>'Team and Player Stats'!M77</f>
        <v>68</v>
      </c>
      <c r="N51" s="97">
        <f>'Team and Player Stats'!N77</f>
        <v>1</v>
      </c>
      <c r="O51" s="100">
        <f>'Team and Player Stats'!O77</f>
        <v>33</v>
      </c>
      <c r="P51" s="97">
        <f>'Team and Player Stats'!P77</f>
        <v>4</v>
      </c>
      <c r="Q51" s="97">
        <f>'Team and Player Stats'!Q77</f>
        <v>1</v>
      </c>
      <c r="R51" s="97">
        <f>'Team and Player Stats'!R77</f>
        <v>1</v>
      </c>
      <c r="S51" s="97">
        <f>'Team and Player Stats'!S77</f>
        <v>0</v>
      </c>
      <c r="T51" s="97">
        <f>'Team and Player Stats'!T77</f>
        <v>5</v>
      </c>
      <c r="U51" s="97">
        <f>'Team and Player Stats'!U77</f>
        <v>1</v>
      </c>
      <c r="V51" s="97">
        <f>'Team and Player Stats'!V77</f>
        <v>0</v>
      </c>
      <c r="W51" s="97">
        <f>'Team and Player Stats'!W77</f>
        <v>0</v>
      </c>
      <c r="X51" s="97">
        <f>'Team and Player Stats'!X77</f>
        <v>0</v>
      </c>
      <c r="Y51" s="97">
        <f>'Team and Player Stats'!Y77</f>
        <v>0</v>
      </c>
      <c r="Z51" s="97">
        <f>'Team and Player Stats'!Z77</f>
        <v>0</v>
      </c>
      <c r="AA51" s="97">
        <f>'Team and Player Stats'!AA77</f>
        <v>0</v>
      </c>
      <c r="AB51" s="97">
        <f>'Team and Player Stats'!AB77</f>
        <v>0</v>
      </c>
      <c r="AC51" s="97">
        <f>'Team and Player Stats'!AC77</f>
        <v>0</v>
      </c>
      <c r="AD51" s="97">
        <f>'Team and Player Stats'!AD77</f>
        <v>0</v>
      </c>
      <c r="AE51" s="97">
        <f>'Team and Player Stats'!AE77</f>
        <v>0</v>
      </c>
      <c r="AF51" s="97">
        <f>'Team and Player Stats'!AF77</f>
        <v>0</v>
      </c>
      <c r="AG51" s="97">
        <f>'Team and Player Stats'!AG77</f>
        <v>0</v>
      </c>
      <c r="AH51" s="97">
        <f>'Team and Player Stats'!AH77</f>
        <v>0</v>
      </c>
    </row>
    <row r="52">
      <c r="A52" t="str">
        <f>'Team and Player Stats'!B21</f>
        <v>caleb loves you</v>
      </c>
      <c r="B52" t="str">
        <f>'Team and Player Stats'!A21</f>
        <v>Junkyard Dogs</v>
      </c>
      <c r="C52">
        <f>'Team and Player Stats'!C21</f>
        <v>2</v>
      </c>
      <c r="D52">
        <f>'Team and Player Stats'!D21</f>
        <v>0</v>
      </c>
      <c r="E52" s="101">
        <f>'Team and Player Stats'!E21</f>
        <v>36</v>
      </c>
      <c r="F52">
        <f>'Team and Player Stats'!F21</f>
        <v>0</v>
      </c>
      <c r="G52">
        <f>'Team and Player Stats'!G21</f>
        <v>109</v>
      </c>
      <c r="H52">
        <f>'Team and Player Stats'!H21</f>
        <v>0</v>
      </c>
      <c r="I52">
        <f>'Team and Player Stats'!I21</f>
        <v>115</v>
      </c>
      <c r="J52">
        <f>'Team and Player Stats'!J21</f>
        <v>-6</v>
      </c>
      <c r="K52" s="102">
        <f>'Team and Player Stats'!K21</f>
        <v>0.947826087</v>
      </c>
      <c r="L52" s="101">
        <f>'Team and Player Stats'!L21</f>
        <v>31</v>
      </c>
      <c r="M52">
        <f>'Team and Player Stats'!M21</f>
        <v>130</v>
      </c>
      <c r="N52">
        <f>'Team and Player Stats'!N21</f>
        <v>2</v>
      </c>
      <c r="O52" s="103">
        <f>'Team and Player Stats'!O21</f>
        <v>36</v>
      </c>
      <c r="P52">
        <f>'Team and Player Stats'!P21</f>
        <v>2</v>
      </c>
      <c r="Q52">
        <f>'Team and Player Stats'!Q21</f>
        <v>2</v>
      </c>
      <c r="R52">
        <f>'Team and Player Stats'!R21</f>
        <v>7</v>
      </c>
      <c r="S52">
        <f>'Team and Player Stats'!S21</f>
        <v>2</v>
      </c>
      <c r="T52">
        <f>'Team and Player Stats'!T21</f>
        <v>16</v>
      </c>
      <c r="U52">
        <f>'Team and Player Stats'!U21</f>
        <v>5</v>
      </c>
      <c r="V52">
        <f>'Team and Player Stats'!V21</f>
        <v>2</v>
      </c>
      <c r="W52">
        <f>'Team and Player Stats'!W21</f>
        <v>0</v>
      </c>
      <c r="X52">
        <f>'Team and Player Stats'!X21</f>
        <v>0</v>
      </c>
      <c r="Y52">
        <f>'Team and Player Stats'!Y21</f>
        <v>0</v>
      </c>
      <c r="Z52">
        <f>'Team and Player Stats'!Z21</f>
        <v>0</v>
      </c>
      <c r="AA52">
        <f>'Team and Player Stats'!AA21</f>
        <v>0</v>
      </c>
      <c r="AB52">
        <f>'Team and Player Stats'!AB21</f>
        <v>0</v>
      </c>
      <c r="AC52">
        <f>'Team and Player Stats'!AC21</f>
        <v>2</v>
      </c>
      <c r="AD52">
        <f>'Team and Player Stats'!AD21</f>
        <v>0</v>
      </c>
      <c r="AE52">
        <f>'Team and Player Stats'!AE21</f>
        <v>0</v>
      </c>
      <c r="AF52">
        <f>'Team and Player Stats'!AF21</f>
        <v>0</v>
      </c>
      <c r="AG52">
        <f>'Team and Player Stats'!AG21</f>
        <v>0</v>
      </c>
      <c r="AH52">
        <f>'Team and Player Stats'!AH21</f>
        <v>0</v>
      </c>
    </row>
    <row r="53">
      <c r="A53" s="97" t="str">
        <f>'Team and Player Stats'!B8</f>
        <v>MASTER CH3IF</v>
      </c>
      <c r="B53" s="97" t="str">
        <f>'Team and Player Stats'!A8</f>
        <v>Defiance</v>
      </c>
      <c r="C53" s="97">
        <f>'Team and Player Stats'!C8</f>
        <v>0</v>
      </c>
      <c r="D53" s="97">
        <f>'Team and Player Stats'!D8</f>
        <v>0</v>
      </c>
      <c r="E53" s="98">
        <f>'Team and Player Stats'!E8</f>
        <v>0</v>
      </c>
      <c r="F53" s="97">
        <f>'Team and Player Stats'!F8</f>
        <v>0</v>
      </c>
      <c r="G53" s="97">
        <f>'Team and Player Stats'!G8</f>
        <v>0</v>
      </c>
      <c r="H53" s="97">
        <f>'Team and Player Stats'!H8</f>
        <v>0</v>
      </c>
      <c r="I53" s="97">
        <f>'Team and Player Stats'!I8</f>
        <v>0</v>
      </c>
      <c r="J53" s="97">
        <f>'Team and Player Stats'!J8</f>
        <v>0</v>
      </c>
      <c r="K53" s="99" t="str">
        <f>'Team and Player Stats'!K8</f>
        <v>#DIV/0!</v>
      </c>
      <c r="L53" s="98">
        <f>'Team and Player Stats'!L8</f>
        <v>0</v>
      </c>
      <c r="M53" s="97">
        <f>'Team and Player Stats'!M8</f>
        <v>0</v>
      </c>
      <c r="N53" s="97">
        <f>'Team and Player Stats'!N8</f>
        <v>0</v>
      </c>
      <c r="O53" s="100">
        <f>'Team and Player Stats'!O8</f>
        <v>0</v>
      </c>
      <c r="P53" s="97">
        <f>'Team and Player Stats'!P8</f>
        <v>1</v>
      </c>
      <c r="Q53" s="97">
        <f>'Team and Player Stats'!Q8</f>
        <v>0</v>
      </c>
      <c r="R53" s="97">
        <f>'Team and Player Stats'!R8</f>
        <v>2</v>
      </c>
      <c r="S53" s="97">
        <f>'Team and Player Stats'!S8</f>
        <v>0</v>
      </c>
      <c r="T53" s="97">
        <f>'Team and Player Stats'!T8</f>
        <v>4</v>
      </c>
      <c r="U53" s="97">
        <f>'Team and Player Stats'!U8</f>
        <v>1</v>
      </c>
      <c r="V53" s="97">
        <f>'Team and Player Stats'!V8</f>
        <v>1</v>
      </c>
      <c r="W53" s="97">
        <f>'Team and Player Stats'!W8</f>
        <v>1</v>
      </c>
      <c r="X53" s="97">
        <f>'Team and Player Stats'!X8</f>
        <v>0</v>
      </c>
      <c r="Y53" s="97">
        <f>'Team and Player Stats'!Y8</f>
        <v>0</v>
      </c>
      <c r="Z53" s="97">
        <f>'Team and Player Stats'!Z8</f>
        <v>0</v>
      </c>
      <c r="AA53" s="97">
        <f>'Team and Player Stats'!AA8</f>
        <v>0</v>
      </c>
      <c r="AB53" s="97">
        <f>'Team and Player Stats'!AB8</f>
        <v>0</v>
      </c>
      <c r="AC53" s="97">
        <f>'Team and Player Stats'!AC8</f>
        <v>2</v>
      </c>
      <c r="AD53" s="97">
        <f>'Team and Player Stats'!AD8</f>
        <v>0</v>
      </c>
      <c r="AE53" s="97">
        <f>'Team and Player Stats'!AE8</f>
        <v>0</v>
      </c>
      <c r="AF53" s="97">
        <f>'Team and Player Stats'!AF8</f>
        <v>0</v>
      </c>
      <c r="AG53" s="97">
        <f>'Team and Player Stats'!AG8</f>
        <v>1</v>
      </c>
      <c r="AH53" s="97">
        <f>'Team and Player Stats'!AH8</f>
        <v>0</v>
      </c>
    </row>
    <row r="54">
      <c r="A54" t="str">
        <f>'Team and Player Stats'!B42</f>
        <v>Hoffa 88</v>
      </c>
      <c r="B54" t="str">
        <f>'Team and Player Stats'!A42</f>
        <v>On the Fence</v>
      </c>
      <c r="C54">
        <f>'Team and Player Stats'!C42</f>
        <v>0</v>
      </c>
      <c r="D54">
        <f>'Team and Player Stats'!D42</f>
        <v>0</v>
      </c>
      <c r="E54" s="101">
        <f>'Team and Player Stats'!E42</f>
        <v>0</v>
      </c>
      <c r="F54">
        <f>'Team and Player Stats'!F42</f>
        <v>0</v>
      </c>
      <c r="G54">
        <f>'Team and Player Stats'!G42</f>
        <v>0</v>
      </c>
      <c r="H54">
        <f>'Team and Player Stats'!H42</f>
        <v>0</v>
      </c>
      <c r="I54">
        <f>'Team and Player Stats'!I42</f>
        <v>0</v>
      </c>
      <c r="J54">
        <f>'Team and Player Stats'!J42</f>
        <v>0</v>
      </c>
      <c r="K54" s="102" t="str">
        <f>'Team and Player Stats'!K42</f>
        <v>#DIV/0!</v>
      </c>
      <c r="L54" s="101">
        <f>'Team and Player Stats'!L42</f>
        <v>0</v>
      </c>
      <c r="M54">
        <f>'Team and Player Stats'!M42</f>
        <v>0</v>
      </c>
      <c r="N54">
        <f>'Team and Player Stats'!N42</f>
        <v>0</v>
      </c>
      <c r="O54" s="103">
        <f>'Team and Player Stats'!O42</f>
        <v>0</v>
      </c>
      <c r="P54">
        <f>'Team and Player Stats'!P42</f>
        <v>0</v>
      </c>
      <c r="Q54">
        <f>'Team and Player Stats'!Q42</f>
        <v>0</v>
      </c>
      <c r="R54">
        <f>'Team and Player Stats'!R42</f>
        <v>0</v>
      </c>
      <c r="S54">
        <f>'Team and Player Stats'!S42</f>
        <v>0</v>
      </c>
      <c r="T54">
        <f>'Team and Player Stats'!T42</f>
        <v>0</v>
      </c>
      <c r="U54">
        <f>'Team and Player Stats'!U42</f>
        <v>0</v>
      </c>
      <c r="V54">
        <f>'Team and Player Stats'!V42</f>
        <v>0</v>
      </c>
      <c r="W54">
        <f>'Team and Player Stats'!W42</f>
        <v>0</v>
      </c>
      <c r="X54">
        <f>'Team and Player Stats'!X42</f>
        <v>0</v>
      </c>
      <c r="Y54">
        <f>'Team and Player Stats'!Y42</f>
        <v>0</v>
      </c>
      <c r="Z54">
        <f>'Team and Player Stats'!Z42</f>
        <v>0</v>
      </c>
      <c r="AA54">
        <f>'Team and Player Stats'!AA42</f>
        <v>0</v>
      </c>
      <c r="AB54">
        <f>'Team and Player Stats'!AB42</f>
        <v>0</v>
      </c>
      <c r="AC54">
        <f>'Team and Player Stats'!AC42</f>
        <v>0</v>
      </c>
      <c r="AD54">
        <f>'Team and Player Stats'!AD42</f>
        <v>0</v>
      </c>
      <c r="AE54">
        <f>'Team and Player Stats'!AE42</f>
        <v>0</v>
      </c>
      <c r="AF54">
        <f>'Team and Player Stats'!AF42</f>
        <v>0</v>
      </c>
      <c r="AG54">
        <f>'Team and Player Stats'!AG42</f>
        <v>0</v>
      </c>
      <c r="AH54">
        <f>'Team and Player Stats'!AH42</f>
        <v>0</v>
      </c>
    </row>
    <row r="55">
      <c r="A55" s="97" t="str">
        <f>'Team and Player Stats'!B48</f>
        <v>THEXILEDRAGON</v>
      </c>
      <c r="B55" s="97" t="str">
        <f>'Team and Player Stats'!A48</f>
        <v>Failure to Launch</v>
      </c>
      <c r="C55" s="97">
        <f>'Team and Player Stats'!C48</f>
        <v>0</v>
      </c>
      <c r="D55" s="97">
        <f>'Team and Player Stats'!D48</f>
        <v>0</v>
      </c>
      <c r="E55" s="98">
        <f>'Team and Player Stats'!E48</f>
        <v>0</v>
      </c>
      <c r="F55" s="97">
        <f>'Team and Player Stats'!F48</f>
        <v>0</v>
      </c>
      <c r="G55" s="97">
        <f>'Team and Player Stats'!G48</f>
        <v>0</v>
      </c>
      <c r="H55" s="97">
        <f>'Team and Player Stats'!H48</f>
        <v>0</v>
      </c>
      <c r="I55" s="97">
        <f>'Team and Player Stats'!I48</f>
        <v>0</v>
      </c>
      <c r="J55" s="97">
        <f>'Team and Player Stats'!J48</f>
        <v>0</v>
      </c>
      <c r="K55" s="99" t="str">
        <f>'Team and Player Stats'!K48</f>
        <v>#DIV/0!</v>
      </c>
      <c r="L55" s="98">
        <f>'Team and Player Stats'!L48</f>
        <v>0</v>
      </c>
      <c r="M55" s="97">
        <f>'Team and Player Stats'!M48</f>
        <v>0</v>
      </c>
      <c r="N55" s="97">
        <f>'Team and Player Stats'!N48</f>
        <v>0</v>
      </c>
      <c r="O55" s="100">
        <f>'Team and Player Stats'!O48</f>
        <v>0</v>
      </c>
      <c r="P55" s="97">
        <f>'Team and Player Stats'!P48</f>
        <v>0</v>
      </c>
      <c r="Q55" s="97">
        <f>'Team and Player Stats'!Q48</f>
        <v>0</v>
      </c>
      <c r="R55" s="97">
        <f>'Team and Player Stats'!R48</f>
        <v>0</v>
      </c>
      <c r="S55" s="97">
        <f>'Team and Player Stats'!S48</f>
        <v>0</v>
      </c>
      <c r="T55" s="97">
        <f>'Team and Player Stats'!T48</f>
        <v>0</v>
      </c>
      <c r="U55" s="97">
        <f>'Team and Player Stats'!U48</f>
        <v>0</v>
      </c>
      <c r="V55" s="97">
        <f>'Team and Player Stats'!V48</f>
        <v>0</v>
      </c>
      <c r="W55" s="97">
        <f>'Team and Player Stats'!W48</f>
        <v>0</v>
      </c>
      <c r="X55" s="97">
        <f>'Team and Player Stats'!X48</f>
        <v>0</v>
      </c>
      <c r="Y55" s="97">
        <f>'Team and Player Stats'!Y48</f>
        <v>0</v>
      </c>
      <c r="Z55" s="97">
        <f>'Team and Player Stats'!Z48</f>
        <v>0</v>
      </c>
      <c r="AA55" s="97">
        <f>'Team and Player Stats'!AA48</f>
        <v>0</v>
      </c>
      <c r="AB55" s="97">
        <f>'Team and Player Stats'!AB48</f>
        <v>0</v>
      </c>
      <c r="AC55" s="97">
        <f>'Team and Player Stats'!AC48</f>
        <v>0</v>
      </c>
      <c r="AD55" s="97">
        <f>'Team and Player Stats'!AD48</f>
        <v>0</v>
      </c>
      <c r="AE55" s="97">
        <f>'Team and Player Stats'!AE48</f>
        <v>0</v>
      </c>
      <c r="AF55" s="97">
        <f>'Team and Player Stats'!AF48</f>
        <v>0</v>
      </c>
      <c r="AG55" s="97">
        <f>'Team and Player Stats'!AG48</f>
        <v>0</v>
      </c>
      <c r="AH55" s="97">
        <f>'Team and Player Stats'!AH48</f>
        <v>0</v>
      </c>
    </row>
    <row r="56">
      <c r="A56" t="str">
        <f>'Team and Player Stats'!B56</f>
        <v>TheOneHawk</v>
      </c>
      <c r="B56" t="str">
        <f>'Team and Player Stats'!A56</f>
        <v>Silva's Connection</v>
      </c>
      <c r="C56">
        <f>'Team and Player Stats'!C56</f>
        <v>0</v>
      </c>
      <c r="D56">
        <f>'Team and Player Stats'!D56</f>
        <v>0</v>
      </c>
      <c r="E56" s="101">
        <f>'Team and Player Stats'!E56</f>
        <v>0</v>
      </c>
      <c r="F56">
        <f>'Team and Player Stats'!F56</f>
        <v>0</v>
      </c>
      <c r="G56">
        <f>'Team and Player Stats'!G56</f>
        <v>0</v>
      </c>
      <c r="H56">
        <f>'Team and Player Stats'!H56</f>
        <v>0</v>
      </c>
      <c r="I56">
        <f>'Team and Player Stats'!I56</f>
        <v>0</v>
      </c>
      <c r="J56">
        <f>'Team and Player Stats'!J56</f>
        <v>0</v>
      </c>
      <c r="K56" s="102" t="str">
        <f>'Team and Player Stats'!K56</f>
        <v>#DIV/0!</v>
      </c>
      <c r="L56" s="101">
        <f>'Team and Player Stats'!L56</f>
        <v>0</v>
      </c>
      <c r="M56">
        <f>'Team and Player Stats'!M56</f>
        <v>0</v>
      </c>
      <c r="N56">
        <f>'Team and Player Stats'!N56</f>
        <v>0</v>
      </c>
      <c r="O56" s="103">
        <f>'Team and Player Stats'!O56</f>
        <v>0</v>
      </c>
      <c r="P56">
        <f>'Team and Player Stats'!P56</f>
        <v>0</v>
      </c>
      <c r="Q56">
        <f>'Team and Player Stats'!Q56</f>
        <v>0</v>
      </c>
      <c r="R56">
        <f>'Team and Player Stats'!R56</f>
        <v>0</v>
      </c>
      <c r="S56">
        <f>'Team and Player Stats'!S56</f>
        <v>0</v>
      </c>
      <c r="T56">
        <f>'Team and Player Stats'!T56</f>
        <v>0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  <c r="AH56">
        <f>'Team and Player Stats'!AH56</f>
        <v>0</v>
      </c>
    </row>
    <row r="57">
      <c r="A57" s="97" t="str">
        <f>'Team and Player Stats'!B63</f>
        <v>TheNastyWithin</v>
      </c>
      <c r="B57" s="97" t="str">
        <f>'Team and Player Stats'!A63</f>
        <v>Hypest</v>
      </c>
      <c r="C57" s="97">
        <f>'Team and Player Stats'!C63</f>
        <v>0</v>
      </c>
      <c r="D57" s="97">
        <f>'Team and Player Stats'!D63</f>
        <v>0</v>
      </c>
      <c r="E57" s="98">
        <f>'Team and Player Stats'!E63</f>
        <v>0</v>
      </c>
      <c r="F57" s="97">
        <f>'Team and Player Stats'!F63</f>
        <v>0</v>
      </c>
      <c r="G57" s="97">
        <f>'Team and Player Stats'!G63</f>
        <v>0</v>
      </c>
      <c r="H57" s="97">
        <f>'Team and Player Stats'!H63</f>
        <v>0</v>
      </c>
      <c r="I57" s="97">
        <f>'Team and Player Stats'!I63</f>
        <v>0</v>
      </c>
      <c r="J57" s="97">
        <f>'Team and Player Stats'!J63</f>
        <v>0</v>
      </c>
      <c r="K57" s="99" t="str">
        <f>'Team and Player Stats'!K63</f>
        <v>#DIV/0!</v>
      </c>
      <c r="L57" s="98">
        <f>'Team and Player Stats'!L63</f>
        <v>0</v>
      </c>
      <c r="M57" s="97">
        <f>'Team and Player Stats'!M63</f>
        <v>0</v>
      </c>
      <c r="N57" s="97">
        <f>'Team and Player Stats'!N63</f>
        <v>0</v>
      </c>
      <c r="O57" s="100">
        <f>'Team and Player Stats'!O63</f>
        <v>0</v>
      </c>
      <c r="P57" s="97">
        <f>'Team and Player Stats'!P63</f>
        <v>0</v>
      </c>
      <c r="Q57" s="97">
        <f>'Team and Player Stats'!Q63</f>
        <v>0</v>
      </c>
      <c r="R57" s="97">
        <f>'Team and Player Stats'!R63</f>
        <v>0</v>
      </c>
      <c r="S57" s="97">
        <f>'Team and Player Stats'!S63</f>
        <v>0</v>
      </c>
      <c r="T57" s="97">
        <f>'Team and Player Stats'!T63</f>
        <v>0</v>
      </c>
      <c r="U57" s="97">
        <f>'Team and Player Stats'!U63</f>
        <v>0</v>
      </c>
      <c r="V57" s="97">
        <f>'Team and Player Stats'!V63</f>
        <v>0</v>
      </c>
      <c r="W57" s="97">
        <f>'Team and Player Stats'!W63</f>
        <v>0</v>
      </c>
      <c r="X57" s="97">
        <f>'Team and Player Stats'!X63</f>
        <v>0</v>
      </c>
      <c r="Y57" s="97">
        <f>'Team and Player Stats'!Y63</f>
        <v>0</v>
      </c>
      <c r="Z57" s="97">
        <f>'Team and Player Stats'!Z63</f>
        <v>0</v>
      </c>
      <c r="AA57" s="97">
        <f>'Team and Player Stats'!AA63</f>
        <v>0</v>
      </c>
      <c r="AB57" s="97">
        <f>'Team and Player Stats'!AB63</f>
        <v>0</v>
      </c>
      <c r="AC57" s="97">
        <f>'Team and Player Stats'!AC63</f>
        <v>0</v>
      </c>
      <c r="AD57" s="97">
        <f>'Team and Player Stats'!AD63</f>
        <v>0</v>
      </c>
      <c r="AE57" s="97">
        <f>'Team and Player Stats'!AE63</f>
        <v>0</v>
      </c>
      <c r="AF57" s="97">
        <f>'Team and Player Stats'!AF63</f>
        <v>0</v>
      </c>
      <c r="AG57" s="97">
        <f>'Team and Player Stats'!AG63</f>
        <v>0</v>
      </c>
      <c r="AH57" s="97">
        <f>'Team and Player Stats'!AH63</f>
        <v>0</v>
      </c>
    </row>
    <row r="58">
      <c r="A58" t="str">
        <f>'Team and Player Stats'!B70</f>
        <v>RealSlimSheep</v>
      </c>
      <c r="B58" t="str">
        <f>'Team and Player Stats'!A70</f>
        <v>Monstars</v>
      </c>
      <c r="C58">
        <f>'Team and Player Stats'!C70</f>
        <v>0</v>
      </c>
      <c r="D58">
        <f>'Team and Player Stats'!D70</f>
        <v>0</v>
      </c>
      <c r="E58" s="101">
        <f>'Team and Player Stats'!E70</f>
        <v>0</v>
      </c>
      <c r="F58">
        <f>'Team and Player Stats'!F70</f>
        <v>0</v>
      </c>
      <c r="G58">
        <f>'Team and Player Stats'!G70</f>
        <v>0</v>
      </c>
      <c r="H58">
        <f>'Team and Player Stats'!H70</f>
        <v>0</v>
      </c>
      <c r="I58">
        <f>'Team and Player Stats'!I70</f>
        <v>0</v>
      </c>
      <c r="J58">
        <f>'Team and Player Stats'!J70</f>
        <v>0</v>
      </c>
      <c r="K58" s="102" t="str">
        <f>'Team and Player Stats'!K70</f>
        <v>#DIV/0!</v>
      </c>
      <c r="L58" s="101">
        <f>'Team and Player Stats'!L70</f>
        <v>0</v>
      </c>
      <c r="M58">
        <f>'Team and Player Stats'!M70</f>
        <v>0</v>
      </c>
      <c r="N58">
        <f>'Team and Player Stats'!N70</f>
        <v>0</v>
      </c>
      <c r="O58" s="103">
        <f>'Team and Player Stats'!O70</f>
        <v>0</v>
      </c>
      <c r="P58">
        <f>'Team and Player Stats'!P70</f>
        <v>0</v>
      </c>
      <c r="Q58">
        <f>'Team and Player Stats'!Q70</f>
        <v>0</v>
      </c>
      <c r="R58">
        <f>'Team and Player Stats'!R70</f>
        <v>0</v>
      </c>
      <c r="S58">
        <f>'Team and Player Stats'!S70</f>
        <v>0</v>
      </c>
      <c r="T58">
        <f>'Team and Player Stats'!T70</f>
        <v>0</v>
      </c>
      <c r="U58">
        <f>'Team and Player Stats'!U70</f>
        <v>0</v>
      </c>
      <c r="V58">
        <f>'Team and Player Stats'!V70</f>
        <v>0</v>
      </c>
      <c r="W58">
        <f>'Team and Player Stats'!W70</f>
        <v>0</v>
      </c>
      <c r="X58">
        <f>'Team and Player Stats'!X70</f>
        <v>0</v>
      </c>
      <c r="Y58">
        <f>'Team and Player Stats'!Y70</f>
        <v>0</v>
      </c>
      <c r="Z58">
        <f>'Team and Player Stats'!Z70</f>
        <v>0</v>
      </c>
      <c r="AA58">
        <f>'Team and Player Stats'!AA70</f>
        <v>0</v>
      </c>
      <c r="AB58">
        <f>'Team and Player Stats'!AB70</f>
        <v>0</v>
      </c>
      <c r="AC58">
        <f>'Team and Player Stats'!AC70</f>
        <v>0</v>
      </c>
      <c r="AD58">
        <f>'Team and Player Stats'!AD70</f>
        <v>0</v>
      </c>
      <c r="AE58">
        <f>'Team and Player Stats'!AE70</f>
        <v>0</v>
      </c>
      <c r="AF58">
        <f>'Team and Player Stats'!AF70</f>
        <v>0</v>
      </c>
      <c r="AG58">
        <f>'Team and Player Stats'!AG70</f>
        <v>0</v>
      </c>
      <c r="AH58">
        <f>'Team and Player Stats'!AH70</f>
        <v>0</v>
      </c>
    </row>
    <row r="59">
      <c r="E59" s="101"/>
      <c r="K59" s="102"/>
      <c r="L59" s="101"/>
      <c r="O59" s="103"/>
    </row>
    <row r="60">
      <c r="E60" s="101"/>
      <c r="K60" s="102"/>
      <c r="L60" s="101"/>
      <c r="O60" s="103"/>
    </row>
    <row r="61">
      <c r="E61" s="101"/>
      <c r="K61" s="102"/>
      <c r="L61" s="101"/>
      <c r="O61" s="103"/>
    </row>
    <row r="62">
      <c r="E62" s="101"/>
      <c r="K62" s="102"/>
      <c r="L62" s="101"/>
      <c r="O62" s="103"/>
    </row>
    <row r="63">
      <c r="E63" s="101"/>
      <c r="K63" s="102"/>
      <c r="L63" s="101"/>
      <c r="O63" s="103"/>
    </row>
    <row r="64">
      <c r="E64" s="101"/>
      <c r="K64" s="102"/>
      <c r="L64" s="101"/>
      <c r="O64" s="103"/>
    </row>
    <row r="65">
      <c r="E65" s="101"/>
      <c r="K65" s="102"/>
      <c r="L65" s="101"/>
      <c r="O65" s="103"/>
    </row>
    <row r="66">
      <c r="E66" s="101"/>
      <c r="K66" s="102"/>
      <c r="L66" s="101"/>
      <c r="O66" s="103"/>
    </row>
    <row r="67">
      <c r="E67" s="101"/>
      <c r="K67" s="102"/>
      <c r="L67" s="101"/>
      <c r="O67" s="103"/>
    </row>
    <row r="68">
      <c r="E68" s="101"/>
      <c r="K68" s="102"/>
      <c r="L68" s="101"/>
      <c r="O68" s="103"/>
    </row>
    <row r="69">
      <c r="E69" s="101"/>
      <c r="K69" s="102"/>
      <c r="L69" s="101"/>
      <c r="O69" s="103"/>
    </row>
    <row r="70">
      <c r="E70" s="101"/>
      <c r="K70" s="102"/>
      <c r="L70" s="101"/>
      <c r="O70" s="103"/>
    </row>
    <row r="71">
      <c r="E71" s="101"/>
      <c r="K71" s="102"/>
      <c r="L71" s="101"/>
      <c r="O71" s="103"/>
    </row>
    <row r="72">
      <c r="E72" s="101"/>
      <c r="K72" s="102"/>
      <c r="L72" s="101"/>
      <c r="O72" s="103"/>
    </row>
    <row r="73">
      <c r="E73" s="101"/>
      <c r="K73" s="102"/>
      <c r="L73" s="101"/>
      <c r="O73" s="103"/>
    </row>
    <row r="74">
      <c r="E74" s="101"/>
      <c r="K74" s="102"/>
      <c r="L74" s="101"/>
      <c r="O74" s="103"/>
    </row>
    <row r="75">
      <c r="E75" s="101"/>
      <c r="K75" s="102"/>
      <c r="L75" s="101"/>
      <c r="O75" s="103"/>
    </row>
    <row r="76">
      <c r="E76" s="101"/>
      <c r="K76" s="102"/>
      <c r="L76" s="101"/>
      <c r="O76" s="103"/>
    </row>
    <row r="77">
      <c r="E77" s="101"/>
      <c r="K77" s="102"/>
      <c r="L77" s="101"/>
      <c r="O77" s="103"/>
    </row>
    <row r="78">
      <c r="E78" s="101"/>
      <c r="K78" s="102"/>
      <c r="L78" s="101"/>
      <c r="O78" s="103"/>
    </row>
    <row r="79">
      <c r="E79" s="101"/>
      <c r="K79" s="102"/>
      <c r="L79" s="101"/>
      <c r="O79" s="103"/>
    </row>
    <row r="80">
      <c r="E80" s="101"/>
      <c r="K80" s="102"/>
      <c r="L80" s="101"/>
      <c r="O80" s="103"/>
    </row>
    <row r="81">
      <c r="E81" s="101"/>
      <c r="K81" s="102"/>
      <c r="L81" s="101"/>
      <c r="O81" s="103"/>
    </row>
    <row r="82">
      <c r="E82" s="101"/>
      <c r="K82" s="102"/>
      <c r="L82" s="101"/>
      <c r="O82" s="103"/>
    </row>
    <row r="83">
      <c r="E83" s="101"/>
      <c r="K83" s="102"/>
      <c r="L83" s="101"/>
      <c r="O83" s="103"/>
    </row>
    <row r="84">
      <c r="E84" s="101"/>
      <c r="K84" s="102"/>
      <c r="L84" s="101"/>
      <c r="O84" s="103"/>
    </row>
    <row r="85">
      <c r="E85" s="101"/>
      <c r="K85" s="102"/>
      <c r="L85" s="101"/>
      <c r="O85" s="103"/>
    </row>
    <row r="86">
      <c r="E86" s="101"/>
      <c r="K86" s="102"/>
      <c r="L86" s="101"/>
      <c r="O86" s="103"/>
    </row>
    <row r="87">
      <c r="E87" s="101"/>
      <c r="K87" s="102"/>
      <c r="L87" s="101"/>
      <c r="O87" s="103"/>
    </row>
    <row r="88">
      <c r="E88" s="101"/>
      <c r="K88" s="102"/>
      <c r="L88" s="101"/>
      <c r="O88" s="103"/>
    </row>
    <row r="89">
      <c r="E89" s="101"/>
      <c r="K89" s="102"/>
      <c r="L89" s="101"/>
      <c r="O89" s="103"/>
    </row>
    <row r="90">
      <c r="E90" s="101"/>
      <c r="K90" s="102"/>
      <c r="L90" s="101"/>
      <c r="O90" s="103"/>
    </row>
    <row r="91">
      <c r="E91" s="101"/>
      <c r="K91" s="102"/>
      <c r="L91" s="101"/>
      <c r="O91" s="103"/>
    </row>
    <row r="92">
      <c r="E92" s="101"/>
      <c r="K92" s="102"/>
      <c r="L92" s="101"/>
      <c r="O92" s="103"/>
    </row>
    <row r="93">
      <c r="E93" s="101"/>
      <c r="K93" s="102"/>
      <c r="L93" s="101"/>
      <c r="O93" s="103"/>
    </row>
    <row r="94">
      <c r="E94" s="101"/>
      <c r="K94" s="102"/>
      <c r="L94" s="101"/>
      <c r="O94" s="103"/>
    </row>
    <row r="95">
      <c r="E95" s="101"/>
      <c r="K95" s="102"/>
      <c r="L95" s="101"/>
      <c r="O95" s="103"/>
    </row>
    <row r="96">
      <c r="E96" s="101"/>
      <c r="K96" s="102"/>
      <c r="L96" s="101"/>
      <c r="O96" s="103"/>
    </row>
    <row r="97">
      <c r="E97" s="101"/>
      <c r="K97" s="102"/>
      <c r="L97" s="101"/>
      <c r="O97" s="103"/>
    </row>
    <row r="98">
      <c r="E98" s="101"/>
      <c r="K98" s="102"/>
      <c r="L98" s="101"/>
      <c r="O98" s="103"/>
    </row>
    <row r="99">
      <c r="E99" s="101"/>
      <c r="K99" s="102"/>
      <c r="L99" s="101"/>
      <c r="O99" s="103"/>
    </row>
    <row r="100">
      <c r="E100" s="101"/>
      <c r="K100" s="102"/>
      <c r="L100" s="101"/>
      <c r="O100" s="103"/>
    </row>
    <row r="101">
      <c r="E101" s="101"/>
      <c r="K101" s="102"/>
      <c r="L101" s="101"/>
      <c r="O101" s="103"/>
    </row>
    <row r="102">
      <c r="E102" s="101"/>
      <c r="K102" s="102"/>
      <c r="L102" s="101"/>
      <c r="O102" s="103"/>
    </row>
  </sheetData>
  <mergeCells count="1">
    <mergeCell ref="A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247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1"/>
    </row>
    <row r="3">
      <c r="A3" s="97" t="str">
        <f>'Team and Player Stats'!B3</f>
        <v>Trespa5s </v>
      </c>
      <c r="B3" s="97" t="str">
        <f>'Team and Player Stats'!A3</f>
        <v>Defiance</v>
      </c>
      <c r="C3" s="97">
        <f>'Team and Player Stats'!C3</f>
        <v>14</v>
      </c>
      <c r="D3" s="97">
        <f>'Team and Player Stats'!D3</f>
        <v>8</v>
      </c>
      <c r="E3" s="98">
        <f>'Team and Player Stats'!E3</f>
        <v>419</v>
      </c>
      <c r="F3" s="97">
        <f>'Team and Player Stats'!F3</f>
        <v>4</v>
      </c>
      <c r="G3" s="97">
        <f>'Team and Player Stats'!G3</f>
        <v>1276</v>
      </c>
      <c r="H3" s="97">
        <f>'Team and Player Stats'!H3</f>
        <v>2</v>
      </c>
      <c r="I3" s="97">
        <f>'Team and Player Stats'!I3</f>
        <v>1388</v>
      </c>
      <c r="J3" s="97">
        <f>'Team and Player Stats'!J3</f>
        <v>-112</v>
      </c>
      <c r="K3" s="99">
        <f>'Team and Player Stats'!K3</f>
        <v>0.9193083573</v>
      </c>
      <c r="L3" s="97">
        <f>'Team and Player Stats'!L3</f>
        <v>239</v>
      </c>
      <c r="M3" s="97">
        <f>'Team and Player Stats'!M3</f>
        <v>1527</v>
      </c>
      <c r="N3" s="97">
        <f>'Team and Player Stats'!N3</f>
        <v>13</v>
      </c>
      <c r="O3" s="100">
        <f>'Team and Player Stats'!O3</f>
        <v>419</v>
      </c>
      <c r="P3" s="97">
        <f>'Team and Player Stats'!P3</f>
        <v>29</v>
      </c>
      <c r="Q3" s="97">
        <f>'Team and Player Stats'!Q3</f>
        <v>9</v>
      </c>
      <c r="R3" s="97">
        <f>'Team and Player Stats'!R3</f>
        <v>98</v>
      </c>
      <c r="S3" s="97">
        <f>'Team and Player Stats'!S3</f>
        <v>18</v>
      </c>
      <c r="T3" s="97">
        <f>'Team and Player Stats'!T3</f>
        <v>151</v>
      </c>
      <c r="U3" s="97">
        <f>'Team and Player Stats'!U3</f>
        <v>26</v>
      </c>
      <c r="V3" s="97">
        <f>'Team and Player Stats'!V3</f>
        <v>7</v>
      </c>
      <c r="W3" s="97">
        <f>'Team and Player Stats'!W3</f>
        <v>1</v>
      </c>
      <c r="X3" s="97">
        <f>'Team and Player Stats'!X3</f>
        <v>1</v>
      </c>
      <c r="Y3" s="97">
        <f>'Team and Player Stats'!Y3</f>
        <v>0</v>
      </c>
      <c r="Z3" s="97">
        <f>'Team and Player Stats'!Z3</f>
        <v>0</v>
      </c>
      <c r="AA3" s="97">
        <f>'Team and Player Stats'!AA3</f>
        <v>0</v>
      </c>
      <c r="AB3" s="97">
        <f>'Team and Player Stats'!AB3</f>
        <v>0</v>
      </c>
      <c r="AC3" s="97">
        <f>'Team and Player Stats'!AC3</f>
        <v>19</v>
      </c>
      <c r="AD3" s="97">
        <f>'Team and Player Stats'!AD3</f>
        <v>0</v>
      </c>
      <c r="AE3" s="97">
        <f>'Team and Player Stats'!AE3</f>
        <v>0</v>
      </c>
      <c r="AF3" s="97">
        <f>'Team and Player Stats'!AF3</f>
        <v>0</v>
      </c>
      <c r="AG3" s="97">
        <f>'Team and Player Stats'!AG3</f>
        <v>1</v>
      </c>
      <c r="AH3" s="97">
        <f>'Team and Player Stats'!AH3</f>
        <v>0</v>
      </c>
    </row>
    <row r="4">
      <c r="A4" t="str">
        <f>'Team and Player Stats'!B4</f>
        <v>DIGITAL PAIN</v>
      </c>
      <c r="B4" t="str">
        <f>'Team and Player Stats'!A4</f>
        <v>Defiance</v>
      </c>
      <c r="C4">
        <f>'Team and Player Stats'!C4</f>
        <v>16</v>
      </c>
      <c r="D4">
        <f>'Team and Player Stats'!D4</f>
        <v>10</v>
      </c>
      <c r="E4" s="101">
        <f>'Team and Player Stats'!E4</f>
        <v>454</v>
      </c>
      <c r="F4">
        <f>'Team and Player Stats'!F4</f>
        <v>5</v>
      </c>
      <c r="G4">
        <f>'Team and Player Stats'!G4</f>
        <v>1723</v>
      </c>
      <c r="H4">
        <f>'Team and Player Stats'!H4</f>
        <v>6</v>
      </c>
      <c r="I4">
        <f>'Team and Player Stats'!I4</f>
        <v>1499</v>
      </c>
      <c r="J4">
        <f>'Team and Player Stats'!J4</f>
        <v>224</v>
      </c>
      <c r="K4" s="102">
        <f>'Team and Player Stats'!K4</f>
        <v>1.149432955</v>
      </c>
      <c r="L4">
        <f>'Team and Player Stats'!L4</f>
        <v>263</v>
      </c>
      <c r="M4">
        <f>'Team and Player Stats'!M4</f>
        <v>2175</v>
      </c>
      <c r="N4">
        <f>'Team and Player Stats'!N4</f>
        <v>13</v>
      </c>
      <c r="O4" s="103">
        <f>'Team and Player Stats'!O4</f>
        <v>419</v>
      </c>
      <c r="P4">
        <f>'Team and Player Stats'!P4</f>
        <v>84</v>
      </c>
      <c r="Q4">
        <f>'Team and Player Stats'!Q4</f>
        <v>29</v>
      </c>
      <c r="R4">
        <f>'Team and Player Stats'!R4</f>
        <v>141</v>
      </c>
      <c r="S4">
        <f>'Team and Player Stats'!S4</f>
        <v>20</v>
      </c>
      <c r="T4">
        <f>'Team and Player Stats'!T4</f>
        <v>203</v>
      </c>
      <c r="U4">
        <f>'Team and Player Stats'!U4</f>
        <v>30</v>
      </c>
      <c r="V4">
        <f>'Team and Player Stats'!V4</f>
        <v>9</v>
      </c>
      <c r="W4">
        <f>'Team and Player Stats'!W4</f>
        <v>4</v>
      </c>
      <c r="X4">
        <f>'Team and Player Stats'!X4</f>
        <v>1</v>
      </c>
      <c r="Y4">
        <f>'Team and Player Stats'!Y4</f>
        <v>0</v>
      </c>
      <c r="Z4">
        <f>'Team and Player Stats'!Z4</f>
        <v>0</v>
      </c>
      <c r="AA4">
        <f>'Team and Player Stats'!AA4</f>
        <v>0</v>
      </c>
      <c r="AB4">
        <f>'Team and Player Stats'!AB4</f>
        <v>0</v>
      </c>
      <c r="AC4">
        <f>'Team and Player Stats'!AC4</f>
        <v>44</v>
      </c>
      <c r="AD4">
        <f>'Team and Player Stats'!AD4</f>
        <v>1</v>
      </c>
      <c r="AE4">
        <f>'Team and Player Stats'!AE4</f>
        <v>0</v>
      </c>
      <c r="AF4">
        <f>'Team and Player Stats'!AF4</f>
        <v>0</v>
      </c>
      <c r="AG4">
        <f>'Team and Player Stats'!AG4</f>
        <v>1</v>
      </c>
      <c r="AH4">
        <f>'Team and Player Stats'!AH4</f>
        <v>2</v>
      </c>
    </row>
    <row r="5">
      <c r="A5" s="97" t="str">
        <f>'Team and Player Stats'!B5</f>
        <v>Sabasauros Rex</v>
      </c>
      <c r="B5" s="97" t="str">
        <f>'Team and Player Stats'!A5</f>
        <v>Defiance</v>
      </c>
      <c r="C5" s="97">
        <f>'Team and Player Stats'!C5</f>
        <v>16</v>
      </c>
      <c r="D5" s="97">
        <f>'Team and Player Stats'!D5</f>
        <v>10</v>
      </c>
      <c r="E5" s="98">
        <f>'Team and Player Stats'!E5</f>
        <v>454</v>
      </c>
      <c r="F5" s="97">
        <f>'Team and Player Stats'!F5</f>
        <v>13</v>
      </c>
      <c r="G5" s="97">
        <f>'Team and Player Stats'!G5</f>
        <v>1748</v>
      </c>
      <c r="H5" s="97">
        <f>'Team and Player Stats'!H5</f>
        <v>11</v>
      </c>
      <c r="I5" s="97">
        <f>'Team and Player Stats'!I5</f>
        <v>1684</v>
      </c>
      <c r="J5" s="97">
        <f>'Team and Player Stats'!J5</f>
        <v>64</v>
      </c>
      <c r="K5" s="99">
        <f>'Team and Player Stats'!K5</f>
        <v>1.038004751</v>
      </c>
      <c r="L5" s="98">
        <f>'Team and Player Stats'!L5</f>
        <v>226</v>
      </c>
      <c r="M5" s="97">
        <f>'Team and Player Stats'!M5</f>
        <v>2216</v>
      </c>
      <c r="N5" s="97">
        <f>'Team and Player Stats'!N5</f>
        <v>13</v>
      </c>
      <c r="O5" s="100">
        <f>'Team and Player Stats'!O5</f>
        <v>419</v>
      </c>
      <c r="P5" s="97">
        <f>'Team and Player Stats'!P5</f>
        <v>75</v>
      </c>
      <c r="Q5" s="97">
        <f>'Team and Player Stats'!Q5</f>
        <v>25</v>
      </c>
      <c r="R5" s="97">
        <f>'Team and Player Stats'!R5</f>
        <v>128</v>
      </c>
      <c r="S5" s="97">
        <f>'Team and Player Stats'!S5</f>
        <v>27</v>
      </c>
      <c r="T5" s="97">
        <f>'Team and Player Stats'!T5</f>
        <v>219</v>
      </c>
      <c r="U5" s="97">
        <f>'Team and Player Stats'!U5</f>
        <v>51</v>
      </c>
      <c r="V5" s="97">
        <f>'Team and Player Stats'!V5</f>
        <v>10</v>
      </c>
      <c r="W5" s="97">
        <f>'Team and Player Stats'!W5</f>
        <v>1</v>
      </c>
      <c r="X5" s="97">
        <f>'Team and Player Stats'!X5</f>
        <v>0</v>
      </c>
      <c r="Y5" s="97">
        <f>'Team and Player Stats'!Y5</f>
        <v>0</v>
      </c>
      <c r="Z5" s="97">
        <f>'Team and Player Stats'!Z5</f>
        <v>0</v>
      </c>
      <c r="AA5" s="97">
        <f>'Team and Player Stats'!AA5</f>
        <v>0</v>
      </c>
      <c r="AB5" s="97">
        <f>'Team and Player Stats'!AB5</f>
        <v>0</v>
      </c>
      <c r="AC5" s="97">
        <f>'Team and Player Stats'!AC5</f>
        <v>36</v>
      </c>
      <c r="AD5" s="97">
        <f>'Team and Player Stats'!AD5</f>
        <v>2</v>
      </c>
      <c r="AE5" s="97">
        <f>'Team and Player Stats'!AE5</f>
        <v>0</v>
      </c>
      <c r="AF5" s="97">
        <f>'Team and Player Stats'!AF5</f>
        <v>0</v>
      </c>
      <c r="AG5" s="97">
        <f>'Team and Player Stats'!AG5</f>
        <v>2</v>
      </c>
      <c r="AH5" s="97">
        <f>'Team and Player Stats'!AH5</f>
        <v>0</v>
      </c>
    </row>
    <row r="6">
      <c r="A6" t="str">
        <f>'Team and Player Stats'!B6</f>
        <v>ThumpingHawk</v>
      </c>
      <c r="B6" t="str">
        <f>'Team and Player Stats'!A6</f>
        <v>Defiance</v>
      </c>
      <c r="C6">
        <f>'Team and Player Stats'!C6</f>
        <v>12</v>
      </c>
      <c r="D6">
        <f>'Team and Player Stats'!D6</f>
        <v>6</v>
      </c>
      <c r="E6" s="101">
        <f>'Team and Player Stats'!E6</f>
        <v>339</v>
      </c>
      <c r="F6">
        <f>'Team and Player Stats'!F6</f>
        <v>23</v>
      </c>
      <c r="G6">
        <f>'Team and Player Stats'!G6</f>
        <v>880</v>
      </c>
      <c r="H6">
        <f>'Team and Player Stats'!H6</f>
        <v>2</v>
      </c>
      <c r="I6">
        <f>'Team and Player Stats'!I6</f>
        <v>923</v>
      </c>
      <c r="J6">
        <f>'Team and Player Stats'!J6</f>
        <v>-43</v>
      </c>
      <c r="K6" s="102">
        <f>'Team and Player Stats'!K6</f>
        <v>0.9534127844</v>
      </c>
      <c r="L6" s="101">
        <f>'Team and Player Stats'!L6</f>
        <v>254</v>
      </c>
      <c r="M6">
        <f>'Team and Player Stats'!M6</f>
        <v>1128</v>
      </c>
      <c r="N6">
        <f>'Team and Player Stats'!N6</f>
        <v>9</v>
      </c>
      <c r="O6" s="103">
        <f>'Team and Player Stats'!O6</f>
        <v>304</v>
      </c>
      <c r="P6">
        <f>'Team and Player Stats'!P6</f>
        <v>37</v>
      </c>
      <c r="Q6">
        <f>'Team and Player Stats'!Q6</f>
        <v>18</v>
      </c>
      <c r="R6">
        <f>'Team and Player Stats'!R6</f>
        <v>49</v>
      </c>
      <c r="S6">
        <f>'Team and Player Stats'!S6</f>
        <v>24</v>
      </c>
      <c r="T6">
        <f>'Team and Player Stats'!T6</f>
        <v>93</v>
      </c>
      <c r="U6">
        <f>'Team and Player Stats'!U6</f>
        <v>11</v>
      </c>
      <c r="V6">
        <f>'Team and Player Stats'!V6</f>
        <v>3</v>
      </c>
      <c r="W6">
        <f>'Team and Player Stats'!W6</f>
        <v>0</v>
      </c>
      <c r="X6">
        <f>'Team and Player Stats'!X6</f>
        <v>0</v>
      </c>
      <c r="Y6">
        <f>'Team and Player Stats'!Y6</f>
        <v>0</v>
      </c>
      <c r="Z6">
        <f>'Team and Player Stats'!Z6</f>
        <v>0</v>
      </c>
      <c r="AA6">
        <f>'Team and Player Stats'!AA6</f>
        <v>0</v>
      </c>
      <c r="AB6">
        <f>'Team and Player Stats'!AB6</f>
        <v>0</v>
      </c>
      <c r="AC6">
        <f>'Team and Player Stats'!AC6</f>
        <v>21</v>
      </c>
      <c r="AD6">
        <f>'Team and Player Stats'!AD6</f>
        <v>1</v>
      </c>
      <c r="AE6">
        <f>'Team and Player Stats'!AE6</f>
        <v>0</v>
      </c>
      <c r="AF6">
        <f>'Team and Player Stats'!AF6</f>
        <v>0</v>
      </c>
      <c r="AG6">
        <f>'Team and Player Stats'!AG6</f>
        <v>0</v>
      </c>
      <c r="AH6">
        <f>'Team and Player Stats'!AH6</f>
        <v>0</v>
      </c>
    </row>
    <row r="7">
      <c r="A7" s="97" t="str">
        <f>'Team and Player Stats'!B7</f>
        <v>The Eastbrook</v>
      </c>
      <c r="B7" s="97" t="str">
        <f>'Team and Player Stats'!A7</f>
        <v>Defiance</v>
      </c>
      <c r="C7" s="97">
        <f>'Team and Player Stats'!C7</f>
        <v>6</v>
      </c>
      <c r="D7" s="97">
        <f>'Team and Player Stats'!D7</f>
        <v>6</v>
      </c>
      <c r="E7" s="98">
        <f>'Team and Player Stats'!E7</f>
        <v>150</v>
      </c>
      <c r="F7" s="97">
        <f>'Team and Player Stats'!F7</f>
        <v>21</v>
      </c>
      <c r="G7" s="97">
        <f>'Team and Player Stats'!G7</f>
        <v>371</v>
      </c>
      <c r="H7" s="97">
        <f>'Team and Player Stats'!H7</f>
        <v>3</v>
      </c>
      <c r="I7" s="97">
        <f>'Team and Player Stats'!I7</f>
        <v>424</v>
      </c>
      <c r="J7" s="97">
        <f>'Team and Player Stats'!J7</f>
        <v>-53</v>
      </c>
      <c r="K7" s="99">
        <f>'Team and Player Stats'!K7</f>
        <v>0.875</v>
      </c>
      <c r="L7" s="98">
        <f>'Team and Player Stats'!L7</f>
        <v>101</v>
      </c>
      <c r="M7" s="97">
        <f>'Team and Player Stats'!M7</f>
        <v>478</v>
      </c>
      <c r="N7" s="97">
        <f>'Team and Player Stats'!N7</f>
        <v>4</v>
      </c>
      <c r="O7" s="100">
        <f>'Team and Player Stats'!O7</f>
        <v>115</v>
      </c>
      <c r="P7" s="97">
        <f>'Team and Player Stats'!P7</f>
        <v>16</v>
      </c>
      <c r="Q7" s="97">
        <f>'Team and Player Stats'!Q7</f>
        <v>16</v>
      </c>
      <c r="R7" s="97">
        <f>'Team and Player Stats'!R7</f>
        <v>4</v>
      </c>
      <c r="S7" s="97">
        <f>'Team and Player Stats'!S7</f>
        <v>6</v>
      </c>
      <c r="T7" s="97">
        <f>'Team and Player Stats'!T7</f>
        <v>29</v>
      </c>
      <c r="U7" s="97">
        <f>'Team and Player Stats'!U7</f>
        <v>5</v>
      </c>
      <c r="V7" s="97">
        <f>'Team and Player Stats'!V7</f>
        <v>0</v>
      </c>
      <c r="W7" s="97">
        <f>'Team and Player Stats'!W7</f>
        <v>0</v>
      </c>
      <c r="X7" s="97">
        <f>'Team and Player Stats'!X7</f>
        <v>0</v>
      </c>
      <c r="Y7" s="97">
        <f>'Team and Player Stats'!Y7</f>
        <v>0</v>
      </c>
      <c r="Z7" s="97">
        <f>'Team and Player Stats'!Z7</f>
        <v>0</v>
      </c>
      <c r="AA7" s="97">
        <f>'Team and Player Stats'!AA7</f>
        <v>0</v>
      </c>
      <c r="AB7" s="97">
        <f>'Team and Player Stats'!AB7</f>
        <v>0</v>
      </c>
      <c r="AC7" s="97">
        <f>'Team and Player Stats'!AC7</f>
        <v>5</v>
      </c>
      <c r="AD7" s="97">
        <f>'Team and Player Stats'!AD7</f>
        <v>0</v>
      </c>
      <c r="AE7" s="97">
        <f>'Team and Player Stats'!AE7</f>
        <v>0</v>
      </c>
      <c r="AF7" s="97">
        <f>'Team and Player Stats'!AF7</f>
        <v>0</v>
      </c>
      <c r="AG7" s="97">
        <f>'Team and Player Stats'!AG7</f>
        <v>0</v>
      </c>
      <c r="AH7" s="97">
        <f>'Team and Player Stats'!AH7</f>
        <v>1</v>
      </c>
    </row>
    <row r="8">
      <c r="A8" t="str">
        <f>'Team and Player Stats'!B8</f>
        <v>MASTER CH3IF</v>
      </c>
      <c r="B8" t="str">
        <f>'Team and Player Stats'!A8</f>
        <v>Defiance</v>
      </c>
      <c r="C8">
        <f>'Team and Player Stats'!C8</f>
        <v>0</v>
      </c>
      <c r="D8">
        <f>'Team and Player Stats'!D8</f>
        <v>0</v>
      </c>
      <c r="E8" s="101">
        <f>'Team and Player Stats'!E8</f>
        <v>0</v>
      </c>
      <c r="F8">
        <f>'Team and Player Stats'!F8</f>
        <v>0</v>
      </c>
      <c r="G8">
        <f>'Team and Player Stats'!G8</f>
        <v>0</v>
      </c>
      <c r="H8">
        <f>'Team and Player Stats'!H8</f>
        <v>0</v>
      </c>
      <c r="I8">
        <f>'Team and Player Stats'!I8</f>
        <v>0</v>
      </c>
      <c r="J8">
        <f>'Team and Player Stats'!J8</f>
        <v>0</v>
      </c>
      <c r="K8" s="102" t="str">
        <f>'Team and Player Stats'!K8</f>
        <v>#DIV/0!</v>
      </c>
      <c r="L8" s="101">
        <f>'Team and Player Stats'!L8</f>
        <v>0</v>
      </c>
      <c r="M8">
        <f>'Team and Player Stats'!M8</f>
        <v>0</v>
      </c>
      <c r="N8">
        <f>'Team and Player Stats'!N8</f>
        <v>0</v>
      </c>
      <c r="O8" s="103">
        <f>'Team and Player Stats'!O8</f>
        <v>0</v>
      </c>
      <c r="P8">
        <f>'Team and Player Stats'!P8</f>
        <v>1</v>
      </c>
      <c r="Q8">
        <f>'Team and Player Stats'!Q8</f>
        <v>0</v>
      </c>
      <c r="R8">
        <f>'Team and Player Stats'!R8</f>
        <v>2</v>
      </c>
      <c r="S8">
        <f>'Team and Player Stats'!S8</f>
        <v>0</v>
      </c>
      <c r="T8">
        <f>'Team and Player Stats'!T8</f>
        <v>4</v>
      </c>
      <c r="U8">
        <f>'Team and Player Stats'!U8</f>
        <v>1</v>
      </c>
      <c r="V8">
        <f>'Team and Player Stats'!V8</f>
        <v>1</v>
      </c>
      <c r="W8">
        <f>'Team and Player Stats'!W8</f>
        <v>1</v>
      </c>
      <c r="X8">
        <f>'Team and Player Stats'!X8</f>
        <v>0</v>
      </c>
      <c r="Y8">
        <f>'Team and Player Stats'!Y8</f>
        <v>0</v>
      </c>
      <c r="Z8">
        <f>'Team and Player Stats'!Z8</f>
        <v>0</v>
      </c>
      <c r="AA8">
        <f>'Team and Player Stats'!AA8</f>
        <v>0</v>
      </c>
      <c r="AB8">
        <f>'Team and Player Stats'!AB8</f>
        <v>0</v>
      </c>
      <c r="AC8">
        <f>'Team and Player Stats'!AC8</f>
        <v>2</v>
      </c>
      <c r="AD8">
        <f>'Team and Player Stats'!AD8</f>
        <v>0</v>
      </c>
      <c r="AE8">
        <f>'Team and Player Stats'!AE8</f>
        <v>0</v>
      </c>
      <c r="AF8">
        <f>'Team and Player Stats'!AF8</f>
        <v>0</v>
      </c>
      <c r="AG8">
        <f>'Team and Player Stats'!AG8</f>
        <v>1</v>
      </c>
      <c r="AH8">
        <f>'Team and Player Stats'!AH8</f>
        <v>0</v>
      </c>
    </row>
    <row r="9">
      <c r="A9" s="97" t="str">
        <f>'Team and Player Stats'!B10</f>
        <v>MuNgO PuNgO</v>
      </c>
      <c r="B9" s="97" t="str">
        <f>'Team and Player Stats'!A10</f>
        <v>In MuNgO We Trust</v>
      </c>
      <c r="C9" s="97">
        <f>'Team and Player Stats'!C10</f>
        <v>12</v>
      </c>
      <c r="D9" s="97">
        <f>'Team and Player Stats'!D10</f>
        <v>7</v>
      </c>
      <c r="E9" s="98">
        <f>'Team and Player Stats'!E10</f>
        <v>392.85</v>
      </c>
      <c r="F9" s="97">
        <f>'Team and Player Stats'!F10</f>
        <v>0</v>
      </c>
      <c r="G9" s="97">
        <f>'Team and Player Stats'!G10</f>
        <v>1234</v>
      </c>
      <c r="H9" s="97">
        <f>'Team and Player Stats'!H10</f>
        <v>3</v>
      </c>
      <c r="I9" s="97">
        <f>'Team and Player Stats'!I10</f>
        <v>1718</v>
      </c>
      <c r="J9" s="97">
        <f>'Team and Player Stats'!J10</f>
        <v>-484</v>
      </c>
      <c r="K9" s="99">
        <f>'Team and Player Stats'!K10</f>
        <v>0.7182770664</v>
      </c>
      <c r="L9" s="98">
        <f>'Team and Player Stats'!L10</f>
        <v>133</v>
      </c>
      <c r="M9" s="97">
        <f>'Team and Player Stats'!M10</f>
        <v>1551</v>
      </c>
      <c r="N9" s="97">
        <f>'Team and Player Stats'!N10</f>
        <v>12</v>
      </c>
      <c r="O9" s="100">
        <f>'Team and Player Stats'!O10</f>
        <v>392.85</v>
      </c>
      <c r="P9" s="97">
        <f>'Team and Player Stats'!P10</f>
        <v>32</v>
      </c>
      <c r="Q9" s="97">
        <f>'Team and Player Stats'!Q10</f>
        <v>22</v>
      </c>
      <c r="R9" s="97">
        <f>'Team and Player Stats'!R10</f>
        <v>114</v>
      </c>
      <c r="S9" s="97">
        <f>'Team and Player Stats'!S10</f>
        <v>24</v>
      </c>
      <c r="T9" s="97">
        <f>'Team and Player Stats'!T10</f>
        <v>172</v>
      </c>
      <c r="U9" s="97">
        <f>'Team and Player Stats'!U10</f>
        <v>21</v>
      </c>
      <c r="V9" s="97">
        <f>'Team and Player Stats'!V10</f>
        <v>1</v>
      </c>
      <c r="W9" s="97">
        <f>'Team and Player Stats'!W10</f>
        <v>0</v>
      </c>
      <c r="X9" s="97">
        <f>'Team and Player Stats'!X10</f>
        <v>0</v>
      </c>
      <c r="Y9" s="97">
        <f>'Team and Player Stats'!Y10</f>
        <v>0</v>
      </c>
      <c r="Z9" s="97">
        <f>'Team and Player Stats'!Z10</f>
        <v>0</v>
      </c>
      <c r="AA9" s="97">
        <f>'Team and Player Stats'!AA10</f>
        <v>0</v>
      </c>
      <c r="AB9" s="97">
        <f>'Team and Player Stats'!AB10</f>
        <v>0</v>
      </c>
      <c r="AC9" s="97">
        <f>'Team and Player Stats'!AC10</f>
        <v>4</v>
      </c>
      <c r="AD9" s="97">
        <f>'Team and Player Stats'!AD10</f>
        <v>0</v>
      </c>
      <c r="AE9" s="97">
        <f>'Team and Player Stats'!AE10</f>
        <v>0</v>
      </c>
      <c r="AF9" s="97">
        <f>'Team and Player Stats'!AF10</f>
        <v>0</v>
      </c>
      <c r="AG9" s="97">
        <f>'Team and Player Stats'!AG10</f>
        <v>0</v>
      </c>
      <c r="AH9" s="97">
        <f>'Team and Player Stats'!AH10</f>
        <v>0</v>
      </c>
    </row>
    <row r="10">
      <c r="A10" t="str">
        <f>'Team and Player Stats'!B11</f>
        <v>Saintz the God</v>
      </c>
      <c r="B10" t="str">
        <f>'Team and Player Stats'!A11</f>
        <v>In MuNgO We Trust</v>
      </c>
      <c r="C10">
        <f>'Team and Player Stats'!C11</f>
        <v>12</v>
      </c>
      <c r="D10">
        <f>'Team and Player Stats'!D11</f>
        <v>7</v>
      </c>
      <c r="E10" s="101">
        <f>'Team and Player Stats'!E11</f>
        <v>371.5</v>
      </c>
      <c r="F10">
        <f>'Team and Player Stats'!F11</f>
        <v>5</v>
      </c>
      <c r="G10">
        <f>'Team and Player Stats'!G11</f>
        <v>1527</v>
      </c>
      <c r="H10">
        <f>'Team and Player Stats'!H11</f>
        <v>6</v>
      </c>
      <c r="I10">
        <f>'Team and Player Stats'!I11</f>
        <v>1261</v>
      </c>
      <c r="J10">
        <f>'Team and Player Stats'!J11</f>
        <v>266</v>
      </c>
      <c r="K10" s="102">
        <f>'Team and Player Stats'!K11</f>
        <v>1.210943695</v>
      </c>
      <c r="L10" s="101">
        <f>'Team and Player Stats'!L11</f>
        <v>181</v>
      </c>
      <c r="M10">
        <f>'Team and Player Stats'!M11</f>
        <v>2001</v>
      </c>
      <c r="N10">
        <f>'Team and Player Stats'!N11</f>
        <v>12</v>
      </c>
      <c r="O10" s="103">
        <f>'Team and Player Stats'!O11</f>
        <v>371.5</v>
      </c>
      <c r="P10">
        <f>'Team and Player Stats'!P11</f>
        <v>53</v>
      </c>
      <c r="Q10">
        <f>'Team and Player Stats'!Q11</f>
        <v>24</v>
      </c>
      <c r="R10">
        <f>'Team and Player Stats'!R11</f>
        <v>125</v>
      </c>
      <c r="S10">
        <f>'Team and Player Stats'!S11</f>
        <v>22</v>
      </c>
      <c r="T10">
        <f>'Team and Player Stats'!T11</f>
        <v>240</v>
      </c>
      <c r="U10">
        <f>'Team and Player Stats'!U11</f>
        <v>57</v>
      </c>
      <c r="V10">
        <f>'Team and Player Stats'!V11</f>
        <v>16</v>
      </c>
      <c r="W10">
        <f>'Team and Player Stats'!W11</f>
        <v>5</v>
      </c>
      <c r="X10">
        <f>'Team and Player Stats'!X11</f>
        <v>2</v>
      </c>
      <c r="Y10">
        <f>'Team and Player Stats'!Y11</f>
        <v>1</v>
      </c>
      <c r="Z10">
        <f>'Team and Player Stats'!Z11</f>
        <v>1</v>
      </c>
      <c r="AA10">
        <f>'Team and Player Stats'!AA11</f>
        <v>1</v>
      </c>
      <c r="AB10">
        <f>'Team and Player Stats'!AB11</f>
        <v>1</v>
      </c>
      <c r="AC10">
        <f>'Team and Player Stats'!AC11</f>
        <v>41</v>
      </c>
      <c r="AD10">
        <f>'Team and Player Stats'!AD11</f>
        <v>3</v>
      </c>
      <c r="AE10">
        <f>'Team and Player Stats'!AE11</f>
        <v>0</v>
      </c>
      <c r="AF10">
        <f>'Team and Player Stats'!AF11</f>
        <v>0</v>
      </c>
      <c r="AG10">
        <f>'Team and Player Stats'!AG11</f>
        <v>1</v>
      </c>
      <c r="AH10">
        <f>'Team and Player Stats'!AH11</f>
        <v>1</v>
      </c>
    </row>
    <row r="11">
      <c r="A11" s="97" t="str">
        <f>'Team and Player Stats'!B12</f>
        <v>The Corn Ninja</v>
      </c>
      <c r="B11" s="97" t="str">
        <f>'Team and Player Stats'!A12</f>
        <v>In MuNgO We Trust</v>
      </c>
      <c r="C11" s="97">
        <f>'Team and Player Stats'!C12</f>
        <v>13</v>
      </c>
      <c r="D11" s="97">
        <f>'Team and Player Stats'!D12</f>
        <v>7</v>
      </c>
      <c r="E11" s="98">
        <f>'Team and Player Stats'!E12</f>
        <v>439.9666667</v>
      </c>
      <c r="F11" s="97">
        <f>'Team and Player Stats'!F12</f>
        <v>42</v>
      </c>
      <c r="G11" s="97">
        <f>'Team and Player Stats'!G12</f>
        <v>969</v>
      </c>
      <c r="H11" s="97">
        <f>'Team and Player Stats'!H12</f>
        <v>4</v>
      </c>
      <c r="I11" s="97">
        <f>'Team and Player Stats'!I12</f>
        <v>1039</v>
      </c>
      <c r="J11" s="97">
        <f>'Team and Player Stats'!J12</f>
        <v>-70</v>
      </c>
      <c r="K11" s="99">
        <f>'Team and Player Stats'!K12</f>
        <v>0.9326275265</v>
      </c>
      <c r="L11" s="98">
        <f>'Team and Player Stats'!L12</f>
        <v>295</v>
      </c>
      <c r="M11" s="97">
        <f>'Team and Player Stats'!M12</f>
        <v>1224</v>
      </c>
      <c r="N11" s="97">
        <f>'Team and Player Stats'!N12</f>
        <v>13</v>
      </c>
      <c r="O11" s="100">
        <f>'Team and Player Stats'!O12</f>
        <v>439.9666667</v>
      </c>
      <c r="P11" s="97">
        <f>'Team and Player Stats'!P12</f>
        <v>59</v>
      </c>
      <c r="Q11" s="97">
        <f>'Team and Player Stats'!Q12</f>
        <v>13</v>
      </c>
      <c r="R11" s="97">
        <f>'Team and Player Stats'!R12</f>
        <v>31</v>
      </c>
      <c r="S11" s="97">
        <f>'Team and Player Stats'!S12</f>
        <v>30</v>
      </c>
      <c r="T11" s="97">
        <f>'Team and Player Stats'!T12</f>
        <v>89</v>
      </c>
      <c r="U11" s="97">
        <f>'Team and Player Stats'!U12</f>
        <v>15</v>
      </c>
      <c r="V11" s="97">
        <f>'Team and Player Stats'!V12</f>
        <v>5</v>
      </c>
      <c r="W11" s="97">
        <f>'Team and Player Stats'!W12</f>
        <v>0</v>
      </c>
      <c r="X11" s="97">
        <f>'Team and Player Stats'!X12</f>
        <v>0</v>
      </c>
      <c r="Y11" s="97">
        <f>'Team and Player Stats'!Y12</f>
        <v>0</v>
      </c>
      <c r="Z11" s="97">
        <f>'Team and Player Stats'!Z12</f>
        <v>0</v>
      </c>
      <c r="AA11" s="97">
        <f>'Team and Player Stats'!AA12</f>
        <v>0</v>
      </c>
      <c r="AB11" s="97">
        <f>'Team and Player Stats'!AB12</f>
        <v>0</v>
      </c>
      <c r="AC11" s="97">
        <f>'Team and Player Stats'!AC12</f>
        <v>16</v>
      </c>
      <c r="AD11" s="97">
        <f>'Team and Player Stats'!AD12</f>
        <v>0</v>
      </c>
      <c r="AE11" s="97">
        <f>'Team and Player Stats'!AE12</f>
        <v>0</v>
      </c>
      <c r="AF11" s="97">
        <f>'Team and Player Stats'!AF12</f>
        <v>0</v>
      </c>
      <c r="AG11" s="97">
        <f>'Team and Player Stats'!AG12</f>
        <v>0</v>
      </c>
      <c r="AH11" s="97">
        <f>'Team and Player Stats'!AH12</f>
        <v>0</v>
      </c>
    </row>
    <row r="12">
      <c r="A12" t="str">
        <f>'Team and Player Stats'!B13</f>
        <v>AtoneMilitant</v>
      </c>
      <c r="B12" t="str">
        <f>'Team and Player Stats'!A13</f>
        <v>In MuNgO We Trust</v>
      </c>
      <c r="C12">
        <f>'Team and Player Stats'!C13</f>
        <v>13</v>
      </c>
      <c r="D12">
        <f>'Team and Player Stats'!D13</f>
        <v>7</v>
      </c>
      <c r="E12" s="101">
        <f>'Team and Player Stats'!E13</f>
        <v>457.9166667</v>
      </c>
      <c r="F12">
        <f>'Team and Player Stats'!F13</f>
        <v>4</v>
      </c>
      <c r="G12">
        <f>'Team and Player Stats'!G13</f>
        <v>1481</v>
      </c>
      <c r="H12">
        <f>'Team and Player Stats'!H13</f>
        <v>12</v>
      </c>
      <c r="I12">
        <f>'Team and Player Stats'!I13</f>
        <v>1595</v>
      </c>
      <c r="J12">
        <f>'Team and Player Stats'!J13</f>
        <v>-114</v>
      </c>
      <c r="K12" s="102">
        <f>'Team and Player Stats'!K13</f>
        <v>0.9285266458</v>
      </c>
      <c r="L12" s="101">
        <f>'Team and Player Stats'!L13</f>
        <v>186</v>
      </c>
      <c r="M12">
        <f>'Team and Player Stats'!M13</f>
        <v>1871</v>
      </c>
      <c r="N12">
        <f>'Team and Player Stats'!N13</f>
        <v>13</v>
      </c>
      <c r="O12" s="103">
        <f>'Team and Player Stats'!O13</f>
        <v>457.9166667</v>
      </c>
      <c r="P12">
        <f>'Team and Player Stats'!P13</f>
        <v>42</v>
      </c>
      <c r="Q12">
        <f>'Team and Player Stats'!Q13</f>
        <v>27</v>
      </c>
      <c r="R12">
        <f>'Team and Player Stats'!R13</f>
        <v>137</v>
      </c>
      <c r="S12">
        <f>'Team and Player Stats'!S13</f>
        <v>31</v>
      </c>
      <c r="T12">
        <f>'Team and Player Stats'!T13</f>
        <v>206</v>
      </c>
      <c r="U12">
        <f>'Team and Player Stats'!U13</f>
        <v>33</v>
      </c>
      <c r="V12">
        <f>'Team and Player Stats'!V13</f>
        <v>8</v>
      </c>
      <c r="W12">
        <f>'Team and Player Stats'!W13</f>
        <v>3</v>
      </c>
      <c r="X12">
        <f>'Team and Player Stats'!X13</f>
        <v>1</v>
      </c>
      <c r="Y12">
        <f>'Team and Player Stats'!Y13</f>
        <v>0</v>
      </c>
      <c r="Z12">
        <f>'Team and Player Stats'!Z13</f>
        <v>0</v>
      </c>
      <c r="AA12">
        <f>'Team and Player Stats'!AA13</f>
        <v>0</v>
      </c>
      <c r="AB12">
        <f>'Team and Player Stats'!AB13</f>
        <v>0</v>
      </c>
      <c r="AC12">
        <f>'Team and Player Stats'!AC13</f>
        <v>27</v>
      </c>
      <c r="AD12">
        <f>'Team and Player Stats'!AD13</f>
        <v>0</v>
      </c>
      <c r="AE12">
        <f>'Team and Player Stats'!AE13</f>
        <v>0</v>
      </c>
      <c r="AF12">
        <f>'Team and Player Stats'!AF13</f>
        <v>0</v>
      </c>
      <c r="AG12">
        <f>'Team and Player Stats'!AG13</f>
        <v>0</v>
      </c>
      <c r="AH12">
        <f>'Team and Player Stats'!AH13</f>
        <v>0</v>
      </c>
    </row>
    <row r="13">
      <c r="A13" s="97" t="str">
        <f>'Team and Player Stats'!B14</f>
        <v>DCleak</v>
      </c>
      <c r="B13" s="97" t="str">
        <f>'Team and Player Stats'!A14</f>
        <v>In MuNgO We Trust</v>
      </c>
      <c r="C13" s="97">
        <f>'Team and Player Stats'!C14</f>
        <v>1</v>
      </c>
      <c r="D13" s="97">
        <f>'Team and Player Stats'!D14</f>
        <v>0</v>
      </c>
      <c r="E13" s="98">
        <f>'Team and Player Stats'!E14</f>
        <v>42</v>
      </c>
      <c r="F13" s="97">
        <f>'Team and Player Stats'!F14</f>
        <v>1</v>
      </c>
      <c r="G13" s="97">
        <f>'Team and Player Stats'!G14</f>
        <v>124</v>
      </c>
      <c r="H13" s="97">
        <f>'Team and Player Stats'!H14</f>
        <v>0</v>
      </c>
      <c r="I13" s="97">
        <f>'Team and Player Stats'!I14</f>
        <v>187</v>
      </c>
      <c r="J13" s="97">
        <f>'Team and Player Stats'!J14</f>
        <v>-63</v>
      </c>
      <c r="K13" s="99">
        <f>'Team and Player Stats'!K14</f>
        <v>0.6631016043</v>
      </c>
      <c r="L13" s="98">
        <f>'Team and Player Stats'!L14</f>
        <v>10</v>
      </c>
      <c r="M13" s="97">
        <f>'Team and Player Stats'!M14</f>
        <v>152</v>
      </c>
      <c r="N13" s="97">
        <f>'Team and Player Stats'!N14</f>
        <v>1</v>
      </c>
      <c r="O13" s="100">
        <f>'Team and Player Stats'!O14</f>
        <v>42</v>
      </c>
      <c r="P13" s="97">
        <f>'Team and Player Stats'!P14</f>
        <v>4</v>
      </c>
      <c r="Q13" s="97">
        <f>'Team and Player Stats'!Q14</f>
        <v>0</v>
      </c>
      <c r="R13" s="97">
        <f>'Team and Player Stats'!R14</f>
        <v>5</v>
      </c>
      <c r="S13" s="97">
        <f>'Team and Player Stats'!S14</f>
        <v>5</v>
      </c>
      <c r="T13" s="97">
        <f>'Team and Player Stats'!T14</f>
        <v>14</v>
      </c>
      <c r="U13" s="97">
        <f>'Team and Player Stats'!U14</f>
        <v>2</v>
      </c>
      <c r="V13" s="97">
        <f>'Team and Player Stats'!V14</f>
        <v>0</v>
      </c>
      <c r="W13" s="97">
        <f>'Team and Player Stats'!W14</f>
        <v>0</v>
      </c>
      <c r="X13" s="97">
        <f>'Team and Player Stats'!X14</f>
        <v>0</v>
      </c>
      <c r="Y13" s="97">
        <f>'Team and Player Stats'!Y14</f>
        <v>0</v>
      </c>
      <c r="Z13" s="97">
        <f>'Team and Player Stats'!Z14</f>
        <v>0</v>
      </c>
      <c r="AA13" s="97">
        <f>'Team and Player Stats'!AA14</f>
        <v>0</v>
      </c>
      <c r="AB13" s="97">
        <f>'Team and Player Stats'!AB14</f>
        <v>0</v>
      </c>
      <c r="AC13" s="97">
        <f>'Team and Player Stats'!AC14</f>
        <v>0</v>
      </c>
      <c r="AD13" s="97">
        <f>'Team and Player Stats'!AD14</f>
        <v>0</v>
      </c>
      <c r="AE13" s="97">
        <f>'Team and Player Stats'!AE14</f>
        <v>0</v>
      </c>
      <c r="AF13" s="97">
        <f>'Team and Player Stats'!AF14</f>
        <v>0</v>
      </c>
      <c r="AG13" s="97">
        <f>'Team and Player Stats'!AG14</f>
        <v>0</v>
      </c>
      <c r="AH13" s="97">
        <f>'Team and Player Stats'!AH14</f>
        <v>0</v>
      </c>
    </row>
    <row r="14">
      <c r="A14" t="str">
        <f>'Team and Player Stats'!B17</f>
        <v>nkotb4evah</v>
      </c>
      <c r="B14" t="str">
        <f>'Team and Player Stats'!A17</f>
        <v>Junkyard Dogs</v>
      </c>
      <c r="C14">
        <f>'Team and Player Stats'!C17</f>
        <v>18</v>
      </c>
      <c r="D14">
        <f>'Team and Player Stats'!D17</f>
        <v>6</v>
      </c>
      <c r="E14" s="101">
        <f>'Team and Player Stats'!E17</f>
        <v>528.05</v>
      </c>
      <c r="F14">
        <f>'Team and Player Stats'!F17</f>
        <v>41</v>
      </c>
      <c r="G14">
        <f>'Team and Player Stats'!G17</f>
        <v>1114</v>
      </c>
      <c r="H14">
        <f>'Team and Player Stats'!H17</f>
        <v>9</v>
      </c>
      <c r="I14">
        <f>'Team and Player Stats'!I17</f>
        <v>1599</v>
      </c>
      <c r="J14">
        <f>'Team and Player Stats'!J17</f>
        <v>-485</v>
      </c>
      <c r="K14" s="102">
        <f>'Team and Player Stats'!K17</f>
        <v>0.6966854284</v>
      </c>
      <c r="L14" s="101">
        <f>'Team and Player Stats'!L17</f>
        <v>330</v>
      </c>
      <c r="M14">
        <f>'Team and Player Stats'!M17</f>
        <v>1454</v>
      </c>
      <c r="N14">
        <f>'Team and Player Stats'!N17</f>
        <v>18</v>
      </c>
      <c r="O14" s="103">
        <f>'Team and Player Stats'!O17</f>
        <v>528.05</v>
      </c>
      <c r="P14">
        <f>'Team and Player Stats'!P17</f>
        <v>96</v>
      </c>
      <c r="Q14">
        <f>'Team and Player Stats'!Q17</f>
        <v>37</v>
      </c>
      <c r="R14">
        <f>'Team and Player Stats'!R17</f>
        <v>42</v>
      </c>
      <c r="S14">
        <f>'Team and Player Stats'!S17</f>
        <v>34</v>
      </c>
      <c r="T14">
        <f>'Team and Player Stats'!T17</f>
        <v>117</v>
      </c>
      <c r="U14">
        <f>'Team and Player Stats'!U17</f>
        <v>16</v>
      </c>
      <c r="V14">
        <f>'Team and Player Stats'!V17</f>
        <v>1</v>
      </c>
      <c r="W14">
        <f>'Team and Player Stats'!W17</f>
        <v>0</v>
      </c>
      <c r="X14">
        <f>'Team and Player Stats'!X17</f>
        <v>0</v>
      </c>
      <c r="Y14">
        <f>'Team and Player Stats'!Y17</f>
        <v>0</v>
      </c>
      <c r="Z14">
        <f>'Team and Player Stats'!Z17</f>
        <v>0</v>
      </c>
      <c r="AA14">
        <f>'Team and Player Stats'!AA17</f>
        <v>0</v>
      </c>
      <c r="AB14">
        <f>'Team and Player Stats'!AB17</f>
        <v>0</v>
      </c>
      <c r="AC14">
        <f>'Team and Player Stats'!AC17</f>
        <v>19</v>
      </c>
      <c r="AD14">
        <f>'Team and Player Stats'!AD17</f>
        <v>1</v>
      </c>
      <c r="AE14">
        <f>'Team and Player Stats'!AE17</f>
        <v>0</v>
      </c>
      <c r="AF14">
        <f>'Team and Player Stats'!AF17</f>
        <v>0</v>
      </c>
      <c r="AG14">
        <f>'Team and Player Stats'!AG17</f>
        <v>0</v>
      </c>
      <c r="AH14">
        <f>'Team and Player Stats'!AH17</f>
        <v>2</v>
      </c>
    </row>
    <row r="15">
      <c r="A15" s="97" t="str">
        <f>'Team and Player Stats'!B18</f>
        <v>AJ DaJuiceMayne</v>
      </c>
      <c r="B15" s="97" t="str">
        <f>'Team and Player Stats'!A18</f>
        <v>Junkyard Dogs</v>
      </c>
      <c r="C15" s="97">
        <f>'Team and Player Stats'!C18</f>
        <v>16</v>
      </c>
      <c r="D15" s="97">
        <f>'Team and Player Stats'!D18</f>
        <v>6</v>
      </c>
      <c r="E15" s="98">
        <f>'Team and Player Stats'!E18</f>
        <v>490.1333333</v>
      </c>
      <c r="F15" s="97">
        <f>'Team and Player Stats'!F18</f>
        <v>5</v>
      </c>
      <c r="G15" s="97">
        <f>'Team and Player Stats'!G18</f>
        <v>2238</v>
      </c>
      <c r="H15" s="97">
        <f>'Team and Player Stats'!H18</f>
        <v>13</v>
      </c>
      <c r="I15" s="97">
        <f>'Team and Player Stats'!I18</f>
        <v>1945</v>
      </c>
      <c r="J15" s="97">
        <f>'Team and Player Stats'!J18</f>
        <v>293</v>
      </c>
      <c r="K15" s="99">
        <f>'Team and Player Stats'!K18</f>
        <v>1.150642674</v>
      </c>
      <c r="L15" s="98">
        <f>'Team and Player Stats'!L18</f>
        <v>218</v>
      </c>
      <c r="M15" s="97">
        <f>'Team and Player Stats'!M18</f>
        <v>2963</v>
      </c>
      <c r="N15" s="97">
        <f>'Team and Player Stats'!N18</f>
        <v>16</v>
      </c>
      <c r="O15" s="100">
        <f>'Team and Player Stats'!O18</f>
        <v>490.1333333</v>
      </c>
      <c r="P15" s="97">
        <f>'Team and Player Stats'!P18</f>
        <v>74</v>
      </c>
      <c r="Q15" s="97">
        <f>'Team and Player Stats'!Q18</f>
        <v>32</v>
      </c>
      <c r="R15" s="97">
        <f>'Team and Player Stats'!R18</f>
        <v>147</v>
      </c>
      <c r="S15" s="97">
        <f>'Team and Player Stats'!S18</f>
        <v>25</v>
      </c>
      <c r="T15" s="97">
        <f>'Team and Player Stats'!T18</f>
        <v>373</v>
      </c>
      <c r="U15" s="97">
        <f>'Team and Player Stats'!U18</f>
        <v>92</v>
      </c>
      <c r="V15" s="97">
        <f>'Team and Player Stats'!V18</f>
        <v>29</v>
      </c>
      <c r="W15" s="97">
        <f>'Team and Player Stats'!W18</f>
        <v>5</v>
      </c>
      <c r="X15" s="97">
        <f>'Team and Player Stats'!X18</f>
        <v>1</v>
      </c>
      <c r="Y15" s="97">
        <f>'Team and Player Stats'!Y18</f>
        <v>1</v>
      </c>
      <c r="Z15" s="97">
        <f>'Team and Player Stats'!Z18</f>
        <v>0</v>
      </c>
      <c r="AA15" s="97">
        <f>'Team and Player Stats'!AA18</f>
        <v>0</v>
      </c>
      <c r="AB15" s="97">
        <f>'Team and Player Stats'!AB18</f>
        <v>0</v>
      </c>
      <c r="AC15" s="97">
        <f>'Team and Player Stats'!AC18</f>
        <v>72</v>
      </c>
      <c r="AD15" s="97">
        <f>'Team and Player Stats'!AD18</f>
        <v>2</v>
      </c>
      <c r="AE15" s="97">
        <f>'Team and Player Stats'!AE18</f>
        <v>0</v>
      </c>
      <c r="AF15" s="97">
        <f>'Team and Player Stats'!AF18</f>
        <v>0</v>
      </c>
      <c r="AG15" s="97">
        <f>'Team and Player Stats'!AG18</f>
        <v>1</v>
      </c>
      <c r="AH15" s="97">
        <f>'Team and Player Stats'!AH18</f>
        <v>0</v>
      </c>
    </row>
    <row r="16">
      <c r="A16" t="str">
        <f>'Team and Player Stats'!B19</f>
        <v>Gilded Grams</v>
      </c>
      <c r="B16" t="str">
        <f>'Team and Player Stats'!A19</f>
        <v>Junkyard Dogs</v>
      </c>
      <c r="C16">
        <f>'Team and Player Stats'!C19</f>
        <v>18</v>
      </c>
      <c r="D16">
        <f>'Team and Player Stats'!D19</f>
        <v>6</v>
      </c>
      <c r="E16" s="101">
        <f>'Team and Player Stats'!E19</f>
        <v>525.4666667</v>
      </c>
      <c r="F16">
        <f>'Team and Player Stats'!F19</f>
        <v>6</v>
      </c>
      <c r="G16">
        <f>'Team and Player Stats'!G19</f>
        <v>2263</v>
      </c>
      <c r="H16">
        <f>'Team and Player Stats'!H19</f>
        <v>7</v>
      </c>
      <c r="I16">
        <f>'Team and Player Stats'!I19</f>
        <v>1972</v>
      </c>
      <c r="J16">
        <f>'Team and Player Stats'!J19</f>
        <v>291</v>
      </c>
      <c r="K16" s="102">
        <f>'Team and Player Stats'!K19</f>
        <v>1.147565923</v>
      </c>
      <c r="L16" s="101">
        <f>'Team and Player Stats'!L19</f>
        <v>253</v>
      </c>
      <c r="M16">
        <f>'Team and Player Stats'!M19</f>
        <v>2928</v>
      </c>
      <c r="N16">
        <f>'Team and Player Stats'!N19</f>
        <v>18</v>
      </c>
      <c r="O16" s="103">
        <f>'Team and Player Stats'!O19</f>
        <v>525.4666667</v>
      </c>
      <c r="P16">
        <f>'Team and Player Stats'!P19</f>
        <v>83</v>
      </c>
      <c r="Q16">
        <f>'Team and Player Stats'!Q19</f>
        <v>74</v>
      </c>
      <c r="R16">
        <f>'Team and Player Stats'!R19</f>
        <v>115</v>
      </c>
      <c r="S16">
        <f>'Team and Player Stats'!S19</f>
        <v>36</v>
      </c>
      <c r="T16">
        <f>'Team and Player Stats'!T19</f>
        <v>360</v>
      </c>
      <c r="U16">
        <f>'Team and Player Stats'!U19</f>
        <v>59</v>
      </c>
      <c r="V16">
        <f>'Team and Player Stats'!V19</f>
        <v>11</v>
      </c>
      <c r="W16">
        <f>'Team and Player Stats'!W19</f>
        <v>3</v>
      </c>
      <c r="X16">
        <f>'Team and Player Stats'!X19</f>
        <v>0</v>
      </c>
      <c r="Y16">
        <f>'Team and Player Stats'!Y19</f>
        <v>0</v>
      </c>
      <c r="Z16">
        <f>'Team and Player Stats'!Z19</f>
        <v>0</v>
      </c>
      <c r="AA16">
        <f>'Team and Player Stats'!AA19</f>
        <v>0</v>
      </c>
      <c r="AB16">
        <f>'Team and Player Stats'!AB19</f>
        <v>0</v>
      </c>
      <c r="AC16">
        <f>'Team and Player Stats'!AC19</f>
        <v>68</v>
      </c>
      <c r="AD16">
        <f>'Team and Player Stats'!AD19</f>
        <v>1</v>
      </c>
      <c r="AE16">
        <f>'Team and Player Stats'!AE19</f>
        <v>0</v>
      </c>
      <c r="AF16">
        <f>'Team and Player Stats'!AF19</f>
        <v>0</v>
      </c>
      <c r="AG16">
        <f>'Team and Player Stats'!AG19</f>
        <v>2</v>
      </c>
      <c r="AH16">
        <f>'Team and Player Stats'!AH19</f>
        <v>9</v>
      </c>
    </row>
    <row r="17">
      <c r="A17" s="97" t="str">
        <f>'Team and Player Stats'!B20</f>
        <v>PoisonxPoptart</v>
      </c>
      <c r="B17" s="97" t="str">
        <f>'Team and Player Stats'!A20</f>
        <v>Junkyard Dogs</v>
      </c>
      <c r="C17" s="97">
        <f>'Team and Player Stats'!C20</f>
        <v>16</v>
      </c>
      <c r="D17" s="97">
        <f>'Team and Player Stats'!D20</f>
        <v>6</v>
      </c>
      <c r="E17" s="98">
        <f>'Team and Player Stats'!E20</f>
        <v>490.4333333</v>
      </c>
      <c r="F17" s="97">
        <f>'Team and Player Stats'!F20</f>
        <v>5</v>
      </c>
      <c r="G17" s="97">
        <f>'Team and Player Stats'!G20</f>
        <v>1559</v>
      </c>
      <c r="H17" s="97">
        <f>'Team and Player Stats'!H20</f>
        <v>7</v>
      </c>
      <c r="I17" s="97">
        <f>'Team and Player Stats'!I20</f>
        <v>1564</v>
      </c>
      <c r="J17" s="97">
        <f>'Team and Player Stats'!J20</f>
        <v>-5</v>
      </c>
      <c r="K17" s="99">
        <f>'Team and Player Stats'!K20</f>
        <v>0.9968030691</v>
      </c>
      <c r="L17" s="98">
        <f>'Team and Player Stats'!L20</f>
        <v>283</v>
      </c>
      <c r="M17" s="97">
        <f>'Team and Player Stats'!M20</f>
        <v>1938</v>
      </c>
      <c r="N17" s="97">
        <f>'Team and Player Stats'!N20</f>
        <v>16</v>
      </c>
      <c r="O17" s="100">
        <f>'Team and Player Stats'!O20</f>
        <v>490.4333333</v>
      </c>
      <c r="P17" s="97">
        <f>'Team and Player Stats'!P20</f>
        <v>55</v>
      </c>
      <c r="Q17" s="97">
        <f>'Team and Player Stats'!Q20</f>
        <v>48</v>
      </c>
      <c r="R17" s="97">
        <f>'Team and Player Stats'!R20</f>
        <v>104</v>
      </c>
      <c r="S17" s="97">
        <f>'Team and Player Stats'!S20</f>
        <v>29</v>
      </c>
      <c r="T17" s="97">
        <f>'Team and Player Stats'!T20</f>
        <v>188</v>
      </c>
      <c r="U17" s="97">
        <f>'Team and Player Stats'!U20</f>
        <v>24</v>
      </c>
      <c r="V17" s="97">
        <f>'Team and Player Stats'!V20</f>
        <v>3</v>
      </c>
      <c r="W17" s="97">
        <f>'Team and Player Stats'!W20</f>
        <v>1</v>
      </c>
      <c r="X17" s="97">
        <f>'Team and Player Stats'!X20</f>
        <v>0</v>
      </c>
      <c r="Y17" s="97">
        <f>'Team and Player Stats'!Y20</f>
        <v>0</v>
      </c>
      <c r="Z17" s="97">
        <f>'Team and Player Stats'!Z20</f>
        <v>0</v>
      </c>
      <c r="AA17" s="97">
        <f>'Team and Player Stats'!AA20</f>
        <v>0</v>
      </c>
      <c r="AB17" s="97">
        <f>'Team and Player Stats'!AB20</f>
        <v>0</v>
      </c>
      <c r="AC17" s="97">
        <f>'Team and Player Stats'!AC20</f>
        <v>25</v>
      </c>
      <c r="AD17" s="97">
        <f>'Team and Player Stats'!AD20</f>
        <v>0</v>
      </c>
      <c r="AE17" s="97">
        <f>'Team and Player Stats'!AE20</f>
        <v>0</v>
      </c>
      <c r="AF17" s="97">
        <f>'Team and Player Stats'!AF20</f>
        <v>0</v>
      </c>
      <c r="AG17" s="97">
        <f>'Team and Player Stats'!AG20</f>
        <v>0</v>
      </c>
      <c r="AH17" s="97">
        <f>'Team and Player Stats'!AH20</f>
        <v>3</v>
      </c>
    </row>
    <row r="18">
      <c r="A18" t="str">
        <f>'Team and Player Stats'!B21</f>
        <v>caleb loves you</v>
      </c>
      <c r="B18" t="str">
        <f>'Team and Player Stats'!A21</f>
        <v>Junkyard Dogs</v>
      </c>
      <c r="C18">
        <f>'Team and Player Stats'!C21</f>
        <v>2</v>
      </c>
      <c r="D18">
        <f>'Team and Player Stats'!D21</f>
        <v>0</v>
      </c>
      <c r="E18" s="101">
        <f>'Team and Player Stats'!E21</f>
        <v>36</v>
      </c>
      <c r="F18">
        <f>'Team and Player Stats'!F21</f>
        <v>0</v>
      </c>
      <c r="G18">
        <f>'Team and Player Stats'!G21</f>
        <v>109</v>
      </c>
      <c r="H18">
        <f>'Team and Player Stats'!H21</f>
        <v>0</v>
      </c>
      <c r="I18">
        <f>'Team and Player Stats'!I21</f>
        <v>115</v>
      </c>
      <c r="J18">
        <f>'Team and Player Stats'!J21</f>
        <v>-6</v>
      </c>
      <c r="K18" s="102">
        <f>'Team and Player Stats'!K21</f>
        <v>0.947826087</v>
      </c>
      <c r="L18" s="101">
        <f>'Team and Player Stats'!L21</f>
        <v>31</v>
      </c>
      <c r="M18">
        <f>'Team and Player Stats'!M21</f>
        <v>130</v>
      </c>
      <c r="N18">
        <f>'Team and Player Stats'!N21</f>
        <v>2</v>
      </c>
      <c r="O18" s="103">
        <f>'Team and Player Stats'!O21</f>
        <v>36</v>
      </c>
      <c r="P18">
        <f>'Team and Player Stats'!P21</f>
        <v>2</v>
      </c>
      <c r="Q18">
        <f>'Team and Player Stats'!Q21</f>
        <v>2</v>
      </c>
      <c r="R18">
        <f>'Team and Player Stats'!R21</f>
        <v>7</v>
      </c>
      <c r="S18">
        <f>'Team and Player Stats'!S21</f>
        <v>2</v>
      </c>
      <c r="T18">
        <f>'Team and Player Stats'!T21</f>
        <v>16</v>
      </c>
      <c r="U18">
        <f>'Team and Player Stats'!U21</f>
        <v>5</v>
      </c>
      <c r="V18">
        <f>'Team and Player Stats'!V21</f>
        <v>2</v>
      </c>
      <c r="W18">
        <f>'Team and Player Stats'!W21</f>
        <v>0</v>
      </c>
      <c r="X18">
        <f>'Team and Player Stats'!X21</f>
        <v>0</v>
      </c>
      <c r="Y18">
        <f>'Team and Player Stats'!Y21</f>
        <v>0</v>
      </c>
      <c r="Z18">
        <f>'Team and Player Stats'!Z21</f>
        <v>0</v>
      </c>
      <c r="AA18">
        <f>'Team and Player Stats'!AA21</f>
        <v>0</v>
      </c>
      <c r="AB18">
        <f>'Team and Player Stats'!AB21</f>
        <v>0</v>
      </c>
      <c r="AC18">
        <f>'Team and Player Stats'!AC21</f>
        <v>2</v>
      </c>
      <c r="AD18">
        <f>'Team and Player Stats'!AD21</f>
        <v>0</v>
      </c>
      <c r="AE18">
        <f>'Team and Player Stats'!AE21</f>
        <v>0</v>
      </c>
      <c r="AF18">
        <f>'Team and Player Stats'!AF21</f>
        <v>0</v>
      </c>
      <c r="AG18">
        <f>'Team and Player Stats'!AG21</f>
        <v>0</v>
      </c>
      <c r="AH18">
        <f>'Team and Player Stats'!AH21</f>
        <v>0</v>
      </c>
    </row>
    <row r="19">
      <c r="A19" s="97" t="str">
        <f>'Team and Player Stats'!B24</f>
        <v>x Zeg x</v>
      </c>
      <c r="B19" s="97" t="str">
        <f>'Team and Player Stats'!A24</f>
        <v>9th Wonders</v>
      </c>
      <c r="C19" s="97">
        <f>'Team and Player Stats'!C24</f>
        <v>18</v>
      </c>
      <c r="D19" s="97">
        <f>'Team and Player Stats'!D24</f>
        <v>10</v>
      </c>
      <c r="E19" s="98">
        <f>'Team and Player Stats'!E24</f>
        <v>498.2833333</v>
      </c>
      <c r="F19" s="97">
        <f>'Team and Player Stats'!F24</f>
        <v>13</v>
      </c>
      <c r="G19" s="97">
        <f>'Team and Player Stats'!G24</f>
        <v>1594</v>
      </c>
      <c r="H19" s="97">
        <f>'Team and Player Stats'!H24</f>
        <v>12</v>
      </c>
      <c r="I19" s="97">
        <f>'Team and Player Stats'!I24</f>
        <v>1585</v>
      </c>
      <c r="J19" s="97">
        <f>'Team and Player Stats'!J24</f>
        <v>9</v>
      </c>
      <c r="K19" s="99">
        <f>'Team and Player Stats'!K24</f>
        <v>1.005678233</v>
      </c>
      <c r="L19" s="98">
        <f>'Team and Player Stats'!L24</f>
        <v>302</v>
      </c>
      <c r="M19" s="97">
        <f>'Team and Player Stats'!M24</f>
        <v>1845</v>
      </c>
      <c r="N19" s="97">
        <f>'Team and Player Stats'!N24</f>
        <v>17</v>
      </c>
      <c r="O19" s="100">
        <f>'Team and Player Stats'!O24</f>
        <v>498.2833333</v>
      </c>
      <c r="P19" s="97">
        <f>'Team and Player Stats'!P24</f>
        <v>54</v>
      </c>
      <c r="Q19" s="97">
        <f>'Team and Player Stats'!Q24</f>
        <v>22</v>
      </c>
      <c r="R19" s="97">
        <f>'Team and Player Stats'!R24</f>
        <v>116</v>
      </c>
      <c r="S19" s="97">
        <f>'Team and Player Stats'!S24</f>
        <v>35</v>
      </c>
      <c r="T19" s="97">
        <f>'Team and Player Stats'!T24</f>
        <v>192</v>
      </c>
      <c r="U19" s="97">
        <f>'Team and Player Stats'!U24</f>
        <v>35</v>
      </c>
      <c r="V19" s="97">
        <f>'Team and Player Stats'!V24</f>
        <v>8</v>
      </c>
      <c r="W19" s="97">
        <f>'Team and Player Stats'!W24</f>
        <v>3</v>
      </c>
      <c r="X19" s="97">
        <f>'Team and Player Stats'!X24</f>
        <v>2</v>
      </c>
      <c r="Y19" s="97">
        <f>'Team and Player Stats'!Y24</f>
        <v>0</v>
      </c>
      <c r="Z19" s="97">
        <f>'Team and Player Stats'!Z24</f>
        <v>0</v>
      </c>
      <c r="AA19" s="97">
        <f>'Team and Player Stats'!AA24</f>
        <v>0</v>
      </c>
      <c r="AB19" s="97">
        <f>'Team and Player Stats'!AB24</f>
        <v>0</v>
      </c>
      <c r="AC19" s="97">
        <f>'Team and Player Stats'!AC24</f>
        <v>34</v>
      </c>
      <c r="AD19" s="97">
        <f>'Team and Player Stats'!AD24</f>
        <v>1</v>
      </c>
      <c r="AE19" s="97">
        <f>'Team and Player Stats'!AE24</f>
        <v>0</v>
      </c>
      <c r="AF19" s="97">
        <f>'Team and Player Stats'!AF24</f>
        <v>0</v>
      </c>
      <c r="AG19" s="97">
        <f>'Team and Player Stats'!AG24</f>
        <v>0</v>
      </c>
      <c r="AH19" s="97">
        <f>'Team and Player Stats'!AH24</f>
        <v>0</v>
      </c>
    </row>
    <row r="20">
      <c r="A20" t="str">
        <f>'Team and Player Stats'!B25</f>
        <v>T RICH DA KING</v>
      </c>
      <c r="B20" t="str">
        <f>'Team and Player Stats'!A25</f>
        <v>9th Wonders</v>
      </c>
      <c r="C20">
        <f>'Team and Player Stats'!C25</f>
        <v>18</v>
      </c>
      <c r="D20">
        <f>'Team and Player Stats'!D25</f>
        <v>10</v>
      </c>
      <c r="E20" s="101">
        <f>'Team and Player Stats'!E25</f>
        <v>496.0333333</v>
      </c>
      <c r="F20">
        <f>'Team and Player Stats'!F25</f>
        <v>4</v>
      </c>
      <c r="G20">
        <f>'Team and Player Stats'!G25</f>
        <v>1785</v>
      </c>
      <c r="H20">
        <f>'Team and Player Stats'!H25</f>
        <v>9</v>
      </c>
      <c r="I20">
        <f>'Team and Player Stats'!I25</f>
        <v>1524</v>
      </c>
      <c r="J20">
        <f>'Team and Player Stats'!J25</f>
        <v>261</v>
      </c>
      <c r="K20" s="102">
        <f>'Team and Player Stats'!K25</f>
        <v>1.171259843</v>
      </c>
      <c r="L20" s="101">
        <f>'Team and Player Stats'!L25</f>
        <v>285</v>
      </c>
      <c r="M20">
        <f>'Team and Player Stats'!M25</f>
        <v>2091</v>
      </c>
      <c r="N20">
        <f>'Team and Player Stats'!N25</f>
        <v>17</v>
      </c>
      <c r="O20" s="103">
        <f>'Team and Player Stats'!O25</f>
        <v>496.0333333</v>
      </c>
      <c r="P20">
        <f>'Team and Player Stats'!P25</f>
        <v>73</v>
      </c>
      <c r="Q20">
        <f>'Team and Player Stats'!Q25</f>
        <v>59</v>
      </c>
      <c r="R20">
        <f>'Team and Player Stats'!R25</f>
        <v>121</v>
      </c>
      <c r="S20">
        <f>'Team and Player Stats'!S25</f>
        <v>29</v>
      </c>
      <c r="T20">
        <f>'Team and Player Stats'!T25</f>
        <v>233</v>
      </c>
      <c r="U20">
        <f>'Team and Player Stats'!U25</f>
        <v>43</v>
      </c>
      <c r="V20">
        <f>'Team and Player Stats'!V25</f>
        <v>9</v>
      </c>
      <c r="W20">
        <f>'Team and Player Stats'!W25</f>
        <v>2</v>
      </c>
      <c r="X20">
        <f>'Team and Player Stats'!X25</f>
        <v>2</v>
      </c>
      <c r="Y20">
        <f>'Team and Player Stats'!Y25</f>
        <v>0</v>
      </c>
      <c r="Z20">
        <f>'Team and Player Stats'!Z25</f>
        <v>0</v>
      </c>
      <c r="AA20">
        <f>'Team and Player Stats'!AA25</f>
        <v>0</v>
      </c>
      <c r="AB20">
        <f>'Team and Player Stats'!AB25</f>
        <v>0</v>
      </c>
      <c r="AC20">
        <f>'Team and Player Stats'!AC25</f>
        <v>49</v>
      </c>
      <c r="AD20">
        <f>'Team and Player Stats'!AD25</f>
        <v>2</v>
      </c>
      <c r="AE20">
        <f>'Team and Player Stats'!AE25</f>
        <v>0</v>
      </c>
      <c r="AF20">
        <f>'Team and Player Stats'!AF25</f>
        <v>0</v>
      </c>
      <c r="AG20">
        <f>'Team and Player Stats'!AG25</f>
        <v>0</v>
      </c>
      <c r="AH20">
        <f>'Team and Player Stats'!AH25</f>
        <v>1</v>
      </c>
    </row>
    <row r="21">
      <c r="A21" s="97" t="str">
        <f>'Team and Player Stats'!B26</f>
        <v>oScet</v>
      </c>
      <c r="B21" s="97" t="str">
        <f>'Team and Player Stats'!A26</f>
        <v>9th Wonders</v>
      </c>
      <c r="C21" s="97">
        <f>'Team and Player Stats'!C26</f>
        <v>18</v>
      </c>
      <c r="D21" s="97">
        <f>'Team and Player Stats'!D26</f>
        <v>10</v>
      </c>
      <c r="E21" s="98">
        <f>'Team and Player Stats'!E26</f>
        <v>496.6</v>
      </c>
      <c r="F21" s="97">
        <f>'Team and Player Stats'!F26</f>
        <v>26</v>
      </c>
      <c r="G21" s="97">
        <f>'Team and Player Stats'!G26</f>
        <v>1434</v>
      </c>
      <c r="H21" s="97">
        <f>'Team and Player Stats'!H26</f>
        <v>5</v>
      </c>
      <c r="I21" s="97">
        <f>'Team and Player Stats'!I26</f>
        <v>1439</v>
      </c>
      <c r="J21" s="97">
        <f>'Team and Player Stats'!J26</f>
        <v>-5</v>
      </c>
      <c r="K21" s="99">
        <f>'Team and Player Stats'!K26</f>
        <v>0.9965253648</v>
      </c>
      <c r="L21" s="98">
        <f>'Team and Player Stats'!L26</f>
        <v>311</v>
      </c>
      <c r="M21" s="97">
        <f>'Team and Player Stats'!M26</f>
        <v>1741</v>
      </c>
      <c r="N21" s="97">
        <f>'Team and Player Stats'!N26</f>
        <v>17</v>
      </c>
      <c r="O21" s="100">
        <f>'Team and Player Stats'!O26</f>
        <v>496.6</v>
      </c>
      <c r="P21" s="97">
        <f>'Team and Player Stats'!P26</f>
        <v>74</v>
      </c>
      <c r="Q21" s="97">
        <f>'Team and Player Stats'!Q26</f>
        <v>43</v>
      </c>
      <c r="R21" s="97">
        <f>'Team and Player Stats'!R26</f>
        <v>93</v>
      </c>
      <c r="S21" s="97">
        <f>'Team and Player Stats'!S26</f>
        <v>32</v>
      </c>
      <c r="T21" s="97">
        <f>'Team and Player Stats'!T26</f>
        <v>199</v>
      </c>
      <c r="U21" s="97">
        <f>'Team and Player Stats'!U26</f>
        <v>36</v>
      </c>
      <c r="V21" s="97">
        <f>'Team and Player Stats'!V26</f>
        <v>5</v>
      </c>
      <c r="W21" s="97">
        <f>'Team and Player Stats'!W26</f>
        <v>3</v>
      </c>
      <c r="X21" s="97">
        <f>'Team and Player Stats'!X26</f>
        <v>2</v>
      </c>
      <c r="Y21" s="97">
        <f>'Team and Player Stats'!Y26</f>
        <v>2</v>
      </c>
      <c r="Z21" s="97">
        <f>'Team and Player Stats'!Z26</f>
        <v>0</v>
      </c>
      <c r="AA21" s="97">
        <f>'Team and Player Stats'!AA26</f>
        <v>0</v>
      </c>
      <c r="AB21" s="97">
        <f>'Team and Player Stats'!AB26</f>
        <v>0</v>
      </c>
      <c r="AC21" s="97">
        <f>'Team and Player Stats'!AC26</f>
        <v>28</v>
      </c>
      <c r="AD21" s="97">
        <f>'Team and Player Stats'!AD26</f>
        <v>4</v>
      </c>
      <c r="AE21" s="97">
        <f>'Team and Player Stats'!AE26</f>
        <v>0</v>
      </c>
      <c r="AF21" s="97">
        <f>'Team and Player Stats'!AF26</f>
        <v>0</v>
      </c>
      <c r="AG21" s="97">
        <f>'Team and Player Stats'!AG26</f>
        <v>2</v>
      </c>
      <c r="AH21" s="97">
        <f>'Team and Player Stats'!AH26</f>
        <v>2</v>
      </c>
    </row>
    <row r="22">
      <c r="A22" t="str">
        <f>'Team and Player Stats'!B27</f>
        <v>x Greenthumb</v>
      </c>
      <c r="B22" t="str">
        <f>'Team and Player Stats'!A27</f>
        <v>9th Wonders</v>
      </c>
      <c r="C22">
        <f>'Team and Player Stats'!C27</f>
        <v>7</v>
      </c>
      <c r="D22">
        <f>'Team and Player Stats'!D27</f>
        <v>4</v>
      </c>
      <c r="E22" s="101">
        <f>'Team and Player Stats'!E27</f>
        <v>247.9833333</v>
      </c>
      <c r="F22">
        <f>'Team and Player Stats'!F27</f>
        <v>0</v>
      </c>
      <c r="G22">
        <f>'Team and Player Stats'!G27</f>
        <v>701</v>
      </c>
      <c r="H22">
        <f>'Team and Player Stats'!H27</f>
        <v>3</v>
      </c>
      <c r="I22">
        <f>'Team and Player Stats'!I27</f>
        <v>834</v>
      </c>
      <c r="J22">
        <f>'Team and Player Stats'!J27</f>
        <v>-133</v>
      </c>
      <c r="K22" s="102">
        <f>'Team and Player Stats'!K27</f>
        <v>0.8405275779</v>
      </c>
      <c r="L22" s="101">
        <f>'Team and Player Stats'!L27</f>
        <v>85</v>
      </c>
      <c r="M22">
        <f>'Team and Player Stats'!M27</f>
        <v>888</v>
      </c>
      <c r="N22">
        <f>'Team and Player Stats'!N27</f>
        <v>8</v>
      </c>
      <c r="O22" s="103">
        <f>'Team and Player Stats'!O27</f>
        <v>247.9833333</v>
      </c>
      <c r="P22">
        <f>'Team and Player Stats'!P27</f>
        <v>27</v>
      </c>
      <c r="Q22">
        <f>'Team and Player Stats'!Q27</f>
        <v>14</v>
      </c>
      <c r="R22">
        <f>'Team and Player Stats'!R27</f>
        <v>54</v>
      </c>
      <c r="S22">
        <f>'Team and Player Stats'!S27</f>
        <v>14</v>
      </c>
      <c r="T22">
        <f>'Team and Player Stats'!T27</f>
        <v>115</v>
      </c>
      <c r="U22">
        <f>'Team and Player Stats'!U27</f>
        <v>14</v>
      </c>
      <c r="V22">
        <f>'Team and Player Stats'!V27</f>
        <v>1</v>
      </c>
      <c r="W22">
        <f>'Team and Player Stats'!W27</f>
        <v>0</v>
      </c>
      <c r="X22">
        <f>'Team and Player Stats'!X27</f>
        <v>0</v>
      </c>
      <c r="Y22">
        <f>'Team and Player Stats'!Y27</f>
        <v>0</v>
      </c>
      <c r="Z22">
        <f>'Team and Player Stats'!Z27</f>
        <v>0</v>
      </c>
      <c r="AA22">
        <f>'Team and Player Stats'!AA27</f>
        <v>0</v>
      </c>
      <c r="AB22">
        <f>'Team and Player Stats'!AB27</f>
        <v>0</v>
      </c>
      <c r="AC22">
        <f>'Team and Player Stats'!AC27</f>
        <v>9</v>
      </c>
      <c r="AD22">
        <f>'Team and Player Stats'!AD27</f>
        <v>0</v>
      </c>
      <c r="AE22">
        <f>'Team and Player Stats'!AE27</f>
        <v>0</v>
      </c>
      <c r="AF22">
        <f>'Team and Player Stats'!AF27</f>
        <v>0</v>
      </c>
      <c r="AG22">
        <f>'Team and Player Stats'!AG27</f>
        <v>1</v>
      </c>
      <c r="AH22">
        <f>'Team and Player Stats'!AH27</f>
        <v>1</v>
      </c>
    </row>
    <row r="23">
      <c r="A23" s="97" t="str">
        <f>'Team and Player Stats'!B28</f>
        <v>Yuhxi</v>
      </c>
      <c r="B23" s="97" t="str">
        <f>'Team and Player Stats'!A28</f>
        <v>9th Wonders</v>
      </c>
      <c r="C23" s="97">
        <f>'Team and Player Stats'!C28</f>
        <v>11</v>
      </c>
      <c r="D23" s="97">
        <f>'Team and Player Stats'!D28</f>
        <v>6</v>
      </c>
      <c r="E23" s="98">
        <f>'Team and Player Stats'!E28</f>
        <v>244.3333333</v>
      </c>
      <c r="F23" s="97">
        <f>'Team and Player Stats'!F28</f>
        <v>17</v>
      </c>
      <c r="G23" s="97">
        <f>'Team and Player Stats'!G28</f>
        <v>823</v>
      </c>
      <c r="H23" s="97">
        <f>'Team and Player Stats'!H28</f>
        <v>3</v>
      </c>
      <c r="I23" s="97">
        <f>'Team and Player Stats'!I28</f>
        <v>984</v>
      </c>
      <c r="J23" s="97">
        <f>'Team and Player Stats'!J28</f>
        <v>-161</v>
      </c>
      <c r="K23" s="99">
        <f>'Team and Player Stats'!K28</f>
        <v>0.8363821138</v>
      </c>
      <c r="L23" s="98">
        <f>'Team and Player Stats'!L28</f>
        <v>123</v>
      </c>
      <c r="M23" s="97">
        <f>'Team and Player Stats'!M28</f>
        <v>867</v>
      </c>
      <c r="N23" s="97">
        <f>'Team and Player Stats'!N28</f>
        <v>8</v>
      </c>
      <c r="O23" s="100">
        <f>'Team and Player Stats'!O28</f>
        <v>226.3333333</v>
      </c>
      <c r="P23" s="97">
        <f>'Team and Player Stats'!P28</f>
        <v>31</v>
      </c>
      <c r="Q23" s="97">
        <f>'Team and Player Stats'!Q28</f>
        <v>9</v>
      </c>
      <c r="R23" s="97">
        <f>'Team and Player Stats'!R28</f>
        <v>30</v>
      </c>
      <c r="S23" s="97">
        <f>'Team and Player Stats'!S28</f>
        <v>14</v>
      </c>
      <c r="T23" s="97">
        <f>'Team and Player Stats'!T28</f>
        <v>104</v>
      </c>
      <c r="U23" s="97">
        <f>'Team and Player Stats'!U28</f>
        <v>31</v>
      </c>
      <c r="V23" s="97">
        <f>'Team and Player Stats'!V28</f>
        <v>6</v>
      </c>
      <c r="W23" s="97">
        <f>'Team and Player Stats'!W28</f>
        <v>3</v>
      </c>
      <c r="X23" s="97">
        <f>'Team and Player Stats'!X28</f>
        <v>0</v>
      </c>
      <c r="Y23" s="97">
        <f>'Team and Player Stats'!Y28</f>
        <v>0</v>
      </c>
      <c r="Z23" s="97">
        <f>'Team and Player Stats'!Z28</f>
        <v>0</v>
      </c>
      <c r="AA23" s="97">
        <f>'Team and Player Stats'!AA28</f>
        <v>0</v>
      </c>
      <c r="AB23" s="97">
        <f>'Team and Player Stats'!AB28</f>
        <v>0</v>
      </c>
      <c r="AC23" s="97">
        <f>'Team and Player Stats'!AC28</f>
        <v>13</v>
      </c>
      <c r="AD23" s="97">
        <f>'Team and Player Stats'!AD28</f>
        <v>0</v>
      </c>
      <c r="AE23" s="97">
        <f>'Team and Player Stats'!AE28</f>
        <v>0</v>
      </c>
      <c r="AF23" s="97">
        <f>'Team and Player Stats'!AF28</f>
        <v>0</v>
      </c>
      <c r="AG23" s="97">
        <f>'Team and Player Stats'!AG28</f>
        <v>1</v>
      </c>
      <c r="AH23" s="97">
        <f>'Team and Player Stats'!AH28</f>
        <v>0</v>
      </c>
    </row>
    <row r="24">
      <c r="A24" t="str">
        <f>'Team and Player Stats'!B31</f>
        <v>Truthless IHero</v>
      </c>
      <c r="B24" t="str">
        <f>'Team and Player Stats'!A31</f>
        <v>Truthless and the Truthlessettes</v>
      </c>
      <c r="C24">
        <f>'Team and Player Stats'!C31</f>
        <v>15</v>
      </c>
      <c r="D24">
        <f>'Team and Player Stats'!D31</f>
        <v>3</v>
      </c>
      <c r="E24" s="101">
        <f>'Team and Player Stats'!E31</f>
        <v>319.1333333</v>
      </c>
      <c r="F24">
        <f>'Team and Player Stats'!F31</f>
        <v>3</v>
      </c>
      <c r="G24">
        <f>'Team and Player Stats'!G31</f>
        <v>1274</v>
      </c>
      <c r="H24">
        <f>'Team and Player Stats'!H31</f>
        <v>5</v>
      </c>
      <c r="I24">
        <f>'Team and Player Stats'!I31</f>
        <v>1274</v>
      </c>
      <c r="J24">
        <f>'Team and Player Stats'!J31</f>
        <v>0</v>
      </c>
      <c r="K24" s="102">
        <f>'Team and Player Stats'!K31</f>
        <v>1</v>
      </c>
      <c r="L24" s="101">
        <f>'Team and Player Stats'!L31</f>
        <v>185</v>
      </c>
      <c r="M24">
        <f>'Team and Player Stats'!M31</f>
        <v>1656</v>
      </c>
      <c r="N24">
        <f>'Team and Player Stats'!N31</f>
        <v>15</v>
      </c>
      <c r="O24" s="103">
        <f>'Team and Player Stats'!O31</f>
        <v>319.1333333</v>
      </c>
      <c r="P24">
        <f>'Team and Player Stats'!P31</f>
        <v>50</v>
      </c>
      <c r="Q24">
        <f>'Team and Player Stats'!Q31</f>
        <v>22</v>
      </c>
      <c r="R24">
        <f>'Team and Player Stats'!R31</f>
        <v>57</v>
      </c>
      <c r="S24">
        <f>'Team and Player Stats'!S31</f>
        <v>31</v>
      </c>
      <c r="T24">
        <f>'Team and Player Stats'!T31</f>
        <v>189</v>
      </c>
      <c r="U24">
        <f>'Team and Player Stats'!U31</f>
        <v>48</v>
      </c>
      <c r="V24">
        <f>'Team and Player Stats'!V31</f>
        <v>18</v>
      </c>
      <c r="W24">
        <f>'Team and Player Stats'!W31</f>
        <v>2</v>
      </c>
      <c r="X24">
        <f>'Team and Player Stats'!X31</f>
        <v>0</v>
      </c>
      <c r="Y24">
        <f>'Team and Player Stats'!Y31</f>
        <v>0</v>
      </c>
      <c r="Z24">
        <f>'Team and Player Stats'!Z31</f>
        <v>0</v>
      </c>
      <c r="AA24">
        <f>'Team and Player Stats'!AA31</f>
        <v>0</v>
      </c>
      <c r="AB24">
        <f>'Team and Player Stats'!AB31</f>
        <v>0</v>
      </c>
      <c r="AC24">
        <f>'Team and Player Stats'!AC31</f>
        <v>33</v>
      </c>
      <c r="AD24">
        <f>'Team and Player Stats'!AD31</f>
        <v>1</v>
      </c>
      <c r="AE24">
        <f>'Team and Player Stats'!AE31</f>
        <v>0</v>
      </c>
      <c r="AF24">
        <f>'Team and Player Stats'!AF31</f>
        <v>0</v>
      </c>
      <c r="AG24">
        <f>'Team and Player Stats'!AG31</f>
        <v>0</v>
      </c>
      <c r="AH24">
        <f>'Team and Player Stats'!AH31</f>
        <v>1</v>
      </c>
    </row>
    <row r="25">
      <c r="A25" s="97" t="str">
        <f>'Team and Player Stats'!B32</f>
        <v>El Diablo x230x</v>
      </c>
      <c r="B25" s="97" t="str">
        <f>'Team and Player Stats'!A32</f>
        <v>Truthless and the Truthlessettes</v>
      </c>
      <c r="C25" s="97">
        <f>'Team and Player Stats'!C32</f>
        <v>15</v>
      </c>
      <c r="D25" s="97">
        <f>'Team and Player Stats'!D32</f>
        <v>3</v>
      </c>
      <c r="E25" s="98">
        <f>'Team and Player Stats'!E32</f>
        <v>321.0166667</v>
      </c>
      <c r="F25" s="97">
        <f>'Team and Player Stats'!F32</f>
        <v>4</v>
      </c>
      <c r="G25" s="97">
        <f>'Team and Player Stats'!G32</f>
        <v>1214</v>
      </c>
      <c r="H25" s="97">
        <f>'Team and Player Stats'!H32</f>
        <v>11</v>
      </c>
      <c r="I25" s="97">
        <f>'Team and Player Stats'!I32</f>
        <v>1249</v>
      </c>
      <c r="J25" s="97">
        <f>'Team and Player Stats'!J32</f>
        <v>-35</v>
      </c>
      <c r="K25" s="99">
        <f>'Team and Player Stats'!K32</f>
        <v>0.9719775821</v>
      </c>
      <c r="L25" s="98">
        <f>'Team and Player Stats'!L32</f>
        <v>195</v>
      </c>
      <c r="M25" s="97">
        <f>'Team and Player Stats'!M32</f>
        <v>1516</v>
      </c>
      <c r="N25" s="97">
        <f>'Team and Player Stats'!N32</f>
        <v>15</v>
      </c>
      <c r="O25" s="100">
        <f>'Team and Player Stats'!O32</f>
        <v>321.0166667</v>
      </c>
      <c r="P25" s="97">
        <f>'Team and Player Stats'!P32</f>
        <v>36</v>
      </c>
      <c r="Q25" s="97">
        <f>'Team and Player Stats'!Q32</f>
        <v>24</v>
      </c>
      <c r="R25" s="97">
        <f>'Team and Player Stats'!R32</f>
        <v>88</v>
      </c>
      <c r="S25" s="97">
        <f>'Team and Player Stats'!S32</f>
        <v>20</v>
      </c>
      <c r="T25" s="97">
        <f>'Team and Player Stats'!T32</f>
        <v>157</v>
      </c>
      <c r="U25" s="97">
        <f>'Team and Player Stats'!U32</f>
        <v>30</v>
      </c>
      <c r="V25" s="97">
        <f>'Team and Player Stats'!V32</f>
        <v>10</v>
      </c>
      <c r="W25" s="97">
        <f>'Team and Player Stats'!W32</f>
        <v>3</v>
      </c>
      <c r="X25" s="97">
        <f>'Team and Player Stats'!X32</f>
        <v>1</v>
      </c>
      <c r="Y25" s="97">
        <f>'Team and Player Stats'!Y32</f>
        <v>0</v>
      </c>
      <c r="Z25" s="97">
        <f>'Team and Player Stats'!Z32</f>
        <v>0</v>
      </c>
      <c r="AA25" s="97">
        <f>'Team and Player Stats'!AA32</f>
        <v>0</v>
      </c>
      <c r="AB25" s="97">
        <f>'Team and Player Stats'!AB32</f>
        <v>0</v>
      </c>
      <c r="AC25" s="97">
        <f>'Team and Player Stats'!AC32</f>
        <v>14</v>
      </c>
      <c r="AD25" s="97">
        <f>'Team and Player Stats'!AD32</f>
        <v>0</v>
      </c>
      <c r="AE25" s="97">
        <f>'Team and Player Stats'!AE32</f>
        <v>0</v>
      </c>
      <c r="AF25" s="97">
        <f>'Team and Player Stats'!AF32</f>
        <v>0</v>
      </c>
      <c r="AG25" s="97">
        <f>'Team and Player Stats'!AG32</f>
        <v>0</v>
      </c>
      <c r="AH25" s="97">
        <f>'Team and Player Stats'!AH32</f>
        <v>0</v>
      </c>
    </row>
    <row r="26">
      <c r="A26" t="str">
        <f>'Team and Player Stats'!B33</f>
        <v>TwitchTvSnipezz</v>
      </c>
      <c r="B26" t="str">
        <f>'Team and Player Stats'!A33</f>
        <v>Truthless and the Truthlessettes</v>
      </c>
      <c r="C26">
        <f>'Team and Player Stats'!C33</f>
        <v>8</v>
      </c>
      <c r="D26">
        <f>'Team and Player Stats'!D33</f>
        <v>1</v>
      </c>
      <c r="E26" s="101">
        <f>'Team and Player Stats'!E33</f>
        <v>169.5333333</v>
      </c>
      <c r="F26">
        <f>'Team and Player Stats'!F33</f>
        <v>2</v>
      </c>
      <c r="G26">
        <f>'Team and Player Stats'!G33</f>
        <v>671</v>
      </c>
      <c r="H26">
        <f>'Team and Player Stats'!H33</f>
        <v>3</v>
      </c>
      <c r="I26">
        <f>'Team and Player Stats'!I33</f>
        <v>635</v>
      </c>
      <c r="J26">
        <f>'Team and Player Stats'!J33</f>
        <v>36</v>
      </c>
      <c r="K26" s="102">
        <f>'Team and Player Stats'!K33</f>
        <v>1.056692913</v>
      </c>
      <c r="L26" s="101">
        <f>'Team and Player Stats'!L33</f>
        <v>108</v>
      </c>
      <c r="M26">
        <f>'Team and Player Stats'!M33</f>
        <v>877</v>
      </c>
      <c r="N26">
        <f>'Team and Player Stats'!N33</f>
        <v>8</v>
      </c>
      <c r="O26" s="103">
        <f>'Team and Player Stats'!O33</f>
        <v>169.5333333</v>
      </c>
      <c r="P26">
        <f>'Team and Player Stats'!P33</f>
        <v>23</v>
      </c>
      <c r="Q26">
        <f>'Team and Player Stats'!Q33</f>
        <v>7</v>
      </c>
      <c r="R26">
        <f>'Team and Player Stats'!R33</f>
        <v>35</v>
      </c>
      <c r="S26">
        <f>'Team and Player Stats'!S33</f>
        <v>13</v>
      </c>
      <c r="T26">
        <f>'Team and Player Stats'!T33</f>
        <v>104</v>
      </c>
      <c r="U26">
        <f>'Team and Player Stats'!U33</f>
        <v>26</v>
      </c>
      <c r="V26">
        <f>'Team and Player Stats'!V33</f>
        <v>7</v>
      </c>
      <c r="W26">
        <f>'Team and Player Stats'!W33</f>
        <v>1</v>
      </c>
      <c r="X26">
        <f>'Team and Player Stats'!X33</f>
        <v>0</v>
      </c>
      <c r="Y26">
        <f>'Team and Player Stats'!Y33</f>
        <v>0</v>
      </c>
      <c r="Z26">
        <f>'Team and Player Stats'!Z33</f>
        <v>0</v>
      </c>
      <c r="AA26">
        <f>'Team and Player Stats'!AA33</f>
        <v>0</v>
      </c>
      <c r="AB26">
        <f>'Team and Player Stats'!AB33</f>
        <v>0</v>
      </c>
      <c r="AC26">
        <f>'Team and Player Stats'!AC33</f>
        <v>20</v>
      </c>
      <c r="AD26">
        <f>'Team and Player Stats'!AD33</f>
        <v>0</v>
      </c>
      <c r="AE26">
        <f>'Team and Player Stats'!AE33</f>
        <v>0</v>
      </c>
      <c r="AF26">
        <f>'Team and Player Stats'!AF33</f>
        <v>0</v>
      </c>
      <c r="AG26">
        <f>'Team and Player Stats'!AG33</f>
        <v>0</v>
      </c>
      <c r="AH26">
        <f>'Team and Player Stats'!AH33</f>
        <v>0</v>
      </c>
    </row>
    <row r="27">
      <c r="A27" s="97" t="str">
        <f>'Team and Player Stats'!B34</f>
        <v>Myst The Cold</v>
      </c>
      <c r="B27" s="97" t="str">
        <f>'Team and Player Stats'!A34</f>
        <v>Truthless and the Truthlessettes</v>
      </c>
      <c r="C27" s="97">
        <f>'Team and Player Stats'!C34</f>
        <v>7</v>
      </c>
      <c r="D27" s="97">
        <f>'Team and Player Stats'!D34</f>
        <v>2</v>
      </c>
      <c r="E27" s="98">
        <f>'Team and Player Stats'!E34</f>
        <v>157.3166667</v>
      </c>
      <c r="F27" s="97">
        <f>'Team and Player Stats'!F34</f>
        <v>2</v>
      </c>
      <c r="G27" s="97">
        <f>'Team and Player Stats'!G34</f>
        <v>521</v>
      </c>
      <c r="H27" s="97">
        <f>'Team and Player Stats'!H34</f>
        <v>4</v>
      </c>
      <c r="I27" s="97">
        <f>'Team and Player Stats'!I34</f>
        <v>583</v>
      </c>
      <c r="J27" s="97">
        <f>'Team and Player Stats'!J34</f>
        <v>-62</v>
      </c>
      <c r="K27" s="99">
        <f>'Team and Player Stats'!K34</f>
        <v>0.8936535163</v>
      </c>
      <c r="L27" s="98">
        <f>'Team and Player Stats'!L34</f>
        <v>125</v>
      </c>
      <c r="M27" s="97">
        <f>'Team and Player Stats'!M34</f>
        <v>640</v>
      </c>
      <c r="N27" s="97">
        <f>'Team and Player Stats'!N34</f>
        <v>7</v>
      </c>
      <c r="O27" s="100">
        <f>'Team and Player Stats'!O34</f>
        <v>157.3166667</v>
      </c>
      <c r="P27" s="97">
        <f>'Team and Player Stats'!P34</f>
        <v>17</v>
      </c>
      <c r="Q27" s="97">
        <f>'Team and Player Stats'!Q34</f>
        <v>11</v>
      </c>
      <c r="R27" s="97">
        <f>'Team and Player Stats'!R34</f>
        <v>28</v>
      </c>
      <c r="S27" s="97">
        <f>'Team and Player Stats'!S34</f>
        <v>15</v>
      </c>
      <c r="T27" s="97">
        <f>'Team and Player Stats'!T34</f>
        <v>59</v>
      </c>
      <c r="U27" s="97">
        <f>'Team and Player Stats'!U34</f>
        <v>6</v>
      </c>
      <c r="V27" s="97">
        <f>'Team and Player Stats'!V34</f>
        <v>0</v>
      </c>
      <c r="W27" s="97">
        <f>'Team and Player Stats'!W34</f>
        <v>0</v>
      </c>
      <c r="X27" s="97">
        <f>'Team and Player Stats'!X34</f>
        <v>0</v>
      </c>
      <c r="Y27" s="97">
        <f>'Team and Player Stats'!Y34</f>
        <v>0</v>
      </c>
      <c r="Z27" s="97">
        <f>'Team and Player Stats'!Z34</f>
        <v>0</v>
      </c>
      <c r="AA27" s="97">
        <f>'Team and Player Stats'!AA34</f>
        <v>0</v>
      </c>
      <c r="AB27" s="97">
        <f>'Team and Player Stats'!AB34</f>
        <v>0</v>
      </c>
      <c r="AC27" s="97">
        <f>'Team and Player Stats'!AC34</f>
        <v>5</v>
      </c>
      <c r="AD27" s="97">
        <f>'Team and Player Stats'!AD34</f>
        <v>0</v>
      </c>
      <c r="AE27" s="97">
        <f>'Team and Player Stats'!AE34</f>
        <v>0</v>
      </c>
      <c r="AF27" s="97">
        <f>'Team and Player Stats'!AF34</f>
        <v>0</v>
      </c>
      <c r="AG27" s="97">
        <f>'Team and Player Stats'!AG34</f>
        <v>0</v>
      </c>
      <c r="AH27" s="97">
        <f>'Team and Player Stats'!AH34</f>
        <v>0</v>
      </c>
    </row>
    <row r="28">
      <c r="A28" t="str">
        <f>'Team and Player Stats'!B35</f>
        <v>Molotov Ghost</v>
      </c>
      <c r="B28" t="str">
        <f>'Team and Player Stats'!A35</f>
        <v>Truthless and the Truthlessettes</v>
      </c>
      <c r="C28">
        <f>'Team and Player Stats'!C35</f>
        <v>13</v>
      </c>
      <c r="D28">
        <f>'Team and Player Stats'!D35</f>
        <v>3</v>
      </c>
      <c r="E28" s="101">
        <f>'Team and Player Stats'!E35</f>
        <v>295.4666667</v>
      </c>
      <c r="F28">
        <f>'Team and Player Stats'!F35</f>
        <v>16</v>
      </c>
      <c r="G28">
        <f>'Team and Player Stats'!G35</f>
        <v>480</v>
      </c>
      <c r="H28">
        <f>'Team and Player Stats'!H35</f>
        <v>3</v>
      </c>
      <c r="I28">
        <f>'Team and Player Stats'!I35</f>
        <v>843</v>
      </c>
      <c r="J28">
        <f>'Team and Player Stats'!J35</f>
        <v>-363</v>
      </c>
      <c r="K28" s="102">
        <f>'Team and Player Stats'!K35</f>
        <v>0.5693950178</v>
      </c>
      <c r="L28" s="101">
        <f>'Team and Player Stats'!L35</f>
        <v>222</v>
      </c>
      <c r="M28">
        <f>'Team and Player Stats'!M35</f>
        <v>575</v>
      </c>
      <c r="N28">
        <f>'Team and Player Stats'!N35</f>
        <v>13</v>
      </c>
      <c r="O28" s="103">
        <f>'Team and Player Stats'!O35</f>
        <v>295.4666667</v>
      </c>
      <c r="P28">
        <f>'Team and Player Stats'!P35</f>
        <v>28</v>
      </c>
      <c r="Q28">
        <f>'Team and Player Stats'!Q35</f>
        <v>24</v>
      </c>
      <c r="R28">
        <f>'Team and Player Stats'!R35</f>
        <v>9</v>
      </c>
      <c r="S28">
        <f>'Team and Player Stats'!S35</f>
        <v>15</v>
      </c>
      <c r="T28">
        <f>'Team and Player Stats'!T35</f>
        <v>41</v>
      </c>
      <c r="U28">
        <f>'Team and Player Stats'!U35</f>
        <v>4</v>
      </c>
      <c r="V28">
        <f>'Team and Player Stats'!V35</f>
        <v>0</v>
      </c>
      <c r="W28">
        <f>'Team and Player Stats'!W35</f>
        <v>0</v>
      </c>
      <c r="X28">
        <f>'Team and Player Stats'!X35</f>
        <v>0</v>
      </c>
      <c r="Y28">
        <f>'Team and Player Stats'!Y35</f>
        <v>0</v>
      </c>
      <c r="Z28">
        <f>'Team and Player Stats'!Z35</f>
        <v>0</v>
      </c>
      <c r="AA28">
        <f>'Team and Player Stats'!AA35</f>
        <v>0</v>
      </c>
      <c r="AB28">
        <f>'Team and Player Stats'!AB35</f>
        <v>0</v>
      </c>
      <c r="AC28">
        <f>'Team and Player Stats'!AC35</f>
        <v>1</v>
      </c>
      <c r="AD28">
        <f>'Team and Player Stats'!AD35</f>
        <v>0</v>
      </c>
      <c r="AE28">
        <f>'Team and Player Stats'!AE35</f>
        <v>0</v>
      </c>
      <c r="AF28">
        <f>'Team and Player Stats'!AF35</f>
        <v>0</v>
      </c>
      <c r="AG28">
        <f>'Team and Player Stats'!AG35</f>
        <v>0</v>
      </c>
      <c r="AH28">
        <f>'Team and Player Stats'!AH35</f>
        <v>0</v>
      </c>
    </row>
    <row r="29">
      <c r="A29" s="97" t="str">
        <f>'Team and Player Stats'!B38</f>
        <v>Juc</v>
      </c>
      <c r="B29" s="97" t="str">
        <f>'Team and Player Stats'!A38</f>
        <v>On the Fence</v>
      </c>
      <c r="C29" s="97">
        <f>'Team and Player Stats'!C38</f>
        <v>12</v>
      </c>
      <c r="D29" s="97">
        <f>'Team and Player Stats'!D38</f>
        <v>1</v>
      </c>
      <c r="E29" s="98">
        <f>'Team and Player Stats'!E38</f>
        <v>248.2666667</v>
      </c>
      <c r="F29" s="97">
        <f>'Team and Player Stats'!F38</f>
        <v>3</v>
      </c>
      <c r="G29" s="97">
        <f>'Team and Player Stats'!G38</f>
        <v>830</v>
      </c>
      <c r="H29" s="97">
        <f>'Team and Player Stats'!H38</f>
        <v>7</v>
      </c>
      <c r="I29" s="97">
        <f>'Team and Player Stats'!I38</f>
        <v>1060</v>
      </c>
      <c r="J29" s="97">
        <f>'Team and Player Stats'!J38</f>
        <v>-230</v>
      </c>
      <c r="K29" s="99">
        <f>'Team and Player Stats'!K38</f>
        <v>0.7830188679</v>
      </c>
      <c r="L29" s="98">
        <f>'Team and Player Stats'!L38</f>
        <v>130</v>
      </c>
      <c r="M29" s="97">
        <f>'Team and Player Stats'!M38</f>
        <v>1053</v>
      </c>
      <c r="N29" s="97">
        <f>'Team and Player Stats'!N38</f>
        <v>12</v>
      </c>
      <c r="O29" s="100">
        <f>'Team and Player Stats'!O38</f>
        <v>248.2666667</v>
      </c>
      <c r="P29" s="97">
        <f>'Team and Player Stats'!P38</f>
        <v>27</v>
      </c>
      <c r="Q29" s="97">
        <f>'Team and Player Stats'!Q38</f>
        <v>19</v>
      </c>
      <c r="R29" s="97">
        <f>'Team and Player Stats'!R38</f>
        <v>40</v>
      </c>
      <c r="S29" s="97">
        <f>'Team and Player Stats'!S38</f>
        <v>14</v>
      </c>
      <c r="T29" s="97">
        <f>'Team and Player Stats'!T38</f>
        <v>120</v>
      </c>
      <c r="U29" s="97">
        <f>'Team and Player Stats'!U38</f>
        <v>19</v>
      </c>
      <c r="V29" s="97">
        <f>'Team and Player Stats'!V38</f>
        <v>7</v>
      </c>
      <c r="W29" s="97">
        <f>'Team and Player Stats'!W38</f>
        <v>3</v>
      </c>
      <c r="X29" s="97">
        <f>'Team and Player Stats'!X38</f>
        <v>0</v>
      </c>
      <c r="Y29" s="97">
        <f>'Team and Player Stats'!Y38</f>
        <v>0</v>
      </c>
      <c r="Z29" s="97">
        <f>'Team and Player Stats'!Z38</f>
        <v>0</v>
      </c>
      <c r="AA29" s="97">
        <f>'Team and Player Stats'!AA38</f>
        <v>0</v>
      </c>
      <c r="AB29" s="97">
        <f>'Team and Player Stats'!AB38</f>
        <v>0</v>
      </c>
      <c r="AC29" s="97">
        <f>'Team and Player Stats'!AC38</f>
        <v>19</v>
      </c>
      <c r="AD29" s="97">
        <f>'Team and Player Stats'!AD38</f>
        <v>0</v>
      </c>
      <c r="AE29" s="97">
        <f>'Team and Player Stats'!AE38</f>
        <v>0</v>
      </c>
      <c r="AF29" s="97">
        <f>'Team and Player Stats'!AF38</f>
        <v>0</v>
      </c>
      <c r="AG29" s="97">
        <f>'Team and Player Stats'!AG38</f>
        <v>0</v>
      </c>
      <c r="AH29" s="97">
        <f>'Team and Player Stats'!AH38</f>
        <v>0</v>
      </c>
    </row>
    <row r="30">
      <c r="A30" t="str">
        <f>'Team and Player Stats'!B39</f>
        <v>Ace B S1lentND1</v>
      </c>
      <c r="B30" t="str">
        <f>'Team and Player Stats'!A39</f>
        <v>On the Fence</v>
      </c>
      <c r="C30">
        <f>'Team and Player Stats'!C39</f>
        <v>14</v>
      </c>
      <c r="D30">
        <f>'Team and Player Stats'!D39</f>
        <v>3</v>
      </c>
      <c r="E30" s="101">
        <f>'Team and Player Stats'!E39</f>
        <v>285.2</v>
      </c>
      <c r="F30">
        <f>'Team and Player Stats'!F39</f>
        <v>12</v>
      </c>
      <c r="G30">
        <f>'Team and Player Stats'!G39</f>
        <v>960</v>
      </c>
      <c r="H30">
        <f>'Team and Player Stats'!H39</f>
        <v>6</v>
      </c>
      <c r="I30">
        <f>'Team and Player Stats'!I39</f>
        <v>958</v>
      </c>
      <c r="J30">
        <f>'Team and Player Stats'!J39</f>
        <v>2</v>
      </c>
      <c r="K30" s="102">
        <f>'Team and Player Stats'!K39</f>
        <v>1.002087683</v>
      </c>
      <c r="L30" s="101">
        <f>'Team and Player Stats'!L39</f>
        <v>212</v>
      </c>
      <c r="M30">
        <f>'Team and Player Stats'!M39</f>
        <v>1246</v>
      </c>
      <c r="N30">
        <f>'Team and Player Stats'!N39</f>
        <v>14</v>
      </c>
      <c r="O30" s="103">
        <f>'Team and Player Stats'!O39</f>
        <v>285.2</v>
      </c>
      <c r="P30">
        <f>'Team and Player Stats'!P39</f>
        <v>50</v>
      </c>
      <c r="Q30">
        <f>'Team and Player Stats'!Q39</f>
        <v>16</v>
      </c>
      <c r="R30">
        <f>'Team and Player Stats'!R39</f>
        <v>57</v>
      </c>
      <c r="S30">
        <f>'Team and Player Stats'!S39</f>
        <v>18</v>
      </c>
      <c r="T30">
        <f>'Team and Player Stats'!T39</f>
        <v>144</v>
      </c>
      <c r="U30">
        <f>'Team and Player Stats'!U39</f>
        <v>24</v>
      </c>
      <c r="V30">
        <f>'Team and Player Stats'!V39</f>
        <v>8</v>
      </c>
      <c r="W30">
        <f>'Team and Player Stats'!W39</f>
        <v>4</v>
      </c>
      <c r="X30">
        <f>'Team and Player Stats'!X39</f>
        <v>2</v>
      </c>
      <c r="Y30">
        <f>'Team and Player Stats'!Y39</f>
        <v>0</v>
      </c>
      <c r="Z30">
        <f>'Team and Player Stats'!Z39</f>
        <v>0</v>
      </c>
      <c r="AA30">
        <f>'Team and Player Stats'!AA39</f>
        <v>0</v>
      </c>
      <c r="AB30">
        <f>'Team and Player Stats'!AB39</f>
        <v>0</v>
      </c>
      <c r="AC30">
        <f>'Team and Player Stats'!AC39</f>
        <v>22</v>
      </c>
      <c r="AD30">
        <f>'Team and Player Stats'!AD39</f>
        <v>1</v>
      </c>
      <c r="AE30">
        <f>'Team and Player Stats'!AE39</f>
        <v>0</v>
      </c>
      <c r="AF30">
        <f>'Team and Player Stats'!AF39</f>
        <v>0</v>
      </c>
      <c r="AG30">
        <f>'Team and Player Stats'!AG39</f>
        <v>0</v>
      </c>
      <c r="AH30">
        <f>'Team and Player Stats'!AH39</f>
        <v>1</v>
      </c>
    </row>
    <row r="31">
      <c r="A31" s="97" t="str">
        <f>'Team and Player Stats'!B40</f>
        <v>Itz Rainin MenZ</v>
      </c>
      <c r="B31" s="97" t="str">
        <f>'Team and Player Stats'!A40</f>
        <v>On the Fence</v>
      </c>
      <c r="C31" s="97">
        <f>'Team and Player Stats'!C40</f>
        <v>14</v>
      </c>
      <c r="D31" s="97">
        <f>'Team and Player Stats'!D40</f>
        <v>3</v>
      </c>
      <c r="E31" s="98">
        <f>'Team and Player Stats'!E40</f>
        <v>285.2333333</v>
      </c>
      <c r="F31" s="97">
        <f>'Team and Player Stats'!F40</f>
        <v>4</v>
      </c>
      <c r="G31" s="97">
        <f>'Team and Player Stats'!G40</f>
        <v>924</v>
      </c>
      <c r="H31" s="97">
        <f>'Team and Player Stats'!H40</f>
        <v>5</v>
      </c>
      <c r="I31" s="97">
        <f>'Team and Player Stats'!I40</f>
        <v>932</v>
      </c>
      <c r="J31" s="97">
        <f>'Team and Player Stats'!J40</f>
        <v>-8</v>
      </c>
      <c r="K31" s="99">
        <f>'Team and Player Stats'!K40</f>
        <v>0.991416309</v>
      </c>
      <c r="L31" s="98">
        <f>'Team and Player Stats'!L40</f>
        <v>215</v>
      </c>
      <c r="M31" s="97">
        <f>'Team and Player Stats'!M40</f>
        <v>1188</v>
      </c>
      <c r="N31" s="97">
        <f>'Team and Player Stats'!N40</f>
        <v>14</v>
      </c>
      <c r="O31" s="100">
        <f>'Team and Player Stats'!O40</f>
        <v>285.2333333</v>
      </c>
      <c r="P31" s="97">
        <f>'Team and Player Stats'!P40</f>
        <v>43</v>
      </c>
      <c r="Q31" s="97">
        <f>'Team and Player Stats'!Q40</f>
        <v>26</v>
      </c>
      <c r="R31" s="97">
        <f>'Team and Player Stats'!R40</f>
        <v>63</v>
      </c>
      <c r="S31" s="97">
        <f>'Team and Player Stats'!S40</f>
        <v>23</v>
      </c>
      <c r="T31" s="97">
        <f>'Team and Player Stats'!T40</f>
        <v>117</v>
      </c>
      <c r="U31" s="97">
        <f>'Team and Player Stats'!U40</f>
        <v>24</v>
      </c>
      <c r="V31" s="97">
        <f>'Team and Player Stats'!V40</f>
        <v>5</v>
      </c>
      <c r="W31" s="97">
        <f>'Team and Player Stats'!W40</f>
        <v>3</v>
      </c>
      <c r="X31" s="97">
        <f>'Team and Player Stats'!X40</f>
        <v>1</v>
      </c>
      <c r="Y31" s="97">
        <f>'Team and Player Stats'!Y40</f>
        <v>0</v>
      </c>
      <c r="Z31" s="97">
        <f>'Team and Player Stats'!Z40</f>
        <v>0</v>
      </c>
      <c r="AA31" s="97">
        <f>'Team and Player Stats'!AA40</f>
        <v>0</v>
      </c>
      <c r="AB31" s="97">
        <f>'Team and Player Stats'!AB40</f>
        <v>0</v>
      </c>
      <c r="AC31" s="97">
        <f>'Team and Player Stats'!AC40</f>
        <v>18</v>
      </c>
      <c r="AD31" s="97">
        <f>'Team and Player Stats'!AD40</f>
        <v>0</v>
      </c>
      <c r="AE31" s="97">
        <f>'Team and Player Stats'!AE40</f>
        <v>0</v>
      </c>
      <c r="AF31" s="97">
        <f>'Team and Player Stats'!AF40</f>
        <v>0</v>
      </c>
      <c r="AG31" s="97">
        <f>'Team and Player Stats'!AG40</f>
        <v>1</v>
      </c>
      <c r="AH31" s="97">
        <f>'Team and Player Stats'!AH40</f>
        <v>1</v>
      </c>
    </row>
    <row r="32">
      <c r="A32" t="str">
        <f>'Team and Player Stats'!B41</f>
        <v>blim</v>
      </c>
      <c r="B32" t="str">
        <f>'Team and Player Stats'!A41</f>
        <v>On the Fence</v>
      </c>
      <c r="C32">
        <f>'Team and Player Stats'!C41</f>
        <v>13</v>
      </c>
      <c r="D32">
        <f>'Team and Player Stats'!D41</f>
        <v>2</v>
      </c>
      <c r="E32" s="101">
        <f>'Team and Player Stats'!E41</f>
        <v>271.15</v>
      </c>
      <c r="F32">
        <f>'Team and Player Stats'!F41</f>
        <v>10</v>
      </c>
      <c r="G32">
        <f>'Team and Player Stats'!G41</f>
        <v>815</v>
      </c>
      <c r="H32">
        <f>'Team and Player Stats'!H41</f>
        <v>3</v>
      </c>
      <c r="I32">
        <f>'Team and Player Stats'!I41</f>
        <v>835</v>
      </c>
      <c r="J32">
        <f>'Team and Player Stats'!J41</f>
        <v>-20</v>
      </c>
      <c r="K32" s="102">
        <f>'Team and Player Stats'!K41</f>
        <v>0.9760479042</v>
      </c>
      <c r="L32" s="101">
        <f>'Team and Player Stats'!L41</f>
        <v>222</v>
      </c>
      <c r="M32">
        <f>'Team and Player Stats'!M41</f>
        <v>1053</v>
      </c>
      <c r="N32">
        <f>'Team and Player Stats'!N41</f>
        <v>13</v>
      </c>
      <c r="O32" s="103">
        <f>'Team and Player Stats'!O41</f>
        <v>271.15</v>
      </c>
      <c r="P32">
        <f>'Team and Player Stats'!P41</f>
        <v>38</v>
      </c>
      <c r="Q32">
        <f>'Team and Player Stats'!Q41</f>
        <v>18</v>
      </c>
      <c r="R32">
        <f>'Team and Player Stats'!R41</f>
        <v>47</v>
      </c>
      <c r="S32">
        <f>'Team and Player Stats'!S41</f>
        <v>22</v>
      </c>
      <c r="T32">
        <f>'Team and Player Stats'!T41</f>
        <v>124</v>
      </c>
      <c r="U32">
        <f>'Team and Player Stats'!U41</f>
        <v>19</v>
      </c>
      <c r="V32">
        <f>'Team and Player Stats'!V41</f>
        <v>3</v>
      </c>
      <c r="W32">
        <f>'Team and Player Stats'!W41</f>
        <v>1</v>
      </c>
      <c r="X32">
        <f>'Team and Player Stats'!X41</f>
        <v>1</v>
      </c>
      <c r="Y32">
        <f>'Team and Player Stats'!Y41</f>
        <v>1</v>
      </c>
      <c r="Z32">
        <f>'Team and Player Stats'!Z41</f>
        <v>0</v>
      </c>
      <c r="AA32">
        <f>'Team and Player Stats'!AA41</f>
        <v>0</v>
      </c>
      <c r="AB32">
        <f>'Team and Player Stats'!AB41</f>
        <v>0</v>
      </c>
      <c r="AC32">
        <f>'Team and Player Stats'!AC41</f>
        <v>21</v>
      </c>
      <c r="AD32">
        <f>'Team and Player Stats'!AD41</f>
        <v>0</v>
      </c>
      <c r="AE32">
        <f>'Team and Player Stats'!AE41</f>
        <v>0</v>
      </c>
      <c r="AF32">
        <f>'Team and Player Stats'!AF41</f>
        <v>0</v>
      </c>
      <c r="AG32">
        <f>'Team and Player Stats'!AG41</f>
        <v>1</v>
      </c>
      <c r="AH32">
        <f>'Team and Player Stats'!AH41</f>
        <v>0</v>
      </c>
    </row>
    <row r="33">
      <c r="A33" s="97" t="str">
        <f>'Team and Player Stats'!B42</f>
        <v>Hoffa 88</v>
      </c>
      <c r="B33" s="97" t="str">
        <f>'Team and Player Stats'!A42</f>
        <v>On the Fence</v>
      </c>
      <c r="C33" s="97">
        <f>'Team and Player Stats'!C42</f>
        <v>0</v>
      </c>
      <c r="D33" s="97">
        <f>'Team and Player Stats'!D42</f>
        <v>0</v>
      </c>
      <c r="E33" s="98">
        <f>'Team and Player Stats'!E42</f>
        <v>0</v>
      </c>
      <c r="F33" s="97">
        <f>'Team and Player Stats'!F42</f>
        <v>0</v>
      </c>
      <c r="G33" s="97">
        <f>'Team and Player Stats'!G42</f>
        <v>0</v>
      </c>
      <c r="H33" s="97">
        <f>'Team and Player Stats'!H42</f>
        <v>0</v>
      </c>
      <c r="I33" s="97">
        <f>'Team and Player Stats'!I42</f>
        <v>0</v>
      </c>
      <c r="J33" s="97">
        <f>'Team and Player Stats'!J42</f>
        <v>0</v>
      </c>
      <c r="K33" s="99" t="str">
        <f>'Team and Player Stats'!K42</f>
        <v>#DIV/0!</v>
      </c>
      <c r="L33" s="98">
        <f>'Team and Player Stats'!L42</f>
        <v>0</v>
      </c>
      <c r="M33" s="97">
        <f>'Team and Player Stats'!M42</f>
        <v>0</v>
      </c>
      <c r="N33" s="97">
        <f>'Team and Player Stats'!N42</f>
        <v>0</v>
      </c>
      <c r="O33" s="100">
        <f>'Team and Player Stats'!O42</f>
        <v>0</v>
      </c>
      <c r="P33" s="97">
        <f>'Team and Player Stats'!P42</f>
        <v>0</v>
      </c>
      <c r="Q33" s="97">
        <f>'Team and Player Stats'!Q42</f>
        <v>0</v>
      </c>
      <c r="R33" s="97">
        <f>'Team and Player Stats'!R42</f>
        <v>0</v>
      </c>
      <c r="S33" s="97">
        <f>'Team and Player Stats'!S42</f>
        <v>0</v>
      </c>
      <c r="T33" s="97">
        <f>'Team and Player Stats'!T42</f>
        <v>0</v>
      </c>
      <c r="U33" s="97">
        <f>'Team and Player Stats'!U42</f>
        <v>0</v>
      </c>
      <c r="V33" s="97">
        <f>'Team and Player Stats'!V42</f>
        <v>0</v>
      </c>
      <c r="W33" s="97">
        <f>'Team and Player Stats'!W42</f>
        <v>0</v>
      </c>
      <c r="X33" s="97">
        <f>'Team and Player Stats'!X42</f>
        <v>0</v>
      </c>
      <c r="Y33" s="97">
        <f>'Team and Player Stats'!Y42</f>
        <v>0</v>
      </c>
      <c r="Z33" s="97">
        <f>'Team and Player Stats'!Z42</f>
        <v>0</v>
      </c>
      <c r="AA33" s="97">
        <f>'Team and Player Stats'!AA42</f>
        <v>0</v>
      </c>
      <c r="AB33" s="97">
        <f>'Team and Player Stats'!AB42</f>
        <v>0</v>
      </c>
      <c r="AC33" s="97">
        <f>'Team and Player Stats'!AC42</f>
        <v>0</v>
      </c>
      <c r="AD33" s="97">
        <f>'Team and Player Stats'!AD42</f>
        <v>0</v>
      </c>
      <c r="AE33" s="97">
        <f>'Team and Player Stats'!AE42</f>
        <v>0</v>
      </c>
      <c r="AF33" s="97">
        <f>'Team and Player Stats'!AF42</f>
        <v>0</v>
      </c>
      <c r="AG33" s="97">
        <f>'Team and Player Stats'!AG42</f>
        <v>0</v>
      </c>
      <c r="AH33" s="97">
        <f>'Team and Player Stats'!AH42</f>
        <v>0</v>
      </c>
    </row>
    <row r="34">
      <c r="A34" t="str">
        <f>'Team and Player Stats'!B45</f>
        <v>Priest XYZ</v>
      </c>
      <c r="B34" t="str">
        <f>'Team and Player Stats'!A45</f>
        <v>Failure to Launch</v>
      </c>
      <c r="C34">
        <f>'Team and Player Stats'!C45</f>
        <v>17</v>
      </c>
      <c r="D34">
        <f>'Team and Player Stats'!D45</f>
        <v>10</v>
      </c>
      <c r="E34" s="101">
        <f>'Team and Player Stats'!E45</f>
        <v>487.7666667</v>
      </c>
      <c r="F34">
        <f>'Team and Player Stats'!F45</f>
        <v>49</v>
      </c>
      <c r="G34">
        <f>'Team and Player Stats'!G45</f>
        <v>971</v>
      </c>
      <c r="H34">
        <f>'Team and Player Stats'!H45</f>
        <v>9</v>
      </c>
      <c r="I34">
        <f>'Team and Player Stats'!I45</f>
        <v>1046</v>
      </c>
      <c r="J34">
        <f>'Team and Player Stats'!J45</f>
        <v>-75</v>
      </c>
      <c r="K34" s="102">
        <f>'Team and Player Stats'!K45</f>
        <v>0.9282982792</v>
      </c>
      <c r="L34" s="101">
        <f>'Team and Player Stats'!L45</f>
        <v>421</v>
      </c>
      <c r="M34">
        <f>'Team and Player Stats'!M45</f>
        <v>1248</v>
      </c>
      <c r="N34">
        <f>'Team and Player Stats'!N45</f>
        <v>17</v>
      </c>
      <c r="O34" s="103">
        <f>'Team and Player Stats'!O45</f>
        <v>487.7666667</v>
      </c>
      <c r="P34">
        <f>'Team and Player Stats'!P45</f>
        <v>48</v>
      </c>
      <c r="Q34">
        <f>'Team and Player Stats'!Q45</f>
        <v>40</v>
      </c>
      <c r="R34">
        <f>'Team and Player Stats'!R45</f>
        <v>53</v>
      </c>
      <c r="S34">
        <f>'Team and Player Stats'!S45</f>
        <v>22</v>
      </c>
      <c r="T34">
        <f>'Team and Player Stats'!T45</f>
        <v>103</v>
      </c>
      <c r="U34">
        <f>'Team and Player Stats'!U45</f>
        <v>13</v>
      </c>
      <c r="V34">
        <f>'Team and Player Stats'!V45</f>
        <v>4</v>
      </c>
      <c r="W34">
        <f>'Team and Player Stats'!W45</f>
        <v>0</v>
      </c>
      <c r="X34">
        <f>'Team and Player Stats'!X45</f>
        <v>0</v>
      </c>
      <c r="Y34">
        <f>'Team and Player Stats'!Y45</f>
        <v>0</v>
      </c>
      <c r="Z34">
        <f>'Team and Player Stats'!Z45</f>
        <v>0</v>
      </c>
      <c r="AA34">
        <f>'Team and Player Stats'!AA45</f>
        <v>0</v>
      </c>
      <c r="AB34">
        <f>'Team and Player Stats'!AB45</f>
        <v>0</v>
      </c>
      <c r="AC34">
        <f>'Team and Player Stats'!AC45</f>
        <v>17</v>
      </c>
      <c r="AD34">
        <f>'Team and Player Stats'!AD45</f>
        <v>1</v>
      </c>
      <c r="AE34">
        <f>'Team and Player Stats'!AE45</f>
        <v>0</v>
      </c>
      <c r="AF34">
        <f>'Team and Player Stats'!AF45</f>
        <v>0</v>
      </c>
      <c r="AG34">
        <f>'Team and Player Stats'!AG45</f>
        <v>0</v>
      </c>
      <c r="AH34">
        <f>'Team and Player Stats'!AH45</f>
        <v>0</v>
      </c>
    </row>
    <row r="35">
      <c r="A35" s="97" t="str">
        <f>'Team and Player Stats'!B46</f>
        <v>the man canon</v>
      </c>
      <c r="B35" s="97" t="str">
        <f>'Team and Player Stats'!A46</f>
        <v>Failure to Launch</v>
      </c>
      <c r="C35" s="97">
        <f>'Team and Player Stats'!C46</f>
        <v>17</v>
      </c>
      <c r="D35" s="97">
        <f>'Team and Player Stats'!D46</f>
        <v>10</v>
      </c>
      <c r="E35" s="98">
        <f>'Team and Player Stats'!E46</f>
        <v>486.3166667</v>
      </c>
      <c r="F35" s="97">
        <f>'Team and Player Stats'!F46</f>
        <v>5</v>
      </c>
      <c r="G35" s="97">
        <f>'Team and Player Stats'!G46</f>
        <v>1655</v>
      </c>
      <c r="H35" s="97">
        <f>'Team and Player Stats'!H46</f>
        <v>5</v>
      </c>
      <c r="I35" s="97">
        <f>'Team and Player Stats'!I46</f>
        <v>1604</v>
      </c>
      <c r="J35" s="97">
        <f>'Team and Player Stats'!J46</f>
        <v>51</v>
      </c>
      <c r="K35" s="99">
        <f>'Team and Player Stats'!K46</f>
        <v>1.031795511</v>
      </c>
      <c r="L35" s="98">
        <f>'Team and Player Stats'!L46</f>
        <v>245</v>
      </c>
      <c r="M35" s="97">
        <f>'Team and Player Stats'!M46</f>
        <v>2139</v>
      </c>
      <c r="N35" s="97">
        <f>'Team and Player Stats'!N46</f>
        <v>17</v>
      </c>
      <c r="O35" s="100">
        <f>'Team and Player Stats'!O46</f>
        <v>486.3166667</v>
      </c>
      <c r="P35" s="97">
        <f>'Team and Player Stats'!P46</f>
        <v>82</v>
      </c>
      <c r="Q35" s="97">
        <f>'Team and Player Stats'!Q46</f>
        <v>25</v>
      </c>
      <c r="R35" s="97">
        <f>'Team and Player Stats'!R46</f>
        <v>143</v>
      </c>
      <c r="S35" s="97">
        <f>'Team and Player Stats'!S46</f>
        <v>26</v>
      </c>
      <c r="T35" s="97">
        <f>'Team and Player Stats'!T46</f>
        <v>223</v>
      </c>
      <c r="U35" s="97">
        <f>'Team and Player Stats'!U46</f>
        <v>46</v>
      </c>
      <c r="V35" s="97">
        <f>'Team and Player Stats'!V46</f>
        <v>9</v>
      </c>
      <c r="W35" s="97">
        <f>'Team and Player Stats'!W46</f>
        <v>1</v>
      </c>
      <c r="X35" s="97">
        <f>'Team and Player Stats'!X46</f>
        <v>0</v>
      </c>
      <c r="Y35" s="97">
        <f>'Team and Player Stats'!Y46</f>
        <v>0</v>
      </c>
      <c r="Z35" s="97">
        <f>'Team and Player Stats'!Z46</f>
        <v>0</v>
      </c>
      <c r="AA35" s="97">
        <f>'Team and Player Stats'!AA46</f>
        <v>0</v>
      </c>
      <c r="AB35" s="97">
        <f>'Team and Player Stats'!AB46</f>
        <v>0</v>
      </c>
      <c r="AC35" s="97">
        <f>'Team and Player Stats'!AC46</f>
        <v>32</v>
      </c>
      <c r="AD35" s="97">
        <f>'Team and Player Stats'!AD46</f>
        <v>0</v>
      </c>
      <c r="AE35" s="97">
        <f>'Team and Player Stats'!AE46</f>
        <v>0</v>
      </c>
      <c r="AF35" s="97">
        <f>'Team and Player Stats'!AF46</f>
        <v>0</v>
      </c>
      <c r="AG35" s="97">
        <f>'Team and Player Stats'!AG46</f>
        <v>0</v>
      </c>
      <c r="AH35" s="97">
        <f>'Team and Player Stats'!AH46</f>
        <v>0</v>
      </c>
    </row>
    <row r="36">
      <c r="A36" t="str">
        <f>'Team and Player Stats'!B47</f>
        <v> SILV3RI34CK</v>
      </c>
      <c r="B36" t="str">
        <f>'Team and Player Stats'!A47</f>
        <v>Failure to Launch</v>
      </c>
      <c r="C36">
        <f>'Team and Player Stats'!C47</f>
        <v>17</v>
      </c>
      <c r="D36">
        <f>'Team and Player Stats'!D47</f>
        <v>10</v>
      </c>
      <c r="E36" s="101">
        <f>'Team and Player Stats'!E47</f>
        <v>486.8666667</v>
      </c>
      <c r="F36">
        <f>'Team and Player Stats'!F47</f>
        <v>3</v>
      </c>
      <c r="G36">
        <f>'Team and Player Stats'!G47</f>
        <v>1542</v>
      </c>
      <c r="H36">
        <f>'Team and Player Stats'!H47</f>
        <v>10</v>
      </c>
      <c r="I36">
        <f>'Team and Player Stats'!I47</f>
        <v>1459</v>
      </c>
      <c r="J36">
        <f>'Team and Player Stats'!J47</f>
        <v>83</v>
      </c>
      <c r="K36" s="102">
        <f>'Team and Player Stats'!K47</f>
        <v>1.05688828</v>
      </c>
      <c r="L36" s="101">
        <f>'Team and Player Stats'!L47</f>
        <v>276</v>
      </c>
      <c r="M36">
        <f>'Team and Player Stats'!M47</f>
        <v>1959</v>
      </c>
      <c r="N36">
        <f>'Team and Player Stats'!N47</f>
        <v>17</v>
      </c>
      <c r="O36" s="103">
        <f>'Team and Player Stats'!O47</f>
        <v>486.8666667</v>
      </c>
      <c r="P36">
        <f>'Team and Player Stats'!P47</f>
        <v>65</v>
      </c>
      <c r="Q36">
        <f>'Team and Player Stats'!Q47</f>
        <v>25</v>
      </c>
      <c r="R36">
        <f>'Team and Player Stats'!R47</f>
        <v>178</v>
      </c>
      <c r="S36">
        <f>'Team and Player Stats'!S47</f>
        <v>31</v>
      </c>
      <c r="T36">
        <f>'Team and Player Stats'!T47</f>
        <v>177</v>
      </c>
      <c r="U36">
        <f>'Team and Player Stats'!U47</f>
        <v>21</v>
      </c>
      <c r="V36">
        <f>'Team and Player Stats'!V47</f>
        <v>6</v>
      </c>
      <c r="W36">
        <f>'Team and Player Stats'!W47</f>
        <v>1</v>
      </c>
      <c r="X36">
        <f>'Team and Player Stats'!X47</f>
        <v>0</v>
      </c>
      <c r="Y36">
        <f>'Team and Player Stats'!Y47</f>
        <v>0</v>
      </c>
      <c r="Z36">
        <f>'Team and Player Stats'!Z47</f>
        <v>0</v>
      </c>
      <c r="AA36">
        <f>'Team and Player Stats'!AA47</f>
        <v>0</v>
      </c>
      <c r="AB36">
        <f>'Team and Player Stats'!AB47</f>
        <v>0</v>
      </c>
      <c r="AC36">
        <f>'Team and Player Stats'!AC47</f>
        <v>25</v>
      </c>
      <c r="AD36">
        <f>'Team and Player Stats'!AD47</f>
        <v>0</v>
      </c>
      <c r="AE36">
        <f>'Team and Player Stats'!AE47</f>
        <v>0</v>
      </c>
      <c r="AF36">
        <f>'Team and Player Stats'!AF47</f>
        <v>0</v>
      </c>
      <c r="AG36">
        <f>'Team and Player Stats'!AG47</f>
        <v>0</v>
      </c>
      <c r="AH36">
        <f>'Team and Player Stats'!AH47</f>
        <v>0</v>
      </c>
    </row>
    <row r="37">
      <c r="A37" s="97" t="str">
        <f>'Team and Player Stats'!B48</f>
        <v>THEXILEDRAGON</v>
      </c>
      <c r="B37" s="97" t="str">
        <f>'Team and Player Stats'!A48</f>
        <v>Failure to Launch</v>
      </c>
      <c r="C37" s="97">
        <f>'Team and Player Stats'!C48</f>
        <v>0</v>
      </c>
      <c r="D37" s="97">
        <f>'Team and Player Stats'!D48</f>
        <v>0</v>
      </c>
      <c r="E37" s="98">
        <f>'Team and Player Stats'!E48</f>
        <v>0</v>
      </c>
      <c r="F37" s="97">
        <f>'Team and Player Stats'!F48</f>
        <v>0</v>
      </c>
      <c r="G37" s="97">
        <f>'Team and Player Stats'!G48</f>
        <v>0</v>
      </c>
      <c r="H37" s="97">
        <f>'Team and Player Stats'!H48</f>
        <v>0</v>
      </c>
      <c r="I37" s="97">
        <f>'Team and Player Stats'!I48</f>
        <v>0</v>
      </c>
      <c r="J37" s="97">
        <f>'Team and Player Stats'!J48</f>
        <v>0</v>
      </c>
      <c r="K37" s="99" t="str">
        <f>'Team and Player Stats'!K48</f>
        <v>#DIV/0!</v>
      </c>
      <c r="L37" s="98">
        <f>'Team and Player Stats'!L48</f>
        <v>0</v>
      </c>
      <c r="M37" s="97">
        <f>'Team and Player Stats'!M48</f>
        <v>0</v>
      </c>
      <c r="N37" s="97">
        <f>'Team and Player Stats'!N48</f>
        <v>0</v>
      </c>
      <c r="O37" s="100">
        <f>'Team and Player Stats'!O48</f>
        <v>0</v>
      </c>
      <c r="P37" s="97">
        <f>'Team and Player Stats'!P48</f>
        <v>0</v>
      </c>
      <c r="Q37" s="97">
        <f>'Team and Player Stats'!Q48</f>
        <v>0</v>
      </c>
      <c r="R37" s="97">
        <f>'Team and Player Stats'!R48</f>
        <v>0</v>
      </c>
      <c r="S37" s="97">
        <f>'Team and Player Stats'!S48</f>
        <v>0</v>
      </c>
      <c r="T37" s="97">
        <f>'Team and Player Stats'!T48</f>
        <v>0</v>
      </c>
      <c r="U37" s="97">
        <f>'Team and Player Stats'!U48</f>
        <v>0</v>
      </c>
      <c r="V37" s="97">
        <f>'Team and Player Stats'!V48</f>
        <v>0</v>
      </c>
      <c r="W37" s="97">
        <f>'Team and Player Stats'!W48</f>
        <v>0</v>
      </c>
      <c r="X37" s="97">
        <f>'Team and Player Stats'!X48</f>
        <v>0</v>
      </c>
      <c r="Y37" s="97">
        <f>'Team and Player Stats'!Y48</f>
        <v>0</v>
      </c>
      <c r="Z37" s="97">
        <f>'Team and Player Stats'!Z48</f>
        <v>0</v>
      </c>
      <c r="AA37" s="97">
        <f>'Team and Player Stats'!AA48</f>
        <v>0</v>
      </c>
      <c r="AB37" s="97">
        <f>'Team and Player Stats'!AB48</f>
        <v>0</v>
      </c>
      <c r="AC37" s="97">
        <f>'Team and Player Stats'!AC48</f>
        <v>0</v>
      </c>
      <c r="AD37" s="97">
        <f>'Team and Player Stats'!AD48</f>
        <v>0</v>
      </c>
      <c r="AE37" s="97">
        <f>'Team and Player Stats'!AE48</f>
        <v>0</v>
      </c>
      <c r="AF37" s="97">
        <f>'Team and Player Stats'!AF48</f>
        <v>0</v>
      </c>
      <c r="AG37" s="97">
        <f>'Team and Player Stats'!AG48</f>
        <v>0</v>
      </c>
      <c r="AH37" s="97">
        <f>'Team and Player Stats'!AH48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101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102">
        <f>'Team and Player Stats'!K49</f>
        <v>0.9448144624</v>
      </c>
      <c r="L38" s="101">
        <f>'Team and Player Stats'!L49</f>
        <v>127</v>
      </c>
      <c r="M38">
        <f>'Team and Player Stats'!M49</f>
        <v>1305</v>
      </c>
      <c r="N38">
        <f>'Team and Player Stats'!N49</f>
        <v>9</v>
      </c>
      <c r="O38" s="103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97" t="str">
        <f>'Team and Player Stats'!B52</f>
        <v>Doc Status</v>
      </c>
      <c r="B39" s="97" t="str">
        <f>'Team and Player Stats'!A52</f>
        <v>Silva's Connection</v>
      </c>
      <c r="C39" s="97">
        <f>'Team and Player Stats'!C52</f>
        <v>20</v>
      </c>
      <c r="D39" s="97">
        <f>'Team and Player Stats'!D52</f>
        <v>6</v>
      </c>
      <c r="E39" s="98">
        <f>'Team and Player Stats'!E52</f>
        <v>560.1333333</v>
      </c>
      <c r="F39" s="97">
        <f>'Team and Player Stats'!F52</f>
        <v>18</v>
      </c>
      <c r="G39" s="97">
        <f>'Team and Player Stats'!G52</f>
        <v>1680</v>
      </c>
      <c r="H39" s="97">
        <f>'Team and Player Stats'!H52</f>
        <v>9</v>
      </c>
      <c r="I39" s="97">
        <f>'Team and Player Stats'!I52</f>
        <v>1851</v>
      </c>
      <c r="J39" s="97">
        <f>'Team and Player Stats'!J52</f>
        <v>-171</v>
      </c>
      <c r="K39" s="99">
        <f>'Team and Player Stats'!K52</f>
        <v>0.9076175041</v>
      </c>
      <c r="L39" s="98">
        <f>'Team and Player Stats'!L52</f>
        <v>309</v>
      </c>
      <c r="M39" s="97">
        <f>'Team and Player Stats'!M52</f>
        <v>2097</v>
      </c>
      <c r="N39" s="97">
        <f>'Team and Player Stats'!N52</f>
        <v>20</v>
      </c>
      <c r="O39" s="100">
        <f>'Team and Player Stats'!O52</f>
        <v>560.1333333</v>
      </c>
      <c r="P39" s="97">
        <f>'Team and Player Stats'!P52</f>
        <v>73</v>
      </c>
      <c r="Q39" s="97">
        <f>'Team and Player Stats'!Q52</f>
        <v>30</v>
      </c>
      <c r="R39" s="97">
        <f>'Team and Player Stats'!R52</f>
        <v>103</v>
      </c>
      <c r="S39" s="97">
        <f>'Team and Player Stats'!S52</f>
        <v>36</v>
      </c>
      <c r="T39" s="97">
        <f>'Team and Player Stats'!T52</f>
        <v>202</v>
      </c>
      <c r="U39" s="97">
        <f>'Team and Player Stats'!U52</f>
        <v>36</v>
      </c>
      <c r="V39" s="97">
        <f>'Team and Player Stats'!V52</f>
        <v>6</v>
      </c>
      <c r="W39" s="97">
        <f>'Team and Player Stats'!W52</f>
        <v>3</v>
      </c>
      <c r="X39" s="97">
        <f>'Team and Player Stats'!X52</f>
        <v>1</v>
      </c>
      <c r="Y39" s="97">
        <f>'Team and Player Stats'!Y52</f>
        <v>0</v>
      </c>
      <c r="Z39" s="97">
        <f>'Team and Player Stats'!Z52</f>
        <v>0</v>
      </c>
      <c r="AA39" s="97">
        <f>'Team and Player Stats'!AA52</f>
        <v>0</v>
      </c>
      <c r="AB39" s="97">
        <f>'Team and Player Stats'!AB52</f>
        <v>0</v>
      </c>
      <c r="AC39" s="97">
        <f>'Team and Player Stats'!AC52</f>
        <v>26</v>
      </c>
      <c r="AD39" s="97">
        <f>'Team and Player Stats'!AD52</f>
        <v>1</v>
      </c>
      <c r="AE39" s="97">
        <f>'Team and Player Stats'!AE52</f>
        <v>0</v>
      </c>
      <c r="AF39" s="97">
        <f>'Team and Player Stats'!AF52</f>
        <v>0</v>
      </c>
      <c r="AG39" s="97">
        <f>'Team and Player Stats'!AG52</f>
        <v>0</v>
      </c>
      <c r="AH39" s="97">
        <f>'Team and Player Stats'!AH52</f>
        <v>4</v>
      </c>
    </row>
    <row r="40">
      <c r="A40" t="str">
        <f>'Team and Player Stats'!B53</f>
        <v>TnTaylor</v>
      </c>
      <c r="B40" t="str">
        <f>'Team and Player Stats'!A53</f>
        <v>Silva's Connection</v>
      </c>
      <c r="C40">
        <f>'Team and Player Stats'!C53</f>
        <v>20</v>
      </c>
      <c r="D40">
        <f>'Team and Player Stats'!D53</f>
        <v>6</v>
      </c>
      <c r="E40" s="101">
        <f>'Team and Player Stats'!E53</f>
        <v>560.9166667</v>
      </c>
      <c r="F40">
        <f>'Team and Player Stats'!F53</f>
        <v>10</v>
      </c>
      <c r="G40">
        <f>'Team and Player Stats'!G53</f>
        <v>1823</v>
      </c>
      <c r="H40">
        <f>'Team and Player Stats'!H53</f>
        <v>6</v>
      </c>
      <c r="I40">
        <f>'Team and Player Stats'!I53</f>
        <v>1752</v>
      </c>
      <c r="J40">
        <f>'Team and Player Stats'!J53</f>
        <v>71</v>
      </c>
      <c r="K40" s="102">
        <f>'Team and Player Stats'!K53</f>
        <v>1.040525114</v>
      </c>
      <c r="L40" s="101">
        <f>'Team and Player Stats'!L53</f>
        <v>329</v>
      </c>
      <c r="M40">
        <f>'Team and Player Stats'!M53</f>
        <v>2328</v>
      </c>
      <c r="N40">
        <f>'Team and Player Stats'!N53</f>
        <v>20</v>
      </c>
      <c r="O40" s="103">
        <f>'Team and Player Stats'!O53</f>
        <v>560.9166667</v>
      </c>
      <c r="P40">
        <f>'Team and Player Stats'!P53</f>
        <v>92</v>
      </c>
      <c r="Q40">
        <f>'Team and Player Stats'!Q53</f>
        <v>74</v>
      </c>
      <c r="R40">
        <f>'Team and Player Stats'!R53</f>
        <v>124</v>
      </c>
      <c r="S40">
        <f>'Team and Player Stats'!S53</f>
        <v>39</v>
      </c>
      <c r="T40">
        <f>'Team and Player Stats'!T53</f>
        <v>225</v>
      </c>
      <c r="U40">
        <f>'Team and Player Stats'!U53</f>
        <v>40</v>
      </c>
      <c r="V40">
        <f>'Team and Player Stats'!V53</f>
        <v>11</v>
      </c>
      <c r="W40">
        <f>'Team and Player Stats'!W53</f>
        <v>2</v>
      </c>
      <c r="X40">
        <f>'Team and Player Stats'!X53</f>
        <v>1</v>
      </c>
      <c r="Y40">
        <f>'Team and Player Stats'!Y53</f>
        <v>0</v>
      </c>
      <c r="Z40">
        <f>'Team and Player Stats'!Z53</f>
        <v>0</v>
      </c>
      <c r="AA40">
        <f>'Team and Player Stats'!AA53</f>
        <v>0</v>
      </c>
      <c r="AB40">
        <f>'Team and Player Stats'!AB53</f>
        <v>0</v>
      </c>
      <c r="AC40">
        <f>'Team and Player Stats'!AC53</f>
        <v>45</v>
      </c>
      <c r="AD40">
        <f>'Team and Player Stats'!AD53</f>
        <v>1</v>
      </c>
      <c r="AE40">
        <f>'Team and Player Stats'!AE53</f>
        <v>0</v>
      </c>
      <c r="AF40">
        <f>'Team and Player Stats'!AF53</f>
        <v>0</v>
      </c>
      <c r="AG40">
        <f>'Team and Player Stats'!AG53</f>
        <v>0</v>
      </c>
      <c r="AH40">
        <f>'Team and Player Stats'!AH53</f>
        <v>2</v>
      </c>
    </row>
    <row r="41">
      <c r="A41" s="97" t="str">
        <f>'Team and Player Stats'!B54</f>
        <v>Elementary</v>
      </c>
      <c r="B41" s="97" t="str">
        <f>'Team and Player Stats'!A54</f>
        <v>Silva's Connection</v>
      </c>
      <c r="C41" s="97">
        <f>'Team and Player Stats'!C54</f>
        <v>20</v>
      </c>
      <c r="D41" s="97">
        <f>'Team and Player Stats'!D54</f>
        <v>6</v>
      </c>
      <c r="E41" s="98">
        <f>'Team and Player Stats'!E54</f>
        <v>560.5</v>
      </c>
      <c r="F41" s="97">
        <f>'Team and Player Stats'!F54</f>
        <v>7</v>
      </c>
      <c r="G41" s="97">
        <f>'Team and Player Stats'!G54</f>
        <v>2236</v>
      </c>
      <c r="H41" s="97">
        <f>'Team and Player Stats'!H54</f>
        <v>10</v>
      </c>
      <c r="I41" s="97">
        <f>'Team and Player Stats'!I54</f>
        <v>2187</v>
      </c>
      <c r="J41" s="97">
        <f>'Team and Player Stats'!J54</f>
        <v>49</v>
      </c>
      <c r="K41" s="99">
        <f>'Team and Player Stats'!K54</f>
        <v>1.022405121</v>
      </c>
      <c r="L41" s="98">
        <f>'Team and Player Stats'!L54</f>
        <v>251</v>
      </c>
      <c r="M41" s="97">
        <f>'Team and Player Stats'!M54</f>
        <v>2929</v>
      </c>
      <c r="N41" s="97">
        <f>'Team and Player Stats'!N54</f>
        <v>20</v>
      </c>
      <c r="O41" s="100">
        <f>'Team and Player Stats'!O54</f>
        <v>560.5</v>
      </c>
      <c r="P41" s="97">
        <f>'Team and Player Stats'!P54</f>
        <v>88</v>
      </c>
      <c r="Q41" s="97">
        <f>'Team and Player Stats'!Q54</f>
        <v>34</v>
      </c>
      <c r="R41" s="97">
        <f>'Team and Player Stats'!R54</f>
        <v>172</v>
      </c>
      <c r="S41" s="97">
        <f>'Team and Player Stats'!S54</f>
        <v>45</v>
      </c>
      <c r="T41" s="97">
        <f>'Team and Player Stats'!T54</f>
        <v>362</v>
      </c>
      <c r="U41" s="97">
        <f>'Team and Player Stats'!U54</f>
        <v>66</v>
      </c>
      <c r="V41" s="97">
        <f>'Team and Player Stats'!V54</f>
        <v>17</v>
      </c>
      <c r="W41" s="97">
        <f>'Team and Player Stats'!W54</f>
        <v>3</v>
      </c>
      <c r="X41" s="97">
        <f>'Team and Player Stats'!X54</f>
        <v>0</v>
      </c>
      <c r="Y41" s="97">
        <f>'Team and Player Stats'!Y54</f>
        <v>0</v>
      </c>
      <c r="Z41" s="97">
        <f>'Team and Player Stats'!Z54</f>
        <v>0</v>
      </c>
      <c r="AA41" s="97">
        <f>'Team and Player Stats'!AA54</f>
        <v>0</v>
      </c>
      <c r="AB41" s="97">
        <f>'Team and Player Stats'!AB54</f>
        <v>0</v>
      </c>
      <c r="AC41" s="97">
        <f>'Team and Player Stats'!AC54</f>
        <v>47</v>
      </c>
      <c r="AD41" s="97">
        <f>'Team and Player Stats'!AD54</f>
        <v>0</v>
      </c>
      <c r="AE41" s="97">
        <f>'Team and Player Stats'!AE54</f>
        <v>0</v>
      </c>
      <c r="AF41" s="97">
        <f>'Team and Player Stats'!AF54</f>
        <v>0</v>
      </c>
      <c r="AG41" s="97">
        <f>'Team and Player Stats'!AG54</f>
        <v>1</v>
      </c>
      <c r="AH41" s="97">
        <f>'Team and Player Stats'!AH54</f>
        <v>0</v>
      </c>
    </row>
    <row r="42">
      <c r="A42" t="str">
        <f>'Team and Player Stats'!B55</f>
        <v>xxRebs</v>
      </c>
      <c r="B42" t="str">
        <f>'Team and Player Stats'!A55</f>
        <v>Silva's Connection</v>
      </c>
      <c r="C42">
        <f>'Team and Player Stats'!C55</f>
        <v>18</v>
      </c>
      <c r="D42">
        <f>'Team and Player Stats'!D55</f>
        <v>6</v>
      </c>
      <c r="E42" s="101">
        <f>'Team and Player Stats'!E55</f>
        <v>478.9333333</v>
      </c>
      <c r="F42">
        <f>'Team and Player Stats'!F55</f>
        <v>26</v>
      </c>
      <c r="G42">
        <f>'Team and Player Stats'!G55</f>
        <v>1252</v>
      </c>
      <c r="H42">
        <f>'Team and Player Stats'!H55</f>
        <v>10</v>
      </c>
      <c r="I42">
        <f>'Team and Player Stats'!I55</f>
        <v>1709</v>
      </c>
      <c r="J42">
        <f>'Team and Player Stats'!J55</f>
        <v>-457</v>
      </c>
      <c r="K42" s="102">
        <f>'Team and Player Stats'!K55</f>
        <v>0.7325921592</v>
      </c>
      <c r="L42" s="101">
        <f>'Team and Player Stats'!L55</f>
        <v>260</v>
      </c>
      <c r="M42">
        <f>'Team and Player Stats'!M55</f>
        <v>1573</v>
      </c>
      <c r="N42">
        <f>'Team and Player Stats'!N55</f>
        <v>18</v>
      </c>
      <c r="O42" s="103">
        <f>'Team and Player Stats'!O55</f>
        <v>478.9333333</v>
      </c>
      <c r="P42">
        <f>'Team and Player Stats'!P55</f>
        <v>70</v>
      </c>
      <c r="Q42">
        <f>'Team and Player Stats'!Q55</f>
        <v>39</v>
      </c>
      <c r="R42">
        <f>'Team and Player Stats'!R55</f>
        <v>37</v>
      </c>
      <c r="S42">
        <f>'Team and Player Stats'!S55</f>
        <v>30</v>
      </c>
      <c r="T42">
        <f>'Team and Player Stats'!T55</f>
        <v>143</v>
      </c>
      <c r="U42">
        <f>'Team and Player Stats'!U55</f>
        <v>19</v>
      </c>
      <c r="V42">
        <f>'Team and Player Stats'!V55</f>
        <v>6</v>
      </c>
      <c r="W42">
        <f>'Team and Player Stats'!W55</f>
        <v>0</v>
      </c>
      <c r="X42">
        <f>'Team and Player Stats'!X55</f>
        <v>0</v>
      </c>
      <c r="Y42">
        <f>'Team and Player Stats'!Y55</f>
        <v>0</v>
      </c>
      <c r="Z42">
        <f>'Team and Player Stats'!Z55</f>
        <v>0</v>
      </c>
      <c r="AA42">
        <f>'Team and Player Stats'!AA55</f>
        <v>0</v>
      </c>
      <c r="AB42">
        <f>'Team and Player Stats'!AB55</f>
        <v>0</v>
      </c>
      <c r="AC42">
        <f>'Team and Player Stats'!AC55</f>
        <v>16</v>
      </c>
      <c r="AD42">
        <f>'Team and Player Stats'!AD55</f>
        <v>0</v>
      </c>
      <c r="AE42">
        <f>'Team and Player Stats'!AE55</f>
        <v>0</v>
      </c>
      <c r="AF42">
        <f>'Team and Player Stats'!AF55</f>
        <v>0</v>
      </c>
      <c r="AG42">
        <f>'Team and Player Stats'!AG55</f>
        <v>0</v>
      </c>
      <c r="AH42">
        <f>'Team and Player Stats'!AH55</f>
        <v>2</v>
      </c>
    </row>
    <row r="43">
      <c r="A43" s="97" t="str">
        <f>'Team and Player Stats'!B56</f>
        <v>TheOneHawk</v>
      </c>
      <c r="B43" s="97" t="str">
        <f>'Team and Player Stats'!A56</f>
        <v>Silva's Connection</v>
      </c>
      <c r="C43" s="97">
        <f>'Team and Player Stats'!C56</f>
        <v>0</v>
      </c>
      <c r="D43" s="97">
        <f>'Team and Player Stats'!D56</f>
        <v>0</v>
      </c>
      <c r="E43" s="98">
        <f>'Team and Player Stats'!E56</f>
        <v>0</v>
      </c>
      <c r="F43" s="97">
        <f>'Team and Player Stats'!F56</f>
        <v>0</v>
      </c>
      <c r="G43" s="97">
        <f>'Team and Player Stats'!G56</f>
        <v>0</v>
      </c>
      <c r="H43" s="97">
        <f>'Team and Player Stats'!H56</f>
        <v>0</v>
      </c>
      <c r="I43" s="97">
        <f>'Team and Player Stats'!I56</f>
        <v>0</v>
      </c>
      <c r="J43" s="97">
        <f>'Team and Player Stats'!J56</f>
        <v>0</v>
      </c>
      <c r="K43" s="99" t="str">
        <f>'Team and Player Stats'!K56</f>
        <v>#DIV/0!</v>
      </c>
      <c r="L43" s="98">
        <f>'Team and Player Stats'!L56</f>
        <v>0</v>
      </c>
      <c r="M43" s="97">
        <f>'Team and Player Stats'!M56</f>
        <v>0</v>
      </c>
      <c r="N43" s="97">
        <f>'Team and Player Stats'!N56</f>
        <v>0</v>
      </c>
      <c r="O43" s="100">
        <f>'Team and Player Stats'!O56</f>
        <v>0</v>
      </c>
      <c r="P43" s="97">
        <f>'Team and Player Stats'!P56</f>
        <v>0</v>
      </c>
      <c r="Q43" s="97">
        <f>'Team and Player Stats'!Q56</f>
        <v>0</v>
      </c>
      <c r="R43" s="97">
        <f>'Team and Player Stats'!R56</f>
        <v>0</v>
      </c>
      <c r="S43" s="97">
        <f>'Team and Player Stats'!S56</f>
        <v>0</v>
      </c>
      <c r="T43" s="97">
        <f>'Team and Player Stats'!T56</f>
        <v>0</v>
      </c>
      <c r="U43" s="97">
        <f>'Team and Player Stats'!U56</f>
        <v>0</v>
      </c>
      <c r="V43" s="97">
        <f>'Team and Player Stats'!V56</f>
        <v>0</v>
      </c>
      <c r="W43" s="97">
        <f>'Team and Player Stats'!W56</f>
        <v>0</v>
      </c>
      <c r="X43" s="97">
        <f>'Team and Player Stats'!X56</f>
        <v>0</v>
      </c>
      <c r="Y43" s="97">
        <f>'Team and Player Stats'!Y56</f>
        <v>0</v>
      </c>
      <c r="Z43" s="97">
        <f>'Team and Player Stats'!Z56</f>
        <v>0</v>
      </c>
      <c r="AA43" s="97">
        <f>'Team and Player Stats'!AA56</f>
        <v>0</v>
      </c>
      <c r="AB43" s="97">
        <f>'Team and Player Stats'!AB56</f>
        <v>0</v>
      </c>
      <c r="AC43" s="97">
        <f>'Team and Player Stats'!AC56</f>
        <v>0</v>
      </c>
      <c r="AD43" s="97">
        <f>'Team and Player Stats'!AD56</f>
        <v>0</v>
      </c>
      <c r="AE43" s="97">
        <f>'Team and Player Stats'!AE56</f>
        <v>0</v>
      </c>
      <c r="AF43" s="97">
        <f>'Team and Player Stats'!AF56</f>
        <v>0</v>
      </c>
      <c r="AG43" s="97">
        <f>'Team and Player Stats'!AG56</f>
        <v>0</v>
      </c>
      <c r="AH43" s="97">
        <f>'Team and Player Stats'!AH56</f>
        <v>0</v>
      </c>
    </row>
    <row r="44">
      <c r="A44" t="str">
        <f>'Team and Player Stats'!B59</f>
        <v>Regresser TTV</v>
      </c>
      <c r="B44" t="str">
        <f>'Team and Player Stats'!A59</f>
        <v>Hypest</v>
      </c>
      <c r="C44">
        <f>'Team and Player Stats'!C59</f>
        <v>20</v>
      </c>
      <c r="D44">
        <f>'Team and Player Stats'!D59</f>
        <v>13</v>
      </c>
      <c r="E44" s="101">
        <f>'Team and Player Stats'!E59</f>
        <v>376.5</v>
      </c>
      <c r="F44">
        <f>'Team and Player Stats'!F59</f>
        <v>43</v>
      </c>
      <c r="G44">
        <f>'Team and Player Stats'!G59</f>
        <v>1467</v>
      </c>
      <c r="H44">
        <f>'Team and Player Stats'!H59</f>
        <v>8</v>
      </c>
      <c r="I44">
        <f>'Team and Player Stats'!I59</f>
        <v>1287</v>
      </c>
      <c r="J44">
        <f>'Team and Player Stats'!J59</f>
        <v>180</v>
      </c>
      <c r="K44" s="102">
        <f>'Team and Player Stats'!K59</f>
        <v>1.13986014</v>
      </c>
      <c r="L44" s="101">
        <f>'Team and Player Stats'!L59</f>
        <v>293</v>
      </c>
      <c r="M44">
        <f>'Team and Player Stats'!M59</f>
        <v>1868</v>
      </c>
      <c r="N44">
        <f>'Team and Player Stats'!N59</f>
        <v>19</v>
      </c>
      <c r="O44" s="103">
        <f>'Team and Player Stats'!O59</f>
        <v>348.5</v>
      </c>
      <c r="P44">
        <f>'Team and Player Stats'!P59</f>
        <v>73</v>
      </c>
      <c r="Q44">
        <f>'Team and Player Stats'!Q59</f>
        <v>28</v>
      </c>
      <c r="R44">
        <f>'Team and Player Stats'!R59</f>
        <v>97</v>
      </c>
      <c r="S44">
        <f>'Team and Player Stats'!S59</f>
        <v>25</v>
      </c>
      <c r="T44">
        <f>'Team and Player Stats'!T59</f>
        <v>243</v>
      </c>
      <c r="U44">
        <f>'Team and Player Stats'!U59</f>
        <v>58</v>
      </c>
      <c r="V44">
        <f>'Team and Player Stats'!V59</f>
        <v>14</v>
      </c>
      <c r="W44">
        <f>'Team and Player Stats'!W59</f>
        <v>2</v>
      </c>
      <c r="X44">
        <f>'Team and Player Stats'!X59</f>
        <v>2</v>
      </c>
      <c r="Y44">
        <f>'Team and Player Stats'!Y59</f>
        <v>1</v>
      </c>
      <c r="Z44">
        <f>'Team and Player Stats'!Z59</f>
        <v>1</v>
      </c>
      <c r="AA44">
        <f>'Team and Player Stats'!AA59</f>
        <v>1</v>
      </c>
      <c r="AB44">
        <f>'Team and Player Stats'!AB59</f>
        <v>1</v>
      </c>
      <c r="AC44">
        <f>'Team and Player Stats'!AC59</f>
        <v>40</v>
      </c>
      <c r="AD44">
        <f>'Team and Player Stats'!AD59</f>
        <v>3</v>
      </c>
      <c r="AE44">
        <f>'Team and Player Stats'!AE59</f>
        <v>0</v>
      </c>
      <c r="AF44">
        <f>'Team and Player Stats'!AF59</f>
        <v>0</v>
      </c>
      <c r="AG44">
        <f>'Team and Player Stats'!AG59</f>
        <v>2</v>
      </c>
      <c r="AH44">
        <f>'Team and Player Stats'!AH59</f>
        <v>0</v>
      </c>
    </row>
    <row r="45">
      <c r="A45" s="97" t="str">
        <f>'Team and Player Stats'!B60</f>
        <v>Blootzy</v>
      </c>
      <c r="B45" s="97" t="str">
        <f>'Team and Player Stats'!A60</f>
        <v>Hypest</v>
      </c>
      <c r="C45" s="97">
        <f>'Team and Player Stats'!C60</f>
        <v>20</v>
      </c>
      <c r="D45" s="97">
        <f>'Team and Player Stats'!D60</f>
        <v>13</v>
      </c>
      <c r="E45" s="98">
        <f>'Team and Player Stats'!E60</f>
        <v>377.2166667</v>
      </c>
      <c r="F45" s="97">
        <f>'Team and Player Stats'!F60</f>
        <v>8</v>
      </c>
      <c r="G45" s="97">
        <f>'Team and Player Stats'!G60</f>
        <v>1417</v>
      </c>
      <c r="H45" s="97">
        <f>'Team and Player Stats'!H60</f>
        <v>12</v>
      </c>
      <c r="I45" s="97">
        <f>'Team and Player Stats'!I60</f>
        <v>1530</v>
      </c>
      <c r="J45" s="97">
        <f>'Team and Player Stats'!J60</f>
        <v>-113</v>
      </c>
      <c r="K45" s="99">
        <f>'Team and Player Stats'!K60</f>
        <v>0.9261437908</v>
      </c>
      <c r="L45" s="98">
        <f>'Team and Player Stats'!L60</f>
        <v>213</v>
      </c>
      <c r="M45" s="97">
        <f>'Team and Player Stats'!M60</f>
        <v>1682</v>
      </c>
      <c r="N45" s="97">
        <f>'Team and Player Stats'!N60</f>
        <v>19</v>
      </c>
      <c r="O45" s="100">
        <f>'Team and Player Stats'!O60</f>
        <v>349.2166667</v>
      </c>
      <c r="P45" s="97">
        <f>'Team and Player Stats'!P60</f>
        <v>57</v>
      </c>
      <c r="Q45" s="97">
        <f>'Team and Player Stats'!Q60</f>
        <v>38</v>
      </c>
      <c r="R45" s="97">
        <f>'Team and Player Stats'!R60</f>
        <v>91</v>
      </c>
      <c r="S45" s="97">
        <f>'Team and Player Stats'!S60</f>
        <v>17</v>
      </c>
      <c r="T45" s="97">
        <f>'Team and Player Stats'!T60</f>
        <v>224</v>
      </c>
      <c r="U45" s="97">
        <f>'Team and Player Stats'!U60</f>
        <v>41</v>
      </c>
      <c r="V45" s="97">
        <f>'Team and Player Stats'!V60</f>
        <v>16</v>
      </c>
      <c r="W45" s="97">
        <f>'Team and Player Stats'!W60</f>
        <v>3</v>
      </c>
      <c r="X45" s="97">
        <f>'Team and Player Stats'!X60</f>
        <v>2</v>
      </c>
      <c r="Y45" s="97">
        <f>'Team and Player Stats'!Y60</f>
        <v>2</v>
      </c>
      <c r="Z45" s="97">
        <f>'Team and Player Stats'!Z60</f>
        <v>0</v>
      </c>
      <c r="AA45" s="97">
        <f>'Team and Player Stats'!AA60</f>
        <v>0</v>
      </c>
      <c r="AB45" s="97">
        <f>'Team and Player Stats'!AB60</f>
        <v>0</v>
      </c>
      <c r="AC45" s="97">
        <f>'Team and Player Stats'!AC60</f>
        <v>19</v>
      </c>
      <c r="AD45" s="97">
        <f>'Team and Player Stats'!AD60</f>
        <v>0</v>
      </c>
      <c r="AE45" s="97">
        <f>'Team and Player Stats'!AE60</f>
        <v>0</v>
      </c>
      <c r="AF45" s="97">
        <f>'Team and Player Stats'!AF60</f>
        <v>0</v>
      </c>
      <c r="AG45" s="97">
        <f>'Team and Player Stats'!AG60</f>
        <v>1</v>
      </c>
      <c r="AH45" s="97">
        <f>'Team and Player Stats'!AH60</f>
        <v>0</v>
      </c>
    </row>
    <row r="46">
      <c r="A46" t="str">
        <f>'Team and Player Stats'!B61</f>
        <v>Perturbingly</v>
      </c>
      <c r="B46" t="str">
        <f>'Team and Player Stats'!A61</f>
        <v>Hypest</v>
      </c>
      <c r="C46">
        <f>'Team and Player Stats'!C61</f>
        <v>20</v>
      </c>
      <c r="D46">
        <f>'Team and Player Stats'!D61</f>
        <v>13</v>
      </c>
      <c r="E46" s="101">
        <f>'Team and Player Stats'!E61</f>
        <v>378.2666667</v>
      </c>
      <c r="F46">
        <f>'Team and Player Stats'!F61</f>
        <v>16</v>
      </c>
      <c r="G46">
        <f>'Team and Player Stats'!G61</f>
        <v>991</v>
      </c>
      <c r="H46">
        <f>'Team and Player Stats'!H61</f>
        <v>6</v>
      </c>
      <c r="I46">
        <f>'Team and Player Stats'!I61</f>
        <v>1063</v>
      </c>
      <c r="J46">
        <f>'Team and Player Stats'!J61</f>
        <v>-72</v>
      </c>
      <c r="K46" s="102">
        <f>'Team and Player Stats'!K61</f>
        <v>0.9322671684</v>
      </c>
      <c r="L46" s="101">
        <f>'Team and Player Stats'!L61</f>
        <v>348</v>
      </c>
      <c r="M46">
        <f>'Team and Player Stats'!M61</f>
        <v>1137</v>
      </c>
      <c r="N46">
        <f>'Team and Player Stats'!N61</f>
        <v>19</v>
      </c>
      <c r="O46" s="103">
        <f>'Team and Player Stats'!O61</f>
        <v>350.2666667</v>
      </c>
      <c r="P46">
        <f>'Team and Player Stats'!P61</f>
        <v>41</v>
      </c>
      <c r="Q46">
        <f>'Team and Player Stats'!Q61</f>
        <v>20</v>
      </c>
      <c r="R46">
        <f>'Team and Player Stats'!R61</f>
        <v>71</v>
      </c>
      <c r="S46">
        <f>'Team and Player Stats'!S61</f>
        <v>24</v>
      </c>
      <c r="T46">
        <f>'Team and Player Stats'!T61</f>
        <v>117</v>
      </c>
      <c r="U46">
        <f>'Team and Player Stats'!U61</f>
        <v>27</v>
      </c>
      <c r="V46">
        <f>'Team and Player Stats'!V61</f>
        <v>6</v>
      </c>
      <c r="W46">
        <f>'Team and Player Stats'!W61</f>
        <v>2</v>
      </c>
      <c r="X46">
        <f>'Team and Player Stats'!X61</f>
        <v>1</v>
      </c>
      <c r="Y46">
        <f>'Team and Player Stats'!Y61</f>
        <v>0</v>
      </c>
      <c r="Z46">
        <f>'Team and Player Stats'!Z61</f>
        <v>0</v>
      </c>
      <c r="AA46">
        <f>'Team and Player Stats'!AA61</f>
        <v>0</v>
      </c>
      <c r="AB46">
        <f>'Team and Player Stats'!AB61</f>
        <v>0</v>
      </c>
      <c r="AC46">
        <f>'Team and Player Stats'!AC61</f>
        <v>16</v>
      </c>
      <c r="AD46">
        <f>'Team and Player Stats'!AD61</f>
        <v>1</v>
      </c>
      <c r="AE46">
        <f>'Team and Player Stats'!AE61</f>
        <v>0</v>
      </c>
      <c r="AF46">
        <f>'Team and Player Stats'!AF61</f>
        <v>0</v>
      </c>
      <c r="AG46">
        <f>'Team and Player Stats'!AG61</f>
        <v>1</v>
      </c>
      <c r="AH46">
        <f>'Team and Player Stats'!AH61</f>
        <v>0</v>
      </c>
    </row>
    <row r="47">
      <c r="A47" s="97" t="str">
        <f>'Team and Player Stats'!B62</f>
        <v>Melvishdon</v>
      </c>
      <c r="B47" s="97" t="str">
        <f>'Team and Player Stats'!A62</f>
        <v>Hypest</v>
      </c>
      <c r="C47" s="97">
        <f>'Team and Player Stats'!C62</f>
        <v>20</v>
      </c>
      <c r="D47" s="97">
        <f>'Team and Player Stats'!D62</f>
        <v>13</v>
      </c>
      <c r="E47" s="98">
        <f>'Team and Player Stats'!E62</f>
        <v>377.1166667</v>
      </c>
      <c r="F47" s="97">
        <f>'Team and Player Stats'!F62</f>
        <v>17</v>
      </c>
      <c r="G47" s="97">
        <f>'Team and Player Stats'!G62</f>
        <v>1210</v>
      </c>
      <c r="H47" s="97">
        <f>'Team and Player Stats'!H62</f>
        <v>6</v>
      </c>
      <c r="I47" s="97">
        <f>'Team and Player Stats'!I62</f>
        <v>1433</v>
      </c>
      <c r="J47" s="97">
        <f>'Team and Player Stats'!J62</f>
        <v>-223</v>
      </c>
      <c r="K47" s="99">
        <f>'Team and Player Stats'!K62</f>
        <v>0.8443824145</v>
      </c>
      <c r="L47" s="98">
        <f>'Team and Player Stats'!L62</f>
        <v>246</v>
      </c>
      <c r="M47" s="97">
        <f>'Team and Player Stats'!M62</f>
        <v>1441</v>
      </c>
      <c r="N47" s="97">
        <f>'Team and Player Stats'!N62</f>
        <v>19</v>
      </c>
      <c r="O47" s="100">
        <f>'Team and Player Stats'!O62</f>
        <v>349.1166667</v>
      </c>
      <c r="P47" s="97">
        <f>'Team and Player Stats'!P62</f>
        <v>58</v>
      </c>
      <c r="Q47" s="97">
        <f>'Team and Player Stats'!Q62</f>
        <v>32</v>
      </c>
      <c r="R47" s="97">
        <f>'Team and Player Stats'!R62</f>
        <v>83</v>
      </c>
      <c r="S47" s="97">
        <f>'Team and Player Stats'!S62</f>
        <v>23</v>
      </c>
      <c r="T47" s="97">
        <f>'Team and Player Stats'!T62</f>
        <v>163</v>
      </c>
      <c r="U47" s="97">
        <f>'Team and Player Stats'!U62</f>
        <v>31</v>
      </c>
      <c r="V47" s="97">
        <f>'Team and Player Stats'!V62</f>
        <v>6</v>
      </c>
      <c r="W47" s="97">
        <f>'Team and Player Stats'!W62</f>
        <v>1</v>
      </c>
      <c r="X47" s="97">
        <f>'Team and Player Stats'!X62</f>
        <v>0</v>
      </c>
      <c r="Y47" s="97">
        <f>'Team and Player Stats'!Y62</f>
        <v>0</v>
      </c>
      <c r="Z47" s="97">
        <f>'Team and Player Stats'!Z62</f>
        <v>0</v>
      </c>
      <c r="AA47" s="97">
        <f>'Team and Player Stats'!AA62</f>
        <v>0</v>
      </c>
      <c r="AB47" s="97">
        <f>'Team and Player Stats'!AB62</f>
        <v>0</v>
      </c>
      <c r="AC47" s="97">
        <f>'Team and Player Stats'!AC62</f>
        <v>17</v>
      </c>
      <c r="AD47" s="97">
        <f>'Team and Player Stats'!AD62</f>
        <v>0</v>
      </c>
      <c r="AE47" s="97">
        <f>'Team and Player Stats'!AE62</f>
        <v>0</v>
      </c>
      <c r="AF47" s="97">
        <f>'Team and Player Stats'!AF62</f>
        <v>0</v>
      </c>
      <c r="AG47" s="97">
        <f>'Team and Player Stats'!AG62</f>
        <v>0</v>
      </c>
      <c r="AH47" s="97">
        <f>'Team and Player Stats'!AH62</f>
        <v>1</v>
      </c>
    </row>
    <row r="48">
      <c r="A48" t="str">
        <f>'Team and Player Stats'!B63</f>
        <v>TheNastyWithin</v>
      </c>
      <c r="B48" t="str">
        <f>'Team and Player Stats'!A63</f>
        <v>Hypest</v>
      </c>
      <c r="C48">
        <f>'Team and Player Stats'!C63</f>
        <v>0</v>
      </c>
      <c r="D48">
        <f>'Team and Player Stats'!D63</f>
        <v>0</v>
      </c>
      <c r="E48" s="101">
        <f>'Team and Player Stats'!E63</f>
        <v>0</v>
      </c>
      <c r="F48">
        <f>'Team and Player Stats'!F63</f>
        <v>0</v>
      </c>
      <c r="G48">
        <f>'Team and Player Stats'!G63</f>
        <v>0</v>
      </c>
      <c r="H48">
        <f>'Team and Player Stats'!H63</f>
        <v>0</v>
      </c>
      <c r="I48">
        <f>'Team and Player Stats'!I63</f>
        <v>0</v>
      </c>
      <c r="J48">
        <f>'Team and Player Stats'!J63</f>
        <v>0</v>
      </c>
      <c r="K48" s="102" t="str">
        <f>'Team and Player Stats'!K63</f>
        <v>#DIV/0!</v>
      </c>
      <c r="L48" s="101">
        <f>'Team and Player Stats'!L63</f>
        <v>0</v>
      </c>
      <c r="M48">
        <f>'Team and Player Stats'!M63</f>
        <v>0</v>
      </c>
      <c r="N48">
        <f>'Team and Player Stats'!N63</f>
        <v>0</v>
      </c>
      <c r="O48" s="103">
        <f>'Team and Player Stats'!O63</f>
        <v>0</v>
      </c>
      <c r="P48">
        <f>'Team and Player Stats'!P63</f>
        <v>0</v>
      </c>
      <c r="Q48">
        <f>'Team and Player Stats'!Q63</f>
        <v>0</v>
      </c>
      <c r="R48">
        <f>'Team and Player Stats'!R63</f>
        <v>0</v>
      </c>
      <c r="S48">
        <f>'Team and Player Stats'!S63</f>
        <v>0</v>
      </c>
      <c r="T48">
        <f>'Team and Player Stats'!T63</f>
        <v>0</v>
      </c>
      <c r="U48">
        <f>'Team and Player Stats'!U63</f>
        <v>0</v>
      </c>
      <c r="V48">
        <f>'Team and Player Stats'!V63</f>
        <v>0</v>
      </c>
      <c r="W48">
        <f>'Team and Player Stats'!W63</f>
        <v>0</v>
      </c>
      <c r="X48">
        <f>'Team and Player Stats'!X63</f>
        <v>0</v>
      </c>
      <c r="Y48">
        <f>'Team and Player Stats'!Y63</f>
        <v>0</v>
      </c>
      <c r="Z48">
        <f>'Team and Player Stats'!Z63</f>
        <v>0</v>
      </c>
      <c r="AA48">
        <f>'Team and Player Stats'!AA63</f>
        <v>0</v>
      </c>
      <c r="AB48">
        <f>'Team and Player Stats'!AB63</f>
        <v>0</v>
      </c>
      <c r="AC48">
        <f>'Team and Player Stats'!AC63</f>
        <v>0</v>
      </c>
      <c r="AD48">
        <f>'Team and Player Stats'!AD63</f>
        <v>0</v>
      </c>
      <c r="AE48">
        <f>'Team and Player Stats'!AE63</f>
        <v>0</v>
      </c>
      <c r="AF48">
        <f>'Team and Player Stats'!AF63</f>
        <v>0</v>
      </c>
      <c r="AG48">
        <f>'Team and Player Stats'!AG63</f>
        <v>0</v>
      </c>
      <c r="AH48">
        <f>'Team and Player Stats'!AH63</f>
        <v>0</v>
      </c>
    </row>
    <row r="49">
      <c r="A49" s="97" t="str">
        <f>'Team and Player Stats'!B66</f>
        <v>imShad</v>
      </c>
      <c r="B49" s="97" t="str">
        <f>'Team and Player Stats'!A66</f>
        <v>Monstars</v>
      </c>
      <c r="C49" s="97">
        <f>'Team and Player Stats'!C66</f>
        <v>20</v>
      </c>
      <c r="D49" s="97">
        <f>'Team and Player Stats'!D66</f>
        <v>16</v>
      </c>
      <c r="E49" s="98">
        <f>'Team and Player Stats'!E66</f>
        <v>380.1166667</v>
      </c>
      <c r="F49" s="97">
        <f>'Team and Player Stats'!F66</f>
        <v>6</v>
      </c>
      <c r="G49" s="97">
        <f>'Team and Player Stats'!G66</f>
        <v>1681</v>
      </c>
      <c r="H49" s="97">
        <f>'Team and Player Stats'!H66</f>
        <v>13</v>
      </c>
      <c r="I49" s="97">
        <f>'Team and Player Stats'!I66</f>
        <v>1253</v>
      </c>
      <c r="J49" s="97">
        <f>'Team and Player Stats'!J66</f>
        <v>428</v>
      </c>
      <c r="K49" s="99">
        <f>'Team and Player Stats'!K66</f>
        <v>1.341580208</v>
      </c>
      <c r="L49" s="98">
        <f>'Team and Player Stats'!L66</f>
        <v>306</v>
      </c>
      <c r="M49" s="97">
        <f>'Team and Player Stats'!M66</f>
        <v>2321</v>
      </c>
      <c r="N49" s="97">
        <f>'Team and Player Stats'!N66</f>
        <v>17</v>
      </c>
      <c r="O49" s="100">
        <f>'Team and Player Stats'!O66</f>
        <v>345.1166667</v>
      </c>
      <c r="P49" s="97">
        <f>'Team and Player Stats'!P66</f>
        <v>52</v>
      </c>
      <c r="Q49" s="97">
        <f>'Team and Player Stats'!Q66</f>
        <v>13</v>
      </c>
      <c r="R49" s="97">
        <f>'Team and Player Stats'!R66</f>
        <v>174</v>
      </c>
      <c r="S49" s="97">
        <f>'Team and Player Stats'!S66</f>
        <v>24</v>
      </c>
      <c r="T49" s="97">
        <f>'Team and Player Stats'!T66</f>
        <v>251</v>
      </c>
      <c r="U49" s="97">
        <f>'Team and Player Stats'!U66</f>
        <v>60</v>
      </c>
      <c r="V49" s="97">
        <f>'Team and Player Stats'!V66</f>
        <v>26</v>
      </c>
      <c r="W49" s="97">
        <f>'Team and Player Stats'!W66</f>
        <v>16</v>
      </c>
      <c r="X49" s="97">
        <f>'Team and Player Stats'!X66</f>
        <v>3</v>
      </c>
      <c r="Y49" s="97">
        <f>'Team and Player Stats'!Y66</f>
        <v>1</v>
      </c>
      <c r="Z49" s="97">
        <f>'Team and Player Stats'!Z66</f>
        <v>0</v>
      </c>
      <c r="AA49" s="97">
        <f>'Team and Player Stats'!AA66</f>
        <v>0</v>
      </c>
      <c r="AB49" s="97">
        <f>'Team and Player Stats'!AB66</f>
        <v>0</v>
      </c>
      <c r="AC49" s="97">
        <f>'Team and Player Stats'!AC66</f>
        <v>57</v>
      </c>
      <c r="AD49" s="97">
        <f>'Team and Player Stats'!AD66</f>
        <v>2</v>
      </c>
      <c r="AE49" s="97">
        <f>'Team and Player Stats'!AE66</f>
        <v>0</v>
      </c>
      <c r="AF49" s="97">
        <f>'Team and Player Stats'!AF66</f>
        <v>0</v>
      </c>
      <c r="AG49" s="97">
        <f>'Team and Player Stats'!AG66</f>
        <v>2</v>
      </c>
      <c r="AH49" s="97">
        <f>'Team and Player Stats'!AH66</f>
        <v>0</v>
      </c>
    </row>
    <row r="50">
      <c r="A50" t="str">
        <f>'Team and Player Stats'!B67</f>
        <v>ActiveHate</v>
      </c>
      <c r="B50" t="str">
        <f>'Team and Player Stats'!A67</f>
        <v>Monstars</v>
      </c>
      <c r="C50">
        <f>'Team and Player Stats'!C67</f>
        <v>20</v>
      </c>
      <c r="D50">
        <f>'Team and Player Stats'!D67</f>
        <v>16</v>
      </c>
      <c r="E50" s="101">
        <f>'Team and Player Stats'!E67</f>
        <v>375.1</v>
      </c>
      <c r="F50">
        <f>'Team and Player Stats'!F67</f>
        <v>2</v>
      </c>
      <c r="G50">
        <f>'Team and Player Stats'!G67</f>
        <v>1693</v>
      </c>
      <c r="H50">
        <f>'Team and Player Stats'!H67</f>
        <v>6</v>
      </c>
      <c r="I50">
        <f>'Team and Player Stats'!I67</f>
        <v>1557</v>
      </c>
      <c r="J50">
        <f>'Team and Player Stats'!J67</f>
        <v>136</v>
      </c>
      <c r="K50" s="102">
        <f>'Team and Player Stats'!K67</f>
        <v>1.087347463</v>
      </c>
      <c r="L50" s="101">
        <f>'Team and Player Stats'!L67</f>
        <v>234</v>
      </c>
      <c r="M50">
        <f>'Team and Player Stats'!M67</f>
        <v>2277</v>
      </c>
      <c r="N50">
        <f>'Team and Player Stats'!N67</f>
        <v>17</v>
      </c>
      <c r="O50" s="103">
        <f>'Team and Player Stats'!O67</f>
        <v>340.1</v>
      </c>
      <c r="P50">
        <f>'Team and Player Stats'!P67</f>
        <v>27</v>
      </c>
      <c r="Q50">
        <f>'Team and Player Stats'!Q67</f>
        <v>6</v>
      </c>
      <c r="R50">
        <f>'Team and Player Stats'!R67</f>
        <v>151</v>
      </c>
      <c r="S50">
        <f>'Team and Player Stats'!S67</f>
        <v>22</v>
      </c>
      <c r="T50">
        <f>'Team and Player Stats'!T67</f>
        <v>279</v>
      </c>
      <c r="U50">
        <f>'Team and Player Stats'!U67</f>
        <v>68</v>
      </c>
      <c r="V50">
        <f>'Team and Player Stats'!V67</f>
        <v>24</v>
      </c>
      <c r="W50">
        <f>'Team and Player Stats'!W67</f>
        <v>10</v>
      </c>
      <c r="X50">
        <f>'Team and Player Stats'!X67</f>
        <v>5</v>
      </c>
      <c r="Y50">
        <f>'Team and Player Stats'!Y67</f>
        <v>1</v>
      </c>
      <c r="Z50">
        <f>'Team and Player Stats'!Z67</f>
        <v>0</v>
      </c>
      <c r="AA50">
        <f>'Team and Player Stats'!AA67</f>
        <v>0</v>
      </c>
      <c r="AB50">
        <f>'Team and Player Stats'!AB67</f>
        <v>0</v>
      </c>
      <c r="AC50">
        <f>'Team and Player Stats'!AC67</f>
        <v>37</v>
      </c>
      <c r="AD50">
        <f>'Team and Player Stats'!AD67</f>
        <v>1</v>
      </c>
      <c r="AE50">
        <f>'Team and Player Stats'!AE67</f>
        <v>0</v>
      </c>
      <c r="AF50">
        <f>'Team and Player Stats'!AF67</f>
        <v>0</v>
      </c>
      <c r="AG50">
        <f>'Team and Player Stats'!AG67</f>
        <v>0</v>
      </c>
      <c r="AH50">
        <f>'Team and Player Stats'!AH67</f>
        <v>0</v>
      </c>
    </row>
    <row r="51">
      <c r="A51" s="97" t="str">
        <f>'Team and Player Stats'!B68</f>
        <v>Liion Wiins</v>
      </c>
      <c r="B51" s="97" t="str">
        <f>'Team and Player Stats'!A68</f>
        <v>Monstars</v>
      </c>
      <c r="C51" s="97">
        <f>'Team and Player Stats'!C68</f>
        <v>20</v>
      </c>
      <c r="D51" s="97">
        <f>'Team and Player Stats'!D68</f>
        <v>16</v>
      </c>
      <c r="E51" s="98">
        <f>'Team and Player Stats'!E68</f>
        <v>378.4333333</v>
      </c>
      <c r="F51" s="97">
        <f>'Team and Player Stats'!F68</f>
        <v>3</v>
      </c>
      <c r="G51" s="97">
        <f>'Team and Player Stats'!G68</f>
        <v>1312</v>
      </c>
      <c r="H51" s="97">
        <f>'Team and Player Stats'!H68</f>
        <v>7</v>
      </c>
      <c r="I51" s="97">
        <f>'Team and Player Stats'!I68</f>
        <v>1418</v>
      </c>
      <c r="J51" s="97">
        <f>'Team and Player Stats'!J68</f>
        <v>-106</v>
      </c>
      <c r="K51" s="99">
        <f>'Team and Player Stats'!K68</f>
        <v>0.9252468265</v>
      </c>
      <c r="L51" s="98">
        <f>'Team and Player Stats'!L68</f>
        <v>264</v>
      </c>
      <c r="M51" s="97">
        <f>'Team and Player Stats'!M68</f>
        <v>1613</v>
      </c>
      <c r="N51" s="97">
        <f>'Team and Player Stats'!N68</f>
        <v>17</v>
      </c>
      <c r="O51" s="100">
        <f>'Team and Player Stats'!O68</f>
        <v>343.4333333</v>
      </c>
      <c r="P51" s="97">
        <f>'Team and Player Stats'!P68</f>
        <v>36</v>
      </c>
      <c r="Q51" s="97">
        <f>'Team and Player Stats'!Q68</f>
        <v>14</v>
      </c>
      <c r="R51" s="97">
        <f>'Team and Player Stats'!R68</f>
        <v>71</v>
      </c>
      <c r="S51" s="97">
        <f>'Team and Player Stats'!S68</f>
        <v>20</v>
      </c>
      <c r="T51" s="97">
        <f>'Team and Player Stats'!T68</f>
        <v>183</v>
      </c>
      <c r="U51" s="97">
        <f>'Team and Player Stats'!U68</f>
        <v>40</v>
      </c>
      <c r="V51" s="97">
        <f>'Team and Player Stats'!V68</f>
        <v>7</v>
      </c>
      <c r="W51" s="97">
        <f>'Team and Player Stats'!W68</f>
        <v>3</v>
      </c>
      <c r="X51" s="97">
        <f>'Team and Player Stats'!X68</f>
        <v>0</v>
      </c>
      <c r="Y51" s="97">
        <f>'Team and Player Stats'!Y68</f>
        <v>0</v>
      </c>
      <c r="Z51" s="97">
        <f>'Team and Player Stats'!Z68</f>
        <v>0</v>
      </c>
      <c r="AA51" s="97">
        <f>'Team and Player Stats'!AA68</f>
        <v>0</v>
      </c>
      <c r="AB51" s="97">
        <f>'Team and Player Stats'!AB68</f>
        <v>0</v>
      </c>
      <c r="AC51" s="97">
        <f>'Team and Player Stats'!AC68</f>
        <v>16</v>
      </c>
      <c r="AD51" s="97">
        <f>'Team and Player Stats'!AD68</f>
        <v>0</v>
      </c>
      <c r="AE51" s="97">
        <f>'Team and Player Stats'!AE68</f>
        <v>0</v>
      </c>
      <c r="AF51" s="97">
        <f>'Team and Player Stats'!AF68</f>
        <v>0</v>
      </c>
      <c r="AG51" s="97">
        <f>'Team and Player Stats'!AG68</f>
        <v>1</v>
      </c>
      <c r="AH51" s="97">
        <f>'Team and Player Stats'!AH68</f>
        <v>0</v>
      </c>
    </row>
    <row r="52">
      <c r="A52" t="str">
        <f>'Team and Player Stats'!B69</f>
        <v>TITAN MAN 23</v>
      </c>
      <c r="B52" t="str">
        <f>'Team and Player Stats'!A69</f>
        <v>Monstars</v>
      </c>
      <c r="C52">
        <f>'Team and Player Stats'!C69</f>
        <v>20</v>
      </c>
      <c r="D52">
        <f>'Team and Player Stats'!D69</f>
        <v>16</v>
      </c>
      <c r="E52" s="101">
        <f>'Team and Player Stats'!E69</f>
        <v>390.5333333</v>
      </c>
      <c r="F52">
        <f>'Team and Player Stats'!F69</f>
        <v>79</v>
      </c>
      <c r="G52">
        <f>'Team and Player Stats'!G69</f>
        <v>789</v>
      </c>
      <c r="H52">
        <f>'Team and Player Stats'!H69</f>
        <v>8</v>
      </c>
      <c r="I52">
        <f>'Team and Player Stats'!I69</f>
        <v>977</v>
      </c>
      <c r="J52">
        <f>'Team and Player Stats'!J69</f>
        <v>-188</v>
      </c>
      <c r="K52" s="102">
        <f>'Team and Player Stats'!K69</f>
        <v>0.8075742068</v>
      </c>
      <c r="L52" s="101">
        <f>'Team and Player Stats'!L69</f>
        <v>423</v>
      </c>
      <c r="M52">
        <f>'Team and Player Stats'!M69</f>
        <v>1074</v>
      </c>
      <c r="N52">
        <f>'Team and Player Stats'!N69</f>
        <v>17</v>
      </c>
      <c r="O52" s="103">
        <f>'Team and Player Stats'!O69</f>
        <v>355.5333333</v>
      </c>
      <c r="P52">
        <f>'Team and Player Stats'!P69</f>
        <v>54</v>
      </c>
      <c r="Q52">
        <f>'Team and Player Stats'!Q69</f>
        <v>11</v>
      </c>
      <c r="R52">
        <f>'Team and Player Stats'!R69</f>
        <v>12</v>
      </c>
      <c r="S52">
        <f>'Team and Player Stats'!S69</f>
        <v>13</v>
      </c>
      <c r="T52">
        <f>'Team and Player Stats'!T69</f>
        <v>99</v>
      </c>
      <c r="U52">
        <f>'Team and Player Stats'!U69</f>
        <v>15</v>
      </c>
      <c r="V52">
        <f>'Team and Player Stats'!V69</f>
        <v>1</v>
      </c>
      <c r="W52">
        <f>'Team and Player Stats'!W69</f>
        <v>0</v>
      </c>
      <c r="X52">
        <f>'Team and Player Stats'!X69</f>
        <v>0</v>
      </c>
      <c r="Y52">
        <f>'Team and Player Stats'!Y69</f>
        <v>0</v>
      </c>
      <c r="Z52">
        <f>'Team and Player Stats'!Z69</f>
        <v>0</v>
      </c>
      <c r="AA52">
        <f>'Team and Player Stats'!AA69</f>
        <v>0</v>
      </c>
      <c r="AB52">
        <f>'Team and Player Stats'!AB69</f>
        <v>0</v>
      </c>
      <c r="AC52">
        <f>'Team and Player Stats'!AC69</f>
        <v>8</v>
      </c>
      <c r="AD52">
        <f>'Team and Player Stats'!AD69</f>
        <v>0</v>
      </c>
      <c r="AE52">
        <f>'Team and Player Stats'!AE69</f>
        <v>0</v>
      </c>
      <c r="AF52">
        <f>'Team and Player Stats'!AF69</f>
        <v>0</v>
      </c>
      <c r="AG52">
        <f>'Team and Player Stats'!AG69</f>
        <v>0</v>
      </c>
      <c r="AH52">
        <f>'Team and Player Stats'!AH69</f>
        <v>0</v>
      </c>
    </row>
    <row r="53">
      <c r="A53" s="97" t="str">
        <f>'Team and Player Stats'!B70</f>
        <v>RealSlimSheep</v>
      </c>
      <c r="B53" s="97" t="str">
        <f>'Team and Player Stats'!A70</f>
        <v>Monstars</v>
      </c>
      <c r="C53" s="97">
        <f>'Team and Player Stats'!C70</f>
        <v>0</v>
      </c>
      <c r="D53" s="97">
        <f>'Team and Player Stats'!D70</f>
        <v>0</v>
      </c>
      <c r="E53" s="98">
        <f>'Team and Player Stats'!E70</f>
        <v>0</v>
      </c>
      <c r="F53" s="97">
        <f>'Team and Player Stats'!F70</f>
        <v>0</v>
      </c>
      <c r="G53" s="97">
        <f>'Team and Player Stats'!G70</f>
        <v>0</v>
      </c>
      <c r="H53" s="97">
        <f>'Team and Player Stats'!H70</f>
        <v>0</v>
      </c>
      <c r="I53" s="97">
        <f>'Team and Player Stats'!I70</f>
        <v>0</v>
      </c>
      <c r="J53" s="97">
        <f>'Team and Player Stats'!J70</f>
        <v>0</v>
      </c>
      <c r="K53" s="99" t="str">
        <f>'Team and Player Stats'!K70</f>
        <v>#DIV/0!</v>
      </c>
      <c r="L53" s="98">
        <f>'Team and Player Stats'!L70</f>
        <v>0</v>
      </c>
      <c r="M53" s="97">
        <f>'Team and Player Stats'!M70</f>
        <v>0</v>
      </c>
      <c r="N53" s="97">
        <f>'Team and Player Stats'!N70</f>
        <v>0</v>
      </c>
      <c r="O53" s="100">
        <f>'Team and Player Stats'!O70</f>
        <v>0</v>
      </c>
      <c r="P53" s="97">
        <f>'Team and Player Stats'!P70</f>
        <v>0</v>
      </c>
      <c r="Q53" s="97">
        <f>'Team and Player Stats'!Q70</f>
        <v>0</v>
      </c>
      <c r="R53" s="97">
        <f>'Team and Player Stats'!R70</f>
        <v>0</v>
      </c>
      <c r="S53" s="97">
        <f>'Team and Player Stats'!S70</f>
        <v>0</v>
      </c>
      <c r="T53" s="97">
        <f>'Team and Player Stats'!T70</f>
        <v>0</v>
      </c>
      <c r="U53" s="97">
        <f>'Team and Player Stats'!U70</f>
        <v>0</v>
      </c>
      <c r="V53" s="97">
        <f>'Team and Player Stats'!V70</f>
        <v>0</v>
      </c>
      <c r="W53" s="97">
        <f>'Team and Player Stats'!W70</f>
        <v>0</v>
      </c>
      <c r="X53" s="97">
        <f>'Team and Player Stats'!X70</f>
        <v>0</v>
      </c>
      <c r="Y53" s="97">
        <f>'Team and Player Stats'!Y70</f>
        <v>0</v>
      </c>
      <c r="Z53" s="97">
        <f>'Team and Player Stats'!Z70</f>
        <v>0</v>
      </c>
      <c r="AA53" s="97">
        <f>'Team and Player Stats'!AA70</f>
        <v>0</v>
      </c>
      <c r="AB53" s="97">
        <f>'Team and Player Stats'!AB70</f>
        <v>0</v>
      </c>
      <c r="AC53" s="97">
        <f>'Team and Player Stats'!AC70</f>
        <v>0</v>
      </c>
      <c r="AD53" s="97">
        <f>'Team and Player Stats'!AD70</f>
        <v>0</v>
      </c>
      <c r="AE53" s="97">
        <f>'Team and Player Stats'!AE70</f>
        <v>0</v>
      </c>
      <c r="AF53" s="97">
        <f>'Team and Player Stats'!AF70</f>
        <v>0</v>
      </c>
      <c r="AG53" s="97">
        <f>'Team and Player Stats'!AG70</f>
        <v>0</v>
      </c>
      <c r="AH53" s="97">
        <f>'Team and Player Stats'!AH70</f>
        <v>0</v>
      </c>
    </row>
    <row r="54">
      <c r="A54" t="str">
        <f>'Team and Player Stats'!B73</f>
        <v>Rage More Nerd</v>
      </c>
      <c r="B54" t="str">
        <f>'Team and Player Stats'!A73</f>
        <v>Mediocre at Best</v>
      </c>
      <c r="C54">
        <f>'Team and Player Stats'!C73</f>
        <v>20</v>
      </c>
      <c r="D54">
        <f>'Team and Player Stats'!D73</f>
        <v>10</v>
      </c>
      <c r="E54" s="101">
        <f>'Team and Player Stats'!E73</f>
        <v>395.9333333</v>
      </c>
      <c r="F54">
        <f>'Team and Player Stats'!F73</f>
        <v>6</v>
      </c>
      <c r="G54">
        <f>'Team and Player Stats'!G73</f>
        <v>1749</v>
      </c>
      <c r="H54">
        <f>'Team and Player Stats'!H73</f>
        <v>9</v>
      </c>
      <c r="I54">
        <f>'Team and Player Stats'!I73</f>
        <v>1520</v>
      </c>
      <c r="J54">
        <f>'Team and Player Stats'!J73</f>
        <v>229</v>
      </c>
      <c r="K54" s="102">
        <f>'Team and Player Stats'!K73</f>
        <v>1.150657895</v>
      </c>
      <c r="L54" s="101">
        <f>'Team and Player Stats'!L73</f>
        <v>270</v>
      </c>
      <c r="M54">
        <f>'Team and Player Stats'!M73</f>
        <v>2314</v>
      </c>
      <c r="N54">
        <f>'Team and Player Stats'!N73</f>
        <v>20</v>
      </c>
      <c r="O54" s="103">
        <f>'Team and Player Stats'!O73</f>
        <v>395.9333333</v>
      </c>
      <c r="P54">
        <f>'Team and Player Stats'!P73</f>
        <v>67</v>
      </c>
      <c r="Q54">
        <f>'Team and Player Stats'!Q73</f>
        <v>29</v>
      </c>
      <c r="R54">
        <f>'Team and Player Stats'!R73</f>
        <v>137</v>
      </c>
      <c r="S54">
        <f>'Team and Player Stats'!S73</f>
        <v>41</v>
      </c>
      <c r="T54">
        <f>'Team and Player Stats'!T73</f>
        <v>278</v>
      </c>
      <c r="U54">
        <f>'Team and Player Stats'!U73</f>
        <v>52</v>
      </c>
      <c r="V54">
        <f>'Team and Player Stats'!V73</f>
        <v>16</v>
      </c>
      <c r="W54">
        <f>'Team and Player Stats'!W73</f>
        <v>5</v>
      </c>
      <c r="X54">
        <f>'Team and Player Stats'!X73</f>
        <v>1</v>
      </c>
      <c r="Y54">
        <f>'Team and Player Stats'!Y73</f>
        <v>0</v>
      </c>
      <c r="Z54">
        <f>'Team and Player Stats'!Z73</f>
        <v>0</v>
      </c>
      <c r="AA54">
        <f>'Team and Player Stats'!AA73</f>
        <v>0</v>
      </c>
      <c r="AB54">
        <f>'Team and Player Stats'!AB73</f>
        <v>0</v>
      </c>
      <c r="AC54">
        <f>'Team and Player Stats'!AC73</f>
        <v>47</v>
      </c>
      <c r="AD54">
        <f>'Team and Player Stats'!AD73</f>
        <v>0</v>
      </c>
      <c r="AE54">
        <f>'Team and Player Stats'!AE73</f>
        <v>0</v>
      </c>
      <c r="AF54">
        <f>'Team and Player Stats'!AF73</f>
        <v>0</v>
      </c>
      <c r="AG54">
        <f>'Team and Player Stats'!AG73</f>
        <v>2</v>
      </c>
      <c r="AH54">
        <f>'Team and Player Stats'!AH73</f>
        <v>0</v>
      </c>
    </row>
    <row r="55">
      <c r="A55" s="97" t="str">
        <f>'Team and Player Stats'!B74</f>
        <v>iRobot 9000</v>
      </c>
      <c r="B55" s="97" t="str">
        <f>'Team and Player Stats'!A74</f>
        <v>Mediocre at Best</v>
      </c>
      <c r="C55" s="97">
        <f>'Team and Player Stats'!C74</f>
        <v>20</v>
      </c>
      <c r="D55" s="97">
        <f>'Team and Player Stats'!D74</f>
        <v>10</v>
      </c>
      <c r="E55" s="98">
        <f>'Team and Player Stats'!E74</f>
        <v>397.55</v>
      </c>
      <c r="F55" s="97">
        <f>'Team and Player Stats'!F74</f>
        <v>61</v>
      </c>
      <c r="G55" s="97">
        <f>'Team and Player Stats'!G74</f>
        <v>978</v>
      </c>
      <c r="H55" s="97">
        <f>'Team and Player Stats'!H74</f>
        <v>4</v>
      </c>
      <c r="I55" s="97">
        <f>'Team and Player Stats'!I74</f>
        <v>1157</v>
      </c>
      <c r="J55" s="97">
        <f>'Team and Player Stats'!J74</f>
        <v>-179</v>
      </c>
      <c r="K55" s="99">
        <f>'Team and Player Stats'!K74</f>
        <v>0.8452895419</v>
      </c>
      <c r="L55" s="98">
        <f>'Team and Player Stats'!L74</f>
        <v>404</v>
      </c>
      <c r="M55" s="97">
        <f>'Team and Player Stats'!M74</f>
        <v>1278</v>
      </c>
      <c r="N55" s="97">
        <f>'Team and Player Stats'!N74</f>
        <v>20</v>
      </c>
      <c r="O55" s="100">
        <f>'Team and Player Stats'!O74</f>
        <v>397.55</v>
      </c>
      <c r="P55" s="97">
        <f>'Team and Player Stats'!P74</f>
        <v>69</v>
      </c>
      <c r="Q55" s="97">
        <f>'Team and Player Stats'!Q74</f>
        <v>18</v>
      </c>
      <c r="R55" s="97">
        <f>'Team and Player Stats'!R74</f>
        <v>35</v>
      </c>
      <c r="S55" s="97">
        <f>'Team and Player Stats'!S74</f>
        <v>34</v>
      </c>
      <c r="T55" s="97">
        <f>'Team and Player Stats'!T74</f>
        <v>110</v>
      </c>
      <c r="U55" s="97">
        <f>'Team and Player Stats'!U74</f>
        <v>14</v>
      </c>
      <c r="V55" s="97">
        <f>'Team and Player Stats'!V74</f>
        <v>3</v>
      </c>
      <c r="W55" s="97">
        <f>'Team and Player Stats'!W74</f>
        <v>1</v>
      </c>
      <c r="X55" s="97">
        <f>'Team and Player Stats'!X74</f>
        <v>0</v>
      </c>
      <c r="Y55" s="97">
        <f>'Team and Player Stats'!Y74</f>
        <v>0</v>
      </c>
      <c r="Z55" s="97">
        <f>'Team and Player Stats'!Z74</f>
        <v>0</v>
      </c>
      <c r="AA55" s="97">
        <f>'Team and Player Stats'!AA74</f>
        <v>0</v>
      </c>
      <c r="AB55" s="97">
        <f>'Team and Player Stats'!AB74</f>
        <v>0</v>
      </c>
      <c r="AC55" s="97">
        <f>'Team and Player Stats'!AC74</f>
        <v>13</v>
      </c>
      <c r="AD55" s="97">
        <f>'Team and Player Stats'!AD74</f>
        <v>0</v>
      </c>
      <c r="AE55" s="97">
        <f>'Team and Player Stats'!AE74</f>
        <v>0</v>
      </c>
      <c r="AF55" s="97">
        <f>'Team and Player Stats'!AF74</f>
        <v>0</v>
      </c>
      <c r="AG55" s="97">
        <f>'Team and Player Stats'!AG74</f>
        <v>0</v>
      </c>
      <c r="AH55" s="97">
        <f>'Team and Player Stats'!AH74</f>
        <v>1</v>
      </c>
    </row>
    <row r="56">
      <c r="A56" t="str">
        <f>'Team and Player Stats'!B75</f>
        <v>LiquideNitrogen</v>
      </c>
      <c r="B56" t="str">
        <f>'Team and Player Stats'!A75</f>
        <v>Mediocre at Best</v>
      </c>
      <c r="C56">
        <f>'Team and Player Stats'!C75</f>
        <v>15</v>
      </c>
      <c r="D56">
        <f>'Team and Player Stats'!D75</f>
        <v>8</v>
      </c>
      <c r="E56" s="101">
        <f>'Team and Player Stats'!E75</f>
        <v>296.4</v>
      </c>
      <c r="F56">
        <f>'Team and Player Stats'!F75</f>
        <v>4</v>
      </c>
      <c r="G56">
        <f>'Team and Player Stats'!G75</f>
        <v>1003</v>
      </c>
      <c r="H56">
        <f>'Team and Player Stats'!H75</f>
        <v>1</v>
      </c>
      <c r="I56">
        <f>'Team and Player Stats'!I75</f>
        <v>1196</v>
      </c>
      <c r="J56">
        <f>'Team and Player Stats'!J75</f>
        <v>-193</v>
      </c>
      <c r="K56" s="102">
        <f>'Team and Player Stats'!K75</f>
        <v>0.8386287625</v>
      </c>
      <c r="L56" s="101">
        <f>'Team and Player Stats'!L75</f>
        <v>194</v>
      </c>
      <c r="M56">
        <f>'Team and Player Stats'!M75</f>
        <v>1286</v>
      </c>
      <c r="N56">
        <f>'Team and Player Stats'!N75</f>
        <v>15</v>
      </c>
      <c r="O56" s="103">
        <f>'Team and Player Stats'!O75</f>
        <v>296.4</v>
      </c>
      <c r="P56">
        <f>'Team and Player Stats'!P75</f>
        <v>47</v>
      </c>
      <c r="Q56">
        <f>'Team and Player Stats'!Q75</f>
        <v>20</v>
      </c>
      <c r="R56">
        <f>'Team and Player Stats'!R75</f>
        <v>104</v>
      </c>
      <c r="S56">
        <f>'Team and Player Stats'!S75</f>
        <v>16</v>
      </c>
      <c r="T56">
        <f>'Team and Player Stats'!T75</f>
        <v>131</v>
      </c>
      <c r="U56">
        <f>'Team and Player Stats'!U75</f>
        <v>26</v>
      </c>
      <c r="V56">
        <f>'Team and Player Stats'!V75</f>
        <v>10</v>
      </c>
      <c r="W56">
        <f>'Team and Player Stats'!W75</f>
        <v>6</v>
      </c>
      <c r="X56">
        <f>'Team and Player Stats'!X75</f>
        <v>1</v>
      </c>
      <c r="Y56">
        <f>'Team and Player Stats'!Y75</f>
        <v>1</v>
      </c>
      <c r="Z56">
        <f>'Team and Player Stats'!Z75</f>
        <v>1</v>
      </c>
      <c r="AA56">
        <f>'Team and Player Stats'!AA75</f>
        <v>0</v>
      </c>
      <c r="AB56">
        <f>'Team and Player Stats'!AB75</f>
        <v>0</v>
      </c>
      <c r="AC56">
        <f>'Team and Player Stats'!AC75</f>
        <v>12</v>
      </c>
      <c r="AD56">
        <f>'Team and Player Stats'!AD75</f>
        <v>0</v>
      </c>
      <c r="AE56">
        <f>'Team and Player Stats'!AE75</f>
        <v>0</v>
      </c>
      <c r="AF56">
        <f>'Team and Player Stats'!AF75</f>
        <v>0</v>
      </c>
      <c r="AG56">
        <f>'Team and Player Stats'!AG75</f>
        <v>4</v>
      </c>
      <c r="AH56">
        <f>'Team and Player Stats'!AH75</f>
        <v>0</v>
      </c>
    </row>
    <row r="57">
      <c r="A57" s="97" t="str">
        <f>'Team and Player Stats'!B76</f>
        <v>MsMeowlla</v>
      </c>
      <c r="B57" s="97" t="str">
        <f>'Team and Player Stats'!A76</f>
        <v>Mediocre at Best</v>
      </c>
      <c r="C57" s="97">
        <f>'Team and Player Stats'!C76</f>
        <v>20</v>
      </c>
      <c r="D57" s="97">
        <f>'Team and Player Stats'!D76</f>
        <v>10</v>
      </c>
      <c r="E57" s="98">
        <f>'Team and Player Stats'!E76</f>
        <v>394.5</v>
      </c>
      <c r="F57" s="97">
        <f>'Team and Player Stats'!F76</f>
        <v>3</v>
      </c>
      <c r="G57" s="97">
        <f>'Team and Player Stats'!G76</f>
        <v>1224</v>
      </c>
      <c r="H57" s="97">
        <f>'Team and Player Stats'!H76</f>
        <v>2</v>
      </c>
      <c r="I57" s="97">
        <f>'Team and Player Stats'!I76</f>
        <v>1434</v>
      </c>
      <c r="J57" s="97">
        <f>'Team and Player Stats'!J76</f>
        <v>-210</v>
      </c>
      <c r="K57" s="99">
        <f>'Team and Player Stats'!K76</f>
        <v>0.8535564854</v>
      </c>
      <c r="L57" s="98">
        <f>'Team and Player Stats'!L76</f>
        <v>295</v>
      </c>
      <c r="M57" s="97">
        <f>'Team and Player Stats'!M76</f>
        <v>1522</v>
      </c>
      <c r="N57" s="97">
        <f>'Team and Player Stats'!N76</f>
        <v>20</v>
      </c>
      <c r="O57" s="100">
        <f>'Team and Player Stats'!O76</f>
        <v>394.5</v>
      </c>
      <c r="P57" s="97">
        <f>'Team and Player Stats'!P76</f>
        <v>30</v>
      </c>
      <c r="Q57" s="97">
        <f>'Team and Player Stats'!Q76</f>
        <v>28</v>
      </c>
      <c r="R57" s="97">
        <f>'Team and Player Stats'!R76</f>
        <v>73</v>
      </c>
      <c r="S57" s="97">
        <f>'Team and Player Stats'!S76</f>
        <v>32</v>
      </c>
      <c r="T57" s="97">
        <f>'Team and Player Stats'!T76</f>
        <v>152</v>
      </c>
      <c r="U57" s="97">
        <f>'Team and Player Stats'!U76</f>
        <v>32</v>
      </c>
      <c r="V57" s="97">
        <f>'Team and Player Stats'!V76</f>
        <v>6</v>
      </c>
      <c r="W57" s="97">
        <f>'Team and Player Stats'!W76</f>
        <v>2</v>
      </c>
      <c r="X57" s="97">
        <f>'Team and Player Stats'!X76</f>
        <v>0</v>
      </c>
      <c r="Y57" s="97">
        <f>'Team and Player Stats'!Y76</f>
        <v>0</v>
      </c>
      <c r="Z57" s="97">
        <f>'Team and Player Stats'!Z76</f>
        <v>0</v>
      </c>
      <c r="AA57" s="97">
        <f>'Team and Player Stats'!AA76</f>
        <v>0</v>
      </c>
      <c r="AB57" s="97">
        <f>'Team and Player Stats'!AB76</f>
        <v>0</v>
      </c>
      <c r="AC57" s="97">
        <f>'Team and Player Stats'!AC76</f>
        <v>20</v>
      </c>
      <c r="AD57" s="97">
        <f>'Team and Player Stats'!AD76</f>
        <v>1</v>
      </c>
      <c r="AE57" s="97">
        <f>'Team and Player Stats'!AE76</f>
        <v>0</v>
      </c>
      <c r="AF57" s="97">
        <f>'Team and Player Stats'!AF76</f>
        <v>0</v>
      </c>
      <c r="AG57" s="97">
        <f>'Team and Player Stats'!AG76</f>
        <v>1</v>
      </c>
      <c r="AH57" s="97">
        <f>'Team and Player Stats'!AH76</f>
        <v>0</v>
      </c>
    </row>
    <row r="58">
      <c r="A58" t="str">
        <f>'Team and Player Stats'!B77</f>
        <v>MachinimistLuke</v>
      </c>
      <c r="B58" t="str">
        <f>'Team and Player Stats'!A77</f>
        <v>Mediocre at Best</v>
      </c>
      <c r="C58">
        <f>'Team and Player Stats'!C77</f>
        <v>1</v>
      </c>
      <c r="D58">
        <f>'Team and Player Stats'!D77</f>
        <v>0</v>
      </c>
      <c r="E58" s="101">
        <f>'Team and Player Stats'!E77</f>
        <v>33</v>
      </c>
      <c r="F58">
        <f>'Team and Player Stats'!F77</f>
        <v>1</v>
      </c>
      <c r="G58">
        <f>'Team and Player Stats'!G77</f>
        <v>56</v>
      </c>
      <c r="H58">
        <f>'Team and Player Stats'!H77</f>
        <v>1</v>
      </c>
      <c r="I58">
        <f>'Team and Player Stats'!I77</f>
        <v>112</v>
      </c>
      <c r="J58">
        <f>'Team and Player Stats'!J77</f>
        <v>-56</v>
      </c>
      <c r="K58" s="102">
        <f>'Team and Player Stats'!K77</f>
        <v>0.5</v>
      </c>
      <c r="L58" s="101">
        <f>'Team and Player Stats'!L77</f>
        <v>14</v>
      </c>
      <c r="M58">
        <f>'Team and Player Stats'!M77</f>
        <v>68</v>
      </c>
      <c r="N58">
        <f>'Team and Player Stats'!N77</f>
        <v>1</v>
      </c>
      <c r="O58" s="103">
        <f>'Team and Player Stats'!O77</f>
        <v>33</v>
      </c>
      <c r="P58">
        <f>'Team and Player Stats'!P77</f>
        <v>4</v>
      </c>
      <c r="Q58">
        <f>'Team and Player Stats'!Q77</f>
        <v>1</v>
      </c>
      <c r="R58">
        <f>'Team and Player Stats'!R77</f>
        <v>1</v>
      </c>
      <c r="S58">
        <f>'Team and Player Stats'!S77</f>
        <v>0</v>
      </c>
      <c r="T58">
        <f>'Team and Player Stats'!T77</f>
        <v>5</v>
      </c>
      <c r="U58">
        <f>'Team and Player Stats'!U77</f>
        <v>1</v>
      </c>
      <c r="V58">
        <f>'Team and Player Stats'!V77</f>
        <v>0</v>
      </c>
      <c r="W58">
        <f>'Team and Player Stats'!W77</f>
        <v>0</v>
      </c>
      <c r="X58">
        <f>'Team and Player Stats'!X77</f>
        <v>0</v>
      </c>
      <c r="Y58">
        <f>'Team and Player Stats'!Y77</f>
        <v>0</v>
      </c>
      <c r="Z58">
        <f>'Team and Player Stats'!Z77</f>
        <v>0</v>
      </c>
      <c r="AA58">
        <f>'Team and Player Stats'!AA77</f>
        <v>0</v>
      </c>
      <c r="AB58">
        <f>'Team and Player Stats'!AB77</f>
        <v>0</v>
      </c>
      <c r="AC58">
        <f>'Team and Player Stats'!AC77</f>
        <v>0</v>
      </c>
      <c r="AD58">
        <f>'Team and Player Stats'!AD77</f>
        <v>0</v>
      </c>
      <c r="AE58">
        <f>'Team and Player Stats'!AE77</f>
        <v>0</v>
      </c>
      <c r="AF58">
        <f>'Team and Player Stats'!AF77</f>
        <v>0</v>
      </c>
      <c r="AG58">
        <f>'Team and Player Stats'!AG77</f>
        <v>0</v>
      </c>
      <c r="AH58">
        <f>'Team and Player Stats'!AH77</f>
        <v>0</v>
      </c>
    </row>
    <row r="59">
      <c r="A59" s="97"/>
      <c r="B59" s="97"/>
      <c r="C59" s="97"/>
      <c r="D59" s="97"/>
      <c r="E59" s="98"/>
      <c r="F59" s="99"/>
      <c r="G59" s="100"/>
      <c r="H59" s="100"/>
      <c r="I59" s="100"/>
      <c r="J59" s="100"/>
      <c r="K59" s="99"/>
      <c r="L59" s="98"/>
      <c r="M59" s="100"/>
      <c r="N59" s="9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</row>
    <row r="60">
      <c r="E60" s="101"/>
      <c r="F60" s="102"/>
      <c r="G60" s="103"/>
      <c r="H60" s="103"/>
      <c r="I60" s="103"/>
      <c r="J60" s="103"/>
      <c r="K60" s="102"/>
      <c r="L60" s="101"/>
      <c r="M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</row>
    <row r="61">
      <c r="A61" s="97"/>
      <c r="B61" s="97"/>
      <c r="C61" s="97"/>
      <c r="D61" s="97"/>
      <c r="E61" s="98"/>
      <c r="F61" s="99"/>
      <c r="G61" s="100"/>
      <c r="H61" s="100"/>
      <c r="I61" s="100"/>
      <c r="J61" s="100"/>
      <c r="K61" s="99"/>
      <c r="L61" s="98"/>
      <c r="M61" s="100"/>
      <c r="N61" s="97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</row>
    <row r="62">
      <c r="E62" s="101"/>
      <c r="F62" s="102"/>
      <c r="G62" s="103"/>
      <c r="H62" s="103"/>
      <c r="I62" s="103"/>
      <c r="J62" s="103"/>
      <c r="K62" s="102"/>
      <c r="L62" s="101"/>
      <c r="M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</row>
    <row r="63">
      <c r="A63" s="97"/>
      <c r="B63" s="97"/>
      <c r="C63" s="97"/>
      <c r="D63" s="97"/>
      <c r="E63" s="98"/>
      <c r="F63" s="99"/>
      <c r="G63" s="100"/>
      <c r="H63" s="100"/>
      <c r="I63" s="100"/>
      <c r="J63" s="100"/>
      <c r="K63" s="99"/>
      <c r="L63" s="98"/>
      <c r="M63" s="100"/>
      <c r="N63" s="9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</row>
    <row r="64">
      <c r="E64" s="101"/>
      <c r="F64" s="102"/>
      <c r="G64" s="103"/>
      <c r="H64" s="103"/>
      <c r="I64" s="103"/>
      <c r="J64" s="103"/>
      <c r="K64" s="102"/>
      <c r="L64" s="101"/>
      <c r="M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</row>
    <row r="65">
      <c r="A65" s="97"/>
      <c r="B65" s="97"/>
      <c r="C65" s="97"/>
      <c r="D65" s="97"/>
      <c r="E65" s="98"/>
      <c r="F65" s="99"/>
      <c r="G65" s="100"/>
      <c r="H65" s="100"/>
      <c r="I65" s="100"/>
      <c r="J65" s="100"/>
      <c r="K65" s="99"/>
      <c r="L65" s="98"/>
      <c r="M65" s="100"/>
      <c r="N65" s="9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</row>
    <row r="66">
      <c r="E66" s="101"/>
      <c r="F66" s="102"/>
      <c r="G66" s="103"/>
      <c r="H66" s="103"/>
      <c r="I66" s="103"/>
      <c r="J66" s="103"/>
      <c r="K66" s="102"/>
      <c r="L66" s="101"/>
      <c r="M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</row>
    <row r="67">
      <c r="A67" s="97"/>
      <c r="B67" s="97"/>
      <c r="C67" s="97"/>
      <c r="D67" s="97"/>
      <c r="E67" s="98"/>
      <c r="F67" s="99"/>
      <c r="G67" s="100"/>
      <c r="H67" s="100"/>
      <c r="I67" s="100"/>
      <c r="J67" s="100"/>
      <c r="K67" s="99"/>
      <c r="L67" s="98"/>
      <c r="M67" s="100"/>
      <c r="N67" s="97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</row>
    <row r="68">
      <c r="E68" s="101"/>
      <c r="F68" s="102"/>
      <c r="G68" s="103"/>
      <c r="H68" s="103"/>
      <c r="I68" s="103"/>
      <c r="J68" s="103"/>
      <c r="K68" s="102"/>
      <c r="L68" s="101"/>
      <c r="M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</row>
    <row r="69">
      <c r="A69" s="97"/>
      <c r="B69" s="97"/>
      <c r="C69" s="97"/>
      <c r="D69" s="97"/>
      <c r="E69" s="98"/>
      <c r="F69" s="99"/>
      <c r="G69" s="100"/>
      <c r="H69" s="100"/>
      <c r="I69" s="100"/>
      <c r="J69" s="100"/>
      <c r="K69" s="99"/>
      <c r="L69" s="98"/>
      <c r="M69" s="100"/>
      <c r="N69" s="97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</row>
    <row r="70">
      <c r="E70" s="101"/>
      <c r="F70" s="102"/>
      <c r="G70" s="103"/>
      <c r="H70" s="103"/>
      <c r="I70" s="103"/>
      <c r="J70" s="103"/>
      <c r="K70" s="102"/>
      <c r="L70" s="101"/>
      <c r="M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</row>
    <row r="71">
      <c r="A71" s="97"/>
      <c r="B71" s="97"/>
      <c r="C71" s="97"/>
      <c r="D71" s="97"/>
      <c r="E71" s="98"/>
      <c r="F71" s="99"/>
      <c r="G71" s="100"/>
      <c r="H71" s="100"/>
      <c r="I71" s="100"/>
      <c r="J71" s="100"/>
      <c r="K71" s="99"/>
      <c r="L71" s="98"/>
      <c r="M71" s="100"/>
      <c r="N71" s="97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</row>
    <row r="72">
      <c r="E72" s="101"/>
      <c r="F72" s="102"/>
      <c r="G72" s="103"/>
      <c r="H72" s="103"/>
      <c r="I72" s="103"/>
      <c r="J72" s="103"/>
      <c r="K72" s="102"/>
      <c r="L72" s="101"/>
      <c r="M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</row>
    <row r="73">
      <c r="A73" s="97"/>
      <c r="B73" s="97"/>
      <c r="C73" s="97"/>
      <c r="D73" s="97"/>
      <c r="E73" s="98"/>
      <c r="F73" s="99"/>
      <c r="G73" s="100"/>
      <c r="H73" s="100"/>
      <c r="I73" s="100"/>
      <c r="J73" s="100"/>
      <c r="K73" s="99"/>
      <c r="L73" s="98"/>
      <c r="M73" s="100"/>
      <c r="N73" s="97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</row>
    <row r="74">
      <c r="E74" s="101"/>
      <c r="F74" s="102"/>
      <c r="G74" s="103"/>
      <c r="H74" s="103"/>
      <c r="I74" s="103"/>
      <c r="J74" s="103"/>
      <c r="K74" s="102"/>
      <c r="L74" s="101"/>
      <c r="M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</row>
    <row r="75">
      <c r="A75" s="97"/>
      <c r="B75" s="97"/>
      <c r="C75" s="97"/>
      <c r="D75" s="97"/>
      <c r="E75" s="98"/>
      <c r="F75" s="99"/>
      <c r="G75" s="100"/>
      <c r="H75" s="100"/>
      <c r="I75" s="100"/>
      <c r="J75" s="100"/>
      <c r="K75" s="99"/>
      <c r="L75" s="98"/>
      <c r="M75" s="100"/>
      <c r="N75" s="97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</row>
    <row r="76">
      <c r="E76" s="101"/>
      <c r="F76" s="102"/>
      <c r="G76" s="103"/>
      <c r="H76" s="103"/>
      <c r="I76" s="103"/>
      <c r="J76" s="103"/>
      <c r="K76" s="102"/>
      <c r="L76" s="101"/>
      <c r="M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</row>
    <row r="77">
      <c r="A77" s="97"/>
      <c r="B77" s="97"/>
      <c r="C77" s="97"/>
      <c r="D77" s="97"/>
      <c r="E77" s="98"/>
      <c r="F77" s="99"/>
      <c r="G77" s="100"/>
      <c r="H77" s="100"/>
      <c r="I77" s="100"/>
      <c r="J77" s="100"/>
      <c r="K77" s="99"/>
      <c r="L77" s="98"/>
      <c r="M77" s="100"/>
      <c r="N77" s="97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</row>
    <row r="78">
      <c r="E78" s="101"/>
      <c r="F78" s="102"/>
      <c r="G78" s="103"/>
      <c r="H78" s="103"/>
      <c r="I78" s="103"/>
      <c r="J78" s="103"/>
      <c r="K78" s="102"/>
      <c r="L78" s="101"/>
      <c r="M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</row>
    <row r="79">
      <c r="A79" s="97"/>
      <c r="B79" s="97"/>
      <c r="C79" s="97"/>
      <c r="D79" s="97"/>
      <c r="E79" s="98"/>
      <c r="F79" s="99"/>
      <c r="G79" s="100"/>
      <c r="H79" s="100"/>
      <c r="I79" s="100"/>
      <c r="J79" s="100"/>
      <c r="K79" s="99"/>
      <c r="L79" s="98"/>
      <c r="M79" s="100"/>
      <c r="N79" s="97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</row>
    <row r="80">
      <c r="E80" s="101"/>
      <c r="F80" s="102"/>
      <c r="G80" s="103"/>
      <c r="H80" s="103"/>
      <c r="I80" s="103"/>
      <c r="J80" s="103"/>
      <c r="K80" s="102"/>
      <c r="L80" s="101"/>
      <c r="M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</row>
    <row r="81">
      <c r="A81" s="97"/>
      <c r="B81" s="97"/>
      <c r="C81" s="97"/>
      <c r="D81" s="97"/>
      <c r="E81" s="98"/>
      <c r="F81" s="99"/>
      <c r="G81" s="100"/>
      <c r="H81" s="100"/>
      <c r="I81" s="100"/>
      <c r="J81" s="100"/>
      <c r="K81" s="99"/>
      <c r="L81" s="98"/>
      <c r="M81" s="100"/>
      <c r="N81" s="97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</row>
    <row r="82">
      <c r="E82" s="101"/>
      <c r="F82" s="102"/>
      <c r="G82" s="103"/>
      <c r="H82" s="103"/>
      <c r="I82" s="103"/>
      <c r="J82" s="103"/>
      <c r="K82" s="102"/>
      <c r="L82" s="101"/>
      <c r="M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</row>
    <row r="83">
      <c r="A83" s="97"/>
      <c r="B83" s="97"/>
      <c r="C83" s="97"/>
      <c r="D83" s="97"/>
      <c r="E83" s="98"/>
      <c r="F83" s="99"/>
      <c r="G83" s="100"/>
      <c r="H83" s="100"/>
      <c r="I83" s="100"/>
      <c r="J83" s="100"/>
      <c r="K83" s="99"/>
      <c r="L83" s="98"/>
      <c r="M83" s="100"/>
      <c r="N83" s="97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</row>
    <row r="84">
      <c r="E84" s="101"/>
      <c r="F84" s="102"/>
      <c r="G84" s="103"/>
      <c r="H84" s="103"/>
      <c r="I84" s="103"/>
      <c r="J84" s="103"/>
      <c r="K84" s="102"/>
      <c r="L84" s="101"/>
      <c r="M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</row>
    <row r="85">
      <c r="A85" s="97"/>
      <c r="B85" s="97"/>
      <c r="C85" s="97"/>
      <c r="D85" s="97"/>
      <c r="E85" s="98"/>
      <c r="F85" s="99"/>
      <c r="G85" s="100"/>
      <c r="H85" s="100"/>
      <c r="I85" s="100"/>
      <c r="J85" s="100"/>
      <c r="K85" s="99"/>
      <c r="L85" s="98"/>
      <c r="M85" s="100"/>
      <c r="N85" s="97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</row>
    <row r="86">
      <c r="E86" s="101"/>
      <c r="F86" s="102"/>
      <c r="G86" s="103"/>
      <c r="H86" s="103"/>
      <c r="I86" s="103"/>
      <c r="J86" s="103"/>
      <c r="K86" s="102"/>
      <c r="L86" s="101"/>
      <c r="M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</row>
    <row r="87">
      <c r="A87" s="97"/>
      <c r="B87" s="97"/>
      <c r="C87" s="97"/>
      <c r="D87" s="97"/>
      <c r="E87" s="98"/>
      <c r="F87" s="99"/>
      <c r="G87" s="100"/>
      <c r="H87" s="100"/>
      <c r="I87" s="100"/>
      <c r="J87" s="100"/>
      <c r="K87" s="99"/>
      <c r="L87" s="98"/>
      <c r="M87" s="100"/>
      <c r="N87" s="97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>
      <c r="E88" s="101"/>
      <c r="F88" s="102"/>
      <c r="G88" s="103"/>
      <c r="H88" s="103"/>
      <c r="I88" s="103"/>
      <c r="J88" s="103"/>
      <c r="K88" s="102"/>
      <c r="L88" s="101"/>
      <c r="M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</row>
    <row r="89">
      <c r="A89" s="97"/>
      <c r="B89" s="97"/>
      <c r="C89" s="97"/>
      <c r="D89" s="97"/>
      <c r="E89" s="98"/>
      <c r="F89" s="99"/>
      <c r="G89" s="100"/>
      <c r="H89" s="100"/>
      <c r="I89" s="100"/>
      <c r="J89" s="100"/>
      <c r="K89" s="99"/>
      <c r="L89" s="98"/>
      <c r="M89" s="100"/>
      <c r="N89" s="97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>
      <c r="E90" s="101"/>
      <c r="F90" s="102"/>
      <c r="G90" s="103"/>
      <c r="H90" s="103"/>
      <c r="I90" s="103"/>
      <c r="J90" s="103"/>
      <c r="K90" s="102"/>
      <c r="L90" s="101"/>
      <c r="M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</row>
    <row r="91">
      <c r="A91" s="97"/>
      <c r="B91" s="97"/>
      <c r="C91" s="97"/>
      <c r="D91" s="97"/>
      <c r="E91" s="98"/>
      <c r="F91" s="99"/>
      <c r="G91" s="100"/>
      <c r="H91" s="100"/>
      <c r="I91" s="100"/>
      <c r="J91" s="100"/>
      <c r="K91" s="99"/>
      <c r="L91" s="98"/>
      <c r="M91" s="100"/>
      <c r="N91" s="97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>
      <c r="E92" s="101"/>
      <c r="F92" s="102"/>
      <c r="G92" s="103"/>
      <c r="H92" s="103"/>
      <c r="I92" s="103"/>
      <c r="J92" s="103"/>
      <c r="K92" s="102"/>
      <c r="L92" s="101"/>
      <c r="M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</row>
    <row r="93">
      <c r="A93" s="97"/>
      <c r="B93" s="97"/>
      <c r="C93" s="97"/>
      <c r="D93" s="97"/>
      <c r="E93" s="98"/>
      <c r="F93" s="99"/>
      <c r="G93" s="100"/>
      <c r="H93" s="100"/>
      <c r="I93" s="100"/>
      <c r="J93" s="100"/>
      <c r="K93" s="99"/>
      <c r="L93" s="98"/>
      <c r="M93" s="100"/>
      <c r="N93" s="97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>
      <c r="E94" s="101"/>
      <c r="F94" s="102"/>
      <c r="G94" s="103"/>
      <c r="H94" s="103"/>
      <c r="I94" s="103"/>
      <c r="J94" s="103"/>
      <c r="K94" s="102"/>
      <c r="L94" s="101"/>
      <c r="M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</row>
    <row r="95">
      <c r="A95" s="97"/>
      <c r="B95" s="97"/>
      <c r="C95" s="97"/>
      <c r="D95" s="97"/>
      <c r="E95" s="98"/>
      <c r="F95" s="99"/>
      <c r="G95" s="100"/>
      <c r="H95" s="100"/>
      <c r="I95" s="100"/>
      <c r="J95" s="100"/>
      <c r="K95" s="99"/>
      <c r="L95" s="98"/>
      <c r="M95" s="100"/>
      <c r="N95" s="97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>
      <c r="E96" s="101"/>
      <c r="F96" s="102"/>
      <c r="G96" s="103"/>
      <c r="H96" s="103"/>
      <c r="I96" s="103"/>
      <c r="J96" s="103"/>
      <c r="K96" s="102"/>
      <c r="L96" s="101"/>
      <c r="M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</row>
    <row r="97">
      <c r="A97" s="97"/>
      <c r="B97" s="97"/>
      <c r="C97" s="97"/>
      <c r="D97" s="97"/>
      <c r="E97" s="98"/>
      <c r="F97" s="99"/>
      <c r="G97" s="100"/>
      <c r="H97" s="100"/>
      <c r="I97" s="100"/>
      <c r="J97" s="100"/>
      <c r="K97" s="99"/>
      <c r="L97" s="98"/>
      <c r="M97" s="100"/>
      <c r="N97" s="97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>
      <c r="E98" s="101"/>
      <c r="F98" s="102"/>
      <c r="G98" s="103"/>
      <c r="H98" s="103"/>
      <c r="I98" s="103"/>
      <c r="J98" s="103"/>
      <c r="K98" s="102"/>
      <c r="L98" s="101"/>
      <c r="M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</row>
    <row r="99">
      <c r="A99" s="97"/>
      <c r="B99" s="97"/>
      <c r="C99" s="97"/>
      <c r="D99" s="97"/>
      <c r="E99" s="98"/>
      <c r="F99" s="99"/>
      <c r="G99" s="100"/>
      <c r="H99" s="100"/>
      <c r="I99" s="100"/>
      <c r="J99" s="100"/>
      <c r="K99" s="99"/>
      <c r="L99" s="98"/>
      <c r="M99" s="100"/>
      <c r="N99" s="97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>
      <c r="E100" s="101"/>
      <c r="F100" s="102"/>
      <c r="G100" s="103"/>
      <c r="H100" s="103"/>
      <c r="I100" s="103"/>
      <c r="J100" s="103"/>
      <c r="K100" s="102"/>
      <c r="L100" s="101"/>
      <c r="M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</row>
    <row r="101">
      <c r="A101" s="97"/>
      <c r="B101" s="97"/>
      <c r="C101" s="97"/>
      <c r="D101" s="97"/>
      <c r="E101" s="98"/>
      <c r="F101" s="99"/>
      <c r="G101" s="100"/>
      <c r="H101" s="100"/>
      <c r="I101" s="100"/>
      <c r="J101" s="100"/>
      <c r="K101" s="99"/>
      <c r="L101" s="98"/>
      <c r="M101" s="100"/>
      <c r="N101" s="97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>
      <c r="E102" s="101"/>
      <c r="F102" s="102"/>
      <c r="G102" s="103"/>
      <c r="H102" s="103"/>
      <c r="I102" s="103"/>
      <c r="J102" s="103"/>
      <c r="K102" s="102"/>
      <c r="L102" s="101"/>
      <c r="M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</row>
  </sheetData>
  <mergeCells count="1">
    <mergeCell ref="A1:A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75" t="s">
        <v>248</v>
      </c>
      <c r="AH1" s="75"/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  <c r="AH2" s="81"/>
    </row>
    <row r="3">
      <c r="A3" s="97" t="str">
        <f>'Team and Player Stats'!B3</f>
        <v>Trespa5s </v>
      </c>
      <c r="B3" s="97" t="str">
        <f>'Team and Player Stats'!A3</f>
        <v>Defiance</v>
      </c>
      <c r="C3" s="97">
        <f>'Team and Player Stats'!C3</f>
        <v>14</v>
      </c>
      <c r="D3" s="97">
        <f>'Team and Player Stats'!D3</f>
        <v>8</v>
      </c>
      <c r="E3" s="98">
        <f>'Team and Player Stats'!E3</f>
        <v>419</v>
      </c>
      <c r="F3" s="97">
        <f>'Team and Player Stats'!F3</f>
        <v>4</v>
      </c>
      <c r="G3" s="97">
        <f>'Team and Player Stats'!G3</f>
        <v>1276</v>
      </c>
      <c r="H3" s="97">
        <f>'Team and Player Stats'!H3</f>
        <v>2</v>
      </c>
      <c r="I3" s="97">
        <f>'Team and Player Stats'!I3</f>
        <v>1388</v>
      </c>
      <c r="J3" s="97">
        <f>'Team and Player Stats'!J3</f>
        <v>-112</v>
      </c>
      <c r="K3" s="99">
        <f>'Team and Player Stats'!K3</f>
        <v>0.9193083573</v>
      </c>
      <c r="L3" s="97">
        <f>'Team and Player Stats'!L3</f>
        <v>239</v>
      </c>
      <c r="M3" s="97">
        <f>'Team and Player Stats'!M3</f>
        <v>1527</v>
      </c>
      <c r="N3" s="97">
        <f>'Team and Player Stats'!N3</f>
        <v>13</v>
      </c>
      <c r="O3" s="100">
        <f>'Team and Player Stats'!O3</f>
        <v>419</v>
      </c>
      <c r="P3" s="97">
        <f>'Team and Player Stats'!P3</f>
        <v>29</v>
      </c>
      <c r="Q3" s="97">
        <f>'Team and Player Stats'!Q3</f>
        <v>9</v>
      </c>
      <c r="R3" s="97">
        <f>'Team and Player Stats'!R3</f>
        <v>98</v>
      </c>
      <c r="S3" s="97">
        <f>'Team and Player Stats'!S3</f>
        <v>18</v>
      </c>
      <c r="T3" s="97">
        <f>'Team and Player Stats'!T3</f>
        <v>151</v>
      </c>
      <c r="U3" s="97">
        <f>'Team and Player Stats'!U3</f>
        <v>26</v>
      </c>
      <c r="V3" s="97">
        <f>'Team and Player Stats'!V3</f>
        <v>7</v>
      </c>
      <c r="W3" s="97">
        <f>'Team and Player Stats'!W3</f>
        <v>1</v>
      </c>
      <c r="X3" s="97">
        <f>'Team and Player Stats'!X3</f>
        <v>1</v>
      </c>
      <c r="Y3" s="97">
        <f>'Team and Player Stats'!Y3</f>
        <v>0</v>
      </c>
      <c r="Z3" s="97">
        <f>'Team and Player Stats'!Z3</f>
        <v>0</v>
      </c>
      <c r="AA3" s="97">
        <f>'Team and Player Stats'!AA3</f>
        <v>0</v>
      </c>
      <c r="AB3" s="97">
        <f>'Team and Player Stats'!AB3</f>
        <v>0</v>
      </c>
      <c r="AC3" s="97">
        <f>'Team and Player Stats'!AC3</f>
        <v>19</v>
      </c>
      <c r="AD3" s="97">
        <f>'Team and Player Stats'!AD3</f>
        <v>0</v>
      </c>
      <c r="AE3" s="97">
        <f>'Team and Player Stats'!AE3</f>
        <v>0</v>
      </c>
      <c r="AF3" s="97">
        <f>'Team and Player Stats'!AF3</f>
        <v>0</v>
      </c>
      <c r="AG3" s="97">
        <f>'Team and Player Stats'!AG3</f>
        <v>1</v>
      </c>
      <c r="AH3" s="97">
        <f>'Team and Player Stats'!AH3</f>
        <v>0</v>
      </c>
    </row>
    <row r="4">
      <c r="A4" t="str">
        <f>'Team and Player Stats'!B4</f>
        <v>DIGITAL PAIN</v>
      </c>
      <c r="B4" t="str">
        <f>'Team and Player Stats'!A4</f>
        <v>Defiance</v>
      </c>
      <c r="C4">
        <f>'Team and Player Stats'!C4</f>
        <v>16</v>
      </c>
      <c r="D4">
        <f>'Team and Player Stats'!D4</f>
        <v>10</v>
      </c>
      <c r="E4" s="101">
        <f>'Team and Player Stats'!E4</f>
        <v>454</v>
      </c>
      <c r="F4">
        <f>'Team and Player Stats'!F4</f>
        <v>5</v>
      </c>
      <c r="G4">
        <f>'Team and Player Stats'!G4</f>
        <v>1723</v>
      </c>
      <c r="H4">
        <f>'Team and Player Stats'!H4</f>
        <v>6</v>
      </c>
      <c r="I4">
        <f>'Team and Player Stats'!I4</f>
        <v>1499</v>
      </c>
      <c r="J4">
        <f>'Team and Player Stats'!J4</f>
        <v>224</v>
      </c>
      <c r="K4" s="102">
        <f>'Team and Player Stats'!K4</f>
        <v>1.149432955</v>
      </c>
      <c r="L4">
        <f>'Team and Player Stats'!L4</f>
        <v>263</v>
      </c>
      <c r="M4">
        <f>'Team and Player Stats'!M4</f>
        <v>2175</v>
      </c>
      <c r="N4">
        <f>'Team and Player Stats'!N4</f>
        <v>13</v>
      </c>
      <c r="O4" s="103">
        <f>'Team and Player Stats'!O4</f>
        <v>419</v>
      </c>
      <c r="P4">
        <f>'Team and Player Stats'!P4</f>
        <v>84</v>
      </c>
      <c r="Q4">
        <f>'Team and Player Stats'!Q4</f>
        <v>29</v>
      </c>
      <c r="R4">
        <f>'Team and Player Stats'!R4</f>
        <v>141</v>
      </c>
      <c r="S4">
        <f>'Team and Player Stats'!S4</f>
        <v>20</v>
      </c>
      <c r="T4">
        <f>'Team and Player Stats'!T4</f>
        <v>203</v>
      </c>
      <c r="U4">
        <f>'Team and Player Stats'!U4</f>
        <v>30</v>
      </c>
      <c r="V4">
        <f>'Team and Player Stats'!V4</f>
        <v>9</v>
      </c>
      <c r="W4">
        <f>'Team and Player Stats'!W4</f>
        <v>4</v>
      </c>
      <c r="X4">
        <f>'Team and Player Stats'!X4</f>
        <v>1</v>
      </c>
      <c r="Y4">
        <f>'Team and Player Stats'!Y4</f>
        <v>0</v>
      </c>
      <c r="Z4">
        <f>'Team and Player Stats'!Z4</f>
        <v>0</v>
      </c>
      <c r="AA4">
        <f>'Team and Player Stats'!AA4</f>
        <v>0</v>
      </c>
      <c r="AB4">
        <f>'Team and Player Stats'!AB4</f>
        <v>0</v>
      </c>
      <c r="AC4">
        <f>'Team and Player Stats'!AC4</f>
        <v>44</v>
      </c>
      <c r="AD4">
        <f>'Team and Player Stats'!AD4</f>
        <v>1</v>
      </c>
      <c r="AE4">
        <f>'Team and Player Stats'!AE4</f>
        <v>0</v>
      </c>
      <c r="AF4">
        <f>'Team and Player Stats'!AF4</f>
        <v>0</v>
      </c>
      <c r="AG4">
        <f>'Team and Player Stats'!AG4</f>
        <v>1</v>
      </c>
      <c r="AH4">
        <f>'Team and Player Stats'!AH4</f>
        <v>2</v>
      </c>
    </row>
    <row r="5">
      <c r="A5" s="97" t="str">
        <f>'Team and Player Stats'!B5</f>
        <v>Sabasauros Rex</v>
      </c>
      <c r="B5" s="97" t="str">
        <f>'Team and Player Stats'!A5</f>
        <v>Defiance</v>
      </c>
      <c r="C5" s="97">
        <f>'Team and Player Stats'!C5</f>
        <v>16</v>
      </c>
      <c r="D5" s="97">
        <f>'Team and Player Stats'!D5</f>
        <v>10</v>
      </c>
      <c r="E5" s="98">
        <f>'Team and Player Stats'!E5</f>
        <v>454</v>
      </c>
      <c r="F5" s="97">
        <f>'Team and Player Stats'!F5</f>
        <v>13</v>
      </c>
      <c r="G5" s="97">
        <f>'Team and Player Stats'!G5</f>
        <v>1748</v>
      </c>
      <c r="H5" s="97">
        <f>'Team and Player Stats'!H5</f>
        <v>11</v>
      </c>
      <c r="I5" s="97">
        <f>'Team and Player Stats'!I5</f>
        <v>1684</v>
      </c>
      <c r="J5" s="97">
        <f>'Team and Player Stats'!J5</f>
        <v>64</v>
      </c>
      <c r="K5" s="99">
        <f>'Team and Player Stats'!K5</f>
        <v>1.038004751</v>
      </c>
      <c r="L5" s="98">
        <f>'Team and Player Stats'!L5</f>
        <v>226</v>
      </c>
      <c r="M5" s="97">
        <f>'Team and Player Stats'!M5</f>
        <v>2216</v>
      </c>
      <c r="N5" s="97">
        <f>'Team and Player Stats'!N5</f>
        <v>13</v>
      </c>
      <c r="O5" s="100">
        <f>'Team and Player Stats'!O5</f>
        <v>419</v>
      </c>
      <c r="P5" s="97">
        <f>'Team and Player Stats'!P5</f>
        <v>75</v>
      </c>
      <c r="Q5" s="97">
        <f>'Team and Player Stats'!Q5</f>
        <v>25</v>
      </c>
      <c r="R5" s="97">
        <f>'Team and Player Stats'!R5</f>
        <v>128</v>
      </c>
      <c r="S5" s="97">
        <f>'Team and Player Stats'!S5</f>
        <v>27</v>
      </c>
      <c r="T5" s="97">
        <f>'Team and Player Stats'!T5</f>
        <v>219</v>
      </c>
      <c r="U5" s="97">
        <f>'Team and Player Stats'!U5</f>
        <v>51</v>
      </c>
      <c r="V5" s="97">
        <f>'Team and Player Stats'!V5</f>
        <v>10</v>
      </c>
      <c r="W5" s="97">
        <f>'Team and Player Stats'!W5</f>
        <v>1</v>
      </c>
      <c r="X5" s="97">
        <f>'Team and Player Stats'!X5</f>
        <v>0</v>
      </c>
      <c r="Y5" s="97">
        <f>'Team and Player Stats'!Y5</f>
        <v>0</v>
      </c>
      <c r="Z5" s="97">
        <f>'Team and Player Stats'!Z5</f>
        <v>0</v>
      </c>
      <c r="AA5" s="97">
        <f>'Team and Player Stats'!AA5</f>
        <v>0</v>
      </c>
      <c r="AB5" s="97">
        <f>'Team and Player Stats'!AB5</f>
        <v>0</v>
      </c>
      <c r="AC5" s="97">
        <f>'Team and Player Stats'!AC5</f>
        <v>36</v>
      </c>
      <c r="AD5" s="97">
        <f>'Team and Player Stats'!AD5</f>
        <v>2</v>
      </c>
      <c r="AE5" s="97">
        <f>'Team and Player Stats'!AE5</f>
        <v>0</v>
      </c>
      <c r="AF5" s="97">
        <f>'Team and Player Stats'!AF5</f>
        <v>0</v>
      </c>
      <c r="AG5" s="97">
        <f>'Team and Player Stats'!AG5</f>
        <v>2</v>
      </c>
      <c r="AH5" s="97">
        <f>'Team and Player Stats'!AH5</f>
        <v>0</v>
      </c>
    </row>
    <row r="6">
      <c r="A6" t="str">
        <f>'Team and Player Stats'!B6</f>
        <v>ThumpingHawk</v>
      </c>
      <c r="B6" t="str">
        <f>'Team and Player Stats'!A6</f>
        <v>Defiance</v>
      </c>
      <c r="C6">
        <f>'Team and Player Stats'!C6</f>
        <v>12</v>
      </c>
      <c r="D6">
        <f>'Team and Player Stats'!D6</f>
        <v>6</v>
      </c>
      <c r="E6" s="101">
        <f>'Team and Player Stats'!E6</f>
        <v>339</v>
      </c>
      <c r="F6">
        <f>'Team and Player Stats'!F6</f>
        <v>23</v>
      </c>
      <c r="G6">
        <f>'Team and Player Stats'!G6</f>
        <v>880</v>
      </c>
      <c r="H6">
        <f>'Team and Player Stats'!H6</f>
        <v>2</v>
      </c>
      <c r="I6">
        <f>'Team and Player Stats'!I6</f>
        <v>923</v>
      </c>
      <c r="J6">
        <f>'Team and Player Stats'!J6</f>
        <v>-43</v>
      </c>
      <c r="K6" s="102">
        <f>'Team and Player Stats'!K6</f>
        <v>0.9534127844</v>
      </c>
      <c r="L6" s="101">
        <f>'Team and Player Stats'!L6</f>
        <v>254</v>
      </c>
      <c r="M6">
        <f>'Team and Player Stats'!M6</f>
        <v>1128</v>
      </c>
      <c r="N6">
        <f>'Team and Player Stats'!N6</f>
        <v>9</v>
      </c>
      <c r="O6" s="103">
        <f>'Team and Player Stats'!O6</f>
        <v>304</v>
      </c>
      <c r="P6">
        <f>'Team and Player Stats'!P6</f>
        <v>37</v>
      </c>
      <c r="Q6">
        <f>'Team and Player Stats'!Q6</f>
        <v>18</v>
      </c>
      <c r="R6">
        <f>'Team and Player Stats'!R6</f>
        <v>49</v>
      </c>
      <c r="S6">
        <f>'Team and Player Stats'!S6</f>
        <v>24</v>
      </c>
      <c r="T6">
        <f>'Team and Player Stats'!T6</f>
        <v>93</v>
      </c>
      <c r="U6">
        <f>'Team and Player Stats'!U6</f>
        <v>11</v>
      </c>
      <c r="V6">
        <f>'Team and Player Stats'!V6</f>
        <v>3</v>
      </c>
      <c r="W6">
        <f>'Team and Player Stats'!W6</f>
        <v>0</v>
      </c>
      <c r="X6">
        <f>'Team and Player Stats'!X6</f>
        <v>0</v>
      </c>
      <c r="Y6">
        <f>'Team and Player Stats'!Y6</f>
        <v>0</v>
      </c>
      <c r="Z6">
        <f>'Team and Player Stats'!Z6</f>
        <v>0</v>
      </c>
      <c r="AA6">
        <f>'Team and Player Stats'!AA6</f>
        <v>0</v>
      </c>
      <c r="AB6">
        <f>'Team and Player Stats'!AB6</f>
        <v>0</v>
      </c>
      <c r="AC6">
        <f>'Team and Player Stats'!AC6</f>
        <v>21</v>
      </c>
      <c r="AD6">
        <f>'Team and Player Stats'!AD6</f>
        <v>1</v>
      </c>
      <c r="AE6">
        <f>'Team and Player Stats'!AE6</f>
        <v>0</v>
      </c>
      <c r="AF6">
        <f>'Team and Player Stats'!AF6</f>
        <v>0</v>
      </c>
      <c r="AG6">
        <f>'Team and Player Stats'!AG6</f>
        <v>0</v>
      </c>
      <c r="AH6">
        <f>'Team and Player Stats'!AH6</f>
        <v>0</v>
      </c>
    </row>
    <row r="7">
      <c r="A7" s="97" t="str">
        <f>'Team and Player Stats'!B7</f>
        <v>The Eastbrook</v>
      </c>
      <c r="B7" s="97" t="str">
        <f>'Team and Player Stats'!A7</f>
        <v>Defiance</v>
      </c>
      <c r="C7" s="97">
        <f>'Team and Player Stats'!C7</f>
        <v>6</v>
      </c>
      <c r="D7" s="97">
        <f>'Team and Player Stats'!D7</f>
        <v>6</v>
      </c>
      <c r="E7" s="98">
        <f>'Team and Player Stats'!E7</f>
        <v>150</v>
      </c>
      <c r="F7" s="97">
        <f>'Team and Player Stats'!F7</f>
        <v>21</v>
      </c>
      <c r="G7" s="97">
        <f>'Team and Player Stats'!G7</f>
        <v>371</v>
      </c>
      <c r="H7" s="97">
        <f>'Team and Player Stats'!H7</f>
        <v>3</v>
      </c>
      <c r="I7" s="97">
        <f>'Team and Player Stats'!I7</f>
        <v>424</v>
      </c>
      <c r="J7" s="97">
        <f>'Team and Player Stats'!J7</f>
        <v>-53</v>
      </c>
      <c r="K7" s="99">
        <f>'Team and Player Stats'!K7</f>
        <v>0.875</v>
      </c>
      <c r="L7" s="98">
        <f>'Team and Player Stats'!L7</f>
        <v>101</v>
      </c>
      <c r="M7" s="97">
        <f>'Team and Player Stats'!M7</f>
        <v>478</v>
      </c>
      <c r="N7" s="97">
        <f>'Team and Player Stats'!N7</f>
        <v>4</v>
      </c>
      <c r="O7" s="100">
        <f>'Team and Player Stats'!O7</f>
        <v>115</v>
      </c>
      <c r="P7" s="97">
        <f>'Team and Player Stats'!P7</f>
        <v>16</v>
      </c>
      <c r="Q7" s="97">
        <f>'Team and Player Stats'!Q7</f>
        <v>16</v>
      </c>
      <c r="R7" s="97">
        <f>'Team and Player Stats'!R7</f>
        <v>4</v>
      </c>
      <c r="S7" s="97">
        <f>'Team and Player Stats'!S7</f>
        <v>6</v>
      </c>
      <c r="T7" s="97">
        <f>'Team and Player Stats'!T7</f>
        <v>29</v>
      </c>
      <c r="U7" s="97">
        <f>'Team and Player Stats'!U7</f>
        <v>5</v>
      </c>
      <c r="V7" s="97">
        <f>'Team and Player Stats'!V7</f>
        <v>0</v>
      </c>
      <c r="W7" s="97">
        <f>'Team and Player Stats'!W7</f>
        <v>0</v>
      </c>
      <c r="X7" s="97">
        <f>'Team and Player Stats'!X7</f>
        <v>0</v>
      </c>
      <c r="Y7" s="97">
        <f>'Team and Player Stats'!Y7</f>
        <v>0</v>
      </c>
      <c r="Z7" s="97">
        <f>'Team and Player Stats'!Z7</f>
        <v>0</v>
      </c>
      <c r="AA7" s="97">
        <f>'Team and Player Stats'!AA7</f>
        <v>0</v>
      </c>
      <c r="AB7" s="97">
        <f>'Team and Player Stats'!AB7</f>
        <v>0</v>
      </c>
      <c r="AC7" s="97">
        <f>'Team and Player Stats'!AC7</f>
        <v>5</v>
      </c>
      <c r="AD7" s="97">
        <f>'Team and Player Stats'!AD7</f>
        <v>0</v>
      </c>
      <c r="AE7" s="97">
        <f>'Team and Player Stats'!AE7</f>
        <v>0</v>
      </c>
      <c r="AF7" s="97">
        <f>'Team and Player Stats'!AF7</f>
        <v>0</v>
      </c>
      <c r="AG7" s="97">
        <f>'Team and Player Stats'!AG7</f>
        <v>0</v>
      </c>
      <c r="AH7" s="97">
        <f>'Team and Player Stats'!AH7</f>
        <v>1</v>
      </c>
    </row>
    <row r="8">
      <c r="A8" t="str">
        <f>'Team and Player Stats'!B8</f>
        <v>MASTER CH3IF</v>
      </c>
      <c r="B8" t="str">
        <f>'Team and Player Stats'!A8</f>
        <v>Defiance</v>
      </c>
      <c r="C8">
        <f>'Team and Player Stats'!C8</f>
        <v>0</v>
      </c>
      <c r="D8">
        <f>'Team and Player Stats'!D8</f>
        <v>0</v>
      </c>
      <c r="E8" s="101">
        <f>'Team and Player Stats'!E8</f>
        <v>0</v>
      </c>
      <c r="F8">
        <f>'Team and Player Stats'!F8</f>
        <v>0</v>
      </c>
      <c r="G8">
        <f>'Team and Player Stats'!G8</f>
        <v>0</v>
      </c>
      <c r="H8">
        <f>'Team and Player Stats'!H8</f>
        <v>0</v>
      </c>
      <c r="I8">
        <f>'Team and Player Stats'!I8</f>
        <v>0</v>
      </c>
      <c r="J8">
        <f>'Team and Player Stats'!J8</f>
        <v>0</v>
      </c>
      <c r="K8" s="102" t="str">
        <f>'Team and Player Stats'!K8</f>
        <v>#DIV/0!</v>
      </c>
      <c r="L8" s="101">
        <f>'Team and Player Stats'!L8</f>
        <v>0</v>
      </c>
      <c r="M8">
        <f>'Team and Player Stats'!M8</f>
        <v>0</v>
      </c>
      <c r="N8">
        <f>'Team and Player Stats'!N8</f>
        <v>0</v>
      </c>
      <c r="O8" s="103">
        <f>'Team and Player Stats'!O8</f>
        <v>0</v>
      </c>
      <c r="P8">
        <f>'Team and Player Stats'!P8</f>
        <v>1</v>
      </c>
      <c r="Q8">
        <f>'Team and Player Stats'!Q8</f>
        <v>0</v>
      </c>
      <c r="R8">
        <f>'Team and Player Stats'!R8</f>
        <v>2</v>
      </c>
      <c r="S8">
        <f>'Team and Player Stats'!S8</f>
        <v>0</v>
      </c>
      <c r="T8">
        <f>'Team and Player Stats'!T8</f>
        <v>4</v>
      </c>
      <c r="U8">
        <f>'Team and Player Stats'!U8</f>
        <v>1</v>
      </c>
      <c r="V8">
        <f>'Team and Player Stats'!V8</f>
        <v>1</v>
      </c>
      <c r="W8">
        <f>'Team and Player Stats'!W8</f>
        <v>1</v>
      </c>
      <c r="X8">
        <f>'Team and Player Stats'!X8</f>
        <v>0</v>
      </c>
      <c r="Y8">
        <f>'Team and Player Stats'!Y8</f>
        <v>0</v>
      </c>
      <c r="Z8">
        <f>'Team and Player Stats'!Z8</f>
        <v>0</v>
      </c>
      <c r="AA8">
        <f>'Team and Player Stats'!AA8</f>
        <v>0</v>
      </c>
      <c r="AB8">
        <f>'Team and Player Stats'!AB8</f>
        <v>0</v>
      </c>
      <c r="AC8">
        <f>'Team and Player Stats'!AC8</f>
        <v>2</v>
      </c>
      <c r="AD8">
        <f>'Team and Player Stats'!AD8</f>
        <v>0</v>
      </c>
      <c r="AE8">
        <f>'Team and Player Stats'!AE8</f>
        <v>0</v>
      </c>
      <c r="AF8">
        <f>'Team and Player Stats'!AF8</f>
        <v>0</v>
      </c>
      <c r="AG8">
        <f>'Team and Player Stats'!AG8</f>
        <v>1</v>
      </c>
      <c r="AH8">
        <f>'Team and Player Stats'!AH8</f>
        <v>0</v>
      </c>
    </row>
    <row r="9">
      <c r="A9" s="97" t="str">
        <f>'Team and Player Stats'!B10</f>
        <v>MuNgO PuNgO</v>
      </c>
      <c r="B9" s="97" t="str">
        <f>'Team and Player Stats'!A10</f>
        <v>In MuNgO We Trust</v>
      </c>
      <c r="C9" s="97">
        <f>'Team and Player Stats'!C10</f>
        <v>12</v>
      </c>
      <c r="D9" s="97">
        <f>'Team and Player Stats'!D10</f>
        <v>7</v>
      </c>
      <c r="E9" s="98">
        <f>'Team and Player Stats'!E10</f>
        <v>392.85</v>
      </c>
      <c r="F9" s="97">
        <f>'Team and Player Stats'!F10</f>
        <v>0</v>
      </c>
      <c r="G9" s="97">
        <f>'Team and Player Stats'!G10</f>
        <v>1234</v>
      </c>
      <c r="H9" s="97">
        <f>'Team and Player Stats'!H10</f>
        <v>3</v>
      </c>
      <c r="I9" s="97">
        <f>'Team and Player Stats'!I10</f>
        <v>1718</v>
      </c>
      <c r="J9" s="97">
        <f>'Team and Player Stats'!J10</f>
        <v>-484</v>
      </c>
      <c r="K9" s="99">
        <f>'Team and Player Stats'!K10</f>
        <v>0.7182770664</v>
      </c>
      <c r="L9" s="98">
        <f>'Team and Player Stats'!L10</f>
        <v>133</v>
      </c>
      <c r="M9" s="97">
        <f>'Team and Player Stats'!M10</f>
        <v>1551</v>
      </c>
      <c r="N9" s="97">
        <f>'Team and Player Stats'!N10</f>
        <v>12</v>
      </c>
      <c r="O9" s="100">
        <f>'Team and Player Stats'!O10</f>
        <v>392.85</v>
      </c>
      <c r="P9" s="97">
        <f>'Team and Player Stats'!P10</f>
        <v>32</v>
      </c>
      <c r="Q9" s="97">
        <f>'Team and Player Stats'!Q10</f>
        <v>22</v>
      </c>
      <c r="R9" s="97">
        <f>'Team and Player Stats'!R10</f>
        <v>114</v>
      </c>
      <c r="S9" s="97">
        <f>'Team and Player Stats'!S10</f>
        <v>24</v>
      </c>
      <c r="T9" s="97">
        <f>'Team and Player Stats'!T10</f>
        <v>172</v>
      </c>
      <c r="U9" s="97">
        <f>'Team and Player Stats'!U10</f>
        <v>21</v>
      </c>
      <c r="V9" s="97">
        <f>'Team and Player Stats'!V10</f>
        <v>1</v>
      </c>
      <c r="W9" s="97">
        <f>'Team and Player Stats'!W10</f>
        <v>0</v>
      </c>
      <c r="X9" s="97">
        <f>'Team and Player Stats'!X10</f>
        <v>0</v>
      </c>
      <c r="Y9" s="97">
        <f>'Team and Player Stats'!Y10</f>
        <v>0</v>
      </c>
      <c r="Z9" s="97">
        <f>'Team and Player Stats'!Z10</f>
        <v>0</v>
      </c>
      <c r="AA9" s="97">
        <f>'Team and Player Stats'!AA10</f>
        <v>0</v>
      </c>
      <c r="AB9" s="97">
        <f>'Team and Player Stats'!AB10</f>
        <v>0</v>
      </c>
      <c r="AC9" s="97">
        <f>'Team and Player Stats'!AC10</f>
        <v>4</v>
      </c>
      <c r="AD9" s="97">
        <f>'Team and Player Stats'!AD10</f>
        <v>0</v>
      </c>
      <c r="AE9" s="97">
        <f>'Team and Player Stats'!AE10</f>
        <v>0</v>
      </c>
      <c r="AF9" s="97">
        <f>'Team and Player Stats'!AF10</f>
        <v>0</v>
      </c>
      <c r="AG9" s="97">
        <f>'Team and Player Stats'!AG10</f>
        <v>0</v>
      </c>
      <c r="AH9" s="97">
        <f>'Team and Player Stats'!AH10</f>
        <v>0</v>
      </c>
    </row>
    <row r="10">
      <c r="A10" t="str">
        <f>'Team and Player Stats'!B11</f>
        <v>Saintz the God</v>
      </c>
      <c r="B10" t="str">
        <f>'Team and Player Stats'!A11</f>
        <v>In MuNgO We Trust</v>
      </c>
      <c r="C10">
        <f>'Team and Player Stats'!C11</f>
        <v>12</v>
      </c>
      <c r="D10">
        <f>'Team and Player Stats'!D11</f>
        <v>7</v>
      </c>
      <c r="E10" s="101">
        <f>'Team and Player Stats'!E11</f>
        <v>371.5</v>
      </c>
      <c r="F10">
        <f>'Team and Player Stats'!F11</f>
        <v>5</v>
      </c>
      <c r="G10">
        <f>'Team and Player Stats'!G11</f>
        <v>1527</v>
      </c>
      <c r="H10">
        <f>'Team and Player Stats'!H11</f>
        <v>6</v>
      </c>
      <c r="I10">
        <f>'Team and Player Stats'!I11</f>
        <v>1261</v>
      </c>
      <c r="J10">
        <f>'Team and Player Stats'!J11</f>
        <v>266</v>
      </c>
      <c r="K10" s="102">
        <f>'Team and Player Stats'!K11</f>
        <v>1.210943695</v>
      </c>
      <c r="L10" s="101">
        <f>'Team and Player Stats'!L11</f>
        <v>181</v>
      </c>
      <c r="M10">
        <f>'Team and Player Stats'!M11</f>
        <v>2001</v>
      </c>
      <c r="N10">
        <f>'Team and Player Stats'!N11</f>
        <v>12</v>
      </c>
      <c r="O10" s="103">
        <f>'Team and Player Stats'!O11</f>
        <v>371.5</v>
      </c>
      <c r="P10">
        <f>'Team and Player Stats'!P11</f>
        <v>53</v>
      </c>
      <c r="Q10">
        <f>'Team and Player Stats'!Q11</f>
        <v>24</v>
      </c>
      <c r="R10">
        <f>'Team and Player Stats'!R11</f>
        <v>125</v>
      </c>
      <c r="S10">
        <f>'Team and Player Stats'!S11</f>
        <v>22</v>
      </c>
      <c r="T10">
        <f>'Team and Player Stats'!T11</f>
        <v>240</v>
      </c>
      <c r="U10">
        <f>'Team and Player Stats'!U11</f>
        <v>57</v>
      </c>
      <c r="V10">
        <f>'Team and Player Stats'!V11</f>
        <v>16</v>
      </c>
      <c r="W10">
        <f>'Team and Player Stats'!W11</f>
        <v>5</v>
      </c>
      <c r="X10">
        <f>'Team and Player Stats'!X11</f>
        <v>2</v>
      </c>
      <c r="Y10">
        <f>'Team and Player Stats'!Y11</f>
        <v>1</v>
      </c>
      <c r="Z10">
        <f>'Team and Player Stats'!Z11</f>
        <v>1</v>
      </c>
      <c r="AA10">
        <f>'Team and Player Stats'!AA11</f>
        <v>1</v>
      </c>
      <c r="AB10">
        <f>'Team and Player Stats'!AB11</f>
        <v>1</v>
      </c>
      <c r="AC10">
        <f>'Team and Player Stats'!AC11</f>
        <v>41</v>
      </c>
      <c r="AD10">
        <f>'Team and Player Stats'!AD11</f>
        <v>3</v>
      </c>
      <c r="AE10">
        <f>'Team and Player Stats'!AE11</f>
        <v>0</v>
      </c>
      <c r="AF10">
        <f>'Team and Player Stats'!AF11</f>
        <v>0</v>
      </c>
      <c r="AG10">
        <f>'Team and Player Stats'!AG11</f>
        <v>1</v>
      </c>
      <c r="AH10">
        <f>'Team and Player Stats'!AH11</f>
        <v>1</v>
      </c>
    </row>
    <row r="11">
      <c r="A11" s="97" t="str">
        <f>'Team and Player Stats'!B12</f>
        <v>The Corn Ninja</v>
      </c>
      <c r="B11" s="97" t="str">
        <f>'Team and Player Stats'!A12</f>
        <v>In MuNgO We Trust</v>
      </c>
      <c r="C11" s="97">
        <f>'Team and Player Stats'!C12</f>
        <v>13</v>
      </c>
      <c r="D11" s="97">
        <f>'Team and Player Stats'!D12</f>
        <v>7</v>
      </c>
      <c r="E11" s="98">
        <f>'Team and Player Stats'!E12</f>
        <v>439.9666667</v>
      </c>
      <c r="F11" s="97">
        <f>'Team and Player Stats'!F12</f>
        <v>42</v>
      </c>
      <c r="G11" s="97">
        <f>'Team and Player Stats'!G12</f>
        <v>969</v>
      </c>
      <c r="H11" s="97">
        <f>'Team and Player Stats'!H12</f>
        <v>4</v>
      </c>
      <c r="I11" s="97">
        <f>'Team and Player Stats'!I12</f>
        <v>1039</v>
      </c>
      <c r="J11" s="97">
        <f>'Team and Player Stats'!J12</f>
        <v>-70</v>
      </c>
      <c r="K11" s="99">
        <f>'Team and Player Stats'!K12</f>
        <v>0.9326275265</v>
      </c>
      <c r="L11" s="98">
        <f>'Team and Player Stats'!L12</f>
        <v>295</v>
      </c>
      <c r="M11" s="97">
        <f>'Team and Player Stats'!M12</f>
        <v>1224</v>
      </c>
      <c r="N11" s="97">
        <f>'Team and Player Stats'!N12</f>
        <v>13</v>
      </c>
      <c r="O11" s="100">
        <f>'Team and Player Stats'!O12</f>
        <v>439.9666667</v>
      </c>
      <c r="P11" s="97">
        <f>'Team and Player Stats'!P12</f>
        <v>59</v>
      </c>
      <c r="Q11" s="97">
        <f>'Team and Player Stats'!Q12</f>
        <v>13</v>
      </c>
      <c r="R11" s="97">
        <f>'Team and Player Stats'!R12</f>
        <v>31</v>
      </c>
      <c r="S11" s="97">
        <f>'Team and Player Stats'!S12</f>
        <v>30</v>
      </c>
      <c r="T11" s="97">
        <f>'Team and Player Stats'!T12</f>
        <v>89</v>
      </c>
      <c r="U11" s="97">
        <f>'Team and Player Stats'!U12</f>
        <v>15</v>
      </c>
      <c r="V11" s="97">
        <f>'Team and Player Stats'!V12</f>
        <v>5</v>
      </c>
      <c r="W11" s="97">
        <f>'Team and Player Stats'!W12</f>
        <v>0</v>
      </c>
      <c r="X11" s="97">
        <f>'Team and Player Stats'!X12</f>
        <v>0</v>
      </c>
      <c r="Y11" s="97">
        <f>'Team and Player Stats'!Y12</f>
        <v>0</v>
      </c>
      <c r="Z11" s="97">
        <f>'Team and Player Stats'!Z12</f>
        <v>0</v>
      </c>
      <c r="AA11" s="97">
        <f>'Team and Player Stats'!AA12</f>
        <v>0</v>
      </c>
      <c r="AB11" s="97">
        <f>'Team and Player Stats'!AB12</f>
        <v>0</v>
      </c>
      <c r="AC11" s="97">
        <f>'Team and Player Stats'!AC12</f>
        <v>16</v>
      </c>
      <c r="AD11" s="97">
        <f>'Team and Player Stats'!AD12</f>
        <v>0</v>
      </c>
      <c r="AE11" s="97">
        <f>'Team and Player Stats'!AE12</f>
        <v>0</v>
      </c>
      <c r="AF11" s="97">
        <f>'Team and Player Stats'!AF12</f>
        <v>0</v>
      </c>
      <c r="AG11" s="97">
        <f>'Team and Player Stats'!AG12</f>
        <v>0</v>
      </c>
      <c r="AH11" s="97">
        <f>'Team and Player Stats'!AH12</f>
        <v>0</v>
      </c>
    </row>
    <row r="12">
      <c r="A12" t="str">
        <f>'Team and Player Stats'!B13</f>
        <v>AtoneMilitant</v>
      </c>
      <c r="B12" t="str">
        <f>'Team and Player Stats'!A13</f>
        <v>In MuNgO We Trust</v>
      </c>
      <c r="C12">
        <f>'Team and Player Stats'!C13</f>
        <v>13</v>
      </c>
      <c r="D12">
        <f>'Team and Player Stats'!D13</f>
        <v>7</v>
      </c>
      <c r="E12" s="101">
        <f>'Team and Player Stats'!E13</f>
        <v>457.9166667</v>
      </c>
      <c r="F12">
        <f>'Team and Player Stats'!F13</f>
        <v>4</v>
      </c>
      <c r="G12">
        <f>'Team and Player Stats'!G13</f>
        <v>1481</v>
      </c>
      <c r="H12">
        <f>'Team and Player Stats'!H13</f>
        <v>12</v>
      </c>
      <c r="I12">
        <f>'Team and Player Stats'!I13</f>
        <v>1595</v>
      </c>
      <c r="J12">
        <f>'Team and Player Stats'!J13</f>
        <v>-114</v>
      </c>
      <c r="K12" s="102">
        <f>'Team and Player Stats'!K13</f>
        <v>0.9285266458</v>
      </c>
      <c r="L12" s="101">
        <f>'Team and Player Stats'!L13</f>
        <v>186</v>
      </c>
      <c r="M12">
        <f>'Team and Player Stats'!M13</f>
        <v>1871</v>
      </c>
      <c r="N12">
        <f>'Team and Player Stats'!N13</f>
        <v>13</v>
      </c>
      <c r="O12" s="103">
        <f>'Team and Player Stats'!O13</f>
        <v>457.9166667</v>
      </c>
      <c r="P12">
        <f>'Team and Player Stats'!P13</f>
        <v>42</v>
      </c>
      <c r="Q12">
        <f>'Team and Player Stats'!Q13</f>
        <v>27</v>
      </c>
      <c r="R12">
        <f>'Team and Player Stats'!R13</f>
        <v>137</v>
      </c>
      <c r="S12">
        <f>'Team and Player Stats'!S13</f>
        <v>31</v>
      </c>
      <c r="T12">
        <f>'Team and Player Stats'!T13</f>
        <v>206</v>
      </c>
      <c r="U12">
        <f>'Team and Player Stats'!U13</f>
        <v>33</v>
      </c>
      <c r="V12">
        <f>'Team and Player Stats'!V13</f>
        <v>8</v>
      </c>
      <c r="W12">
        <f>'Team and Player Stats'!W13</f>
        <v>3</v>
      </c>
      <c r="X12">
        <f>'Team and Player Stats'!X13</f>
        <v>1</v>
      </c>
      <c r="Y12">
        <f>'Team and Player Stats'!Y13</f>
        <v>0</v>
      </c>
      <c r="Z12">
        <f>'Team and Player Stats'!Z13</f>
        <v>0</v>
      </c>
      <c r="AA12">
        <f>'Team and Player Stats'!AA13</f>
        <v>0</v>
      </c>
      <c r="AB12">
        <f>'Team and Player Stats'!AB13</f>
        <v>0</v>
      </c>
      <c r="AC12">
        <f>'Team and Player Stats'!AC13</f>
        <v>27</v>
      </c>
      <c r="AD12">
        <f>'Team and Player Stats'!AD13</f>
        <v>0</v>
      </c>
      <c r="AE12">
        <f>'Team and Player Stats'!AE13</f>
        <v>0</v>
      </c>
      <c r="AF12">
        <f>'Team and Player Stats'!AF13</f>
        <v>0</v>
      </c>
      <c r="AG12">
        <f>'Team and Player Stats'!AG13</f>
        <v>0</v>
      </c>
      <c r="AH12">
        <f>'Team and Player Stats'!AH13</f>
        <v>0</v>
      </c>
    </row>
    <row r="13">
      <c r="A13" s="97" t="str">
        <f>'Team and Player Stats'!B14</f>
        <v>DCleak</v>
      </c>
      <c r="B13" s="97" t="str">
        <f>'Team and Player Stats'!A14</f>
        <v>In MuNgO We Trust</v>
      </c>
      <c r="C13" s="97">
        <f>'Team and Player Stats'!C14</f>
        <v>1</v>
      </c>
      <c r="D13" s="97">
        <f>'Team and Player Stats'!D14</f>
        <v>0</v>
      </c>
      <c r="E13" s="98">
        <f>'Team and Player Stats'!E14</f>
        <v>42</v>
      </c>
      <c r="F13" s="97">
        <f>'Team and Player Stats'!F14</f>
        <v>1</v>
      </c>
      <c r="G13" s="97">
        <f>'Team and Player Stats'!G14</f>
        <v>124</v>
      </c>
      <c r="H13" s="97">
        <f>'Team and Player Stats'!H14</f>
        <v>0</v>
      </c>
      <c r="I13" s="97">
        <f>'Team and Player Stats'!I14</f>
        <v>187</v>
      </c>
      <c r="J13" s="97">
        <f>'Team and Player Stats'!J14</f>
        <v>-63</v>
      </c>
      <c r="K13" s="99">
        <f>'Team and Player Stats'!K14</f>
        <v>0.6631016043</v>
      </c>
      <c r="L13" s="98">
        <f>'Team and Player Stats'!L14</f>
        <v>10</v>
      </c>
      <c r="M13" s="97">
        <f>'Team and Player Stats'!M14</f>
        <v>152</v>
      </c>
      <c r="N13" s="97">
        <f>'Team and Player Stats'!N14</f>
        <v>1</v>
      </c>
      <c r="O13" s="100">
        <f>'Team and Player Stats'!O14</f>
        <v>42</v>
      </c>
      <c r="P13" s="97">
        <f>'Team and Player Stats'!P14</f>
        <v>4</v>
      </c>
      <c r="Q13" s="97">
        <f>'Team and Player Stats'!Q14</f>
        <v>0</v>
      </c>
      <c r="R13" s="97">
        <f>'Team and Player Stats'!R14</f>
        <v>5</v>
      </c>
      <c r="S13" s="97">
        <f>'Team and Player Stats'!S14</f>
        <v>5</v>
      </c>
      <c r="T13" s="97">
        <f>'Team and Player Stats'!T14</f>
        <v>14</v>
      </c>
      <c r="U13" s="97">
        <f>'Team and Player Stats'!U14</f>
        <v>2</v>
      </c>
      <c r="V13" s="97">
        <f>'Team and Player Stats'!V14</f>
        <v>0</v>
      </c>
      <c r="W13" s="97">
        <f>'Team and Player Stats'!W14</f>
        <v>0</v>
      </c>
      <c r="X13" s="97">
        <f>'Team and Player Stats'!X14</f>
        <v>0</v>
      </c>
      <c r="Y13" s="97">
        <f>'Team and Player Stats'!Y14</f>
        <v>0</v>
      </c>
      <c r="Z13" s="97">
        <f>'Team and Player Stats'!Z14</f>
        <v>0</v>
      </c>
      <c r="AA13" s="97">
        <f>'Team and Player Stats'!AA14</f>
        <v>0</v>
      </c>
      <c r="AB13" s="97">
        <f>'Team and Player Stats'!AB14</f>
        <v>0</v>
      </c>
      <c r="AC13" s="97">
        <f>'Team and Player Stats'!AC14</f>
        <v>0</v>
      </c>
      <c r="AD13" s="97">
        <f>'Team and Player Stats'!AD14</f>
        <v>0</v>
      </c>
      <c r="AE13" s="97">
        <f>'Team and Player Stats'!AE14</f>
        <v>0</v>
      </c>
      <c r="AF13" s="97">
        <f>'Team and Player Stats'!AF14</f>
        <v>0</v>
      </c>
      <c r="AG13" s="97">
        <f>'Team and Player Stats'!AG14</f>
        <v>0</v>
      </c>
      <c r="AH13" s="97">
        <f>'Team and Player Stats'!AH14</f>
        <v>0</v>
      </c>
    </row>
    <row r="14">
      <c r="A14" t="str">
        <f>'Team and Player Stats'!B17</f>
        <v>nkotb4evah</v>
      </c>
      <c r="B14" t="str">
        <f>'Team and Player Stats'!A17</f>
        <v>Junkyard Dogs</v>
      </c>
      <c r="C14">
        <f>'Team and Player Stats'!C17</f>
        <v>18</v>
      </c>
      <c r="D14">
        <f>'Team and Player Stats'!D17</f>
        <v>6</v>
      </c>
      <c r="E14" s="101">
        <f>'Team and Player Stats'!E17</f>
        <v>528.05</v>
      </c>
      <c r="F14">
        <f>'Team and Player Stats'!F17</f>
        <v>41</v>
      </c>
      <c r="G14">
        <f>'Team and Player Stats'!G17</f>
        <v>1114</v>
      </c>
      <c r="H14">
        <f>'Team and Player Stats'!H17</f>
        <v>9</v>
      </c>
      <c r="I14">
        <f>'Team and Player Stats'!I17</f>
        <v>1599</v>
      </c>
      <c r="J14">
        <f>'Team and Player Stats'!J17</f>
        <v>-485</v>
      </c>
      <c r="K14" s="102">
        <f>'Team and Player Stats'!K17</f>
        <v>0.6966854284</v>
      </c>
      <c r="L14" s="101">
        <f>'Team and Player Stats'!L17</f>
        <v>330</v>
      </c>
      <c r="M14">
        <f>'Team and Player Stats'!M17</f>
        <v>1454</v>
      </c>
      <c r="N14">
        <f>'Team and Player Stats'!N17</f>
        <v>18</v>
      </c>
      <c r="O14" s="103">
        <f>'Team and Player Stats'!O17</f>
        <v>528.05</v>
      </c>
      <c r="P14">
        <f>'Team and Player Stats'!P17</f>
        <v>96</v>
      </c>
      <c r="Q14">
        <f>'Team and Player Stats'!Q17</f>
        <v>37</v>
      </c>
      <c r="R14">
        <f>'Team and Player Stats'!R17</f>
        <v>42</v>
      </c>
      <c r="S14">
        <f>'Team and Player Stats'!S17</f>
        <v>34</v>
      </c>
      <c r="T14">
        <f>'Team and Player Stats'!T17</f>
        <v>117</v>
      </c>
      <c r="U14">
        <f>'Team and Player Stats'!U17</f>
        <v>16</v>
      </c>
      <c r="V14">
        <f>'Team and Player Stats'!V17</f>
        <v>1</v>
      </c>
      <c r="W14">
        <f>'Team and Player Stats'!W17</f>
        <v>0</v>
      </c>
      <c r="X14">
        <f>'Team and Player Stats'!X17</f>
        <v>0</v>
      </c>
      <c r="Y14">
        <f>'Team and Player Stats'!Y17</f>
        <v>0</v>
      </c>
      <c r="Z14">
        <f>'Team and Player Stats'!Z17</f>
        <v>0</v>
      </c>
      <c r="AA14">
        <f>'Team and Player Stats'!AA17</f>
        <v>0</v>
      </c>
      <c r="AB14">
        <f>'Team and Player Stats'!AB17</f>
        <v>0</v>
      </c>
      <c r="AC14">
        <f>'Team and Player Stats'!AC17</f>
        <v>19</v>
      </c>
      <c r="AD14">
        <f>'Team and Player Stats'!AD17</f>
        <v>1</v>
      </c>
      <c r="AE14">
        <f>'Team and Player Stats'!AE17</f>
        <v>0</v>
      </c>
      <c r="AF14">
        <f>'Team and Player Stats'!AF17</f>
        <v>0</v>
      </c>
      <c r="AG14">
        <f>'Team and Player Stats'!AG17</f>
        <v>0</v>
      </c>
      <c r="AH14">
        <f>'Team and Player Stats'!AH17</f>
        <v>2</v>
      </c>
    </row>
    <row r="15">
      <c r="A15" s="97" t="str">
        <f>'Team and Player Stats'!B18</f>
        <v>AJ DaJuiceMayne</v>
      </c>
      <c r="B15" s="97" t="str">
        <f>'Team and Player Stats'!A18</f>
        <v>Junkyard Dogs</v>
      </c>
      <c r="C15" s="97">
        <f>'Team and Player Stats'!C18</f>
        <v>16</v>
      </c>
      <c r="D15" s="97">
        <f>'Team and Player Stats'!D18</f>
        <v>6</v>
      </c>
      <c r="E15" s="98">
        <f>'Team and Player Stats'!E18</f>
        <v>490.1333333</v>
      </c>
      <c r="F15" s="97">
        <f>'Team and Player Stats'!F18</f>
        <v>5</v>
      </c>
      <c r="G15" s="97">
        <f>'Team and Player Stats'!G18</f>
        <v>2238</v>
      </c>
      <c r="H15" s="97">
        <f>'Team and Player Stats'!H18</f>
        <v>13</v>
      </c>
      <c r="I15" s="97">
        <f>'Team and Player Stats'!I18</f>
        <v>1945</v>
      </c>
      <c r="J15" s="97">
        <f>'Team and Player Stats'!J18</f>
        <v>293</v>
      </c>
      <c r="K15" s="99">
        <f>'Team and Player Stats'!K18</f>
        <v>1.150642674</v>
      </c>
      <c r="L15" s="98">
        <f>'Team and Player Stats'!L18</f>
        <v>218</v>
      </c>
      <c r="M15" s="97">
        <f>'Team and Player Stats'!M18</f>
        <v>2963</v>
      </c>
      <c r="N15" s="97">
        <f>'Team and Player Stats'!N18</f>
        <v>16</v>
      </c>
      <c r="O15" s="100">
        <f>'Team and Player Stats'!O18</f>
        <v>490.1333333</v>
      </c>
      <c r="P15" s="97">
        <f>'Team and Player Stats'!P18</f>
        <v>74</v>
      </c>
      <c r="Q15" s="97">
        <f>'Team and Player Stats'!Q18</f>
        <v>32</v>
      </c>
      <c r="R15" s="97">
        <f>'Team and Player Stats'!R18</f>
        <v>147</v>
      </c>
      <c r="S15" s="97">
        <f>'Team and Player Stats'!S18</f>
        <v>25</v>
      </c>
      <c r="T15" s="97">
        <f>'Team and Player Stats'!T18</f>
        <v>373</v>
      </c>
      <c r="U15" s="97">
        <f>'Team and Player Stats'!U18</f>
        <v>92</v>
      </c>
      <c r="V15" s="97">
        <f>'Team and Player Stats'!V18</f>
        <v>29</v>
      </c>
      <c r="W15" s="97">
        <f>'Team and Player Stats'!W18</f>
        <v>5</v>
      </c>
      <c r="X15" s="97">
        <f>'Team and Player Stats'!X18</f>
        <v>1</v>
      </c>
      <c r="Y15" s="97">
        <f>'Team and Player Stats'!Y18</f>
        <v>1</v>
      </c>
      <c r="Z15" s="97">
        <f>'Team and Player Stats'!Z18</f>
        <v>0</v>
      </c>
      <c r="AA15" s="97">
        <f>'Team and Player Stats'!AA18</f>
        <v>0</v>
      </c>
      <c r="AB15" s="97">
        <f>'Team and Player Stats'!AB18</f>
        <v>0</v>
      </c>
      <c r="AC15" s="97">
        <f>'Team and Player Stats'!AC18</f>
        <v>72</v>
      </c>
      <c r="AD15" s="97">
        <f>'Team and Player Stats'!AD18</f>
        <v>2</v>
      </c>
      <c r="AE15" s="97">
        <f>'Team and Player Stats'!AE18</f>
        <v>0</v>
      </c>
      <c r="AF15" s="97">
        <f>'Team and Player Stats'!AF18</f>
        <v>0</v>
      </c>
      <c r="AG15" s="97">
        <f>'Team and Player Stats'!AG18</f>
        <v>1</v>
      </c>
      <c r="AH15" s="97">
        <f>'Team and Player Stats'!AH18</f>
        <v>0</v>
      </c>
    </row>
    <row r="16">
      <c r="A16" t="str">
        <f>'Team and Player Stats'!B19</f>
        <v>Gilded Grams</v>
      </c>
      <c r="B16" t="str">
        <f>'Team and Player Stats'!A19</f>
        <v>Junkyard Dogs</v>
      </c>
      <c r="C16">
        <f>'Team and Player Stats'!C19</f>
        <v>18</v>
      </c>
      <c r="D16">
        <f>'Team and Player Stats'!D19</f>
        <v>6</v>
      </c>
      <c r="E16" s="101">
        <f>'Team and Player Stats'!E19</f>
        <v>525.4666667</v>
      </c>
      <c r="F16">
        <f>'Team and Player Stats'!F19</f>
        <v>6</v>
      </c>
      <c r="G16">
        <f>'Team and Player Stats'!G19</f>
        <v>2263</v>
      </c>
      <c r="H16">
        <f>'Team and Player Stats'!H19</f>
        <v>7</v>
      </c>
      <c r="I16">
        <f>'Team and Player Stats'!I19</f>
        <v>1972</v>
      </c>
      <c r="J16">
        <f>'Team and Player Stats'!J19</f>
        <v>291</v>
      </c>
      <c r="K16" s="102">
        <f>'Team and Player Stats'!K19</f>
        <v>1.147565923</v>
      </c>
      <c r="L16" s="101">
        <f>'Team and Player Stats'!L19</f>
        <v>253</v>
      </c>
      <c r="M16">
        <f>'Team and Player Stats'!M19</f>
        <v>2928</v>
      </c>
      <c r="N16">
        <f>'Team and Player Stats'!N19</f>
        <v>18</v>
      </c>
      <c r="O16" s="103">
        <f>'Team and Player Stats'!O19</f>
        <v>525.4666667</v>
      </c>
      <c r="P16">
        <f>'Team and Player Stats'!P19</f>
        <v>83</v>
      </c>
      <c r="Q16">
        <f>'Team and Player Stats'!Q19</f>
        <v>74</v>
      </c>
      <c r="R16">
        <f>'Team and Player Stats'!R19</f>
        <v>115</v>
      </c>
      <c r="S16">
        <f>'Team and Player Stats'!S19</f>
        <v>36</v>
      </c>
      <c r="T16">
        <f>'Team and Player Stats'!T19</f>
        <v>360</v>
      </c>
      <c r="U16">
        <f>'Team and Player Stats'!U19</f>
        <v>59</v>
      </c>
      <c r="V16">
        <f>'Team and Player Stats'!V19</f>
        <v>11</v>
      </c>
      <c r="W16">
        <f>'Team and Player Stats'!W19</f>
        <v>3</v>
      </c>
      <c r="X16">
        <f>'Team and Player Stats'!X19</f>
        <v>0</v>
      </c>
      <c r="Y16">
        <f>'Team and Player Stats'!Y19</f>
        <v>0</v>
      </c>
      <c r="Z16">
        <f>'Team and Player Stats'!Z19</f>
        <v>0</v>
      </c>
      <c r="AA16">
        <f>'Team and Player Stats'!AA19</f>
        <v>0</v>
      </c>
      <c r="AB16">
        <f>'Team and Player Stats'!AB19</f>
        <v>0</v>
      </c>
      <c r="AC16">
        <f>'Team and Player Stats'!AC19</f>
        <v>68</v>
      </c>
      <c r="AD16">
        <f>'Team and Player Stats'!AD19</f>
        <v>1</v>
      </c>
      <c r="AE16">
        <f>'Team and Player Stats'!AE19</f>
        <v>0</v>
      </c>
      <c r="AF16">
        <f>'Team and Player Stats'!AF19</f>
        <v>0</v>
      </c>
      <c r="AG16">
        <f>'Team and Player Stats'!AG19</f>
        <v>2</v>
      </c>
      <c r="AH16">
        <f>'Team and Player Stats'!AH19</f>
        <v>9</v>
      </c>
    </row>
    <row r="17">
      <c r="A17" s="97" t="str">
        <f>'Team and Player Stats'!B20</f>
        <v>PoisonxPoptart</v>
      </c>
      <c r="B17" s="97" t="str">
        <f>'Team and Player Stats'!A20</f>
        <v>Junkyard Dogs</v>
      </c>
      <c r="C17" s="97">
        <f>'Team and Player Stats'!C20</f>
        <v>16</v>
      </c>
      <c r="D17" s="97">
        <f>'Team and Player Stats'!D20</f>
        <v>6</v>
      </c>
      <c r="E17" s="98">
        <f>'Team and Player Stats'!E20</f>
        <v>490.4333333</v>
      </c>
      <c r="F17" s="97">
        <f>'Team and Player Stats'!F20</f>
        <v>5</v>
      </c>
      <c r="G17" s="97">
        <f>'Team and Player Stats'!G20</f>
        <v>1559</v>
      </c>
      <c r="H17" s="97">
        <f>'Team and Player Stats'!H20</f>
        <v>7</v>
      </c>
      <c r="I17" s="97">
        <f>'Team and Player Stats'!I20</f>
        <v>1564</v>
      </c>
      <c r="J17" s="97">
        <f>'Team and Player Stats'!J20</f>
        <v>-5</v>
      </c>
      <c r="K17" s="99">
        <f>'Team and Player Stats'!K20</f>
        <v>0.9968030691</v>
      </c>
      <c r="L17" s="98">
        <f>'Team and Player Stats'!L20</f>
        <v>283</v>
      </c>
      <c r="M17" s="97">
        <f>'Team and Player Stats'!M20</f>
        <v>1938</v>
      </c>
      <c r="N17" s="97">
        <f>'Team and Player Stats'!N20</f>
        <v>16</v>
      </c>
      <c r="O17" s="100">
        <f>'Team and Player Stats'!O20</f>
        <v>490.4333333</v>
      </c>
      <c r="P17" s="97">
        <f>'Team and Player Stats'!P20</f>
        <v>55</v>
      </c>
      <c r="Q17" s="97">
        <f>'Team and Player Stats'!Q20</f>
        <v>48</v>
      </c>
      <c r="R17" s="97">
        <f>'Team and Player Stats'!R20</f>
        <v>104</v>
      </c>
      <c r="S17" s="97">
        <f>'Team and Player Stats'!S20</f>
        <v>29</v>
      </c>
      <c r="T17" s="97">
        <f>'Team and Player Stats'!T20</f>
        <v>188</v>
      </c>
      <c r="U17" s="97">
        <f>'Team and Player Stats'!U20</f>
        <v>24</v>
      </c>
      <c r="V17" s="97">
        <f>'Team and Player Stats'!V20</f>
        <v>3</v>
      </c>
      <c r="W17" s="97">
        <f>'Team and Player Stats'!W20</f>
        <v>1</v>
      </c>
      <c r="X17" s="97">
        <f>'Team and Player Stats'!X20</f>
        <v>0</v>
      </c>
      <c r="Y17" s="97">
        <f>'Team and Player Stats'!Y20</f>
        <v>0</v>
      </c>
      <c r="Z17" s="97">
        <f>'Team and Player Stats'!Z20</f>
        <v>0</v>
      </c>
      <c r="AA17" s="97">
        <f>'Team and Player Stats'!AA20</f>
        <v>0</v>
      </c>
      <c r="AB17" s="97">
        <f>'Team and Player Stats'!AB20</f>
        <v>0</v>
      </c>
      <c r="AC17" s="97">
        <f>'Team and Player Stats'!AC20</f>
        <v>25</v>
      </c>
      <c r="AD17" s="97">
        <f>'Team and Player Stats'!AD20</f>
        <v>0</v>
      </c>
      <c r="AE17" s="97">
        <f>'Team and Player Stats'!AE20</f>
        <v>0</v>
      </c>
      <c r="AF17" s="97">
        <f>'Team and Player Stats'!AF20</f>
        <v>0</v>
      </c>
      <c r="AG17" s="97">
        <f>'Team and Player Stats'!AG20</f>
        <v>0</v>
      </c>
      <c r="AH17" s="97">
        <f>'Team and Player Stats'!AH20</f>
        <v>3</v>
      </c>
    </row>
    <row r="18">
      <c r="A18" t="str">
        <f>'Team and Player Stats'!B21</f>
        <v>caleb loves you</v>
      </c>
      <c r="B18" t="str">
        <f>'Team and Player Stats'!A21</f>
        <v>Junkyard Dogs</v>
      </c>
      <c r="C18">
        <f>'Team and Player Stats'!C21</f>
        <v>2</v>
      </c>
      <c r="D18">
        <f>'Team and Player Stats'!D21</f>
        <v>0</v>
      </c>
      <c r="E18" s="101">
        <f>'Team and Player Stats'!E21</f>
        <v>36</v>
      </c>
      <c r="F18">
        <f>'Team and Player Stats'!F21</f>
        <v>0</v>
      </c>
      <c r="G18">
        <f>'Team and Player Stats'!G21</f>
        <v>109</v>
      </c>
      <c r="H18">
        <f>'Team and Player Stats'!H21</f>
        <v>0</v>
      </c>
      <c r="I18">
        <f>'Team and Player Stats'!I21</f>
        <v>115</v>
      </c>
      <c r="J18">
        <f>'Team and Player Stats'!J21</f>
        <v>-6</v>
      </c>
      <c r="K18" s="102">
        <f>'Team and Player Stats'!K21</f>
        <v>0.947826087</v>
      </c>
      <c r="L18" s="101">
        <f>'Team and Player Stats'!L21</f>
        <v>31</v>
      </c>
      <c r="M18">
        <f>'Team and Player Stats'!M21</f>
        <v>130</v>
      </c>
      <c r="N18">
        <f>'Team and Player Stats'!N21</f>
        <v>2</v>
      </c>
      <c r="O18" s="103">
        <f>'Team and Player Stats'!O21</f>
        <v>36</v>
      </c>
      <c r="P18">
        <f>'Team and Player Stats'!P21</f>
        <v>2</v>
      </c>
      <c r="Q18">
        <f>'Team and Player Stats'!Q21</f>
        <v>2</v>
      </c>
      <c r="R18">
        <f>'Team and Player Stats'!R21</f>
        <v>7</v>
      </c>
      <c r="S18">
        <f>'Team and Player Stats'!S21</f>
        <v>2</v>
      </c>
      <c r="T18">
        <f>'Team and Player Stats'!T21</f>
        <v>16</v>
      </c>
      <c r="U18">
        <f>'Team and Player Stats'!U21</f>
        <v>5</v>
      </c>
      <c r="V18">
        <f>'Team and Player Stats'!V21</f>
        <v>2</v>
      </c>
      <c r="W18">
        <f>'Team and Player Stats'!W21</f>
        <v>0</v>
      </c>
      <c r="X18">
        <f>'Team and Player Stats'!X21</f>
        <v>0</v>
      </c>
      <c r="Y18">
        <f>'Team and Player Stats'!Y21</f>
        <v>0</v>
      </c>
      <c r="Z18">
        <f>'Team and Player Stats'!Z21</f>
        <v>0</v>
      </c>
      <c r="AA18">
        <f>'Team and Player Stats'!AA21</f>
        <v>0</v>
      </c>
      <c r="AB18">
        <f>'Team and Player Stats'!AB21</f>
        <v>0</v>
      </c>
      <c r="AC18">
        <f>'Team and Player Stats'!AC21</f>
        <v>2</v>
      </c>
      <c r="AD18">
        <f>'Team and Player Stats'!AD21</f>
        <v>0</v>
      </c>
      <c r="AE18">
        <f>'Team and Player Stats'!AE21</f>
        <v>0</v>
      </c>
      <c r="AF18">
        <f>'Team and Player Stats'!AF21</f>
        <v>0</v>
      </c>
      <c r="AG18">
        <f>'Team and Player Stats'!AG21</f>
        <v>0</v>
      </c>
      <c r="AH18">
        <f>'Team and Player Stats'!AH21</f>
        <v>0</v>
      </c>
    </row>
    <row r="19">
      <c r="A19" s="97" t="str">
        <f>'Team and Player Stats'!B24</f>
        <v>x Zeg x</v>
      </c>
      <c r="B19" s="97" t="str">
        <f>'Team and Player Stats'!A24</f>
        <v>9th Wonders</v>
      </c>
      <c r="C19" s="97">
        <f>'Team and Player Stats'!C24</f>
        <v>18</v>
      </c>
      <c r="D19" s="97">
        <f>'Team and Player Stats'!D24</f>
        <v>10</v>
      </c>
      <c r="E19" s="98">
        <f>'Team and Player Stats'!E24</f>
        <v>498.2833333</v>
      </c>
      <c r="F19" s="97">
        <f>'Team and Player Stats'!F24</f>
        <v>13</v>
      </c>
      <c r="G19" s="97">
        <f>'Team and Player Stats'!G24</f>
        <v>1594</v>
      </c>
      <c r="H19" s="97">
        <f>'Team and Player Stats'!H24</f>
        <v>12</v>
      </c>
      <c r="I19" s="97">
        <f>'Team and Player Stats'!I24</f>
        <v>1585</v>
      </c>
      <c r="J19" s="97">
        <f>'Team and Player Stats'!J24</f>
        <v>9</v>
      </c>
      <c r="K19" s="99">
        <f>'Team and Player Stats'!K24</f>
        <v>1.005678233</v>
      </c>
      <c r="L19" s="98">
        <f>'Team and Player Stats'!L24</f>
        <v>302</v>
      </c>
      <c r="M19" s="97">
        <f>'Team and Player Stats'!M24</f>
        <v>1845</v>
      </c>
      <c r="N19" s="97">
        <f>'Team and Player Stats'!N24</f>
        <v>17</v>
      </c>
      <c r="O19" s="100">
        <f>'Team and Player Stats'!O24</f>
        <v>498.2833333</v>
      </c>
      <c r="P19" s="97">
        <f>'Team and Player Stats'!P24</f>
        <v>54</v>
      </c>
      <c r="Q19" s="97">
        <f>'Team and Player Stats'!Q24</f>
        <v>22</v>
      </c>
      <c r="R19" s="97">
        <f>'Team and Player Stats'!R24</f>
        <v>116</v>
      </c>
      <c r="S19" s="97">
        <f>'Team and Player Stats'!S24</f>
        <v>35</v>
      </c>
      <c r="T19" s="97">
        <f>'Team and Player Stats'!T24</f>
        <v>192</v>
      </c>
      <c r="U19" s="97">
        <f>'Team and Player Stats'!U24</f>
        <v>35</v>
      </c>
      <c r="V19" s="97">
        <f>'Team and Player Stats'!V24</f>
        <v>8</v>
      </c>
      <c r="W19" s="97">
        <f>'Team and Player Stats'!W24</f>
        <v>3</v>
      </c>
      <c r="X19" s="97">
        <f>'Team and Player Stats'!X24</f>
        <v>2</v>
      </c>
      <c r="Y19" s="97">
        <f>'Team and Player Stats'!Y24</f>
        <v>0</v>
      </c>
      <c r="Z19" s="97">
        <f>'Team and Player Stats'!Z24</f>
        <v>0</v>
      </c>
      <c r="AA19" s="97">
        <f>'Team and Player Stats'!AA24</f>
        <v>0</v>
      </c>
      <c r="AB19" s="97">
        <f>'Team and Player Stats'!AB24</f>
        <v>0</v>
      </c>
      <c r="AC19" s="97">
        <f>'Team and Player Stats'!AC24</f>
        <v>34</v>
      </c>
      <c r="AD19" s="97">
        <f>'Team and Player Stats'!AD24</f>
        <v>1</v>
      </c>
      <c r="AE19" s="97">
        <f>'Team and Player Stats'!AE24</f>
        <v>0</v>
      </c>
      <c r="AF19" s="97">
        <f>'Team and Player Stats'!AF24</f>
        <v>0</v>
      </c>
      <c r="AG19" s="97">
        <f>'Team and Player Stats'!AG24</f>
        <v>0</v>
      </c>
      <c r="AH19" s="97">
        <f>'Team and Player Stats'!AH24</f>
        <v>0</v>
      </c>
    </row>
    <row r="20">
      <c r="A20" t="str">
        <f>'Team and Player Stats'!B25</f>
        <v>T RICH DA KING</v>
      </c>
      <c r="B20" t="str">
        <f>'Team and Player Stats'!A25</f>
        <v>9th Wonders</v>
      </c>
      <c r="C20">
        <f>'Team and Player Stats'!C25</f>
        <v>18</v>
      </c>
      <c r="D20">
        <f>'Team and Player Stats'!D25</f>
        <v>10</v>
      </c>
      <c r="E20" s="101">
        <f>'Team and Player Stats'!E25</f>
        <v>496.0333333</v>
      </c>
      <c r="F20">
        <f>'Team and Player Stats'!F25</f>
        <v>4</v>
      </c>
      <c r="G20">
        <f>'Team and Player Stats'!G25</f>
        <v>1785</v>
      </c>
      <c r="H20">
        <f>'Team and Player Stats'!H25</f>
        <v>9</v>
      </c>
      <c r="I20">
        <f>'Team and Player Stats'!I25</f>
        <v>1524</v>
      </c>
      <c r="J20">
        <f>'Team and Player Stats'!J25</f>
        <v>261</v>
      </c>
      <c r="K20" s="102">
        <f>'Team and Player Stats'!K25</f>
        <v>1.171259843</v>
      </c>
      <c r="L20" s="101">
        <f>'Team and Player Stats'!L25</f>
        <v>285</v>
      </c>
      <c r="M20">
        <f>'Team and Player Stats'!M25</f>
        <v>2091</v>
      </c>
      <c r="N20">
        <f>'Team and Player Stats'!N25</f>
        <v>17</v>
      </c>
      <c r="O20" s="103">
        <f>'Team and Player Stats'!O25</f>
        <v>496.0333333</v>
      </c>
      <c r="P20">
        <f>'Team and Player Stats'!P25</f>
        <v>73</v>
      </c>
      <c r="Q20">
        <f>'Team and Player Stats'!Q25</f>
        <v>59</v>
      </c>
      <c r="R20">
        <f>'Team and Player Stats'!R25</f>
        <v>121</v>
      </c>
      <c r="S20">
        <f>'Team and Player Stats'!S25</f>
        <v>29</v>
      </c>
      <c r="T20">
        <f>'Team and Player Stats'!T25</f>
        <v>233</v>
      </c>
      <c r="U20">
        <f>'Team and Player Stats'!U25</f>
        <v>43</v>
      </c>
      <c r="V20">
        <f>'Team and Player Stats'!V25</f>
        <v>9</v>
      </c>
      <c r="W20">
        <f>'Team and Player Stats'!W25</f>
        <v>2</v>
      </c>
      <c r="X20">
        <f>'Team and Player Stats'!X25</f>
        <v>2</v>
      </c>
      <c r="Y20">
        <f>'Team and Player Stats'!Y25</f>
        <v>0</v>
      </c>
      <c r="Z20">
        <f>'Team and Player Stats'!Z25</f>
        <v>0</v>
      </c>
      <c r="AA20">
        <f>'Team and Player Stats'!AA25</f>
        <v>0</v>
      </c>
      <c r="AB20">
        <f>'Team and Player Stats'!AB25</f>
        <v>0</v>
      </c>
      <c r="AC20">
        <f>'Team and Player Stats'!AC25</f>
        <v>49</v>
      </c>
      <c r="AD20">
        <f>'Team and Player Stats'!AD25</f>
        <v>2</v>
      </c>
      <c r="AE20">
        <f>'Team and Player Stats'!AE25</f>
        <v>0</v>
      </c>
      <c r="AF20">
        <f>'Team and Player Stats'!AF25</f>
        <v>0</v>
      </c>
      <c r="AG20">
        <f>'Team and Player Stats'!AG25</f>
        <v>0</v>
      </c>
      <c r="AH20">
        <f>'Team and Player Stats'!AH25</f>
        <v>1</v>
      </c>
    </row>
    <row r="21">
      <c r="A21" s="97" t="str">
        <f>'Team and Player Stats'!B26</f>
        <v>oScet</v>
      </c>
      <c r="B21" s="97" t="str">
        <f>'Team and Player Stats'!A26</f>
        <v>9th Wonders</v>
      </c>
      <c r="C21" s="97">
        <f>'Team and Player Stats'!C26</f>
        <v>18</v>
      </c>
      <c r="D21" s="97">
        <f>'Team and Player Stats'!D26</f>
        <v>10</v>
      </c>
      <c r="E21" s="98">
        <f>'Team and Player Stats'!E26</f>
        <v>496.6</v>
      </c>
      <c r="F21" s="97">
        <f>'Team and Player Stats'!F26</f>
        <v>26</v>
      </c>
      <c r="G21" s="97">
        <f>'Team and Player Stats'!G26</f>
        <v>1434</v>
      </c>
      <c r="H21" s="97">
        <f>'Team and Player Stats'!H26</f>
        <v>5</v>
      </c>
      <c r="I21" s="97">
        <f>'Team and Player Stats'!I26</f>
        <v>1439</v>
      </c>
      <c r="J21" s="97">
        <f>'Team and Player Stats'!J26</f>
        <v>-5</v>
      </c>
      <c r="K21" s="99">
        <f>'Team and Player Stats'!K26</f>
        <v>0.9965253648</v>
      </c>
      <c r="L21" s="98">
        <f>'Team and Player Stats'!L26</f>
        <v>311</v>
      </c>
      <c r="M21" s="97">
        <f>'Team and Player Stats'!M26</f>
        <v>1741</v>
      </c>
      <c r="N21" s="97">
        <f>'Team and Player Stats'!N26</f>
        <v>17</v>
      </c>
      <c r="O21" s="100">
        <f>'Team and Player Stats'!O26</f>
        <v>496.6</v>
      </c>
      <c r="P21" s="97">
        <f>'Team and Player Stats'!P26</f>
        <v>74</v>
      </c>
      <c r="Q21" s="97">
        <f>'Team and Player Stats'!Q26</f>
        <v>43</v>
      </c>
      <c r="R21" s="97">
        <f>'Team and Player Stats'!R26</f>
        <v>93</v>
      </c>
      <c r="S21" s="97">
        <f>'Team and Player Stats'!S26</f>
        <v>32</v>
      </c>
      <c r="T21" s="97">
        <f>'Team and Player Stats'!T26</f>
        <v>199</v>
      </c>
      <c r="U21" s="97">
        <f>'Team and Player Stats'!U26</f>
        <v>36</v>
      </c>
      <c r="V21" s="97">
        <f>'Team and Player Stats'!V26</f>
        <v>5</v>
      </c>
      <c r="W21" s="97">
        <f>'Team and Player Stats'!W26</f>
        <v>3</v>
      </c>
      <c r="X21" s="97">
        <f>'Team and Player Stats'!X26</f>
        <v>2</v>
      </c>
      <c r="Y21" s="97">
        <f>'Team and Player Stats'!Y26</f>
        <v>2</v>
      </c>
      <c r="Z21" s="97">
        <f>'Team and Player Stats'!Z26</f>
        <v>0</v>
      </c>
      <c r="AA21" s="97">
        <f>'Team and Player Stats'!AA26</f>
        <v>0</v>
      </c>
      <c r="AB21" s="97">
        <f>'Team and Player Stats'!AB26</f>
        <v>0</v>
      </c>
      <c r="AC21" s="97">
        <f>'Team and Player Stats'!AC26</f>
        <v>28</v>
      </c>
      <c r="AD21" s="97">
        <f>'Team and Player Stats'!AD26</f>
        <v>4</v>
      </c>
      <c r="AE21" s="97">
        <f>'Team and Player Stats'!AE26</f>
        <v>0</v>
      </c>
      <c r="AF21" s="97">
        <f>'Team and Player Stats'!AF26</f>
        <v>0</v>
      </c>
      <c r="AG21" s="97">
        <f>'Team and Player Stats'!AG26</f>
        <v>2</v>
      </c>
      <c r="AH21" s="97">
        <f>'Team and Player Stats'!AH26</f>
        <v>2</v>
      </c>
    </row>
    <row r="22">
      <c r="A22" t="str">
        <f>'Team and Player Stats'!B27</f>
        <v>x Greenthumb</v>
      </c>
      <c r="B22" t="str">
        <f>'Team and Player Stats'!A27</f>
        <v>9th Wonders</v>
      </c>
      <c r="C22">
        <f>'Team and Player Stats'!C27</f>
        <v>7</v>
      </c>
      <c r="D22">
        <f>'Team and Player Stats'!D27</f>
        <v>4</v>
      </c>
      <c r="E22" s="101">
        <f>'Team and Player Stats'!E27</f>
        <v>247.9833333</v>
      </c>
      <c r="F22">
        <f>'Team and Player Stats'!F27</f>
        <v>0</v>
      </c>
      <c r="G22">
        <f>'Team and Player Stats'!G27</f>
        <v>701</v>
      </c>
      <c r="H22">
        <f>'Team and Player Stats'!H27</f>
        <v>3</v>
      </c>
      <c r="I22">
        <f>'Team and Player Stats'!I27</f>
        <v>834</v>
      </c>
      <c r="J22">
        <f>'Team and Player Stats'!J27</f>
        <v>-133</v>
      </c>
      <c r="K22" s="102">
        <f>'Team and Player Stats'!K27</f>
        <v>0.8405275779</v>
      </c>
      <c r="L22" s="101">
        <f>'Team and Player Stats'!L27</f>
        <v>85</v>
      </c>
      <c r="M22">
        <f>'Team and Player Stats'!M27</f>
        <v>888</v>
      </c>
      <c r="N22">
        <f>'Team and Player Stats'!N27</f>
        <v>8</v>
      </c>
      <c r="O22" s="103">
        <f>'Team and Player Stats'!O27</f>
        <v>247.9833333</v>
      </c>
      <c r="P22">
        <f>'Team and Player Stats'!P27</f>
        <v>27</v>
      </c>
      <c r="Q22">
        <f>'Team and Player Stats'!Q27</f>
        <v>14</v>
      </c>
      <c r="R22">
        <f>'Team and Player Stats'!R27</f>
        <v>54</v>
      </c>
      <c r="S22">
        <f>'Team and Player Stats'!S27</f>
        <v>14</v>
      </c>
      <c r="T22">
        <f>'Team and Player Stats'!T27</f>
        <v>115</v>
      </c>
      <c r="U22">
        <f>'Team and Player Stats'!U27</f>
        <v>14</v>
      </c>
      <c r="V22">
        <f>'Team and Player Stats'!V27</f>
        <v>1</v>
      </c>
      <c r="W22">
        <f>'Team and Player Stats'!W27</f>
        <v>0</v>
      </c>
      <c r="X22">
        <f>'Team and Player Stats'!X27</f>
        <v>0</v>
      </c>
      <c r="Y22">
        <f>'Team and Player Stats'!Y27</f>
        <v>0</v>
      </c>
      <c r="Z22">
        <f>'Team and Player Stats'!Z27</f>
        <v>0</v>
      </c>
      <c r="AA22">
        <f>'Team and Player Stats'!AA27</f>
        <v>0</v>
      </c>
      <c r="AB22">
        <f>'Team and Player Stats'!AB27</f>
        <v>0</v>
      </c>
      <c r="AC22">
        <f>'Team and Player Stats'!AC27</f>
        <v>9</v>
      </c>
      <c r="AD22">
        <f>'Team and Player Stats'!AD27</f>
        <v>0</v>
      </c>
      <c r="AE22">
        <f>'Team and Player Stats'!AE27</f>
        <v>0</v>
      </c>
      <c r="AF22">
        <f>'Team and Player Stats'!AF27</f>
        <v>0</v>
      </c>
      <c r="AG22">
        <f>'Team and Player Stats'!AG27</f>
        <v>1</v>
      </c>
      <c r="AH22">
        <f>'Team and Player Stats'!AH27</f>
        <v>1</v>
      </c>
    </row>
    <row r="23">
      <c r="A23" s="97" t="str">
        <f>'Team and Player Stats'!B28</f>
        <v>Yuhxi</v>
      </c>
      <c r="B23" s="97" t="str">
        <f>'Team and Player Stats'!A28</f>
        <v>9th Wonders</v>
      </c>
      <c r="C23" s="97">
        <f>'Team and Player Stats'!C28</f>
        <v>11</v>
      </c>
      <c r="D23" s="97">
        <f>'Team and Player Stats'!D28</f>
        <v>6</v>
      </c>
      <c r="E23" s="98">
        <f>'Team and Player Stats'!E28</f>
        <v>244.3333333</v>
      </c>
      <c r="F23" s="97">
        <f>'Team and Player Stats'!F28</f>
        <v>17</v>
      </c>
      <c r="G23" s="97">
        <f>'Team and Player Stats'!G28</f>
        <v>823</v>
      </c>
      <c r="H23" s="97">
        <f>'Team and Player Stats'!H28</f>
        <v>3</v>
      </c>
      <c r="I23" s="97">
        <f>'Team and Player Stats'!I28</f>
        <v>984</v>
      </c>
      <c r="J23" s="97">
        <f>'Team and Player Stats'!J28</f>
        <v>-161</v>
      </c>
      <c r="K23" s="99">
        <f>'Team and Player Stats'!K28</f>
        <v>0.8363821138</v>
      </c>
      <c r="L23" s="98">
        <f>'Team and Player Stats'!L28</f>
        <v>123</v>
      </c>
      <c r="M23" s="97">
        <f>'Team and Player Stats'!M28</f>
        <v>867</v>
      </c>
      <c r="N23" s="97">
        <f>'Team and Player Stats'!N28</f>
        <v>8</v>
      </c>
      <c r="O23" s="100">
        <f>'Team and Player Stats'!O28</f>
        <v>226.3333333</v>
      </c>
      <c r="P23" s="97">
        <f>'Team and Player Stats'!P28</f>
        <v>31</v>
      </c>
      <c r="Q23" s="97">
        <f>'Team and Player Stats'!Q28</f>
        <v>9</v>
      </c>
      <c r="R23" s="97">
        <f>'Team and Player Stats'!R28</f>
        <v>30</v>
      </c>
      <c r="S23" s="97">
        <f>'Team and Player Stats'!S28</f>
        <v>14</v>
      </c>
      <c r="T23" s="97">
        <f>'Team and Player Stats'!T28</f>
        <v>104</v>
      </c>
      <c r="U23" s="97">
        <f>'Team and Player Stats'!U28</f>
        <v>31</v>
      </c>
      <c r="V23" s="97">
        <f>'Team and Player Stats'!V28</f>
        <v>6</v>
      </c>
      <c r="W23" s="97">
        <f>'Team and Player Stats'!W28</f>
        <v>3</v>
      </c>
      <c r="X23" s="97">
        <f>'Team and Player Stats'!X28</f>
        <v>0</v>
      </c>
      <c r="Y23" s="97">
        <f>'Team and Player Stats'!Y28</f>
        <v>0</v>
      </c>
      <c r="Z23" s="97">
        <f>'Team and Player Stats'!Z28</f>
        <v>0</v>
      </c>
      <c r="AA23" s="97">
        <f>'Team and Player Stats'!AA28</f>
        <v>0</v>
      </c>
      <c r="AB23" s="97">
        <f>'Team and Player Stats'!AB28</f>
        <v>0</v>
      </c>
      <c r="AC23" s="97">
        <f>'Team and Player Stats'!AC28</f>
        <v>13</v>
      </c>
      <c r="AD23" s="97">
        <f>'Team and Player Stats'!AD28</f>
        <v>0</v>
      </c>
      <c r="AE23" s="97">
        <f>'Team and Player Stats'!AE28</f>
        <v>0</v>
      </c>
      <c r="AF23" s="97">
        <f>'Team and Player Stats'!AF28</f>
        <v>0</v>
      </c>
      <c r="AG23" s="97">
        <f>'Team and Player Stats'!AG28</f>
        <v>1</v>
      </c>
      <c r="AH23" s="97">
        <f>'Team and Player Stats'!AH28</f>
        <v>0</v>
      </c>
    </row>
    <row r="24">
      <c r="A24" t="str">
        <f>'Team and Player Stats'!B31</f>
        <v>Truthless IHero</v>
      </c>
      <c r="B24" t="str">
        <f>'Team and Player Stats'!A31</f>
        <v>Truthless and the Truthlessettes</v>
      </c>
      <c r="C24">
        <f>'Team and Player Stats'!C31</f>
        <v>15</v>
      </c>
      <c r="D24">
        <f>'Team and Player Stats'!D31</f>
        <v>3</v>
      </c>
      <c r="E24" s="101">
        <f>'Team and Player Stats'!E31</f>
        <v>319.1333333</v>
      </c>
      <c r="F24">
        <f>'Team and Player Stats'!F31</f>
        <v>3</v>
      </c>
      <c r="G24">
        <f>'Team and Player Stats'!G31</f>
        <v>1274</v>
      </c>
      <c r="H24">
        <f>'Team and Player Stats'!H31</f>
        <v>5</v>
      </c>
      <c r="I24">
        <f>'Team and Player Stats'!I31</f>
        <v>1274</v>
      </c>
      <c r="J24">
        <f>'Team and Player Stats'!J31</f>
        <v>0</v>
      </c>
      <c r="K24" s="102">
        <f>'Team and Player Stats'!K31</f>
        <v>1</v>
      </c>
      <c r="L24" s="101">
        <f>'Team and Player Stats'!L31</f>
        <v>185</v>
      </c>
      <c r="M24">
        <f>'Team and Player Stats'!M31</f>
        <v>1656</v>
      </c>
      <c r="N24">
        <f>'Team and Player Stats'!N31</f>
        <v>15</v>
      </c>
      <c r="O24" s="103">
        <f>'Team and Player Stats'!O31</f>
        <v>319.1333333</v>
      </c>
      <c r="P24">
        <f>'Team and Player Stats'!P31</f>
        <v>50</v>
      </c>
      <c r="Q24">
        <f>'Team and Player Stats'!Q31</f>
        <v>22</v>
      </c>
      <c r="R24">
        <f>'Team and Player Stats'!R31</f>
        <v>57</v>
      </c>
      <c r="S24">
        <f>'Team and Player Stats'!S31</f>
        <v>31</v>
      </c>
      <c r="T24">
        <f>'Team and Player Stats'!T31</f>
        <v>189</v>
      </c>
      <c r="U24">
        <f>'Team and Player Stats'!U31</f>
        <v>48</v>
      </c>
      <c r="V24">
        <f>'Team and Player Stats'!V31</f>
        <v>18</v>
      </c>
      <c r="W24">
        <f>'Team and Player Stats'!W31</f>
        <v>2</v>
      </c>
      <c r="X24">
        <f>'Team and Player Stats'!X31</f>
        <v>0</v>
      </c>
      <c r="Y24">
        <f>'Team and Player Stats'!Y31</f>
        <v>0</v>
      </c>
      <c r="Z24">
        <f>'Team and Player Stats'!Z31</f>
        <v>0</v>
      </c>
      <c r="AA24">
        <f>'Team and Player Stats'!AA31</f>
        <v>0</v>
      </c>
      <c r="AB24">
        <f>'Team and Player Stats'!AB31</f>
        <v>0</v>
      </c>
      <c r="AC24">
        <f>'Team and Player Stats'!AC31</f>
        <v>33</v>
      </c>
      <c r="AD24">
        <f>'Team and Player Stats'!AD31</f>
        <v>1</v>
      </c>
      <c r="AE24">
        <f>'Team and Player Stats'!AE31</f>
        <v>0</v>
      </c>
      <c r="AF24">
        <f>'Team and Player Stats'!AF31</f>
        <v>0</v>
      </c>
      <c r="AG24">
        <f>'Team and Player Stats'!AG31</f>
        <v>0</v>
      </c>
      <c r="AH24">
        <f>'Team and Player Stats'!AH31</f>
        <v>1</v>
      </c>
    </row>
    <row r="25">
      <c r="A25" s="97" t="str">
        <f>'Team and Player Stats'!B32</f>
        <v>El Diablo x230x</v>
      </c>
      <c r="B25" s="97" t="str">
        <f>'Team and Player Stats'!A32</f>
        <v>Truthless and the Truthlessettes</v>
      </c>
      <c r="C25" s="97">
        <f>'Team and Player Stats'!C32</f>
        <v>15</v>
      </c>
      <c r="D25" s="97">
        <f>'Team and Player Stats'!D32</f>
        <v>3</v>
      </c>
      <c r="E25" s="98">
        <f>'Team and Player Stats'!E32</f>
        <v>321.0166667</v>
      </c>
      <c r="F25" s="97">
        <f>'Team and Player Stats'!F32</f>
        <v>4</v>
      </c>
      <c r="G25" s="97">
        <f>'Team and Player Stats'!G32</f>
        <v>1214</v>
      </c>
      <c r="H25" s="97">
        <f>'Team and Player Stats'!H32</f>
        <v>11</v>
      </c>
      <c r="I25" s="97">
        <f>'Team and Player Stats'!I32</f>
        <v>1249</v>
      </c>
      <c r="J25" s="97">
        <f>'Team and Player Stats'!J32</f>
        <v>-35</v>
      </c>
      <c r="K25" s="99">
        <f>'Team and Player Stats'!K32</f>
        <v>0.9719775821</v>
      </c>
      <c r="L25" s="98">
        <f>'Team and Player Stats'!L32</f>
        <v>195</v>
      </c>
      <c r="M25" s="97">
        <f>'Team and Player Stats'!M32</f>
        <v>1516</v>
      </c>
      <c r="N25" s="97">
        <f>'Team and Player Stats'!N32</f>
        <v>15</v>
      </c>
      <c r="O25" s="100">
        <f>'Team and Player Stats'!O32</f>
        <v>321.0166667</v>
      </c>
      <c r="P25" s="97">
        <f>'Team and Player Stats'!P32</f>
        <v>36</v>
      </c>
      <c r="Q25" s="97">
        <f>'Team and Player Stats'!Q32</f>
        <v>24</v>
      </c>
      <c r="R25" s="97">
        <f>'Team and Player Stats'!R32</f>
        <v>88</v>
      </c>
      <c r="S25" s="97">
        <f>'Team and Player Stats'!S32</f>
        <v>20</v>
      </c>
      <c r="T25" s="97">
        <f>'Team and Player Stats'!T32</f>
        <v>157</v>
      </c>
      <c r="U25" s="97">
        <f>'Team and Player Stats'!U32</f>
        <v>30</v>
      </c>
      <c r="V25" s="97">
        <f>'Team and Player Stats'!V32</f>
        <v>10</v>
      </c>
      <c r="W25" s="97">
        <f>'Team and Player Stats'!W32</f>
        <v>3</v>
      </c>
      <c r="X25" s="97">
        <f>'Team and Player Stats'!X32</f>
        <v>1</v>
      </c>
      <c r="Y25" s="97">
        <f>'Team and Player Stats'!Y32</f>
        <v>0</v>
      </c>
      <c r="Z25" s="97">
        <f>'Team and Player Stats'!Z32</f>
        <v>0</v>
      </c>
      <c r="AA25" s="97">
        <f>'Team and Player Stats'!AA32</f>
        <v>0</v>
      </c>
      <c r="AB25" s="97">
        <f>'Team and Player Stats'!AB32</f>
        <v>0</v>
      </c>
      <c r="AC25" s="97">
        <f>'Team and Player Stats'!AC32</f>
        <v>14</v>
      </c>
      <c r="AD25" s="97">
        <f>'Team and Player Stats'!AD32</f>
        <v>0</v>
      </c>
      <c r="AE25" s="97">
        <f>'Team and Player Stats'!AE32</f>
        <v>0</v>
      </c>
      <c r="AF25" s="97">
        <f>'Team and Player Stats'!AF32</f>
        <v>0</v>
      </c>
      <c r="AG25" s="97">
        <f>'Team and Player Stats'!AG32</f>
        <v>0</v>
      </c>
      <c r="AH25" s="97">
        <f>'Team and Player Stats'!AH32</f>
        <v>0</v>
      </c>
    </row>
    <row r="26">
      <c r="A26" t="str">
        <f>'Team and Player Stats'!B33</f>
        <v>TwitchTvSnipezz</v>
      </c>
      <c r="B26" t="str">
        <f>'Team and Player Stats'!A33</f>
        <v>Truthless and the Truthlessettes</v>
      </c>
      <c r="C26">
        <f>'Team and Player Stats'!C33</f>
        <v>8</v>
      </c>
      <c r="D26">
        <f>'Team and Player Stats'!D33</f>
        <v>1</v>
      </c>
      <c r="E26" s="101">
        <f>'Team and Player Stats'!E33</f>
        <v>169.5333333</v>
      </c>
      <c r="F26">
        <f>'Team and Player Stats'!F33</f>
        <v>2</v>
      </c>
      <c r="G26">
        <f>'Team and Player Stats'!G33</f>
        <v>671</v>
      </c>
      <c r="H26">
        <f>'Team and Player Stats'!H33</f>
        <v>3</v>
      </c>
      <c r="I26">
        <f>'Team and Player Stats'!I33</f>
        <v>635</v>
      </c>
      <c r="J26">
        <f>'Team and Player Stats'!J33</f>
        <v>36</v>
      </c>
      <c r="K26" s="102">
        <f>'Team and Player Stats'!K33</f>
        <v>1.056692913</v>
      </c>
      <c r="L26" s="101">
        <f>'Team and Player Stats'!L33</f>
        <v>108</v>
      </c>
      <c r="M26">
        <f>'Team and Player Stats'!M33</f>
        <v>877</v>
      </c>
      <c r="N26">
        <f>'Team and Player Stats'!N33</f>
        <v>8</v>
      </c>
      <c r="O26" s="103">
        <f>'Team and Player Stats'!O33</f>
        <v>169.5333333</v>
      </c>
      <c r="P26">
        <f>'Team and Player Stats'!P33</f>
        <v>23</v>
      </c>
      <c r="Q26">
        <f>'Team and Player Stats'!Q33</f>
        <v>7</v>
      </c>
      <c r="R26">
        <f>'Team and Player Stats'!R33</f>
        <v>35</v>
      </c>
      <c r="S26">
        <f>'Team and Player Stats'!S33</f>
        <v>13</v>
      </c>
      <c r="T26">
        <f>'Team and Player Stats'!T33</f>
        <v>104</v>
      </c>
      <c r="U26">
        <f>'Team and Player Stats'!U33</f>
        <v>26</v>
      </c>
      <c r="V26">
        <f>'Team and Player Stats'!V33</f>
        <v>7</v>
      </c>
      <c r="W26">
        <f>'Team and Player Stats'!W33</f>
        <v>1</v>
      </c>
      <c r="X26">
        <f>'Team and Player Stats'!X33</f>
        <v>0</v>
      </c>
      <c r="Y26">
        <f>'Team and Player Stats'!Y33</f>
        <v>0</v>
      </c>
      <c r="Z26">
        <f>'Team and Player Stats'!Z33</f>
        <v>0</v>
      </c>
      <c r="AA26">
        <f>'Team and Player Stats'!AA33</f>
        <v>0</v>
      </c>
      <c r="AB26">
        <f>'Team and Player Stats'!AB33</f>
        <v>0</v>
      </c>
      <c r="AC26">
        <f>'Team and Player Stats'!AC33</f>
        <v>20</v>
      </c>
      <c r="AD26">
        <f>'Team and Player Stats'!AD33</f>
        <v>0</v>
      </c>
      <c r="AE26">
        <f>'Team and Player Stats'!AE33</f>
        <v>0</v>
      </c>
      <c r="AF26">
        <f>'Team and Player Stats'!AF33</f>
        <v>0</v>
      </c>
      <c r="AG26">
        <f>'Team and Player Stats'!AG33</f>
        <v>0</v>
      </c>
      <c r="AH26">
        <f>'Team and Player Stats'!AH33</f>
        <v>0</v>
      </c>
    </row>
    <row r="27">
      <c r="A27" s="97" t="str">
        <f>'Team and Player Stats'!B34</f>
        <v>Myst The Cold</v>
      </c>
      <c r="B27" s="97" t="str">
        <f>'Team and Player Stats'!A34</f>
        <v>Truthless and the Truthlessettes</v>
      </c>
      <c r="C27" s="97">
        <f>'Team and Player Stats'!C34</f>
        <v>7</v>
      </c>
      <c r="D27" s="97">
        <f>'Team and Player Stats'!D34</f>
        <v>2</v>
      </c>
      <c r="E27" s="98">
        <f>'Team and Player Stats'!E34</f>
        <v>157.3166667</v>
      </c>
      <c r="F27" s="97">
        <f>'Team and Player Stats'!F34</f>
        <v>2</v>
      </c>
      <c r="G27" s="97">
        <f>'Team and Player Stats'!G34</f>
        <v>521</v>
      </c>
      <c r="H27" s="97">
        <f>'Team and Player Stats'!H34</f>
        <v>4</v>
      </c>
      <c r="I27" s="97">
        <f>'Team and Player Stats'!I34</f>
        <v>583</v>
      </c>
      <c r="J27" s="97">
        <f>'Team and Player Stats'!J34</f>
        <v>-62</v>
      </c>
      <c r="K27" s="99">
        <f>'Team and Player Stats'!K34</f>
        <v>0.8936535163</v>
      </c>
      <c r="L27" s="98">
        <f>'Team and Player Stats'!L34</f>
        <v>125</v>
      </c>
      <c r="M27" s="97">
        <f>'Team and Player Stats'!M34</f>
        <v>640</v>
      </c>
      <c r="N27" s="97">
        <f>'Team and Player Stats'!N34</f>
        <v>7</v>
      </c>
      <c r="O27" s="100">
        <f>'Team and Player Stats'!O34</f>
        <v>157.3166667</v>
      </c>
      <c r="P27" s="97">
        <f>'Team and Player Stats'!P34</f>
        <v>17</v>
      </c>
      <c r="Q27" s="97">
        <f>'Team and Player Stats'!Q34</f>
        <v>11</v>
      </c>
      <c r="R27" s="97">
        <f>'Team and Player Stats'!R34</f>
        <v>28</v>
      </c>
      <c r="S27" s="97">
        <f>'Team and Player Stats'!S34</f>
        <v>15</v>
      </c>
      <c r="T27" s="97">
        <f>'Team and Player Stats'!T34</f>
        <v>59</v>
      </c>
      <c r="U27" s="97">
        <f>'Team and Player Stats'!U34</f>
        <v>6</v>
      </c>
      <c r="V27" s="97">
        <f>'Team and Player Stats'!V34</f>
        <v>0</v>
      </c>
      <c r="W27" s="97">
        <f>'Team and Player Stats'!W34</f>
        <v>0</v>
      </c>
      <c r="X27" s="97">
        <f>'Team and Player Stats'!X34</f>
        <v>0</v>
      </c>
      <c r="Y27" s="97">
        <f>'Team and Player Stats'!Y34</f>
        <v>0</v>
      </c>
      <c r="Z27" s="97">
        <f>'Team and Player Stats'!Z34</f>
        <v>0</v>
      </c>
      <c r="AA27" s="97">
        <f>'Team and Player Stats'!AA34</f>
        <v>0</v>
      </c>
      <c r="AB27" s="97">
        <f>'Team and Player Stats'!AB34</f>
        <v>0</v>
      </c>
      <c r="AC27" s="97">
        <f>'Team and Player Stats'!AC34</f>
        <v>5</v>
      </c>
      <c r="AD27" s="97">
        <f>'Team and Player Stats'!AD34</f>
        <v>0</v>
      </c>
      <c r="AE27" s="97">
        <f>'Team and Player Stats'!AE34</f>
        <v>0</v>
      </c>
      <c r="AF27" s="97">
        <f>'Team and Player Stats'!AF34</f>
        <v>0</v>
      </c>
      <c r="AG27" s="97">
        <f>'Team and Player Stats'!AG34</f>
        <v>0</v>
      </c>
      <c r="AH27" s="97">
        <f>'Team and Player Stats'!AH34</f>
        <v>0</v>
      </c>
    </row>
    <row r="28">
      <c r="A28" t="str">
        <f>'Team and Player Stats'!B35</f>
        <v>Molotov Ghost</v>
      </c>
      <c r="B28" t="str">
        <f>'Team and Player Stats'!A35</f>
        <v>Truthless and the Truthlessettes</v>
      </c>
      <c r="C28">
        <f>'Team and Player Stats'!C35</f>
        <v>13</v>
      </c>
      <c r="D28">
        <f>'Team and Player Stats'!D35</f>
        <v>3</v>
      </c>
      <c r="E28" s="101">
        <f>'Team and Player Stats'!E35</f>
        <v>295.4666667</v>
      </c>
      <c r="F28">
        <f>'Team and Player Stats'!F35</f>
        <v>16</v>
      </c>
      <c r="G28">
        <f>'Team and Player Stats'!G35</f>
        <v>480</v>
      </c>
      <c r="H28">
        <f>'Team and Player Stats'!H35</f>
        <v>3</v>
      </c>
      <c r="I28">
        <f>'Team and Player Stats'!I35</f>
        <v>843</v>
      </c>
      <c r="J28">
        <f>'Team and Player Stats'!J35</f>
        <v>-363</v>
      </c>
      <c r="K28" s="102">
        <f>'Team and Player Stats'!K35</f>
        <v>0.5693950178</v>
      </c>
      <c r="L28" s="101">
        <f>'Team and Player Stats'!L35</f>
        <v>222</v>
      </c>
      <c r="M28">
        <f>'Team and Player Stats'!M35</f>
        <v>575</v>
      </c>
      <c r="N28">
        <f>'Team and Player Stats'!N35</f>
        <v>13</v>
      </c>
      <c r="O28" s="103">
        <f>'Team and Player Stats'!O35</f>
        <v>295.4666667</v>
      </c>
      <c r="P28">
        <f>'Team and Player Stats'!P35</f>
        <v>28</v>
      </c>
      <c r="Q28">
        <f>'Team and Player Stats'!Q35</f>
        <v>24</v>
      </c>
      <c r="R28">
        <f>'Team and Player Stats'!R35</f>
        <v>9</v>
      </c>
      <c r="S28">
        <f>'Team and Player Stats'!S35</f>
        <v>15</v>
      </c>
      <c r="T28">
        <f>'Team and Player Stats'!T35</f>
        <v>41</v>
      </c>
      <c r="U28">
        <f>'Team and Player Stats'!U35</f>
        <v>4</v>
      </c>
      <c r="V28">
        <f>'Team and Player Stats'!V35</f>
        <v>0</v>
      </c>
      <c r="W28">
        <f>'Team and Player Stats'!W35</f>
        <v>0</v>
      </c>
      <c r="X28">
        <f>'Team and Player Stats'!X35</f>
        <v>0</v>
      </c>
      <c r="Y28">
        <f>'Team and Player Stats'!Y35</f>
        <v>0</v>
      </c>
      <c r="Z28">
        <f>'Team and Player Stats'!Z35</f>
        <v>0</v>
      </c>
      <c r="AA28">
        <f>'Team and Player Stats'!AA35</f>
        <v>0</v>
      </c>
      <c r="AB28">
        <f>'Team and Player Stats'!AB35</f>
        <v>0</v>
      </c>
      <c r="AC28">
        <f>'Team and Player Stats'!AC35</f>
        <v>1</v>
      </c>
      <c r="AD28">
        <f>'Team and Player Stats'!AD35</f>
        <v>0</v>
      </c>
      <c r="AE28">
        <f>'Team and Player Stats'!AE35</f>
        <v>0</v>
      </c>
      <c r="AF28">
        <f>'Team and Player Stats'!AF35</f>
        <v>0</v>
      </c>
      <c r="AG28">
        <f>'Team and Player Stats'!AG35</f>
        <v>0</v>
      </c>
      <c r="AH28">
        <f>'Team and Player Stats'!AH35</f>
        <v>0</v>
      </c>
    </row>
    <row r="29">
      <c r="A29" s="97" t="str">
        <f>'Team and Player Stats'!B38</f>
        <v>Juc</v>
      </c>
      <c r="B29" s="97" t="str">
        <f>'Team and Player Stats'!A38</f>
        <v>On the Fence</v>
      </c>
      <c r="C29" s="97">
        <f>'Team and Player Stats'!C38</f>
        <v>12</v>
      </c>
      <c r="D29" s="97">
        <f>'Team and Player Stats'!D38</f>
        <v>1</v>
      </c>
      <c r="E29" s="98">
        <f>'Team and Player Stats'!E38</f>
        <v>248.2666667</v>
      </c>
      <c r="F29" s="97">
        <f>'Team and Player Stats'!F38</f>
        <v>3</v>
      </c>
      <c r="G29" s="97">
        <f>'Team and Player Stats'!G38</f>
        <v>830</v>
      </c>
      <c r="H29" s="97">
        <f>'Team and Player Stats'!H38</f>
        <v>7</v>
      </c>
      <c r="I29" s="97">
        <f>'Team and Player Stats'!I38</f>
        <v>1060</v>
      </c>
      <c r="J29" s="97">
        <f>'Team and Player Stats'!J38</f>
        <v>-230</v>
      </c>
      <c r="K29" s="99">
        <f>'Team and Player Stats'!K38</f>
        <v>0.7830188679</v>
      </c>
      <c r="L29" s="98">
        <f>'Team and Player Stats'!L38</f>
        <v>130</v>
      </c>
      <c r="M29" s="97">
        <f>'Team and Player Stats'!M38</f>
        <v>1053</v>
      </c>
      <c r="N29" s="97">
        <f>'Team and Player Stats'!N38</f>
        <v>12</v>
      </c>
      <c r="O29" s="100">
        <f>'Team and Player Stats'!O38</f>
        <v>248.2666667</v>
      </c>
      <c r="P29" s="97">
        <f>'Team and Player Stats'!P38</f>
        <v>27</v>
      </c>
      <c r="Q29" s="97">
        <f>'Team and Player Stats'!Q38</f>
        <v>19</v>
      </c>
      <c r="R29" s="97">
        <f>'Team and Player Stats'!R38</f>
        <v>40</v>
      </c>
      <c r="S29" s="97">
        <f>'Team and Player Stats'!S38</f>
        <v>14</v>
      </c>
      <c r="T29" s="97">
        <f>'Team and Player Stats'!T38</f>
        <v>120</v>
      </c>
      <c r="U29" s="97">
        <f>'Team and Player Stats'!U38</f>
        <v>19</v>
      </c>
      <c r="V29" s="97">
        <f>'Team and Player Stats'!V38</f>
        <v>7</v>
      </c>
      <c r="W29" s="97">
        <f>'Team and Player Stats'!W38</f>
        <v>3</v>
      </c>
      <c r="X29" s="97">
        <f>'Team and Player Stats'!X38</f>
        <v>0</v>
      </c>
      <c r="Y29" s="97">
        <f>'Team and Player Stats'!Y38</f>
        <v>0</v>
      </c>
      <c r="Z29" s="97">
        <f>'Team and Player Stats'!Z38</f>
        <v>0</v>
      </c>
      <c r="AA29" s="97">
        <f>'Team and Player Stats'!AA38</f>
        <v>0</v>
      </c>
      <c r="AB29" s="97">
        <f>'Team and Player Stats'!AB38</f>
        <v>0</v>
      </c>
      <c r="AC29" s="97">
        <f>'Team and Player Stats'!AC38</f>
        <v>19</v>
      </c>
      <c r="AD29" s="97">
        <f>'Team and Player Stats'!AD38</f>
        <v>0</v>
      </c>
      <c r="AE29" s="97">
        <f>'Team and Player Stats'!AE38</f>
        <v>0</v>
      </c>
      <c r="AF29" s="97">
        <f>'Team and Player Stats'!AF38</f>
        <v>0</v>
      </c>
      <c r="AG29" s="97">
        <f>'Team and Player Stats'!AG38</f>
        <v>0</v>
      </c>
      <c r="AH29" s="97">
        <f>'Team and Player Stats'!AH38</f>
        <v>0</v>
      </c>
    </row>
    <row r="30">
      <c r="A30" t="str">
        <f>'Team and Player Stats'!B39</f>
        <v>Ace B S1lentND1</v>
      </c>
      <c r="B30" t="str">
        <f>'Team and Player Stats'!A39</f>
        <v>On the Fence</v>
      </c>
      <c r="C30">
        <f>'Team and Player Stats'!C39</f>
        <v>14</v>
      </c>
      <c r="D30">
        <f>'Team and Player Stats'!D39</f>
        <v>3</v>
      </c>
      <c r="E30" s="101">
        <f>'Team and Player Stats'!E39</f>
        <v>285.2</v>
      </c>
      <c r="F30">
        <f>'Team and Player Stats'!F39</f>
        <v>12</v>
      </c>
      <c r="G30">
        <f>'Team and Player Stats'!G39</f>
        <v>960</v>
      </c>
      <c r="H30">
        <f>'Team and Player Stats'!H39</f>
        <v>6</v>
      </c>
      <c r="I30">
        <f>'Team and Player Stats'!I39</f>
        <v>958</v>
      </c>
      <c r="J30">
        <f>'Team and Player Stats'!J39</f>
        <v>2</v>
      </c>
      <c r="K30" s="102">
        <f>'Team and Player Stats'!K39</f>
        <v>1.002087683</v>
      </c>
      <c r="L30" s="101">
        <f>'Team and Player Stats'!L39</f>
        <v>212</v>
      </c>
      <c r="M30">
        <f>'Team and Player Stats'!M39</f>
        <v>1246</v>
      </c>
      <c r="N30">
        <f>'Team and Player Stats'!N39</f>
        <v>14</v>
      </c>
      <c r="O30" s="103">
        <f>'Team and Player Stats'!O39</f>
        <v>285.2</v>
      </c>
      <c r="P30">
        <f>'Team and Player Stats'!P39</f>
        <v>50</v>
      </c>
      <c r="Q30">
        <f>'Team and Player Stats'!Q39</f>
        <v>16</v>
      </c>
      <c r="R30">
        <f>'Team and Player Stats'!R39</f>
        <v>57</v>
      </c>
      <c r="S30">
        <f>'Team and Player Stats'!S39</f>
        <v>18</v>
      </c>
      <c r="T30">
        <f>'Team and Player Stats'!T39</f>
        <v>144</v>
      </c>
      <c r="U30">
        <f>'Team and Player Stats'!U39</f>
        <v>24</v>
      </c>
      <c r="V30">
        <f>'Team and Player Stats'!V39</f>
        <v>8</v>
      </c>
      <c r="W30">
        <f>'Team and Player Stats'!W39</f>
        <v>4</v>
      </c>
      <c r="X30">
        <f>'Team and Player Stats'!X39</f>
        <v>2</v>
      </c>
      <c r="Y30">
        <f>'Team and Player Stats'!Y39</f>
        <v>0</v>
      </c>
      <c r="Z30">
        <f>'Team and Player Stats'!Z39</f>
        <v>0</v>
      </c>
      <c r="AA30">
        <f>'Team and Player Stats'!AA39</f>
        <v>0</v>
      </c>
      <c r="AB30">
        <f>'Team and Player Stats'!AB39</f>
        <v>0</v>
      </c>
      <c r="AC30">
        <f>'Team and Player Stats'!AC39</f>
        <v>22</v>
      </c>
      <c r="AD30">
        <f>'Team and Player Stats'!AD39</f>
        <v>1</v>
      </c>
      <c r="AE30">
        <f>'Team and Player Stats'!AE39</f>
        <v>0</v>
      </c>
      <c r="AF30">
        <f>'Team and Player Stats'!AF39</f>
        <v>0</v>
      </c>
      <c r="AG30">
        <f>'Team and Player Stats'!AG39</f>
        <v>0</v>
      </c>
      <c r="AH30">
        <f>'Team and Player Stats'!AH39</f>
        <v>1</v>
      </c>
    </row>
    <row r="31">
      <c r="A31" s="97" t="str">
        <f>'Team and Player Stats'!B40</f>
        <v>Itz Rainin MenZ</v>
      </c>
      <c r="B31" s="97" t="str">
        <f>'Team and Player Stats'!A40</f>
        <v>On the Fence</v>
      </c>
      <c r="C31" s="97">
        <f>'Team and Player Stats'!C40</f>
        <v>14</v>
      </c>
      <c r="D31" s="97">
        <f>'Team and Player Stats'!D40</f>
        <v>3</v>
      </c>
      <c r="E31" s="98">
        <f>'Team and Player Stats'!E40</f>
        <v>285.2333333</v>
      </c>
      <c r="F31" s="97">
        <f>'Team and Player Stats'!F40</f>
        <v>4</v>
      </c>
      <c r="G31" s="97">
        <f>'Team and Player Stats'!G40</f>
        <v>924</v>
      </c>
      <c r="H31" s="97">
        <f>'Team and Player Stats'!H40</f>
        <v>5</v>
      </c>
      <c r="I31" s="97">
        <f>'Team and Player Stats'!I40</f>
        <v>932</v>
      </c>
      <c r="J31" s="97">
        <f>'Team and Player Stats'!J40</f>
        <v>-8</v>
      </c>
      <c r="K31" s="99">
        <f>'Team and Player Stats'!K40</f>
        <v>0.991416309</v>
      </c>
      <c r="L31" s="98">
        <f>'Team and Player Stats'!L40</f>
        <v>215</v>
      </c>
      <c r="M31" s="97">
        <f>'Team and Player Stats'!M40</f>
        <v>1188</v>
      </c>
      <c r="N31" s="97">
        <f>'Team and Player Stats'!N40</f>
        <v>14</v>
      </c>
      <c r="O31" s="100">
        <f>'Team and Player Stats'!O40</f>
        <v>285.2333333</v>
      </c>
      <c r="P31" s="97">
        <f>'Team and Player Stats'!P40</f>
        <v>43</v>
      </c>
      <c r="Q31" s="97">
        <f>'Team and Player Stats'!Q40</f>
        <v>26</v>
      </c>
      <c r="R31" s="97">
        <f>'Team and Player Stats'!R40</f>
        <v>63</v>
      </c>
      <c r="S31" s="97">
        <f>'Team and Player Stats'!S40</f>
        <v>23</v>
      </c>
      <c r="T31" s="97">
        <f>'Team and Player Stats'!T40</f>
        <v>117</v>
      </c>
      <c r="U31" s="97">
        <f>'Team and Player Stats'!U40</f>
        <v>24</v>
      </c>
      <c r="V31" s="97">
        <f>'Team and Player Stats'!V40</f>
        <v>5</v>
      </c>
      <c r="W31" s="97">
        <f>'Team and Player Stats'!W40</f>
        <v>3</v>
      </c>
      <c r="X31" s="97">
        <f>'Team and Player Stats'!X40</f>
        <v>1</v>
      </c>
      <c r="Y31" s="97">
        <f>'Team and Player Stats'!Y40</f>
        <v>0</v>
      </c>
      <c r="Z31" s="97">
        <f>'Team and Player Stats'!Z40</f>
        <v>0</v>
      </c>
      <c r="AA31" s="97">
        <f>'Team and Player Stats'!AA40</f>
        <v>0</v>
      </c>
      <c r="AB31" s="97">
        <f>'Team and Player Stats'!AB40</f>
        <v>0</v>
      </c>
      <c r="AC31" s="97">
        <f>'Team and Player Stats'!AC40</f>
        <v>18</v>
      </c>
      <c r="AD31" s="97">
        <f>'Team and Player Stats'!AD40</f>
        <v>0</v>
      </c>
      <c r="AE31" s="97">
        <f>'Team and Player Stats'!AE40</f>
        <v>0</v>
      </c>
      <c r="AF31" s="97">
        <f>'Team and Player Stats'!AF40</f>
        <v>0</v>
      </c>
      <c r="AG31" s="97">
        <f>'Team and Player Stats'!AG40</f>
        <v>1</v>
      </c>
      <c r="AH31" s="97">
        <f>'Team and Player Stats'!AH40</f>
        <v>1</v>
      </c>
    </row>
    <row r="32">
      <c r="A32" t="str">
        <f>'Team and Player Stats'!B41</f>
        <v>blim</v>
      </c>
      <c r="B32" t="str">
        <f>'Team and Player Stats'!A41</f>
        <v>On the Fence</v>
      </c>
      <c r="C32">
        <f>'Team and Player Stats'!C41</f>
        <v>13</v>
      </c>
      <c r="D32">
        <f>'Team and Player Stats'!D41</f>
        <v>2</v>
      </c>
      <c r="E32" s="101">
        <f>'Team and Player Stats'!E41</f>
        <v>271.15</v>
      </c>
      <c r="F32">
        <f>'Team and Player Stats'!F41</f>
        <v>10</v>
      </c>
      <c r="G32">
        <f>'Team and Player Stats'!G41</f>
        <v>815</v>
      </c>
      <c r="H32">
        <f>'Team and Player Stats'!H41</f>
        <v>3</v>
      </c>
      <c r="I32">
        <f>'Team and Player Stats'!I41</f>
        <v>835</v>
      </c>
      <c r="J32">
        <f>'Team and Player Stats'!J41</f>
        <v>-20</v>
      </c>
      <c r="K32" s="102">
        <f>'Team and Player Stats'!K41</f>
        <v>0.9760479042</v>
      </c>
      <c r="L32" s="101">
        <f>'Team and Player Stats'!L41</f>
        <v>222</v>
      </c>
      <c r="M32">
        <f>'Team and Player Stats'!M41</f>
        <v>1053</v>
      </c>
      <c r="N32">
        <f>'Team and Player Stats'!N41</f>
        <v>13</v>
      </c>
      <c r="O32" s="103">
        <f>'Team and Player Stats'!O41</f>
        <v>271.15</v>
      </c>
      <c r="P32">
        <f>'Team and Player Stats'!P41</f>
        <v>38</v>
      </c>
      <c r="Q32">
        <f>'Team and Player Stats'!Q41</f>
        <v>18</v>
      </c>
      <c r="R32">
        <f>'Team and Player Stats'!R41</f>
        <v>47</v>
      </c>
      <c r="S32">
        <f>'Team and Player Stats'!S41</f>
        <v>22</v>
      </c>
      <c r="T32">
        <f>'Team and Player Stats'!T41</f>
        <v>124</v>
      </c>
      <c r="U32">
        <f>'Team and Player Stats'!U41</f>
        <v>19</v>
      </c>
      <c r="V32">
        <f>'Team and Player Stats'!V41</f>
        <v>3</v>
      </c>
      <c r="W32">
        <f>'Team and Player Stats'!W41</f>
        <v>1</v>
      </c>
      <c r="X32">
        <f>'Team and Player Stats'!X41</f>
        <v>1</v>
      </c>
      <c r="Y32">
        <f>'Team and Player Stats'!Y41</f>
        <v>1</v>
      </c>
      <c r="Z32">
        <f>'Team and Player Stats'!Z41</f>
        <v>0</v>
      </c>
      <c r="AA32">
        <f>'Team and Player Stats'!AA41</f>
        <v>0</v>
      </c>
      <c r="AB32">
        <f>'Team and Player Stats'!AB41</f>
        <v>0</v>
      </c>
      <c r="AC32">
        <f>'Team and Player Stats'!AC41</f>
        <v>21</v>
      </c>
      <c r="AD32">
        <f>'Team and Player Stats'!AD41</f>
        <v>0</v>
      </c>
      <c r="AE32">
        <f>'Team and Player Stats'!AE41</f>
        <v>0</v>
      </c>
      <c r="AF32">
        <f>'Team and Player Stats'!AF41</f>
        <v>0</v>
      </c>
      <c r="AG32">
        <f>'Team and Player Stats'!AG41</f>
        <v>1</v>
      </c>
      <c r="AH32">
        <f>'Team and Player Stats'!AH41</f>
        <v>0</v>
      </c>
    </row>
    <row r="33">
      <c r="A33" s="97" t="str">
        <f>'Team and Player Stats'!B42</f>
        <v>Hoffa 88</v>
      </c>
      <c r="B33" s="97" t="str">
        <f>'Team and Player Stats'!A42</f>
        <v>On the Fence</v>
      </c>
      <c r="C33" s="97">
        <f>'Team and Player Stats'!C42</f>
        <v>0</v>
      </c>
      <c r="D33" s="97">
        <f>'Team and Player Stats'!D42</f>
        <v>0</v>
      </c>
      <c r="E33" s="98">
        <f>'Team and Player Stats'!E42</f>
        <v>0</v>
      </c>
      <c r="F33" s="97">
        <f>'Team and Player Stats'!F42</f>
        <v>0</v>
      </c>
      <c r="G33" s="97">
        <f>'Team and Player Stats'!G42</f>
        <v>0</v>
      </c>
      <c r="H33" s="97">
        <f>'Team and Player Stats'!H42</f>
        <v>0</v>
      </c>
      <c r="I33" s="97">
        <f>'Team and Player Stats'!I42</f>
        <v>0</v>
      </c>
      <c r="J33" s="97">
        <f>'Team and Player Stats'!J42</f>
        <v>0</v>
      </c>
      <c r="K33" s="99" t="str">
        <f>'Team and Player Stats'!K42</f>
        <v>#DIV/0!</v>
      </c>
      <c r="L33" s="98">
        <f>'Team and Player Stats'!L42</f>
        <v>0</v>
      </c>
      <c r="M33" s="97">
        <f>'Team and Player Stats'!M42</f>
        <v>0</v>
      </c>
      <c r="N33" s="97">
        <f>'Team and Player Stats'!N42</f>
        <v>0</v>
      </c>
      <c r="O33" s="100">
        <f>'Team and Player Stats'!O42</f>
        <v>0</v>
      </c>
      <c r="P33" s="97">
        <f>'Team and Player Stats'!P42</f>
        <v>0</v>
      </c>
      <c r="Q33" s="97">
        <f>'Team and Player Stats'!Q42</f>
        <v>0</v>
      </c>
      <c r="R33" s="97">
        <f>'Team and Player Stats'!R42</f>
        <v>0</v>
      </c>
      <c r="S33" s="97">
        <f>'Team and Player Stats'!S42</f>
        <v>0</v>
      </c>
      <c r="T33" s="97">
        <f>'Team and Player Stats'!T42</f>
        <v>0</v>
      </c>
      <c r="U33" s="97">
        <f>'Team and Player Stats'!U42</f>
        <v>0</v>
      </c>
      <c r="V33" s="97">
        <f>'Team and Player Stats'!V42</f>
        <v>0</v>
      </c>
      <c r="W33" s="97">
        <f>'Team and Player Stats'!W42</f>
        <v>0</v>
      </c>
      <c r="X33" s="97">
        <f>'Team and Player Stats'!X42</f>
        <v>0</v>
      </c>
      <c r="Y33" s="97">
        <f>'Team and Player Stats'!Y42</f>
        <v>0</v>
      </c>
      <c r="Z33" s="97">
        <f>'Team and Player Stats'!Z42</f>
        <v>0</v>
      </c>
      <c r="AA33" s="97">
        <f>'Team and Player Stats'!AA42</f>
        <v>0</v>
      </c>
      <c r="AB33" s="97">
        <f>'Team and Player Stats'!AB42</f>
        <v>0</v>
      </c>
      <c r="AC33" s="97">
        <f>'Team and Player Stats'!AC42</f>
        <v>0</v>
      </c>
      <c r="AD33" s="97">
        <f>'Team and Player Stats'!AD42</f>
        <v>0</v>
      </c>
      <c r="AE33" s="97">
        <f>'Team and Player Stats'!AE42</f>
        <v>0</v>
      </c>
      <c r="AF33" s="97">
        <f>'Team and Player Stats'!AF42</f>
        <v>0</v>
      </c>
      <c r="AG33" s="97">
        <f>'Team and Player Stats'!AG42</f>
        <v>0</v>
      </c>
      <c r="AH33" s="97">
        <f>'Team and Player Stats'!AH42</f>
        <v>0</v>
      </c>
    </row>
    <row r="34">
      <c r="A34" t="str">
        <f>'Team and Player Stats'!B45</f>
        <v>Priest XYZ</v>
      </c>
      <c r="B34" t="str">
        <f>'Team and Player Stats'!A45</f>
        <v>Failure to Launch</v>
      </c>
      <c r="C34">
        <f>'Team and Player Stats'!C45</f>
        <v>17</v>
      </c>
      <c r="D34">
        <f>'Team and Player Stats'!D45</f>
        <v>10</v>
      </c>
      <c r="E34" s="101">
        <f>'Team and Player Stats'!E45</f>
        <v>487.7666667</v>
      </c>
      <c r="F34">
        <f>'Team and Player Stats'!F45</f>
        <v>49</v>
      </c>
      <c r="G34">
        <f>'Team and Player Stats'!G45</f>
        <v>971</v>
      </c>
      <c r="H34">
        <f>'Team and Player Stats'!H45</f>
        <v>9</v>
      </c>
      <c r="I34">
        <f>'Team and Player Stats'!I45</f>
        <v>1046</v>
      </c>
      <c r="J34">
        <f>'Team and Player Stats'!J45</f>
        <v>-75</v>
      </c>
      <c r="K34" s="102">
        <f>'Team and Player Stats'!K45</f>
        <v>0.9282982792</v>
      </c>
      <c r="L34" s="101">
        <f>'Team and Player Stats'!L45</f>
        <v>421</v>
      </c>
      <c r="M34">
        <f>'Team and Player Stats'!M45</f>
        <v>1248</v>
      </c>
      <c r="N34">
        <f>'Team and Player Stats'!N45</f>
        <v>17</v>
      </c>
      <c r="O34" s="103">
        <f>'Team and Player Stats'!O45</f>
        <v>487.7666667</v>
      </c>
      <c r="P34">
        <f>'Team and Player Stats'!P45</f>
        <v>48</v>
      </c>
      <c r="Q34">
        <f>'Team and Player Stats'!Q45</f>
        <v>40</v>
      </c>
      <c r="R34">
        <f>'Team and Player Stats'!R45</f>
        <v>53</v>
      </c>
      <c r="S34">
        <f>'Team and Player Stats'!S45</f>
        <v>22</v>
      </c>
      <c r="T34">
        <f>'Team and Player Stats'!T45</f>
        <v>103</v>
      </c>
      <c r="U34">
        <f>'Team and Player Stats'!U45</f>
        <v>13</v>
      </c>
      <c r="V34">
        <f>'Team and Player Stats'!V45</f>
        <v>4</v>
      </c>
      <c r="W34">
        <f>'Team and Player Stats'!W45</f>
        <v>0</v>
      </c>
      <c r="X34">
        <f>'Team and Player Stats'!X45</f>
        <v>0</v>
      </c>
      <c r="Y34">
        <f>'Team and Player Stats'!Y45</f>
        <v>0</v>
      </c>
      <c r="Z34">
        <f>'Team and Player Stats'!Z45</f>
        <v>0</v>
      </c>
      <c r="AA34">
        <f>'Team and Player Stats'!AA45</f>
        <v>0</v>
      </c>
      <c r="AB34">
        <f>'Team and Player Stats'!AB45</f>
        <v>0</v>
      </c>
      <c r="AC34">
        <f>'Team and Player Stats'!AC45</f>
        <v>17</v>
      </c>
      <c r="AD34">
        <f>'Team and Player Stats'!AD45</f>
        <v>1</v>
      </c>
      <c r="AE34">
        <f>'Team and Player Stats'!AE45</f>
        <v>0</v>
      </c>
      <c r="AF34">
        <f>'Team and Player Stats'!AF45</f>
        <v>0</v>
      </c>
      <c r="AG34">
        <f>'Team and Player Stats'!AG45</f>
        <v>0</v>
      </c>
      <c r="AH34">
        <f>'Team and Player Stats'!AH45</f>
        <v>0</v>
      </c>
    </row>
    <row r="35">
      <c r="A35" s="97" t="str">
        <f>'Team and Player Stats'!B46</f>
        <v>the man canon</v>
      </c>
      <c r="B35" s="97" t="str">
        <f>'Team and Player Stats'!A46</f>
        <v>Failure to Launch</v>
      </c>
      <c r="C35" s="97">
        <f>'Team and Player Stats'!C46</f>
        <v>17</v>
      </c>
      <c r="D35" s="97">
        <f>'Team and Player Stats'!D46</f>
        <v>10</v>
      </c>
      <c r="E35" s="98">
        <f>'Team and Player Stats'!E46</f>
        <v>486.3166667</v>
      </c>
      <c r="F35" s="97">
        <f>'Team and Player Stats'!F46</f>
        <v>5</v>
      </c>
      <c r="G35" s="97">
        <f>'Team and Player Stats'!G46</f>
        <v>1655</v>
      </c>
      <c r="H35" s="97">
        <f>'Team and Player Stats'!H46</f>
        <v>5</v>
      </c>
      <c r="I35" s="97">
        <f>'Team and Player Stats'!I46</f>
        <v>1604</v>
      </c>
      <c r="J35" s="97">
        <f>'Team and Player Stats'!J46</f>
        <v>51</v>
      </c>
      <c r="K35" s="99">
        <f>'Team and Player Stats'!K46</f>
        <v>1.031795511</v>
      </c>
      <c r="L35" s="98">
        <f>'Team and Player Stats'!L46</f>
        <v>245</v>
      </c>
      <c r="M35" s="97">
        <f>'Team and Player Stats'!M46</f>
        <v>2139</v>
      </c>
      <c r="N35" s="97">
        <f>'Team and Player Stats'!N46</f>
        <v>17</v>
      </c>
      <c r="O35" s="100">
        <f>'Team and Player Stats'!O46</f>
        <v>486.3166667</v>
      </c>
      <c r="P35" s="97">
        <f>'Team and Player Stats'!P46</f>
        <v>82</v>
      </c>
      <c r="Q35" s="97">
        <f>'Team and Player Stats'!Q46</f>
        <v>25</v>
      </c>
      <c r="R35" s="97">
        <f>'Team and Player Stats'!R46</f>
        <v>143</v>
      </c>
      <c r="S35" s="97">
        <f>'Team and Player Stats'!S46</f>
        <v>26</v>
      </c>
      <c r="T35" s="97">
        <f>'Team and Player Stats'!T46</f>
        <v>223</v>
      </c>
      <c r="U35" s="97">
        <f>'Team and Player Stats'!U46</f>
        <v>46</v>
      </c>
      <c r="V35" s="97">
        <f>'Team and Player Stats'!V46</f>
        <v>9</v>
      </c>
      <c r="W35" s="97">
        <f>'Team and Player Stats'!W46</f>
        <v>1</v>
      </c>
      <c r="X35" s="97">
        <f>'Team and Player Stats'!X46</f>
        <v>0</v>
      </c>
      <c r="Y35" s="97">
        <f>'Team and Player Stats'!Y46</f>
        <v>0</v>
      </c>
      <c r="Z35" s="97">
        <f>'Team and Player Stats'!Z46</f>
        <v>0</v>
      </c>
      <c r="AA35" s="97">
        <f>'Team and Player Stats'!AA46</f>
        <v>0</v>
      </c>
      <c r="AB35" s="97">
        <f>'Team and Player Stats'!AB46</f>
        <v>0</v>
      </c>
      <c r="AC35" s="97">
        <f>'Team and Player Stats'!AC46</f>
        <v>32</v>
      </c>
      <c r="AD35" s="97">
        <f>'Team and Player Stats'!AD46</f>
        <v>0</v>
      </c>
      <c r="AE35" s="97">
        <f>'Team and Player Stats'!AE46</f>
        <v>0</v>
      </c>
      <c r="AF35" s="97">
        <f>'Team and Player Stats'!AF46</f>
        <v>0</v>
      </c>
      <c r="AG35" s="97">
        <f>'Team and Player Stats'!AG46</f>
        <v>0</v>
      </c>
      <c r="AH35" s="97">
        <f>'Team and Player Stats'!AH46</f>
        <v>0</v>
      </c>
    </row>
    <row r="36">
      <c r="A36" t="str">
        <f>'Team and Player Stats'!B47</f>
        <v> SILV3RI34CK</v>
      </c>
      <c r="B36" t="str">
        <f>'Team and Player Stats'!A47</f>
        <v>Failure to Launch</v>
      </c>
      <c r="C36">
        <f>'Team and Player Stats'!C47</f>
        <v>17</v>
      </c>
      <c r="D36">
        <f>'Team and Player Stats'!D47</f>
        <v>10</v>
      </c>
      <c r="E36" s="101">
        <f>'Team and Player Stats'!E47</f>
        <v>486.8666667</v>
      </c>
      <c r="F36">
        <f>'Team and Player Stats'!F47</f>
        <v>3</v>
      </c>
      <c r="G36">
        <f>'Team and Player Stats'!G47</f>
        <v>1542</v>
      </c>
      <c r="H36">
        <f>'Team and Player Stats'!H47</f>
        <v>10</v>
      </c>
      <c r="I36">
        <f>'Team and Player Stats'!I47</f>
        <v>1459</v>
      </c>
      <c r="J36">
        <f>'Team and Player Stats'!J47</f>
        <v>83</v>
      </c>
      <c r="K36" s="102">
        <f>'Team and Player Stats'!K47</f>
        <v>1.05688828</v>
      </c>
      <c r="L36" s="101">
        <f>'Team and Player Stats'!L47</f>
        <v>276</v>
      </c>
      <c r="M36">
        <f>'Team and Player Stats'!M47</f>
        <v>1959</v>
      </c>
      <c r="N36">
        <f>'Team and Player Stats'!N47</f>
        <v>17</v>
      </c>
      <c r="O36" s="103">
        <f>'Team and Player Stats'!O47</f>
        <v>486.8666667</v>
      </c>
      <c r="P36">
        <f>'Team and Player Stats'!P47</f>
        <v>65</v>
      </c>
      <c r="Q36">
        <f>'Team and Player Stats'!Q47</f>
        <v>25</v>
      </c>
      <c r="R36">
        <f>'Team and Player Stats'!R47</f>
        <v>178</v>
      </c>
      <c r="S36">
        <f>'Team and Player Stats'!S47</f>
        <v>31</v>
      </c>
      <c r="T36">
        <f>'Team and Player Stats'!T47</f>
        <v>177</v>
      </c>
      <c r="U36">
        <f>'Team and Player Stats'!U47</f>
        <v>21</v>
      </c>
      <c r="V36">
        <f>'Team and Player Stats'!V47</f>
        <v>6</v>
      </c>
      <c r="W36">
        <f>'Team and Player Stats'!W47</f>
        <v>1</v>
      </c>
      <c r="X36">
        <f>'Team and Player Stats'!X47</f>
        <v>0</v>
      </c>
      <c r="Y36">
        <f>'Team and Player Stats'!Y47</f>
        <v>0</v>
      </c>
      <c r="Z36">
        <f>'Team and Player Stats'!Z47</f>
        <v>0</v>
      </c>
      <c r="AA36">
        <f>'Team and Player Stats'!AA47</f>
        <v>0</v>
      </c>
      <c r="AB36">
        <f>'Team and Player Stats'!AB47</f>
        <v>0</v>
      </c>
      <c r="AC36">
        <f>'Team and Player Stats'!AC47</f>
        <v>25</v>
      </c>
      <c r="AD36">
        <f>'Team and Player Stats'!AD47</f>
        <v>0</v>
      </c>
      <c r="AE36">
        <f>'Team and Player Stats'!AE47</f>
        <v>0</v>
      </c>
      <c r="AF36">
        <f>'Team and Player Stats'!AF47</f>
        <v>0</v>
      </c>
      <c r="AG36">
        <f>'Team and Player Stats'!AG47</f>
        <v>0</v>
      </c>
      <c r="AH36">
        <f>'Team and Player Stats'!AH47</f>
        <v>0</v>
      </c>
    </row>
    <row r="37">
      <c r="A37" s="97" t="str">
        <f>'Team and Player Stats'!B48</f>
        <v>THEXILEDRAGON</v>
      </c>
      <c r="B37" s="97" t="str">
        <f>'Team and Player Stats'!A48</f>
        <v>Failure to Launch</v>
      </c>
      <c r="C37" s="97">
        <f>'Team and Player Stats'!C48</f>
        <v>0</v>
      </c>
      <c r="D37" s="97">
        <f>'Team and Player Stats'!D48</f>
        <v>0</v>
      </c>
      <c r="E37" s="98">
        <f>'Team and Player Stats'!E48</f>
        <v>0</v>
      </c>
      <c r="F37" s="97">
        <f>'Team and Player Stats'!F48</f>
        <v>0</v>
      </c>
      <c r="G37" s="97">
        <f>'Team and Player Stats'!G48</f>
        <v>0</v>
      </c>
      <c r="H37" s="97">
        <f>'Team and Player Stats'!H48</f>
        <v>0</v>
      </c>
      <c r="I37" s="97">
        <f>'Team and Player Stats'!I48</f>
        <v>0</v>
      </c>
      <c r="J37" s="97">
        <f>'Team and Player Stats'!J48</f>
        <v>0</v>
      </c>
      <c r="K37" s="99" t="str">
        <f>'Team and Player Stats'!K48</f>
        <v>#DIV/0!</v>
      </c>
      <c r="L37" s="98">
        <f>'Team and Player Stats'!L48</f>
        <v>0</v>
      </c>
      <c r="M37" s="97">
        <f>'Team and Player Stats'!M48</f>
        <v>0</v>
      </c>
      <c r="N37" s="97">
        <f>'Team and Player Stats'!N48</f>
        <v>0</v>
      </c>
      <c r="O37" s="100">
        <f>'Team and Player Stats'!O48</f>
        <v>0</v>
      </c>
      <c r="P37" s="97">
        <f>'Team and Player Stats'!P48</f>
        <v>0</v>
      </c>
      <c r="Q37" s="97">
        <f>'Team and Player Stats'!Q48</f>
        <v>0</v>
      </c>
      <c r="R37" s="97">
        <f>'Team and Player Stats'!R48</f>
        <v>0</v>
      </c>
      <c r="S37" s="97">
        <f>'Team and Player Stats'!S48</f>
        <v>0</v>
      </c>
      <c r="T37" s="97">
        <f>'Team and Player Stats'!T48</f>
        <v>0</v>
      </c>
      <c r="U37" s="97">
        <f>'Team and Player Stats'!U48</f>
        <v>0</v>
      </c>
      <c r="V37" s="97">
        <f>'Team and Player Stats'!V48</f>
        <v>0</v>
      </c>
      <c r="W37" s="97">
        <f>'Team and Player Stats'!W48</f>
        <v>0</v>
      </c>
      <c r="X37" s="97">
        <f>'Team and Player Stats'!X48</f>
        <v>0</v>
      </c>
      <c r="Y37" s="97">
        <f>'Team and Player Stats'!Y48</f>
        <v>0</v>
      </c>
      <c r="Z37" s="97">
        <f>'Team and Player Stats'!Z48</f>
        <v>0</v>
      </c>
      <c r="AA37" s="97">
        <f>'Team and Player Stats'!AA48</f>
        <v>0</v>
      </c>
      <c r="AB37" s="97">
        <f>'Team and Player Stats'!AB48</f>
        <v>0</v>
      </c>
      <c r="AC37" s="97">
        <f>'Team and Player Stats'!AC48</f>
        <v>0</v>
      </c>
      <c r="AD37" s="97">
        <f>'Team and Player Stats'!AD48</f>
        <v>0</v>
      </c>
      <c r="AE37" s="97">
        <f>'Team and Player Stats'!AE48</f>
        <v>0</v>
      </c>
      <c r="AF37" s="97">
        <f>'Team and Player Stats'!AF48</f>
        <v>0</v>
      </c>
      <c r="AG37" s="97">
        <f>'Team and Player Stats'!AG48</f>
        <v>0</v>
      </c>
      <c r="AH37" s="97">
        <f>'Team and Player Stats'!AH48</f>
        <v>0</v>
      </c>
    </row>
    <row r="38">
      <c r="A38" t="str">
        <f>'Team and Player Stats'!B49</f>
        <v>Almighty Tycoon</v>
      </c>
      <c r="B38" t="str">
        <f>'Team and Player Stats'!A49</f>
        <v>Failure to Launch</v>
      </c>
      <c r="C38">
        <f>'Team and Player Stats'!C49</f>
        <v>9</v>
      </c>
      <c r="D38">
        <f>'Team and Player Stats'!D49</f>
        <v>6</v>
      </c>
      <c r="E38" s="101">
        <f>'Team and Player Stats'!E49</f>
        <v>297.3333333</v>
      </c>
      <c r="F38">
        <f>'Team and Player Stats'!F49</f>
        <v>1</v>
      </c>
      <c r="G38">
        <f>'Team and Player Stats'!G49</f>
        <v>993</v>
      </c>
      <c r="H38">
        <f>'Team and Player Stats'!H49</f>
        <v>2</v>
      </c>
      <c r="I38">
        <f>'Team and Player Stats'!I49</f>
        <v>1051</v>
      </c>
      <c r="J38">
        <f>'Team and Player Stats'!J49</f>
        <v>-58</v>
      </c>
      <c r="K38" s="102">
        <f>'Team and Player Stats'!K49</f>
        <v>0.9448144624</v>
      </c>
      <c r="L38" s="101">
        <f>'Team and Player Stats'!L49</f>
        <v>127</v>
      </c>
      <c r="M38">
        <f>'Team and Player Stats'!M49</f>
        <v>1305</v>
      </c>
      <c r="N38">
        <f>'Team and Player Stats'!N49</f>
        <v>9</v>
      </c>
      <c r="O38" s="103">
        <f>'Team and Player Stats'!O49</f>
        <v>297.3333333</v>
      </c>
      <c r="P38">
        <f>'Team and Player Stats'!P49</f>
        <v>34</v>
      </c>
      <c r="Q38">
        <f>'Team and Player Stats'!Q49</f>
        <v>28</v>
      </c>
      <c r="R38">
        <f>'Team and Player Stats'!R49</f>
        <v>81</v>
      </c>
      <c r="S38">
        <f>'Team and Player Stats'!S49</f>
        <v>18</v>
      </c>
      <c r="T38">
        <f>'Team and Player Stats'!T49</f>
        <v>141</v>
      </c>
      <c r="U38">
        <f>'Team and Player Stats'!U49</f>
        <v>33</v>
      </c>
      <c r="V38">
        <f>'Team and Player Stats'!V49</f>
        <v>13</v>
      </c>
      <c r="W38">
        <f>'Team and Player Stats'!W49</f>
        <v>4</v>
      </c>
      <c r="X38">
        <f>'Team and Player Stats'!X49</f>
        <v>1</v>
      </c>
      <c r="Y38">
        <f>'Team and Player Stats'!Y49</f>
        <v>1</v>
      </c>
      <c r="Z38">
        <f>'Team and Player Stats'!Z49</f>
        <v>1</v>
      </c>
      <c r="AA38">
        <f>'Team and Player Stats'!AA49</f>
        <v>1</v>
      </c>
      <c r="AB38">
        <f>'Team and Player Stats'!AB49</f>
        <v>0</v>
      </c>
      <c r="AC38">
        <f>'Team and Player Stats'!AC49</f>
        <v>22</v>
      </c>
      <c r="AD38">
        <f>'Team and Player Stats'!AD49</f>
        <v>1</v>
      </c>
      <c r="AE38">
        <f>'Team and Player Stats'!AE49</f>
        <v>0</v>
      </c>
      <c r="AF38">
        <f>'Team and Player Stats'!AF49</f>
        <v>0</v>
      </c>
      <c r="AG38">
        <f>'Team and Player Stats'!AG49</f>
        <v>1</v>
      </c>
      <c r="AH38">
        <f>'Team and Player Stats'!AH49</f>
        <v>0</v>
      </c>
    </row>
    <row r="39">
      <c r="A39" s="97" t="str">
        <f>'Team and Player Stats'!B52</f>
        <v>Doc Status</v>
      </c>
      <c r="B39" s="97" t="str">
        <f>'Team and Player Stats'!A52</f>
        <v>Silva's Connection</v>
      </c>
      <c r="C39" s="97">
        <f>'Team and Player Stats'!C52</f>
        <v>20</v>
      </c>
      <c r="D39" s="97">
        <f>'Team and Player Stats'!D52</f>
        <v>6</v>
      </c>
      <c r="E39" s="98">
        <f>'Team and Player Stats'!E52</f>
        <v>560.1333333</v>
      </c>
      <c r="F39" s="97">
        <f>'Team and Player Stats'!F52</f>
        <v>18</v>
      </c>
      <c r="G39" s="97">
        <f>'Team and Player Stats'!G52</f>
        <v>1680</v>
      </c>
      <c r="H39" s="97">
        <f>'Team and Player Stats'!H52</f>
        <v>9</v>
      </c>
      <c r="I39" s="97">
        <f>'Team and Player Stats'!I52</f>
        <v>1851</v>
      </c>
      <c r="J39" s="97">
        <f>'Team and Player Stats'!J52</f>
        <v>-171</v>
      </c>
      <c r="K39" s="99">
        <f>'Team and Player Stats'!K52</f>
        <v>0.9076175041</v>
      </c>
      <c r="L39" s="98">
        <f>'Team and Player Stats'!L52</f>
        <v>309</v>
      </c>
      <c r="M39" s="97">
        <f>'Team and Player Stats'!M52</f>
        <v>2097</v>
      </c>
      <c r="N39" s="97">
        <f>'Team and Player Stats'!N52</f>
        <v>20</v>
      </c>
      <c r="O39" s="100">
        <f>'Team and Player Stats'!O52</f>
        <v>560.1333333</v>
      </c>
      <c r="P39" s="97">
        <f>'Team and Player Stats'!P52</f>
        <v>73</v>
      </c>
      <c r="Q39" s="97">
        <f>'Team and Player Stats'!Q52</f>
        <v>30</v>
      </c>
      <c r="R39" s="97">
        <f>'Team and Player Stats'!R52</f>
        <v>103</v>
      </c>
      <c r="S39" s="97">
        <f>'Team and Player Stats'!S52</f>
        <v>36</v>
      </c>
      <c r="T39" s="97">
        <f>'Team and Player Stats'!T52</f>
        <v>202</v>
      </c>
      <c r="U39" s="97">
        <f>'Team and Player Stats'!U52</f>
        <v>36</v>
      </c>
      <c r="V39" s="97">
        <f>'Team and Player Stats'!V52</f>
        <v>6</v>
      </c>
      <c r="W39" s="97">
        <f>'Team and Player Stats'!W52</f>
        <v>3</v>
      </c>
      <c r="X39" s="97">
        <f>'Team and Player Stats'!X52</f>
        <v>1</v>
      </c>
      <c r="Y39" s="97">
        <f>'Team and Player Stats'!Y52</f>
        <v>0</v>
      </c>
      <c r="Z39" s="97">
        <f>'Team and Player Stats'!Z52</f>
        <v>0</v>
      </c>
      <c r="AA39" s="97">
        <f>'Team and Player Stats'!AA52</f>
        <v>0</v>
      </c>
      <c r="AB39" s="97">
        <f>'Team and Player Stats'!AB52</f>
        <v>0</v>
      </c>
      <c r="AC39" s="97">
        <f>'Team and Player Stats'!AC52</f>
        <v>26</v>
      </c>
      <c r="AD39" s="97">
        <f>'Team and Player Stats'!AD52</f>
        <v>1</v>
      </c>
      <c r="AE39" s="97">
        <f>'Team and Player Stats'!AE52</f>
        <v>0</v>
      </c>
      <c r="AF39" s="97">
        <f>'Team and Player Stats'!AF52</f>
        <v>0</v>
      </c>
      <c r="AG39" s="97">
        <f>'Team and Player Stats'!AG52</f>
        <v>0</v>
      </c>
      <c r="AH39" s="97">
        <f>'Team and Player Stats'!AH52</f>
        <v>4</v>
      </c>
    </row>
    <row r="40">
      <c r="A40" t="str">
        <f>'Team and Player Stats'!B53</f>
        <v>TnTaylor</v>
      </c>
      <c r="B40" t="str">
        <f>'Team and Player Stats'!A53</f>
        <v>Silva's Connection</v>
      </c>
      <c r="C40">
        <f>'Team and Player Stats'!C53</f>
        <v>20</v>
      </c>
      <c r="D40">
        <f>'Team and Player Stats'!D53</f>
        <v>6</v>
      </c>
      <c r="E40" s="101">
        <f>'Team and Player Stats'!E53</f>
        <v>560.9166667</v>
      </c>
      <c r="F40">
        <f>'Team and Player Stats'!F53</f>
        <v>10</v>
      </c>
      <c r="G40">
        <f>'Team and Player Stats'!G53</f>
        <v>1823</v>
      </c>
      <c r="H40">
        <f>'Team and Player Stats'!H53</f>
        <v>6</v>
      </c>
      <c r="I40">
        <f>'Team and Player Stats'!I53</f>
        <v>1752</v>
      </c>
      <c r="J40">
        <f>'Team and Player Stats'!J53</f>
        <v>71</v>
      </c>
      <c r="K40" s="102">
        <f>'Team and Player Stats'!K53</f>
        <v>1.040525114</v>
      </c>
      <c r="L40" s="101">
        <f>'Team and Player Stats'!L53</f>
        <v>329</v>
      </c>
      <c r="M40">
        <f>'Team and Player Stats'!M53</f>
        <v>2328</v>
      </c>
      <c r="N40">
        <f>'Team and Player Stats'!N53</f>
        <v>20</v>
      </c>
      <c r="O40" s="103">
        <f>'Team and Player Stats'!O53</f>
        <v>560.9166667</v>
      </c>
      <c r="P40">
        <f>'Team and Player Stats'!P53</f>
        <v>92</v>
      </c>
      <c r="Q40">
        <f>'Team and Player Stats'!Q53</f>
        <v>74</v>
      </c>
      <c r="R40">
        <f>'Team and Player Stats'!R53</f>
        <v>124</v>
      </c>
      <c r="S40">
        <f>'Team and Player Stats'!S53</f>
        <v>39</v>
      </c>
      <c r="T40">
        <f>'Team and Player Stats'!T53</f>
        <v>225</v>
      </c>
      <c r="U40">
        <f>'Team and Player Stats'!U53</f>
        <v>40</v>
      </c>
      <c r="V40">
        <f>'Team and Player Stats'!V53</f>
        <v>11</v>
      </c>
      <c r="W40">
        <f>'Team and Player Stats'!W53</f>
        <v>2</v>
      </c>
      <c r="X40">
        <f>'Team and Player Stats'!X53</f>
        <v>1</v>
      </c>
      <c r="Y40">
        <f>'Team and Player Stats'!Y53</f>
        <v>0</v>
      </c>
      <c r="Z40">
        <f>'Team and Player Stats'!Z53</f>
        <v>0</v>
      </c>
      <c r="AA40">
        <f>'Team and Player Stats'!AA53</f>
        <v>0</v>
      </c>
      <c r="AB40">
        <f>'Team and Player Stats'!AB53</f>
        <v>0</v>
      </c>
      <c r="AC40">
        <f>'Team and Player Stats'!AC53</f>
        <v>45</v>
      </c>
      <c r="AD40">
        <f>'Team and Player Stats'!AD53</f>
        <v>1</v>
      </c>
      <c r="AE40">
        <f>'Team and Player Stats'!AE53</f>
        <v>0</v>
      </c>
      <c r="AF40">
        <f>'Team and Player Stats'!AF53</f>
        <v>0</v>
      </c>
      <c r="AG40">
        <f>'Team and Player Stats'!AG53</f>
        <v>0</v>
      </c>
      <c r="AH40">
        <f>'Team and Player Stats'!AH53</f>
        <v>2</v>
      </c>
    </row>
    <row r="41">
      <c r="A41" s="97" t="str">
        <f>'Team and Player Stats'!B54</f>
        <v>Elementary</v>
      </c>
      <c r="B41" s="97" t="str">
        <f>'Team and Player Stats'!A54</f>
        <v>Silva's Connection</v>
      </c>
      <c r="C41" s="97">
        <f>'Team and Player Stats'!C54</f>
        <v>20</v>
      </c>
      <c r="D41" s="97">
        <f>'Team and Player Stats'!D54</f>
        <v>6</v>
      </c>
      <c r="E41" s="98">
        <f>'Team and Player Stats'!E54</f>
        <v>560.5</v>
      </c>
      <c r="F41" s="97">
        <f>'Team and Player Stats'!F54</f>
        <v>7</v>
      </c>
      <c r="G41" s="97">
        <f>'Team and Player Stats'!G54</f>
        <v>2236</v>
      </c>
      <c r="H41" s="97">
        <f>'Team and Player Stats'!H54</f>
        <v>10</v>
      </c>
      <c r="I41" s="97">
        <f>'Team and Player Stats'!I54</f>
        <v>2187</v>
      </c>
      <c r="J41" s="97">
        <f>'Team and Player Stats'!J54</f>
        <v>49</v>
      </c>
      <c r="K41" s="99">
        <f>'Team and Player Stats'!K54</f>
        <v>1.022405121</v>
      </c>
      <c r="L41" s="98">
        <f>'Team and Player Stats'!L54</f>
        <v>251</v>
      </c>
      <c r="M41" s="97">
        <f>'Team and Player Stats'!M54</f>
        <v>2929</v>
      </c>
      <c r="N41" s="97">
        <f>'Team and Player Stats'!N54</f>
        <v>20</v>
      </c>
      <c r="O41" s="100">
        <f>'Team and Player Stats'!O54</f>
        <v>560.5</v>
      </c>
      <c r="P41" s="97">
        <f>'Team and Player Stats'!P54</f>
        <v>88</v>
      </c>
      <c r="Q41" s="97">
        <f>'Team and Player Stats'!Q54</f>
        <v>34</v>
      </c>
      <c r="R41" s="97">
        <f>'Team and Player Stats'!R54</f>
        <v>172</v>
      </c>
      <c r="S41" s="97">
        <f>'Team and Player Stats'!S54</f>
        <v>45</v>
      </c>
      <c r="T41" s="97">
        <f>'Team and Player Stats'!T54</f>
        <v>362</v>
      </c>
      <c r="U41" s="97">
        <f>'Team and Player Stats'!U54</f>
        <v>66</v>
      </c>
      <c r="V41" s="97">
        <f>'Team and Player Stats'!V54</f>
        <v>17</v>
      </c>
      <c r="W41" s="97">
        <f>'Team and Player Stats'!W54</f>
        <v>3</v>
      </c>
      <c r="X41" s="97">
        <f>'Team and Player Stats'!X54</f>
        <v>0</v>
      </c>
      <c r="Y41" s="97">
        <f>'Team and Player Stats'!Y54</f>
        <v>0</v>
      </c>
      <c r="Z41" s="97">
        <f>'Team and Player Stats'!Z54</f>
        <v>0</v>
      </c>
      <c r="AA41" s="97">
        <f>'Team and Player Stats'!AA54</f>
        <v>0</v>
      </c>
      <c r="AB41" s="97">
        <f>'Team and Player Stats'!AB54</f>
        <v>0</v>
      </c>
      <c r="AC41" s="97">
        <f>'Team and Player Stats'!AC54</f>
        <v>47</v>
      </c>
      <c r="AD41" s="97">
        <f>'Team and Player Stats'!AD54</f>
        <v>0</v>
      </c>
      <c r="AE41" s="97">
        <f>'Team and Player Stats'!AE54</f>
        <v>0</v>
      </c>
      <c r="AF41" s="97">
        <f>'Team and Player Stats'!AF54</f>
        <v>0</v>
      </c>
      <c r="AG41" s="97">
        <f>'Team and Player Stats'!AG54</f>
        <v>1</v>
      </c>
      <c r="AH41" s="97">
        <f>'Team and Player Stats'!AH54</f>
        <v>0</v>
      </c>
    </row>
    <row r="42">
      <c r="A42" t="str">
        <f>'Team and Player Stats'!B55</f>
        <v>xxRebs</v>
      </c>
      <c r="B42" t="str">
        <f>'Team and Player Stats'!A55</f>
        <v>Silva's Connection</v>
      </c>
      <c r="C42">
        <f>'Team and Player Stats'!C55</f>
        <v>18</v>
      </c>
      <c r="D42">
        <f>'Team and Player Stats'!D55</f>
        <v>6</v>
      </c>
      <c r="E42" s="101">
        <f>'Team and Player Stats'!E55</f>
        <v>478.9333333</v>
      </c>
      <c r="F42">
        <f>'Team and Player Stats'!F55</f>
        <v>26</v>
      </c>
      <c r="G42">
        <f>'Team and Player Stats'!G55</f>
        <v>1252</v>
      </c>
      <c r="H42">
        <f>'Team and Player Stats'!H55</f>
        <v>10</v>
      </c>
      <c r="I42">
        <f>'Team and Player Stats'!I55</f>
        <v>1709</v>
      </c>
      <c r="J42">
        <f>'Team and Player Stats'!J55</f>
        <v>-457</v>
      </c>
      <c r="K42" s="102">
        <f>'Team and Player Stats'!K55</f>
        <v>0.7325921592</v>
      </c>
      <c r="L42" s="101">
        <f>'Team and Player Stats'!L55</f>
        <v>260</v>
      </c>
      <c r="M42">
        <f>'Team and Player Stats'!M55</f>
        <v>1573</v>
      </c>
      <c r="N42">
        <f>'Team and Player Stats'!N55</f>
        <v>18</v>
      </c>
      <c r="O42" s="103">
        <f>'Team and Player Stats'!O55</f>
        <v>478.9333333</v>
      </c>
      <c r="P42">
        <f>'Team and Player Stats'!P55</f>
        <v>70</v>
      </c>
      <c r="Q42">
        <f>'Team and Player Stats'!Q55</f>
        <v>39</v>
      </c>
      <c r="R42">
        <f>'Team and Player Stats'!R55</f>
        <v>37</v>
      </c>
      <c r="S42">
        <f>'Team and Player Stats'!S55</f>
        <v>30</v>
      </c>
      <c r="T42">
        <f>'Team and Player Stats'!T55</f>
        <v>143</v>
      </c>
      <c r="U42">
        <f>'Team and Player Stats'!U55</f>
        <v>19</v>
      </c>
      <c r="V42">
        <f>'Team and Player Stats'!V55</f>
        <v>6</v>
      </c>
      <c r="W42">
        <f>'Team and Player Stats'!W55</f>
        <v>0</v>
      </c>
      <c r="X42">
        <f>'Team and Player Stats'!X55</f>
        <v>0</v>
      </c>
      <c r="Y42">
        <f>'Team and Player Stats'!Y55</f>
        <v>0</v>
      </c>
      <c r="Z42">
        <f>'Team and Player Stats'!Z55</f>
        <v>0</v>
      </c>
      <c r="AA42">
        <f>'Team and Player Stats'!AA55</f>
        <v>0</v>
      </c>
      <c r="AB42">
        <f>'Team and Player Stats'!AB55</f>
        <v>0</v>
      </c>
      <c r="AC42">
        <f>'Team and Player Stats'!AC55</f>
        <v>16</v>
      </c>
      <c r="AD42">
        <f>'Team and Player Stats'!AD55</f>
        <v>0</v>
      </c>
      <c r="AE42">
        <f>'Team and Player Stats'!AE55</f>
        <v>0</v>
      </c>
      <c r="AF42">
        <f>'Team and Player Stats'!AF55</f>
        <v>0</v>
      </c>
      <c r="AG42">
        <f>'Team and Player Stats'!AG55</f>
        <v>0</v>
      </c>
      <c r="AH42">
        <f>'Team and Player Stats'!AH55</f>
        <v>2</v>
      </c>
    </row>
    <row r="43">
      <c r="A43" s="97" t="str">
        <f>'Team and Player Stats'!B56</f>
        <v>TheOneHawk</v>
      </c>
      <c r="B43" s="97" t="str">
        <f>'Team and Player Stats'!A56</f>
        <v>Silva's Connection</v>
      </c>
      <c r="C43" s="97">
        <f>'Team and Player Stats'!C56</f>
        <v>0</v>
      </c>
      <c r="D43" s="97">
        <f>'Team and Player Stats'!D56</f>
        <v>0</v>
      </c>
      <c r="E43" s="98">
        <f>'Team and Player Stats'!E56</f>
        <v>0</v>
      </c>
      <c r="F43" s="97">
        <f>'Team and Player Stats'!F56</f>
        <v>0</v>
      </c>
      <c r="G43" s="97">
        <f>'Team and Player Stats'!G56</f>
        <v>0</v>
      </c>
      <c r="H43" s="97">
        <f>'Team and Player Stats'!H56</f>
        <v>0</v>
      </c>
      <c r="I43" s="97">
        <f>'Team and Player Stats'!I56</f>
        <v>0</v>
      </c>
      <c r="J43" s="97">
        <f>'Team and Player Stats'!J56</f>
        <v>0</v>
      </c>
      <c r="K43" s="99" t="str">
        <f>'Team and Player Stats'!K56</f>
        <v>#DIV/0!</v>
      </c>
      <c r="L43" s="98">
        <f>'Team and Player Stats'!L56</f>
        <v>0</v>
      </c>
      <c r="M43" s="97">
        <f>'Team and Player Stats'!M56</f>
        <v>0</v>
      </c>
      <c r="N43" s="97">
        <f>'Team and Player Stats'!N56</f>
        <v>0</v>
      </c>
      <c r="O43" s="100">
        <f>'Team and Player Stats'!O56</f>
        <v>0</v>
      </c>
      <c r="P43" s="97">
        <f>'Team and Player Stats'!P56</f>
        <v>0</v>
      </c>
      <c r="Q43" s="97">
        <f>'Team and Player Stats'!Q56</f>
        <v>0</v>
      </c>
      <c r="R43" s="97">
        <f>'Team and Player Stats'!R56</f>
        <v>0</v>
      </c>
      <c r="S43" s="97">
        <f>'Team and Player Stats'!S56</f>
        <v>0</v>
      </c>
      <c r="T43" s="97">
        <f>'Team and Player Stats'!T56</f>
        <v>0</v>
      </c>
      <c r="U43" s="97">
        <f>'Team and Player Stats'!U56</f>
        <v>0</v>
      </c>
      <c r="V43" s="97">
        <f>'Team and Player Stats'!V56</f>
        <v>0</v>
      </c>
      <c r="W43" s="97">
        <f>'Team and Player Stats'!W56</f>
        <v>0</v>
      </c>
      <c r="X43" s="97">
        <f>'Team and Player Stats'!X56</f>
        <v>0</v>
      </c>
      <c r="Y43" s="97">
        <f>'Team and Player Stats'!Y56</f>
        <v>0</v>
      </c>
      <c r="Z43" s="97">
        <f>'Team and Player Stats'!Z56</f>
        <v>0</v>
      </c>
      <c r="AA43" s="97">
        <f>'Team and Player Stats'!AA56</f>
        <v>0</v>
      </c>
      <c r="AB43" s="97">
        <f>'Team and Player Stats'!AB56</f>
        <v>0</v>
      </c>
      <c r="AC43" s="97">
        <f>'Team and Player Stats'!AC56</f>
        <v>0</v>
      </c>
      <c r="AD43" s="97">
        <f>'Team and Player Stats'!AD56</f>
        <v>0</v>
      </c>
      <c r="AE43" s="97">
        <f>'Team and Player Stats'!AE56</f>
        <v>0</v>
      </c>
      <c r="AF43" s="97">
        <f>'Team and Player Stats'!AF56</f>
        <v>0</v>
      </c>
      <c r="AG43" s="97">
        <f>'Team and Player Stats'!AG56</f>
        <v>0</v>
      </c>
      <c r="AH43" s="97">
        <f>'Team and Player Stats'!AH56</f>
        <v>0</v>
      </c>
    </row>
    <row r="44">
      <c r="A44" t="str">
        <f>'Team and Player Stats'!B59</f>
        <v>Regresser TTV</v>
      </c>
      <c r="B44" t="str">
        <f>'Team and Player Stats'!A59</f>
        <v>Hypest</v>
      </c>
      <c r="C44">
        <f>'Team and Player Stats'!C59</f>
        <v>20</v>
      </c>
      <c r="D44">
        <f>'Team and Player Stats'!D59</f>
        <v>13</v>
      </c>
      <c r="E44" s="101">
        <f>'Team and Player Stats'!E59</f>
        <v>376.5</v>
      </c>
      <c r="F44">
        <f>'Team and Player Stats'!F59</f>
        <v>43</v>
      </c>
      <c r="G44">
        <f>'Team and Player Stats'!G59</f>
        <v>1467</v>
      </c>
      <c r="H44">
        <f>'Team and Player Stats'!H59</f>
        <v>8</v>
      </c>
      <c r="I44">
        <f>'Team and Player Stats'!I59</f>
        <v>1287</v>
      </c>
      <c r="J44">
        <f>'Team and Player Stats'!J59</f>
        <v>180</v>
      </c>
      <c r="K44" s="102">
        <f>'Team and Player Stats'!K59</f>
        <v>1.13986014</v>
      </c>
      <c r="L44" s="101">
        <f>'Team and Player Stats'!L59</f>
        <v>293</v>
      </c>
      <c r="M44">
        <f>'Team and Player Stats'!M59</f>
        <v>1868</v>
      </c>
      <c r="N44">
        <f>'Team and Player Stats'!N59</f>
        <v>19</v>
      </c>
      <c r="O44" s="103">
        <f>'Team and Player Stats'!O59</f>
        <v>348.5</v>
      </c>
      <c r="P44">
        <f>'Team and Player Stats'!P59</f>
        <v>73</v>
      </c>
      <c r="Q44">
        <f>'Team and Player Stats'!Q59</f>
        <v>28</v>
      </c>
      <c r="R44">
        <f>'Team and Player Stats'!R59</f>
        <v>97</v>
      </c>
      <c r="S44">
        <f>'Team and Player Stats'!S59</f>
        <v>25</v>
      </c>
      <c r="T44">
        <f>'Team and Player Stats'!T59</f>
        <v>243</v>
      </c>
      <c r="U44">
        <f>'Team and Player Stats'!U59</f>
        <v>58</v>
      </c>
      <c r="V44">
        <f>'Team and Player Stats'!V59</f>
        <v>14</v>
      </c>
      <c r="W44">
        <f>'Team and Player Stats'!W59</f>
        <v>2</v>
      </c>
      <c r="X44">
        <f>'Team and Player Stats'!X59</f>
        <v>2</v>
      </c>
      <c r="Y44">
        <f>'Team and Player Stats'!Y59</f>
        <v>1</v>
      </c>
      <c r="Z44">
        <f>'Team and Player Stats'!Z59</f>
        <v>1</v>
      </c>
      <c r="AA44">
        <f>'Team and Player Stats'!AA59</f>
        <v>1</v>
      </c>
      <c r="AB44">
        <f>'Team and Player Stats'!AB59</f>
        <v>1</v>
      </c>
      <c r="AC44">
        <f>'Team and Player Stats'!AC59</f>
        <v>40</v>
      </c>
      <c r="AD44">
        <f>'Team and Player Stats'!AD59</f>
        <v>3</v>
      </c>
      <c r="AE44">
        <f>'Team and Player Stats'!AE59</f>
        <v>0</v>
      </c>
      <c r="AF44">
        <f>'Team and Player Stats'!AF59</f>
        <v>0</v>
      </c>
      <c r="AG44">
        <f>'Team and Player Stats'!AG59</f>
        <v>2</v>
      </c>
      <c r="AH44">
        <f>'Team and Player Stats'!AH59</f>
        <v>0</v>
      </c>
    </row>
    <row r="45">
      <c r="A45" s="97" t="str">
        <f>'Team and Player Stats'!B60</f>
        <v>Blootzy</v>
      </c>
      <c r="B45" s="97" t="str">
        <f>'Team and Player Stats'!A60</f>
        <v>Hypest</v>
      </c>
      <c r="C45" s="97">
        <f>'Team and Player Stats'!C60</f>
        <v>20</v>
      </c>
      <c r="D45" s="97">
        <f>'Team and Player Stats'!D60</f>
        <v>13</v>
      </c>
      <c r="E45" s="98">
        <f>'Team and Player Stats'!E60</f>
        <v>377.2166667</v>
      </c>
      <c r="F45" s="97">
        <f>'Team and Player Stats'!F60</f>
        <v>8</v>
      </c>
      <c r="G45" s="97">
        <f>'Team and Player Stats'!G60</f>
        <v>1417</v>
      </c>
      <c r="H45" s="97">
        <f>'Team and Player Stats'!H60</f>
        <v>12</v>
      </c>
      <c r="I45" s="97">
        <f>'Team and Player Stats'!I60</f>
        <v>1530</v>
      </c>
      <c r="J45" s="97">
        <f>'Team and Player Stats'!J60</f>
        <v>-113</v>
      </c>
      <c r="K45" s="99">
        <f>'Team and Player Stats'!K60</f>
        <v>0.9261437908</v>
      </c>
      <c r="L45" s="98">
        <f>'Team and Player Stats'!L60</f>
        <v>213</v>
      </c>
      <c r="M45" s="97">
        <f>'Team and Player Stats'!M60</f>
        <v>1682</v>
      </c>
      <c r="N45" s="97">
        <f>'Team and Player Stats'!N60</f>
        <v>19</v>
      </c>
      <c r="O45" s="100">
        <f>'Team and Player Stats'!O60</f>
        <v>349.2166667</v>
      </c>
      <c r="P45" s="97">
        <f>'Team and Player Stats'!P60</f>
        <v>57</v>
      </c>
      <c r="Q45" s="97">
        <f>'Team and Player Stats'!Q60</f>
        <v>38</v>
      </c>
      <c r="R45" s="97">
        <f>'Team and Player Stats'!R60</f>
        <v>91</v>
      </c>
      <c r="S45" s="97">
        <f>'Team and Player Stats'!S60</f>
        <v>17</v>
      </c>
      <c r="T45" s="97">
        <f>'Team and Player Stats'!T60</f>
        <v>224</v>
      </c>
      <c r="U45" s="97">
        <f>'Team and Player Stats'!U60</f>
        <v>41</v>
      </c>
      <c r="V45" s="97">
        <f>'Team and Player Stats'!V60</f>
        <v>16</v>
      </c>
      <c r="W45" s="97">
        <f>'Team and Player Stats'!W60</f>
        <v>3</v>
      </c>
      <c r="X45" s="97">
        <f>'Team and Player Stats'!X60</f>
        <v>2</v>
      </c>
      <c r="Y45" s="97">
        <f>'Team and Player Stats'!Y60</f>
        <v>2</v>
      </c>
      <c r="Z45" s="97">
        <f>'Team and Player Stats'!Z60</f>
        <v>0</v>
      </c>
      <c r="AA45" s="97">
        <f>'Team and Player Stats'!AA60</f>
        <v>0</v>
      </c>
      <c r="AB45" s="97">
        <f>'Team and Player Stats'!AB60</f>
        <v>0</v>
      </c>
      <c r="AC45" s="97">
        <f>'Team and Player Stats'!AC60</f>
        <v>19</v>
      </c>
      <c r="AD45" s="97">
        <f>'Team and Player Stats'!AD60</f>
        <v>0</v>
      </c>
      <c r="AE45" s="97">
        <f>'Team and Player Stats'!AE60</f>
        <v>0</v>
      </c>
      <c r="AF45" s="97">
        <f>'Team and Player Stats'!AF60</f>
        <v>0</v>
      </c>
      <c r="AG45" s="97">
        <f>'Team and Player Stats'!AG60</f>
        <v>1</v>
      </c>
      <c r="AH45" s="97">
        <f>'Team and Player Stats'!AH60</f>
        <v>0</v>
      </c>
    </row>
    <row r="46">
      <c r="A46" t="str">
        <f>'Team and Player Stats'!B61</f>
        <v>Perturbingly</v>
      </c>
      <c r="B46" t="str">
        <f>'Team and Player Stats'!A61</f>
        <v>Hypest</v>
      </c>
      <c r="C46">
        <f>'Team and Player Stats'!C61</f>
        <v>20</v>
      </c>
      <c r="D46">
        <f>'Team and Player Stats'!D61</f>
        <v>13</v>
      </c>
      <c r="E46" s="101">
        <f>'Team and Player Stats'!E61</f>
        <v>378.2666667</v>
      </c>
      <c r="F46">
        <f>'Team and Player Stats'!F61</f>
        <v>16</v>
      </c>
      <c r="G46">
        <f>'Team and Player Stats'!G61</f>
        <v>991</v>
      </c>
      <c r="H46">
        <f>'Team and Player Stats'!H61</f>
        <v>6</v>
      </c>
      <c r="I46">
        <f>'Team and Player Stats'!I61</f>
        <v>1063</v>
      </c>
      <c r="J46">
        <f>'Team and Player Stats'!J61</f>
        <v>-72</v>
      </c>
      <c r="K46" s="102">
        <f>'Team and Player Stats'!K61</f>
        <v>0.9322671684</v>
      </c>
      <c r="L46" s="101">
        <f>'Team and Player Stats'!L61</f>
        <v>348</v>
      </c>
      <c r="M46">
        <f>'Team and Player Stats'!M61</f>
        <v>1137</v>
      </c>
      <c r="N46">
        <f>'Team and Player Stats'!N61</f>
        <v>19</v>
      </c>
      <c r="O46" s="103">
        <f>'Team and Player Stats'!O61</f>
        <v>350.2666667</v>
      </c>
      <c r="P46">
        <f>'Team and Player Stats'!P61</f>
        <v>41</v>
      </c>
      <c r="Q46">
        <f>'Team and Player Stats'!Q61</f>
        <v>20</v>
      </c>
      <c r="R46">
        <f>'Team and Player Stats'!R61</f>
        <v>71</v>
      </c>
      <c r="S46">
        <f>'Team and Player Stats'!S61</f>
        <v>24</v>
      </c>
      <c r="T46">
        <f>'Team and Player Stats'!T61</f>
        <v>117</v>
      </c>
      <c r="U46">
        <f>'Team and Player Stats'!U61</f>
        <v>27</v>
      </c>
      <c r="V46">
        <f>'Team and Player Stats'!V61</f>
        <v>6</v>
      </c>
      <c r="W46">
        <f>'Team and Player Stats'!W61</f>
        <v>2</v>
      </c>
      <c r="X46">
        <f>'Team and Player Stats'!X61</f>
        <v>1</v>
      </c>
      <c r="Y46">
        <f>'Team and Player Stats'!Y61</f>
        <v>0</v>
      </c>
      <c r="Z46">
        <f>'Team and Player Stats'!Z61</f>
        <v>0</v>
      </c>
      <c r="AA46">
        <f>'Team and Player Stats'!AA61</f>
        <v>0</v>
      </c>
      <c r="AB46">
        <f>'Team and Player Stats'!AB61</f>
        <v>0</v>
      </c>
      <c r="AC46">
        <f>'Team and Player Stats'!AC61</f>
        <v>16</v>
      </c>
      <c r="AD46">
        <f>'Team and Player Stats'!AD61</f>
        <v>1</v>
      </c>
      <c r="AE46">
        <f>'Team and Player Stats'!AE61</f>
        <v>0</v>
      </c>
      <c r="AF46">
        <f>'Team and Player Stats'!AF61</f>
        <v>0</v>
      </c>
      <c r="AG46">
        <f>'Team and Player Stats'!AG61</f>
        <v>1</v>
      </c>
      <c r="AH46">
        <f>'Team and Player Stats'!AH61</f>
        <v>0</v>
      </c>
    </row>
    <row r="47">
      <c r="A47" s="97" t="str">
        <f>'Team and Player Stats'!B62</f>
        <v>Melvishdon</v>
      </c>
      <c r="B47" s="97" t="str">
        <f>'Team and Player Stats'!A62</f>
        <v>Hypest</v>
      </c>
      <c r="C47" s="97">
        <f>'Team and Player Stats'!C62</f>
        <v>20</v>
      </c>
      <c r="D47" s="97">
        <f>'Team and Player Stats'!D62</f>
        <v>13</v>
      </c>
      <c r="E47" s="98">
        <f>'Team and Player Stats'!E62</f>
        <v>377.1166667</v>
      </c>
      <c r="F47" s="97">
        <f>'Team and Player Stats'!F62</f>
        <v>17</v>
      </c>
      <c r="G47" s="97">
        <f>'Team and Player Stats'!G62</f>
        <v>1210</v>
      </c>
      <c r="H47" s="97">
        <f>'Team and Player Stats'!H62</f>
        <v>6</v>
      </c>
      <c r="I47" s="97">
        <f>'Team and Player Stats'!I62</f>
        <v>1433</v>
      </c>
      <c r="J47" s="97">
        <f>'Team and Player Stats'!J62</f>
        <v>-223</v>
      </c>
      <c r="K47" s="99">
        <f>'Team and Player Stats'!K62</f>
        <v>0.8443824145</v>
      </c>
      <c r="L47" s="98">
        <f>'Team and Player Stats'!L62</f>
        <v>246</v>
      </c>
      <c r="M47" s="97">
        <f>'Team and Player Stats'!M62</f>
        <v>1441</v>
      </c>
      <c r="N47" s="97">
        <f>'Team and Player Stats'!N62</f>
        <v>19</v>
      </c>
      <c r="O47" s="100">
        <f>'Team and Player Stats'!O62</f>
        <v>349.1166667</v>
      </c>
      <c r="P47" s="97">
        <f>'Team and Player Stats'!P62</f>
        <v>58</v>
      </c>
      <c r="Q47" s="97">
        <f>'Team and Player Stats'!Q62</f>
        <v>32</v>
      </c>
      <c r="R47" s="97">
        <f>'Team and Player Stats'!R62</f>
        <v>83</v>
      </c>
      <c r="S47" s="97">
        <f>'Team and Player Stats'!S62</f>
        <v>23</v>
      </c>
      <c r="T47" s="97">
        <f>'Team and Player Stats'!T62</f>
        <v>163</v>
      </c>
      <c r="U47" s="97">
        <f>'Team and Player Stats'!U62</f>
        <v>31</v>
      </c>
      <c r="V47" s="97">
        <f>'Team and Player Stats'!V62</f>
        <v>6</v>
      </c>
      <c r="W47" s="97">
        <f>'Team and Player Stats'!W62</f>
        <v>1</v>
      </c>
      <c r="X47" s="97">
        <f>'Team and Player Stats'!X62</f>
        <v>0</v>
      </c>
      <c r="Y47" s="97">
        <f>'Team and Player Stats'!Y62</f>
        <v>0</v>
      </c>
      <c r="Z47" s="97">
        <f>'Team and Player Stats'!Z62</f>
        <v>0</v>
      </c>
      <c r="AA47" s="97">
        <f>'Team and Player Stats'!AA62</f>
        <v>0</v>
      </c>
      <c r="AB47" s="97">
        <f>'Team and Player Stats'!AB62</f>
        <v>0</v>
      </c>
      <c r="AC47" s="97">
        <f>'Team and Player Stats'!AC62</f>
        <v>17</v>
      </c>
      <c r="AD47" s="97">
        <f>'Team and Player Stats'!AD62</f>
        <v>0</v>
      </c>
      <c r="AE47" s="97">
        <f>'Team and Player Stats'!AE62</f>
        <v>0</v>
      </c>
      <c r="AF47" s="97">
        <f>'Team and Player Stats'!AF62</f>
        <v>0</v>
      </c>
      <c r="AG47" s="97">
        <f>'Team and Player Stats'!AG62</f>
        <v>0</v>
      </c>
      <c r="AH47" s="97">
        <f>'Team and Player Stats'!AH62</f>
        <v>1</v>
      </c>
    </row>
    <row r="48">
      <c r="A48" t="str">
        <f>'Team and Player Stats'!B63</f>
        <v>TheNastyWithin</v>
      </c>
      <c r="B48" t="str">
        <f>'Team and Player Stats'!A63</f>
        <v>Hypest</v>
      </c>
      <c r="C48">
        <f>'Team and Player Stats'!C63</f>
        <v>0</v>
      </c>
      <c r="D48">
        <f>'Team and Player Stats'!D63</f>
        <v>0</v>
      </c>
      <c r="E48" s="101">
        <f>'Team and Player Stats'!E63</f>
        <v>0</v>
      </c>
      <c r="F48">
        <f>'Team and Player Stats'!F63</f>
        <v>0</v>
      </c>
      <c r="G48">
        <f>'Team and Player Stats'!G63</f>
        <v>0</v>
      </c>
      <c r="H48">
        <f>'Team and Player Stats'!H63</f>
        <v>0</v>
      </c>
      <c r="I48">
        <f>'Team and Player Stats'!I63</f>
        <v>0</v>
      </c>
      <c r="J48">
        <f>'Team and Player Stats'!J63</f>
        <v>0</v>
      </c>
      <c r="K48" s="102" t="str">
        <f>'Team and Player Stats'!K63</f>
        <v>#DIV/0!</v>
      </c>
      <c r="L48" s="101">
        <f>'Team and Player Stats'!L63</f>
        <v>0</v>
      </c>
      <c r="M48">
        <f>'Team and Player Stats'!M63</f>
        <v>0</v>
      </c>
      <c r="N48">
        <f>'Team and Player Stats'!N63</f>
        <v>0</v>
      </c>
      <c r="O48" s="103">
        <f>'Team and Player Stats'!O63</f>
        <v>0</v>
      </c>
      <c r="P48">
        <f>'Team and Player Stats'!P63</f>
        <v>0</v>
      </c>
      <c r="Q48">
        <f>'Team and Player Stats'!Q63</f>
        <v>0</v>
      </c>
      <c r="R48">
        <f>'Team and Player Stats'!R63</f>
        <v>0</v>
      </c>
      <c r="S48">
        <f>'Team and Player Stats'!S63</f>
        <v>0</v>
      </c>
      <c r="T48">
        <f>'Team and Player Stats'!T63</f>
        <v>0</v>
      </c>
      <c r="U48">
        <f>'Team and Player Stats'!U63</f>
        <v>0</v>
      </c>
      <c r="V48">
        <f>'Team and Player Stats'!V63</f>
        <v>0</v>
      </c>
      <c r="W48">
        <f>'Team and Player Stats'!W63</f>
        <v>0</v>
      </c>
      <c r="X48">
        <f>'Team and Player Stats'!X63</f>
        <v>0</v>
      </c>
      <c r="Y48">
        <f>'Team and Player Stats'!Y63</f>
        <v>0</v>
      </c>
      <c r="Z48">
        <f>'Team and Player Stats'!Z63</f>
        <v>0</v>
      </c>
      <c r="AA48">
        <f>'Team and Player Stats'!AA63</f>
        <v>0</v>
      </c>
      <c r="AB48">
        <f>'Team and Player Stats'!AB63</f>
        <v>0</v>
      </c>
      <c r="AC48">
        <f>'Team and Player Stats'!AC63</f>
        <v>0</v>
      </c>
      <c r="AD48">
        <f>'Team and Player Stats'!AD63</f>
        <v>0</v>
      </c>
      <c r="AE48">
        <f>'Team and Player Stats'!AE63</f>
        <v>0</v>
      </c>
      <c r="AF48">
        <f>'Team and Player Stats'!AF63</f>
        <v>0</v>
      </c>
      <c r="AG48">
        <f>'Team and Player Stats'!AG63</f>
        <v>0</v>
      </c>
      <c r="AH48">
        <f>'Team and Player Stats'!AH63</f>
        <v>0</v>
      </c>
    </row>
    <row r="49">
      <c r="A49" s="97" t="str">
        <f>'Team and Player Stats'!B66</f>
        <v>imShad</v>
      </c>
      <c r="B49" s="97" t="str">
        <f>'Team and Player Stats'!A66</f>
        <v>Monstars</v>
      </c>
      <c r="C49" s="97">
        <f>'Team and Player Stats'!C66</f>
        <v>20</v>
      </c>
      <c r="D49" s="97">
        <f>'Team and Player Stats'!D66</f>
        <v>16</v>
      </c>
      <c r="E49" s="98">
        <f>'Team and Player Stats'!E66</f>
        <v>380.1166667</v>
      </c>
      <c r="F49" s="97">
        <f>'Team and Player Stats'!F66</f>
        <v>6</v>
      </c>
      <c r="G49" s="97">
        <f>'Team and Player Stats'!G66</f>
        <v>1681</v>
      </c>
      <c r="H49" s="97">
        <f>'Team and Player Stats'!H66</f>
        <v>13</v>
      </c>
      <c r="I49" s="97">
        <f>'Team and Player Stats'!I66</f>
        <v>1253</v>
      </c>
      <c r="J49" s="97">
        <f>'Team and Player Stats'!J66</f>
        <v>428</v>
      </c>
      <c r="K49" s="99">
        <f>'Team and Player Stats'!K66</f>
        <v>1.341580208</v>
      </c>
      <c r="L49" s="98">
        <f>'Team and Player Stats'!L66</f>
        <v>306</v>
      </c>
      <c r="M49" s="97">
        <f>'Team and Player Stats'!M66</f>
        <v>2321</v>
      </c>
      <c r="N49" s="97">
        <f>'Team and Player Stats'!N66</f>
        <v>17</v>
      </c>
      <c r="O49" s="100">
        <f>'Team and Player Stats'!O66</f>
        <v>345.1166667</v>
      </c>
      <c r="P49" s="97">
        <f>'Team and Player Stats'!P66</f>
        <v>52</v>
      </c>
      <c r="Q49" s="97">
        <f>'Team and Player Stats'!Q66</f>
        <v>13</v>
      </c>
      <c r="R49" s="97">
        <f>'Team and Player Stats'!R66</f>
        <v>174</v>
      </c>
      <c r="S49" s="97">
        <f>'Team and Player Stats'!S66</f>
        <v>24</v>
      </c>
      <c r="T49" s="97">
        <f>'Team and Player Stats'!T66</f>
        <v>251</v>
      </c>
      <c r="U49" s="97">
        <f>'Team and Player Stats'!U66</f>
        <v>60</v>
      </c>
      <c r="V49" s="97">
        <f>'Team and Player Stats'!V66</f>
        <v>26</v>
      </c>
      <c r="W49" s="97">
        <f>'Team and Player Stats'!W66</f>
        <v>16</v>
      </c>
      <c r="X49" s="97">
        <f>'Team and Player Stats'!X66</f>
        <v>3</v>
      </c>
      <c r="Y49" s="97">
        <f>'Team and Player Stats'!Y66</f>
        <v>1</v>
      </c>
      <c r="Z49" s="97">
        <f>'Team and Player Stats'!Z66</f>
        <v>0</v>
      </c>
      <c r="AA49" s="97">
        <f>'Team and Player Stats'!AA66</f>
        <v>0</v>
      </c>
      <c r="AB49" s="97">
        <f>'Team and Player Stats'!AB66</f>
        <v>0</v>
      </c>
      <c r="AC49" s="97">
        <f>'Team and Player Stats'!AC66</f>
        <v>57</v>
      </c>
      <c r="AD49" s="97">
        <f>'Team and Player Stats'!AD66</f>
        <v>2</v>
      </c>
      <c r="AE49" s="97">
        <f>'Team and Player Stats'!AE66</f>
        <v>0</v>
      </c>
      <c r="AF49" s="97">
        <f>'Team and Player Stats'!AF66</f>
        <v>0</v>
      </c>
      <c r="AG49" s="97">
        <f>'Team and Player Stats'!AG66</f>
        <v>2</v>
      </c>
      <c r="AH49" s="97">
        <f>'Team and Player Stats'!AH66</f>
        <v>0</v>
      </c>
    </row>
    <row r="50">
      <c r="A50" t="str">
        <f>'Team and Player Stats'!B67</f>
        <v>ActiveHate</v>
      </c>
      <c r="B50" t="str">
        <f>'Team and Player Stats'!A67</f>
        <v>Monstars</v>
      </c>
      <c r="C50">
        <f>'Team and Player Stats'!C67</f>
        <v>20</v>
      </c>
      <c r="D50">
        <f>'Team and Player Stats'!D67</f>
        <v>16</v>
      </c>
      <c r="E50" s="101">
        <f>'Team and Player Stats'!E67</f>
        <v>375.1</v>
      </c>
      <c r="F50">
        <f>'Team and Player Stats'!F67</f>
        <v>2</v>
      </c>
      <c r="G50">
        <f>'Team and Player Stats'!G67</f>
        <v>1693</v>
      </c>
      <c r="H50">
        <f>'Team and Player Stats'!H67</f>
        <v>6</v>
      </c>
      <c r="I50">
        <f>'Team and Player Stats'!I67</f>
        <v>1557</v>
      </c>
      <c r="J50">
        <f>'Team and Player Stats'!J67</f>
        <v>136</v>
      </c>
      <c r="K50" s="102">
        <f>'Team and Player Stats'!K67</f>
        <v>1.087347463</v>
      </c>
      <c r="L50" s="101">
        <f>'Team and Player Stats'!L67</f>
        <v>234</v>
      </c>
      <c r="M50">
        <f>'Team and Player Stats'!M67</f>
        <v>2277</v>
      </c>
      <c r="N50">
        <f>'Team and Player Stats'!N67</f>
        <v>17</v>
      </c>
      <c r="O50" s="103">
        <f>'Team and Player Stats'!O67</f>
        <v>340.1</v>
      </c>
      <c r="P50">
        <f>'Team and Player Stats'!P67</f>
        <v>27</v>
      </c>
      <c r="Q50">
        <f>'Team and Player Stats'!Q67</f>
        <v>6</v>
      </c>
      <c r="R50">
        <f>'Team and Player Stats'!R67</f>
        <v>151</v>
      </c>
      <c r="S50">
        <f>'Team and Player Stats'!S67</f>
        <v>22</v>
      </c>
      <c r="T50">
        <f>'Team and Player Stats'!T67</f>
        <v>279</v>
      </c>
      <c r="U50">
        <f>'Team and Player Stats'!U67</f>
        <v>68</v>
      </c>
      <c r="V50">
        <f>'Team and Player Stats'!V67</f>
        <v>24</v>
      </c>
      <c r="W50">
        <f>'Team and Player Stats'!W67</f>
        <v>10</v>
      </c>
      <c r="X50">
        <f>'Team and Player Stats'!X67</f>
        <v>5</v>
      </c>
      <c r="Y50">
        <f>'Team and Player Stats'!Y67</f>
        <v>1</v>
      </c>
      <c r="Z50">
        <f>'Team and Player Stats'!Z67</f>
        <v>0</v>
      </c>
      <c r="AA50">
        <f>'Team and Player Stats'!AA67</f>
        <v>0</v>
      </c>
      <c r="AB50">
        <f>'Team and Player Stats'!AB67</f>
        <v>0</v>
      </c>
      <c r="AC50">
        <f>'Team and Player Stats'!AC67</f>
        <v>37</v>
      </c>
      <c r="AD50">
        <f>'Team and Player Stats'!AD67</f>
        <v>1</v>
      </c>
      <c r="AE50">
        <f>'Team and Player Stats'!AE67</f>
        <v>0</v>
      </c>
      <c r="AF50">
        <f>'Team and Player Stats'!AF67</f>
        <v>0</v>
      </c>
      <c r="AG50">
        <f>'Team and Player Stats'!AG67</f>
        <v>0</v>
      </c>
      <c r="AH50">
        <f>'Team and Player Stats'!AH67</f>
        <v>0</v>
      </c>
    </row>
    <row r="51">
      <c r="A51" s="97" t="str">
        <f>'Team and Player Stats'!B68</f>
        <v>Liion Wiins</v>
      </c>
      <c r="B51" s="97" t="str">
        <f>'Team and Player Stats'!A68</f>
        <v>Monstars</v>
      </c>
      <c r="C51" s="97">
        <f>'Team and Player Stats'!C68</f>
        <v>20</v>
      </c>
      <c r="D51" s="97">
        <f>'Team and Player Stats'!D68</f>
        <v>16</v>
      </c>
      <c r="E51" s="98">
        <f>'Team and Player Stats'!E68</f>
        <v>378.4333333</v>
      </c>
      <c r="F51" s="97">
        <f>'Team and Player Stats'!F68</f>
        <v>3</v>
      </c>
      <c r="G51" s="97">
        <f>'Team and Player Stats'!G68</f>
        <v>1312</v>
      </c>
      <c r="H51" s="97">
        <f>'Team and Player Stats'!H68</f>
        <v>7</v>
      </c>
      <c r="I51" s="97">
        <f>'Team and Player Stats'!I68</f>
        <v>1418</v>
      </c>
      <c r="J51" s="97">
        <f>'Team and Player Stats'!J68</f>
        <v>-106</v>
      </c>
      <c r="K51" s="99">
        <f>'Team and Player Stats'!K68</f>
        <v>0.9252468265</v>
      </c>
      <c r="L51" s="98">
        <f>'Team and Player Stats'!L68</f>
        <v>264</v>
      </c>
      <c r="M51" s="97">
        <f>'Team and Player Stats'!M68</f>
        <v>1613</v>
      </c>
      <c r="N51" s="97">
        <f>'Team and Player Stats'!N68</f>
        <v>17</v>
      </c>
      <c r="O51" s="100">
        <f>'Team and Player Stats'!O68</f>
        <v>343.4333333</v>
      </c>
      <c r="P51" s="97">
        <f>'Team and Player Stats'!P68</f>
        <v>36</v>
      </c>
      <c r="Q51" s="97">
        <f>'Team and Player Stats'!Q68</f>
        <v>14</v>
      </c>
      <c r="R51" s="97">
        <f>'Team and Player Stats'!R68</f>
        <v>71</v>
      </c>
      <c r="S51" s="97">
        <f>'Team and Player Stats'!S68</f>
        <v>20</v>
      </c>
      <c r="T51" s="97">
        <f>'Team and Player Stats'!T68</f>
        <v>183</v>
      </c>
      <c r="U51" s="97">
        <f>'Team and Player Stats'!U68</f>
        <v>40</v>
      </c>
      <c r="V51" s="97">
        <f>'Team and Player Stats'!V68</f>
        <v>7</v>
      </c>
      <c r="W51" s="97">
        <f>'Team and Player Stats'!W68</f>
        <v>3</v>
      </c>
      <c r="X51" s="97">
        <f>'Team and Player Stats'!X68</f>
        <v>0</v>
      </c>
      <c r="Y51" s="97">
        <f>'Team and Player Stats'!Y68</f>
        <v>0</v>
      </c>
      <c r="Z51" s="97">
        <f>'Team and Player Stats'!Z68</f>
        <v>0</v>
      </c>
      <c r="AA51" s="97">
        <f>'Team and Player Stats'!AA68</f>
        <v>0</v>
      </c>
      <c r="AB51" s="97">
        <f>'Team and Player Stats'!AB68</f>
        <v>0</v>
      </c>
      <c r="AC51" s="97">
        <f>'Team and Player Stats'!AC68</f>
        <v>16</v>
      </c>
      <c r="AD51" s="97">
        <f>'Team and Player Stats'!AD68</f>
        <v>0</v>
      </c>
      <c r="AE51" s="97">
        <f>'Team and Player Stats'!AE68</f>
        <v>0</v>
      </c>
      <c r="AF51" s="97">
        <f>'Team and Player Stats'!AF68</f>
        <v>0</v>
      </c>
      <c r="AG51" s="97">
        <f>'Team and Player Stats'!AG68</f>
        <v>1</v>
      </c>
      <c r="AH51" s="97">
        <f>'Team and Player Stats'!AH68</f>
        <v>0</v>
      </c>
    </row>
    <row r="52">
      <c r="A52" t="str">
        <f>'Team and Player Stats'!B69</f>
        <v>TITAN MAN 23</v>
      </c>
      <c r="B52" t="str">
        <f>'Team and Player Stats'!A69</f>
        <v>Monstars</v>
      </c>
      <c r="C52">
        <f>'Team and Player Stats'!C69</f>
        <v>20</v>
      </c>
      <c r="D52">
        <f>'Team and Player Stats'!D69</f>
        <v>16</v>
      </c>
      <c r="E52" s="101">
        <f>'Team and Player Stats'!E69</f>
        <v>390.5333333</v>
      </c>
      <c r="F52">
        <f>'Team and Player Stats'!F69</f>
        <v>79</v>
      </c>
      <c r="G52">
        <f>'Team and Player Stats'!G69</f>
        <v>789</v>
      </c>
      <c r="H52">
        <f>'Team and Player Stats'!H69</f>
        <v>8</v>
      </c>
      <c r="I52">
        <f>'Team and Player Stats'!I69</f>
        <v>977</v>
      </c>
      <c r="J52">
        <f>'Team and Player Stats'!J69</f>
        <v>-188</v>
      </c>
      <c r="K52" s="102">
        <f>'Team and Player Stats'!K69</f>
        <v>0.8075742068</v>
      </c>
      <c r="L52" s="101">
        <f>'Team and Player Stats'!L69</f>
        <v>423</v>
      </c>
      <c r="M52">
        <f>'Team and Player Stats'!M69</f>
        <v>1074</v>
      </c>
      <c r="N52">
        <f>'Team and Player Stats'!N69</f>
        <v>17</v>
      </c>
      <c r="O52" s="103">
        <f>'Team and Player Stats'!O69</f>
        <v>355.5333333</v>
      </c>
      <c r="P52">
        <f>'Team and Player Stats'!P69</f>
        <v>54</v>
      </c>
      <c r="Q52">
        <f>'Team and Player Stats'!Q69</f>
        <v>11</v>
      </c>
      <c r="R52">
        <f>'Team and Player Stats'!R69</f>
        <v>12</v>
      </c>
      <c r="S52">
        <f>'Team and Player Stats'!S69</f>
        <v>13</v>
      </c>
      <c r="T52">
        <f>'Team and Player Stats'!T69</f>
        <v>99</v>
      </c>
      <c r="U52">
        <f>'Team and Player Stats'!U69</f>
        <v>15</v>
      </c>
      <c r="V52">
        <f>'Team and Player Stats'!V69</f>
        <v>1</v>
      </c>
      <c r="W52">
        <f>'Team and Player Stats'!W69</f>
        <v>0</v>
      </c>
      <c r="X52">
        <f>'Team and Player Stats'!X69</f>
        <v>0</v>
      </c>
      <c r="Y52">
        <f>'Team and Player Stats'!Y69</f>
        <v>0</v>
      </c>
      <c r="Z52">
        <f>'Team and Player Stats'!Z69</f>
        <v>0</v>
      </c>
      <c r="AA52">
        <f>'Team and Player Stats'!AA69</f>
        <v>0</v>
      </c>
      <c r="AB52">
        <f>'Team and Player Stats'!AB69</f>
        <v>0</v>
      </c>
      <c r="AC52">
        <f>'Team and Player Stats'!AC69</f>
        <v>8</v>
      </c>
      <c r="AD52">
        <f>'Team and Player Stats'!AD69</f>
        <v>0</v>
      </c>
      <c r="AE52">
        <f>'Team and Player Stats'!AE69</f>
        <v>0</v>
      </c>
      <c r="AF52">
        <f>'Team and Player Stats'!AF69</f>
        <v>0</v>
      </c>
      <c r="AG52">
        <f>'Team and Player Stats'!AG69</f>
        <v>0</v>
      </c>
      <c r="AH52">
        <f>'Team and Player Stats'!AH69</f>
        <v>0</v>
      </c>
    </row>
    <row r="53">
      <c r="A53" s="97" t="str">
        <f>'Team and Player Stats'!B70</f>
        <v>RealSlimSheep</v>
      </c>
      <c r="B53" s="97" t="str">
        <f>'Team and Player Stats'!A70</f>
        <v>Monstars</v>
      </c>
      <c r="C53" s="97">
        <f>'Team and Player Stats'!C70</f>
        <v>0</v>
      </c>
      <c r="D53" s="97">
        <f>'Team and Player Stats'!D70</f>
        <v>0</v>
      </c>
      <c r="E53" s="98">
        <f>'Team and Player Stats'!E70</f>
        <v>0</v>
      </c>
      <c r="F53" s="97">
        <f>'Team and Player Stats'!F70</f>
        <v>0</v>
      </c>
      <c r="G53" s="97">
        <f>'Team and Player Stats'!G70</f>
        <v>0</v>
      </c>
      <c r="H53" s="97">
        <f>'Team and Player Stats'!H70</f>
        <v>0</v>
      </c>
      <c r="I53" s="97">
        <f>'Team and Player Stats'!I70</f>
        <v>0</v>
      </c>
      <c r="J53" s="97">
        <f>'Team and Player Stats'!J70</f>
        <v>0</v>
      </c>
      <c r="K53" s="99" t="str">
        <f>'Team and Player Stats'!K70</f>
        <v>#DIV/0!</v>
      </c>
      <c r="L53" s="98">
        <f>'Team and Player Stats'!L70</f>
        <v>0</v>
      </c>
      <c r="M53" s="97">
        <f>'Team and Player Stats'!M70</f>
        <v>0</v>
      </c>
      <c r="N53" s="97">
        <f>'Team and Player Stats'!N70</f>
        <v>0</v>
      </c>
      <c r="O53" s="100">
        <f>'Team and Player Stats'!O70</f>
        <v>0</v>
      </c>
      <c r="P53" s="97">
        <f>'Team and Player Stats'!P70</f>
        <v>0</v>
      </c>
      <c r="Q53" s="97">
        <f>'Team and Player Stats'!Q70</f>
        <v>0</v>
      </c>
      <c r="R53" s="97">
        <f>'Team and Player Stats'!R70</f>
        <v>0</v>
      </c>
      <c r="S53" s="97">
        <f>'Team and Player Stats'!S70</f>
        <v>0</v>
      </c>
      <c r="T53" s="97">
        <f>'Team and Player Stats'!T70</f>
        <v>0</v>
      </c>
      <c r="U53" s="97">
        <f>'Team and Player Stats'!U70</f>
        <v>0</v>
      </c>
      <c r="V53" s="97">
        <f>'Team and Player Stats'!V70</f>
        <v>0</v>
      </c>
      <c r="W53" s="97">
        <f>'Team and Player Stats'!W70</f>
        <v>0</v>
      </c>
      <c r="X53" s="97">
        <f>'Team and Player Stats'!X70</f>
        <v>0</v>
      </c>
      <c r="Y53" s="97">
        <f>'Team and Player Stats'!Y70</f>
        <v>0</v>
      </c>
      <c r="Z53" s="97">
        <f>'Team and Player Stats'!Z70</f>
        <v>0</v>
      </c>
      <c r="AA53" s="97">
        <f>'Team and Player Stats'!AA70</f>
        <v>0</v>
      </c>
      <c r="AB53" s="97">
        <f>'Team and Player Stats'!AB70</f>
        <v>0</v>
      </c>
      <c r="AC53" s="97">
        <f>'Team and Player Stats'!AC70</f>
        <v>0</v>
      </c>
      <c r="AD53" s="97">
        <f>'Team and Player Stats'!AD70</f>
        <v>0</v>
      </c>
      <c r="AE53" s="97">
        <f>'Team and Player Stats'!AE70</f>
        <v>0</v>
      </c>
      <c r="AF53" s="97">
        <f>'Team and Player Stats'!AF70</f>
        <v>0</v>
      </c>
      <c r="AG53" s="97">
        <f>'Team and Player Stats'!AG70</f>
        <v>0</v>
      </c>
      <c r="AH53" s="97">
        <f>'Team and Player Stats'!AH70</f>
        <v>0</v>
      </c>
    </row>
    <row r="54">
      <c r="A54" t="str">
        <f>'Team and Player Stats'!B73</f>
        <v>Rage More Nerd</v>
      </c>
      <c r="B54" t="str">
        <f>'Team and Player Stats'!A73</f>
        <v>Mediocre at Best</v>
      </c>
      <c r="C54">
        <f>'Team and Player Stats'!C73</f>
        <v>20</v>
      </c>
      <c r="D54">
        <f>'Team and Player Stats'!D73</f>
        <v>10</v>
      </c>
      <c r="E54" s="101">
        <f>'Team and Player Stats'!E73</f>
        <v>395.9333333</v>
      </c>
      <c r="F54">
        <f>'Team and Player Stats'!F73</f>
        <v>6</v>
      </c>
      <c r="G54">
        <f>'Team and Player Stats'!G73</f>
        <v>1749</v>
      </c>
      <c r="H54">
        <f>'Team and Player Stats'!H73</f>
        <v>9</v>
      </c>
      <c r="I54">
        <f>'Team and Player Stats'!I73</f>
        <v>1520</v>
      </c>
      <c r="J54">
        <f>'Team and Player Stats'!J73</f>
        <v>229</v>
      </c>
      <c r="K54" s="102">
        <f>'Team and Player Stats'!K73</f>
        <v>1.150657895</v>
      </c>
      <c r="L54" s="101">
        <f>'Team and Player Stats'!L73</f>
        <v>270</v>
      </c>
      <c r="M54">
        <f>'Team and Player Stats'!M73</f>
        <v>2314</v>
      </c>
      <c r="N54">
        <f>'Team and Player Stats'!N73</f>
        <v>20</v>
      </c>
      <c r="O54" s="103">
        <f>'Team and Player Stats'!O73</f>
        <v>395.9333333</v>
      </c>
      <c r="P54">
        <f>'Team and Player Stats'!P73</f>
        <v>67</v>
      </c>
      <c r="Q54">
        <f>'Team and Player Stats'!Q73</f>
        <v>29</v>
      </c>
      <c r="R54">
        <f>'Team and Player Stats'!R73</f>
        <v>137</v>
      </c>
      <c r="S54">
        <f>'Team and Player Stats'!S73</f>
        <v>41</v>
      </c>
      <c r="T54">
        <f>'Team and Player Stats'!T73</f>
        <v>278</v>
      </c>
      <c r="U54">
        <f>'Team and Player Stats'!U73</f>
        <v>52</v>
      </c>
      <c r="V54">
        <f>'Team and Player Stats'!V73</f>
        <v>16</v>
      </c>
      <c r="W54">
        <f>'Team and Player Stats'!W73</f>
        <v>5</v>
      </c>
      <c r="X54">
        <f>'Team and Player Stats'!X73</f>
        <v>1</v>
      </c>
      <c r="Y54">
        <f>'Team and Player Stats'!Y73</f>
        <v>0</v>
      </c>
      <c r="Z54">
        <f>'Team and Player Stats'!Z73</f>
        <v>0</v>
      </c>
      <c r="AA54">
        <f>'Team and Player Stats'!AA73</f>
        <v>0</v>
      </c>
      <c r="AB54">
        <f>'Team and Player Stats'!AB73</f>
        <v>0</v>
      </c>
      <c r="AC54">
        <f>'Team and Player Stats'!AC73</f>
        <v>47</v>
      </c>
      <c r="AD54">
        <f>'Team and Player Stats'!AD73</f>
        <v>0</v>
      </c>
      <c r="AE54">
        <f>'Team and Player Stats'!AE73</f>
        <v>0</v>
      </c>
      <c r="AF54">
        <f>'Team and Player Stats'!AF73</f>
        <v>0</v>
      </c>
      <c r="AG54">
        <f>'Team and Player Stats'!AG73</f>
        <v>2</v>
      </c>
      <c r="AH54">
        <f>'Team and Player Stats'!AH73</f>
        <v>0</v>
      </c>
    </row>
    <row r="55">
      <c r="A55" s="97" t="str">
        <f>'Team and Player Stats'!B74</f>
        <v>iRobot 9000</v>
      </c>
      <c r="B55" s="97" t="str">
        <f>'Team and Player Stats'!A74</f>
        <v>Mediocre at Best</v>
      </c>
      <c r="C55" s="97">
        <f>'Team and Player Stats'!C74</f>
        <v>20</v>
      </c>
      <c r="D55" s="97">
        <f>'Team and Player Stats'!D74</f>
        <v>10</v>
      </c>
      <c r="E55" s="98">
        <f>'Team and Player Stats'!E74</f>
        <v>397.55</v>
      </c>
      <c r="F55" s="97">
        <f>'Team and Player Stats'!F74</f>
        <v>61</v>
      </c>
      <c r="G55" s="97">
        <f>'Team and Player Stats'!G74</f>
        <v>978</v>
      </c>
      <c r="H55" s="97">
        <f>'Team and Player Stats'!H74</f>
        <v>4</v>
      </c>
      <c r="I55" s="97">
        <f>'Team and Player Stats'!I74</f>
        <v>1157</v>
      </c>
      <c r="J55" s="97">
        <f>'Team and Player Stats'!J74</f>
        <v>-179</v>
      </c>
      <c r="K55" s="99">
        <f>'Team and Player Stats'!K74</f>
        <v>0.8452895419</v>
      </c>
      <c r="L55" s="98">
        <f>'Team and Player Stats'!L74</f>
        <v>404</v>
      </c>
      <c r="M55" s="97">
        <f>'Team and Player Stats'!M74</f>
        <v>1278</v>
      </c>
      <c r="N55" s="97">
        <f>'Team and Player Stats'!N74</f>
        <v>20</v>
      </c>
      <c r="O55" s="100">
        <f>'Team and Player Stats'!O74</f>
        <v>397.55</v>
      </c>
      <c r="P55" s="97">
        <f>'Team and Player Stats'!P74</f>
        <v>69</v>
      </c>
      <c r="Q55" s="97">
        <f>'Team and Player Stats'!Q74</f>
        <v>18</v>
      </c>
      <c r="R55" s="97">
        <f>'Team and Player Stats'!R74</f>
        <v>35</v>
      </c>
      <c r="S55" s="97">
        <f>'Team and Player Stats'!S74</f>
        <v>34</v>
      </c>
      <c r="T55" s="97">
        <f>'Team and Player Stats'!T74</f>
        <v>110</v>
      </c>
      <c r="U55" s="97">
        <f>'Team and Player Stats'!U74</f>
        <v>14</v>
      </c>
      <c r="V55" s="97">
        <f>'Team and Player Stats'!V74</f>
        <v>3</v>
      </c>
      <c r="W55" s="97">
        <f>'Team and Player Stats'!W74</f>
        <v>1</v>
      </c>
      <c r="X55" s="97">
        <f>'Team and Player Stats'!X74</f>
        <v>0</v>
      </c>
      <c r="Y55" s="97">
        <f>'Team and Player Stats'!Y74</f>
        <v>0</v>
      </c>
      <c r="Z55" s="97">
        <f>'Team and Player Stats'!Z74</f>
        <v>0</v>
      </c>
      <c r="AA55" s="97">
        <f>'Team and Player Stats'!AA74</f>
        <v>0</v>
      </c>
      <c r="AB55" s="97">
        <f>'Team and Player Stats'!AB74</f>
        <v>0</v>
      </c>
      <c r="AC55" s="97">
        <f>'Team and Player Stats'!AC74</f>
        <v>13</v>
      </c>
      <c r="AD55" s="97">
        <f>'Team and Player Stats'!AD74</f>
        <v>0</v>
      </c>
      <c r="AE55" s="97">
        <f>'Team and Player Stats'!AE74</f>
        <v>0</v>
      </c>
      <c r="AF55" s="97">
        <f>'Team and Player Stats'!AF74</f>
        <v>0</v>
      </c>
      <c r="AG55" s="97">
        <f>'Team and Player Stats'!AG74</f>
        <v>0</v>
      </c>
      <c r="AH55" s="97">
        <f>'Team and Player Stats'!AH74</f>
        <v>1</v>
      </c>
    </row>
    <row r="56">
      <c r="A56" t="str">
        <f>'Team and Player Stats'!B75</f>
        <v>LiquideNitrogen</v>
      </c>
      <c r="B56" t="str">
        <f>'Team and Player Stats'!A75</f>
        <v>Mediocre at Best</v>
      </c>
      <c r="C56">
        <f>'Team and Player Stats'!C75</f>
        <v>15</v>
      </c>
      <c r="D56">
        <f>'Team and Player Stats'!D75</f>
        <v>8</v>
      </c>
      <c r="E56" s="101">
        <f>'Team and Player Stats'!E75</f>
        <v>296.4</v>
      </c>
      <c r="F56">
        <f>'Team and Player Stats'!F75</f>
        <v>4</v>
      </c>
      <c r="G56">
        <f>'Team and Player Stats'!G75</f>
        <v>1003</v>
      </c>
      <c r="H56">
        <f>'Team and Player Stats'!H75</f>
        <v>1</v>
      </c>
      <c r="I56">
        <f>'Team and Player Stats'!I75</f>
        <v>1196</v>
      </c>
      <c r="J56">
        <f>'Team and Player Stats'!J75</f>
        <v>-193</v>
      </c>
      <c r="K56" s="102">
        <f>'Team and Player Stats'!K75</f>
        <v>0.8386287625</v>
      </c>
      <c r="L56" s="101">
        <f>'Team and Player Stats'!L75</f>
        <v>194</v>
      </c>
      <c r="M56">
        <f>'Team and Player Stats'!M75</f>
        <v>1286</v>
      </c>
      <c r="N56">
        <f>'Team and Player Stats'!N75</f>
        <v>15</v>
      </c>
      <c r="O56" s="103">
        <f>'Team and Player Stats'!O75</f>
        <v>296.4</v>
      </c>
      <c r="P56">
        <f>'Team and Player Stats'!P75</f>
        <v>47</v>
      </c>
      <c r="Q56">
        <f>'Team and Player Stats'!Q75</f>
        <v>20</v>
      </c>
      <c r="R56">
        <f>'Team and Player Stats'!R75</f>
        <v>104</v>
      </c>
      <c r="S56">
        <f>'Team and Player Stats'!S75</f>
        <v>16</v>
      </c>
      <c r="T56">
        <f>'Team and Player Stats'!T75</f>
        <v>131</v>
      </c>
      <c r="U56">
        <f>'Team and Player Stats'!U75</f>
        <v>26</v>
      </c>
      <c r="V56">
        <f>'Team and Player Stats'!V75</f>
        <v>10</v>
      </c>
      <c r="W56">
        <f>'Team and Player Stats'!W75</f>
        <v>6</v>
      </c>
      <c r="X56">
        <f>'Team and Player Stats'!X75</f>
        <v>1</v>
      </c>
      <c r="Y56">
        <f>'Team and Player Stats'!Y75</f>
        <v>1</v>
      </c>
      <c r="Z56">
        <f>'Team and Player Stats'!Z75</f>
        <v>1</v>
      </c>
      <c r="AA56">
        <f>'Team and Player Stats'!AA75</f>
        <v>0</v>
      </c>
      <c r="AB56">
        <f>'Team and Player Stats'!AB75</f>
        <v>0</v>
      </c>
      <c r="AC56">
        <f>'Team and Player Stats'!AC75</f>
        <v>12</v>
      </c>
      <c r="AD56">
        <f>'Team and Player Stats'!AD75</f>
        <v>0</v>
      </c>
      <c r="AE56">
        <f>'Team and Player Stats'!AE75</f>
        <v>0</v>
      </c>
      <c r="AF56">
        <f>'Team and Player Stats'!AF75</f>
        <v>0</v>
      </c>
      <c r="AG56">
        <f>'Team and Player Stats'!AG75</f>
        <v>4</v>
      </c>
      <c r="AH56">
        <f>'Team and Player Stats'!AH75</f>
        <v>0</v>
      </c>
    </row>
    <row r="57">
      <c r="A57" s="97" t="str">
        <f>'Team and Player Stats'!B76</f>
        <v>MsMeowlla</v>
      </c>
      <c r="B57" s="97" t="str">
        <f>'Team and Player Stats'!A76</f>
        <v>Mediocre at Best</v>
      </c>
      <c r="C57" s="97">
        <f>'Team and Player Stats'!C76</f>
        <v>20</v>
      </c>
      <c r="D57" s="97">
        <f>'Team and Player Stats'!D76</f>
        <v>10</v>
      </c>
      <c r="E57" s="98">
        <f>'Team and Player Stats'!E76</f>
        <v>394.5</v>
      </c>
      <c r="F57" s="97">
        <f>'Team and Player Stats'!F76</f>
        <v>3</v>
      </c>
      <c r="G57" s="97">
        <f>'Team and Player Stats'!G76</f>
        <v>1224</v>
      </c>
      <c r="H57" s="97">
        <f>'Team and Player Stats'!H76</f>
        <v>2</v>
      </c>
      <c r="I57" s="97">
        <f>'Team and Player Stats'!I76</f>
        <v>1434</v>
      </c>
      <c r="J57" s="97">
        <f>'Team and Player Stats'!J76</f>
        <v>-210</v>
      </c>
      <c r="K57" s="99">
        <f>'Team and Player Stats'!K76</f>
        <v>0.8535564854</v>
      </c>
      <c r="L57" s="98">
        <f>'Team and Player Stats'!L76</f>
        <v>295</v>
      </c>
      <c r="M57" s="97">
        <f>'Team and Player Stats'!M76</f>
        <v>1522</v>
      </c>
      <c r="N57" s="97">
        <f>'Team and Player Stats'!N76</f>
        <v>20</v>
      </c>
      <c r="O57" s="100">
        <f>'Team and Player Stats'!O76</f>
        <v>394.5</v>
      </c>
      <c r="P57" s="97">
        <f>'Team and Player Stats'!P76</f>
        <v>30</v>
      </c>
      <c r="Q57" s="97">
        <f>'Team and Player Stats'!Q76</f>
        <v>28</v>
      </c>
      <c r="R57" s="97">
        <f>'Team and Player Stats'!R76</f>
        <v>73</v>
      </c>
      <c r="S57" s="97">
        <f>'Team and Player Stats'!S76</f>
        <v>32</v>
      </c>
      <c r="T57" s="97">
        <f>'Team and Player Stats'!T76</f>
        <v>152</v>
      </c>
      <c r="U57" s="97">
        <f>'Team and Player Stats'!U76</f>
        <v>32</v>
      </c>
      <c r="V57" s="97">
        <f>'Team and Player Stats'!V76</f>
        <v>6</v>
      </c>
      <c r="W57" s="97">
        <f>'Team and Player Stats'!W76</f>
        <v>2</v>
      </c>
      <c r="X57" s="97">
        <f>'Team and Player Stats'!X76</f>
        <v>0</v>
      </c>
      <c r="Y57" s="97">
        <f>'Team and Player Stats'!Y76</f>
        <v>0</v>
      </c>
      <c r="Z57" s="97">
        <f>'Team and Player Stats'!Z76</f>
        <v>0</v>
      </c>
      <c r="AA57" s="97">
        <f>'Team and Player Stats'!AA76</f>
        <v>0</v>
      </c>
      <c r="AB57" s="97">
        <f>'Team and Player Stats'!AB76</f>
        <v>0</v>
      </c>
      <c r="AC57" s="97">
        <f>'Team and Player Stats'!AC76</f>
        <v>20</v>
      </c>
      <c r="AD57" s="97">
        <f>'Team and Player Stats'!AD76</f>
        <v>1</v>
      </c>
      <c r="AE57" s="97">
        <f>'Team and Player Stats'!AE76</f>
        <v>0</v>
      </c>
      <c r="AF57" s="97">
        <f>'Team and Player Stats'!AF76</f>
        <v>0</v>
      </c>
      <c r="AG57" s="97">
        <f>'Team and Player Stats'!AG76</f>
        <v>1</v>
      </c>
      <c r="AH57" s="97">
        <f>'Team and Player Stats'!AH76</f>
        <v>0</v>
      </c>
    </row>
    <row r="58">
      <c r="A58" t="str">
        <f>'Team and Player Stats'!B77</f>
        <v>MachinimistLuke</v>
      </c>
      <c r="B58" t="str">
        <f>'Team and Player Stats'!A77</f>
        <v>Mediocre at Best</v>
      </c>
      <c r="C58">
        <f>'Team and Player Stats'!C77</f>
        <v>1</v>
      </c>
      <c r="D58">
        <f>'Team and Player Stats'!D77</f>
        <v>0</v>
      </c>
      <c r="E58" s="101">
        <f>'Team and Player Stats'!E77</f>
        <v>33</v>
      </c>
      <c r="F58">
        <f>'Team and Player Stats'!F77</f>
        <v>1</v>
      </c>
      <c r="G58">
        <f>'Team and Player Stats'!G77</f>
        <v>56</v>
      </c>
      <c r="H58">
        <f>'Team and Player Stats'!H77</f>
        <v>1</v>
      </c>
      <c r="I58">
        <f>'Team and Player Stats'!I77</f>
        <v>112</v>
      </c>
      <c r="J58">
        <f>'Team and Player Stats'!J77</f>
        <v>-56</v>
      </c>
      <c r="K58" s="102">
        <f>'Team and Player Stats'!K77</f>
        <v>0.5</v>
      </c>
      <c r="L58" s="101">
        <f>'Team and Player Stats'!L77</f>
        <v>14</v>
      </c>
      <c r="M58">
        <f>'Team and Player Stats'!M77</f>
        <v>68</v>
      </c>
      <c r="N58">
        <f>'Team and Player Stats'!N77</f>
        <v>1</v>
      </c>
      <c r="O58" s="103">
        <f>'Team and Player Stats'!O77</f>
        <v>33</v>
      </c>
      <c r="P58">
        <f>'Team and Player Stats'!P77</f>
        <v>4</v>
      </c>
      <c r="Q58">
        <f>'Team and Player Stats'!Q77</f>
        <v>1</v>
      </c>
      <c r="R58">
        <f>'Team and Player Stats'!R77</f>
        <v>1</v>
      </c>
      <c r="S58">
        <f>'Team and Player Stats'!S77</f>
        <v>0</v>
      </c>
      <c r="T58">
        <f>'Team and Player Stats'!T77</f>
        <v>5</v>
      </c>
      <c r="U58">
        <f>'Team and Player Stats'!U77</f>
        <v>1</v>
      </c>
      <c r="V58">
        <f>'Team and Player Stats'!V77</f>
        <v>0</v>
      </c>
      <c r="W58">
        <f>'Team and Player Stats'!W77</f>
        <v>0</v>
      </c>
      <c r="X58">
        <f>'Team and Player Stats'!X77</f>
        <v>0</v>
      </c>
      <c r="Y58">
        <f>'Team and Player Stats'!Y77</f>
        <v>0</v>
      </c>
      <c r="Z58">
        <f>'Team and Player Stats'!Z77</f>
        <v>0</v>
      </c>
      <c r="AA58">
        <f>'Team and Player Stats'!AA77</f>
        <v>0</v>
      </c>
      <c r="AB58">
        <f>'Team and Player Stats'!AB77</f>
        <v>0</v>
      </c>
      <c r="AC58">
        <f>'Team and Player Stats'!AC77</f>
        <v>0</v>
      </c>
      <c r="AD58">
        <f>'Team and Player Stats'!AD77</f>
        <v>0</v>
      </c>
      <c r="AE58">
        <f>'Team and Player Stats'!AE77</f>
        <v>0</v>
      </c>
      <c r="AF58">
        <f>'Team and Player Stats'!AF77</f>
        <v>0</v>
      </c>
      <c r="AG58">
        <f>'Team and Player Stats'!AG77</f>
        <v>0</v>
      </c>
      <c r="AH58">
        <f>'Team and Player Stats'!AH77</f>
        <v>0</v>
      </c>
    </row>
    <row r="59">
      <c r="A59" s="97"/>
      <c r="B59" s="97"/>
      <c r="C59" s="97"/>
      <c r="D59" s="97"/>
      <c r="E59" s="98"/>
      <c r="F59" s="100"/>
      <c r="G59" s="100"/>
      <c r="H59" s="100"/>
      <c r="I59" s="100"/>
      <c r="J59" s="100"/>
      <c r="K59" s="99"/>
      <c r="L59" s="98"/>
      <c r="M59" s="100"/>
      <c r="N59" s="9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</row>
    <row r="60">
      <c r="E60" s="101"/>
      <c r="F60" s="103"/>
      <c r="G60" s="103"/>
      <c r="H60" s="103"/>
      <c r="I60" s="103"/>
      <c r="J60" s="103"/>
      <c r="K60" s="102"/>
      <c r="L60" s="101"/>
      <c r="M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</row>
    <row r="61">
      <c r="A61" s="97"/>
      <c r="B61" s="97"/>
      <c r="C61" s="97"/>
      <c r="D61" s="97"/>
      <c r="E61" s="98"/>
      <c r="F61" s="100"/>
      <c r="G61" s="100"/>
      <c r="H61" s="100"/>
      <c r="I61" s="100"/>
      <c r="J61" s="100"/>
      <c r="K61" s="99"/>
      <c r="L61" s="98"/>
      <c r="M61" s="100"/>
      <c r="N61" s="97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</row>
    <row r="62">
      <c r="E62" s="101"/>
      <c r="F62" s="103"/>
      <c r="G62" s="103"/>
      <c r="H62" s="103"/>
      <c r="I62" s="103"/>
      <c r="J62" s="103"/>
      <c r="K62" s="102"/>
      <c r="L62" s="101"/>
      <c r="M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</row>
    <row r="63">
      <c r="A63" s="97"/>
      <c r="B63" s="97"/>
      <c r="C63" s="97"/>
      <c r="D63" s="97"/>
      <c r="E63" s="98"/>
      <c r="F63" s="100"/>
      <c r="G63" s="100"/>
      <c r="H63" s="100"/>
      <c r="I63" s="100"/>
      <c r="J63" s="100"/>
      <c r="K63" s="99"/>
      <c r="L63" s="98"/>
      <c r="M63" s="100"/>
      <c r="N63" s="9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</row>
    <row r="64">
      <c r="E64" s="101"/>
      <c r="F64" s="103"/>
      <c r="G64" s="103"/>
      <c r="H64" s="103"/>
      <c r="I64" s="103"/>
      <c r="J64" s="103"/>
      <c r="K64" s="102"/>
      <c r="L64" s="101"/>
      <c r="M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</row>
    <row r="65">
      <c r="A65" s="97"/>
      <c r="B65" s="97"/>
      <c r="C65" s="97"/>
      <c r="D65" s="97"/>
      <c r="E65" s="98"/>
      <c r="F65" s="100"/>
      <c r="G65" s="100"/>
      <c r="H65" s="100"/>
      <c r="I65" s="100"/>
      <c r="J65" s="100"/>
      <c r="K65" s="99"/>
      <c r="L65" s="98"/>
      <c r="M65" s="100"/>
      <c r="N65" s="9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</row>
    <row r="66">
      <c r="E66" s="101"/>
      <c r="F66" s="103"/>
      <c r="G66" s="103"/>
      <c r="H66" s="103"/>
      <c r="I66" s="103"/>
      <c r="J66" s="103"/>
      <c r="K66" s="102"/>
      <c r="L66" s="101"/>
      <c r="M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</row>
    <row r="67">
      <c r="A67" s="97"/>
      <c r="B67" s="97"/>
      <c r="C67" s="97"/>
      <c r="D67" s="97"/>
      <c r="E67" s="98"/>
      <c r="F67" s="100"/>
      <c r="G67" s="100"/>
      <c r="H67" s="100"/>
      <c r="I67" s="100"/>
      <c r="J67" s="100"/>
      <c r="K67" s="99"/>
      <c r="L67" s="98"/>
      <c r="M67" s="100"/>
      <c r="N67" s="97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</row>
    <row r="68">
      <c r="E68" s="101"/>
      <c r="F68" s="103"/>
      <c r="G68" s="103"/>
      <c r="H68" s="103"/>
      <c r="I68" s="103"/>
      <c r="J68" s="103"/>
      <c r="K68" s="102"/>
      <c r="L68" s="101"/>
      <c r="M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</row>
    <row r="69">
      <c r="A69" s="97"/>
      <c r="B69" s="97"/>
      <c r="C69" s="97"/>
      <c r="D69" s="97"/>
      <c r="E69" s="98"/>
      <c r="F69" s="100"/>
      <c r="G69" s="100"/>
      <c r="H69" s="100"/>
      <c r="I69" s="100"/>
      <c r="J69" s="100"/>
      <c r="K69" s="99"/>
      <c r="L69" s="98"/>
      <c r="M69" s="100"/>
      <c r="N69" s="97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</row>
    <row r="70">
      <c r="E70" s="101"/>
      <c r="F70" s="103"/>
      <c r="G70" s="103"/>
      <c r="H70" s="103"/>
      <c r="I70" s="103"/>
      <c r="J70" s="103"/>
      <c r="K70" s="102"/>
      <c r="L70" s="101"/>
      <c r="M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</row>
    <row r="71">
      <c r="A71" s="97"/>
      <c r="B71" s="97"/>
      <c r="C71" s="97"/>
      <c r="D71" s="97"/>
      <c r="E71" s="98"/>
      <c r="F71" s="100"/>
      <c r="G71" s="100"/>
      <c r="H71" s="100"/>
      <c r="I71" s="100"/>
      <c r="J71" s="100"/>
      <c r="K71" s="99"/>
      <c r="L71" s="98"/>
      <c r="M71" s="100"/>
      <c r="N71" s="97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</row>
    <row r="72">
      <c r="E72" s="101"/>
      <c r="F72" s="103"/>
      <c r="G72" s="103"/>
      <c r="H72" s="103"/>
      <c r="I72" s="103"/>
      <c r="J72" s="103"/>
      <c r="K72" s="102"/>
      <c r="L72" s="101"/>
      <c r="M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</row>
    <row r="73">
      <c r="A73" s="97"/>
      <c r="B73" s="97"/>
      <c r="C73" s="97"/>
      <c r="D73" s="97"/>
      <c r="E73" s="98"/>
      <c r="F73" s="100"/>
      <c r="G73" s="100"/>
      <c r="H73" s="100"/>
      <c r="I73" s="100"/>
      <c r="J73" s="100"/>
      <c r="K73" s="99"/>
      <c r="L73" s="98"/>
      <c r="M73" s="100"/>
      <c r="N73" s="97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</row>
    <row r="74">
      <c r="E74" s="101"/>
      <c r="F74" s="103"/>
      <c r="G74" s="103"/>
      <c r="H74" s="103"/>
      <c r="I74" s="103"/>
      <c r="J74" s="103"/>
      <c r="K74" s="102"/>
      <c r="L74" s="101"/>
      <c r="M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</row>
    <row r="75">
      <c r="A75" s="97"/>
      <c r="B75" s="97"/>
      <c r="C75" s="97"/>
      <c r="D75" s="97"/>
      <c r="E75" s="98"/>
      <c r="F75" s="100"/>
      <c r="G75" s="100"/>
      <c r="H75" s="100"/>
      <c r="I75" s="100"/>
      <c r="J75" s="100"/>
      <c r="K75" s="99"/>
      <c r="L75" s="98"/>
      <c r="M75" s="100"/>
      <c r="N75" s="97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</row>
    <row r="76">
      <c r="E76" s="101"/>
      <c r="F76" s="103"/>
      <c r="G76" s="103"/>
      <c r="H76" s="103"/>
      <c r="I76" s="103"/>
      <c r="J76" s="103"/>
      <c r="K76" s="102"/>
      <c r="L76" s="101"/>
      <c r="M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</row>
    <row r="77">
      <c r="A77" s="97"/>
      <c r="B77" s="97"/>
      <c r="C77" s="97"/>
      <c r="D77" s="97"/>
      <c r="E77" s="98"/>
      <c r="F77" s="100"/>
      <c r="G77" s="100"/>
      <c r="H77" s="100"/>
      <c r="I77" s="100"/>
      <c r="J77" s="100"/>
      <c r="K77" s="99"/>
      <c r="L77" s="98"/>
      <c r="M77" s="100"/>
      <c r="N77" s="97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</row>
    <row r="78">
      <c r="E78" s="101"/>
      <c r="F78" s="103"/>
      <c r="G78" s="103"/>
      <c r="H78" s="103"/>
      <c r="I78" s="103"/>
      <c r="J78" s="103"/>
      <c r="K78" s="102"/>
      <c r="L78" s="101"/>
      <c r="M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</row>
    <row r="79">
      <c r="A79" s="97"/>
      <c r="B79" s="97"/>
      <c r="C79" s="97"/>
      <c r="D79" s="97"/>
      <c r="E79" s="98"/>
      <c r="F79" s="100"/>
      <c r="G79" s="100"/>
      <c r="H79" s="100"/>
      <c r="I79" s="100"/>
      <c r="J79" s="100"/>
      <c r="K79" s="99"/>
      <c r="L79" s="98"/>
      <c r="M79" s="100"/>
      <c r="N79" s="97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</row>
    <row r="80">
      <c r="E80" s="101"/>
      <c r="F80" s="103"/>
      <c r="G80" s="103"/>
      <c r="H80" s="103"/>
      <c r="I80" s="103"/>
      <c r="J80" s="103"/>
      <c r="K80" s="102"/>
      <c r="L80" s="101"/>
      <c r="M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</row>
    <row r="81">
      <c r="A81" s="97"/>
      <c r="B81" s="97"/>
      <c r="C81" s="97"/>
      <c r="D81" s="97"/>
      <c r="E81" s="98"/>
      <c r="F81" s="100"/>
      <c r="G81" s="100"/>
      <c r="H81" s="100"/>
      <c r="I81" s="100"/>
      <c r="J81" s="100"/>
      <c r="K81" s="99"/>
      <c r="L81" s="98"/>
      <c r="M81" s="100"/>
      <c r="N81" s="97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</row>
    <row r="82">
      <c r="E82" s="101"/>
      <c r="F82" s="103"/>
      <c r="G82" s="103"/>
      <c r="H82" s="103"/>
      <c r="I82" s="103"/>
      <c r="J82" s="103"/>
      <c r="K82" s="102"/>
      <c r="L82" s="101"/>
      <c r="M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</row>
    <row r="83">
      <c r="A83" s="97"/>
      <c r="B83" s="97"/>
      <c r="C83" s="97"/>
      <c r="D83" s="97"/>
      <c r="E83" s="98"/>
      <c r="F83" s="100"/>
      <c r="G83" s="100"/>
      <c r="H83" s="100"/>
      <c r="I83" s="100"/>
      <c r="J83" s="100"/>
      <c r="K83" s="99"/>
      <c r="L83" s="98"/>
      <c r="M83" s="100"/>
      <c r="N83" s="97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</row>
    <row r="84">
      <c r="E84" s="101"/>
      <c r="F84" s="103"/>
      <c r="G84" s="103"/>
      <c r="H84" s="103"/>
      <c r="I84" s="103"/>
      <c r="J84" s="103"/>
      <c r="K84" s="102"/>
      <c r="L84" s="101"/>
      <c r="M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</row>
    <row r="85">
      <c r="A85" s="97"/>
      <c r="B85" s="97"/>
      <c r="C85" s="97"/>
      <c r="D85" s="97"/>
      <c r="E85" s="98"/>
      <c r="F85" s="100"/>
      <c r="G85" s="100"/>
      <c r="H85" s="100"/>
      <c r="I85" s="100"/>
      <c r="J85" s="100"/>
      <c r="K85" s="99"/>
      <c r="L85" s="98"/>
      <c r="M85" s="100"/>
      <c r="N85" s="97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</row>
    <row r="86">
      <c r="E86" s="101"/>
      <c r="F86" s="103"/>
      <c r="G86" s="103"/>
      <c r="H86" s="103"/>
      <c r="I86" s="103"/>
      <c r="J86" s="103"/>
      <c r="K86" s="102"/>
      <c r="L86" s="101"/>
      <c r="M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</row>
    <row r="87">
      <c r="A87" s="97"/>
      <c r="B87" s="97"/>
      <c r="C87" s="97"/>
      <c r="D87" s="97"/>
      <c r="E87" s="98"/>
      <c r="F87" s="100"/>
      <c r="G87" s="100"/>
      <c r="H87" s="100"/>
      <c r="I87" s="100"/>
      <c r="J87" s="100"/>
      <c r="K87" s="99"/>
      <c r="L87" s="98"/>
      <c r="M87" s="100"/>
      <c r="N87" s="97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>
      <c r="E88" s="101"/>
      <c r="F88" s="103"/>
      <c r="G88" s="103"/>
      <c r="H88" s="103"/>
      <c r="I88" s="103"/>
      <c r="J88" s="103"/>
      <c r="K88" s="102"/>
      <c r="L88" s="101"/>
      <c r="M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</row>
    <row r="89">
      <c r="A89" s="97"/>
      <c r="B89" s="97"/>
      <c r="C89" s="97"/>
      <c r="D89" s="97"/>
      <c r="E89" s="98"/>
      <c r="F89" s="100"/>
      <c r="G89" s="100"/>
      <c r="H89" s="100"/>
      <c r="I89" s="100"/>
      <c r="J89" s="100"/>
      <c r="K89" s="99"/>
      <c r="L89" s="98"/>
      <c r="M89" s="100"/>
      <c r="N89" s="97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>
      <c r="E90" s="101"/>
      <c r="F90" s="103"/>
      <c r="G90" s="103"/>
      <c r="H90" s="103"/>
      <c r="I90" s="103"/>
      <c r="J90" s="103"/>
      <c r="K90" s="102"/>
      <c r="L90" s="101"/>
      <c r="M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</row>
    <row r="91">
      <c r="A91" s="97"/>
      <c r="B91" s="97"/>
      <c r="C91" s="97"/>
      <c r="D91" s="97"/>
      <c r="E91" s="98"/>
      <c r="F91" s="100"/>
      <c r="G91" s="100"/>
      <c r="H91" s="100"/>
      <c r="I91" s="100"/>
      <c r="J91" s="100"/>
      <c r="K91" s="99"/>
      <c r="L91" s="98"/>
      <c r="M91" s="100"/>
      <c r="N91" s="97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>
      <c r="E92" s="101"/>
      <c r="F92" s="103"/>
      <c r="G92" s="103"/>
      <c r="H92" s="103"/>
      <c r="I92" s="103"/>
      <c r="J92" s="103"/>
      <c r="K92" s="102"/>
      <c r="L92" s="101"/>
      <c r="M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</row>
    <row r="93">
      <c r="A93" s="97"/>
      <c r="B93" s="97"/>
      <c r="C93" s="97"/>
      <c r="D93" s="97"/>
      <c r="E93" s="98"/>
      <c r="F93" s="100"/>
      <c r="G93" s="100"/>
      <c r="H93" s="100"/>
      <c r="I93" s="100"/>
      <c r="J93" s="100"/>
      <c r="K93" s="99"/>
      <c r="L93" s="98"/>
      <c r="M93" s="100"/>
      <c r="N93" s="97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>
      <c r="E94" s="101"/>
      <c r="F94" s="103"/>
      <c r="G94" s="103"/>
      <c r="H94" s="103"/>
      <c r="I94" s="103"/>
      <c r="J94" s="103"/>
      <c r="K94" s="102"/>
      <c r="L94" s="101"/>
      <c r="M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</row>
    <row r="95">
      <c r="A95" s="97"/>
      <c r="B95" s="97"/>
      <c r="C95" s="97"/>
      <c r="D95" s="97"/>
      <c r="E95" s="98"/>
      <c r="F95" s="100"/>
      <c r="G95" s="100"/>
      <c r="H95" s="100"/>
      <c r="I95" s="100"/>
      <c r="J95" s="100"/>
      <c r="K95" s="99"/>
      <c r="L95" s="98"/>
      <c r="M95" s="100"/>
      <c r="N95" s="97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>
      <c r="E96" s="101"/>
      <c r="F96" s="103"/>
      <c r="G96" s="103"/>
      <c r="H96" s="103"/>
      <c r="I96" s="103"/>
      <c r="J96" s="103"/>
      <c r="K96" s="102"/>
      <c r="L96" s="101"/>
      <c r="M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</row>
    <row r="97">
      <c r="A97" s="97"/>
      <c r="B97" s="97"/>
      <c r="C97" s="97"/>
      <c r="D97" s="97"/>
      <c r="E97" s="98"/>
      <c r="F97" s="100"/>
      <c r="G97" s="100"/>
      <c r="H97" s="100"/>
      <c r="I97" s="100"/>
      <c r="J97" s="100"/>
      <c r="K97" s="99"/>
      <c r="L97" s="98"/>
      <c r="M97" s="100"/>
      <c r="N97" s="97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>
      <c r="E98" s="101"/>
      <c r="F98" s="103"/>
      <c r="G98" s="103"/>
      <c r="H98" s="103"/>
      <c r="I98" s="103"/>
      <c r="J98" s="103"/>
      <c r="K98" s="102"/>
      <c r="L98" s="101"/>
      <c r="M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</row>
    <row r="99">
      <c r="A99" s="97"/>
      <c r="B99" s="97"/>
      <c r="C99" s="97"/>
      <c r="D99" s="97"/>
      <c r="E99" s="98"/>
      <c r="F99" s="100"/>
      <c r="G99" s="100"/>
      <c r="H99" s="100"/>
      <c r="I99" s="100"/>
      <c r="J99" s="100"/>
      <c r="K99" s="99"/>
      <c r="L99" s="98"/>
      <c r="M99" s="100"/>
      <c r="N99" s="97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>
      <c r="E100" s="101"/>
      <c r="F100" s="103"/>
      <c r="G100" s="103"/>
      <c r="H100" s="103"/>
      <c r="I100" s="103"/>
      <c r="J100" s="103"/>
      <c r="K100" s="102"/>
      <c r="L100" s="101"/>
      <c r="M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</row>
    <row r="101">
      <c r="A101" s="97"/>
      <c r="B101" s="97"/>
      <c r="C101" s="97"/>
      <c r="D101" s="97"/>
      <c r="E101" s="98"/>
      <c r="F101" s="100"/>
      <c r="G101" s="100"/>
      <c r="H101" s="100"/>
      <c r="I101" s="100"/>
      <c r="J101" s="100"/>
      <c r="K101" s="99"/>
      <c r="L101" s="98"/>
      <c r="M101" s="100"/>
      <c r="N101" s="97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>
      <c r="E102" s="101"/>
      <c r="F102" s="103"/>
      <c r="G102" s="103"/>
      <c r="H102" s="103"/>
      <c r="I102" s="103"/>
      <c r="J102" s="103"/>
      <c r="K102" s="102"/>
      <c r="L102" s="101"/>
      <c r="M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</row>
    <row r="103">
      <c r="F103" s="103"/>
      <c r="G103" s="103"/>
      <c r="H103" s="103"/>
      <c r="I103" s="103"/>
      <c r="J103" s="103"/>
      <c r="M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</row>
    <row r="104">
      <c r="F104" s="103"/>
      <c r="G104" s="103"/>
      <c r="H104" s="103"/>
      <c r="I104" s="103"/>
      <c r="J104" s="103"/>
      <c r="M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</row>
    <row r="105">
      <c r="F105" s="103"/>
      <c r="G105" s="103"/>
      <c r="H105" s="103"/>
      <c r="I105" s="103"/>
      <c r="J105" s="103"/>
      <c r="M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</row>
    <row r="106">
      <c r="F106" s="103"/>
      <c r="G106" s="103"/>
      <c r="H106" s="103"/>
      <c r="I106" s="103"/>
      <c r="J106" s="103"/>
      <c r="M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</row>
    <row r="107">
      <c r="F107" s="103"/>
      <c r="G107" s="103"/>
      <c r="H107" s="103"/>
      <c r="I107" s="103"/>
      <c r="J107" s="103"/>
      <c r="M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</row>
    <row r="108">
      <c r="F108" s="103"/>
      <c r="G108" s="103"/>
      <c r="H108" s="103"/>
      <c r="I108" s="103"/>
      <c r="J108" s="103"/>
      <c r="M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</row>
    <row r="109">
      <c r="F109" s="103"/>
      <c r="G109" s="103"/>
      <c r="H109" s="103"/>
      <c r="I109" s="103"/>
      <c r="J109" s="103"/>
      <c r="M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</row>
    <row r="110">
      <c r="F110" s="103"/>
      <c r="G110" s="103"/>
      <c r="H110" s="103"/>
      <c r="I110" s="103"/>
      <c r="J110" s="103"/>
      <c r="M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</row>
    <row r="111">
      <c r="F111" s="103"/>
      <c r="G111" s="103"/>
      <c r="H111" s="103"/>
      <c r="I111" s="103"/>
      <c r="J111" s="103"/>
      <c r="M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</row>
    <row r="112">
      <c r="F112" s="103"/>
      <c r="G112" s="103"/>
      <c r="H112" s="103"/>
      <c r="I112" s="103"/>
      <c r="J112" s="103"/>
      <c r="M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</row>
    <row r="113">
      <c r="F113" s="103"/>
      <c r="G113" s="103"/>
      <c r="H113" s="103"/>
      <c r="I113" s="103"/>
      <c r="J113" s="103"/>
      <c r="M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</row>
    <row r="114">
      <c r="F114" s="103"/>
      <c r="G114" s="103"/>
      <c r="H114" s="103"/>
      <c r="I114" s="103"/>
      <c r="J114" s="103"/>
      <c r="M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</row>
    <row r="115">
      <c r="F115" s="103"/>
      <c r="G115" s="103"/>
      <c r="H115" s="103"/>
      <c r="I115" s="103"/>
      <c r="J115" s="103"/>
      <c r="M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</row>
    <row r="116">
      <c r="F116" s="103"/>
      <c r="G116" s="103"/>
      <c r="H116" s="103"/>
      <c r="I116" s="103"/>
      <c r="J116" s="103"/>
      <c r="M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</row>
    <row r="117">
      <c r="F117" s="103"/>
      <c r="G117" s="103"/>
      <c r="H117" s="103"/>
      <c r="I117" s="103"/>
      <c r="J117" s="103"/>
      <c r="M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</row>
    <row r="118">
      <c r="F118" s="103"/>
      <c r="G118" s="103"/>
      <c r="H118" s="103"/>
      <c r="I118" s="103"/>
      <c r="J118" s="103"/>
      <c r="M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</row>
  </sheetData>
  <mergeCells count="1">
    <mergeCell ref="A1:A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75" t="s">
        <v>248</v>
      </c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</row>
    <row r="3">
      <c r="A3" s="97"/>
      <c r="B3" s="97"/>
      <c r="C3" s="97"/>
      <c r="D3" s="97"/>
      <c r="E3" s="97"/>
      <c r="F3" s="100"/>
      <c r="G3" s="100"/>
      <c r="H3" s="100"/>
      <c r="I3" s="100"/>
      <c r="J3" s="100"/>
      <c r="K3" s="97"/>
      <c r="L3" s="97"/>
      <c r="M3" s="100"/>
      <c r="N3" s="97"/>
      <c r="O3" s="9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>
      <c r="E4" s="101"/>
      <c r="F4" s="103"/>
      <c r="G4" s="103"/>
      <c r="H4" s="103"/>
      <c r="I4" s="103"/>
      <c r="J4" s="103"/>
      <c r="K4" s="102"/>
      <c r="L4" s="101"/>
      <c r="M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97"/>
      <c r="B5" s="97"/>
      <c r="C5" s="97"/>
      <c r="D5" s="97"/>
      <c r="E5" s="98"/>
      <c r="F5" s="100"/>
      <c r="G5" s="100"/>
      <c r="H5" s="100"/>
      <c r="I5" s="100"/>
      <c r="J5" s="100"/>
      <c r="K5" s="99"/>
      <c r="L5" s="98"/>
      <c r="M5" s="100"/>
      <c r="N5" s="97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>
      <c r="E6" s="101"/>
      <c r="F6" s="103"/>
      <c r="G6" s="103"/>
      <c r="H6" s="103"/>
      <c r="I6" s="103"/>
      <c r="J6" s="103"/>
      <c r="K6" s="102"/>
      <c r="L6" s="101"/>
      <c r="M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>
      <c r="A7" s="97"/>
      <c r="B7" s="97"/>
      <c r="C7" s="97"/>
      <c r="D7" s="97"/>
      <c r="E7" s="98"/>
      <c r="F7" s="100"/>
      <c r="G7" s="100"/>
      <c r="H7" s="100"/>
      <c r="I7" s="100"/>
      <c r="J7" s="100"/>
      <c r="K7" s="99"/>
      <c r="L7" s="98"/>
      <c r="M7" s="100"/>
      <c r="N7" s="97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>
      <c r="E8" s="101"/>
      <c r="F8" s="103"/>
      <c r="G8" s="103"/>
      <c r="H8" s="103"/>
      <c r="I8" s="103"/>
      <c r="J8" s="103"/>
      <c r="K8" s="102"/>
      <c r="L8" s="101"/>
      <c r="M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>
      <c r="A9" s="97"/>
      <c r="B9" s="97"/>
      <c r="C9" s="97"/>
      <c r="D9" s="97"/>
      <c r="E9" s="98"/>
      <c r="F9" s="100"/>
      <c r="G9" s="100"/>
      <c r="H9" s="100"/>
      <c r="I9" s="100"/>
      <c r="J9" s="100"/>
      <c r="K9" s="99"/>
      <c r="L9" s="98"/>
      <c r="M9" s="100"/>
      <c r="N9" s="97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>
      <c r="E10" s="101"/>
      <c r="F10" s="103"/>
      <c r="G10" s="103"/>
      <c r="H10" s="103"/>
      <c r="I10" s="103"/>
      <c r="J10" s="103"/>
      <c r="K10" s="102"/>
      <c r="L10" s="101"/>
      <c r="M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>
      <c r="A11" s="97"/>
      <c r="B11" s="97"/>
      <c r="C11" s="97"/>
      <c r="D11" s="97"/>
      <c r="E11" s="98"/>
      <c r="F11" s="100"/>
      <c r="G11" s="100"/>
      <c r="H11" s="100"/>
      <c r="I11" s="100"/>
      <c r="J11" s="100"/>
      <c r="K11" s="99"/>
      <c r="L11" s="98"/>
      <c r="M11" s="100"/>
      <c r="N11" s="97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>
      <c r="E12" s="101"/>
      <c r="F12" s="103"/>
      <c r="G12" s="103"/>
      <c r="H12" s="103"/>
      <c r="I12" s="103"/>
      <c r="J12" s="103"/>
      <c r="K12" s="102"/>
      <c r="L12" s="101"/>
      <c r="M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97"/>
      <c r="B13" s="97"/>
      <c r="C13" s="97"/>
      <c r="D13" s="97"/>
      <c r="E13" s="98"/>
      <c r="F13" s="100"/>
      <c r="G13" s="100"/>
      <c r="H13" s="100"/>
      <c r="I13" s="100"/>
      <c r="J13" s="100"/>
      <c r="K13" s="99"/>
      <c r="L13" s="98"/>
      <c r="M13" s="100"/>
      <c r="N13" s="97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</row>
    <row r="14">
      <c r="E14" s="101"/>
      <c r="F14" s="103"/>
      <c r="G14" s="103"/>
      <c r="H14" s="103"/>
      <c r="I14" s="103"/>
      <c r="J14" s="103"/>
      <c r="K14" s="102"/>
      <c r="L14" s="101"/>
      <c r="M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97"/>
      <c r="B15" s="97"/>
      <c r="C15" s="97"/>
      <c r="D15" s="97"/>
      <c r="E15" s="98"/>
      <c r="F15" s="100"/>
      <c r="G15" s="100"/>
      <c r="H15" s="100"/>
      <c r="I15" s="100"/>
      <c r="J15" s="100"/>
      <c r="K15" s="99"/>
      <c r="L15" s="98"/>
      <c r="M15" s="100"/>
      <c r="N15" s="97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</row>
    <row r="16">
      <c r="E16" s="101"/>
      <c r="F16" s="103"/>
      <c r="G16" s="103"/>
      <c r="H16" s="103"/>
      <c r="I16" s="103"/>
      <c r="J16" s="103"/>
      <c r="K16" s="102"/>
      <c r="L16" s="101"/>
      <c r="M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>
      <c r="A17" s="97"/>
      <c r="B17" s="97"/>
      <c r="C17" s="97"/>
      <c r="D17" s="97"/>
      <c r="E17" s="98"/>
      <c r="F17" s="100"/>
      <c r="G17" s="100"/>
      <c r="H17" s="100"/>
      <c r="I17" s="100"/>
      <c r="J17" s="100"/>
      <c r="K17" s="99"/>
      <c r="L17" s="98"/>
      <c r="M17" s="100"/>
      <c r="N17" s="97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</row>
    <row r="18">
      <c r="E18" s="101"/>
      <c r="F18" s="103"/>
      <c r="G18" s="103"/>
      <c r="H18" s="103"/>
      <c r="I18" s="103"/>
      <c r="J18" s="103"/>
      <c r="K18" s="102"/>
      <c r="L18" s="101"/>
      <c r="M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97"/>
      <c r="B19" s="97"/>
      <c r="C19" s="97"/>
      <c r="D19" s="97"/>
      <c r="E19" s="98"/>
      <c r="F19" s="100"/>
      <c r="G19" s="100"/>
      <c r="H19" s="100"/>
      <c r="I19" s="100"/>
      <c r="J19" s="100"/>
      <c r="K19" s="99"/>
      <c r="L19" s="98"/>
      <c r="M19" s="100"/>
      <c r="N19" s="97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>
      <c r="E20" s="101"/>
      <c r="F20" s="103"/>
      <c r="G20" s="103"/>
      <c r="H20" s="103"/>
      <c r="I20" s="103"/>
      <c r="J20" s="103"/>
      <c r="K20" s="102"/>
      <c r="L20" s="101"/>
      <c r="M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97"/>
      <c r="B21" s="97"/>
      <c r="C21" s="97"/>
      <c r="D21" s="97"/>
      <c r="E21" s="98"/>
      <c r="F21" s="100"/>
      <c r="G21" s="100"/>
      <c r="H21" s="100"/>
      <c r="I21" s="100"/>
      <c r="J21" s="100"/>
      <c r="K21" s="99"/>
      <c r="L21" s="98"/>
      <c r="M21" s="100"/>
      <c r="N21" s="97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>
      <c r="E22" s="101"/>
      <c r="F22" s="103"/>
      <c r="G22" s="103"/>
      <c r="H22" s="103"/>
      <c r="I22" s="103"/>
      <c r="J22" s="103"/>
      <c r="K22" s="102"/>
      <c r="L22" s="101"/>
      <c r="M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97"/>
      <c r="B23" s="97"/>
      <c r="C23" s="97"/>
      <c r="D23" s="97"/>
      <c r="E23" s="98"/>
      <c r="F23" s="100"/>
      <c r="G23" s="100"/>
      <c r="H23" s="100"/>
      <c r="I23" s="100"/>
      <c r="J23" s="100"/>
      <c r="K23" s="99"/>
      <c r="L23" s="98"/>
      <c r="M23" s="100"/>
      <c r="N23" s="97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>
      <c r="E24" s="101"/>
      <c r="F24" s="103"/>
      <c r="G24" s="103"/>
      <c r="H24" s="103"/>
      <c r="I24" s="103"/>
      <c r="J24" s="103"/>
      <c r="K24" s="102"/>
      <c r="L24" s="101"/>
      <c r="M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97"/>
      <c r="B25" s="97"/>
      <c r="C25" s="97"/>
      <c r="D25" s="97"/>
      <c r="E25" s="98"/>
      <c r="F25" s="100"/>
      <c r="G25" s="100"/>
      <c r="H25" s="100"/>
      <c r="I25" s="100"/>
      <c r="J25" s="100"/>
      <c r="K25" s="99"/>
      <c r="L25" s="98"/>
      <c r="M25" s="100"/>
      <c r="N25" s="97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>
      <c r="E26" s="101"/>
      <c r="F26" s="103"/>
      <c r="G26" s="103"/>
      <c r="H26" s="103"/>
      <c r="I26" s="103"/>
      <c r="J26" s="103"/>
      <c r="K26" s="102"/>
      <c r="L26" s="101"/>
      <c r="M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97"/>
      <c r="B27" s="97"/>
      <c r="C27" s="97"/>
      <c r="D27" s="97"/>
      <c r="E27" s="98"/>
      <c r="F27" s="100"/>
      <c r="G27" s="100"/>
      <c r="H27" s="100"/>
      <c r="I27" s="100"/>
      <c r="J27" s="100"/>
      <c r="K27" s="99"/>
      <c r="L27" s="98"/>
      <c r="M27" s="100"/>
      <c r="N27" s="97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>
      <c r="E28" s="101"/>
      <c r="F28" s="103"/>
      <c r="G28" s="103"/>
      <c r="H28" s="103"/>
      <c r="I28" s="103"/>
      <c r="J28" s="103"/>
      <c r="K28" s="102"/>
      <c r="L28" s="101"/>
      <c r="M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97"/>
      <c r="B29" s="97"/>
      <c r="C29" s="97"/>
      <c r="D29" s="97"/>
      <c r="E29" s="98"/>
      <c r="F29" s="100"/>
      <c r="G29" s="100"/>
      <c r="H29" s="100"/>
      <c r="I29" s="100"/>
      <c r="J29" s="100"/>
      <c r="K29" s="99"/>
      <c r="L29" s="98"/>
      <c r="M29" s="100"/>
      <c r="N29" s="97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>
      <c r="E30" s="101"/>
      <c r="F30" s="103"/>
      <c r="G30" s="103"/>
      <c r="H30" s="103"/>
      <c r="I30" s="103"/>
      <c r="J30" s="103"/>
      <c r="K30" s="102"/>
      <c r="L30" s="101"/>
      <c r="M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</row>
    <row r="31">
      <c r="A31" s="97"/>
      <c r="B31" s="97"/>
      <c r="C31" s="97"/>
      <c r="D31" s="97"/>
      <c r="E31" s="98"/>
      <c r="F31" s="100"/>
      <c r="G31" s="100"/>
      <c r="H31" s="100"/>
      <c r="I31" s="100"/>
      <c r="J31" s="100"/>
      <c r="K31" s="99"/>
      <c r="L31" s="98"/>
      <c r="M31" s="100"/>
      <c r="N31" s="97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</row>
    <row r="32">
      <c r="E32" s="101"/>
      <c r="F32" s="103"/>
      <c r="G32" s="103"/>
      <c r="H32" s="103"/>
      <c r="I32" s="103"/>
      <c r="J32" s="103"/>
      <c r="K32" s="102"/>
      <c r="L32" s="101"/>
      <c r="M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</row>
    <row r="33">
      <c r="A33" s="97"/>
      <c r="B33" s="97"/>
      <c r="C33" s="97"/>
      <c r="D33" s="97"/>
      <c r="E33" s="98"/>
      <c r="F33" s="100"/>
      <c r="G33" s="100"/>
      <c r="H33" s="100"/>
      <c r="I33" s="100"/>
      <c r="J33" s="100"/>
      <c r="K33" s="99"/>
      <c r="L33" s="98"/>
      <c r="M33" s="100"/>
      <c r="N33" s="97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</row>
    <row r="34">
      <c r="E34" s="101"/>
      <c r="F34" s="103"/>
      <c r="G34" s="103"/>
      <c r="H34" s="103"/>
      <c r="I34" s="103"/>
      <c r="J34" s="103"/>
      <c r="K34" s="102"/>
      <c r="L34" s="101"/>
      <c r="M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</row>
    <row r="35">
      <c r="A35" s="97"/>
      <c r="B35" s="97"/>
      <c r="C35" s="97"/>
      <c r="D35" s="97"/>
      <c r="E35" s="98"/>
      <c r="F35" s="100"/>
      <c r="G35" s="100"/>
      <c r="H35" s="100"/>
      <c r="I35" s="100"/>
      <c r="J35" s="100"/>
      <c r="K35" s="99"/>
      <c r="L35" s="98"/>
      <c r="M35" s="100"/>
      <c r="N35" s="97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</row>
    <row r="36">
      <c r="E36" s="101"/>
      <c r="F36" s="103"/>
      <c r="G36" s="103"/>
      <c r="H36" s="103"/>
      <c r="I36" s="103"/>
      <c r="J36" s="103"/>
      <c r="K36" s="102"/>
      <c r="L36" s="101"/>
      <c r="M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</row>
    <row r="37">
      <c r="A37" s="97"/>
      <c r="B37" s="97"/>
      <c r="C37" s="97"/>
      <c r="D37" s="97"/>
      <c r="E37" s="98"/>
      <c r="F37" s="100"/>
      <c r="G37" s="100"/>
      <c r="H37" s="100"/>
      <c r="I37" s="100"/>
      <c r="J37" s="100"/>
      <c r="K37" s="99"/>
      <c r="L37" s="98"/>
      <c r="M37" s="100"/>
      <c r="N37" s="97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</row>
    <row r="38">
      <c r="E38" s="101"/>
      <c r="F38" s="103"/>
      <c r="G38" s="103"/>
      <c r="H38" s="103"/>
      <c r="I38" s="103"/>
      <c r="J38" s="103"/>
      <c r="K38" s="102"/>
      <c r="L38" s="101"/>
      <c r="M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</row>
    <row r="39">
      <c r="A39" s="97"/>
      <c r="B39" s="97"/>
      <c r="C39" s="97"/>
      <c r="D39" s="97"/>
      <c r="E39" s="98"/>
      <c r="F39" s="100"/>
      <c r="G39" s="100"/>
      <c r="H39" s="100"/>
      <c r="I39" s="100"/>
      <c r="J39" s="100"/>
      <c r="K39" s="99"/>
      <c r="L39" s="98"/>
      <c r="M39" s="100"/>
      <c r="N39" s="97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</row>
    <row r="40">
      <c r="E40" s="101"/>
      <c r="F40" s="103"/>
      <c r="G40" s="103"/>
      <c r="H40" s="103"/>
      <c r="I40" s="103"/>
      <c r="J40" s="103"/>
      <c r="K40" s="102"/>
      <c r="L40" s="101"/>
      <c r="M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</row>
    <row r="41">
      <c r="A41" s="97"/>
      <c r="B41" s="97"/>
      <c r="C41" s="97"/>
      <c r="D41" s="97"/>
      <c r="E41" s="98"/>
      <c r="F41" s="100"/>
      <c r="G41" s="100"/>
      <c r="H41" s="100"/>
      <c r="I41" s="100"/>
      <c r="J41" s="100"/>
      <c r="K41" s="99"/>
      <c r="L41" s="98"/>
      <c r="M41" s="100"/>
      <c r="N41" s="97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</row>
    <row r="42">
      <c r="E42" s="101"/>
      <c r="F42" s="103"/>
      <c r="G42" s="103"/>
      <c r="H42" s="103"/>
      <c r="I42" s="103"/>
      <c r="J42" s="103"/>
      <c r="K42" s="102"/>
      <c r="L42" s="101"/>
      <c r="M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</row>
    <row r="43">
      <c r="A43" s="97"/>
      <c r="B43" s="97"/>
      <c r="C43" s="97"/>
      <c r="D43" s="97"/>
      <c r="E43" s="98"/>
      <c r="F43" s="100"/>
      <c r="G43" s="100"/>
      <c r="H43" s="100"/>
      <c r="I43" s="100"/>
      <c r="J43" s="100"/>
      <c r="K43" s="99"/>
      <c r="L43" s="98"/>
      <c r="M43" s="100"/>
      <c r="N43" s="97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</row>
    <row r="44">
      <c r="E44" s="101"/>
      <c r="F44" s="103"/>
      <c r="G44" s="103"/>
      <c r="H44" s="103"/>
      <c r="I44" s="103"/>
      <c r="J44" s="103"/>
      <c r="K44" s="102"/>
      <c r="L44" s="101"/>
      <c r="M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</row>
    <row r="45">
      <c r="A45" s="97"/>
      <c r="B45" s="97"/>
      <c r="C45" s="97"/>
      <c r="D45" s="97"/>
      <c r="E45" s="98"/>
      <c r="F45" s="100"/>
      <c r="G45" s="100"/>
      <c r="H45" s="100"/>
      <c r="I45" s="100"/>
      <c r="J45" s="100"/>
      <c r="K45" s="99"/>
      <c r="L45" s="98"/>
      <c r="M45" s="100"/>
      <c r="N45" s="97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</row>
    <row r="46">
      <c r="E46" s="101"/>
      <c r="F46" s="103"/>
      <c r="G46" s="103"/>
      <c r="H46" s="103"/>
      <c r="I46" s="103"/>
      <c r="J46" s="103"/>
      <c r="K46" s="102"/>
      <c r="L46" s="101"/>
      <c r="M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</row>
    <row r="47">
      <c r="A47" s="97"/>
      <c r="B47" s="97"/>
      <c r="C47" s="97"/>
      <c r="D47" s="97"/>
      <c r="E47" s="98"/>
      <c r="F47" s="100"/>
      <c r="G47" s="100"/>
      <c r="H47" s="100"/>
      <c r="I47" s="100"/>
      <c r="J47" s="100"/>
      <c r="K47" s="99"/>
      <c r="L47" s="98"/>
      <c r="M47" s="100"/>
      <c r="N47" s="97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</row>
    <row r="48">
      <c r="E48" s="101"/>
      <c r="F48" s="103"/>
      <c r="G48" s="103"/>
      <c r="H48" s="103"/>
      <c r="I48" s="103"/>
      <c r="J48" s="103"/>
      <c r="K48" s="102"/>
      <c r="L48" s="101"/>
      <c r="M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</row>
    <row r="49">
      <c r="A49" s="97"/>
      <c r="B49" s="97"/>
      <c r="C49" s="97"/>
      <c r="D49" s="97"/>
      <c r="E49" s="98"/>
      <c r="F49" s="100"/>
      <c r="G49" s="100"/>
      <c r="H49" s="100"/>
      <c r="I49" s="100"/>
      <c r="J49" s="100"/>
      <c r="K49" s="99"/>
      <c r="L49" s="98"/>
      <c r="M49" s="100"/>
      <c r="N49" s="97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</row>
    <row r="50">
      <c r="E50" s="101"/>
      <c r="F50" s="103"/>
      <c r="G50" s="103"/>
      <c r="H50" s="103"/>
      <c r="I50" s="103"/>
      <c r="J50" s="103"/>
      <c r="K50" s="102"/>
      <c r="L50" s="101"/>
      <c r="M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</row>
    <row r="51">
      <c r="A51" s="97"/>
      <c r="B51" s="97"/>
      <c r="C51" s="97"/>
      <c r="D51" s="97"/>
      <c r="E51" s="98"/>
      <c r="F51" s="100"/>
      <c r="G51" s="100"/>
      <c r="H51" s="100"/>
      <c r="I51" s="100"/>
      <c r="J51" s="100"/>
      <c r="K51" s="99"/>
      <c r="L51" s="98"/>
      <c r="M51" s="100"/>
      <c r="N51" s="97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E52" s="101"/>
      <c r="F52" s="103"/>
      <c r="G52" s="103"/>
      <c r="H52" s="103"/>
      <c r="I52" s="103"/>
      <c r="J52" s="103"/>
      <c r="K52" s="102"/>
      <c r="L52" s="101"/>
      <c r="M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</row>
    <row r="53">
      <c r="A53" s="97"/>
      <c r="B53" s="97"/>
      <c r="C53" s="97"/>
      <c r="D53" s="97"/>
      <c r="E53" s="98"/>
      <c r="F53" s="100"/>
      <c r="G53" s="100"/>
      <c r="H53" s="100"/>
      <c r="I53" s="100"/>
      <c r="J53" s="100"/>
      <c r="K53" s="99"/>
      <c r="L53" s="98"/>
      <c r="M53" s="100"/>
      <c r="N53" s="97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</row>
    <row r="54">
      <c r="E54" s="101"/>
      <c r="F54" s="103"/>
      <c r="G54" s="103"/>
      <c r="H54" s="103"/>
      <c r="I54" s="103"/>
      <c r="J54" s="103"/>
      <c r="K54" s="102"/>
      <c r="L54" s="101"/>
      <c r="M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</row>
    <row r="55">
      <c r="A55" s="97"/>
      <c r="B55" s="97"/>
      <c r="C55" s="97"/>
      <c r="D55" s="97"/>
      <c r="E55" s="98"/>
      <c r="F55" s="100"/>
      <c r="G55" s="100"/>
      <c r="H55" s="100"/>
      <c r="I55" s="100"/>
      <c r="J55" s="100"/>
      <c r="K55" s="99"/>
      <c r="L55" s="98"/>
      <c r="M55" s="100"/>
      <c r="N55" s="97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</row>
    <row r="56">
      <c r="E56" s="101"/>
      <c r="F56" s="103"/>
      <c r="G56" s="103"/>
      <c r="H56" s="103"/>
      <c r="I56" s="103"/>
      <c r="J56" s="103"/>
      <c r="K56" s="102"/>
      <c r="L56" s="101"/>
      <c r="M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</row>
    <row r="57">
      <c r="A57" s="97"/>
      <c r="B57" s="97"/>
      <c r="C57" s="97"/>
      <c r="D57" s="97"/>
      <c r="E57" s="98"/>
      <c r="F57" s="100"/>
      <c r="G57" s="100"/>
      <c r="H57" s="100"/>
      <c r="I57" s="100"/>
      <c r="J57" s="100"/>
      <c r="K57" s="99"/>
      <c r="L57" s="98"/>
      <c r="M57" s="100"/>
      <c r="N57" s="97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</row>
    <row r="58">
      <c r="E58" s="101"/>
      <c r="F58" s="103"/>
      <c r="G58" s="103"/>
      <c r="H58" s="103"/>
      <c r="I58" s="103"/>
      <c r="J58" s="103"/>
      <c r="K58" s="102"/>
      <c r="L58" s="101"/>
      <c r="M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</row>
    <row r="59">
      <c r="A59" s="97"/>
      <c r="B59" s="97"/>
      <c r="C59" s="97"/>
      <c r="D59" s="97"/>
      <c r="E59" s="98"/>
      <c r="F59" s="100"/>
      <c r="G59" s="100"/>
      <c r="H59" s="100"/>
      <c r="I59" s="100"/>
      <c r="J59" s="100"/>
      <c r="K59" s="99"/>
      <c r="L59" s="98"/>
      <c r="M59" s="100"/>
      <c r="N59" s="9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</row>
    <row r="60">
      <c r="E60" s="101"/>
      <c r="F60" s="103"/>
      <c r="G60" s="103"/>
      <c r="H60" s="103"/>
      <c r="I60" s="103"/>
      <c r="J60" s="103"/>
      <c r="K60" s="102"/>
      <c r="L60" s="101"/>
      <c r="M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</row>
    <row r="61">
      <c r="A61" s="97"/>
      <c r="B61" s="97"/>
      <c r="C61" s="97"/>
      <c r="D61" s="97"/>
      <c r="E61" s="98"/>
      <c r="F61" s="100"/>
      <c r="G61" s="100"/>
      <c r="H61" s="100"/>
      <c r="I61" s="100"/>
      <c r="J61" s="100"/>
      <c r="K61" s="99"/>
      <c r="L61" s="98"/>
      <c r="M61" s="100"/>
      <c r="N61" s="97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</row>
    <row r="62">
      <c r="E62" s="101"/>
      <c r="F62" s="103"/>
      <c r="G62" s="103"/>
      <c r="H62" s="103"/>
      <c r="I62" s="103"/>
      <c r="J62" s="103"/>
      <c r="K62" s="102"/>
      <c r="L62" s="101"/>
      <c r="M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</row>
    <row r="63">
      <c r="A63" s="97"/>
      <c r="B63" s="97"/>
      <c r="C63" s="97"/>
      <c r="D63" s="97"/>
      <c r="E63" s="98"/>
      <c r="F63" s="100"/>
      <c r="G63" s="100"/>
      <c r="H63" s="100"/>
      <c r="I63" s="100"/>
      <c r="J63" s="100"/>
      <c r="K63" s="99"/>
      <c r="L63" s="98"/>
      <c r="M63" s="100"/>
      <c r="N63" s="9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</row>
    <row r="64">
      <c r="E64" s="101"/>
      <c r="F64" s="103"/>
      <c r="G64" s="103"/>
      <c r="H64" s="103"/>
      <c r="I64" s="103"/>
      <c r="J64" s="103"/>
      <c r="K64" s="102"/>
      <c r="L64" s="101"/>
      <c r="M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</row>
    <row r="65">
      <c r="A65" s="97"/>
      <c r="B65" s="97"/>
      <c r="C65" s="97"/>
      <c r="D65" s="97"/>
      <c r="E65" s="98"/>
      <c r="F65" s="100"/>
      <c r="G65" s="100"/>
      <c r="H65" s="100"/>
      <c r="I65" s="100"/>
      <c r="J65" s="100"/>
      <c r="K65" s="99"/>
      <c r="L65" s="98"/>
      <c r="M65" s="100"/>
      <c r="N65" s="9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</row>
    <row r="66">
      <c r="E66" s="101"/>
      <c r="F66" s="103"/>
      <c r="G66" s="103"/>
      <c r="H66" s="103"/>
      <c r="I66" s="103"/>
      <c r="J66" s="103"/>
      <c r="K66" s="102"/>
      <c r="L66" s="101"/>
      <c r="M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</row>
    <row r="67">
      <c r="A67" s="97"/>
      <c r="B67" s="97"/>
      <c r="C67" s="97"/>
      <c r="D67" s="97"/>
      <c r="E67" s="98"/>
      <c r="F67" s="100"/>
      <c r="G67" s="100"/>
      <c r="H67" s="100"/>
      <c r="I67" s="100"/>
      <c r="J67" s="100"/>
      <c r="K67" s="99"/>
      <c r="L67" s="98"/>
      <c r="M67" s="100"/>
      <c r="N67" s="97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</row>
    <row r="68">
      <c r="E68" s="101"/>
      <c r="F68" s="103"/>
      <c r="G68" s="103"/>
      <c r="H68" s="103"/>
      <c r="I68" s="103"/>
      <c r="J68" s="103"/>
      <c r="K68" s="102"/>
      <c r="L68" s="101"/>
      <c r="M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</row>
    <row r="69">
      <c r="A69" s="97"/>
      <c r="B69" s="97"/>
      <c r="C69" s="97"/>
      <c r="D69" s="97"/>
      <c r="E69" s="98"/>
      <c r="F69" s="100"/>
      <c r="G69" s="100"/>
      <c r="H69" s="100"/>
      <c r="I69" s="100"/>
      <c r="J69" s="100"/>
      <c r="K69" s="99"/>
      <c r="L69" s="98"/>
      <c r="M69" s="100"/>
      <c r="N69" s="97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</row>
    <row r="70">
      <c r="E70" s="101"/>
      <c r="F70" s="103"/>
      <c r="G70" s="103"/>
      <c r="H70" s="103"/>
      <c r="I70" s="103"/>
      <c r="J70" s="103"/>
      <c r="K70" s="102"/>
      <c r="L70" s="101"/>
      <c r="M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</row>
    <row r="71">
      <c r="A71" s="97"/>
      <c r="B71" s="97"/>
      <c r="C71" s="97"/>
      <c r="D71" s="97"/>
      <c r="E71" s="98"/>
      <c r="F71" s="100"/>
      <c r="G71" s="100"/>
      <c r="H71" s="100"/>
      <c r="I71" s="100"/>
      <c r="J71" s="100"/>
      <c r="K71" s="99"/>
      <c r="L71" s="98"/>
      <c r="M71" s="100"/>
      <c r="N71" s="97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</row>
    <row r="72">
      <c r="E72" s="101"/>
      <c r="F72" s="103"/>
      <c r="G72" s="103"/>
      <c r="H72" s="103"/>
      <c r="I72" s="103"/>
      <c r="J72" s="103"/>
      <c r="K72" s="102"/>
      <c r="L72" s="101"/>
      <c r="M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</row>
    <row r="73">
      <c r="A73" s="97"/>
      <c r="B73" s="97"/>
      <c r="C73" s="97"/>
      <c r="D73" s="97"/>
      <c r="E73" s="98"/>
      <c r="F73" s="100"/>
      <c r="G73" s="100"/>
      <c r="H73" s="100"/>
      <c r="I73" s="100"/>
      <c r="J73" s="100"/>
      <c r="K73" s="99"/>
      <c r="L73" s="98"/>
      <c r="M73" s="100"/>
      <c r="N73" s="97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</row>
    <row r="74">
      <c r="E74" s="101"/>
      <c r="F74" s="103"/>
      <c r="G74" s="103"/>
      <c r="H74" s="103"/>
      <c r="I74" s="103"/>
      <c r="J74" s="103"/>
      <c r="K74" s="102"/>
      <c r="L74" s="101"/>
      <c r="M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</row>
    <row r="75">
      <c r="A75" s="97"/>
      <c r="B75" s="97"/>
      <c r="C75" s="97"/>
      <c r="D75" s="97"/>
      <c r="E75" s="98"/>
      <c r="F75" s="100"/>
      <c r="G75" s="100"/>
      <c r="H75" s="100"/>
      <c r="I75" s="100"/>
      <c r="J75" s="100"/>
      <c r="K75" s="99"/>
      <c r="L75" s="98"/>
      <c r="M75" s="100"/>
      <c r="N75" s="97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</row>
    <row r="76">
      <c r="E76" s="101"/>
      <c r="F76" s="103"/>
      <c r="G76" s="103"/>
      <c r="H76" s="103"/>
      <c r="I76" s="103"/>
      <c r="J76" s="103"/>
      <c r="K76" s="102"/>
      <c r="L76" s="101"/>
      <c r="M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</row>
    <row r="77">
      <c r="A77" s="97"/>
      <c r="B77" s="97"/>
      <c r="C77" s="97"/>
      <c r="D77" s="97"/>
      <c r="E77" s="98"/>
      <c r="F77" s="100"/>
      <c r="G77" s="100"/>
      <c r="H77" s="100"/>
      <c r="I77" s="100"/>
      <c r="J77" s="100"/>
      <c r="K77" s="99"/>
      <c r="L77" s="98"/>
      <c r="M77" s="100"/>
      <c r="N77" s="97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</row>
    <row r="78">
      <c r="E78" s="101"/>
      <c r="F78" s="103"/>
      <c r="G78" s="103"/>
      <c r="H78" s="103"/>
      <c r="I78" s="103"/>
      <c r="J78" s="103"/>
      <c r="K78" s="102"/>
      <c r="L78" s="101"/>
      <c r="M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</row>
    <row r="79">
      <c r="A79" s="97"/>
      <c r="B79" s="97"/>
      <c r="C79" s="97"/>
      <c r="D79" s="97"/>
      <c r="E79" s="98"/>
      <c r="F79" s="100"/>
      <c r="G79" s="100"/>
      <c r="H79" s="100"/>
      <c r="I79" s="100"/>
      <c r="J79" s="100"/>
      <c r="K79" s="99"/>
      <c r="L79" s="98"/>
      <c r="M79" s="100"/>
      <c r="N79" s="97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</row>
    <row r="80">
      <c r="E80" s="101"/>
      <c r="F80" s="103"/>
      <c r="G80" s="103"/>
      <c r="H80" s="103"/>
      <c r="I80" s="103"/>
      <c r="J80" s="103"/>
      <c r="K80" s="102"/>
      <c r="L80" s="101"/>
      <c r="M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</row>
    <row r="81">
      <c r="A81" s="97"/>
      <c r="B81" s="97"/>
      <c r="C81" s="97"/>
      <c r="D81" s="97"/>
      <c r="E81" s="98"/>
      <c r="F81" s="100"/>
      <c r="G81" s="100"/>
      <c r="H81" s="100"/>
      <c r="I81" s="100"/>
      <c r="J81" s="100"/>
      <c r="K81" s="99"/>
      <c r="L81" s="98"/>
      <c r="M81" s="100"/>
      <c r="N81" s="97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</row>
    <row r="82">
      <c r="E82" s="101"/>
      <c r="F82" s="103"/>
      <c r="G82" s="103"/>
      <c r="H82" s="103"/>
      <c r="I82" s="103"/>
      <c r="J82" s="103"/>
      <c r="K82" s="102"/>
      <c r="L82" s="101"/>
      <c r="M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</row>
    <row r="83">
      <c r="A83" s="97"/>
      <c r="B83" s="97"/>
      <c r="C83" s="97"/>
      <c r="D83" s="97"/>
      <c r="E83" s="98"/>
      <c r="F83" s="100"/>
      <c r="G83" s="100"/>
      <c r="H83" s="100"/>
      <c r="I83" s="100"/>
      <c r="J83" s="100"/>
      <c r="K83" s="99"/>
      <c r="L83" s="98"/>
      <c r="M83" s="100"/>
      <c r="N83" s="97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</row>
    <row r="84">
      <c r="E84" s="101"/>
      <c r="F84" s="103"/>
      <c r="G84" s="103"/>
      <c r="H84" s="103"/>
      <c r="I84" s="103"/>
      <c r="J84" s="103"/>
      <c r="K84" s="102"/>
      <c r="L84" s="101"/>
      <c r="M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</row>
    <row r="85">
      <c r="A85" s="97"/>
      <c r="B85" s="97"/>
      <c r="C85" s="97"/>
      <c r="D85" s="97"/>
      <c r="E85" s="98"/>
      <c r="F85" s="100"/>
      <c r="G85" s="100"/>
      <c r="H85" s="100"/>
      <c r="I85" s="100"/>
      <c r="J85" s="100"/>
      <c r="K85" s="99"/>
      <c r="L85" s="98"/>
      <c r="M85" s="100"/>
      <c r="N85" s="97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</row>
    <row r="86">
      <c r="E86" s="101"/>
      <c r="F86" s="103"/>
      <c r="G86" s="103"/>
      <c r="H86" s="103"/>
      <c r="I86" s="103"/>
      <c r="J86" s="103"/>
      <c r="K86" s="102"/>
      <c r="L86" s="101"/>
      <c r="M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</row>
    <row r="87">
      <c r="A87" s="97"/>
      <c r="B87" s="97"/>
      <c r="C87" s="97"/>
      <c r="D87" s="97"/>
      <c r="E87" s="98"/>
      <c r="F87" s="100"/>
      <c r="G87" s="100"/>
      <c r="H87" s="100"/>
      <c r="I87" s="100"/>
      <c r="J87" s="100"/>
      <c r="K87" s="99"/>
      <c r="L87" s="98"/>
      <c r="M87" s="100"/>
      <c r="N87" s="97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</row>
    <row r="88">
      <c r="E88" s="101"/>
      <c r="F88" s="103"/>
      <c r="G88" s="103"/>
      <c r="H88" s="103"/>
      <c r="I88" s="103"/>
      <c r="J88" s="103"/>
      <c r="K88" s="102"/>
      <c r="L88" s="101"/>
      <c r="M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</row>
    <row r="89">
      <c r="A89" s="97"/>
      <c r="B89" s="97"/>
      <c r="C89" s="97"/>
      <c r="D89" s="97"/>
      <c r="E89" s="98"/>
      <c r="F89" s="100"/>
      <c r="G89" s="100"/>
      <c r="H89" s="100"/>
      <c r="I89" s="100"/>
      <c r="J89" s="100"/>
      <c r="K89" s="99"/>
      <c r="L89" s="98"/>
      <c r="M89" s="100"/>
      <c r="N89" s="97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</row>
    <row r="90">
      <c r="E90" s="101"/>
      <c r="F90" s="103"/>
      <c r="G90" s="103"/>
      <c r="H90" s="103"/>
      <c r="I90" s="103"/>
      <c r="J90" s="103"/>
      <c r="K90" s="102"/>
      <c r="L90" s="101"/>
      <c r="M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</row>
    <row r="91">
      <c r="A91" s="97"/>
      <c r="B91" s="97"/>
      <c r="C91" s="97"/>
      <c r="D91" s="97"/>
      <c r="E91" s="98"/>
      <c r="F91" s="100"/>
      <c r="G91" s="100"/>
      <c r="H91" s="100"/>
      <c r="I91" s="100"/>
      <c r="J91" s="100"/>
      <c r="K91" s="99"/>
      <c r="L91" s="98"/>
      <c r="M91" s="100"/>
      <c r="N91" s="97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</row>
    <row r="92">
      <c r="E92" s="101"/>
      <c r="F92" s="103"/>
      <c r="G92" s="103"/>
      <c r="H92" s="103"/>
      <c r="I92" s="103"/>
      <c r="J92" s="103"/>
      <c r="K92" s="102"/>
      <c r="L92" s="101"/>
      <c r="M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</row>
    <row r="93">
      <c r="A93" s="97"/>
      <c r="B93" s="97"/>
      <c r="C93" s="97"/>
      <c r="D93" s="97"/>
      <c r="E93" s="98"/>
      <c r="F93" s="100"/>
      <c r="G93" s="100"/>
      <c r="H93" s="100"/>
      <c r="I93" s="100"/>
      <c r="J93" s="100"/>
      <c r="K93" s="99"/>
      <c r="L93" s="98"/>
      <c r="M93" s="100"/>
      <c r="N93" s="97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</row>
    <row r="94">
      <c r="E94" s="101"/>
      <c r="F94" s="103"/>
      <c r="G94" s="103"/>
      <c r="H94" s="103"/>
      <c r="I94" s="103"/>
      <c r="J94" s="103"/>
      <c r="K94" s="102"/>
      <c r="L94" s="101"/>
      <c r="M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</row>
    <row r="95">
      <c r="A95" s="97"/>
      <c r="B95" s="97"/>
      <c r="C95" s="97"/>
      <c r="D95" s="97"/>
      <c r="E95" s="98"/>
      <c r="F95" s="100"/>
      <c r="G95" s="100"/>
      <c r="H95" s="100"/>
      <c r="I95" s="100"/>
      <c r="J95" s="100"/>
      <c r="K95" s="99"/>
      <c r="L95" s="98"/>
      <c r="M95" s="100"/>
      <c r="N95" s="97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</row>
    <row r="96">
      <c r="E96" s="101"/>
      <c r="F96" s="103"/>
      <c r="G96" s="103"/>
      <c r="H96" s="103"/>
      <c r="I96" s="103"/>
      <c r="J96" s="103"/>
      <c r="K96" s="102"/>
      <c r="L96" s="101"/>
      <c r="M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</row>
    <row r="97">
      <c r="A97" s="97"/>
      <c r="B97" s="97"/>
      <c r="C97" s="97"/>
      <c r="D97" s="97"/>
      <c r="E97" s="98"/>
      <c r="F97" s="100"/>
      <c r="G97" s="100"/>
      <c r="H97" s="100"/>
      <c r="I97" s="100"/>
      <c r="J97" s="100"/>
      <c r="K97" s="99"/>
      <c r="L97" s="98"/>
      <c r="M97" s="100"/>
      <c r="N97" s="97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</row>
    <row r="98">
      <c r="E98" s="101"/>
      <c r="F98" s="103"/>
      <c r="G98" s="103"/>
      <c r="H98" s="103"/>
      <c r="I98" s="103"/>
      <c r="J98" s="103"/>
      <c r="K98" s="102"/>
      <c r="L98" s="101"/>
      <c r="M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</row>
    <row r="99">
      <c r="A99" s="97"/>
      <c r="B99" s="97"/>
      <c r="C99" s="97"/>
      <c r="D99" s="97"/>
      <c r="E99" s="98"/>
      <c r="F99" s="100"/>
      <c r="G99" s="100"/>
      <c r="H99" s="100"/>
      <c r="I99" s="100"/>
      <c r="J99" s="100"/>
      <c r="K99" s="99"/>
      <c r="L99" s="98"/>
      <c r="M99" s="100"/>
      <c r="N99" s="97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</row>
    <row r="100">
      <c r="E100" s="101"/>
      <c r="F100" s="103"/>
      <c r="G100" s="103"/>
      <c r="H100" s="103"/>
      <c r="I100" s="103"/>
      <c r="J100" s="103"/>
      <c r="K100" s="102"/>
      <c r="L100" s="101"/>
      <c r="M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</row>
    <row r="101">
      <c r="A101" s="97"/>
      <c r="B101" s="97"/>
      <c r="C101" s="97"/>
      <c r="D101" s="97"/>
      <c r="E101" s="98"/>
      <c r="F101" s="100"/>
      <c r="G101" s="100"/>
      <c r="H101" s="100"/>
      <c r="I101" s="100"/>
      <c r="J101" s="100"/>
      <c r="K101" s="99"/>
      <c r="L101" s="98"/>
      <c r="M101" s="100"/>
      <c r="N101" s="97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</row>
    <row r="102">
      <c r="E102" s="101"/>
      <c r="F102" s="103"/>
      <c r="G102" s="103"/>
      <c r="H102" s="103"/>
      <c r="I102" s="103"/>
      <c r="J102" s="103"/>
      <c r="K102" s="102"/>
      <c r="L102" s="101"/>
      <c r="M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</row>
    <row r="103">
      <c r="F103" s="103"/>
      <c r="G103" s="103"/>
      <c r="H103" s="103"/>
      <c r="I103" s="103"/>
      <c r="J103" s="103"/>
      <c r="M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</row>
    <row r="104">
      <c r="F104" s="103"/>
      <c r="G104" s="103"/>
      <c r="H104" s="103"/>
      <c r="I104" s="103"/>
      <c r="J104" s="103"/>
      <c r="M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</row>
    <row r="105">
      <c r="F105" s="103"/>
      <c r="G105" s="103"/>
      <c r="H105" s="103"/>
      <c r="I105" s="103"/>
      <c r="J105" s="103"/>
      <c r="M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</row>
    <row r="106">
      <c r="F106" s="103"/>
      <c r="G106" s="103"/>
      <c r="H106" s="103"/>
      <c r="I106" s="103"/>
      <c r="J106" s="103"/>
      <c r="M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</row>
    <row r="107">
      <c r="F107" s="103"/>
      <c r="G107" s="103"/>
      <c r="H107" s="103"/>
      <c r="I107" s="103"/>
      <c r="J107" s="103"/>
      <c r="M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</row>
    <row r="108">
      <c r="F108" s="103"/>
      <c r="G108" s="103"/>
      <c r="H108" s="103"/>
      <c r="I108" s="103"/>
      <c r="J108" s="103"/>
      <c r="M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</row>
    <row r="109">
      <c r="F109" s="103"/>
      <c r="G109" s="103"/>
      <c r="H109" s="103"/>
      <c r="I109" s="103"/>
      <c r="J109" s="103"/>
      <c r="M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</row>
    <row r="110">
      <c r="F110" s="103"/>
      <c r="G110" s="103"/>
      <c r="H110" s="103"/>
      <c r="I110" s="103"/>
      <c r="J110" s="103"/>
      <c r="M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</row>
    <row r="111">
      <c r="F111" s="103"/>
      <c r="G111" s="103"/>
      <c r="H111" s="103"/>
      <c r="I111" s="103"/>
      <c r="J111" s="103"/>
      <c r="M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</row>
    <row r="112">
      <c r="F112" s="103"/>
      <c r="G112" s="103"/>
      <c r="H112" s="103"/>
      <c r="I112" s="103"/>
      <c r="J112" s="103"/>
      <c r="M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</row>
    <row r="113">
      <c r="F113" s="103"/>
      <c r="G113" s="103"/>
      <c r="H113" s="103"/>
      <c r="I113" s="103"/>
      <c r="J113" s="103"/>
      <c r="M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</row>
    <row r="114">
      <c r="F114" s="103"/>
      <c r="G114" s="103"/>
      <c r="H114" s="103"/>
      <c r="I114" s="103"/>
      <c r="J114" s="103"/>
      <c r="M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</row>
    <row r="115">
      <c r="F115" s="103"/>
      <c r="G115" s="103"/>
      <c r="H115" s="103"/>
      <c r="I115" s="103"/>
      <c r="J115" s="103"/>
      <c r="M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</row>
    <row r="116">
      <c r="F116" s="103"/>
      <c r="G116" s="103"/>
      <c r="H116" s="103"/>
      <c r="I116" s="103"/>
      <c r="J116" s="103"/>
      <c r="M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</row>
    <row r="117">
      <c r="F117" s="103"/>
      <c r="G117" s="103"/>
      <c r="H117" s="103"/>
      <c r="I117" s="103"/>
      <c r="J117" s="103"/>
      <c r="M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</row>
    <row r="118">
      <c r="F118" s="103"/>
      <c r="G118" s="103"/>
      <c r="H118" s="103"/>
      <c r="I118" s="103"/>
      <c r="J118" s="103"/>
      <c r="M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</row>
  </sheetData>
  <mergeCells count="1">
    <mergeCell ref="A1:A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75" t="s">
        <v>248</v>
      </c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</row>
    <row r="3">
      <c r="A3" s="97"/>
      <c r="B3" s="97"/>
      <c r="C3" s="97"/>
      <c r="D3" s="97"/>
      <c r="E3" s="98"/>
      <c r="F3" s="100"/>
      <c r="G3" s="100"/>
      <c r="H3" s="100"/>
      <c r="I3" s="100"/>
      <c r="J3" s="100"/>
      <c r="K3" s="99"/>
      <c r="L3" s="98"/>
      <c r="M3" s="100"/>
      <c r="N3" s="97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>
      <c r="E4" s="101"/>
      <c r="F4" s="103"/>
      <c r="G4" s="103"/>
      <c r="H4" s="103"/>
      <c r="I4" s="103"/>
      <c r="J4" s="103"/>
      <c r="K4" s="102"/>
      <c r="L4" s="101"/>
      <c r="M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97"/>
      <c r="B5" s="97"/>
      <c r="C5" s="97"/>
      <c r="D5" s="97"/>
      <c r="E5" s="98"/>
      <c r="F5" s="100"/>
      <c r="G5" s="100"/>
      <c r="H5" s="100"/>
      <c r="I5" s="100"/>
      <c r="J5" s="100"/>
      <c r="K5" s="99"/>
      <c r="L5" s="98"/>
      <c r="M5" s="100"/>
      <c r="N5" s="97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>
      <c r="E6" s="101"/>
      <c r="F6" s="103"/>
      <c r="G6" s="103"/>
      <c r="H6" s="103"/>
      <c r="I6" s="103"/>
      <c r="J6" s="103"/>
      <c r="K6" s="102"/>
      <c r="L6" s="101"/>
      <c r="M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>
      <c r="A7" s="97"/>
      <c r="B7" s="97"/>
      <c r="C7" s="97"/>
      <c r="D7" s="97"/>
      <c r="E7" s="98"/>
      <c r="F7" s="100"/>
      <c r="G7" s="100"/>
      <c r="H7" s="100"/>
      <c r="I7" s="100"/>
      <c r="J7" s="100"/>
      <c r="K7" s="99"/>
      <c r="L7" s="98"/>
      <c r="M7" s="100"/>
      <c r="N7" s="97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>
      <c r="E8" s="101"/>
      <c r="F8" s="103"/>
      <c r="G8" s="103"/>
      <c r="H8" s="103"/>
      <c r="I8" s="103"/>
      <c r="J8" s="103"/>
      <c r="K8" s="102"/>
      <c r="L8" s="101"/>
      <c r="M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>
      <c r="A9" s="97"/>
      <c r="B9" s="97"/>
      <c r="C9" s="97"/>
      <c r="D9" s="97"/>
      <c r="E9" s="98"/>
      <c r="F9" s="100"/>
      <c r="G9" s="100"/>
      <c r="H9" s="100"/>
      <c r="I9" s="100"/>
      <c r="J9" s="100"/>
      <c r="K9" s="99"/>
      <c r="L9" s="98"/>
      <c r="M9" s="100"/>
      <c r="N9" s="97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>
      <c r="E10" s="101"/>
      <c r="F10" s="103"/>
      <c r="G10" s="103"/>
      <c r="H10" s="103"/>
      <c r="I10" s="103"/>
      <c r="J10" s="103"/>
      <c r="K10" s="102"/>
      <c r="L10" s="101"/>
      <c r="M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>
      <c r="A11" s="97"/>
      <c r="B11" s="97"/>
      <c r="C11" s="97"/>
      <c r="D11" s="97"/>
      <c r="E11" s="98"/>
      <c r="F11" s="100"/>
      <c r="G11" s="100"/>
      <c r="H11" s="100"/>
      <c r="I11" s="100"/>
      <c r="J11" s="100"/>
      <c r="K11" s="99"/>
      <c r="L11" s="98"/>
      <c r="M11" s="100"/>
      <c r="N11" s="97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>
      <c r="E12" s="101"/>
      <c r="F12" s="103"/>
      <c r="G12" s="103"/>
      <c r="H12" s="103"/>
      <c r="I12" s="103"/>
      <c r="J12" s="103"/>
      <c r="K12" s="102"/>
      <c r="L12" s="101"/>
      <c r="M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97"/>
      <c r="B13" s="97"/>
      <c r="C13" s="97"/>
      <c r="D13" s="97"/>
      <c r="E13" s="98"/>
      <c r="F13" s="100"/>
      <c r="G13" s="100"/>
      <c r="H13" s="100"/>
      <c r="I13" s="100"/>
      <c r="J13" s="100"/>
      <c r="K13" s="99"/>
      <c r="L13" s="98"/>
      <c r="M13" s="100"/>
      <c r="N13" s="97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</row>
    <row r="14">
      <c r="E14" s="101"/>
      <c r="F14" s="103"/>
      <c r="G14" s="103"/>
      <c r="H14" s="103"/>
      <c r="I14" s="103"/>
      <c r="J14" s="103"/>
      <c r="K14" s="102"/>
      <c r="L14" s="101"/>
      <c r="M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97"/>
      <c r="B15" s="97"/>
      <c r="C15" s="97"/>
      <c r="D15" s="97"/>
      <c r="E15" s="98"/>
      <c r="F15" s="100"/>
      <c r="G15" s="100"/>
      <c r="H15" s="100"/>
      <c r="I15" s="100"/>
      <c r="J15" s="100"/>
      <c r="K15" s="99"/>
      <c r="L15" s="98"/>
      <c r="M15" s="100"/>
      <c r="N15" s="97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</row>
    <row r="16">
      <c r="E16" s="101"/>
      <c r="F16" s="103"/>
      <c r="G16" s="103"/>
      <c r="H16" s="103"/>
      <c r="I16" s="103"/>
      <c r="J16" s="103"/>
      <c r="K16" s="102"/>
      <c r="L16" s="101"/>
      <c r="M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>
      <c r="A17" s="97"/>
      <c r="B17" s="97"/>
      <c r="C17" s="97"/>
      <c r="D17" s="97"/>
      <c r="E17" s="98"/>
      <c r="F17" s="100"/>
      <c r="G17" s="100"/>
      <c r="H17" s="100"/>
      <c r="I17" s="100"/>
      <c r="J17" s="100"/>
      <c r="K17" s="99"/>
      <c r="L17" s="98"/>
      <c r="M17" s="100"/>
      <c r="N17" s="97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</row>
    <row r="18">
      <c r="E18" s="101"/>
      <c r="F18" s="103"/>
      <c r="G18" s="103"/>
      <c r="H18" s="103"/>
      <c r="I18" s="103"/>
      <c r="J18" s="103"/>
      <c r="K18" s="102"/>
      <c r="L18" s="101"/>
      <c r="M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97"/>
      <c r="B19" s="97"/>
      <c r="C19" s="97"/>
      <c r="D19" s="97"/>
      <c r="E19" s="98"/>
      <c r="F19" s="100"/>
      <c r="G19" s="100"/>
      <c r="H19" s="100"/>
      <c r="I19" s="100"/>
      <c r="J19" s="100"/>
      <c r="K19" s="99"/>
      <c r="L19" s="98"/>
      <c r="M19" s="100"/>
      <c r="N19" s="97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>
      <c r="E20" s="101"/>
      <c r="F20" s="103"/>
      <c r="G20" s="103"/>
      <c r="H20" s="103"/>
      <c r="I20" s="103"/>
      <c r="J20" s="103"/>
      <c r="K20" s="102"/>
      <c r="L20" s="101"/>
      <c r="M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97"/>
      <c r="B21" s="97"/>
      <c r="C21" s="97"/>
      <c r="D21" s="97"/>
      <c r="E21" s="98"/>
      <c r="F21" s="100"/>
      <c r="G21" s="100"/>
      <c r="H21" s="100"/>
      <c r="I21" s="100"/>
      <c r="J21" s="100"/>
      <c r="K21" s="99"/>
      <c r="L21" s="98"/>
      <c r="M21" s="100"/>
      <c r="N21" s="97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>
      <c r="E22" s="101"/>
      <c r="F22" s="103"/>
      <c r="G22" s="103"/>
      <c r="H22" s="103"/>
      <c r="I22" s="103"/>
      <c r="J22" s="103"/>
      <c r="K22" s="102"/>
      <c r="L22" s="101"/>
      <c r="M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97"/>
      <c r="B23" s="97"/>
      <c r="C23" s="97"/>
      <c r="D23" s="97"/>
      <c r="E23" s="98"/>
      <c r="F23" s="100"/>
      <c r="G23" s="100"/>
      <c r="H23" s="100"/>
      <c r="I23" s="100"/>
      <c r="J23" s="100"/>
      <c r="K23" s="99"/>
      <c r="L23" s="98"/>
      <c r="M23" s="100"/>
      <c r="N23" s="97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>
      <c r="E24" s="101"/>
      <c r="F24" s="103"/>
      <c r="G24" s="103"/>
      <c r="H24" s="103"/>
      <c r="I24" s="103"/>
      <c r="J24" s="103"/>
      <c r="K24" s="102"/>
      <c r="L24" s="101"/>
      <c r="M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97"/>
      <c r="B25" s="97"/>
      <c r="C25" s="97"/>
      <c r="D25" s="97"/>
      <c r="E25" s="98"/>
      <c r="F25" s="100"/>
      <c r="G25" s="100"/>
      <c r="H25" s="100"/>
      <c r="I25" s="100"/>
      <c r="J25" s="100"/>
      <c r="K25" s="99"/>
      <c r="L25" s="98"/>
      <c r="M25" s="100"/>
      <c r="N25" s="97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>
      <c r="E26" s="101"/>
      <c r="F26" s="103"/>
      <c r="G26" s="103"/>
      <c r="H26" s="103"/>
      <c r="I26" s="103"/>
      <c r="J26" s="103"/>
      <c r="K26" s="102"/>
      <c r="L26" s="101"/>
      <c r="M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97"/>
      <c r="B27" s="97"/>
      <c r="C27" s="97"/>
      <c r="D27" s="97"/>
      <c r="E27" s="98"/>
      <c r="F27" s="100"/>
      <c r="G27" s="100"/>
      <c r="H27" s="100"/>
      <c r="I27" s="100"/>
      <c r="J27" s="100"/>
      <c r="K27" s="99"/>
      <c r="L27" s="98"/>
      <c r="M27" s="100"/>
      <c r="N27" s="97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>
      <c r="E28" s="101"/>
      <c r="F28" s="103"/>
      <c r="G28" s="103"/>
      <c r="H28" s="103"/>
      <c r="I28" s="103"/>
      <c r="J28" s="103"/>
      <c r="K28" s="102"/>
      <c r="L28" s="101"/>
      <c r="M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97"/>
      <c r="B29" s="97"/>
      <c r="C29" s="97"/>
      <c r="D29" s="97"/>
      <c r="E29" s="98"/>
      <c r="F29" s="100"/>
      <c r="G29" s="100"/>
      <c r="H29" s="100"/>
      <c r="I29" s="100"/>
      <c r="J29" s="100"/>
      <c r="K29" s="99"/>
      <c r="L29" s="98"/>
      <c r="M29" s="100"/>
      <c r="N29" s="97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>
      <c r="E30" s="101"/>
      <c r="F30" s="103"/>
      <c r="G30" s="103"/>
      <c r="H30" s="103"/>
      <c r="I30" s="103"/>
      <c r="J30" s="103"/>
      <c r="K30" s="102"/>
      <c r="L30" s="101"/>
      <c r="M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</row>
    <row r="31">
      <c r="A31" s="97"/>
      <c r="B31" s="97"/>
      <c r="C31" s="97"/>
      <c r="D31" s="97"/>
      <c r="E31" s="98"/>
      <c r="F31" s="100"/>
      <c r="G31" s="100"/>
      <c r="H31" s="100"/>
      <c r="I31" s="100"/>
      <c r="J31" s="100"/>
      <c r="K31" s="99"/>
      <c r="L31" s="98"/>
      <c r="M31" s="100"/>
      <c r="N31" s="97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</row>
    <row r="32">
      <c r="E32" s="101"/>
      <c r="F32" s="103"/>
      <c r="G32" s="103"/>
      <c r="H32" s="103"/>
      <c r="I32" s="103"/>
      <c r="J32" s="103"/>
      <c r="K32" s="102"/>
      <c r="L32" s="101"/>
      <c r="M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</row>
    <row r="33">
      <c r="A33" s="97"/>
      <c r="B33" s="97"/>
      <c r="C33" s="97"/>
      <c r="D33" s="97"/>
      <c r="E33" s="98"/>
      <c r="F33" s="100"/>
      <c r="G33" s="100"/>
      <c r="H33" s="100"/>
      <c r="I33" s="100"/>
      <c r="J33" s="100"/>
      <c r="K33" s="99"/>
      <c r="L33" s="98"/>
      <c r="M33" s="100"/>
      <c r="N33" s="97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</row>
    <row r="34">
      <c r="E34" s="101"/>
      <c r="F34" s="103"/>
      <c r="G34" s="103"/>
      <c r="H34" s="103"/>
      <c r="I34" s="103"/>
      <c r="J34" s="103"/>
      <c r="K34" s="102"/>
      <c r="L34" s="101"/>
      <c r="M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</row>
    <row r="35">
      <c r="A35" s="97"/>
      <c r="B35" s="97"/>
      <c r="C35" s="97"/>
      <c r="D35" s="97"/>
      <c r="E35" s="98"/>
      <c r="F35" s="100"/>
      <c r="G35" s="100"/>
      <c r="H35" s="100"/>
      <c r="I35" s="100"/>
      <c r="J35" s="100"/>
      <c r="K35" s="99"/>
      <c r="L35" s="98"/>
      <c r="M35" s="100"/>
      <c r="N35" s="97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</row>
    <row r="36">
      <c r="E36" s="101"/>
      <c r="F36" s="103"/>
      <c r="G36" s="103"/>
      <c r="H36" s="103"/>
      <c r="I36" s="103"/>
      <c r="J36" s="103"/>
      <c r="K36" s="102"/>
      <c r="L36" s="101"/>
      <c r="M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</row>
    <row r="37">
      <c r="A37" s="97"/>
      <c r="B37" s="97"/>
      <c r="C37" s="97"/>
      <c r="D37" s="97"/>
      <c r="E37" s="98"/>
      <c r="F37" s="100"/>
      <c r="G37" s="100"/>
      <c r="H37" s="100"/>
      <c r="I37" s="100"/>
      <c r="J37" s="100"/>
      <c r="K37" s="99"/>
      <c r="L37" s="98"/>
      <c r="M37" s="100"/>
      <c r="N37" s="97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</row>
    <row r="38">
      <c r="E38" s="101"/>
      <c r="F38" s="103"/>
      <c r="G38" s="103"/>
      <c r="H38" s="103"/>
      <c r="I38" s="103"/>
      <c r="J38" s="103"/>
      <c r="K38" s="102"/>
      <c r="L38" s="101"/>
      <c r="M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</row>
    <row r="39">
      <c r="A39" s="97"/>
      <c r="B39" s="97"/>
      <c r="C39" s="97"/>
      <c r="D39" s="97"/>
      <c r="E39" s="98"/>
      <c r="F39" s="100"/>
      <c r="G39" s="100"/>
      <c r="H39" s="100"/>
      <c r="I39" s="100"/>
      <c r="J39" s="100"/>
      <c r="K39" s="99"/>
      <c r="L39" s="98"/>
      <c r="M39" s="100"/>
      <c r="N39" s="97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</row>
    <row r="40">
      <c r="E40" s="101"/>
      <c r="F40" s="103"/>
      <c r="G40" s="103"/>
      <c r="H40" s="103"/>
      <c r="I40" s="103"/>
      <c r="J40" s="103"/>
      <c r="K40" s="102"/>
      <c r="L40" s="101"/>
      <c r="M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</row>
    <row r="41">
      <c r="A41" s="97"/>
      <c r="B41" s="97"/>
      <c r="C41" s="97"/>
      <c r="D41" s="97"/>
      <c r="E41" s="98"/>
      <c r="F41" s="100"/>
      <c r="G41" s="100"/>
      <c r="H41" s="100"/>
      <c r="I41" s="100"/>
      <c r="J41" s="100"/>
      <c r="K41" s="99"/>
      <c r="L41" s="98"/>
      <c r="M41" s="100"/>
      <c r="N41" s="97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</row>
    <row r="42">
      <c r="E42" s="101"/>
      <c r="F42" s="103"/>
      <c r="G42" s="103"/>
      <c r="H42" s="103"/>
      <c r="I42" s="103"/>
      <c r="J42" s="103"/>
      <c r="K42" s="102"/>
      <c r="L42" s="101"/>
      <c r="M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</row>
    <row r="43">
      <c r="A43" s="97"/>
      <c r="B43" s="97"/>
      <c r="C43" s="97"/>
      <c r="D43" s="97"/>
      <c r="E43" s="98"/>
      <c r="F43" s="100"/>
      <c r="G43" s="100"/>
      <c r="H43" s="100"/>
      <c r="I43" s="100"/>
      <c r="J43" s="100"/>
      <c r="K43" s="99"/>
      <c r="L43" s="98"/>
      <c r="M43" s="100"/>
      <c r="N43" s="97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</row>
    <row r="44">
      <c r="E44" s="101"/>
      <c r="F44" s="103"/>
      <c r="G44" s="103"/>
      <c r="H44" s="103"/>
      <c r="I44" s="103"/>
      <c r="J44" s="103"/>
      <c r="K44" s="102"/>
      <c r="L44" s="101"/>
      <c r="M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</row>
    <row r="45">
      <c r="A45" s="97"/>
      <c r="B45" s="97"/>
      <c r="C45" s="97"/>
      <c r="D45" s="97"/>
      <c r="E45" s="98"/>
      <c r="F45" s="100"/>
      <c r="G45" s="100"/>
      <c r="H45" s="100"/>
      <c r="I45" s="100"/>
      <c r="J45" s="100"/>
      <c r="K45" s="99"/>
      <c r="L45" s="98"/>
      <c r="M45" s="100"/>
      <c r="N45" s="97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</row>
    <row r="46">
      <c r="E46" s="101"/>
      <c r="F46" s="103"/>
      <c r="G46" s="103"/>
      <c r="H46" s="103"/>
      <c r="I46" s="103"/>
      <c r="J46" s="103"/>
      <c r="K46" s="102"/>
      <c r="L46" s="101"/>
      <c r="M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</row>
    <row r="47">
      <c r="A47" s="97"/>
      <c r="B47" s="97"/>
      <c r="C47" s="97"/>
      <c r="D47" s="97"/>
      <c r="E47" s="98"/>
      <c r="F47" s="100"/>
      <c r="G47" s="100"/>
      <c r="H47" s="100"/>
      <c r="I47" s="100"/>
      <c r="J47" s="100"/>
      <c r="K47" s="99"/>
      <c r="L47" s="98"/>
      <c r="M47" s="100"/>
      <c r="N47" s="97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</row>
    <row r="48">
      <c r="E48" s="101"/>
      <c r="F48" s="103"/>
      <c r="G48" s="103"/>
      <c r="H48" s="103"/>
      <c r="I48" s="103"/>
      <c r="J48" s="103"/>
      <c r="K48" s="102"/>
      <c r="L48" s="101"/>
      <c r="M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</row>
    <row r="49">
      <c r="A49" s="97"/>
      <c r="B49" s="97"/>
      <c r="C49" s="97"/>
      <c r="D49" s="97"/>
      <c r="E49" s="98"/>
      <c r="F49" s="100"/>
      <c r="G49" s="100"/>
      <c r="H49" s="100"/>
      <c r="I49" s="100"/>
      <c r="J49" s="100"/>
      <c r="K49" s="99"/>
      <c r="L49" s="98"/>
      <c r="M49" s="100"/>
      <c r="N49" s="97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</row>
    <row r="50">
      <c r="E50" s="101"/>
      <c r="F50" s="103"/>
      <c r="G50" s="103"/>
      <c r="H50" s="103"/>
      <c r="I50" s="103"/>
      <c r="J50" s="103"/>
      <c r="K50" s="102"/>
      <c r="L50" s="101"/>
      <c r="M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</row>
    <row r="51">
      <c r="A51" s="97"/>
      <c r="B51" s="97"/>
      <c r="C51" s="97"/>
      <c r="D51" s="97"/>
      <c r="E51" s="98"/>
      <c r="F51" s="100"/>
      <c r="G51" s="100"/>
      <c r="H51" s="100"/>
      <c r="I51" s="100"/>
      <c r="J51" s="100"/>
      <c r="K51" s="99"/>
      <c r="L51" s="98"/>
      <c r="M51" s="100"/>
      <c r="N51" s="97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E52" s="101"/>
      <c r="F52" s="103"/>
      <c r="G52" s="103"/>
      <c r="H52" s="103"/>
      <c r="I52" s="103"/>
      <c r="J52" s="103"/>
      <c r="K52" s="102"/>
      <c r="L52" s="101"/>
      <c r="M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</row>
    <row r="53">
      <c r="A53" s="97"/>
      <c r="B53" s="97"/>
      <c r="C53" s="97"/>
      <c r="D53" s="97"/>
      <c r="E53" s="98"/>
      <c r="F53" s="100"/>
      <c r="G53" s="100"/>
      <c r="H53" s="100"/>
      <c r="I53" s="100"/>
      <c r="J53" s="100"/>
      <c r="K53" s="99"/>
      <c r="L53" s="98"/>
      <c r="M53" s="100"/>
      <c r="N53" s="97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</row>
    <row r="54">
      <c r="E54" s="101"/>
      <c r="F54" s="103"/>
      <c r="G54" s="103"/>
      <c r="H54" s="103"/>
      <c r="I54" s="103"/>
      <c r="J54" s="103"/>
      <c r="K54" s="102"/>
      <c r="L54" s="101"/>
      <c r="M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</row>
    <row r="55">
      <c r="A55" s="97"/>
      <c r="B55" s="97"/>
      <c r="C55" s="97"/>
      <c r="D55" s="97"/>
      <c r="E55" s="98"/>
      <c r="F55" s="100"/>
      <c r="G55" s="100"/>
      <c r="H55" s="100"/>
      <c r="I55" s="100"/>
      <c r="J55" s="100"/>
      <c r="K55" s="99"/>
      <c r="L55" s="98"/>
      <c r="M55" s="100"/>
      <c r="N55" s="97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</row>
    <row r="56">
      <c r="E56" s="101"/>
      <c r="F56" s="103"/>
      <c r="G56" s="103"/>
      <c r="H56" s="103"/>
      <c r="I56" s="103"/>
      <c r="J56" s="103"/>
      <c r="K56" s="102"/>
      <c r="L56" s="101"/>
      <c r="M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</row>
    <row r="57">
      <c r="A57" s="97"/>
      <c r="B57" s="97"/>
      <c r="C57" s="97"/>
      <c r="D57" s="97"/>
      <c r="E57" s="98"/>
      <c r="F57" s="100"/>
      <c r="G57" s="100"/>
      <c r="H57" s="100"/>
      <c r="I57" s="100"/>
      <c r="J57" s="100"/>
      <c r="K57" s="99"/>
      <c r="L57" s="98"/>
      <c r="M57" s="100"/>
      <c r="N57" s="97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</row>
    <row r="58">
      <c r="E58" s="101"/>
      <c r="F58" s="103"/>
      <c r="G58" s="103"/>
      <c r="H58" s="103"/>
      <c r="I58" s="103"/>
      <c r="J58" s="103"/>
      <c r="K58" s="102"/>
      <c r="L58" s="101"/>
      <c r="M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</row>
    <row r="59">
      <c r="A59" s="97"/>
      <c r="B59" s="97"/>
      <c r="C59" s="97"/>
      <c r="D59" s="97"/>
      <c r="E59" s="98"/>
      <c r="F59" s="100"/>
      <c r="G59" s="100"/>
      <c r="H59" s="100"/>
      <c r="I59" s="100"/>
      <c r="J59" s="100"/>
      <c r="K59" s="99"/>
      <c r="L59" s="98"/>
      <c r="M59" s="100"/>
      <c r="N59" s="9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</row>
    <row r="60">
      <c r="E60" s="101"/>
      <c r="F60" s="103"/>
      <c r="G60" s="103"/>
      <c r="H60" s="103"/>
      <c r="I60" s="103"/>
      <c r="J60" s="103"/>
      <c r="K60" s="102"/>
      <c r="L60" s="101"/>
      <c r="M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</row>
    <row r="61">
      <c r="A61" s="97"/>
      <c r="B61" s="97"/>
      <c r="C61" s="97"/>
      <c r="D61" s="97"/>
      <c r="E61" s="98"/>
      <c r="F61" s="100"/>
      <c r="G61" s="100"/>
      <c r="H61" s="100"/>
      <c r="I61" s="100"/>
      <c r="J61" s="100"/>
      <c r="K61" s="99"/>
      <c r="L61" s="98"/>
      <c r="M61" s="100"/>
      <c r="N61" s="97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</row>
    <row r="62">
      <c r="E62" s="101"/>
      <c r="F62" s="103"/>
      <c r="G62" s="103"/>
      <c r="H62" s="103"/>
      <c r="I62" s="103"/>
      <c r="J62" s="103"/>
      <c r="K62" s="102"/>
      <c r="L62" s="101"/>
      <c r="M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</row>
    <row r="63">
      <c r="A63" s="97"/>
      <c r="B63" s="97"/>
      <c r="C63" s="97"/>
      <c r="D63" s="97"/>
      <c r="E63" s="98"/>
      <c r="F63" s="100"/>
      <c r="G63" s="100"/>
      <c r="H63" s="100"/>
      <c r="I63" s="100"/>
      <c r="J63" s="100"/>
      <c r="K63" s="99"/>
      <c r="L63" s="98"/>
      <c r="M63" s="100"/>
      <c r="N63" s="9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</row>
    <row r="64">
      <c r="E64" s="101"/>
      <c r="F64" s="103"/>
      <c r="G64" s="103"/>
      <c r="H64" s="103"/>
      <c r="I64" s="103"/>
      <c r="J64" s="103"/>
      <c r="K64" s="102"/>
      <c r="L64" s="101"/>
      <c r="M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</row>
    <row r="65">
      <c r="A65" s="97"/>
      <c r="B65" s="97"/>
      <c r="C65" s="97"/>
      <c r="D65" s="97"/>
      <c r="E65" s="98"/>
      <c r="F65" s="100"/>
      <c r="G65" s="100"/>
      <c r="H65" s="100"/>
      <c r="I65" s="100"/>
      <c r="J65" s="100"/>
      <c r="K65" s="99"/>
      <c r="L65" s="98"/>
      <c r="M65" s="100"/>
      <c r="N65" s="9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</row>
    <row r="66">
      <c r="E66" s="101"/>
      <c r="F66" s="103"/>
      <c r="G66" s="103"/>
      <c r="H66" s="103"/>
      <c r="I66" s="103"/>
      <c r="J66" s="103"/>
      <c r="K66" s="102"/>
      <c r="L66" s="101"/>
      <c r="M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</row>
    <row r="67">
      <c r="A67" s="97"/>
      <c r="B67" s="97"/>
      <c r="C67" s="97"/>
      <c r="D67" s="97"/>
      <c r="E67" s="98"/>
      <c r="F67" s="100"/>
      <c r="G67" s="100"/>
      <c r="H67" s="100"/>
      <c r="I67" s="100"/>
      <c r="J67" s="100"/>
      <c r="K67" s="99"/>
      <c r="L67" s="98"/>
      <c r="M67" s="100"/>
      <c r="N67" s="97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</row>
    <row r="68">
      <c r="E68" s="101"/>
      <c r="F68" s="103"/>
      <c r="G68" s="103"/>
      <c r="H68" s="103"/>
      <c r="I68" s="103"/>
      <c r="J68" s="103"/>
      <c r="K68" s="102"/>
      <c r="L68" s="101"/>
      <c r="M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</row>
    <row r="69">
      <c r="A69" s="97"/>
      <c r="B69" s="97"/>
      <c r="C69" s="97"/>
      <c r="D69" s="97"/>
      <c r="E69" s="98"/>
      <c r="F69" s="100"/>
      <c r="G69" s="100"/>
      <c r="H69" s="100"/>
      <c r="I69" s="100"/>
      <c r="J69" s="100"/>
      <c r="K69" s="99"/>
      <c r="L69" s="98"/>
      <c r="M69" s="100"/>
      <c r="N69" s="97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</row>
    <row r="70">
      <c r="E70" s="101"/>
      <c r="F70" s="103"/>
      <c r="G70" s="103"/>
      <c r="H70" s="103"/>
      <c r="I70" s="103"/>
      <c r="J70" s="103"/>
      <c r="K70" s="102"/>
      <c r="L70" s="101"/>
      <c r="M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</row>
    <row r="71">
      <c r="A71" s="97"/>
      <c r="B71" s="97"/>
      <c r="C71" s="97"/>
      <c r="D71" s="97"/>
      <c r="E71" s="98"/>
      <c r="F71" s="100"/>
      <c r="G71" s="100"/>
      <c r="H71" s="100"/>
      <c r="I71" s="100"/>
      <c r="J71" s="100"/>
      <c r="K71" s="99"/>
      <c r="L71" s="98"/>
      <c r="M71" s="100"/>
      <c r="N71" s="97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</row>
    <row r="72">
      <c r="E72" s="101"/>
      <c r="F72" s="103"/>
      <c r="G72" s="103"/>
      <c r="H72" s="103"/>
      <c r="I72" s="103"/>
      <c r="J72" s="103"/>
      <c r="K72" s="102"/>
      <c r="L72" s="101"/>
      <c r="M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</row>
    <row r="73">
      <c r="A73" s="97"/>
      <c r="B73" s="97"/>
      <c r="C73" s="97"/>
      <c r="D73" s="97"/>
      <c r="E73" s="98"/>
      <c r="F73" s="100"/>
      <c r="G73" s="100"/>
      <c r="H73" s="100"/>
      <c r="I73" s="100"/>
      <c r="J73" s="100"/>
      <c r="K73" s="99"/>
      <c r="L73" s="98"/>
      <c r="M73" s="100"/>
      <c r="N73" s="97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</row>
    <row r="74">
      <c r="E74" s="101"/>
      <c r="F74" s="103"/>
      <c r="G74" s="103"/>
      <c r="H74" s="103"/>
      <c r="I74" s="103"/>
      <c r="J74" s="103"/>
      <c r="K74" s="102"/>
      <c r="L74" s="101"/>
      <c r="M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</row>
    <row r="75">
      <c r="A75" s="97"/>
      <c r="B75" s="97"/>
      <c r="C75" s="97"/>
      <c r="D75" s="97"/>
      <c r="E75" s="98"/>
      <c r="F75" s="100"/>
      <c r="G75" s="100"/>
      <c r="H75" s="100"/>
      <c r="I75" s="100"/>
      <c r="J75" s="100"/>
      <c r="K75" s="99"/>
      <c r="L75" s="98"/>
      <c r="M75" s="100"/>
      <c r="N75" s="97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</row>
    <row r="76">
      <c r="E76" s="101"/>
      <c r="F76" s="103"/>
      <c r="G76" s="103"/>
      <c r="H76" s="103"/>
      <c r="I76" s="103"/>
      <c r="J76" s="103"/>
      <c r="K76" s="102"/>
      <c r="L76" s="101"/>
      <c r="M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</row>
    <row r="77">
      <c r="A77" s="97"/>
      <c r="B77" s="97"/>
      <c r="C77" s="97"/>
      <c r="D77" s="97"/>
      <c r="E77" s="98"/>
      <c r="F77" s="100"/>
      <c r="G77" s="100"/>
      <c r="H77" s="100"/>
      <c r="I77" s="100"/>
      <c r="J77" s="100"/>
      <c r="K77" s="99"/>
      <c r="L77" s="98"/>
      <c r="M77" s="100"/>
      <c r="N77" s="97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</row>
    <row r="78">
      <c r="E78" s="101"/>
      <c r="F78" s="103"/>
      <c r="G78" s="103"/>
      <c r="H78" s="103"/>
      <c r="I78" s="103"/>
      <c r="J78" s="103"/>
      <c r="K78" s="102"/>
      <c r="L78" s="101"/>
      <c r="M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</row>
    <row r="79">
      <c r="A79" s="97"/>
      <c r="B79" s="97"/>
      <c r="C79" s="97"/>
      <c r="D79" s="97"/>
      <c r="E79" s="98"/>
      <c r="F79" s="100"/>
      <c r="G79" s="100"/>
      <c r="H79" s="100"/>
      <c r="I79" s="100"/>
      <c r="J79" s="100"/>
      <c r="K79" s="99"/>
      <c r="L79" s="98"/>
      <c r="M79" s="100"/>
      <c r="N79" s="97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</row>
    <row r="80">
      <c r="E80" s="101"/>
      <c r="F80" s="103"/>
      <c r="G80" s="103"/>
      <c r="H80" s="103"/>
      <c r="I80" s="103"/>
      <c r="J80" s="103"/>
      <c r="K80" s="102"/>
      <c r="L80" s="101"/>
      <c r="M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</row>
    <row r="81">
      <c r="A81" s="97"/>
      <c r="B81" s="97"/>
      <c r="C81" s="97"/>
      <c r="D81" s="97"/>
      <c r="E81" s="98"/>
      <c r="F81" s="100"/>
      <c r="G81" s="100"/>
      <c r="H81" s="100"/>
      <c r="I81" s="100"/>
      <c r="J81" s="100"/>
      <c r="K81" s="99"/>
      <c r="L81" s="98"/>
      <c r="M81" s="100"/>
      <c r="N81" s="97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</row>
    <row r="82">
      <c r="E82" s="101"/>
      <c r="F82" s="103"/>
      <c r="G82" s="103"/>
      <c r="H82" s="103"/>
      <c r="I82" s="103"/>
      <c r="J82" s="103"/>
      <c r="K82" s="102"/>
      <c r="L82" s="101"/>
      <c r="M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</row>
    <row r="83">
      <c r="A83" s="97"/>
      <c r="B83" s="97"/>
      <c r="C83" s="97"/>
      <c r="D83" s="97"/>
      <c r="E83" s="98"/>
      <c r="F83" s="100"/>
      <c r="G83" s="100"/>
      <c r="H83" s="100"/>
      <c r="I83" s="100"/>
      <c r="J83" s="100"/>
      <c r="K83" s="99"/>
      <c r="L83" s="98"/>
      <c r="M83" s="100"/>
      <c r="N83" s="97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</row>
    <row r="84">
      <c r="E84" s="101"/>
      <c r="F84" s="103"/>
      <c r="G84" s="103"/>
      <c r="H84" s="103"/>
      <c r="I84" s="103"/>
      <c r="J84" s="103"/>
      <c r="K84" s="102"/>
      <c r="L84" s="101"/>
      <c r="M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</row>
    <row r="85">
      <c r="A85" s="97"/>
      <c r="B85" s="97"/>
      <c r="C85" s="97"/>
      <c r="D85" s="97"/>
      <c r="E85" s="98"/>
      <c r="F85" s="100"/>
      <c r="G85" s="100"/>
      <c r="H85" s="100"/>
      <c r="I85" s="100"/>
      <c r="J85" s="100"/>
      <c r="K85" s="99"/>
      <c r="L85" s="98"/>
      <c r="M85" s="100"/>
      <c r="N85" s="97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</row>
    <row r="86">
      <c r="E86" s="101"/>
      <c r="F86" s="103"/>
      <c r="G86" s="103"/>
      <c r="H86" s="103"/>
      <c r="I86" s="103"/>
      <c r="J86" s="103"/>
      <c r="K86" s="102"/>
      <c r="L86" s="101"/>
      <c r="M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</row>
    <row r="87">
      <c r="A87" s="97"/>
      <c r="B87" s="97"/>
      <c r="C87" s="97"/>
      <c r="D87" s="97"/>
      <c r="E87" s="98"/>
      <c r="F87" s="100"/>
      <c r="G87" s="100"/>
      <c r="H87" s="100"/>
      <c r="I87" s="100"/>
      <c r="J87" s="100"/>
      <c r="K87" s="99"/>
      <c r="L87" s="98"/>
      <c r="M87" s="100"/>
      <c r="N87" s="97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</row>
    <row r="88">
      <c r="E88" s="101"/>
      <c r="F88" s="103"/>
      <c r="G88" s="103"/>
      <c r="H88" s="103"/>
      <c r="I88" s="103"/>
      <c r="J88" s="103"/>
      <c r="K88" s="102"/>
      <c r="L88" s="101"/>
      <c r="M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</row>
    <row r="89">
      <c r="A89" s="97"/>
      <c r="B89" s="97"/>
      <c r="C89" s="97"/>
      <c r="D89" s="97"/>
      <c r="E89" s="98"/>
      <c r="F89" s="100"/>
      <c r="G89" s="100"/>
      <c r="H89" s="100"/>
      <c r="I89" s="100"/>
      <c r="J89" s="100"/>
      <c r="K89" s="99"/>
      <c r="L89" s="98"/>
      <c r="M89" s="100"/>
      <c r="N89" s="97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</row>
    <row r="90">
      <c r="E90" s="101"/>
      <c r="F90" s="103"/>
      <c r="G90" s="103"/>
      <c r="H90" s="103"/>
      <c r="I90" s="103"/>
      <c r="J90" s="103"/>
      <c r="K90" s="102"/>
      <c r="L90" s="101"/>
      <c r="M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</row>
    <row r="91">
      <c r="A91" s="97"/>
      <c r="B91" s="97"/>
      <c r="C91" s="97"/>
      <c r="D91" s="97"/>
      <c r="E91" s="98"/>
      <c r="F91" s="100"/>
      <c r="G91" s="100"/>
      <c r="H91" s="100"/>
      <c r="I91" s="100"/>
      <c r="J91" s="100"/>
      <c r="K91" s="99"/>
      <c r="L91" s="98"/>
      <c r="M91" s="100"/>
      <c r="N91" s="97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</row>
    <row r="92">
      <c r="E92" s="101"/>
      <c r="F92" s="103"/>
      <c r="G92" s="103"/>
      <c r="H92" s="103"/>
      <c r="I92" s="103"/>
      <c r="J92" s="103"/>
      <c r="K92" s="102"/>
      <c r="L92" s="101"/>
      <c r="M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</row>
    <row r="93">
      <c r="A93" s="97"/>
      <c r="B93" s="97"/>
      <c r="C93" s="97"/>
      <c r="D93" s="97"/>
      <c r="E93" s="98"/>
      <c r="F93" s="100"/>
      <c r="G93" s="100"/>
      <c r="H93" s="100"/>
      <c r="I93" s="100"/>
      <c r="J93" s="100"/>
      <c r="K93" s="99"/>
      <c r="L93" s="98"/>
      <c r="M93" s="100"/>
      <c r="N93" s="97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</row>
    <row r="94">
      <c r="E94" s="101"/>
      <c r="F94" s="103"/>
      <c r="G94" s="103"/>
      <c r="H94" s="103"/>
      <c r="I94" s="103"/>
      <c r="J94" s="103"/>
      <c r="K94" s="102"/>
      <c r="L94" s="101"/>
      <c r="M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</row>
    <row r="95">
      <c r="A95" s="97"/>
      <c r="B95" s="97"/>
      <c r="C95" s="97"/>
      <c r="D95" s="97"/>
      <c r="E95" s="98"/>
      <c r="F95" s="100"/>
      <c r="G95" s="100"/>
      <c r="H95" s="100"/>
      <c r="I95" s="100"/>
      <c r="J95" s="100"/>
      <c r="K95" s="99"/>
      <c r="L95" s="98"/>
      <c r="M95" s="100"/>
      <c r="N95" s="97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</row>
    <row r="96">
      <c r="E96" s="101"/>
      <c r="F96" s="103"/>
      <c r="G96" s="103"/>
      <c r="H96" s="103"/>
      <c r="I96" s="103"/>
      <c r="J96" s="103"/>
      <c r="K96" s="102"/>
      <c r="L96" s="101"/>
      <c r="M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</row>
    <row r="97">
      <c r="A97" s="97"/>
      <c r="B97" s="97"/>
      <c r="C97" s="97"/>
      <c r="D97" s="97"/>
      <c r="E97" s="98"/>
      <c r="F97" s="100"/>
      <c r="G97" s="100"/>
      <c r="H97" s="100"/>
      <c r="I97" s="100"/>
      <c r="J97" s="100"/>
      <c r="K97" s="99"/>
      <c r="L97" s="98"/>
      <c r="M97" s="100"/>
      <c r="N97" s="97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</row>
    <row r="98">
      <c r="E98" s="101"/>
      <c r="F98" s="103"/>
      <c r="G98" s="103"/>
      <c r="H98" s="103"/>
      <c r="I98" s="103"/>
      <c r="J98" s="103"/>
      <c r="K98" s="102"/>
      <c r="L98" s="101"/>
      <c r="M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</row>
    <row r="99">
      <c r="A99" s="97"/>
      <c r="B99" s="97"/>
      <c r="C99" s="97"/>
      <c r="D99" s="97"/>
      <c r="E99" s="98"/>
      <c r="F99" s="100"/>
      <c r="G99" s="100"/>
      <c r="H99" s="100"/>
      <c r="I99" s="100"/>
      <c r="J99" s="100"/>
      <c r="K99" s="99"/>
      <c r="L99" s="98"/>
      <c r="M99" s="100"/>
      <c r="N99" s="97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</row>
    <row r="100">
      <c r="E100" s="101"/>
      <c r="F100" s="103"/>
      <c r="G100" s="103"/>
      <c r="H100" s="103"/>
      <c r="I100" s="103"/>
      <c r="J100" s="103"/>
      <c r="K100" s="102"/>
      <c r="L100" s="101"/>
      <c r="M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</row>
    <row r="101">
      <c r="A101" s="97"/>
      <c r="B101" s="97"/>
      <c r="C101" s="97"/>
      <c r="D101" s="97"/>
      <c r="E101" s="98"/>
      <c r="F101" s="100"/>
      <c r="G101" s="100"/>
      <c r="H101" s="100"/>
      <c r="I101" s="100"/>
      <c r="J101" s="100"/>
      <c r="K101" s="99"/>
      <c r="L101" s="98"/>
      <c r="M101" s="100"/>
      <c r="N101" s="97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</row>
    <row r="102">
      <c r="E102" s="101"/>
      <c r="F102" s="103"/>
      <c r="G102" s="103"/>
      <c r="H102" s="103"/>
      <c r="I102" s="103"/>
      <c r="J102" s="103"/>
      <c r="K102" s="102"/>
      <c r="L102" s="101"/>
      <c r="M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</row>
    <row r="103">
      <c r="F103" s="103"/>
      <c r="G103" s="103"/>
      <c r="H103" s="103"/>
      <c r="I103" s="103"/>
      <c r="J103" s="103"/>
      <c r="M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</row>
    <row r="104">
      <c r="F104" s="103"/>
      <c r="G104" s="103"/>
      <c r="H104" s="103"/>
      <c r="I104" s="103"/>
      <c r="J104" s="103"/>
      <c r="M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</row>
    <row r="105">
      <c r="F105" s="103"/>
      <c r="G105" s="103"/>
      <c r="H105" s="103"/>
      <c r="I105" s="103"/>
      <c r="J105" s="103"/>
      <c r="M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</row>
    <row r="106">
      <c r="F106" s="103"/>
      <c r="G106" s="103"/>
      <c r="H106" s="103"/>
      <c r="I106" s="103"/>
      <c r="J106" s="103"/>
      <c r="M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</row>
    <row r="107">
      <c r="F107" s="103"/>
      <c r="G107" s="103"/>
      <c r="H107" s="103"/>
      <c r="I107" s="103"/>
      <c r="J107" s="103"/>
      <c r="M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</row>
    <row r="108">
      <c r="F108" s="103"/>
      <c r="G108" s="103"/>
      <c r="H108" s="103"/>
      <c r="I108" s="103"/>
      <c r="J108" s="103"/>
      <c r="M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</row>
    <row r="109">
      <c r="F109" s="103"/>
      <c r="G109" s="103"/>
      <c r="H109" s="103"/>
      <c r="I109" s="103"/>
      <c r="J109" s="103"/>
      <c r="M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</row>
    <row r="110">
      <c r="F110" s="103"/>
      <c r="G110" s="103"/>
      <c r="H110" s="103"/>
      <c r="I110" s="103"/>
      <c r="J110" s="103"/>
      <c r="M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</row>
    <row r="111">
      <c r="F111" s="103"/>
      <c r="G111" s="103"/>
      <c r="H111" s="103"/>
      <c r="I111" s="103"/>
      <c r="J111" s="103"/>
      <c r="M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</row>
    <row r="112">
      <c r="F112" s="103"/>
      <c r="G112" s="103"/>
      <c r="H112" s="103"/>
      <c r="I112" s="103"/>
      <c r="J112" s="103"/>
      <c r="M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</row>
    <row r="113">
      <c r="F113" s="103"/>
      <c r="G113" s="103"/>
      <c r="H113" s="103"/>
      <c r="I113" s="103"/>
      <c r="J113" s="103"/>
      <c r="M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</row>
    <row r="114">
      <c r="F114" s="103"/>
      <c r="G114" s="103"/>
      <c r="H114" s="103"/>
      <c r="I114" s="103"/>
      <c r="J114" s="103"/>
      <c r="M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</row>
    <row r="115">
      <c r="F115" s="103"/>
      <c r="G115" s="103"/>
      <c r="H115" s="103"/>
      <c r="I115" s="103"/>
      <c r="J115" s="103"/>
      <c r="M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</row>
    <row r="116">
      <c r="F116" s="103"/>
      <c r="G116" s="103"/>
      <c r="H116" s="103"/>
      <c r="I116" s="103"/>
      <c r="J116" s="103"/>
      <c r="M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</row>
    <row r="117">
      <c r="F117" s="103"/>
      <c r="G117" s="103"/>
      <c r="H117" s="103"/>
      <c r="I117" s="103"/>
      <c r="J117" s="103"/>
      <c r="M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</row>
    <row r="118">
      <c r="F118" s="103"/>
      <c r="G118" s="103"/>
      <c r="H118" s="103"/>
      <c r="I118" s="103"/>
      <c r="J118" s="103"/>
      <c r="M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</row>
  </sheetData>
  <mergeCells count="1">
    <mergeCell ref="A1:A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75" t="s">
        <v>248</v>
      </c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</row>
    <row r="3">
      <c r="A3" s="97"/>
      <c r="B3" s="97"/>
      <c r="C3" s="97"/>
      <c r="D3" s="97"/>
      <c r="E3" s="97"/>
      <c r="F3" s="100"/>
      <c r="G3" s="100"/>
      <c r="H3" s="100"/>
      <c r="I3" s="100"/>
      <c r="J3" s="100"/>
      <c r="K3" s="97"/>
      <c r="L3" s="97"/>
      <c r="M3" s="100"/>
      <c r="N3" s="97"/>
      <c r="O3" s="97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>
      <c r="E4" s="101"/>
      <c r="F4" s="103"/>
      <c r="G4" s="103"/>
      <c r="H4" s="103"/>
      <c r="I4" s="103"/>
      <c r="J4" s="103"/>
      <c r="K4" s="102"/>
      <c r="L4" s="101"/>
      <c r="M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97"/>
      <c r="B5" s="97"/>
      <c r="C5" s="97"/>
      <c r="D5" s="97"/>
      <c r="E5" s="98"/>
      <c r="F5" s="100"/>
      <c r="G5" s="100"/>
      <c r="H5" s="100"/>
      <c r="I5" s="100"/>
      <c r="J5" s="100"/>
      <c r="K5" s="99"/>
      <c r="L5" s="98"/>
      <c r="M5" s="100"/>
      <c r="N5" s="97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>
      <c r="E6" s="101"/>
      <c r="F6" s="103"/>
      <c r="G6" s="103"/>
      <c r="H6" s="103"/>
      <c r="I6" s="103"/>
      <c r="J6" s="103"/>
      <c r="K6" s="102"/>
      <c r="L6" s="101"/>
      <c r="M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>
      <c r="A7" s="97"/>
      <c r="B7" s="97"/>
      <c r="C7" s="97"/>
      <c r="D7" s="97"/>
      <c r="E7" s="98"/>
      <c r="F7" s="100"/>
      <c r="G7" s="100"/>
      <c r="H7" s="100"/>
      <c r="I7" s="100"/>
      <c r="J7" s="100"/>
      <c r="K7" s="99"/>
      <c r="L7" s="98"/>
      <c r="M7" s="100"/>
      <c r="N7" s="97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>
      <c r="E8" s="101"/>
      <c r="F8" s="103"/>
      <c r="G8" s="103"/>
      <c r="H8" s="103"/>
      <c r="I8" s="103"/>
      <c r="J8" s="103"/>
      <c r="K8" s="102"/>
      <c r="L8" s="101"/>
      <c r="M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>
      <c r="A9" s="97"/>
      <c r="B9" s="97"/>
      <c r="C9" s="97"/>
      <c r="D9" s="97"/>
      <c r="E9" s="98"/>
      <c r="F9" s="100"/>
      <c r="G9" s="100"/>
      <c r="H9" s="100"/>
      <c r="I9" s="100"/>
      <c r="J9" s="100"/>
      <c r="K9" s="99"/>
      <c r="L9" s="98"/>
      <c r="M9" s="100"/>
      <c r="N9" s="97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>
      <c r="E10" s="101"/>
      <c r="F10" s="103"/>
      <c r="G10" s="103"/>
      <c r="H10" s="103"/>
      <c r="I10" s="103"/>
      <c r="J10" s="103"/>
      <c r="K10" s="102"/>
      <c r="L10" s="101"/>
      <c r="M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>
      <c r="A11" s="97"/>
      <c r="B11" s="97"/>
      <c r="C11" s="97"/>
      <c r="D11" s="97"/>
      <c r="E11" s="98"/>
      <c r="F11" s="100"/>
      <c r="G11" s="100"/>
      <c r="H11" s="100"/>
      <c r="I11" s="100"/>
      <c r="J11" s="100"/>
      <c r="K11" s="99"/>
      <c r="L11" s="98"/>
      <c r="M11" s="100"/>
      <c r="N11" s="97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>
      <c r="E12" s="101"/>
      <c r="F12" s="103"/>
      <c r="G12" s="103"/>
      <c r="H12" s="103"/>
      <c r="I12" s="103"/>
      <c r="J12" s="103"/>
      <c r="K12" s="102"/>
      <c r="L12" s="101"/>
      <c r="M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97"/>
      <c r="B13" s="97"/>
      <c r="C13" s="97"/>
      <c r="D13" s="97"/>
      <c r="E13" s="98"/>
      <c r="F13" s="100"/>
      <c r="G13" s="100"/>
      <c r="H13" s="100"/>
      <c r="I13" s="100"/>
      <c r="J13" s="100"/>
      <c r="K13" s="99"/>
      <c r="L13" s="98"/>
      <c r="M13" s="100"/>
      <c r="N13" s="97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</row>
    <row r="14">
      <c r="E14" s="101"/>
      <c r="F14" s="103"/>
      <c r="G14" s="103"/>
      <c r="H14" s="103"/>
      <c r="I14" s="103"/>
      <c r="J14" s="103"/>
      <c r="K14" s="102"/>
      <c r="L14" s="101"/>
      <c r="M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97"/>
      <c r="B15" s="97"/>
      <c r="C15" s="97"/>
      <c r="D15" s="97"/>
      <c r="E15" s="98"/>
      <c r="F15" s="100"/>
      <c r="G15" s="100"/>
      <c r="H15" s="100"/>
      <c r="I15" s="100"/>
      <c r="J15" s="100"/>
      <c r="K15" s="99"/>
      <c r="L15" s="98"/>
      <c r="M15" s="100"/>
      <c r="N15" s="97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</row>
    <row r="16">
      <c r="E16" s="101"/>
      <c r="F16" s="103"/>
      <c r="G16" s="103"/>
      <c r="H16" s="103"/>
      <c r="I16" s="103"/>
      <c r="J16" s="103"/>
      <c r="K16" s="102"/>
      <c r="L16" s="101"/>
      <c r="M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>
      <c r="A17" s="97"/>
      <c r="B17" s="97"/>
      <c r="C17" s="97"/>
      <c r="D17" s="97"/>
      <c r="E17" s="98"/>
      <c r="F17" s="100"/>
      <c r="G17" s="100"/>
      <c r="H17" s="100"/>
      <c r="I17" s="100"/>
      <c r="J17" s="100"/>
      <c r="K17" s="99"/>
      <c r="L17" s="98"/>
      <c r="M17" s="100"/>
      <c r="N17" s="97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</row>
    <row r="18">
      <c r="E18" s="101"/>
      <c r="F18" s="103"/>
      <c r="G18" s="103"/>
      <c r="H18" s="103"/>
      <c r="I18" s="103"/>
      <c r="J18" s="103"/>
      <c r="K18" s="102"/>
      <c r="L18" s="101"/>
      <c r="M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97"/>
      <c r="B19" s="97"/>
      <c r="C19" s="97"/>
      <c r="D19" s="97"/>
      <c r="E19" s="98"/>
      <c r="F19" s="100"/>
      <c r="G19" s="100"/>
      <c r="H19" s="100"/>
      <c r="I19" s="100"/>
      <c r="J19" s="100"/>
      <c r="K19" s="99"/>
      <c r="L19" s="98"/>
      <c r="M19" s="100"/>
      <c r="N19" s="97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>
      <c r="E20" s="101"/>
      <c r="F20" s="103"/>
      <c r="G20" s="103"/>
      <c r="H20" s="103"/>
      <c r="I20" s="103"/>
      <c r="J20" s="103"/>
      <c r="K20" s="102"/>
      <c r="L20" s="101"/>
      <c r="M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97"/>
      <c r="B21" s="97"/>
      <c r="C21" s="97"/>
      <c r="D21" s="97"/>
      <c r="E21" s="98"/>
      <c r="F21" s="100"/>
      <c r="G21" s="100"/>
      <c r="H21" s="100"/>
      <c r="I21" s="100"/>
      <c r="J21" s="100"/>
      <c r="K21" s="99"/>
      <c r="L21" s="98"/>
      <c r="M21" s="100"/>
      <c r="N21" s="97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>
      <c r="E22" s="101"/>
      <c r="F22" s="103"/>
      <c r="G22" s="103"/>
      <c r="H22" s="103"/>
      <c r="I22" s="103"/>
      <c r="J22" s="103"/>
      <c r="K22" s="102"/>
      <c r="L22" s="101"/>
      <c r="M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97"/>
      <c r="B23" s="97"/>
      <c r="C23" s="97"/>
      <c r="D23" s="97"/>
      <c r="E23" s="98"/>
      <c r="F23" s="100"/>
      <c r="G23" s="100"/>
      <c r="H23" s="100"/>
      <c r="I23" s="100"/>
      <c r="J23" s="100"/>
      <c r="K23" s="99"/>
      <c r="L23" s="98"/>
      <c r="M23" s="100"/>
      <c r="N23" s="97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>
      <c r="E24" s="101"/>
      <c r="F24" s="103"/>
      <c r="G24" s="103"/>
      <c r="H24" s="103"/>
      <c r="I24" s="103"/>
      <c r="J24" s="103"/>
      <c r="K24" s="102"/>
      <c r="L24" s="101"/>
      <c r="M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97"/>
      <c r="B25" s="97"/>
      <c r="C25" s="97"/>
      <c r="D25" s="97"/>
      <c r="E25" s="98"/>
      <c r="F25" s="100"/>
      <c r="G25" s="100"/>
      <c r="H25" s="100"/>
      <c r="I25" s="100"/>
      <c r="J25" s="100"/>
      <c r="K25" s="99"/>
      <c r="L25" s="98"/>
      <c r="M25" s="100"/>
      <c r="N25" s="97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>
      <c r="E26" s="101"/>
      <c r="F26" s="103"/>
      <c r="G26" s="103"/>
      <c r="H26" s="103"/>
      <c r="I26" s="103"/>
      <c r="J26" s="103"/>
      <c r="K26" s="102"/>
      <c r="L26" s="101"/>
      <c r="M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97"/>
      <c r="B27" s="97"/>
      <c r="C27" s="97"/>
      <c r="D27" s="97"/>
      <c r="E27" s="98"/>
      <c r="F27" s="100"/>
      <c r="G27" s="100"/>
      <c r="H27" s="100"/>
      <c r="I27" s="100"/>
      <c r="J27" s="100"/>
      <c r="K27" s="99"/>
      <c r="L27" s="98"/>
      <c r="M27" s="100"/>
      <c r="N27" s="97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>
      <c r="E28" s="101"/>
      <c r="F28" s="103"/>
      <c r="G28" s="103"/>
      <c r="H28" s="103"/>
      <c r="I28" s="103"/>
      <c r="J28" s="103"/>
      <c r="K28" s="102"/>
      <c r="L28" s="101"/>
      <c r="M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97"/>
      <c r="B29" s="97"/>
      <c r="C29" s="97"/>
      <c r="D29" s="97"/>
      <c r="E29" s="98"/>
      <c r="F29" s="100"/>
      <c r="G29" s="100"/>
      <c r="H29" s="100"/>
      <c r="I29" s="100"/>
      <c r="J29" s="100"/>
      <c r="K29" s="99"/>
      <c r="L29" s="98"/>
      <c r="M29" s="100"/>
      <c r="N29" s="97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>
      <c r="E30" s="101"/>
      <c r="F30" s="103"/>
      <c r="G30" s="103"/>
      <c r="H30" s="103"/>
      <c r="I30" s="103"/>
      <c r="J30" s="103"/>
      <c r="K30" s="102"/>
      <c r="L30" s="101"/>
      <c r="M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</row>
    <row r="31">
      <c r="A31" s="97"/>
      <c r="B31" s="97"/>
      <c r="C31" s="97"/>
      <c r="D31" s="97"/>
      <c r="E31" s="98"/>
      <c r="F31" s="100"/>
      <c r="G31" s="100"/>
      <c r="H31" s="100"/>
      <c r="I31" s="100"/>
      <c r="J31" s="100"/>
      <c r="K31" s="99"/>
      <c r="L31" s="98"/>
      <c r="M31" s="100"/>
      <c r="N31" s="97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</row>
    <row r="32">
      <c r="E32" s="101"/>
      <c r="F32" s="103"/>
      <c r="G32" s="103"/>
      <c r="H32" s="103"/>
      <c r="I32" s="103"/>
      <c r="J32" s="103"/>
      <c r="K32" s="102"/>
      <c r="L32" s="101"/>
      <c r="M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</row>
    <row r="33">
      <c r="A33" s="97"/>
      <c r="B33" s="97"/>
      <c r="C33" s="97"/>
      <c r="D33" s="97"/>
      <c r="E33" s="98"/>
      <c r="F33" s="100"/>
      <c r="G33" s="100"/>
      <c r="H33" s="100"/>
      <c r="I33" s="100"/>
      <c r="J33" s="100"/>
      <c r="K33" s="99"/>
      <c r="L33" s="98"/>
      <c r="M33" s="100"/>
      <c r="N33" s="97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</row>
    <row r="34">
      <c r="E34" s="101"/>
      <c r="F34" s="103"/>
      <c r="G34" s="103"/>
      <c r="H34" s="103"/>
      <c r="I34" s="103"/>
      <c r="J34" s="103"/>
      <c r="K34" s="102"/>
      <c r="L34" s="101"/>
      <c r="M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</row>
    <row r="35">
      <c r="A35" s="97"/>
      <c r="B35" s="97"/>
      <c r="C35" s="97"/>
      <c r="D35" s="97"/>
      <c r="E35" s="98"/>
      <c r="F35" s="100"/>
      <c r="G35" s="100"/>
      <c r="H35" s="100"/>
      <c r="I35" s="100"/>
      <c r="J35" s="100"/>
      <c r="K35" s="99"/>
      <c r="L35" s="98"/>
      <c r="M35" s="100"/>
      <c r="N35" s="97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</row>
    <row r="36">
      <c r="E36" s="101"/>
      <c r="F36" s="103"/>
      <c r="G36" s="103"/>
      <c r="H36" s="103"/>
      <c r="I36" s="103"/>
      <c r="J36" s="103"/>
      <c r="K36" s="102"/>
      <c r="L36" s="101"/>
      <c r="M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</row>
    <row r="37">
      <c r="A37" s="97"/>
      <c r="B37" s="97"/>
      <c r="C37" s="97"/>
      <c r="D37" s="97"/>
      <c r="E37" s="98"/>
      <c r="F37" s="100"/>
      <c r="G37" s="100"/>
      <c r="H37" s="100"/>
      <c r="I37" s="100"/>
      <c r="J37" s="100"/>
      <c r="K37" s="99"/>
      <c r="L37" s="98"/>
      <c r="M37" s="100"/>
      <c r="N37" s="97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</row>
    <row r="38">
      <c r="E38" s="101"/>
      <c r="F38" s="103"/>
      <c r="G38" s="103"/>
      <c r="H38" s="103"/>
      <c r="I38" s="103"/>
      <c r="J38" s="103"/>
      <c r="K38" s="102"/>
      <c r="L38" s="101"/>
      <c r="M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</row>
    <row r="39">
      <c r="A39" s="97"/>
      <c r="B39" s="97"/>
      <c r="C39" s="97"/>
      <c r="D39" s="97"/>
      <c r="E39" s="98"/>
      <c r="F39" s="100"/>
      <c r="G39" s="100"/>
      <c r="H39" s="100"/>
      <c r="I39" s="100"/>
      <c r="J39" s="100"/>
      <c r="K39" s="99"/>
      <c r="L39" s="98"/>
      <c r="M39" s="100"/>
      <c r="N39" s="97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</row>
    <row r="40">
      <c r="E40" s="101"/>
      <c r="F40" s="103"/>
      <c r="G40" s="103"/>
      <c r="H40" s="103"/>
      <c r="I40" s="103"/>
      <c r="J40" s="103"/>
      <c r="K40" s="102"/>
      <c r="L40" s="101"/>
      <c r="M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</row>
    <row r="41">
      <c r="A41" s="97"/>
      <c r="B41" s="97"/>
      <c r="C41" s="97"/>
      <c r="D41" s="97"/>
      <c r="E41" s="98"/>
      <c r="F41" s="100"/>
      <c r="G41" s="100"/>
      <c r="H41" s="100"/>
      <c r="I41" s="100"/>
      <c r="J41" s="100"/>
      <c r="K41" s="99"/>
      <c r="L41" s="98"/>
      <c r="M41" s="100"/>
      <c r="N41" s="97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</row>
    <row r="42">
      <c r="E42" s="101"/>
      <c r="F42" s="103"/>
      <c r="G42" s="103"/>
      <c r="H42" s="103"/>
      <c r="I42" s="103"/>
      <c r="J42" s="103"/>
      <c r="K42" s="102"/>
      <c r="L42" s="101"/>
      <c r="M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</row>
    <row r="43">
      <c r="A43" s="97"/>
      <c r="B43" s="97"/>
      <c r="C43" s="97"/>
      <c r="D43" s="97"/>
      <c r="E43" s="98"/>
      <c r="F43" s="100"/>
      <c r="G43" s="100"/>
      <c r="H43" s="100"/>
      <c r="I43" s="100"/>
      <c r="J43" s="100"/>
      <c r="K43" s="99"/>
      <c r="L43" s="98"/>
      <c r="M43" s="100"/>
      <c r="N43" s="97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</row>
    <row r="44">
      <c r="E44" s="101"/>
      <c r="F44" s="103"/>
      <c r="G44" s="103"/>
      <c r="H44" s="103"/>
      <c r="I44" s="103"/>
      <c r="J44" s="103"/>
      <c r="K44" s="102"/>
      <c r="L44" s="101"/>
      <c r="M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</row>
    <row r="45">
      <c r="A45" s="97"/>
      <c r="B45" s="97"/>
      <c r="C45" s="97"/>
      <c r="D45" s="97"/>
      <c r="E45" s="98"/>
      <c r="F45" s="100"/>
      <c r="G45" s="100"/>
      <c r="H45" s="100"/>
      <c r="I45" s="100"/>
      <c r="J45" s="100"/>
      <c r="K45" s="99"/>
      <c r="L45" s="98"/>
      <c r="M45" s="100"/>
      <c r="N45" s="97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</row>
    <row r="46">
      <c r="E46" s="101"/>
      <c r="F46" s="103"/>
      <c r="G46" s="103"/>
      <c r="H46" s="103"/>
      <c r="I46" s="103"/>
      <c r="J46" s="103"/>
      <c r="K46" s="102"/>
      <c r="L46" s="101"/>
      <c r="M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</row>
    <row r="47">
      <c r="A47" s="97"/>
      <c r="B47" s="97"/>
      <c r="C47" s="97"/>
      <c r="D47" s="97"/>
      <c r="E47" s="98"/>
      <c r="F47" s="100"/>
      <c r="G47" s="100"/>
      <c r="H47" s="100"/>
      <c r="I47" s="100"/>
      <c r="J47" s="100"/>
      <c r="K47" s="99"/>
      <c r="L47" s="98"/>
      <c r="M47" s="100"/>
      <c r="N47" s="97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</row>
    <row r="48">
      <c r="E48" s="101"/>
      <c r="F48" s="103"/>
      <c r="G48" s="103"/>
      <c r="H48" s="103"/>
      <c r="I48" s="103"/>
      <c r="J48" s="103"/>
      <c r="K48" s="102"/>
      <c r="L48" s="101"/>
      <c r="M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</row>
    <row r="49">
      <c r="A49" s="97"/>
      <c r="B49" s="97"/>
      <c r="C49" s="97"/>
      <c r="D49" s="97"/>
      <c r="E49" s="98"/>
      <c r="F49" s="100"/>
      <c r="G49" s="100"/>
      <c r="H49" s="100"/>
      <c r="I49" s="100"/>
      <c r="J49" s="100"/>
      <c r="K49" s="99"/>
      <c r="L49" s="98"/>
      <c r="M49" s="100"/>
      <c r="N49" s="97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</row>
    <row r="50">
      <c r="E50" s="101"/>
      <c r="F50" s="103"/>
      <c r="G50" s="103"/>
      <c r="H50" s="103"/>
      <c r="I50" s="103"/>
      <c r="J50" s="103"/>
      <c r="K50" s="102"/>
      <c r="L50" s="101"/>
      <c r="M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</row>
    <row r="51">
      <c r="A51" s="97"/>
      <c r="B51" s="97"/>
      <c r="C51" s="97"/>
      <c r="D51" s="97"/>
      <c r="E51" s="98"/>
      <c r="F51" s="100"/>
      <c r="G51" s="100"/>
      <c r="H51" s="100"/>
      <c r="I51" s="100"/>
      <c r="J51" s="100"/>
      <c r="K51" s="99"/>
      <c r="L51" s="98"/>
      <c r="M51" s="100"/>
      <c r="N51" s="97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E52" s="101"/>
      <c r="F52" s="103"/>
      <c r="G52" s="103"/>
      <c r="H52" s="103"/>
      <c r="I52" s="103"/>
      <c r="J52" s="103"/>
      <c r="K52" s="102"/>
      <c r="L52" s="101"/>
      <c r="M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</row>
    <row r="53">
      <c r="A53" s="97"/>
      <c r="B53" s="97"/>
      <c r="C53" s="97"/>
      <c r="D53" s="97"/>
      <c r="E53" s="98"/>
      <c r="F53" s="100"/>
      <c r="G53" s="100"/>
      <c r="H53" s="100"/>
      <c r="I53" s="100"/>
      <c r="J53" s="100"/>
      <c r="K53" s="99"/>
      <c r="L53" s="98"/>
      <c r="M53" s="100"/>
      <c r="N53" s="97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</row>
    <row r="54">
      <c r="E54" s="101"/>
      <c r="F54" s="103"/>
      <c r="G54" s="103"/>
      <c r="H54" s="103"/>
      <c r="I54" s="103"/>
      <c r="J54" s="103"/>
      <c r="K54" s="102"/>
      <c r="L54" s="101"/>
      <c r="M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</row>
    <row r="55">
      <c r="A55" s="97"/>
      <c r="B55" s="97"/>
      <c r="C55" s="97"/>
      <c r="D55" s="97"/>
      <c r="E55" s="98"/>
      <c r="F55" s="100"/>
      <c r="G55" s="100"/>
      <c r="H55" s="100"/>
      <c r="I55" s="100"/>
      <c r="J55" s="100"/>
      <c r="K55" s="99"/>
      <c r="L55" s="98"/>
      <c r="M55" s="100"/>
      <c r="N55" s="97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</row>
    <row r="56">
      <c r="E56" s="101"/>
      <c r="F56" s="103"/>
      <c r="G56" s="103"/>
      <c r="H56" s="103"/>
      <c r="I56" s="103"/>
      <c r="J56" s="103"/>
      <c r="K56" s="102"/>
      <c r="L56" s="101"/>
      <c r="M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</row>
    <row r="57">
      <c r="A57" s="97"/>
      <c r="B57" s="97"/>
      <c r="C57" s="97"/>
      <c r="D57" s="97"/>
      <c r="E57" s="98"/>
      <c r="F57" s="100"/>
      <c r="G57" s="100"/>
      <c r="H57" s="100"/>
      <c r="I57" s="100"/>
      <c r="J57" s="100"/>
      <c r="K57" s="99"/>
      <c r="L57" s="98"/>
      <c r="M57" s="100"/>
      <c r="N57" s="97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</row>
    <row r="58">
      <c r="E58" s="101"/>
      <c r="F58" s="103"/>
      <c r="G58" s="103"/>
      <c r="H58" s="103"/>
      <c r="I58" s="103"/>
      <c r="J58" s="103"/>
      <c r="K58" s="102"/>
      <c r="L58" s="101"/>
      <c r="M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</row>
    <row r="59">
      <c r="A59" s="97"/>
      <c r="B59" s="97"/>
      <c r="C59" s="97"/>
      <c r="D59" s="97"/>
      <c r="E59" s="98"/>
      <c r="F59" s="100"/>
      <c r="G59" s="100"/>
      <c r="H59" s="100"/>
      <c r="I59" s="100"/>
      <c r="J59" s="100"/>
      <c r="K59" s="99"/>
      <c r="L59" s="98"/>
      <c r="M59" s="100"/>
      <c r="N59" s="9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</row>
    <row r="60">
      <c r="E60" s="101"/>
      <c r="F60" s="103"/>
      <c r="G60" s="103"/>
      <c r="H60" s="103"/>
      <c r="I60" s="103"/>
      <c r="J60" s="103"/>
      <c r="K60" s="102"/>
      <c r="L60" s="101"/>
      <c r="M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</row>
    <row r="61">
      <c r="A61" s="97"/>
      <c r="B61" s="97"/>
      <c r="C61" s="97"/>
      <c r="D61" s="97"/>
      <c r="E61" s="98"/>
      <c r="F61" s="100"/>
      <c r="G61" s="100"/>
      <c r="H61" s="100"/>
      <c r="I61" s="100"/>
      <c r="J61" s="100"/>
      <c r="K61" s="99"/>
      <c r="L61" s="98"/>
      <c r="M61" s="100"/>
      <c r="N61" s="97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</row>
    <row r="62">
      <c r="E62" s="101"/>
      <c r="F62" s="103"/>
      <c r="G62" s="103"/>
      <c r="H62" s="103"/>
      <c r="I62" s="103"/>
      <c r="J62" s="103"/>
      <c r="K62" s="102"/>
      <c r="L62" s="101"/>
      <c r="M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</row>
    <row r="63">
      <c r="A63" s="97"/>
      <c r="B63" s="97"/>
      <c r="C63" s="97"/>
      <c r="D63" s="97"/>
      <c r="E63" s="98"/>
      <c r="F63" s="100"/>
      <c r="G63" s="100"/>
      <c r="H63" s="100"/>
      <c r="I63" s="100"/>
      <c r="J63" s="100"/>
      <c r="K63" s="99"/>
      <c r="L63" s="98"/>
      <c r="M63" s="100"/>
      <c r="N63" s="9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</row>
    <row r="64">
      <c r="E64" s="101"/>
      <c r="F64" s="103"/>
      <c r="G64" s="103"/>
      <c r="H64" s="103"/>
      <c r="I64" s="103"/>
      <c r="J64" s="103"/>
      <c r="K64" s="102"/>
      <c r="L64" s="101"/>
      <c r="M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</row>
    <row r="65">
      <c r="A65" s="97"/>
      <c r="B65" s="97"/>
      <c r="C65" s="97"/>
      <c r="D65" s="97"/>
      <c r="E65" s="98"/>
      <c r="F65" s="100"/>
      <c r="G65" s="100"/>
      <c r="H65" s="100"/>
      <c r="I65" s="100"/>
      <c r="J65" s="100"/>
      <c r="K65" s="99"/>
      <c r="L65" s="98"/>
      <c r="M65" s="100"/>
      <c r="N65" s="9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</row>
    <row r="66">
      <c r="E66" s="101"/>
      <c r="F66" s="103"/>
      <c r="G66" s="103"/>
      <c r="H66" s="103"/>
      <c r="I66" s="103"/>
      <c r="J66" s="103"/>
      <c r="K66" s="102"/>
      <c r="L66" s="101"/>
      <c r="M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</row>
    <row r="67">
      <c r="A67" s="97"/>
      <c r="B67" s="97"/>
      <c r="C67" s="97"/>
      <c r="D67" s="97"/>
      <c r="E67" s="98"/>
      <c r="F67" s="100"/>
      <c r="G67" s="100"/>
      <c r="H67" s="100"/>
      <c r="I67" s="100"/>
      <c r="J67" s="100"/>
      <c r="K67" s="99"/>
      <c r="L67" s="98"/>
      <c r="M67" s="100"/>
      <c r="N67" s="97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</row>
    <row r="68">
      <c r="E68" s="101"/>
      <c r="F68" s="103"/>
      <c r="G68" s="103"/>
      <c r="H68" s="103"/>
      <c r="I68" s="103"/>
      <c r="J68" s="103"/>
      <c r="K68" s="102"/>
      <c r="L68" s="101"/>
      <c r="M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</row>
    <row r="69">
      <c r="A69" s="97"/>
      <c r="B69" s="97"/>
      <c r="C69" s="97"/>
      <c r="D69" s="97"/>
      <c r="E69" s="98"/>
      <c r="F69" s="100"/>
      <c r="G69" s="100"/>
      <c r="H69" s="100"/>
      <c r="I69" s="100"/>
      <c r="J69" s="100"/>
      <c r="K69" s="99"/>
      <c r="L69" s="98"/>
      <c r="M69" s="100"/>
      <c r="N69" s="97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</row>
    <row r="70">
      <c r="E70" s="101"/>
      <c r="F70" s="103"/>
      <c r="G70" s="103"/>
      <c r="H70" s="103"/>
      <c r="I70" s="103"/>
      <c r="J70" s="103"/>
      <c r="K70" s="102"/>
      <c r="L70" s="101"/>
      <c r="M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</row>
    <row r="71">
      <c r="A71" s="97"/>
      <c r="B71" s="97"/>
      <c r="C71" s="97"/>
      <c r="D71" s="97"/>
      <c r="E71" s="98"/>
      <c r="F71" s="100"/>
      <c r="G71" s="100"/>
      <c r="H71" s="100"/>
      <c r="I71" s="100"/>
      <c r="J71" s="100"/>
      <c r="K71" s="99"/>
      <c r="L71" s="98"/>
      <c r="M71" s="100"/>
      <c r="N71" s="97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</row>
    <row r="72">
      <c r="E72" s="101"/>
      <c r="F72" s="103"/>
      <c r="G72" s="103"/>
      <c r="H72" s="103"/>
      <c r="I72" s="103"/>
      <c r="J72" s="103"/>
      <c r="K72" s="102"/>
      <c r="L72" s="101"/>
      <c r="M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</row>
    <row r="73">
      <c r="A73" s="97"/>
      <c r="B73" s="97"/>
      <c r="C73" s="97"/>
      <c r="D73" s="97"/>
      <c r="E73" s="98"/>
      <c r="F73" s="100"/>
      <c r="G73" s="100"/>
      <c r="H73" s="100"/>
      <c r="I73" s="100"/>
      <c r="J73" s="100"/>
      <c r="K73" s="99"/>
      <c r="L73" s="98"/>
      <c r="M73" s="100"/>
      <c r="N73" s="97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</row>
    <row r="74">
      <c r="E74" s="101"/>
      <c r="F74" s="103"/>
      <c r="G74" s="103"/>
      <c r="H74" s="103"/>
      <c r="I74" s="103"/>
      <c r="J74" s="103"/>
      <c r="K74" s="102"/>
      <c r="L74" s="101"/>
      <c r="M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</row>
    <row r="75">
      <c r="A75" s="97"/>
      <c r="B75" s="97"/>
      <c r="C75" s="97"/>
      <c r="D75" s="97"/>
      <c r="E75" s="98"/>
      <c r="F75" s="100"/>
      <c r="G75" s="100"/>
      <c r="H75" s="100"/>
      <c r="I75" s="100"/>
      <c r="J75" s="100"/>
      <c r="K75" s="99"/>
      <c r="L75" s="98"/>
      <c r="M75" s="100"/>
      <c r="N75" s="97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</row>
    <row r="76">
      <c r="E76" s="101"/>
      <c r="F76" s="103"/>
      <c r="G76" s="103"/>
      <c r="H76" s="103"/>
      <c r="I76" s="103"/>
      <c r="J76" s="103"/>
      <c r="K76" s="102"/>
      <c r="L76" s="101"/>
      <c r="M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</row>
    <row r="77">
      <c r="A77" s="97"/>
      <c r="B77" s="97"/>
      <c r="C77" s="97"/>
      <c r="D77" s="97"/>
      <c r="E77" s="98"/>
      <c r="F77" s="100"/>
      <c r="G77" s="100"/>
      <c r="H77" s="100"/>
      <c r="I77" s="100"/>
      <c r="J77" s="100"/>
      <c r="K77" s="99"/>
      <c r="L77" s="98"/>
      <c r="M77" s="100"/>
      <c r="N77" s="97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</row>
    <row r="78">
      <c r="E78" s="101"/>
      <c r="F78" s="103"/>
      <c r="G78" s="103"/>
      <c r="H78" s="103"/>
      <c r="I78" s="103"/>
      <c r="J78" s="103"/>
      <c r="K78" s="102"/>
      <c r="L78" s="101"/>
      <c r="M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</row>
    <row r="79">
      <c r="A79" s="97"/>
      <c r="B79" s="97"/>
      <c r="C79" s="97"/>
      <c r="D79" s="97"/>
      <c r="E79" s="98"/>
      <c r="F79" s="100"/>
      <c r="G79" s="100"/>
      <c r="H79" s="100"/>
      <c r="I79" s="100"/>
      <c r="J79" s="100"/>
      <c r="K79" s="99"/>
      <c r="L79" s="98"/>
      <c r="M79" s="100"/>
      <c r="N79" s="97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</row>
    <row r="80">
      <c r="E80" s="101"/>
      <c r="F80" s="103"/>
      <c r="G80" s="103"/>
      <c r="H80" s="103"/>
      <c r="I80" s="103"/>
      <c r="J80" s="103"/>
      <c r="K80" s="102"/>
      <c r="L80" s="101"/>
      <c r="M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</row>
    <row r="81">
      <c r="A81" s="97"/>
      <c r="B81" s="97"/>
      <c r="C81" s="97"/>
      <c r="D81" s="97"/>
      <c r="E81" s="98"/>
      <c r="F81" s="100"/>
      <c r="G81" s="100"/>
      <c r="H81" s="100"/>
      <c r="I81" s="100"/>
      <c r="J81" s="100"/>
      <c r="K81" s="99"/>
      <c r="L81" s="98"/>
      <c r="M81" s="100"/>
      <c r="N81" s="97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</row>
    <row r="82">
      <c r="E82" s="101"/>
      <c r="F82" s="103"/>
      <c r="G82" s="103"/>
      <c r="H82" s="103"/>
      <c r="I82" s="103"/>
      <c r="J82" s="103"/>
      <c r="K82" s="102"/>
      <c r="L82" s="101"/>
      <c r="M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</row>
    <row r="83">
      <c r="A83" s="97"/>
      <c r="B83" s="97"/>
      <c r="C83" s="97"/>
      <c r="D83" s="97"/>
      <c r="E83" s="98"/>
      <c r="F83" s="100"/>
      <c r="G83" s="100"/>
      <c r="H83" s="100"/>
      <c r="I83" s="100"/>
      <c r="J83" s="100"/>
      <c r="K83" s="99"/>
      <c r="L83" s="98"/>
      <c r="M83" s="100"/>
      <c r="N83" s="97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</row>
    <row r="84">
      <c r="E84" s="101"/>
      <c r="F84" s="103"/>
      <c r="G84" s="103"/>
      <c r="H84" s="103"/>
      <c r="I84" s="103"/>
      <c r="J84" s="103"/>
      <c r="K84" s="102"/>
      <c r="L84" s="101"/>
      <c r="M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</row>
    <row r="85">
      <c r="A85" s="97"/>
      <c r="B85" s="97"/>
      <c r="C85" s="97"/>
      <c r="D85" s="97"/>
      <c r="E85" s="98"/>
      <c r="F85" s="100"/>
      <c r="G85" s="100"/>
      <c r="H85" s="100"/>
      <c r="I85" s="100"/>
      <c r="J85" s="100"/>
      <c r="K85" s="99"/>
      <c r="L85" s="98"/>
      <c r="M85" s="100"/>
      <c r="N85" s="97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</row>
    <row r="86">
      <c r="E86" s="101"/>
      <c r="F86" s="103"/>
      <c r="G86" s="103"/>
      <c r="H86" s="103"/>
      <c r="I86" s="103"/>
      <c r="J86" s="103"/>
      <c r="K86" s="102"/>
      <c r="L86" s="101"/>
      <c r="M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</row>
    <row r="87">
      <c r="A87" s="97"/>
      <c r="B87" s="97"/>
      <c r="C87" s="97"/>
      <c r="D87" s="97"/>
      <c r="E87" s="98"/>
      <c r="F87" s="100"/>
      <c r="G87" s="100"/>
      <c r="H87" s="100"/>
      <c r="I87" s="100"/>
      <c r="J87" s="100"/>
      <c r="K87" s="99"/>
      <c r="L87" s="98"/>
      <c r="M87" s="100"/>
      <c r="N87" s="97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</row>
    <row r="88">
      <c r="E88" s="101"/>
      <c r="F88" s="103"/>
      <c r="G88" s="103"/>
      <c r="H88" s="103"/>
      <c r="I88" s="103"/>
      <c r="J88" s="103"/>
      <c r="K88" s="102"/>
      <c r="L88" s="101"/>
      <c r="M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</row>
    <row r="89">
      <c r="A89" s="97"/>
      <c r="B89" s="97"/>
      <c r="C89" s="97"/>
      <c r="D89" s="97"/>
      <c r="E89" s="98"/>
      <c r="F89" s="100"/>
      <c r="G89" s="100"/>
      <c r="H89" s="100"/>
      <c r="I89" s="100"/>
      <c r="J89" s="100"/>
      <c r="K89" s="99"/>
      <c r="L89" s="98"/>
      <c r="M89" s="100"/>
      <c r="N89" s="97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</row>
    <row r="90">
      <c r="E90" s="101"/>
      <c r="F90" s="103"/>
      <c r="G90" s="103"/>
      <c r="H90" s="103"/>
      <c r="I90" s="103"/>
      <c r="J90" s="103"/>
      <c r="K90" s="102"/>
      <c r="L90" s="101"/>
      <c r="M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</row>
    <row r="91">
      <c r="A91" s="97"/>
      <c r="B91" s="97"/>
      <c r="C91" s="97"/>
      <c r="D91" s="97"/>
      <c r="E91" s="98"/>
      <c r="F91" s="100"/>
      <c r="G91" s="100"/>
      <c r="H91" s="100"/>
      <c r="I91" s="100"/>
      <c r="J91" s="100"/>
      <c r="K91" s="99"/>
      <c r="L91" s="98"/>
      <c r="M91" s="100"/>
      <c r="N91" s="97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</row>
    <row r="92">
      <c r="E92" s="101"/>
      <c r="F92" s="103"/>
      <c r="G92" s="103"/>
      <c r="H92" s="103"/>
      <c r="I92" s="103"/>
      <c r="J92" s="103"/>
      <c r="K92" s="102"/>
      <c r="L92" s="101"/>
      <c r="M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</row>
    <row r="93">
      <c r="A93" s="97"/>
      <c r="B93" s="97"/>
      <c r="C93" s="97"/>
      <c r="D93" s="97"/>
      <c r="E93" s="98"/>
      <c r="F93" s="100"/>
      <c r="G93" s="100"/>
      <c r="H93" s="100"/>
      <c r="I93" s="100"/>
      <c r="J93" s="100"/>
      <c r="K93" s="99"/>
      <c r="L93" s="98"/>
      <c r="M93" s="100"/>
      <c r="N93" s="97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</row>
    <row r="94">
      <c r="E94" s="101"/>
      <c r="F94" s="103"/>
      <c r="G94" s="103"/>
      <c r="H94" s="103"/>
      <c r="I94" s="103"/>
      <c r="J94" s="103"/>
      <c r="K94" s="102"/>
      <c r="L94" s="101"/>
      <c r="M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</row>
    <row r="95">
      <c r="A95" s="97"/>
      <c r="B95" s="97"/>
      <c r="C95" s="97"/>
      <c r="D95" s="97"/>
      <c r="E95" s="98"/>
      <c r="F95" s="100"/>
      <c r="G95" s="100"/>
      <c r="H95" s="100"/>
      <c r="I95" s="100"/>
      <c r="J95" s="100"/>
      <c r="K95" s="99"/>
      <c r="L95" s="98"/>
      <c r="M95" s="100"/>
      <c r="N95" s="97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</row>
    <row r="96">
      <c r="E96" s="101"/>
      <c r="F96" s="103"/>
      <c r="G96" s="103"/>
      <c r="H96" s="103"/>
      <c r="I96" s="103"/>
      <c r="J96" s="103"/>
      <c r="K96" s="102"/>
      <c r="L96" s="101"/>
      <c r="M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</row>
    <row r="97">
      <c r="A97" s="97"/>
      <c r="B97" s="97"/>
      <c r="C97" s="97"/>
      <c r="D97" s="97"/>
      <c r="E97" s="98"/>
      <c r="F97" s="100"/>
      <c r="G97" s="100"/>
      <c r="H97" s="100"/>
      <c r="I97" s="100"/>
      <c r="J97" s="100"/>
      <c r="K97" s="99"/>
      <c r="L97" s="98"/>
      <c r="M97" s="100"/>
      <c r="N97" s="97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</row>
    <row r="98">
      <c r="E98" s="101"/>
      <c r="F98" s="103"/>
      <c r="G98" s="103"/>
      <c r="H98" s="103"/>
      <c r="I98" s="103"/>
      <c r="J98" s="103"/>
      <c r="K98" s="102"/>
      <c r="L98" s="101"/>
      <c r="M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</row>
    <row r="99">
      <c r="A99" s="97"/>
      <c r="B99" s="97"/>
      <c r="C99" s="97"/>
      <c r="D99" s="97"/>
      <c r="E99" s="98"/>
      <c r="F99" s="100"/>
      <c r="G99" s="100"/>
      <c r="H99" s="100"/>
      <c r="I99" s="100"/>
      <c r="J99" s="100"/>
      <c r="K99" s="99"/>
      <c r="L99" s="98"/>
      <c r="M99" s="100"/>
      <c r="N99" s="97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</row>
    <row r="100">
      <c r="E100" s="101"/>
      <c r="F100" s="103"/>
      <c r="G100" s="103"/>
      <c r="H100" s="103"/>
      <c r="I100" s="103"/>
      <c r="J100" s="103"/>
      <c r="K100" s="102"/>
      <c r="L100" s="101"/>
      <c r="M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</row>
    <row r="101">
      <c r="A101" s="97"/>
      <c r="B101" s="97"/>
      <c r="C101" s="97"/>
      <c r="D101" s="97"/>
      <c r="E101" s="98"/>
      <c r="F101" s="100"/>
      <c r="G101" s="100"/>
      <c r="H101" s="100"/>
      <c r="I101" s="100"/>
      <c r="J101" s="100"/>
      <c r="K101" s="99"/>
      <c r="L101" s="98"/>
      <c r="M101" s="100"/>
      <c r="N101" s="97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</row>
    <row r="102">
      <c r="E102" s="101"/>
      <c r="F102" s="103"/>
      <c r="G102" s="103"/>
      <c r="H102" s="103"/>
      <c r="I102" s="103"/>
      <c r="J102" s="103"/>
      <c r="K102" s="102"/>
      <c r="L102" s="101"/>
      <c r="M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</row>
    <row r="103">
      <c r="F103" s="103"/>
      <c r="G103" s="103"/>
      <c r="H103" s="103"/>
      <c r="I103" s="103"/>
      <c r="J103" s="103"/>
      <c r="M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</row>
    <row r="104">
      <c r="F104" s="103"/>
      <c r="G104" s="103"/>
      <c r="H104" s="103"/>
      <c r="I104" s="103"/>
      <c r="J104" s="103"/>
      <c r="M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</row>
    <row r="105">
      <c r="F105" s="103"/>
      <c r="G105" s="103"/>
      <c r="H105" s="103"/>
      <c r="I105" s="103"/>
      <c r="J105" s="103"/>
      <c r="M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</row>
    <row r="106">
      <c r="F106" s="103"/>
      <c r="G106" s="103"/>
      <c r="H106" s="103"/>
      <c r="I106" s="103"/>
      <c r="J106" s="103"/>
      <c r="M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</row>
    <row r="107">
      <c r="F107" s="103"/>
      <c r="G107" s="103"/>
      <c r="H107" s="103"/>
      <c r="I107" s="103"/>
      <c r="J107" s="103"/>
      <c r="M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</row>
    <row r="108">
      <c r="F108" s="103"/>
      <c r="G108" s="103"/>
      <c r="H108" s="103"/>
      <c r="I108" s="103"/>
      <c r="J108" s="103"/>
      <c r="M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</row>
    <row r="109">
      <c r="F109" s="103"/>
      <c r="G109" s="103"/>
      <c r="H109" s="103"/>
      <c r="I109" s="103"/>
      <c r="J109" s="103"/>
      <c r="M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</row>
    <row r="110">
      <c r="F110" s="103"/>
      <c r="G110" s="103"/>
      <c r="H110" s="103"/>
      <c r="I110" s="103"/>
      <c r="J110" s="103"/>
      <c r="M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</row>
    <row r="111">
      <c r="F111" s="103"/>
      <c r="G111" s="103"/>
      <c r="H111" s="103"/>
      <c r="I111" s="103"/>
      <c r="J111" s="103"/>
      <c r="M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</row>
    <row r="112">
      <c r="F112" s="103"/>
      <c r="G112" s="103"/>
      <c r="H112" s="103"/>
      <c r="I112" s="103"/>
      <c r="J112" s="103"/>
      <c r="M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</row>
    <row r="113">
      <c r="F113" s="103"/>
      <c r="G113" s="103"/>
      <c r="H113" s="103"/>
      <c r="I113" s="103"/>
      <c r="J113" s="103"/>
      <c r="M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</row>
    <row r="114">
      <c r="F114" s="103"/>
      <c r="G114" s="103"/>
      <c r="H114" s="103"/>
      <c r="I114" s="103"/>
      <c r="J114" s="103"/>
      <c r="M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</row>
    <row r="115">
      <c r="F115" s="103"/>
      <c r="G115" s="103"/>
      <c r="H115" s="103"/>
      <c r="I115" s="103"/>
      <c r="J115" s="103"/>
      <c r="M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</row>
    <row r="116">
      <c r="F116" s="103"/>
      <c r="G116" s="103"/>
      <c r="H116" s="103"/>
      <c r="I116" s="103"/>
      <c r="J116" s="103"/>
      <c r="M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</row>
    <row r="117">
      <c r="F117" s="103"/>
      <c r="G117" s="103"/>
      <c r="H117" s="103"/>
      <c r="I117" s="103"/>
      <c r="J117" s="103"/>
      <c r="M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</row>
    <row r="118">
      <c r="F118" s="103"/>
      <c r="G118" s="103"/>
      <c r="H118" s="103"/>
      <c r="I118" s="103"/>
      <c r="J118" s="103"/>
      <c r="M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</row>
  </sheetData>
  <mergeCells count="1">
    <mergeCell ref="A1:A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75" t="s">
        <v>249</v>
      </c>
    </row>
    <row r="2">
      <c r="A2" s="76" t="s">
        <v>149</v>
      </c>
      <c r="B2" s="76" t="s">
        <v>148</v>
      </c>
      <c r="C2" s="76" t="s">
        <v>150</v>
      </c>
      <c r="D2" s="76" t="s">
        <v>13</v>
      </c>
      <c r="E2" s="77" t="s">
        <v>151</v>
      </c>
      <c r="F2" s="78" t="s">
        <v>15</v>
      </c>
      <c r="G2" s="78" t="s">
        <v>152</v>
      </c>
      <c r="H2" s="78" t="s">
        <v>153</v>
      </c>
      <c r="I2" s="78" t="s">
        <v>154</v>
      </c>
      <c r="J2" s="78" t="s">
        <v>155</v>
      </c>
      <c r="K2" s="79" t="s">
        <v>156</v>
      </c>
      <c r="L2" s="80" t="s">
        <v>157</v>
      </c>
      <c r="M2" s="80" t="s">
        <v>158</v>
      </c>
      <c r="N2" s="81" t="s">
        <v>159</v>
      </c>
      <c r="O2" s="81" t="s">
        <v>151</v>
      </c>
      <c r="P2" s="81" t="s">
        <v>160</v>
      </c>
      <c r="Q2" s="81" t="s">
        <v>161</v>
      </c>
      <c r="R2" s="81" t="s">
        <v>162</v>
      </c>
      <c r="S2" s="81" t="s">
        <v>163</v>
      </c>
      <c r="T2" s="81" t="s">
        <v>164</v>
      </c>
      <c r="U2" s="81" t="s">
        <v>165</v>
      </c>
      <c r="V2" s="81" t="s">
        <v>166</v>
      </c>
      <c r="W2" s="81" t="s">
        <v>167</v>
      </c>
      <c r="X2" s="81" t="s">
        <v>168</v>
      </c>
      <c r="Y2" s="81" t="s">
        <v>169</v>
      </c>
      <c r="Z2" s="81" t="s">
        <v>170</v>
      </c>
      <c r="AA2" s="81" t="s">
        <v>171</v>
      </c>
      <c r="AB2" s="81" t="s">
        <v>172</v>
      </c>
      <c r="AC2" s="81" t="s">
        <v>173</v>
      </c>
      <c r="AD2" s="81" t="s">
        <v>174</v>
      </c>
      <c r="AE2" s="81" t="s">
        <v>175</v>
      </c>
      <c r="AF2" s="81" t="s">
        <v>176</v>
      </c>
      <c r="AG2" s="81" t="s">
        <v>177</v>
      </c>
    </row>
    <row r="3">
      <c r="E3" s="101"/>
      <c r="F3" s="103"/>
      <c r="G3" s="103"/>
      <c r="H3" s="103"/>
      <c r="I3" s="103"/>
      <c r="J3" s="103"/>
      <c r="K3" s="102"/>
      <c r="L3" s="101"/>
      <c r="M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</row>
    <row r="4">
      <c r="A4" s="97"/>
      <c r="B4" s="97"/>
      <c r="C4" s="97"/>
      <c r="D4" s="97"/>
      <c r="E4" s="98"/>
      <c r="F4" s="100"/>
      <c r="G4" s="100"/>
      <c r="H4" s="100"/>
      <c r="I4" s="100"/>
      <c r="J4" s="100"/>
      <c r="K4" s="99"/>
      <c r="L4" s="98"/>
      <c r="M4" s="100"/>
      <c r="N4" s="97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>
      <c r="E5" s="101"/>
      <c r="F5" s="103"/>
      <c r="G5" s="103"/>
      <c r="H5" s="103"/>
      <c r="I5" s="103"/>
      <c r="J5" s="103"/>
      <c r="K5" s="102"/>
      <c r="L5" s="101"/>
      <c r="M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</row>
    <row r="6">
      <c r="A6" s="97"/>
      <c r="B6" s="97"/>
      <c r="C6" s="97"/>
      <c r="D6" s="97"/>
      <c r="E6" s="98"/>
      <c r="F6" s="100"/>
      <c r="G6" s="100"/>
      <c r="H6" s="100"/>
      <c r="I6" s="100"/>
      <c r="J6" s="100"/>
      <c r="K6" s="99"/>
      <c r="L6" s="98"/>
      <c r="M6" s="100"/>
      <c r="N6" s="97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>
      <c r="E7" s="101"/>
      <c r="F7" s="103"/>
      <c r="G7" s="103"/>
      <c r="H7" s="103"/>
      <c r="I7" s="103"/>
      <c r="J7" s="103"/>
      <c r="K7" s="102"/>
      <c r="L7" s="101"/>
      <c r="M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</row>
    <row r="8">
      <c r="A8" s="97"/>
      <c r="B8" s="97"/>
      <c r="C8" s="97"/>
      <c r="D8" s="97"/>
      <c r="E8" s="98"/>
      <c r="F8" s="100"/>
      <c r="G8" s="100"/>
      <c r="H8" s="100"/>
      <c r="I8" s="100"/>
      <c r="J8" s="100"/>
      <c r="K8" s="99"/>
      <c r="L8" s="98"/>
      <c r="M8" s="100"/>
      <c r="N8" s="97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>
      <c r="E9" s="101"/>
      <c r="F9" s="103"/>
      <c r="G9" s="103"/>
      <c r="H9" s="103"/>
      <c r="I9" s="103"/>
      <c r="J9" s="103"/>
      <c r="K9" s="102"/>
      <c r="L9" s="101"/>
      <c r="M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>
      <c r="A10" s="97"/>
      <c r="B10" s="97"/>
      <c r="C10" s="97"/>
      <c r="D10" s="97"/>
      <c r="E10" s="98"/>
      <c r="F10" s="100"/>
      <c r="G10" s="100"/>
      <c r="H10" s="100"/>
      <c r="I10" s="100"/>
      <c r="J10" s="100"/>
      <c r="K10" s="99"/>
      <c r="L10" s="98"/>
      <c r="M10" s="100"/>
      <c r="N10" s="97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</row>
    <row r="11">
      <c r="E11" s="101"/>
      <c r="F11" s="103"/>
      <c r="G11" s="103"/>
      <c r="H11" s="103"/>
      <c r="I11" s="103"/>
      <c r="J11" s="103"/>
      <c r="K11" s="102"/>
      <c r="L11" s="101"/>
      <c r="M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</row>
    <row r="12">
      <c r="A12" s="97"/>
      <c r="B12" s="97"/>
      <c r="C12" s="97"/>
      <c r="D12" s="97"/>
      <c r="E12" s="98"/>
      <c r="F12" s="100"/>
      <c r="G12" s="100"/>
      <c r="H12" s="100"/>
      <c r="I12" s="100"/>
      <c r="J12" s="100"/>
      <c r="K12" s="99"/>
      <c r="L12" s="98"/>
      <c r="M12" s="100"/>
      <c r="N12" s="97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</row>
    <row r="13">
      <c r="E13" s="101"/>
      <c r="F13" s="103"/>
      <c r="G13" s="103"/>
      <c r="H13" s="103"/>
      <c r="I13" s="103"/>
      <c r="J13" s="103"/>
      <c r="K13" s="102"/>
      <c r="L13" s="101"/>
      <c r="M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</row>
    <row r="14">
      <c r="A14" s="97"/>
      <c r="B14" s="97"/>
      <c r="C14" s="97"/>
      <c r="D14" s="97"/>
      <c r="E14" s="98"/>
      <c r="F14" s="100"/>
      <c r="G14" s="100"/>
      <c r="H14" s="100"/>
      <c r="I14" s="100"/>
      <c r="J14" s="100"/>
      <c r="K14" s="99"/>
      <c r="L14" s="98"/>
      <c r="M14" s="100"/>
      <c r="N14" s="97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</row>
    <row r="15">
      <c r="E15" s="101"/>
      <c r="F15" s="103"/>
      <c r="G15" s="103"/>
      <c r="H15" s="103"/>
      <c r="I15" s="103"/>
      <c r="J15" s="103"/>
      <c r="K15" s="102"/>
      <c r="L15" s="101"/>
      <c r="M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</row>
    <row r="16">
      <c r="A16" s="97"/>
      <c r="B16" s="97"/>
      <c r="C16" s="97"/>
      <c r="D16" s="97"/>
      <c r="E16" s="98"/>
      <c r="F16" s="100"/>
      <c r="G16" s="100"/>
      <c r="H16" s="100"/>
      <c r="I16" s="100"/>
      <c r="J16" s="100"/>
      <c r="K16" s="99"/>
      <c r="L16" s="98"/>
      <c r="M16" s="100"/>
      <c r="N16" s="97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</row>
    <row r="17">
      <c r="E17" s="101"/>
      <c r="F17" s="103"/>
      <c r="G17" s="103"/>
      <c r="H17" s="103"/>
      <c r="I17" s="103"/>
      <c r="J17" s="103"/>
      <c r="K17" s="102"/>
      <c r="L17" s="101"/>
      <c r="M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</row>
    <row r="18">
      <c r="A18" s="97"/>
      <c r="B18" s="97"/>
      <c r="C18" s="97"/>
      <c r="D18" s="97"/>
      <c r="E18" s="98"/>
      <c r="F18" s="100"/>
      <c r="G18" s="100"/>
      <c r="H18" s="100"/>
      <c r="I18" s="100"/>
      <c r="J18" s="100"/>
      <c r="K18" s="99"/>
      <c r="L18" s="98"/>
      <c r="M18" s="100"/>
      <c r="N18" s="97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</row>
    <row r="19">
      <c r="E19" s="101"/>
      <c r="F19" s="103"/>
      <c r="G19" s="103"/>
      <c r="H19" s="103"/>
      <c r="I19" s="103"/>
      <c r="J19" s="103"/>
      <c r="K19" s="102"/>
      <c r="L19" s="101"/>
      <c r="M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</row>
    <row r="20">
      <c r="A20" s="97"/>
      <c r="B20" s="97"/>
      <c r="C20" s="97"/>
      <c r="D20" s="97"/>
      <c r="E20" s="98"/>
      <c r="F20" s="100"/>
      <c r="G20" s="100"/>
      <c r="H20" s="100"/>
      <c r="I20" s="100"/>
      <c r="J20" s="100"/>
      <c r="K20" s="99"/>
      <c r="L20" s="98"/>
      <c r="M20" s="100"/>
      <c r="N20" s="97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</row>
    <row r="21">
      <c r="E21" s="101"/>
      <c r="F21" s="103"/>
      <c r="G21" s="103"/>
      <c r="H21" s="103"/>
      <c r="I21" s="103"/>
      <c r="J21" s="103"/>
      <c r="K21" s="102"/>
      <c r="L21" s="101"/>
      <c r="M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</row>
    <row r="22">
      <c r="A22" s="97"/>
      <c r="B22" s="97"/>
      <c r="C22" s="97"/>
      <c r="D22" s="97"/>
      <c r="E22" s="98"/>
      <c r="F22" s="100"/>
      <c r="G22" s="100"/>
      <c r="H22" s="100"/>
      <c r="I22" s="100"/>
      <c r="J22" s="100"/>
      <c r="K22" s="99"/>
      <c r="L22" s="98"/>
      <c r="M22" s="100"/>
      <c r="N22" s="97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</row>
    <row r="23">
      <c r="E23" s="101"/>
      <c r="F23" s="103"/>
      <c r="G23" s="103"/>
      <c r="H23" s="103"/>
      <c r="I23" s="103"/>
      <c r="J23" s="103"/>
      <c r="K23" s="102"/>
      <c r="L23" s="101"/>
      <c r="M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</row>
    <row r="24">
      <c r="A24" s="97"/>
      <c r="B24" s="97"/>
      <c r="C24" s="97"/>
      <c r="D24" s="97"/>
      <c r="E24" s="98"/>
      <c r="F24" s="100"/>
      <c r="G24" s="100"/>
      <c r="H24" s="100"/>
      <c r="I24" s="100"/>
      <c r="J24" s="100"/>
      <c r="K24" s="99"/>
      <c r="L24" s="98"/>
      <c r="M24" s="100"/>
      <c r="N24" s="97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</row>
    <row r="25">
      <c r="E25" s="101"/>
      <c r="F25" s="103"/>
      <c r="G25" s="103"/>
      <c r="H25" s="103"/>
      <c r="I25" s="103"/>
      <c r="J25" s="103"/>
      <c r="K25" s="102"/>
      <c r="L25" s="101"/>
      <c r="M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</row>
    <row r="26">
      <c r="A26" s="97"/>
      <c r="B26" s="97"/>
      <c r="C26" s="97"/>
      <c r="D26" s="97"/>
      <c r="E26" s="98"/>
      <c r="F26" s="100"/>
      <c r="G26" s="100"/>
      <c r="H26" s="100"/>
      <c r="I26" s="100"/>
      <c r="J26" s="100"/>
      <c r="K26" s="99"/>
      <c r="L26" s="98"/>
      <c r="M26" s="100"/>
      <c r="N26" s="97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</row>
    <row r="27">
      <c r="E27" s="101"/>
      <c r="F27" s="103"/>
      <c r="G27" s="103"/>
      <c r="H27" s="103"/>
      <c r="I27" s="103"/>
      <c r="J27" s="103"/>
      <c r="K27" s="102"/>
      <c r="L27" s="101"/>
      <c r="M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</row>
    <row r="28">
      <c r="A28" s="97"/>
      <c r="B28" s="97"/>
      <c r="C28" s="97"/>
      <c r="D28" s="97"/>
      <c r="E28" s="98"/>
      <c r="F28" s="100"/>
      <c r="G28" s="100"/>
      <c r="H28" s="100"/>
      <c r="I28" s="100"/>
      <c r="J28" s="100"/>
      <c r="K28" s="99"/>
      <c r="L28" s="98"/>
      <c r="M28" s="100"/>
      <c r="N28" s="97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</row>
    <row r="29">
      <c r="E29" s="101"/>
      <c r="F29" s="103"/>
      <c r="G29" s="103"/>
      <c r="H29" s="103"/>
      <c r="I29" s="103"/>
      <c r="J29" s="103"/>
      <c r="K29" s="102"/>
      <c r="L29" s="101"/>
      <c r="M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</row>
    <row r="30">
      <c r="A30" s="97"/>
      <c r="B30" s="97"/>
      <c r="C30" s="97"/>
      <c r="D30" s="97"/>
      <c r="E30" s="98"/>
      <c r="F30" s="100"/>
      <c r="G30" s="100"/>
      <c r="H30" s="100"/>
      <c r="I30" s="100"/>
      <c r="J30" s="100"/>
      <c r="K30" s="99"/>
      <c r="L30" s="98"/>
      <c r="M30" s="100"/>
      <c r="N30" s="97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</row>
    <row r="31">
      <c r="E31" s="101"/>
      <c r="F31" s="103"/>
      <c r="G31" s="103"/>
      <c r="H31" s="103"/>
      <c r="I31" s="103"/>
      <c r="J31" s="103"/>
      <c r="K31" s="102"/>
      <c r="L31" s="101"/>
      <c r="M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</row>
    <row r="32">
      <c r="A32" s="97"/>
      <c r="B32" s="97"/>
      <c r="C32" s="97"/>
      <c r="D32" s="97"/>
      <c r="E32" s="98"/>
      <c r="F32" s="100"/>
      <c r="G32" s="100"/>
      <c r="H32" s="100"/>
      <c r="I32" s="100"/>
      <c r="J32" s="100"/>
      <c r="K32" s="99"/>
      <c r="L32" s="98"/>
      <c r="M32" s="100"/>
      <c r="N32" s="97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</row>
    <row r="33">
      <c r="E33" s="101"/>
      <c r="F33" s="103"/>
      <c r="G33" s="103"/>
      <c r="H33" s="103"/>
      <c r="I33" s="103"/>
      <c r="J33" s="103"/>
      <c r="K33" s="102"/>
      <c r="L33" s="101"/>
      <c r="M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</row>
    <row r="34">
      <c r="A34" s="97"/>
      <c r="B34" s="97"/>
      <c r="C34" s="97"/>
      <c r="D34" s="97"/>
      <c r="E34" s="98"/>
      <c r="F34" s="100"/>
      <c r="G34" s="100"/>
      <c r="H34" s="100"/>
      <c r="I34" s="100"/>
      <c r="J34" s="100"/>
      <c r="K34" s="99"/>
      <c r="L34" s="98"/>
      <c r="M34" s="100"/>
      <c r="N34" s="97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</row>
    <row r="35">
      <c r="E35" s="101"/>
      <c r="F35" s="103"/>
      <c r="G35" s="103"/>
      <c r="H35" s="103"/>
      <c r="I35" s="103"/>
      <c r="J35" s="103"/>
      <c r="K35" s="102"/>
      <c r="L35" s="101"/>
      <c r="M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</row>
    <row r="36">
      <c r="A36" s="97"/>
      <c r="B36" s="97"/>
      <c r="C36" s="97"/>
      <c r="D36" s="97"/>
      <c r="E36" s="98"/>
      <c r="F36" s="100"/>
      <c r="G36" s="100"/>
      <c r="H36" s="100"/>
      <c r="I36" s="100"/>
      <c r="J36" s="100"/>
      <c r="K36" s="99"/>
      <c r="L36" s="98"/>
      <c r="M36" s="100"/>
      <c r="N36" s="97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</row>
    <row r="37">
      <c r="E37" s="101"/>
      <c r="F37" s="103"/>
      <c r="G37" s="103"/>
      <c r="H37" s="103"/>
      <c r="I37" s="103"/>
      <c r="J37" s="103"/>
      <c r="K37" s="102"/>
      <c r="L37" s="101"/>
      <c r="M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</row>
    <row r="38">
      <c r="A38" s="97"/>
      <c r="B38" s="97"/>
      <c r="C38" s="97"/>
      <c r="D38" s="97"/>
      <c r="E38" s="98"/>
      <c r="F38" s="100"/>
      <c r="G38" s="100"/>
      <c r="H38" s="100"/>
      <c r="I38" s="100"/>
      <c r="J38" s="100"/>
      <c r="K38" s="99"/>
      <c r="L38" s="98"/>
      <c r="M38" s="100"/>
      <c r="N38" s="97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</row>
    <row r="39">
      <c r="E39" s="101"/>
      <c r="F39" s="103"/>
      <c r="G39" s="103"/>
      <c r="H39" s="103"/>
      <c r="I39" s="103"/>
      <c r="J39" s="103"/>
      <c r="K39" s="102"/>
      <c r="L39" s="101"/>
      <c r="M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</row>
    <row r="40">
      <c r="A40" s="97"/>
      <c r="B40" s="97"/>
      <c r="C40" s="97"/>
      <c r="D40" s="97"/>
      <c r="E40" s="98"/>
      <c r="F40" s="100"/>
      <c r="G40" s="100"/>
      <c r="H40" s="100"/>
      <c r="I40" s="100"/>
      <c r="J40" s="100"/>
      <c r="K40" s="99"/>
      <c r="L40" s="98"/>
      <c r="M40" s="100"/>
      <c r="N40" s="97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</row>
    <row r="41">
      <c r="E41" s="101"/>
      <c r="F41" s="103"/>
      <c r="G41" s="103"/>
      <c r="H41" s="103"/>
      <c r="I41" s="103"/>
      <c r="J41" s="103"/>
      <c r="K41" s="102"/>
      <c r="L41" s="101"/>
      <c r="M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</row>
    <row r="42">
      <c r="A42" s="97"/>
      <c r="B42" s="97"/>
      <c r="C42" s="97"/>
      <c r="D42" s="97"/>
      <c r="E42" s="98"/>
      <c r="F42" s="100"/>
      <c r="G42" s="100"/>
      <c r="H42" s="100"/>
      <c r="I42" s="100"/>
      <c r="J42" s="100"/>
      <c r="K42" s="99"/>
      <c r="L42" s="98"/>
      <c r="M42" s="100"/>
      <c r="N42" s="97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</row>
    <row r="43">
      <c r="E43" s="101"/>
      <c r="F43" s="103"/>
      <c r="G43" s="103"/>
      <c r="H43" s="103"/>
      <c r="I43" s="103"/>
      <c r="J43" s="103"/>
      <c r="K43" s="102"/>
      <c r="L43" s="101"/>
      <c r="M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</row>
    <row r="44">
      <c r="A44" s="97"/>
      <c r="B44" s="97"/>
      <c r="C44" s="97"/>
      <c r="D44" s="97"/>
      <c r="E44" s="98"/>
      <c r="F44" s="100"/>
      <c r="G44" s="100"/>
      <c r="H44" s="100"/>
      <c r="I44" s="100"/>
      <c r="J44" s="100"/>
      <c r="K44" s="99"/>
      <c r="L44" s="98"/>
      <c r="M44" s="100"/>
      <c r="N44" s="97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</row>
    <row r="45">
      <c r="E45" s="101"/>
      <c r="F45" s="103"/>
      <c r="G45" s="103"/>
      <c r="H45" s="103"/>
      <c r="I45" s="103"/>
      <c r="J45" s="103"/>
      <c r="K45" s="102"/>
      <c r="L45" s="101"/>
      <c r="M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</row>
    <row r="46">
      <c r="A46" s="97"/>
      <c r="B46" s="97"/>
      <c r="C46" s="97"/>
      <c r="D46" s="97"/>
      <c r="E46" s="98"/>
      <c r="F46" s="100"/>
      <c r="G46" s="100"/>
      <c r="H46" s="100"/>
      <c r="I46" s="100"/>
      <c r="J46" s="100"/>
      <c r="K46" s="99"/>
      <c r="L46" s="98"/>
      <c r="M46" s="100"/>
      <c r="N46" s="97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</row>
    <row r="47">
      <c r="E47" s="101"/>
      <c r="F47" s="103"/>
      <c r="G47" s="103"/>
      <c r="H47" s="103"/>
      <c r="I47" s="103"/>
      <c r="J47" s="103"/>
      <c r="K47" s="102"/>
      <c r="L47" s="101"/>
      <c r="M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</row>
    <row r="48">
      <c r="A48" s="97"/>
      <c r="B48" s="97"/>
      <c r="C48" s="97"/>
      <c r="D48" s="97"/>
      <c r="E48" s="98"/>
      <c r="F48" s="100"/>
      <c r="G48" s="100"/>
      <c r="H48" s="100"/>
      <c r="I48" s="100"/>
      <c r="J48" s="100"/>
      <c r="K48" s="99"/>
      <c r="L48" s="98"/>
      <c r="M48" s="100"/>
      <c r="N48" s="97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</row>
    <row r="49">
      <c r="E49" s="101"/>
      <c r="F49" s="103"/>
      <c r="G49" s="103"/>
      <c r="H49" s="103"/>
      <c r="I49" s="103"/>
      <c r="J49" s="103"/>
      <c r="K49" s="102"/>
      <c r="L49" s="101"/>
      <c r="M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</row>
    <row r="50">
      <c r="A50" s="97"/>
      <c r="B50" s="97"/>
      <c r="C50" s="97"/>
      <c r="D50" s="97"/>
      <c r="E50" s="98"/>
      <c r="F50" s="100"/>
      <c r="G50" s="100"/>
      <c r="H50" s="100"/>
      <c r="I50" s="100"/>
      <c r="J50" s="100"/>
      <c r="K50" s="99"/>
      <c r="L50" s="98"/>
      <c r="M50" s="100"/>
      <c r="N50" s="97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</row>
    <row r="51">
      <c r="E51" s="101"/>
      <c r="F51" s="103"/>
      <c r="G51" s="103"/>
      <c r="H51" s="103"/>
      <c r="I51" s="103"/>
      <c r="J51" s="103"/>
      <c r="K51" s="102"/>
      <c r="L51" s="101"/>
      <c r="M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</row>
    <row r="52">
      <c r="A52" s="97"/>
      <c r="B52" s="97"/>
      <c r="C52" s="97"/>
      <c r="D52" s="97"/>
      <c r="E52" s="98"/>
      <c r="F52" s="100"/>
      <c r="G52" s="100"/>
      <c r="H52" s="100"/>
      <c r="I52" s="100"/>
      <c r="J52" s="100"/>
      <c r="K52" s="99"/>
      <c r="L52" s="98"/>
      <c r="M52" s="100"/>
      <c r="N52" s="97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</row>
    <row r="53">
      <c r="E53" s="101"/>
      <c r="F53" s="103"/>
      <c r="G53" s="103"/>
      <c r="H53" s="103"/>
      <c r="I53" s="103"/>
      <c r="J53" s="103"/>
      <c r="K53" s="102"/>
      <c r="L53" s="101"/>
      <c r="M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</row>
    <row r="54">
      <c r="A54" s="97"/>
      <c r="B54" s="97"/>
      <c r="C54" s="97"/>
      <c r="D54" s="97"/>
      <c r="E54" s="98"/>
      <c r="F54" s="100"/>
      <c r="G54" s="100"/>
      <c r="H54" s="100"/>
      <c r="I54" s="100"/>
      <c r="J54" s="100"/>
      <c r="K54" s="99"/>
      <c r="L54" s="98"/>
      <c r="M54" s="100"/>
      <c r="N54" s="97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</row>
    <row r="55">
      <c r="E55" s="101"/>
      <c r="F55" s="103"/>
      <c r="G55" s="103"/>
      <c r="H55" s="103"/>
      <c r="I55" s="103"/>
      <c r="J55" s="103"/>
      <c r="K55" s="102"/>
      <c r="L55" s="101"/>
      <c r="M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</row>
    <row r="56">
      <c r="A56" s="97"/>
      <c r="B56" s="97"/>
      <c r="C56" s="97"/>
      <c r="D56" s="97"/>
      <c r="E56" s="98"/>
      <c r="F56" s="100"/>
      <c r="G56" s="100"/>
      <c r="H56" s="100"/>
      <c r="I56" s="100"/>
      <c r="J56" s="100"/>
      <c r="K56" s="99"/>
      <c r="L56" s="98"/>
      <c r="M56" s="100"/>
      <c r="N56" s="97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</row>
    <row r="57">
      <c r="E57" s="101"/>
      <c r="F57" s="103"/>
      <c r="G57" s="103"/>
      <c r="H57" s="103"/>
      <c r="I57" s="103"/>
      <c r="J57" s="103"/>
      <c r="K57" s="102"/>
      <c r="L57" s="101"/>
      <c r="M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</row>
    <row r="58">
      <c r="A58" s="97"/>
      <c r="B58" s="97"/>
      <c r="C58" s="97"/>
      <c r="D58" s="97"/>
      <c r="E58" s="98"/>
      <c r="F58" s="100"/>
      <c r="G58" s="100"/>
      <c r="H58" s="100"/>
      <c r="I58" s="100"/>
      <c r="J58" s="100"/>
      <c r="K58" s="99"/>
      <c r="L58" s="98"/>
      <c r="M58" s="100"/>
      <c r="N58" s="97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</row>
    <row r="59">
      <c r="E59" s="101"/>
      <c r="F59" s="103"/>
      <c r="G59" s="103"/>
      <c r="H59" s="103"/>
      <c r="I59" s="103"/>
      <c r="J59" s="103"/>
      <c r="K59" s="102"/>
      <c r="L59" s="101"/>
      <c r="M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</row>
    <row r="60">
      <c r="A60" s="97"/>
      <c r="B60" s="97"/>
      <c r="C60" s="97"/>
      <c r="D60" s="97"/>
      <c r="E60" s="98"/>
      <c r="F60" s="100"/>
      <c r="G60" s="100"/>
      <c r="H60" s="100"/>
      <c r="I60" s="100"/>
      <c r="J60" s="100"/>
      <c r="K60" s="99"/>
      <c r="L60" s="98"/>
      <c r="M60" s="100"/>
      <c r="N60" s="97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</row>
    <row r="61">
      <c r="E61" s="101"/>
      <c r="F61" s="103"/>
      <c r="G61" s="103"/>
      <c r="H61" s="103"/>
      <c r="I61" s="103"/>
      <c r="J61" s="103"/>
      <c r="K61" s="102"/>
      <c r="L61" s="101"/>
      <c r="M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</row>
    <row r="62">
      <c r="A62" s="97"/>
      <c r="B62" s="97"/>
      <c r="C62" s="97"/>
      <c r="D62" s="97"/>
      <c r="E62" s="98"/>
      <c r="F62" s="100"/>
      <c r="G62" s="100"/>
      <c r="H62" s="100"/>
      <c r="I62" s="100"/>
      <c r="J62" s="100"/>
      <c r="K62" s="99"/>
      <c r="L62" s="98"/>
      <c r="M62" s="100"/>
      <c r="N62" s="97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</row>
    <row r="63">
      <c r="E63" s="101"/>
      <c r="F63" s="103"/>
      <c r="G63" s="103"/>
      <c r="H63" s="103"/>
      <c r="I63" s="103"/>
      <c r="J63" s="103"/>
      <c r="K63" s="102"/>
      <c r="L63" s="101"/>
      <c r="M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</row>
    <row r="64">
      <c r="A64" s="97"/>
      <c r="B64" s="97"/>
      <c r="C64" s="97"/>
      <c r="D64" s="97"/>
      <c r="E64" s="98"/>
      <c r="F64" s="100"/>
      <c r="G64" s="100"/>
      <c r="H64" s="100"/>
      <c r="I64" s="100"/>
      <c r="J64" s="100"/>
      <c r="K64" s="99"/>
      <c r="L64" s="98"/>
      <c r="M64" s="100"/>
      <c r="N64" s="97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</row>
    <row r="65">
      <c r="E65" s="101"/>
      <c r="F65" s="103"/>
      <c r="G65" s="103"/>
      <c r="H65" s="103"/>
      <c r="I65" s="103"/>
      <c r="J65" s="103"/>
      <c r="K65" s="102"/>
      <c r="L65" s="101"/>
      <c r="M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</row>
    <row r="66">
      <c r="A66" s="97"/>
      <c r="B66" s="97"/>
      <c r="C66" s="97"/>
      <c r="D66" s="97"/>
      <c r="E66" s="98"/>
      <c r="F66" s="100"/>
      <c r="G66" s="100"/>
      <c r="H66" s="100"/>
      <c r="I66" s="100"/>
      <c r="J66" s="100"/>
      <c r="K66" s="99"/>
      <c r="L66" s="98"/>
      <c r="M66" s="100"/>
      <c r="N66" s="97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</row>
    <row r="67">
      <c r="E67" s="101"/>
      <c r="F67" s="103"/>
      <c r="G67" s="103"/>
      <c r="H67" s="103"/>
      <c r="I67" s="103"/>
      <c r="J67" s="103"/>
      <c r="K67" s="102"/>
      <c r="L67" s="101"/>
      <c r="M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</row>
    <row r="68">
      <c r="A68" s="97"/>
      <c r="B68" s="97"/>
      <c r="C68" s="97"/>
      <c r="D68" s="97"/>
      <c r="E68" s="98"/>
      <c r="F68" s="100"/>
      <c r="G68" s="100"/>
      <c r="H68" s="100"/>
      <c r="I68" s="100"/>
      <c r="J68" s="100"/>
      <c r="K68" s="99"/>
      <c r="L68" s="98"/>
      <c r="M68" s="100"/>
      <c r="N68" s="97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</row>
    <row r="69">
      <c r="E69" s="101"/>
      <c r="F69" s="103"/>
      <c r="G69" s="103"/>
      <c r="H69" s="103"/>
      <c r="I69" s="103"/>
      <c r="J69" s="103"/>
      <c r="K69" s="102"/>
      <c r="L69" s="101"/>
      <c r="M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</row>
    <row r="70">
      <c r="A70" s="97"/>
      <c r="B70" s="97"/>
      <c r="C70" s="97"/>
      <c r="D70" s="97"/>
      <c r="E70" s="98"/>
      <c r="F70" s="100"/>
      <c r="G70" s="100"/>
      <c r="H70" s="100"/>
      <c r="I70" s="100"/>
      <c r="J70" s="100"/>
      <c r="K70" s="99"/>
      <c r="L70" s="98"/>
      <c r="M70" s="100"/>
      <c r="N70" s="97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</row>
    <row r="71">
      <c r="E71" s="101"/>
      <c r="F71" s="103"/>
      <c r="G71" s="103"/>
      <c r="H71" s="103"/>
      <c r="I71" s="103"/>
      <c r="J71" s="103"/>
      <c r="K71" s="102"/>
      <c r="L71" s="101"/>
      <c r="M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</row>
    <row r="72">
      <c r="A72" s="97"/>
      <c r="B72" s="97"/>
      <c r="C72" s="97"/>
      <c r="D72" s="97"/>
      <c r="E72" s="98"/>
      <c r="F72" s="100"/>
      <c r="G72" s="100"/>
      <c r="H72" s="100"/>
      <c r="I72" s="100"/>
      <c r="J72" s="100"/>
      <c r="K72" s="99"/>
      <c r="L72" s="98"/>
      <c r="M72" s="100"/>
      <c r="N72" s="97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</row>
    <row r="73">
      <c r="E73" s="101"/>
      <c r="F73" s="103"/>
      <c r="G73" s="103"/>
      <c r="H73" s="103"/>
      <c r="I73" s="103"/>
      <c r="J73" s="103"/>
      <c r="K73" s="102"/>
      <c r="L73" s="101"/>
      <c r="M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</row>
    <row r="74">
      <c r="A74" s="97"/>
      <c r="B74" s="97"/>
      <c r="C74" s="97"/>
      <c r="D74" s="97"/>
      <c r="E74" s="98"/>
      <c r="F74" s="100"/>
      <c r="G74" s="100"/>
      <c r="H74" s="100"/>
      <c r="I74" s="100"/>
      <c r="J74" s="100"/>
      <c r="K74" s="99"/>
      <c r="L74" s="98"/>
      <c r="M74" s="100"/>
      <c r="N74" s="97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</row>
    <row r="75">
      <c r="E75" s="101"/>
      <c r="F75" s="103"/>
      <c r="G75" s="103"/>
      <c r="H75" s="103"/>
      <c r="I75" s="103"/>
      <c r="J75" s="103"/>
      <c r="K75" s="102"/>
      <c r="L75" s="101"/>
      <c r="M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</row>
    <row r="76">
      <c r="A76" s="97"/>
      <c r="B76" s="97"/>
      <c r="C76" s="97"/>
      <c r="D76" s="97"/>
      <c r="E76" s="98"/>
      <c r="F76" s="100"/>
      <c r="G76" s="100"/>
      <c r="H76" s="100"/>
      <c r="I76" s="100"/>
      <c r="J76" s="100"/>
      <c r="K76" s="99"/>
      <c r="L76" s="98"/>
      <c r="M76" s="100"/>
      <c r="N76" s="97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</row>
    <row r="77">
      <c r="E77" s="101"/>
      <c r="F77" s="103"/>
      <c r="G77" s="103"/>
      <c r="H77" s="103"/>
      <c r="I77" s="103"/>
      <c r="J77" s="103"/>
      <c r="K77" s="102"/>
      <c r="L77" s="101"/>
      <c r="M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</row>
    <row r="78">
      <c r="A78" s="97"/>
      <c r="B78" s="97"/>
      <c r="C78" s="97"/>
      <c r="D78" s="97"/>
      <c r="E78" s="98"/>
      <c r="F78" s="100"/>
      <c r="G78" s="100"/>
      <c r="H78" s="100"/>
      <c r="I78" s="100"/>
      <c r="J78" s="100"/>
      <c r="K78" s="99"/>
      <c r="L78" s="98"/>
      <c r="M78" s="100"/>
      <c r="N78" s="97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</row>
    <row r="79">
      <c r="E79" s="101"/>
      <c r="F79" s="103"/>
      <c r="G79" s="103"/>
      <c r="H79" s="103"/>
      <c r="I79" s="103"/>
      <c r="J79" s="103"/>
      <c r="K79" s="102"/>
      <c r="L79" s="101"/>
      <c r="M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</row>
    <row r="80">
      <c r="A80" s="97"/>
      <c r="B80" s="97"/>
      <c r="C80" s="97"/>
      <c r="D80" s="97"/>
      <c r="E80" s="98"/>
      <c r="F80" s="100"/>
      <c r="G80" s="100"/>
      <c r="H80" s="100"/>
      <c r="I80" s="100"/>
      <c r="J80" s="100"/>
      <c r="K80" s="99"/>
      <c r="L80" s="98"/>
      <c r="M80" s="100"/>
      <c r="N80" s="97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</row>
    <row r="81">
      <c r="E81" s="101"/>
      <c r="F81" s="103"/>
      <c r="G81" s="103"/>
      <c r="H81" s="103"/>
      <c r="I81" s="103"/>
      <c r="J81" s="103"/>
      <c r="K81" s="102"/>
      <c r="L81" s="101"/>
      <c r="M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</row>
    <row r="82">
      <c r="A82" s="97"/>
      <c r="B82" s="97"/>
      <c r="C82" s="97"/>
      <c r="D82" s="97"/>
      <c r="E82" s="98"/>
      <c r="F82" s="100"/>
      <c r="G82" s="100"/>
      <c r="H82" s="100"/>
      <c r="I82" s="100"/>
      <c r="J82" s="100"/>
      <c r="K82" s="99"/>
      <c r="L82" s="98"/>
      <c r="M82" s="100"/>
      <c r="N82" s="97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</row>
    <row r="83">
      <c r="E83" s="101"/>
      <c r="F83" s="103"/>
      <c r="G83" s="103"/>
      <c r="H83" s="103"/>
      <c r="I83" s="103"/>
      <c r="J83" s="103"/>
      <c r="K83" s="102"/>
      <c r="L83" s="101"/>
      <c r="M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</row>
    <row r="84">
      <c r="A84" s="97"/>
      <c r="B84" s="97"/>
      <c r="C84" s="97"/>
      <c r="D84" s="97"/>
      <c r="E84" s="98"/>
      <c r="F84" s="100"/>
      <c r="G84" s="100"/>
      <c r="H84" s="100"/>
      <c r="I84" s="100"/>
      <c r="J84" s="100"/>
      <c r="K84" s="99"/>
      <c r="L84" s="98"/>
      <c r="M84" s="100"/>
      <c r="N84" s="97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</row>
    <row r="85">
      <c r="E85" s="101"/>
      <c r="F85" s="103"/>
      <c r="G85" s="103"/>
      <c r="H85" s="103"/>
      <c r="I85" s="103"/>
      <c r="J85" s="103"/>
      <c r="K85" s="102"/>
      <c r="L85" s="101"/>
      <c r="M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</row>
    <row r="86">
      <c r="A86" s="97"/>
      <c r="B86" s="97"/>
      <c r="C86" s="97"/>
      <c r="D86" s="97"/>
      <c r="E86" s="98"/>
      <c r="F86" s="100"/>
      <c r="G86" s="100"/>
      <c r="H86" s="100"/>
      <c r="I86" s="100"/>
      <c r="J86" s="100"/>
      <c r="K86" s="99"/>
      <c r="L86" s="98"/>
      <c r="M86" s="100"/>
      <c r="N86" s="97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</row>
    <row r="87">
      <c r="E87" s="101"/>
      <c r="F87" s="103"/>
      <c r="G87" s="103"/>
      <c r="H87" s="103"/>
      <c r="I87" s="103"/>
      <c r="J87" s="103"/>
      <c r="K87" s="102"/>
      <c r="L87" s="101"/>
      <c r="M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</row>
    <row r="88">
      <c r="A88" s="97"/>
      <c r="B88" s="97"/>
      <c r="C88" s="97"/>
      <c r="D88" s="97"/>
      <c r="E88" s="98"/>
      <c r="F88" s="100"/>
      <c r="G88" s="100"/>
      <c r="H88" s="100"/>
      <c r="I88" s="100"/>
      <c r="J88" s="100"/>
      <c r="K88" s="99"/>
      <c r="L88" s="98"/>
      <c r="M88" s="100"/>
      <c r="N88" s="97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</row>
    <row r="89">
      <c r="E89" s="101"/>
      <c r="F89" s="103"/>
      <c r="G89" s="103"/>
      <c r="H89" s="103"/>
      <c r="I89" s="103"/>
      <c r="J89" s="103"/>
      <c r="K89" s="102"/>
      <c r="L89" s="101"/>
      <c r="M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</row>
    <row r="90">
      <c r="A90" s="97"/>
      <c r="B90" s="97"/>
      <c r="C90" s="97"/>
      <c r="D90" s="97"/>
      <c r="E90" s="98"/>
      <c r="F90" s="100"/>
      <c r="G90" s="100"/>
      <c r="H90" s="100"/>
      <c r="I90" s="100"/>
      <c r="J90" s="100"/>
      <c r="K90" s="99"/>
      <c r="L90" s="98"/>
      <c r="M90" s="100"/>
      <c r="N90" s="97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</row>
    <row r="91">
      <c r="E91" s="101"/>
      <c r="F91" s="103"/>
      <c r="G91" s="103"/>
      <c r="H91" s="103"/>
      <c r="I91" s="103"/>
      <c r="J91" s="103"/>
      <c r="K91" s="102"/>
      <c r="L91" s="101"/>
      <c r="M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</row>
    <row r="92">
      <c r="A92" s="97"/>
      <c r="B92" s="97"/>
      <c r="C92" s="97"/>
      <c r="D92" s="97"/>
      <c r="E92" s="98"/>
      <c r="F92" s="100"/>
      <c r="G92" s="100"/>
      <c r="H92" s="100"/>
      <c r="I92" s="100"/>
      <c r="J92" s="100"/>
      <c r="K92" s="99"/>
      <c r="L92" s="98"/>
      <c r="M92" s="100"/>
      <c r="N92" s="97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</row>
    <row r="93">
      <c r="E93" s="101"/>
      <c r="F93" s="103"/>
      <c r="G93" s="103"/>
      <c r="H93" s="103"/>
      <c r="I93" s="103"/>
      <c r="J93" s="103"/>
      <c r="K93" s="102"/>
      <c r="L93" s="101"/>
      <c r="M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</row>
    <row r="94">
      <c r="A94" s="97"/>
      <c r="B94" s="97"/>
      <c r="C94" s="97"/>
      <c r="D94" s="97"/>
      <c r="E94" s="98"/>
      <c r="F94" s="100"/>
      <c r="G94" s="100"/>
      <c r="H94" s="100"/>
      <c r="I94" s="100"/>
      <c r="J94" s="100"/>
      <c r="K94" s="99"/>
      <c r="L94" s="98"/>
      <c r="M94" s="100"/>
      <c r="N94" s="97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</row>
    <row r="95">
      <c r="E95" s="101"/>
      <c r="F95" s="103"/>
      <c r="G95" s="103"/>
      <c r="H95" s="103"/>
      <c r="I95" s="103"/>
      <c r="J95" s="103"/>
      <c r="K95" s="102"/>
      <c r="L95" s="101"/>
      <c r="M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</row>
    <row r="96">
      <c r="A96" s="97"/>
      <c r="B96" s="97"/>
      <c r="C96" s="97"/>
      <c r="D96" s="97"/>
      <c r="E96" s="98"/>
      <c r="F96" s="100"/>
      <c r="G96" s="100"/>
      <c r="H96" s="100"/>
      <c r="I96" s="100"/>
      <c r="J96" s="100"/>
      <c r="K96" s="99"/>
      <c r="L96" s="98"/>
      <c r="M96" s="100"/>
      <c r="N96" s="97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</row>
    <row r="97">
      <c r="E97" s="101"/>
      <c r="F97" s="103"/>
      <c r="G97" s="103"/>
      <c r="H97" s="103"/>
      <c r="I97" s="103"/>
      <c r="J97" s="103"/>
      <c r="K97" s="102"/>
      <c r="L97" s="101"/>
      <c r="M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</row>
    <row r="98">
      <c r="A98" s="97"/>
      <c r="B98" s="97"/>
      <c r="C98" s="97"/>
      <c r="D98" s="97"/>
      <c r="E98" s="98"/>
      <c r="F98" s="100"/>
      <c r="G98" s="100"/>
      <c r="H98" s="100"/>
      <c r="I98" s="100"/>
      <c r="J98" s="100"/>
      <c r="K98" s="99"/>
      <c r="L98" s="98"/>
      <c r="M98" s="100"/>
      <c r="N98" s="97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</row>
    <row r="99">
      <c r="E99" s="101"/>
      <c r="F99" s="103"/>
      <c r="G99" s="103"/>
      <c r="H99" s="103"/>
      <c r="I99" s="103"/>
      <c r="J99" s="103"/>
      <c r="K99" s="102"/>
      <c r="L99" s="101"/>
      <c r="M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</row>
    <row r="100">
      <c r="A100" s="97"/>
      <c r="B100" s="97"/>
      <c r="C100" s="97"/>
      <c r="D100" s="97"/>
      <c r="E100" s="98"/>
      <c r="F100" s="100"/>
      <c r="G100" s="100"/>
      <c r="H100" s="100"/>
      <c r="I100" s="100"/>
      <c r="J100" s="100"/>
      <c r="K100" s="99"/>
      <c r="L100" s="98"/>
      <c r="M100" s="100"/>
      <c r="N100" s="97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</row>
    <row r="101">
      <c r="E101" s="101"/>
      <c r="F101" s="103"/>
      <c r="G101" s="103"/>
      <c r="H101" s="103"/>
      <c r="I101" s="103"/>
      <c r="J101" s="103"/>
      <c r="K101" s="102"/>
      <c r="L101" s="101"/>
      <c r="M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</row>
    <row r="102">
      <c r="A102" s="97"/>
      <c r="B102" s="97"/>
      <c r="C102" s="97"/>
      <c r="D102" s="97"/>
      <c r="E102" s="98"/>
      <c r="F102" s="100"/>
      <c r="G102" s="100"/>
      <c r="H102" s="100"/>
      <c r="I102" s="100"/>
      <c r="J102" s="100"/>
      <c r="K102" s="99"/>
      <c r="L102" s="98"/>
      <c r="M102" s="100"/>
      <c r="N102" s="97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</row>
    <row r="103">
      <c r="F103" s="103"/>
      <c r="G103" s="103"/>
      <c r="H103" s="103"/>
      <c r="I103" s="103"/>
      <c r="J103" s="103"/>
      <c r="M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</row>
    <row r="104">
      <c r="F104" s="103"/>
      <c r="G104" s="103"/>
      <c r="H104" s="103"/>
      <c r="I104" s="103"/>
      <c r="J104" s="103"/>
      <c r="M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</row>
    <row r="105">
      <c r="F105" s="103"/>
      <c r="G105" s="103"/>
      <c r="H105" s="103"/>
      <c r="I105" s="103"/>
      <c r="J105" s="103"/>
      <c r="M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</row>
    <row r="106">
      <c r="F106" s="103"/>
      <c r="G106" s="103"/>
      <c r="H106" s="103"/>
      <c r="I106" s="103"/>
      <c r="J106" s="103"/>
      <c r="M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</row>
    <row r="107">
      <c r="F107" s="103"/>
      <c r="G107" s="103"/>
      <c r="H107" s="103"/>
      <c r="I107" s="103"/>
      <c r="J107" s="103"/>
      <c r="M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</row>
    <row r="108">
      <c r="F108" s="103"/>
      <c r="G108" s="103"/>
      <c r="H108" s="103"/>
      <c r="I108" s="103"/>
      <c r="J108" s="103"/>
      <c r="M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</row>
    <row r="109">
      <c r="F109" s="103"/>
      <c r="G109" s="103"/>
      <c r="H109" s="103"/>
      <c r="I109" s="103"/>
      <c r="J109" s="103"/>
      <c r="M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</row>
    <row r="110">
      <c r="F110" s="103"/>
      <c r="G110" s="103"/>
      <c r="H110" s="103"/>
      <c r="I110" s="103"/>
      <c r="J110" s="103"/>
      <c r="M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</row>
    <row r="111">
      <c r="F111" s="103"/>
      <c r="G111" s="103"/>
      <c r="H111" s="103"/>
      <c r="I111" s="103"/>
      <c r="J111" s="103"/>
      <c r="M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</row>
    <row r="112">
      <c r="F112" s="103"/>
      <c r="G112" s="103"/>
      <c r="H112" s="103"/>
      <c r="I112" s="103"/>
      <c r="J112" s="103"/>
      <c r="M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</row>
    <row r="113">
      <c r="F113" s="103"/>
      <c r="G113" s="103"/>
      <c r="H113" s="103"/>
      <c r="I113" s="103"/>
      <c r="J113" s="103"/>
      <c r="M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</row>
    <row r="114">
      <c r="F114" s="103"/>
      <c r="G114" s="103"/>
      <c r="H114" s="103"/>
      <c r="I114" s="103"/>
      <c r="J114" s="103"/>
      <c r="M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</row>
    <row r="115">
      <c r="F115" s="103"/>
      <c r="G115" s="103"/>
      <c r="H115" s="103"/>
      <c r="I115" s="103"/>
      <c r="J115" s="103"/>
      <c r="M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</row>
    <row r="116">
      <c r="F116" s="103"/>
      <c r="G116" s="103"/>
      <c r="H116" s="103"/>
      <c r="I116" s="103"/>
      <c r="J116" s="103"/>
      <c r="M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</row>
    <row r="117">
      <c r="F117" s="103"/>
      <c r="G117" s="103"/>
      <c r="H117" s="103"/>
      <c r="I117" s="103"/>
      <c r="J117" s="103"/>
      <c r="M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</row>
    <row r="118">
      <c r="F118" s="103"/>
      <c r="G118" s="103"/>
      <c r="H118" s="103"/>
      <c r="I118" s="103"/>
      <c r="J118" s="103"/>
      <c r="M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</row>
  </sheetData>
  <mergeCells count="1">
    <mergeCell ref="A1:A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13"/>
    <col customWidth="1" min="4" max="4" width="4.63"/>
    <col customWidth="1" min="5" max="5" width="6.75"/>
    <col customWidth="1" min="6" max="6" width="7.88"/>
    <col customWidth="1" min="7" max="7" width="4.0"/>
    <col customWidth="1" min="8" max="9" width="6.13"/>
    <col customWidth="1" min="10" max="10" width="6.25"/>
    <col customWidth="1" min="11" max="11" width="8.0"/>
    <col customWidth="1" min="12" max="12" width="11.63"/>
    <col customWidth="1" min="13" max="13" width="6.25"/>
    <col customWidth="1" min="14" max="14" width="14.63"/>
    <col customWidth="1" min="15" max="16" width="10.8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04" t="s">
        <v>250</v>
      </c>
    </row>
    <row r="3">
      <c r="A3" s="105"/>
      <c r="F3" s="106" t="s">
        <v>251</v>
      </c>
      <c r="L3" s="107" t="s">
        <v>252</v>
      </c>
      <c r="N3" s="108" t="s">
        <v>253</v>
      </c>
    </row>
    <row r="4">
      <c r="A4" s="76" t="s">
        <v>148</v>
      </c>
      <c r="B4" s="76" t="s">
        <v>149</v>
      </c>
      <c r="C4" s="76" t="s">
        <v>150</v>
      </c>
      <c r="D4" s="76" t="s">
        <v>13</v>
      </c>
      <c r="E4" s="77" t="s">
        <v>151</v>
      </c>
      <c r="F4" s="78" t="s">
        <v>15</v>
      </c>
      <c r="G4" s="78" t="s">
        <v>152</v>
      </c>
      <c r="H4" s="78" t="s">
        <v>153</v>
      </c>
      <c r="I4" s="78" t="s">
        <v>154</v>
      </c>
      <c r="J4" s="78" t="s">
        <v>155</v>
      </c>
      <c r="K4" s="79" t="s">
        <v>156</v>
      </c>
      <c r="L4" s="80" t="s">
        <v>157</v>
      </c>
      <c r="M4" s="80" t="s">
        <v>158</v>
      </c>
      <c r="N4" s="81" t="s">
        <v>254</v>
      </c>
      <c r="O4" s="81" t="s">
        <v>151</v>
      </c>
      <c r="P4" s="81" t="s">
        <v>160</v>
      </c>
      <c r="Q4" s="81" t="s">
        <v>161</v>
      </c>
      <c r="R4" s="81" t="s">
        <v>162</v>
      </c>
      <c r="S4" s="81" t="s">
        <v>163</v>
      </c>
      <c r="T4" s="81" t="s">
        <v>164</v>
      </c>
      <c r="U4" s="81" t="s">
        <v>165</v>
      </c>
      <c r="V4" s="81" t="s">
        <v>166</v>
      </c>
      <c r="W4" s="81" t="s">
        <v>167</v>
      </c>
      <c r="X4" s="81" t="s">
        <v>168</v>
      </c>
      <c r="Y4" s="81" t="s">
        <v>169</v>
      </c>
      <c r="Z4" s="81" t="s">
        <v>170</v>
      </c>
      <c r="AA4" s="81" t="s">
        <v>171</v>
      </c>
      <c r="AB4" s="81" t="s">
        <v>172</v>
      </c>
      <c r="AC4" s="81" t="s">
        <v>173</v>
      </c>
      <c r="AD4" s="81" t="s">
        <v>174</v>
      </c>
      <c r="AE4" s="81" t="s">
        <v>175</v>
      </c>
      <c r="AF4" s="81" t="s">
        <v>176</v>
      </c>
      <c r="AG4" s="81" t="s">
        <v>177</v>
      </c>
      <c r="AH4" s="81" t="s">
        <v>178</v>
      </c>
    </row>
    <row r="5">
      <c r="A5" s="109"/>
      <c r="B5" s="93"/>
      <c r="C5" s="94">
        <v>0.0</v>
      </c>
      <c r="D5" s="94">
        <v>0.0</v>
      </c>
      <c r="E5" s="96">
        <f t="shared" ref="E5:E10" si="1">SUM(L5*I5)/60</f>
        <v>0</v>
      </c>
      <c r="F5" s="94">
        <v>0.0</v>
      </c>
      <c r="G5" s="94">
        <v>0.0</v>
      </c>
      <c r="H5" s="94">
        <v>0.0</v>
      </c>
      <c r="I5" s="94">
        <v>0.0</v>
      </c>
      <c r="J5" s="95">
        <f t="shared" ref="J5:J18" si="2">SUM(G5-I5)</f>
        <v>0</v>
      </c>
      <c r="K5" s="87" t="str">
        <f t="shared" ref="K5:K18" si="3">SUM(G5/I5)</f>
        <v>#DIV/0!</v>
      </c>
      <c r="L5" s="94">
        <v>0.0</v>
      </c>
      <c r="M5" s="94">
        <v>0.0</v>
      </c>
      <c r="N5" s="94" t="s">
        <v>255</v>
      </c>
      <c r="O5" s="110" t="str">
        <f t="shared" ref="O5:O10" si="4">(E5*N5)</f>
        <v>#VALUE!</v>
      </c>
      <c r="P5" s="94">
        <v>0.0</v>
      </c>
      <c r="Q5" s="94">
        <v>0.0</v>
      </c>
      <c r="R5" s="94">
        <v>0.0</v>
      </c>
      <c r="S5" s="94">
        <v>0.0</v>
      </c>
      <c r="T5" s="94">
        <v>0.0</v>
      </c>
      <c r="U5" s="94">
        <v>0.0</v>
      </c>
      <c r="V5" s="94">
        <v>0.0</v>
      </c>
      <c r="W5" s="94">
        <v>0.0</v>
      </c>
      <c r="X5" s="94">
        <v>0.0</v>
      </c>
      <c r="Y5" s="94">
        <v>0.0</v>
      </c>
      <c r="Z5" s="94">
        <v>0.0</v>
      </c>
      <c r="AA5" s="94">
        <v>0.0</v>
      </c>
      <c r="AB5" s="94">
        <v>0.0</v>
      </c>
      <c r="AC5" s="94">
        <v>0.0</v>
      </c>
      <c r="AD5" s="94">
        <v>0.0</v>
      </c>
      <c r="AE5" s="94">
        <v>0.0</v>
      </c>
      <c r="AF5" s="94">
        <v>0.0</v>
      </c>
      <c r="AG5" s="94">
        <v>0.0</v>
      </c>
      <c r="AH5" s="94">
        <v>0.0</v>
      </c>
    </row>
    <row r="6">
      <c r="A6" s="109"/>
      <c r="B6" s="93"/>
      <c r="C6" s="94">
        <v>0.0</v>
      </c>
      <c r="D6" s="94">
        <v>0.0</v>
      </c>
      <c r="E6" s="96">
        <f t="shared" si="1"/>
        <v>0</v>
      </c>
      <c r="F6" s="94">
        <v>0.0</v>
      </c>
      <c r="G6" s="94">
        <v>0.0</v>
      </c>
      <c r="H6" s="94">
        <v>0.0</v>
      </c>
      <c r="I6" s="94">
        <v>0.0</v>
      </c>
      <c r="J6" s="95">
        <f t="shared" si="2"/>
        <v>0</v>
      </c>
      <c r="K6" s="87" t="str">
        <f t="shared" si="3"/>
        <v>#DIV/0!</v>
      </c>
      <c r="L6" s="94">
        <v>0.0</v>
      </c>
      <c r="M6" s="94">
        <v>0.0</v>
      </c>
      <c r="N6" s="94" t="s">
        <v>255</v>
      </c>
      <c r="O6" s="110" t="str">
        <f t="shared" si="4"/>
        <v>#VALUE!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94">
        <v>0.0</v>
      </c>
      <c r="V6" s="94">
        <v>0.0</v>
      </c>
      <c r="W6" s="94">
        <v>0.0</v>
      </c>
      <c r="X6" s="94">
        <v>0.0</v>
      </c>
      <c r="Y6" s="94">
        <v>0.0</v>
      </c>
      <c r="Z6" s="94">
        <v>0.0</v>
      </c>
      <c r="AA6" s="94">
        <v>0.0</v>
      </c>
      <c r="AB6" s="94">
        <v>0.0</v>
      </c>
      <c r="AC6" s="94">
        <v>0.0</v>
      </c>
      <c r="AD6" s="94">
        <v>0.0</v>
      </c>
      <c r="AE6" s="94">
        <v>0.0</v>
      </c>
      <c r="AF6" s="94">
        <v>0.0</v>
      </c>
      <c r="AG6" s="94">
        <v>0.0</v>
      </c>
      <c r="AH6" s="94">
        <v>0.0</v>
      </c>
    </row>
    <row r="7">
      <c r="A7" s="109"/>
      <c r="B7" s="93"/>
      <c r="C7" s="94">
        <v>0.0</v>
      </c>
      <c r="D7" s="94">
        <v>0.0</v>
      </c>
      <c r="E7" s="96">
        <f t="shared" si="1"/>
        <v>0</v>
      </c>
      <c r="F7" s="94">
        <v>0.0</v>
      </c>
      <c r="G7" s="94">
        <v>0.0</v>
      </c>
      <c r="H7" s="94">
        <v>0.0</v>
      </c>
      <c r="I7" s="94">
        <v>0.0</v>
      </c>
      <c r="J7" s="95">
        <f t="shared" si="2"/>
        <v>0</v>
      </c>
      <c r="K7" s="87" t="str">
        <f t="shared" si="3"/>
        <v>#DIV/0!</v>
      </c>
      <c r="L7" s="94">
        <v>0.0</v>
      </c>
      <c r="M7" s="94">
        <v>0.0</v>
      </c>
      <c r="N7" s="94" t="s">
        <v>255</v>
      </c>
      <c r="O7" s="110" t="str">
        <f t="shared" si="4"/>
        <v>#VALUE!</v>
      </c>
      <c r="P7" s="94">
        <v>0.0</v>
      </c>
      <c r="Q7" s="94">
        <v>0.0</v>
      </c>
      <c r="R7" s="94">
        <v>0.0</v>
      </c>
      <c r="S7" s="94">
        <v>0.0</v>
      </c>
      <c r="T7" s="94">
        <v>0.0</v>
      </c>
      <c r="U7" s="94">
        <v>0.0</v>
      </c>
      <c r="V7" s="94">
        <v>0.0</v>
      </c>
      <c r="W7" s="94">
        <v>0.0</v>
      </c>
      <c r="X7" s="94">
        <v>0.0</v>
      </c>
      <c r="Y7" s="94">
        <v>0.0</v>
      </c>
      <c r="Z7" s="94">
        <v>0.0</v>
      </c>
      <c r="AA7" s="94">
        <v>0.0</v>
      </c>
      <c r="AB7" s="94">
        <v>0.0</v>
      </c>
      <c r="AC7" s="94">
        <v>0.0</v>
      </c>
      <c r="AD7" s="94">
        <v>0.0</v>
      </c>
      <c r="AE7" s="94">
        <v>0.0</v>
      </c>
      <c r="AF7" s="94">
        <v>0.0</v>
      </c>
      <c r="AG7" s="94">
        <v>0.0</v>
      </c>
      <c r="AH7" s="94">
        <v>0.0</v>
      </c>
    </row>
    <row r="8">
      <c r="A8" s="109"/>
      <c r="B8" s="93"/>
      <c r="C8" s="94">
        <v>0.0</v>
      </c>
      <c r="D8" s="94">
        <v>0.0</v>
      </c>
      <c r="E8" s="96">
        <f t="shared" si="1"/>
        <v>0</v>
      </c>
      <c r="F8" s="94">
        <v>0.0</v>
      </c>
      <c r="G8" s="94">
        <v>0.0</v>
      </c>
      <c r="H8" s="94">
        <v>0.0</v>
      </c>
      <c r="I8" s="94">
        <v>0.0</v>
      </c>
      <c r="J8" s="95">
        <f t="shared" si="2"/>
        <v>0</v>
      </c>
      <c r="K8" s="87" t="str">
        <f t="shared" si="3"/>
        <v>#DIV/0!</v>
      </c>
      <c r="L8" s="94">
        <v>0.0</v>
      </c>
      <c r="M8" s="94">
        <v>0.0</v>
      </c>
      <c r="N8" s="94" t="s">
        <v>255</v>
      </c>
      <c r="O8" s="110" t="str">
        <f t="shared" si="4"/>
        <v>#VALUE!</v>
      </c>
      <c r="P8" s="94">
        <v>0.0</v>
      </c>
      <c r="Q8" s="94">
        <v>0.0</v>
      </c>
      <c r="R8" s="94">
        <v>0.0</v>
      </c>
      <c r="S8" s="94">
        <v>0.0</v>
      </c>
      <c r="T8" s="94">
        <v>0.0</v>
      </c>
      <c r="U8" s="94">
        <v>0.0</v>
      </c>
      <c r="V8" s="94">
        <v>0.0</v>
      </c>
      <c r="W8" s="94">
        <v>0.0</v>
      </c>
      <c r="X8" s="94">
        <v>0.0</v>
      </c>
      <c r="Y8" s="94">
        <v>0.0</v>
      </c>
      <c r="Z8" s="94">
        <v>0.0</v>
      </c>
      <c r="AA8" s="94">
        <v>0.0</v>
      </c>
      <c r="AB8" s="94">
        <v>0.0</v>
      </c>
      <c r="AC8" s="94">
        <v>0.0</v>
      </c>
      <c r="AD8" s="94">
        <v>0.0</v>
      </c>
      <c r="AE8" s="94">
        <v>0.0</v>
      </c>
      <c r="AF8" s="94">
        <v>0.0</v>
      </c>
      <c r="AG8" s="94">
        <v>0.0</v>
      </c>
      <c r="AH8" s="94">
        <v>0.0</v>
      </c>
    </row>
    <row r="9">
      <c r="A9" s="109"/>
      <c r="B9" s="93"/>
      <c r="C9" s="94">
        <v>0.0</v>
      </c>
      <c r="D9" s="94">
        <v>0.0</v>
      </c>
      <c r="E9" s="96">
        <f t="shared" si="1"/>
        <v>0</v>
      </c>
      <c r="F9" s="94">
        <v>0.0</v>
      </c>
      <c r="G9" s="94">
        <v>0.0</v>
      </c>
      <c r="H9" s="94">
        <v>0.0</v>
      </c>
      <c r="I9" s="94">
        <v>0.0</v>
      </c>
      <c r="J9" s="95">
        <f t="shared" si="2"/>
        <v>0</v>
      </c>
      <c r="K9" s="87" t="str">
        <f t="shared" si="3"/>
        <v>#DIV/0!</v>
      </c>
      <c r="L9" s="94">
        <v>0.0</v>
      </c>
      <c r="M9" s="94">
        <v>0.0</v>
      </c>
      <c r="N9" s="94" t="s">
        <v>255</v>
      </c>
      <c r="O9" s="110" t="str">
        <f t="shared" si="4"/>
        <v>#VALUE!</v>
      </c>
      <c r="P9" s="94">
        <v>0.0</v>
      </c>
      <c r="Q9" s="94">
        <v>0.0</v>
      </c>
      <c r="R9" s="94">
        <v>0.0</v>
      </c>
      <c r="S9" s="94">
        <v>0.0</v>
      </c>
      <c r="T9" s="94">
        <v>0.0</v>
      </c>
      <c r="U9" s="94">
        <v>0.0</v>
      </c>
      <c r="V9" s="94">
        <v>0.0</v>
      </c>
      <c r="W9" s="94">
        <v>0.0</v>
      </c>
      <c r="X9" s="94">
        <v>0.0</v>
      </c>
      <c r="Y9" s="94">
        <v>0.0</v>
      </c>
      <c r="Z9" s="94">
        <v>0.0</v>
      </c>
      <c r="AA9" s="94">
        <v>0.0</v>
      </c>
      <c r="AB9" s="94">
        <v>0.0</v>
      </c>
      <c r="AC9" s="94">
        <v>0.0</v>
      </c>
      <c r="AD9" s="94">
        <v>0.0</v>
      </c>
      <c r="AE9" s="94">
        <v>0.0</v>
      </c>
      <c r="AF9" s="94">
        <v>0.0</v>
      </c>
      <c r="AG9" s="94">
        <v>0.0</v>
      </c>
      <c r="AH9" s="94">
        <v>0.0</v>
      </c>
    </row>
    <row r="10">
      <c r="A10" s="109"/>
      <c r="B10" s="93"/>
      <c r="C10" s="94">
        <v>0.0</v>
      </c>
      <c r="D10" s="94">
        <v>0.0</v>
      </c>
      <c r="E10" s="96">
        <f t="shared" si="1"/>
        <v>0</v>
      </c>
      <c r="F10" s="94">
        <v>0.0</v>
      </c>
      <c r="G10" s="94">
        <v>0.0</v>
      </c>
      <c r="H10" s="94">
        <v>0.0</v>
      </c>
      <c r="I10" s="94">
        <v>0.0</v>
      </c>
      <c r="J10" s="95">
        <f t="shared" si="2"/>
        <v>0</v>
      </c>
      <c r="K10" s="87" t="str">
        <f t="shared" si="3"/>
        <v>#DIV/0!</v>
      </c>
      <c r="L10" s="94">
        <v>0.0</v>
      </c>
      <c r="M10" s="94">
        <v>0.0</v>
      </c>
      <c r="N10" s="94" t="s">
        <v>255</v>
      </c>
      <c r="O10" s="110" t="str">
        <f t="shared" si="4"/>
        <v>#VALUE!</v>
      </c>
      <c r="P10" s="94">
        <v>0.0</v>
      </c>
      <c r="Q10" s="94">
        <v>0.0</v>
      </c>
      <c r="R10" s="94">
        <v>0.0</v>
      </c>
      <c r="S10" s="94">
        <v>0.0</v>
      </c>
      <c r="T10" s="94">
        <v>0.0</v>
      </c>
      <c r="U10" s="94">
        <v>0.0</v>
      </c>
      <c r="V10" s="94">
        <v>0.0</v>
      </c>
      <c r="W10" s="94">
        <v>0.0</v>
      </c>
      <c r="X10" s="94">
        <v>0.0</v>
      </c>
      <c r="Y10" s="94">
        <v>0.0</v>
      </c>
      <c r="Z10" s="94">
        <v>0.0</v>
      </c>
      <c r="AA10" s="94">
        <v>0.0</v>
      </c>
      <c r="AB10" s="94">
        <v>0.0</v>
      </c>
      <c r="AC10" s="94">
        <v>0.0</v>
      </c>
      <c r="AD10" s="94">
        <v>0.0</v>
      </c>
      <c r="AE10" s="94">
        <v>0.0</v>
      </c>
      <c r="AF10" s="94">
        <v>0.0</v>
      </c>
      <c r="AG10" s="94">
        <v>0.0</v>
      </c>
      <c r="AH10" s="94">
        <v>0.0</v>
      </c>
    </row>
    <row r="11">
      <c r="A11" s="89"/>
      <c r="B11" s="111"/>
      <c r="C11" s="111">
        <f t="shared" ref="C11:D11" si="5">SUM(C5:C10)/4</f>
        <v>0</v>
      </c>
      <c r="D11" s="111">
        <f t="shared" si="5"/>
        <v>0</v>
      </c>
      <c r="E11" s="91">
        <f t="shared" ref="E11:G11" si="6">SUM(E5:E10)</f>
        <v>0</v>
      </c>
      <c r="F11" s="111">
        <f t="shared" si="6"/>
        <v>0</v>
      </c>
      <c r="G11" s="111">
        <f t="shared" si="6"/>
        <v>0</v>
      </c>
      <c r="H11" s="111"/>
      <c r="I11" s="111">
        <f>SUM(I5:I10)</f>
        <v>0</v>
      </c>
      <c r="J11" s="111">
        <f t="shared" si="2"/>
        <v>0</v>
      </c>
      <c r="K11" s="92" t="str">
        <f t="shared" si="3"/>
        <v>#DIV/0!</v>
      </c>
      <c r="L11" s="111">
        <f t="shared" ref="L11:M11" si="7">SUM(L5:L10)</f>
        <v>0</v>
      </c>
      <c r="M11" s="111">
        <f t="shared" si="7"/>
        <v>0</v>
      </c>
      <c r="N11" s="111"/>
      <c r="O11" s="112"/>
      <c r="P11" s="111">
        <f t="shared" ref="P11:AH11" si="8">SUM(P5:P10)</f>
        <v>0</v>
      </c>
      <c r="Q11" s="111">
        <f t="shared" si="8"/>
        <v>0</v>
      </c>
      <c r="R11" s="111">
        <f t="shared" si="8"/>
        <v>0</v>
      </c>
      <c r="S11" s="111">
        <f t="shared" si="8"/>
        <v>0</v>
      </c>
      <c r="T11" s="111">
        <f t="shared" si="8"/>
        <v>0</v>
      </c>
      <c r="U11" s="111">
        <f t="shared" si="8"/>
        <v>0</v>
      </c>
      <c r="V11" s="111">
        <f t="shared" si="8"/>
        <v>0</v>
      </c>
      <c r="W11" s="111">
        <f t="shared" si="8"/>
        <v>0</v>
      </c>
      <c r="X11" s="111">
        <f t="shared" si="8"/>
        <v>0</v>
      </c>
      <c r="Y11" s="111">
        <f t="shared" si="8"/>
        <v>0</v>
      </c>
      <c r="Z11" s="111">
        <f t="shared" si="8"/>
        <v>0</v>
      </c>
      <c r="AA11" s="111">
        <f t="shared" si="8"/>
        <v>0</v>
      </c>
      <c r="AB11" s="111">
        <f t="shared" si="8"/>
        <v>0</v>
      </c>
      <c r="AC11" s="111">
        <f t="shared" si="8"/>
        <v>0</v>
      </c>
      <c r="AD11" s="111">
        <f t="shared" si="8"/>
        <v>0</v>
      </c>
      <c r="AE11" s="111">
        <f t="shared" si="8"/>
        <v>0</v>
      </c>
      <c r="AF11" s="111">
        <f t="shared" si="8"/>
        <v>0</v>
      </c>
      <c r="AG11" s="111">
        <f t="shared" si="8"/>
        <v>0</v>
      </c>
      <c r="AH11" s="111">
        <f t="shared" si="8"/>
        <v>0</v>
      </c>
    </row>
    <row r="12">
      <c r="A12" s="109"/>
      <c r="B12" s="93"/>
      <c r="C12" s="94">
        <v>0.0</v>
      </c>
      <c r="D12" s="94">
        <v>0.0</v>
      </c>
      <c r="E12" s="96">
        <f t="shared" ref="E12:E17" si="9">SUM(L12*I12)/60</f>
        <v>0</v>
      </c>
      <c r="F12" s="94">
        <v>0.0</v>
      </c>
      <c r="G12" s="94">
        <v>0.0</v>
      </c>
      <c r="H12" s="94">
        <v>0.0</v>
      </c>
      <c r="I12" s="94">
        <v>0.0</v>
      </c>
      <c r="J12" s="95">
        <f t="shared" si="2"/>
        <v>0</v>
      </c>
      <c r="K12" s="87" t="str">
        <f t="shared" si="3"/>
        <v>#DIV/0!</v>
      </c>
      <c r="L12" s="94">
        <v>0.0</v>
      </c>
      <c r="M12" s="94">
        <v>0.0</v>
      </c>
      <c r="N12" s="94" t="s">
        <v>255</v>
      </c>
      <c r="O12" s="110" t="str">
        <f t="shared" ref="O12:O17" si="10">(E12*N12)</f>
        <v>#VALUE!</v>
      </c>
      <c r="P12" s="94">
        <v>0.0</v>
      </c>
      <c r="Q12" s="94">
        <v>0.0</v>
      </c>
      <c r="R12" s="94">
        <v>0.0</v>
      </c>
      <c r="S12" s="94">
        <v>0.0</v>
      </c>
      <c r="T12" s="94">
        <v>0.0</v>
      </c>
      <c r="U12" s="94">
        <v>0.0</v>
      </c>
      <c r="V12" s="94">
        <v>0.0</v>
      </c>
      <c r="W12" s="94">
        <v>0.0</v>
      </c>
      <c r="X12" s="94">
        <v>0.0</v>
      </c>
      <c r="Y12" s="94">
        <v>0.0</v>
      </c>
      <c r="Z12" s="94">
        <v>0.0</v>
      </c>
      <c r="AA12" s="94">
        <v>0.0</v>
      </c>
      <c r="AB12" s="94">
        <v>0.0</v>
      </c>
      <c r="AC12" s="94">
        <v>0.0</v>
      </c>
      <c r="AD12" s="94">
        <v>0.0</v>
      </c>
      <c r="AE12" s="94">
        <v>0.0</v>
      </c>
      <c r="AF12" s="94">
        <v>0.0</v>
      </c>
      <c r="AG12" s="94">
        <v>0.0</v>
      </c>
      <c r="AH12" s="94">
        <v>0.0</v>
      </c>
    </row>
    <row r="13">
      <c r="A13" s="109"/>
      <c r="B13" s="93"/>
      <c r="C13" s="94">
        <v>0.0</v>
      </c>
      <c r="D13" s="94">
        <v>0.0</v>
      </c>
      <c r="E13" s="96">
        <f t="shared" si="9"/>
        <v>0</v>
      </c>
      <c r="F13" s="94">
        <v>0.0</v>
      </c>
      <c r="G13" s="94">
        <v>0.0</v>
      </c>
      <c r="H13" s="94">
        <v>0.0</v>
      </c>
      <c r="I13" s="94">
        <v>0.0</v>
      </c>
      <c r="J13" s="95">
        <f t="shared" si="2"/>
        <v>0</v>
      </c>
      <c r="K13" s="87" t="str">
        <f t="shared" si="3"/>
        <v>#DIV/0!</v>
      </c>
      <c r="L13" s="94">
        <v>0.0</v>
      </c>
      <c r="M13" s="94">
        <v>0.0</v>
      </c>
      <c r="N13" s="94" t="s">
        <v>255</v>
      </c>
      <c r="O13" s="110" t="str">
        <f t="shared" si="10"/>
        <v>#VALUE!</v>
      </c>
      <c r="P13" s="94">
        <v>0.0</v>
      </c>
      <c r="Q13" s="94">
        <v>0.0</v>
      </c>
      <c r="R13" s="94">
        <v>0.0</v>
      </c>
      <c r="S13" s="94">
        <v>0.0</v>
      </c>
      <c r="T13" s="94">
        <v>0.0</v>
      </c>
      <c r="U13" s="94">
        <v>0.0</v>
      </c>
      <c r="V13" s="94">
        <v>0.0</v>
      </c>
      <c r="W13" s="94">
        <v>0.0</v>
      </c>
      <c r="X13" s="94">
        <v>0.0</v>
      </c>
      <c r="Y13" s="94">
        <v>0.0</v>
      </c>
      <c r="Z13" s="94">
        <v>0.0</v>
      </c>
      <c r="AA13" s="94">
        <v>0.0</v>
      </c>
      <c r="AB13" s="94">
        <v>0.0</v>
      </c>
      <c r="AC13" s="94">
        <v>0.0</v>
      </c>
      <c r="AD13" s="94">
        <v>0.0</v>
      </c>
      <c r="AE13" s="94">
        <v>0.0</v>
      </c>
      <c r="AF13" s="94">
        <v>0.0</v>
      </c>
      <c r="AG13" s="94">
        <v>0.0</v>
      </c>
      <c r="AH13" s="94">
        <v>0.0</v>
      </c>
    </row>
    <row r="14">
      <c r="A14" s="109"/>
      <c r="B14" s="93"/>
      <c r="C14" s="94">
        <v>0.0</v>
      </c>
      <c r="D14" s="94">
        <v>0.0</v>
      </c>
      <c r="E14" s="96">
        <f t="shared" si="9"/>
        <v>0</v>
      </c>
      <c r="F14" s="94">
        <v>0.0</v>
      </c>
      <c r="G14" s="94">
        <v>0.0</v>
      </c>
      <c r="H14" s="94">
        <v>0.0</v>
      </c>
      <c r="I14" s="94">
        <v>0.0</v>
      </c>
      <c r="J14" s="95">
        <f t="shared" si="2"/>
        <v>0</v>
      </c>
      <c r="K14" s="87" t="str">
        <f t="shared" si="3"/>
        <v>#DIV/0!</v>
      </c>
      <c r="L14" s="94">
        <v>0.0</v>
      </c>
      <c r="M14" s="94">
        <v>0.0</v>
      </c>
      <c r="N14" s="94" t="s">
        <v>255</v>
      </c>
      <c r="O14" s="110" t="str">
        <f t="shared" si="10"/>
        <v>#VALUE!</v>
      </c>
      <c r="P14" s="94">
        <v>0.0</v>
      </c>
      <c r="Q14" s="94">
        <v>0.0</v>
      </c>
      <c r="R14" s="94">
        <v>0.0</v>
      </c>
      <c r="S14" s="94">
        <v>0.0</v>
      </c>
      <c r="T14" s="94">
        <v>0.0</v>
      </c>
      <c r="U14" s="94">
        <v>0.0</v>
      </c>
      <c r="V14" s="94">
        <v>0.0</v>
      </c>
      <c r="W14" s="94">
        <v>0.0</v>
      </c>
      <c r="X14" s="94">
        <v>0.0</v>
      </c>
      <c r="Y14" s="94">
        <v>0.0</v>
      </c>
      <c r="Z14" s="94">
        <v>0.0</v>
      </c>
      <c r="AA14" s="94">
        <v>0.0</v>
      </c>
      <c r="AB14" s="94">
        <v>0.0</v>
      </c>
      <c r="AC14" s="94">
        <v>0.0</v>
      </c>
      <c r="AD14" s="94">
        <v>0.0</v>
      </c>
      <c r="AE14" s="94">
        <v>0.0</v>
      </c>
      <c r="AF14" s="94">
        <v>0.0</v>
      </c>
      <c r="AG14" s="94">
        <v>0.0</v>
      </c>
      <c r="AH14" s="94">
        <v>0.0</v>
      </c>
    </row>
    <row r="15">
      <c r="A15" s="109"/>
      <c r="B15" s="93"/>
      <c r="C15" s="94">
        <v>0.0</v>
      </c>
      <c r="D15" s="94">
        <v>0.0</v>
      </c>
      <c r="E15" s="96">
        <f t="shared" si="9"/>
        <v>0</v>
      </c>
      <c r="F15" s="94">
        <v>0.0</v>
      </c>
      <c r="G15" s="94">
        <v>0.0</v>
      </c>
      <c r="H15" s="94">
        <v>0.0</v>
      </c>
      <c r="I15" s="94">
        <v>0.0</v>
      </c>
      <c r="J15" s="95">
        <f t="shared" si="2"/>
        <v>0</v>
      </c>
      <c r="K15" s="87" t="str">
        <f t="shared" si="3"/>
        <v>#DIV/0!</v>
      </c>
      <c r="L15" s="94">
        <v>0.0</v>
      </c>
      <c r="M15" s="94">
        <v>0.0</v>
      </c>
      <c r="N15" s="94" t="s">
        <v>255</v>
      </c>
      <c r="O15" s="110" t="str">
        <f t="shared" si="10"/>
        <v>#VALUE!</v>
      </c>
      <c r="P15" s="94">
        <v>0.0</v>
      </c>
      <c r="Q15" s="94">
        <v>0.0</v>
      </c>
      <c r="R15" s="94">
        <v>0.0</v>
      </c>
      <c r="S15" s="94">
        <v>0.0</v>
      </c>
      <c r="T15" s="94">
        <v>0.0</v>
      </c>
      <c r="U15" s="94">
        <v>0.0</v>
      </c>
      <c r="V15" s="94">
        <v>0.0</v>
      </c>
      <c r="W15" s="94">
        <v>0.0</v>
      </c>
      <c r="X15" s="94">
        <v>0.0</v>
      </c>
      <c r="Y15" s="94">
        <v>0.0</v>
      </c>
      <c r="Z15" s="94">
        <v>0.0</v>
      </c>
      <c r="AA15" s="94">
        <v>0.0</v>
      </c>
      <c r="AB15" s="94">
        <v>0.0</v>
      </c>
      <c r="AC15" s="94">
        <v>0.0</v>
      </c>
      <c r="AD15" s="94">
        <v>0.0</v>
      </c>
      <c r="AE15" s="94">
        <v>0.0</v>
      </c>
      <c r="AF15" s="94">
        <v>0.0</v>
      </c>
      <c r="AG15" s="94">
        <v>0.0</v>
      </c>
      <c r="AH15" s="94">
        <v>0.0</v>
      </c>
    </row>
    <row r="16">
      <c r="A16" s="109"/>
      <c r="B16" s="93"/>
      <c r="C16" s="94">
        <v>0.0</v>
      </c>
      <c r="D16" s="94">
        <v>0.0</v>
      </c>
      <c r="E16" s="96">
        <f t="shared" si="9"/>
        <v>0</v>
      </c>
      <c r="F16" s="94">
        <v>0.0</v>
      </c>
      <c r="G16" s="94">
        <v>0.0</v>
      </c>
      <c r="H16" s="94">
        <v>0.0</v>
      </c>
      <c r="I16" s="94">
        <v>0.0</v>
      </c>
      <c r="J16" s="95">
        <f t="shared" si="2"/>
        <v>0</v>
      </c>
      <c r="K16" s="87" t="str">
        <f t="shared" si="3"/>
        <v>#DIV/0!</v>
      </c>
      <c r="L16" s="94">
        <v>0.0</v>
      </c>
      <c r="M16" s="94">
        <v>0.0</v>
      </c>
      <c r="N16" s="94" t="s">
        <v>255</v>
      </c>
      <c r="O16" s="110" t="str">
        <f t="shared" si="10"/>
        <v>#VALUE!</v>
      </c>
      <c r="P16" s="94">
        <v>0.0</v>
      </c>
      <c r="Q16" s="94">
        <v>0.0</v>
      </c>
      <c r="R16" s="94">
        <v>0.0</v>
      </c>
      <c r="S16" s="94">
        <v>0.0</v>
      </c>
      <c r="T16" s="94">
        <v>0.0</v>
      </c>
      <c r="U16" s="94">
        <v>0.0</v>
      </c>
      <c r="V16" s="94">
        <v>0.0</v>
      </c>
      <c r="W16" s="94">
        <v>0.0</v>
      </c>
      <c r="X16" s="94">
        <v>0.0</v>
      </c>
      <c r="Y16" s="94">
        <v>0.0</v>
      </c>
      <c r="Z16" s="94">
        <v>0.0</v>
      </c>
      <c r="AA16" s="94">
        <v>0.0</v>
      </c>
      <c r="AB16" s="94">
        <v>0.0</v>
      </c>
      <c r="AC16" s="94">
        <v>0.0</v>
      </c>
      <c r="AD16" s="94">
        <v>0.0</v>
      </c>
      <c r="AE16" s="94">
        <v>0.0</v>
      </c>
      <c r="AF16" s="94">
        <v>0.0</v>
      </c>
      <c r="AG16" s="94">
        <v>0.0</v>
      </c>
      <c r="AH16" s="94">
        <v>0.0</v>
      </c>
    </row>
    <row r="17">
      <c r="A17" s="109"/>
      <c r="B17" s="93"/>
      <c r="C17" s="94">
        <v>0.0</v>
      </c>
      <c r="D17" s="94">
        <v>0.0</v>
      </c>
      <c r="E17" s="96">
        <f t="shared" si="9"/>
        <v>0</v>
      </c>
      <c r="F17" s="94">
        <v>0.0</v>
      </c>
      <c r="G17" s="94">
        <v>0.0</v>
      </c>
      <c r="H17" s="94">
        <v>0.0</v>
      </c>
      <c r="I17" s="94">
        <v>0.0</v>
      </c>
      <c r="J17" s="95">
        <f t="shared" si="2"/>
        <v>0</v>
      </c>
      <c r="K17" s="87" t="str">
        <f t="shared" si="3"/>
        <v>#DIV/0!</v>
      </c>
      <c r="L17" s="94">
        <v>0.0</v>
      </c>
      <c r="M17" s="94">
        <v>0.0</v>
      </c>
      <c r="N17" s="94" t="s">
        <v>255</v>
      </c>
      <c r="O17" s="110" t="str">
        <f t="shared" si="10"/>
        <v>#VALUE!</v>
      </c>
      <c r="P17" s="94">
        <v>0.0</v>
      </c>
      <c r="Q17" s="94">
        <v>0.0</v>
      </c>
      <c r="R17" s="94">
        <v>0.0</v>
      </c>
      <c r="S17" s="94">
        <v>0.0</v>
      </c>
      <c r="T17" s="94">
        <v>0.0</v>
      </c>
      <c r="U17" s="94">
        <v>0.0</v>
      </c>
      <c r="V17" s="94">
        <v>0.0</v>
      </c>
      <c r="W17" s="94">
        <v>0.0</v>
      </c>
      <c r="X17" s="94">
        <v>0.0</v>
      </c>
      <c r="Y17" s="94">
        <v>0.0</v>
      </c>
      <c r="Z17" s="94">
        <v>0.0</v>
      </c>
      <c r="AA17" s="94">
        <v>0.0</v>
      </c>
      <c r="AB17" s="94">
        <v>0.0</v>
      </c>
      <c r="AC17" s="94">
        <v>0.0</v>
      </c>
      <c r="AD17" s="94">
        <v>0.0</v>
      </c>
      <c r="AE17" s="94">
        <v>0.0</v>
      </c>
      <c r="AF17" s="94">
        <v>0.0</v>
      </c>
      <c r="AG17" s="94">
        <v>0.0</v>
      </c>
      <c r="AH17" s="94">
        <v>0.0</v>
      </c>
    </row>
    <row r="18">
      <c r="A18" s="89" t="s">
        <v>185</v>
      </c>
      <c r="B18" s="111"/>
      <c r="C18" s="111">
        <f>SUM(C12:C17)</f>
        <v>0</v>
      </c>
      <c r="D18" s="111">
        <f t="shared" ref="D18:E18" si="11">SUM(D12:D17)/4</f>
        <v>0</v>
      </c>
      <c r="E18" s="91">
        <f t="shared" si="11"/>
        <v>0</v>
      </c>
      <c r="F18" s="111">
        <f t="shared" ref="F18:G18" si="12">SUM(F12:F17)</f>
        <v>0</v>
      </c>
      <c r="G18" s="111">
        <f t="shared" si="12"/>
        <v>0</v>
      </c>
      <c r="H18" s="111"/>
      <c r="I18" s="111">
        <f>SUM(I12:I17)</f>
        <v>0</v>
      </c>
      <c r="J18" s="111">
        <f t="shared" si="2"/>
        <v>0</v>
      </c>
      <c r="K18" s="92" t="str">
        <f t="shared" si="3"/>
        <v>#DIV/0!</v>
      </c>
      <c r="L18" s="111">
        <f t="shared" ref="L18:M18" si="13">SUM(L12:L17)</f>
        <v>0</v>
      </c>
      <c r="M18" s="111">
        <f t="shared" si="13"/>
        <v>0</v>
      </c>
      <c r="N18" s="111"/>
      <c r="O18" s="112"/>
      <c r="P18" s="111">
        <f t="shared" ref="P18:AH18" si="14">SUM(P12:P17)</f>
        <v>0</v>
      </c>
      <c r="Q18" s="111">
        <f t="shared" si="14"/>
        <v>0</v>
      </c>
      <c r="R18" s="111">
        <f t="shared" si="14"/>
        <v>0</v>
      </c>
      <c r="S18" s="111">
        <f t="shared" si="14"/>
        <v>0</v>
      </c>
      <c r="T18" s="111">
        <f t="shared" si="14"/>
        <v>0</v>
      </c>
      <c r="U18" s="111">
        <f t="shared" si="14"/>
        <v>0</v>
      </c>
      <c r="V18" s="111">
        <f t="shared" si="14"/>
        <v>0</v>
      </c>
      <c r="W18" s="111">
        <f t="shared" si="14"/>
        <v>0</v>
      </c>
      <c r="X18" s="111">
        <f t="shared" si="14"/>
        <v>0</v>
      </c>
      <c r="Y18" s="111">
        <f t="shared" si="14"/>
        <v>0</v>
      </c>
      <c r="Z18" s="111">
        <f t="shared" si="14"/>
        <v>0</v>
      </c>
      <c r="AA18" s="111">
        <f t="shared" si="14"/>
        <v>0</v>
      </c>
      <c r="AB18" s="111">
        <f t="shared" si="14"/>
        <v>0</v>
      </c>
      <c r="AC18" s="111">
        <f t="shared" si="14"/>
        <v>0</v>
      </c>
      <c r="AD18" s="111">
        <f t="shared" si="14"/>
        <v>0</v>
      </c>
      <c r="AE18" s="111">
        <f t="shared" si="14"/>
        <v>0</v>
      </c>
      <c r="AF18" s="111">
        <f t="shared" si="14"/>
        <v>0</v>
      </c>
      <c r="AG18" s="111">
        <f t="shared" si="14"/>
        <v>0</v>
      </c>
      <c r="AH18" s="111">
        <f t="shared" si="14"/>
        <v>0</v>
      </c>
    </row>
    <row r="19">
      <c r="A19" s="104" t="s">
        <v>256</v>
      </c>
    </row>
    <row r="21" hidden="1">
      <c r="A21" s="105"/>
      <c r="F21" s="106" t="s">
        <v>251</v>
      </c>
      <c r="L21" s="107" t="s">
        <v>252</v>
      </c>
      <c r="N21" s="108" t="s">
        <v>253</v>
      </c>
    </row>
    <row r="22" hidden="1">
      <c r="A22" s="76" t="s">
        <v>148</v>
      </c>
      <c r="B22" s="76" t="s">
        <v>149</v>
      </c>
      <c r="C22" s="76" t="s">
        <v>150</v>
      </c>
      <c r="D22" s="76" t="s">
        <v>13</v>
      </c>
      <c r="E22" s="77" t="s">
        <v>151</v>
      </c>
      <c r="F22" s="78" t="s">
        <v>15</v>
      </c>
      <c r="G22" s="78" t="s">
        <v>152</v>
      </c>
      <c r="H22" s="78" t="s">
        <v>153</v>
      </c>
      <c r="I22" s="78" t="s">
        <v>154</v>
      </c>
      <c r="J22" s="78" t="s">
        <v>155</v>
      </c>
      <c r="K22" s="79" t="s">
        <v>156</v>
      </c>
      <c r="L22" s="80" t="s">
        <v>157</v>
      </c>
      <c r="M22" s="80" t="s">
        <v>158</v>
      </c>
      <c r="N22" s="81" t="s">
        <v>254</v>
      </c>
      <c r="O22" s="81" t="s">
        <v>151</v>
      </c>
      <c r="P22" s="81" t="s">
        <v>160</v>
      </c>
      <c r="Q22" s="81" t="s">
        <v>161</v>
      </c>
      <c r="R22" s="81" t="s">
        <v>162</v>
      </c>
      <c r="S22" s="81" t="s">
        <v>163</v>
      </c>
      <c r="T22" s="81" t="s">
        <v>164</v>
      </c>
      <c r="U22" s="81" t="s">
        <v>165</v>
      </c>
      <c r="V22" s="81" t="s">
        <v>166</v>
      </c>
      <c r="W22" s="81" t="s">
        <v>167</v>
      </c>
      <c r="X22" s="81" t="s">
        <v>168</v>
      </c>
      <c r="Y22" s="81" t="s">
        <v>169</v>
      </c>
      <c r="Z22" s="81" t="s">
        <v>170</v>
      </c>
      <c r="AA22" s="81" t="s">
        <v>171</v>
      </c>
      <c r="AB22" s="81" t="s">
        <v>172</v>
      </c>
      <c r="AC22" s="81" t="s">
        <v>173</v>
      </c>
      <c r="AD22" s="81" t="s">
        <v>174</v>
      </c>
      <c r="AE22" s="81" t="s">
        <v>175</v>
      </c>
      <c r="AF22" s="81" t="s">
        <v>176</v>
      </c>
      <c r="AG22" s="81" t="s">
        <v>177</v>
      </c>
      <c r="AH22" s="81" t="s">
        <v>178</v>
      </c>
    </row>
    <row r="23" hidden="1">
      <c r="A23" s="83" t="s">
        <v>44</v>
      </c>
      <c r="B23" s="84" t="s">
        <v>186</v>
      </c>
      <c r="C23" s="85">
        <v>1.0</v>
      </c>
      <c r="D23" s="85">
        <v>1.0</v>
      </c>
      <c r="E23" s="86">
        <v>28.0</v>
      </c>
      <c r="F23" s="94">
        <v>0.0</v>
      </c>
      <c r="G23" s="85">
        <v>99.0</v>
      </c>
      <c r="H23" s="94">
        <v>0.0</v>
      </c>
      <c r="I23" s="85">
        <v>115.0</v>
      </c>
      <c r="J23" s="95">
        <f t="shared" ref="J23:J36" si="15">SUM(G23-I23)</f>
        <v>-16</v>
      </c>
      <c r="K23" s="87">
        <f t="shared" ref="K23:K36" si="16">SUM(G23/I23)</f>
        <v>0.8608695652</v>
      </c>
      <c r="L23" s="85">
        <v>11.0</v>
      </c>
      <c r="M23" s="85">
        <v>120.0</v>
      </c>
      <c r="N23" s="85">
        <v>1.0</v>
      </c>
      <c r="O23" s="110">
        <f t="shared" ref="O23:O28" si="17">(E23*N23)</f>
        <v>28</v>
      </c>
      <c r="P23" s="85">
        <v>2.0</v>
      </c>
      <c r="Q23" s="85">
        <v>3.0</v>
      </c>
      <c r="R23" s="85">
        <v>6.0</v>
      </c>
      <c r="S23" s="85">
        <v>1.0</v>
      </c>
      <c r="T23" s="85">
        <v>14.0</v>
      </c>
      <c r="U23" s="85">
        <v>3.0</v>
      </c>
      <c r="V23" s="94">
        <v>0.0</v>
      </c>
      <c r="W23" s="94">
        <v>0.0</v>
      </c>
      <c r="X23" s="94">
        <v>0.0</v>
      </c>
      <c r="Y23" s="94">
        <v>0.0</v>
      </c>
      <c r="Z23" s="94">
        <v>0.0</v>
      </c>
      <c r="AA23" s="94">
        <v>0.0</v>
      </c>
      <c r="AB23" s="94">
        <v>0.0</v>
      </c>
      <c r="AC23" s="94">
        <v>0.0</v>
      </c>
      <c r="AD23" s="94">
        <v>0.0</v>
      </c>
      <c r="AE23" s="94">
        <v>0.0</v>
      </c>
      <c r="AF23" s="94">
        <v>0.0</v>
      </c>
      <c r="AG23" s="94">
        <v>0.0</v>
      </c>
      <c r="AH23" s="94">
        <v>0.0</v>
      </c>
    </row>
    <row r="24" hidden="1">
      <c r="A24" s="83" t="s">
        <v>44</v>
      </c>
      <c r="B24" s="84" t="s">
        <v>187</v>
      </c>
      <c r="C24" s="85">
        <v>1.0</v>
      </c>
      <c r="D24" s="85">
        <v>1.0</v>
      </c>
      <c r="E24" s="86">
        <v>28.0</v>
      </c>
      <c r="F24" s="94">
        <v>0.0</v>
      </c>
      <c r="G24" s="85">
        <v>152.0</v>
      </c>
      <c r="H24" s="85">
        <v>1.0</v>
      </c>
      <c r="I24" s="85">
        <v>100.0</v>
      </c>
      <c r="J24" s="95">
        <f t="shared" si="15"/>
        <v>52</v>
      </c>
      <c r="K24" s="87">
        <f t="shared" si="16"/>
        <v>1.52</v>
      </c>
      <c r="L24" s="85">
        <v>14.0</v>
      </c>
      <c r="M24" s="85">
        <v>208.0</v>
      </c>
      <c r="N24" s="85">
        <v>1.0</v>
      </c>
      <c r="O24" s="110">
        <f t="shared" si="17"/>
        <v>28</v>
      </c>
      <c r="P24" s="85">
        <v>4.0</v>
      </c>
      <c r="Q24" s="85">
        <v>2.0</v>
      </c>
      <c r="R24" s="85">
        <v>10.0</v>
      </c>
      <c r="S24" s="85">
        <v>2.0</v>
      </c>
      <c r="T24" s="85">
        <v>30.0</v>
      </c>
      <c r="U24" s="85">
        <v>9.0</v>
      </c>
      <c r="V24" s="85">
        <v>2.0</v>
      </c>
      <c r="W24" s="85">
        <v>1.0</v>
      </c>
      <c r="X24" s="94">
        <v>0.0</v>
      </c>
      <c r="Y24" s="94">
        <v>0.0</v>
      </c>
      <c r="Z24" s="94">
        <v>0.0</v>
      </c>
      <c r="AA24" s="94">
        <v>0.0</v>
      </c>
      <c r="AB24" s="94">
        <v>0.0</v>
      </c>
      <c r="AC24" s="85">
        <v>6.0</v>
      </c>
      <c r="AD24" s="94">
        <v>0.0</v>
      </c>
      <c r="AE24" s="94">
        <v>0.0</v>
      </c>
      <c r="AF24" s="94">
        <v>0.0</v>
      </c>
      <c r="AG24" s="94">
        <v>0.0</v>
      </c>
      <c r="AH24" s="94">
        <v>0.0</v>
      </c>
    </row>
    <row r="25" hidden="1">
      <c r="A25" s="83" t="s">
        <v>44</v>
      </c>
      <c r="B25" s="84" t="s">
        <v>188</v>
      </c>
      <c r="C25" s="85">
        <v>1.0</v>
      </c>
      <c r="D25" s="85">
        <v>1.0</v>
      </c>
      <c r="E25" s="86">
        <v>28.0</v>
      </c>
      <c r="F25" s="85">
        <v>4.0</v>
      </c>
      <c r="G25" s="85">
        <v>66.0</v>
      </c>
      <c r="H25" s="94">
        <v>0.0</v>
      </c>
      <c r="I25" s="85">
        <v>54.0</v>
      </c>
      <c r="J25" s="95">
        <f t="shared" si="15"/>
        <v>12</v>
      </c>
      <c r="K25" s="87">
        <f t="shared" si="16"/>
        <v>1.222222222</v>
      </c>
      <c r="L25" s="85">
        <v>28.0</v>
      </c>
      <c r="M25" s="85">
        <v>94.0</v>
      </c>
      <c r="N25" s="85">
        <v>1.0</v>
      </c>
      <c r="O25" s="110">
        <f t="shared" si="17"/>
        <v>28</v>
      </c>
      <c r="P25" s="85">
        <v>7.0</v>
      </c>
      <c r="Q25" s="94">
        <v>0.0</v>
      </c>
      <c r="R25" s="85">
        <v>1.0</v>
      </c>
      <c r="S25" s="94">
        <v>0.0</v>
      </c>
      <c r="T25" s="85">
        <v>12.0</v>
      </c>
      <c r="U25" s="85">
        <v>3.0</v>
      </c>
      <c r="V25" s="85">
        <v>1.0</v>
      </c>
      <c r="W25" s="94">
        <v>0.0</v>
      </c>
      <c r="X25" s="94">
        <v>0.0</v>
      </c>
      <c r="Y25" s="94">
        <v>0.0</v>
      </c>
      <c r="Z25" s="94">
        <v>0.0</v>
      </c>
      <c r="AA25" s="94">
        <v>0.0</v>
      </c>
      <c r="AB25" s="94">
        <v>0.0</v>
      </c>
      <c r="AC25" s="94">
        <v>0.0</v>
      </c>
      <c r="AD25" s="94">
        <v>0.0</v>
      </c>
      <c r="AE25" s="94">
        <v>0.0</v>
      </c>
      <c r="AF25" s="94">
        <v>0.0</v>
      </c>
      <c r="AG25" s="94">
        <v>0.0</v>
      </c>
      <c r="AH25" s="94">
        <v>0.0</v>
      </c>
    </row>
    <row r="26" hidden="1">
      <c r="A26" s="83" t="s">
        <v>44</v>
      </c>
      <c r="B26" s="84" t="s">
        <v>189</v>
      </c>
      <c r="C26" s="85">
        <v>1.0</v>
      </c>
      <c r="D26" s="85">
        <v>1.0</v>
      </c>
      <c r="E26" s="86">
        <v>28.0</v>
      </c>
      <c r="F26" s="85">
        <v>1.0</v>
      </c>
      <c r="G26" s="85">
        <v>87.0</v>
      </c>
      <c r="H26" s="94">
        <v>0.0</v>
      </c>
      <c r="I26" s="85">
        <v>100.0</v>
      </c>
      <c r="J26" s="95">
        <f t="shared" si="15"/>
        <v>-13</v>
      </c>
      <c r="K26" s="87">
        <f t="shared" si="16"/>
        <v>0.87</v>
      </c>
      <c r="L26" s="85">
        <v>14.0</v>
      </c>
      <c r="M26" s="85">
        <v>111.0</v>
      </c>
      <c r="N26" s="85">
        <v>1.0</v>
      </c>
      <c r="O26" s="110">
        <f t="shared" si="17"/>
        <v>28</v>
      </c>
      <c r="P26" s="85">
        <v>6.0</v>
      </c>
      <c r="Q26" s="85">
        <v>3.0</v>
      </c>
      <c r="R26" s="85">
        <v>5.0</v>
      </c>
      <c r="S26" s="94">
        <v>0.0</v>
      </c>
      <c r="T26" s="85">
        <v>9.0</v>
      </c>
      <c r="U26" s="85">
        <v>2.0</v>
      </c>
      <c r="V26" s="85">
        <v>1.0</v>
      </c>
      <c r="W26" s="94">
        <v>0.0</v>
      </c>
      <c r="X26" s="94">
        <v>0.0</v>
      </c>
      <c r="Y26" s="94">
        <v>0.0</v>
      </c>
      <c r="Z26" s="94">
        <v>0.0</v>
      </c>
      <c r="AA26" s="94">
        <v>0.0</v>
      </c>
      <c r="AB26" s="94">
        <v>0.0</v>
      </c>
      <c r="AC26" s="85">
        <v>3.0</v>
      </c>
      <c r="AD26" s="94">
        <v>0.0</v>
      </c>
      <c r="AE26" s="94">
        <v>0.0</v>
      </c>
      <c r="AF26" s="94">
        <v>0.0</v>
      </c>
      <c r="AG26" s="94">
        <v>0.0</v>
      </c>
      <c r="AH26" s="94">
        <v>0.0</v>
      </c>
    </row>
    <row r="27" hidden="1">
      <c r="A27" s="83" t="s">
        <v>44</v>
      </c>
      <c r="B27" s="84" t="s">
        <v>190</v>
      </c>
      <c r="C27" s="94">
        <v>0.0</v>
      </c>
      <c r="D27" s="94">
        <v>0.0</v>
      </c>
      <c r="E27" s="96">
        <f t="shared" ref="E27:E28" si="18">SUM(L27*I27)/60</f>
        <v>0</v>
      </c>
      <c r="F27" s="94">
        <v>0.0</v>
      </c>
      <c r="G27" s="94">
        <v>0.0</v>
      </c>
      <c r="H27" s="94">
        <v>0.0</v>
      </c>
      <c r="I27" s="94">
        <v>0.0</v>
      </c>
      <c r="J27" s="95">
        <f t="shared" si="15"/>
        <v>0</v>
      </c>
      <c r="K27" s="87" t="str">
        <f t="shared" si="16"/>
        <v>#DIV/0!</v>
      </c>
      <c r="L27" s="94">
        <v>0.0</v>
      </c>
      <c r="M27" s="94">
        <v>0.0</v>
      </c>
      <c r="N27" s="85">
        <v>0.0</v>
      </c>
      <c r="O27" s="110">
        <f t="shared" si="17"/>
        <v>0</v>
      </c>
      <c r="P27" s="94">
        <v>0.0</v>
      </c>
      <c r="Q27" s="94">
        <v>0.0</v>
      </c>
      <c r="R27" s="94">
        <v>0.0</v>
      </c>
      <c r="S27" s="94">
        <v>0.0</v>
      </c>
      <c r="T27" s="94">
        <v>0.0</v>
      </c>
      <c r="U27" s="94">
        <v>0.0</v>
      </c>
      <c r="V27" s="94">
        <v>0.0</v>
      </c>
      <c r="W27" s="94">
        <v>0.0</v>
      </c>
      <c r="X27" s="94">
        <v>0.0</v>
      </c>
      <c r="Y27" s="94">
        <v>0.0</v>
      </c>
      <c r="Z27" s="94">
        <v>0.0</v>
      </c>
      <c r="AA27" s="94">
        <v>0.0</v>
      </c>
      <c r="AB27" s="94">
        <v>0.0</v>
      </c>
      <c r="AC27" s="94">
        <v>0.0</v>
      </c>
      <c r="AD27" s="94">
        <v>0.0</v>
      </c>
      <c r="AE27" s="94">
        <v>0.0</v>
      </c>
      <c r="AF27" s="94">
        <v>0.0</v>
      </c>
      <c r="AG27" s="94">
        <v>0.0</v>
      </c>
      <c r="AH27" s="94">
        <v>0.0</v>
      </c>
    </row>
    <row r="28" hidden="1">
      <c r="A28" s="83" t="s">
        <v>44</v>
      </c>
      <c r="B28" s="93"/>
      <c r="C28" s="94">
        <v>0.0</v>
      </c>
      <c r="D28" s="94">
        <v>0.0</v>
      </c>
      <c r="E28" s="96">
        <f t="shared" si="18"/>
        <v>0</v>
      </c>
      <c r="F28" s="94">
        <v>0.0</v>
      </c>
      <c r="G28" s="94">
        <v>0.0</v>
      </c>
      <c r="H28" s="94">
        <v>0.0</v>
      </c>
      <c r="I28" s="94">
        <v>0.0</v>
      </c>
      <c r="J28" s="95">
        <f t="shared" si="15"/>
        <v>0</v>
      </c>
      <c r="K28" s="87" t="str">
        <f t="shared" si="16"/>
        <v>#DIV/0!</v>
      </c>
      <c r="L28" s="94">
        <v>0.0</v>
      </c>
      <c r="M28" s="94">
        <v>0.0</v>
      </c>
      <c r="N28" s="85">
        <v>0.0</v>
      </c>
      <c r="O28" s="110">
        <f t="shared" si="17"/>
        <v>0</v>
      </c>
      <c r="P28" s="94">
        <v>0.0</v>
      </c>
      <c r="Q28" s="94">
        <v>0.0</v>
      </c>
      <c r="R28" s="94">
        <v>0.0</v>
      </c>
      <c r="S28" s="94">
        <v>0.0</v>
      </c>
      <c r="T28" s="94">
        <v>0.0</v>
      </c>
      <c r="U28" s="94">
        <v>0.0</v>
      </c>
      <c r="V28" s="94">
        <v>0.0</v>
      </c>
      <c r="W28" s="94">
        <v>0.0</v>
      </c>
      <c r="X28" s="94">
        <v>0.0</v>
      </c>
      <c r="Y28" s="94">
        <v>0.0</v>
      </c>
      <c r="Z28" s="94">
        <v>0.0</v>
      </c>
      <c r="AA28" s="94">
        <v>0.0</v>
      </c>
      <c r="AB28" s="94">
        <v>0.0</v>
      </c>
      <c r="AC28" s="94">
        <v>0.0</v>
      </c>
      <c r="AD28" s="94">
        <v>0.0</v>
      </c>
      <c r="AE28" s="94">
        <v>0.0</v>
      </c>
      <c r="AF28" s="94">
        <v>0.0</v>
      </c>
      <c r="AG28" s="94">
        <v>0.0</v>
      </c>
      <c r="AH28" s="94">
        <v>0.0</v>
      </c>
    </row>
    <row r="29" hidden="1">
      <c r="A29" s="89"/>
      <c r="B29" s="111"/>
      <c r="C29" s="111">
        <f t="shared" ref="C29:D29" si="19">SUM(C23:C28)/4</f>
        <v>1</v>
      </c>
      <c r="D29" s="111">
        <f t="shared" si="19"/>
        <v>1</v>
      </c>
      <c r="E29" s="91">
        <f t="shared" ref="E29:G29" si="20">SUM(E23:E28)</f>
        <v>112</v>
      </c>
      <c r="F29" s="111">
        <f t="shared" si="20"/>
        <v>5</v>
      </c>
      <c r="G29" s="111">
        <f t="shared" si="20"/>
        <v>404</v>
      </c>
      <c r="H29" s="111"/>
      <c r="I29" s="111">
        <f>SUM(I23:I28)</f>
        <v>369</v>
      </c>
      <c r="J29" s="111">
        <f t="shared" si="15"/>
        <v>35</v>
      </c>
      <c r="K29" s="92">
        <f t="shared" si="16"/>
        <v>1.094850949</v>
      </c>
      <c r="L29" s="111">
        <f t="shared" ref="L29:M29" si="21">SUM(L23:L28)</f>
        <v>67</v>
      </c>
      <c r="M29" s="111">
        <f t="shared" si="21"/>
        <v>533</v>
      </c>
      <c r="N29" s="111"/>
      <c r="O29" s="112"/>
      <c r="P29" s="111">
        <f t="shared" ref="P29:AH29" si="22">SUM(P23:P28)</f>
        <v>19</v>
      </c>
      <c r="Q29" s="111">
        <f t="shared" si="22"/>
        <v>8</v>
      </c>
      <c r="R29" s="111">
        <f t="shared" si="22"/>
        <v>22</v>
      </c>
      <c r="S29" s="111">
        <f t="shared" si="22"/>
        <v>3</v>
      </c>
      <c r="T29" s="111">
        <f t="shared" si="22"/>
        <v>65</v>
      </c>
      <c r="U29" s="111">
        <f t="shared" si="22"/>
        <v>17</v>
      </c>
      <c r="V29" s="111">
        <f t="shared" si="22"/>
        <v>4</v>
      </c>
      <c r="W29" s="111">
        <f t="shared" si="22"/>
        <v>1</v>
      </c>
      <c r="X29" s="111">
        <f t="shared" si="22"/>
        <v>0</v>
      </c>
      <c r="Y29" s="111">
        <f t="shared" si="22"/>
        <v>0</v>
      </c>
      <c r="Z29" s="111">
        <f t="shared" si="22"/>
        <v>0</v>
      </c>
      <c r="AA29" s="111">
        <f t="shared" si="22"/>
        <v>0</v>
      </c>
      <c r="AB29" s="111">
        <f t="shared" si="22"/>
        <v>0</v>
      </c>
      <c r="AC29" s="111">
        <f t="shared" si="22"/>
        <v>9</v>
      </c>
      <c r="AD29" s="111">
        <f t="shared" si="22"/>
        <v>0</v>
      </c>
      <c r="AE29" s="111">
        <f t="shared" si="22"/>
        <v>0</v>
      </c>
      <c r="AF29" s="111">
        <f t="shared" si="22"/>
        <v>0</v>
      </c>
      <c r="AG29" s="111">
        <f t="shared" si="22"/>
        <v>0</v>
      </c>
      <c r="AH29" s="111">
        <f t="shared" si="22"/>
        <v>0</v>
      </c>
    </row>
    <row r="30" hidden="1">
      <c r="A30" s="83" t="s">
        <v>34</v>
      </c>
      <c r="B30" s="84" t="s">
        <v>227</v>
      </c>
      <c r="C30" s="85">
        <v>1.0</v>
      </c>
      <c r="D30" s="94">
        <v>0.0</v>
      </c>
      <c r="E30" s="86">
        <v>28.0</v>
      </c>
      <c r="F30" s="85">
        <v>2.0</v>
      </c>
      <c r="G30" s="85">
        <v>110.0</v>
      </c>
      <c r="H30" s="85">
        <v>2.0</v>
      </c>
      <c r="I30" s="85">
        <v>97.0</v>
      </c>
      <c r="J30" s="95">
        <f t="shared" si="15"/>
        <v>13</v>
      </c>
      <c r="K30" s="87">
        <f t="shared" si="16"/>
        <v>1.134020619</v>
      </c>
      <c r="L30" s="85">
        <v>14.0</v>
      </c>
      <c r="M30" s="85">
        <v>148.0</v>
      </c>
      <c r="N30" s="85">
        <v>1.0</v>
      </c>
      <c r="O30" s="88">
        <v>0.0</v>
      </c>
      <c r="P30" s="85">
        <v>4.0</v>
      </c>
      <c r="Q30" s="85">
        <v>1.0</v>
      </c>
      <c r="R30" s="85">
        <v>5.0</v>
      </c>
      <c r="S30" s="85">
        <v>1.0</v>
      </c>
      <c r="T30" s="85">
        <v>16.0</v>
      </c>
      <c r="U30" s="85">
        <v>4.0</v>
      </c>
      <c r="V30" s="85">
        <v>2.0</v>
      </c>
      <c r="W30" s="85">
        <v>1.0</v>
      </c>
      <c r="X30" s="85">
        <v>1.0</v>
      </c>
      <c r="Y30" s="85">
        <v>1.0</v>
      </c>
      <c r="Z30" s="85">
        <v>1.0</v>
      </c>
      <c r="AA30" s="85">
        <v>1.0</v>
      </c>
      <c r="AB30" s="85">
        <v>1.0</v>
      </c>
      <c r="AC30" s="85">
        <v>2.0</v>
      </c>
      <c r="AD30" s="85">
        <v>1.0</v>
      </c>
      <c r="AE30" s="94">
        <v>0.0</v>
      </c>
      <c r="AF30" s="94">
        <v>0.0</v>
      </c>
      <c r="AG30" s="94">
        <v>0.0</v>
      </c>
      <c r="AH30" s="94">
        <v>0.0</v>
      </c>
    </row>
    <row r="31" hidden="1">
      <c r="A31" s="83" t="s">
        <v>34</v>
      </c>
      <c r="B31" s="84" t="s">
        <v>228</v>
      </c>
      <c r="C31" s="85">
        <v>1.0</v>
      </c>
      <c r="D31" s="94">
        <v>0.0</v>
      </c>
      <c r="E31" s="86">
        <v>28.0</v>
      </c>
      <c r="F31" s="85">
        <v>1.0</v>
      </c>
      <c r="G31" s="85">
        <v>99.0</v>
      </c>
      <c r="H31" s="94">
        <v>0.0</v>
      </c>
      <c r="I31" s="85">
        <v>111.0</v>
      </c>
      <c r="J31" s="95">
        <f t="shared" si="15"/>
        <v>-12</v>
      </c>
      <c r="K31" s="87">
        <f t="shared" si="16"/>
        <v>0.8918918919</v>
      </c>
      <c r="L31" s="85">
        <v>12.0</v>
      </c>
      <c r="M31" s="85">
        <v>120.0</v>
      </c>
      <c r="N31" s="85">
        <v>1.0</v>
      </c>
      <c r="O31" s="88">
        <v>0.0</v>
      </c>
      <c r="P31" s="85">
        <v>3.0</v>
      </c>
      <c r="Q31" s="85">
        <v>5.0</v>
      </c>
      <c r="R31" s="85">
        <v>3.0</v>
      </c>
      <c r="S31" s="85">
        <v>2.0</v>
      </c>
      <c r="T31" s="85">
        <v>15.0</v>
      </c>
      <c r="U31" s="85">
        <v>2.0</v>
      </c>
      <c r="V31" s="85">
        <v>1.0</v>
      </c>
      <c r="W31" s="94">
        <v>0.0</v>
      </c>
      <c r="X31" s="94">
        <v>0.0</v>
      </c>
      <c r="Y31" s="94">
        <v>0.0</v>
      </c>
      <c r="Z31" s="94">
        <v>0.0</v>
      </c>
      <c r="AA31" s="94">
        <v>0.0</v>
      </c>
      <c r="AB31" s="94">
        <v>0.0</v>
      </c>
      <c r="AC31" s="94">
        <v>0.0</v>
      </c>
      <c r="AD31" s="94">
        <v>0.0</v>
      </c>
      <c r="AE31" s="94">
        <v>0.0</v>
      </c>
      <c r="AF31" s="94">
        <v>0.0</v>
      </c>
      <c r="AG31" s="94">
        <v>0.0</v>
      </c>
      <c r="AH31" s="94">
        <v>0.0</v>
      </c>
    </row>
    <row r="32" hidden="1">
      <c r="A32" s="83" t="s">
        <v>34</v>
      </c>
      <c r="B32" s="84" t="s">
        <v>229</v>
      </c>
      <c r="C32" s="85">
        <v>1.0</v>
      </c>
      <c r="D32" s="94">
        <v>0.0</v>
      </c>
      <c r="E32" s="86">
        <v>28.0</v>
      </c>
      <c r="F32" s="94">
        <v>0.0</v>
      </c>
      <c r="G32" s="85">
        <v>66.0</v>
      </c>
      <c r="H32" s="94">
        <v>0.0</v>
      </c>
      <c r="I32" s="85">
        <v>91.0</v>
      </c>
      <c r="J32" s="95">
        <f t="shared" si="15"/>
        <v>-25</v>
      </c>
      <c r="K32" s="87">
        <f t="shared" si="16"/>
        <v>0.7252747253</v>
      </c>
      <c r="L32" s="85">
        <v>15.0</v>
      </c>
      <c r="M32" s="85">
        <v>81.0</v>
      </c>
      <c r="N32" s="85">
        <v>1.0</v>
      </c>
      <c r="O32" s="88">
        <v>0.0</v>
      </c>
      <c r="P32" s="85">
        <v>4.0</v>
      </c>
      <c r="Q32" s="85">
        <v>3.0</v>
      </c>
      <c r="R32" s="85">
        <v>6.0</v>
      </c>
      <c r="S32" s="85">
        <v>4.0</v>
      </c>
      <c r="T32" s="85">
        <v>6.0</v>
      </c>
      <c r="U32" s="85">
        <v>1.0</v>
      </c>
      <c r="V32" s="94">
        <v>0.0</v>
      </c>
      <c r="W32" s="94">
        <v>0.0</v>
      </c>
      <c r="X32" s="94">
        <v>0.0</v>
      </c>
      <c r="Y32" s="94">
        <v>0.0</v>
      </c>
      <c r="Z32" s="94">
        <v>0.0</v>
      </c>
      <c r="AA32" s="94">
        <v>0.0</v>
      </c>
      <c r="AB32" s="94">
        <v>0.0</v>
      </c>
      <c r="AC32" s="94">
        <v>0.0</v>
      </c>
      <c r="AD32" s="94">
        <v>0.0</v>
      </c>
      <c r="AE32" s="94">
        <v>0.0</v>
      </c>
      <c r="AF32" s="94">
        <v>0.0</v>
      </c>
      <c r="AG32" s="94">
        <v>0.0</v>
      </c>
      <c r="AH32" s="94">
        <v>0.0</v>
      </c>
    </row>
    <row r="33" hidden="1">
      <c r="A33" s="83" t="s">
        <v>34</v>
      </c>
      <c r="B33" s="84" t="s">
        <v>230</v>
      </c>
      <c r="C33" s="85">
        <v>1.0</v>
      </c>
      <c r="D33" s="94">
        <v>0.0</v>
      </c>
      <c r="E33" s="86">
        <v>28.0</v>
      </c>
      <c r="F33" s="94">
        <v>0.0</v>
      </c>
      <c r="G33" s="85">
        <v>80.0</v>
      </c>
      <c r="H33" s="85">
        <v>1.0</v>
      </c>
      <c r="I33" s="85">
        <v>115.0</v>
      </c>
      <c r="J33" s="95">
        <f t="shared" si="15"/>
        <v>-35</v>
      </c>
      <c r="K33" s="87">
        <f t="shared" si="16"/>
        <v>0.6956521739</v>
      </c>
      <c r="L33" s="85">
        <v>11.0</v>
      </c>
      <c r="M33" s="85">
        <v>106.0</v>
      </c>
      <c r="N33" s="85">
        <v>1.0</v>
      </c>
      <c r="O33" s="88">
        <v>0.0</v>
      </c>
      <c r="P33" s="85">
        <v>5.0</v>
      </c>
      <c r="Q33" s="85">
        <v>3.0</v>
      </c>
      <c r="R33" s="85">
        <v>6.0</v>
      </c>
      <c r="S33" s="85">
        <v>2.0</v>
      </c>
      <c r="T33" s="85">
        <v>12.0</v>
      </c>
      <c r="U33" s="85">
        <v>1.0</v>
      </c>
      <c r="V33" s="94">
        <v>0.0</v>
      </c>
      <c r="W33" s="94">
        <v>0.0</v>
      </c>
      <c r="X33" s="94">
        <v>0.0</v>
      </c>
      <c r="Y33" s="94">
        <v>0.0</v>
      </c>
      <c r="Z33" s="94">
        <v>0.0</v>
      </c>
      <c r="AA33" s="94">
        <v>0.0</v>
      </c>
      <c r="AB33" s="94">
        <v>0.0</v>
      </c>
      <c r="AC33" s="85">
        <v>1.0</v>
      </c>
      <c r="AD33" s="94">
        <v>0.0</v>
      </c>
      <c r="AE33" s="94">
        <v>0.0</v>
      </c>
      <c r="AF33" s="94">
        <v>0.0</v>
      </c>
      <c r="AG33" s="94">
        <v>0.0</v>
      </c>
      <c r="AH33" s="94">
        <v>0.0</v>
      </c>
    </row>
    <row r="34" hidden="1">
      <c r="A34" s="83" t="s">
        <v>34</v>
      </c>
      <c r="B34" s="84" t="s">
        <v>231</v>
      </c>
      <c r="C34" s="94">
        <v>0.0</v>
      </c>
      <c r="D34" s="94">
        <v>0.0</v>
      </c>
      <c r="E34" s="96">
        <f t="shared" ref="E34:E35" si="23">SUM(L34*I34)/60</f>
        <v>0</v>
      </c>
      <c r="F34" s="94">
        <v>0.0</v>
      </c>
      <c r="G34" s="94">
        <v>0.0</v>
      </c>
      <c r="H34" s="94">
        <v>0.0</v>
      </c>
      <c r="I34" s="94">
        <v>0.0</v>
      </c>
      <c r="J34" s="95">
        <f t="shared" si="15"/>
        <v>0</v>
      </c>
      <c r="K34" s="87" t="str">
        <f t="shared" si="16"/>
        <v>#DIV/0!</v>
      </c>
      <c r="L34" s="94">
        <v>0.0</v>
      </c>
      <c r="M34" s="94">
        <v>0.0</v>
      </c>
      <c r="N34" s="85">
        <v>0.0</v>
      </c>
      <c r="O34" s="110">
        <f t="shared" ref="O34:O35" si="24">SUM(L34*I34)/60</f>
        <v>0</v>
      </c>
      <c r="P34" s="94">
        <v>0.0</v>
      </c>
      <c r="Q34" s="94">
        <v>0.0</v>
      </c>
      <c r="R34" s="94">
        <v>0.0</v>
      </c>
      <c r="S34" s="94">
        <v>0.0</v>
      </c>
      <c r="T34" s="94">
        <v>0.0</v>
      </c>
      <c r="U34" s="94">
        <v>0.0</v>
      </c>
      <c r="V34" s="94">
        <v>0.0</v>
      </c>
      <c r="W34" s="94">
        <v>0.0</v>
      </c>
      <c r="X34" s="94">
        <v>0.0</v>
      </c>
      <c r="Y34" s="94">
        <v>0.0</v>
      </c>
      <c r="Z34" s="94">
        <v>0.0</v>
      </c>
      <c r="AA34" s="94">
        <v>0.0</v>
      </c>
      <c r="AB34" s="94">
        <v>0.0</v>
      </c>
      <c r="AC34" s="94">
        <v>0.0</v>
      </c>
      <c r="AD34" s="94">
        <v>0.0</v>
      </c>
      <c r="AE34" s="94">
        <v>0.0</v>
      </c>
      <c r="AF34" s="94">
        <v>0.0</v>
      </c>
      <c r="AG34" s="94">
        <v>0.0</v>
      </c>
      <c r="AH34" s="94">
        <v>0.0</v>
      </c>
    </row>
    <row r="35" hidden="1">
      <c r="A35" s="83" t="s">
        <v>34</v>
      </c>
      <c r="B35" s="93"/>
      <c r="C35" s="94">
        <v>0.0</v>
      </c>
      <c r="D35" s="94">
        <v>0.0</v>
      </c>
      <c r="E35" s="96">
        <f t="shared" si="23"/>
        <v>0</v>
      </c>
      <c r="F35" s="94">
        <v>0.0</v>
      </c>
      <c r="G35" s="94">
        <v>0.0</v>
      </c>
      <c r="H35" s="94">
        <v>0.0</v>
      </c>
      <c r="I35" s="94">
        <v>0.0</v>
      </c>
      <c r="J35" s="95">
        <f t="shared" si="15"/>
        <v>0</v>
      </c>
      <c r="K35" s="87" t="str">
        <f t="shared" si="16"/>
        <v>#DIV/0!</v>
      </c>
      <c r="L35" s="94">
        <v>0.0</v>
      </c>
      <c r="M35" s="94">
        <v>0.0</v>
      </c>
      <c r="N35" s="85">
        <v>0.0</v>
      </c>
      <c r="O35" s="110">
        <f t="shared" si="24"/>
        <v>0</v>
      </c>
      <c r="P35" s="94">
        <v>0.0</v>
      </c>
      <c r="Q35" s="94">
        <v>0.0</v>
      </c>
      <c r="R35" s="94">
        <v>0.0</v>
      </c>
      <c r="S35" s="94">
        <v>0.0</v>
      </c>
      <c r="T35" s="94">
        <v>0.0</v>
      </c>
      <c r="U35" s="94">
        <v>0.0</v>
      </c>
      <c r="V35" s="94">
        <v>0.0</v>
      </c>
      <c r="W35" s="94">
        <v>0.0</v>
      </c>
      <c r="X35" s="94">
        <v>0.0</v>
      </c>
      <c r="Y35" s="94">
        <v>0.0</v>
      </c>
      <c r="Z35" s="94">
        <v>0.0</v>
      </c>
      <c r="AA35" s="94">
        <v>0.0</v>
      </c>
      <c r="AB35" s="94">
        <v>0.0</v>
      </c>
      <c r="AC35" s="94">
        <v>0.0</v>
      </c>
      <c r="AD35" s="94">
        <v>0.0</v>
      </c>
      <c r="AE35" s="94">
        <v>0.0</v>
      </c>
      <c r="AF35" s="94">
        <v>0.0</v>
      </c>
      <c r="AG35" s="94">
        <v>0.0</v>
      </c>
      <c r="AH35" s="94">
        <v>0.0</v>
      </c>
    </row>
    <row r="36" hidden="1">
      <c r="A36" s="89" t="s">
        <v>185</v>
      </c>
      <c r="B36" s="111"/>
      <c r="C36" s="111">
        <f>SUM(C30:C35)</f>
        <v>4</v>
      </c>
      <c r="D36" s="111">
        <f t="shared" ref="D36:E36" si="25">SUM(D30:D35)/4</f>
        <v>0</v>
      </c>
      <c r="E36" s="91">
        <f t="shared" si="25"/>
        <v>28</v>
      </c>
      <c r="F36" s="111">
        <f t="shared" ref="F36:G36" si="26">SUM(F30:F35)</f>
        <v>3</v>
      </c>
      <c r="G36" s="111">
        <f t="shared" si="26"/>
        <v>355</v>
      </c>
      <c r="H36" s="111"/>
      <c r="I36" s="111">
        <f>SUM(I30:I35)</f>
        <v>414</v>
      </c>
      <c r="J36" s="111">
        <f t="shared" si="15"/>
        <v>-59</v>
      </c>
      <c r="K36" s="92">
        <f t="shared" si="16"/>
        <v>0.8574879227</v>
      </c>
      <c r="L36" s="111">
        <f t="shared" ref="L36:M36" si="27">SUM(L30:L35)</f>
        <v>52</v>
      </c>
      <c r="M36" s="111">
        <f t="shared" si="27"/>
        <v>455</v>
      </c>
      <c r="N36" s="111"/>
      <c r="O36" s="112"/>
      <c r="P36" s="111">
        <f t="shared" ref="P36:AH36" si="28">SUM(P30:P35)</f>
        <v>16</v>
      </c>
      <c r="Q36" s="111">
        <f t="shared" si="28"/>
        <v>12</v>
      </c>
      <c r="R36" s="111">
        <f t="shared" si="28"/>
        <v>20</v>
      </c>
      <c r="S36" s="111">
        <f t="shared" si="28"/>
        <v>9</v>
      </c>
      <c r="T36" s="111">
        <f t="shared" si="28"/>
        <v>49</v>
      </c>
      <c r="U36" s="111">
        <f t="shared" si="28"/>
        <v>8</v>
      </c>
      <c r="V36" s="111">
        <f t="shared" si="28"/>
        <v>3</v>
      </c>
      <c r="W36" s="111">
        <f t="shared" si="28"/>
        <v>1</v>
      </c>
      <c r="X36" s="111">
        <f t="shared" si="28"/>
        <v>1</v>
      </c>
      <c r="Y36" s="111">
        <f t="shared" si="28"/>
        <v>1</v>
      </c>
      <c r="Z36" s="111">
        <f t="shared" si="28"/>
        <v>1</v>
      </c>
      <c r="AA36" s="111">
        <f t="shared" si="28"/>
        <v>1</v>
      </c>
      <c r="AB36" s="111">
        <f t="shared" si="28"/>
        <v>1</v>
      </c>
      <c r="AC36" s="111">
        <f t="shared" si="28"/>
        <v>3</v>
      </c>
      <c r="AD36" s="111">
        <f t="shared" si="28"/>
        <v>1</v>
      </c>
      <c r="AE36" s="111">
        <f t="shared" si="28"/>
        <v>0</v>
      </c>
      <c r="AF36" s="111">
        <f t="shared" si="28"/>
        <v>0</v>
      </c>
      <c r="AG36" s="111">
        <f t="shared" si="28"/>
        <v>0</v>
      </c>
      <c r="AH36" s="111">
        <f t="shared" si="28"/>
        <v>0</v>
      </c>
    </row>
    <row r="37">
      <c r="A37" s="104" t="s">
        <v>257</v>
      </c>
    </row>
    <row r="39" hidden="1">
      <c r="A39" s="105"/>
      <c r="F39" s="106" t="s">
        <v>251</v>
      </c>
      <c r="L39" s="107" t="s">
        <v>252</v>
      </c>
      <c r="N39" s="108" t="s">
        <v>253</v>
      </c>
    </row>
    <row r="40" hidden="1">
      <c r="A40" s="76" t="s">
        <v>148</v>
      </c>
      <c r="B40" s="76" t="s">
        <v>149</v>
      </c>
      <c r="C40" s="76" t="s">
        <v>150</v>
      </c>
      <c r="D40" s="76" t="s">
        <v>13</v>
      </c>
      <c r="E40" s="77" t="s">
        <v>151</v>
      </c>
      <c r="F40" s="78" t="s">
        <v>15</v>
      </c>
      <c r="G40" s="78" t="s">
        <v>152</v>
      </c>
      <c r="H40" s="78" t="s">
        <v>153</v>
      </c>
      <c r="I40" s="78" t="s">
        <v>154</v>
      </c>
      <c r="J40" s="78" t="s">
        <v>155</v>
      </c>
      <c r="K40" s="79" t="s">
        <v>156</v>
      </c>
      <c r="L40" s="80" t="s">
        <v>157</v>
      </c>
      <c r="M40" s="80" t="s">
        <v>158</v>
      </c>
      <c r="N40" s="81" t="s">
        <v>254</v>
      </c>
      <c r="O40" s="81" t="s">
        <v>151</v>
      </c>
      <c r="P40" s="81" t="s">
        <v>160</v>
      </c>
      <c r="Q40" s="81" t="s">
        <v>161</v>
      </c>
      <c r="R40" s="81" t="s">
        <v>162</v>
      </c>
      <c r="S40" s="81" t="s">
        <v>163</v>
      </c>
      <c r="T40" s="81" t="s">
        <v>164</v>
      </c>
      <c r="U40" s="81" t="s">
        <v>165</v>
      </c>
      <c r="V40" s="81" t="s">
        <v>166</v>
      </c>
      <c r="W40" s="81" t="s">
        <v>167</v>
      </c>
      <c r="X40" s="81" t="s">
        <v>168</v>
      </c>
      <c r="Y40" s="81" t="s">
        <v>169</v>
      </c>
      <c r="Z40" s="81" t="s">
        <v>170</v>
      </c>
      <c r="AA40" s="81" t="s">
        <v>171</v>
      </c>
      <c r="AB40" s="81" t="s">
        <v>172</v>
      </c>
      <c r="AC40" s="81" t="s">
        <v>173</v>
      </c>
      <c r="AD40" s="81" t="s">
        <v>174</v>
      </c>
      <c r="AE40" s="81" t="s">
        <v>175</v>
      </c>
      <c r="AF40" s="81" t="s">
        <v>176</v>
      </c>
      <c r="AG40" s="81" t="s">
        <v>177</v>
      </c>
      <c r="AH40" s="81" t="s">
        <v>178</v>
      </c>
    </row>
    <row r="41" hidden="1">
      <c r="A41" s="83" t="s">
        <v>44</v>
      </c>
      <c r="B41" s="84" t="s">
        <v>186</v>
      </c>
      <c r="C41" s="85">
        <v>1.0</v>
      </c>
      <c r="D41" s="85">
        <v>1.0</v>
      </c>
      <c r="E41" s="86">
        <v>18.0</v>
      </c>
      <c r="F41" s="94">
        <v>0.0</v>
      </c>
      <c r="G41" s="85">
        <v>33.0</v>
      </c>
      <c r="H41" s="94">
        <v>0.0</v>
      </c>
      <c r="I41" s="85">
        <v>77.0</v>
      </c>
      <c r="J41" s="95">
        <f t="shared" ref="J41:J54" si="29">SUM(G41-I41)</f>
        <v>-44</v>
      </c>
      <c r="K41" s="87">
        <f t="shared" ref="K41:K54" si="30">SUM(G41/I41)</f>
        <v>0.4285714286</v>
      </c>
      <c r="L41" s="85">
        <v>10.0</v>
      </c>
      <c r="M41" s="85">
        <v>38.0</v>
      </c>
      <c r="N41" s="85">
        <v>1.0</v>
      </c>
      <c r="O41" s="110">
        <f t="shared" ref="O41:O46" si="31">(E41*N41)</f>
        <v>18</v>
      </c>
      <c r="P41" s="85">
        <v>3.0</v>
      </c>
      <c r="Q41" s="94">
        <v>0.0</v>
      </c>
      <c r="R41" s="85">
        <v>2.0</v>
      </c>
      <c r="S41" s="94">
        <v>0.0</v>
      </c>
      <c r="T41" s="94">
        <v>0.0</v>
      </c>
      <c r="U41" s="94">
        <v>0.0</v>
      </c>
      <c r="V41" s="94">
        <v>0.0</v>
      </c>
      <c r="W41" s="94">
        <v>0.0</v>
      </c>
      <c r="X41" s="94">
        <v>0.0</v>
      </c>
      <c r="Y41" s="94">
        <v>0.0</v>
      </c>
      <c r="Z41" s="94">
        <v>0.0</v>
      </c>
      <c r="AA41" s="94">
        <v>0.0</v>
      </c>
      <c r="AB41" s="94">
        <v>0.0</v>
      </c>
      <c r="AC41" s="94">
        <v>0.0</v>
      </c>
      <c r="AD41" s="94">
        <v>0.0</v>
      </c>
      <c r="AE41" s="94">
        <v>0.0</v>
      </c>
      <c r="AF41" s="94">
        <v>0.0</v>
      </c>
      <c r="AG41" s="94">
        <v>0.0</v>
      </c>
      <c r="AH41" s="94">
        <v>0.0</v>
      </c>
    </row>
    <row r="42" hidden="1">
      <c r="A42" s="83" t="s">
        <v>44</v>
      </c>
      <c r="B42" s="84" t="s">
        <v>187</v>
      </c>
      <c r="C42" s="85">
        <v>1.0</v>
      </c>
      <c r="D42" s="85">
        <v>1.0</v>
      </c>
      <c r="E42" s="86">
        <v>18.0</v>
      </c>
      <c r="F42" s="94">
        <v>0.0</v>
      </c>
      <c r="G42" s="85">
        <v>94.0</v>
      </c>
      <c r="H42" s="94">
        <v>0.0</v>
      </c>
      <c r="I42" s="85">
        <v>64.0</v>
      </c>
      <c r="J42" s="95">
        <f t="shared" si="29"/>
        <v>30</v>
      </c>
      <c r="K42" s="87">
        <f t="shared" si="30"/>
        <v>1.46875</v>
      </c>
      <c r="L42" s="85">
        <v>13.0</v>
      </c>
      <c r="M42" s="85">
        <v>132.0</v>
      </c>
      <c r="N42" s="85">
        <v>1.0</v>
      </c>
      <c r="O42" s="110">
        <f t="shared" si="31"/>
        <v>18</v>
      </c>
      <c r="P42" s="85">
        <v>6.0</v>
      </c>
      <c r="Q42" s="85">
        <v>2.0</v>
      </c>
      <c r="R42" s="85">
        <v>10.0</v>
      </c>
      <c r="S42" s="94">
        <v>0.0</v>
      </c>
      <c r="T42" s="85">
        <v>14.0</v>
      </c>
      <c r="U42" s="85">
        <v>5.0</v>
      </c>
      <c r="V42" s="85">
        <v>2.0</v>
      </c>
      <c r="W42" s="85">
        <v>1.0</v>
      </c>
      <c r="X42" s="85">
        <v>1.0</v>
      </c>
      <c r="Y42" s="85">
        <v>1.0</v>
      </c>
      <c r="Z42" s="85">
        <v>1.0</v>
      </c>
      <c r="AA42" s="85">
        <v>1.0</v>
      </c>
      <c r="AB42" s="85">
        <v>1.0</v>
      </c>
      <c r="AC42" s="85">
        <v>3.0</v>
      </c>
      <c r="AD42" s="85">
        <v>1.0</v>
      </c>
      <c r="AE42" s="94">
        <v>0.0</v>
      </c>
      <c r="AF42" s="94">
        <v>0.0</v>
      </c>
      <c r="AG42" s="94">
        <v>0.0</v>
      </c>
      <c r="AH42" s="94">
        <v>0.0</v>
      </c>
    </row>
    <row r="43" hidden="1">
      <c r="A43" s="83" t="s">
        <v>44</v>
      </c>
      <c r="B43" s="84" t="s">
        <v>188</v>
      </c>
      <c r="C43" s="85">
        <v>1.0</v>
      </c>
      <c r="D43" s="85">
        <v>1.0</v>
      </c>
      <c r="E43" s="86">
        <v>18.0</v>
      </c>
      <c r="F43" s="85">
        <v>5.0</v>
      </c>
      <c r="G43" s="85">
        <v>48.0</v>
      </c>
      <c r="H43" s="85">
        <v>1.0</v>
      </c>
      <c r="I43" s="85">
        <v>52.0</v>
      </c>
      <c r="J43" s="95">
        <f t="shared" si="29"/>
        <v>-4</v>
      </c>
      <c r="K43" s="87">
        <f t="shared" si="30"/>
        <v>0.9230769231</v>
      </c>
      <c r="L43" s="85">
        <v>17.0</v>
      </c>
      <c r="M43" s="85">
        <v>56.0</v>
      </c>
      <c r="N43" s="85">
        <v>1.0</v>
      </c>
      <c r="O43" s="110">
        <f t="shared" si="31"/>
        <v>18</v>
      </c>
      <c r="P43" s="85">
        <v>1.0</v>
      </c>
      <c r="Q43" s="94">
        <v>0.0</v>
      </c>
      <c r="R43" s="85">
        <v>1.0</v>
      </c>
      <c r="S43" s="85">
        <v>2.0</v>
      </c>
      <c r="T43" s="85">
        <v>2.0</v>
      </c>
      <c r="U43" s="94">
        <v>0.0</v>
      </c>
      <c r="V43" s="94">
        <v>0.0</v>
      </c>
      <c r="W43" s="94">
        <v>0.0</v>
      </c>
      <c r="X43" s="94">
        <v>0.0</v>
      </c>
      <c r="Y43" s="94">
        <v>0.0</v>
      </c>
      <c r="Z43" s="94">
        <v>0.0</v>
      </c>
      <c r="AA43" s="94">
        <v>0.0</v>
      </c>
      <c r="AB43" s="94">
        <v>0.0</v>
      </c>
      <c r="AC43" s="94">
        <v>0.0</v>
      </c>
      <c r="AD43" s="94">
        <v>0.0</v>
      </c>
      <c r="AE43" s="94">
        <v>0.0</v>
      </c>
      <c r="AF43" s="94">
        <v>0.0</v>
      </c>
      <c r="AG43" s="94">
        <v>0.0</v>
      </c>
      <c r="AH43" s="94">
        <v>0.0</v>
      </c>
    </row>
    <row r="44" hidden="1">
      <c r="A44" s="83" t="s">
        <v>44</v>
      </c>
      <c r="B44" s="84" t="s">
        <v>189</v>
      </c>
      <c r="C44" s="85">
        <v>1.0</v>
      </c>
      <c r="D44" s="85">
        <v>1.0</v>
      </c>
      <c r="E44" s="86">
        <v>18.0</v>
      </c>
      <c r="F44" s="94">
        <v>0.0</v>
      </c>
      <c r="G44" s="85">
        <v>57.0</v>
      </c>
      <c r="H44" s="85">
        <v>1.0</v>
      </c>
      <c r="I44" s="85">
        <v>68.0</v>
      </c>
      <c r="J44" s="95">
        <f t="shared" si="29"/>
        <v>-11</v>
      </c>
      <c r="K44" s="87">
        <f t="shared" si="30"/>
        <v>0.8382352941</v>
      </c>
      <c r="L44" s="85">
        <v>12.0</v>
      </c>
      <c r="M44" s="85">
        <v>74.0</v>
      </c>
      <c r="N44" s="85">
        <v>1.0</v>
      </c>
      <c r="O44" s="110">
        <f t="shared" si="31"/>
        <v>18</v>
      </c>
      <c r="P44" s="85">
        <v>2.0</v>
      </c>
      <c r="Q44" s="85">
        <v>1.0</v>
      </c>
      <c r="R44" s="85">
        <v>6.0</v>
      </c>
      <c r="S44" s="85">
        <v>2.0</v>
      </c>
      <c r="T44" s="85">
        <v>8.0</v>
      </c>
      <c r="U44" s="94">
        <v>0.0</v>
      </c>
      <c r="V44" s="94">
        <v>0.0</v>
      </c>
      <c r="W44" s="94">
        <v>0.0</v>
      </c>
      <c r="X44" s="94">
        <v>0.0</v>
      </c>
      <c r="Y44" s="94">
        <v>0.0</v>
      </c>
      <c r="Z44" s="94">
        <v>0.0</v>
      </c>
      <c r="AA44" s="94">
        <v>0.0</v>
      </c>
      <c r="AB44" s="94">
        <v>0.0</v>
      </c>
      <c r="AC44" s="94">
        <v>0.0</v>
      </c>
      <c r="AD44" s="94">
        <v>0.0</v>
      </c>
      <c r="AE44" s="94">
        <v>0.0</v>
      </c>
      <c r="AF44" s="94">
        <v>0.0</v>
      </c>
      <c r="AG44" s="94">
        <v>0.0</v>
      </c>
      <c r="AH44" s="94">
        <v>0.0</v>
      </c>
    </row>
    <row r="45" hidden="1">
      <c r="A45" s="83" t="s">
        <v>44</v>
      </c>
      <c r="B45" s="84" t="s">
        <v>190</v>
      </c>
      <c r="C45" s="94">
        <v>0.0</v>
      </c>
      <c r="D45" s="94">
        <v>0.0</v>
      </c>
      <c r="E45" s="96">
        <f t="shared" ref="E45:E46" si="32">SUM(L45*I45)/60</f>
        <v>0</v>
      </c>
      <c r="F45" s="94">
        <v>0.0</v>
      </c>
      <c r="G45" s="94">
        <v>0.0</v>
      </c>
      <c r="H45" s="94">
        <v>0.0</v>
      </c>
      <c r="I45" s="94">
        <v>0.0</v>
      </c>
      <c r="J45" s="95">
        <f t="shared" si="29"/>
        <v>0</v>
      </c>
      <c r="K45" s="87" t="str">
        <f t="shared" si="30"/>
        <v>#DIV/0!</v>
      </c>
      <c r="L45" s="94">
        <v>0.0</v>
      </c>
      <c r="M45" s="94">
        <v>0.0</v>
      </c>
      <c r="N45" s="85">
        <v>0.0</v>
      </c>
      <c r="O45" s="110">
        <f t="shared" si="31"/>
        <v>0</v>
      </c>
      <c r="P45" s="94">
        <v>0.0</v>
      </c>
      <c r="Q45" s="94">
        <v>0.0</v>
      </c>
      <c r="R45" s="94">
        <v>0.0</v>
      </c>
      <c r="S45" s="94">
        <v>0.0</v>
      </c>
      <c r="T45" s="94">
        <v>0.0</v>
      </c>
      <c r="U45" s="94">
        <v>0.0</v>
      </c>
      <c r="V45" s="94">
        <v>0.0</v>
      </c>
      <c r="W45" s="94">
        <v>0.0</v>
      </c>
      <c r="X45" s="94">
        <v>0.0</v>
      </c>
      <c r="Y45" s="94">
        <v>0.0</v>
      </c>
      <c r="Z45" s="94">
        <v>0.0</v>
      </c>
      <c r="AA45" s="94">
        <v>0.0</v>
      </c>
      <c r="AB45" s="94">
        <v>0.0</v>
      </c>
      <c r="AC45" s="94">
        <v>0.0</v>
      </c>
      <c r="AD45" s="94">
        <v>0.0</v>
      </c>
      <c r="AE45" s="94">
        <v>0.0</v>
      </c>
      <c r="AF45" s="94">
        <v>0.0</v>
      </c>
      <c r="AG45" s="94">
        <v>0.0</v>
      </c>
      <c r="AH45" s="94">
        <v>0.0</v>
      </c>
    </row>
    <row r="46" hidden="1">
      <c r="A46" s="83" t="s">
        <v>44</v>
      </c>
      <c r="B46" s="93"/>
      <c r="C46" s="94">
        <v>0.0</v>
      </c>
      <c r="D46" s="94">
        <v>0.0</v>
      </c>
      <c r="E46" s="96">
        <f t="shared" si="32"/>
        <v>0</v>
      </c>
      <c r="F46" s="94">
        <v>0.0</v>
      </c>
      <c r="G46" s="94">
        <v>0.0</v>
      </c>
      <c r="H46" s="94">
        <v>0.0</v>
      </c>
      <c r="I46" s="94">
        <v>0.0</v>
      </c>
      <c r="J46" s="95">
        <f t="shared" si="29"/>
        <v>0</v>
      </c>
      <c r="K46" s="87" t="str">
        <f t="shared" si="30"/>
        <v>#DIV/0!</v>
      </c>
      <c r="L46" s="94">
        <v>0.0</v>
      </c>
      <c r="M46" s="94">
        <v>0.0</v>
      </c>
      <c r="N46" s="85">
        <v>0.0</v>
      </c>
      <c r="O46" s="110">
        <f t="shared" si="31"/>
        <v>0</v>
      </c>
      <c r="P46" s="94">
        <v>0.0</v>
      </c>
      <c r="Q46" s="94">
        <v>0.0</v>
      </c>
      <c r="R46" s="94">
        <v>0.0</v>
      </c>
      <c r="S46" s="94">
        <v>0.0</v>
      </c>
      <c r="T46" s="94">
        <v>0.0</v>
      </c>
      <c r="U46" s="94">
        <v>0.0</v>
      </c>
      <c r="V46" s="94">
        <v>0.0</v>
      </c>
      <c r="W46" s="94">
        <v>0.0</v>
      </c>
      <c r="X46" s="94">
        <v>0.0</v>
      </c>
      <c r="Y46" s="94">
        <v>0.0</v>
      </c>
      <c r="Z46" s="94">
        <v>0.0</v>
      </c>
      <c r="AA46" s="94">
        <v>0.0</v>
      </c>
      <c r="AB46" s="94">
        <v>0.0</v>
      </c>
      <c r="AC46" s="94">
        <v>0.0</v>
      </c>
      <c r="AD46" s="94">
        <v>0.0</v>
      </c>
      <c r="AE46" s="94">
        <v>0.0</v>
      </c>
      <c r="AF46" s="94">
        <v>0.0</v>
      </c>
      <c r="AG46" s="94">
        <v>0.0</v>
      </c>
      <c r="AH46" s="94">
        <v>0.0</v>
      </c>
    </row>
    <row r="47" hidden="1">
      <c r="A47" s="89"/>
      <c r="B47" s="111"/>
      <c r="C47" s="111">
        <f t="shared" ref="C47:D47" si="33">SUM(C41:C46)/4</f>
        <v>1</v>
      </c>
      <c r="D47" s="111">
        <f t="shared" si="33"/>
        <v>1</v>
      </c>
      <c r="E47" s="91">
        <f t="shared" ref="E47:G47" si="34">SUM(E41:E46)</f>
        <v>72</v>
      </c>
      <c r="F47" s="111">
        <f t="shared" si="34"/>
        <v>5</v>
      </c>
      <c r="G47" s="111">
        <f t="shared" si="34"/>
        <v>232</v>
      </c>
      <c r="H47" s="111"/>
      <c r="I47" s="111">
        <f>SUM(I41:I46)</f>
        <v>261</v>
      </c>
      <c r="J47" s="111">
        <f t="shared" si="29"/>
        <v>-29</v>
      </c>
      <c r="K47" s="92">
        <f t="shared" si="30"/>
        <v>0.8888888889</v>
      </c>
      <c r="L47" s="111">
        <f t="shared" ref="L47:M47" si="35">SUM(L41:L46)</f>
        <v>52</v>
      </c>
      <c r="M47" s="111">
        <f t="shared" si="35"/>
        <v>300</v>
      </c>
      <c r="N47" s="111"/>
      <c r="O47" s="112"/>
      <c r="P47" s="111">
        <f t="shared" ref="P47:AH47" si="36">SUM(P41:P46)</f>
        <v>12</v>
      </c>
      <c r="Q47" s="111">
        <f t="shared" si="36"/>
        <v>3</v>
      </c>
      <c r="R47" s="111">
        <f t="shared" si="36"/>
        <v>19</v>
      </c>
      <c r="S47" s="111">
        <f t="shared" si="36"/>
        <v>4</v>
      </c>
      <c r="T47" s="111">
        <f t="shared" si="36"/>
        <v>24</v>
      </c>
      <c r="U47" s="111">
        <f t="shared" si="36"/>
        <v>5</v>
      </c>
      <c r="V47" s="111">
        <f t="shared" si="36"/>
        <v>2</v>
      </c>
      <c r="W47" s="111">
        <f t="shared" si="36"/>
        <v>1</v>
      </c>
      <c r="X47" s="111">
        <f t="shared" si="36"/>
        <v>1</v>
      </c>
      <c r="Y47" s="111">
        <f t="shared" si="36"/>
        <v>1</v>
      </c>
      <c r="Z47" s="111">
        <f t="shared" si="36"/>
        <v>1</v>
      </c>
      <c r="AA47" s="111">
        <f t="shared" si="36"/>
        <v>1</v>
      </c>
      <c r="AB47" s="111">
        <f t="shared" si="36"/>
        <v>1</v>
      </c>
      <c r="AC47" s="111">
        <f t="shared" si="36"/>
        <v>3</v>
      </c>
      <c r="AD47" s="111">
        <f t="shared" si="36"/>
        <v>1</v>
      </c>
      <c r="AE47" s="111">
        <f t="shared" si="36"/>
        <v>0</v>
      </c>
      <c r="AF47" s="111">
        <f t="shared" si="36"/>
        <v>0</v>
      </c>
      <c r="AG47" s="111">
        <f t="shared" si="36"/>
        <v>0</v>
      </c>
      <c r="AH47" s="111">
        <f t="shared" si="36"/>
        <v>0</v>
      </c>
    </row>
    <row r="48" hidden="1">
      <c r="A48" s="83" t="s">
        <v>34</v>
      </c>
      <c r="B48" s="84" t="s">
        <v>227</v>
      </c>
      <c r="C48" s="85">
        <v>1.0</v>
      </c>
      <c r="D48" s="94">
        <v>0.0</v>
      </c>
      <c r="E48" s="86">
        <v>18.0</v>
      </c>
      <c r="F48" s="85">
        <v>2.0</v>
      </c>
      <c r="G48" s="85">
        <v>49.0</v>
      </c>
      <c r="H48" s="94">
        <v>0.0</v>
      </c>
      <c r="I48" s="85">
        <v>48.0</v>
      </c>
      <c r="J48" s="95">
        <f t="shared" si="29"/>
        <v>1</v>
      </c>
      <c r="K48" s="87">
        <f t="shared" si="30"/>
        <v>1.020833333</v>
      </c>
      <c r="L48" s="85">
        <v>19.0</v>
      </c>
      <c r="M48" s="85">
        <v>59.0</v>
      </c>
      <c r="N48" s="85">
        <v>1.0</v>
      </c>
      <c r="O48" s="88">
        <v>18.0</v>
      </c>
      <c r="P48" s="85">
        <v>3.0</v>
      </c>
      <c r="Q48" s="85">
        <v>2.0</v>
      </c>
      <c r="R48" s="85">
        <v>2.0</v>
      </c>
      <c r="S48" s="85">
        <v>1.0</v>
      </c>
      <c r="T48" s="85">
        <v>5.0</v>
      </c>
      <c r="U48" s="94">
        <v>0.0</v>
      </c>
      <c r="V48" s="94">
        <v>0.0</v>
      </c>
      <c r="W48" s="94">
        <v>0.0</v>
      </c>
      <c r="X48" s="94">
        <v>0.0</v>
      </c>
      <c r="Y48" s="94">
        <v>0.0</v>
      </c>
      <c r="Z48" s="94">
        <v>0.0</v>
      </c>
      <c r="AA48" s="94">
        <v>0.0</v>
      </c>
      <c r="AB48" s="94">
        <v>0.0</v>
      </c>
      <c r="AC48" s="94">
        <v>0.0</v>
      </c>
      <c r="AD48" s="94">
        <v>0.0</v>
      </c>
      <c r="AE48" s="94">
        <v>0.0</v>
      </c>
      <c r="AF48" s="94">
        <v>0.0</v>
      </c>
      <c r="AG48" s="94">
        <v>0.0</v>
      </c>
      <c r="AH48" s="94">
        <v>0.0</v>
      </c>
    </row>
    <row r="49" hidden="1">
      <c r="A49" s="83" t="s">
        <v>34</v>
      </c>
      <c r="B49" s="84" t="s">
        <v>228</v>
      </c>
      <c r="C49" s="85">
        <v>1.0</v>
      </c>
      <c r="D49" s="94">
        <v>0.0</v>
      </c>
      <c r="E49" s="86">
        <v>18.0</v>
      </c>
      <c r="F49" s="94">
        <v>0.0</v>
      </c>
      <c r="G49" s="85">
        <v>76.0</v>
      </c>
      <c r="H49" s="85">
        <v>2.0</v>
      </c>
      <c r="I49" s="85">
        <v>68.0</v>
      </c>
      <c r="J49" s="95">
        <f t="shared" si="29"/>
        <v>8</v>
      </c>
      <c r="K49" s="87">
        <f t="shared" si="30"/>
        <v>1.117647059</v>
      </c>
      <c r="L49" s="85">
        <v>12.0</v>
      </c>
      <c r="M49" s="85">
        <v>98.0</v>
      </c>
      <c r="N49" s="85">
        <v>1.0</v>
      </c>
      <c r="O49" s="88">
        <v>18.0</v>
      </c>
      <c r="P49" s="85">
        <v>1.0</v>
      </c>
      <c r="Q49" s="85">
        <v>1.0</v>
      </c>
      <c r="R49" s="85">
        <v>6.0</v>
      </c>
      <c r="S49" s="85">
        <v>1.0</v>
      </c>
      <c r="T49" s="85">
        <v>15.0</v>
      </c>
      <c r="U49" s="85">
        <v>1.0</v>
      </c>
      <c r="V49" s="85">
        <v>1.0</v>
      </c>
      <c r="W49" s="94">
        <v>0.0</v>
      </c>
      <c r="X49" s="94">
        <v>0.0</v>
      </c>
      <c r="Y49" s="94">
        <v>0.0</v>
      </c>
      <c r="Z49" s="94">
        <v>0.0</v>
      </c>
      <c r="AA49" s="94">
        <v>0.0</v>
      </c>
      <c r="AB49" s="94">
        <v>0.0</v>
      </c>
      <c r="AC49" s="85">
        <v>2.0</v>
      </c>
      <c r="AD49" s="94">
        <v>0.0</v>
      </c>
      <c r="AE49" s="94">
        <v>0.0</v>
      </c>
      <c r="AF49" s="94">
        <v>0.0</v>
      </c>
      <c r="AG49" s="94">
        <v>0.0</v>
      </c>
      <c r="AH49" s="94">
        <v>0.0</v>
      </c>
    </row>
    <row r="50" hidden="1">
      <c r="A50" s="83" t="s">
        <v>34</v>
      </c>
      <c r="B50" s="84" t="s">
        <v>229</v>
      </c>
      <c r="C50" s="85">
        <v>1.0</v>
      </c>
      <c r="D50" s="94">
        <v>0.0</v>
      </c>
      <c r="E50" s="86">
        <v>18.0</v>
      </c>
      <c r="F50" s="94">
        <v>0.0</v>
      </c>
      <c r="G50" s="85">
        <v>55.0</v>
      </c>
      <c r="H50" s="94">
        <v>0.0</v>
      </c>
      <c r="I50" s="85">
        <v>50.0</v>
      </c>
      <c r="J50" s="95">
        <f t="shared" si="29"/>
        <v>5</v>
      </c>
      <c r="K50" s="87">
        <f t="shared" si="30"/>
        <v>1.1</v>
      </c>
      <c r="L50" s="85">
        <v>18.0</v>
      </c>
      <c r="M50" s="85">
        <v>68.0</v>
      </c>
      <c r="N50" s="85">
        <v>1.0</v>
      </c>
      <c r="O50" s="88">
        <v>18.0</v>
      </c>
      <c r="P50" s="94">
        <v>0.0</v>
      </c>
      <c r="Q50" s="85">
        <v>1.0</v>
      </c>
      <c r="R50" s="85">
        <v>7.0</v>
      </c>
      <c r="S50" s="94">
        <v>0.0</v>
      </c>
      <c r="T50" s="85">
        <v>9.0</v>
      </c>
      <c r="U50" s="94">
        <v>0.0</v>
      </c>
      <c r="V50" s="94">
        <v>0.0</v>
      </c>
      <c r="W50" s="94">
        <v>0.0</v>
      </c>
      <c r="X50" s="94">
        <v>0.0</v>
      </c>
      <c r="Y50" s="94">
        <v>0.0</v>
      </c>
      <c r="Z50" s="94">
        <v>0.0</v>
      </c>
      <c r="AA50" s="94">
        <v>0.0</v>
      </c>
      <c r="AB50" s="94">
        <v>0.0</v>
      </c>
      <c r="AC50" s="94">
        <v>0.0</v>
      </c>
      <c r="AD50" s="94">
        <v>0.0</v>
      </c>
      <c r="AE50" s="94">
        <v>0.0</v>
      </c>
      <c r="AF50" s="94">
        <v>0.0</v>
      </c>
      <c r="AG50" s="94">
        <v>0.0</v>
      </c>
      <c r="AH50" s="94">
        <v>0.0</v>
      </c>
    </row>
    <row r="51" hidden="1">
      <c r="A51" s="83" t="s">
        <v>34</v>
      </c>
      <c r="B51" s="84" t="s">
        <v>230</v>
      </c>
      <c r="C51" s="85">
        <v>1.0</v>
      </c>
      <c r="D51" s="94">
        <v>0.0</v>
      </c>
      <c r="E51" s="86">
        <v>18.0</v>
      </c>
      <c r="F51" s="94">
        <v>0.0</v>
      </c>
      <c r="G51" s="85">
        <v>68.0</v>
      </c>
      <c r="H51" s="85">
        <v>1.0</v>
      </c>
      <c r="I51" s="85">
        <v>72.0</v>
      </c>
      <c r="J51" s="95">
        <f t="shared" si="29"/>
        <v>-4</v>
      </c>
      <c r="K51" s="87">
        <f t="shared" si="30"/>
        <v>0.9444444444</v>
      </c>
      <c r="L51" s="85">
        <v>11.0</v>
      </c>
      <c r="M51" s="85">
        <v>86.0</v>
      </c>
      <c r="N51" s="85">
        <v>1.0</v>
      </c>
      <c r="O51" s="88">
        <v>18.0</v>
      </c>
      <c r="P51" s="85">
        <v>4.0</v>
      </c>
      <c r="Q51" s="85">
        <v>3.0</v>
      </c>
      <c r="R51" s="85">
        <v>4.0</v>
      </c>
      <c r="S51" s="85">
        <v>1.0</v>
      </c>
      <c r="T51" s="85">
        <v>8.0</v>
      </c>
      <c r="U51" s="85">
        <v>2.0</v>
      </c>
      <c r="V51" s="85">
        <v>1.0</v>
      </c>
      <c r="W51" s="85">
        <v>1.0</v>
      </c>
      <c r="X51" s="94">
        <v>0.0</v>
      </c>
      <c r="Y51" s="94">
        <v>0.0</v>
      </c>
      <c r="Z51" s="94">
        <v>0.0</v>
      </c>
      <c r="AA51" s="94">
        <v>0.0</v>
      </c>
      <c r="AB51" s="94">
        <v>0.0</v>
      </c>
      <c r="AC51" s="85">
        <v>2.0</v>
      </c>
      <c r="AD51" s="94">
        <v>0.0</v>
      </c>
      <c r="AE51" s="94">
        <v>0.0</v>
      </c>
      <c r="AF51" s="94">
        <v>0.0</v>
      </c>
      <c r="AG51" s="94">
        <v>0.0</v>
      </c>
      <c r="AH51" s="94">
        <v>0.0</v>
      </c>
    </row>
    <row r="52" hidden="1">
      <c r="A52" s="83" t="s">
        <v>34</v>
      </c>
      <c r="B52" s="84" t="s">
        <v>231</v>
      </c>
      <c r="C52" s="94">
        <v>0.0</v>
      </c>
      <c r="D52" s="94">
        <v>0.0</v>
      </c>
      <c r="E52" s="96">
        <f t="shared" ref="E52:E53" si="37">SUM(L52*I52)/60</f>
        <v>0</v>
      </c>
      <c r="F52" s="94">
        <v>0.0</v>
      </c>
      <c r="G52" s="94">
        <v>0.0</v>
      </c>
      <c r="H52" s="94">
        <v>0.0</v>
      </c>
      <c r="I52" s="94">
        <v>0.0</v>
      </c>
      <c r="J52" s="95">
        <f t="shared" si="29"/>
        <v>0</v>
      </c>
      <c r="K52" s="87" t="str">
        <f t="shared" si="30"/>
        <v>#DIV/0!</v>
      </c>
      <c r="L52" s="94">
        <v>0.0</v>
      </c>
      <c r="M52" s="94">
        <v>0.0</v>
      </c>
      <c r="N52" s="85">
        <v>0.0</v>
      </c>
      <c r="O52" s="110">
        <f t="shared" ref="O52:O53" si="38">SUM(L52*I52)/60</f>
        <v>0</v>
      </c>
      <c r="P52" s="94">
        <v>0.0</v>
      </c>
      <c r="Q52" s="94">
        <v>0.0</v>
      </c>
      <c r="R52" s="94">
        <v>0.0</v>
      </c>
      <c r="S52" s="94">
        <v>0.0</v>
      </c>
      <c r="T52" s="94">
        <v>0.0</v>
      </c>
      <c r="U52" s="94">
        <v>0.0</v>
      </c>
      <c r="V52" s="94">
        <v>0.0</v>
      </c>
      <c r="W52" s="94">
        <v>0.0</v>
      </c>
      <c r="X52" s="94">
        <v>0.0</v>
      </c>
      <c r="Y52" s="94">
        <v>0.0</v>
      </c>
      <c r="Z52" s="94">
        <v>0.0</v>
      </c>
      <c r="AA52" s="94">
        <v>0.0</v>
      </c>
      <c r="AB52" s="94">
        <v>0.0</v>
      </c>
      <c r="AC52" s="94">
        <v>0.0</v>
      </c>
      <c r="AD52" s="94">
        <v>0.0</v>
      </c>
      <c r="AE52" s="94">
        <v>0.0</v>
      </c>
      <c r="AF52" s="94">
        <v>0.0</v>
      </c>
      <c r="AG52" s="94">
        <v>0.0</v>
      </c>
      <c r="AH52" s="94">
        <v>0.0</v>
      </c>
    </row>
    <row r="53" hidden="1">
      <c r="A53" s="83" t="s">
        <v>34</v>
      </c>
      <c r="B53" s="93"/>
      <c r="C53" s="94">
        <v>0.0</v>
      </c>
      <c r="D53" s="94">
        <v>0.0</v>
      </c>
      <c r="E53" s="96">
        <f t="shared" si="37"/>
        <v>0</v>
      </c>
      <c r="F53" s="94">
        <v>0.0</v>
      </c>
      <c r="G53" s="94">
        <v>0.0</v>
      </c>
      <c r="H53" s="94">
        <v>0.0</v>
      </c>
      <c r="I53" s="94">
        <v>0.0</v>
      </c>
      <c r="J53" s="95">
        <f t="shared" si="29"/>
        <v>0</v>
      </c>
      <c r="K53" s="87" t="str">
        <f t="shared" si="30"/>
        <v>#DIV/0!</v>
      </c>
      <c r="L53" s="94">
        <v>0.0</v>
      </c>
      <c r="M53" s="94">
        <v>0.0</v>
      </c>
      <c r="N53" s="85">
        <v>0.0</v>
      </c>
      <c r="O53" s="110">
        <f t="shared" si="38"/>
        <v>0</v>
      </c>
      <c r="P53" s="94">
        <v>0.0</v>
      </c>
      <c r="Q53" s="94">
        <v>0.0</v>
      </c>
      <c r="R53" s="94">
        <v>0.0</v>
      </c>
      <c r="S53" s="94">
        <v>0.0</v>
      </c>
      <c r="T53" s="94">
        <v>0.0</v>
      </c>
      <c r="U53" s="94">
        <v>0.0</v>
      </c>
      <c r="V53" s="94">
        <v>0.0</v>
      </c>
      <c r="W53" s="94">
        <v>0.0</v>
      </c>
      <c r="X53" s="94">
        <v>0.0</v>
      </c>
      <c r="Y53" s="94">
        <v>0.0</v>
      </c>
      <c r="Z53" s="94">
        <v>0.0</v>
      </c>
      <c r="AA53" s="94">
        <v>0.0</v>
      </c>
      <c r="AB53" s="94">
        <v>0.0</v>
      </c>
      <c r="AC53" s="94">
        <v>0.0</v>
      </c>
      <c r="AD53" s="94">
        <v>0.0</v>
      </c>
      <c r="AE53" s="94">
        <v>0.0</v>
      </c>
      <c r="AF53" s="94">
        <v>0.0</v>
      </c>
      <c r="AG53" s="94">
        <v>0.0</v>
      </c>
      <c r="AH53" s="94">
        <v>0.0</v>
      </c>
    </row>
    <row r="54" hidden="1">
      <c r="A54" s="89" t="s">
        <v>185</v>
      </c>
      <c r="B54" s="111"/>
      <c r="C54" s="111">
        <f>SUM(C48:C53)</f>
        <v>4</v>
      </c>
      <c r="D54" s="111">
        <f t="shared" ref="D54:E54" si="39">SUM(D48:D53)/4</f>
        <v>0</v>
      </c>
      <c r="E54" s="91">
        <f t="shared" si="39"/>
        <v>18</v>
      </c>
      <c r="F54" s="111">
        <f t="shared" ref="F54:G54" si="40">SUM(F48:F53)</f>
        <v>2</v>
      </c>
      <c r="G54" s="111">
        <f t="shared" si="40"/>
        <v>248</v>
      </c>
      <c r="H54" s="111"/>
      <c r="I54" s="111">
        <f>SUM(I48:I53)</f>
        <v>238</v>
      </c>
      <c r="J54" s="111">
        <f t="shared" si="29"/>
        <v>10</v>
      </c>
      <c r="K54" s="92">
        <f t="shared" si="30"/>
        <v>1.042016807</v>
      </c>
      <c r="L54" s="111">
        <f t="shared" ref="L54:M54" si="41">SUM(L48:L53)</f>
        <v>60</v>
      </c>
      <c r="M54" s="111">
        <f t="shared" si="41"/>
        <v>311</v>
      </c>
      <c r="N54" s="111"/>
      <c r="O54" s="112"/>
      <c r="P54" s="111">
        <f t="shared" ref="P54:AH54" si="42">SUM(P48:P53)</f>
        <v>8</v>
      </c>
      <c r="Q54" s="111">
        <f t="shared" si="42"/>
        <v>7</v>
      </c>
      <c r="R54" s="111">
        <f t="shared" si="42"/>
        <v>19</v>
      </c>
      <c r="S54" s="111">
        <f t="shared" si="42"/>
        <v>3</v>
      </c>
      <c r="T54" s="111">
        <f t="shared" si="42"/>
        <v>37</v>
      </c>
      <c r="U54" s="111">
        <f t="shared" si="42"/>
        <v>3</v>
      </c>
      <c r="V54" s="111">
        <f t="shared" si="42"/>
        <v>2</v>
      </c>
      <c r="W54" s="111">
        <f t="shared" si="42"/>
        <v>1</v>
      </c>
      <c r="X54" s="111">
        <f t="shared" si="42"/>
        <v>0</v>
      </c>
      <c r="Y54" s="111">
        <f t="shared" si="42"/>
        <v>0</v>
      </c>
      <c r="Z54" s="111">
        <f t="shared" si="42"/>
        <v>0</v>
      </c>
      <c r="AA54" s="111">
        <f t="shared" si="42"/>
        <v>0</v>
      </c>
      <c r="AB54" s="111">
        <f t="shared" si="42"/>
        <v>0</v>
      </c>
      <c r="AC54" s="111">
        <f t="shared" si="42"/>
        <v>4</v>
      </c>
      <c r="AD54" s="111">
        <f t="shared" si="42"/>
        <v>0</v>
      </c>
      <c r="AE54" s="111">
        <f t="shared" si="42"/>
        <v>0</v>
      </c>
      <c r="AF54" s="111">
        <f t="shared" si="42"/>
        <v>0</v>
      </c>
      <c r="AG54" s="111">
        <f t="shared" si="42"/>
        <v>0</v>
      </c>
      <c r="AH54" s="111">
        <f t="shared" si="42"/>
        <v>0</v>
      </c>
    </row>
    <row r="55">
      <c r="A55" s="104" t="s">
        <v>258</v>
      </c>
    </row>
    <row r="57" hidden="1">
      <c r="A57" s="105"/>
      <c r="F57" s="106" t="s">
        <v>251</v>
      </c>
      <c r="L57" s="107" t="s">
        <v>252</v>
      </c>
      <c r="N57" s="108" t="s">
        <v>253</v>
      </c>
    </row>
    <row r="58" hidden="1">
      <c r="A58" s="76" t="s">
        <v>148</v>
      </c>
      <c r="B58" s="76" t="s">
        <v>149</v>
      </c>
      <c r="C58" s="76" t="s">
        <v>150</v>
      </c>
      <c r="D58" s="76" t="s">
        <v>13</v>
      </c>
      <c r="E58" s="77" t="s">
        <v>151</v>
      </c>
      <c r="F58" s="78" t="s">
        <v>15</v>
      </c>
      <c r="G58" s="78" t="s">
        <v>152</v>
      </c>
      <c r="H58" s="78" t="s">
        <v>153</v>
      </c>
      <c r="I58" s="78" t="s">
        <v>154</v>
      </c>
      <c r="J58" s="78" t="s">
        <v>155</v>
      </c>
      <c r="K58" s="79" t="s">
        <v>156</v>
      </c>
      <c r="L58" s="80" t="s">
        <v>157</v>
      </c>
      <c r="M58" s="80" t="s">
        <v>158</v>
      </c>
      <c r="N58" s="81" t="s">
        <v>254</v>
      </c>
      <c r="O58" s="81" t="s">
        <v>151</v>
      </c>
      <c r="P58" s="81" t="s">
        <v>160</v>
      </c>
      <c r="Q58" s="81" t="s">
        <v>161</v>
      </c>
      <c r="R58" s="81" t="s">
        <v>162</v>
      </c>
      <c r="S58" s="81" t="s">
        <v>163</v>
      </c>
      <c r="T58" s="81" t="s">
        <v>164</v>
      </c>
      <c r="U58" s="81" t="s">
        <v>165</v>
      </c>
      <c r="V58" s="81" t="s">
        <v>166</v>
      </c>
      <c r="W58" s="81" t="s">
        <v>167</v>
      </c>
      <c r="X58" s="81" t="s">
        <v>168</v>
      </c>
      <c r="Y58" s="81" t="s">
        <v>169</v>
      </c>
      <c r="Z58" s="81" t="s">
        <v>170</v>
      </c>
      <c r="AA58" s="81" t="s">
        <v>171</v>
      </c>
      <c r="AB58" s="81" t="s">
        <v>172</v>
      </c>
      <c r="AC58" s="81" t="s">
        <v>173</v>
      </c>
      <c r="AD58" s="81" t="s">
        <v>174</v>
      </c>
      <c r="AE58" s="81" t="s">
        <v>175</v>
      </c>
      <c r="AF58" s="81" t="s">
        <v>176</v>
      </c>
      <c r="AG58" s="81" t="s">
        <v>177</v>
      </c>
      <c r="AH58" s="81" t="s">
        <v>178</v>
      </c>
    </row>
    <row r="59" hidden="1">
      <c r="A59" s="83" t="s">
        <v>20</v>
      </c>
      <c r="B59" s="84" t="s">
        <v>232</v>
      </c>
      <c r="C59" s="85">
        <v>1.0</v>
      </c>
      <c r="D59" s="85">
        <v>1.0</v>
      </c>
      <c r="E59" s="86">
        <v>25.0</v>
      </c>
      <c r="F59" s="85">
        <v>1.0</v>
      </c>
      <c r="G59" s="85">
        <v>86.0</v>
      </c>
      <c r="H59" s="85">
        <v>2.0</v>
      </c>
      <c r="I59" s="85">
        <v>79.0</v>
      </c>
      <c r="J59" s="95">
        <f t="shared" ref="J59:J72" si="43">SUM(G59-I59)</f>
        <v>7</v>
      </c>
      <c r="K59" s="87">
        <f t="shared" ref="K59:K72" si="44">SUM(G59/I59)</f>
        <v>1.088607595</v>
      </c>
      <c r="L59" s="85">
        <v>16.0</v>
      </c>
      <c r="M59" s="85">
        <v>124.0</v>
      </c>
      <c r="N59" s="85">
        <v>1.0</v>
      </c>
      <c r="O59" s="110">
        <f t="shared" ref="O59:O64" si="45">(E59*N59)</f>
        <v>25</v>
      </c>
      <c r="P59" s="85">
        <v>4.0</v>
      </c>
      <c r="Q59" s="94">
        <v>0.0</v>
      </c>
      <c r="R59" s="85">
        <v>10.0</v>
      </c>
      <c r="S59" s="85">
        <v>4.0</v>
      </c>
      <c r="T59" s="85">
        <v>12.0</v>
      </c>
      <c r="U59" s="85">
        <v>2.0</v>
      </c>
      <c r="V59" s="85">
        <v>1.0</v>
      </c>
      <c r="W59" s="85">
        <v>1.0</v>
      </c>
      <c r="X59" s="94">
        <v>0.0</v>
      </c>
      <c r="Y59" s="94">
        <v>0.0</v>
      </c>
      <c r="Z59" s="94">
        <v>0.0</v>
      </c>
      <c r="AA59" s="94">
        <v>0.0</v>
      </c>
      <c r="AB59" s="94">
        <v>0.0</v>
      </c>
      <c r="AC59" s="85">
        <v>5.0</v>
      </c>
      <c r="AD59" s="85">
        <v>1.0</v>
      </c>
      <c r="AE59" s="94">
        <v>0.0</v>
      </c>
      <c r="AF59" s="94">
        <v>0.0</v>
      </c>
      <c r="AG59" s="85">
        <v>1.0</v>
      </c>
      <c r="AH59" s="94">
        <v>0.0</v>
      </c>
    </row>
    <row r="60" hidden="1">
      <c r="A60" s="83" t="s">
        <v>20</v>
      </c>
      <c r="B60" s="84" t="s">
        <v>233</v>
      </c>
      <c r="C60" s="85">
        <v>1.0</v>
      </c>
      <c r="D60" s="85">
        <v>1.0</v>
      </c>
      <c r="E60" s="86">
        <v>25.0</v>
      </c>
      <c r="F60" s="94">
        <v>0.0</v>
      </c>
      <c r="G60" s="85">
        <v>95.0</v>
      </c>
      <c r="H60" s="94">
        <v>0.0</v>
      </c>
      <c r="I60" s="85">
        <v>99.0</v>
      </c>
      <c r="J60" s="95">
        <f t="shared" si="43"/>
        <v>-4</v>
      </c>
      <c r="K60" s="87">
        <f t="shared" si="44"/>
        <v>0.9595959596</v>
      </c>
      <c r="L60" s="85">
        <v>12.0</v>
      </c>
      <c r="M60" s="85">
        <v>133.0</v>
      </c>
      <c r="N60" s="85">
        <v>1.0</v>
      </c>
      <c r="O60" s="110">
        <f t="shared" si="45"/>
        <v>25</v>
      </c>
      <c r="P60" s="85">
        <v>3.0</v>
      </c>
      <c r="Q60" s="94">
        <v>0.0</v>
      </c>
      <c r="R60" s="85">
        <v>12.0</v>
      </c>
      <c r="S60" s="85">
        <v>2.0</v>
      </c>
      <c r="T60" s="85">
        <v>18.0</v>
      </c>
      <c r="U60" s="85">
        <v>3.0</v>
      </c>
      <c r="V60" s="85">
        <v>1.0</v>
      </c>
      <c r="W60" s="85">
        <v>1.0</v>
      </c>
      <c r="X60" s="94">
        <v>0.0</v>
      </c>
      <c r="Y60" s="94">
        <v>0.0</v>
      </c>
      <c r="Z60" s="94">
        <v>0.0</v>
      </c>
      <c r="AA60" s="94">
        <v>0.0</v>
      </c>
      <c r="AB60" s="94">
        <v>0.0</v>
      </c>
      <c r="AC60" s="85">
        <v>2.0</v>
      </c>
      <c r="AD60" s="94">
        <v>0.0</v>
      </c>
      <c r="AE60" s="94">
        <v>0.0</v>
      </c>
      <c r="AF60" s="94">
        <v>0.0</v>
      </c>
      <c r="AG60" s="94">
        <v>0.0</v>
      </c>
      <c r="AH60" s="94">
        <v>0.0</v>
      </c>
    </row>
    <row r="61" hidden="1">
      <c r="A61" s="83" t="s">
        <v>20</v>
      </c>
      <c r="B61" s="84" t="s">
        <v>234</v>
      </c>
      <c r="C61" s="85">
        <v>1.0</v>
      </c>
      <c r="D61" s="85">
        <v>1.0</v>
      </c>
      <c r="E61" s="86">
        <v>25.0</v>
      </c>
      <c r="F61" s="94">
        <v>0.0</v>
      </c>
      <c r="G61" s="85">
        <v>91.0</v>
      </c>
      <c r="H61" s="85">
        <v>1.0</v>
      </c>
      <c r="I61" s="85">
        <v>110.0</v>
      </c>
      <c r="J61" s="95">
        <f t="shared" si="43"/>
        <v>-19</v>
      </c>
      <c r="K61" s="87">
        <f t="shared" si="44"/>
        <v>0.8272727273</v>
      </c>
      <c r="L61" s="85">
        <v>10.0</v>
      </c>
      <c r="M61" s="85">
        <v>114.0</v>
      </c>
      <c r="N61" s="85">
        <v>1.0</v>
      </c>
      <c r="O61" s="110">
        <f t="shared" si="45"/>
        <v>25</v>
      </c>
      <c r="P61" s="85">
        <v>3.0</v>
      </c>
      <c r="Q61" s="85">
        <v>2.0</v>
      </c>
      <c r="R61" s="85">
        <v>6.0</v>
      </c>
      <c r="S61" s="85">
        <v>2.0</v>
      </c>
      <c r="T61" s="85">
        <v>18.0</v>
      </c>
      <c r="U61" s="85">
        <v>3.0</v>
      </c>
      <c r="V61" s="94">
        <v>0.0</v>
      </c>
      <c r="W61" s="94">
        <v>0.0</v>
      </c>
      <c r="X61" s="94">
        <v>0.0</v>
      </c>
      <c r="Y61" s="94">
        <v>0.0</v>
      </c>
      <c r="Z61" s="94">
        <v>0.0</v>
      </c>
      <c r="AA61" s="94">
        <v>0.0</v>
      </c>
      <c r="AB61" s="94">
        <v>0.0</v>
      </c>
      <c r="AC61" s="85">
        <v>1.0</v>
      </c>
      <c r="AD61" s="94">
        <v>0.0</v>
      </c>
      <c r="AE61" s="94">
        <v>0.0</v>
      </c>
      <c r="AF61" s="94">
        <v>0.0</v>
      </c>
      <c r="AG61" s="94">
        <v>0.0</v>
      </c>
      <c r="AH61" s="94">
        <v>0.0</v>
      </c>
    </row>
    <row r="62" hidden="1">
      <c r="A62" s="83" t="s">
        <v>20</v>
      </c>
      <c r="B62" s="84" t="s">
        <v>235</v>
      </c>
      <c r="C62" s="85">
        <v>1.0</v>
      </c>
      <c r="D62" s="85">
        <v>1.0</v>
      </c>
      <c r="E62" s="86">
        <v>25.0</v>
      </c>
      <c r="F62" s="85">
        <v>4.0</v>
      </c>
      <c r="G62" s="85">
        <v>28.0</v>
      </c>
      <c r="H62" s="94">
        <v>0.0</v>
      </c>
      <c r="I62" s="85">
        <v>59.0</v>
      </c>
      <c r="J62" s="95">
        <f t="shared" si="43"/>
        <v>-31</v>
      </c>
      <c r="K62" s="87">
        <f t="shared" si="44"/>
        <v>0.4745762712</v>
      </c>
      <c r="L62" s="85">
        <v>22.0</v>
      </c>
      <c r="M62" s="85">
        <v>45.0</v>
      </c>
      <c r="N62" s="85">
        <v>1.0</v>
      </c>
      <c r="O62" s="110">
        <f t="shared" si="45"/>
        <v>25</v>
      </c>
      <c r="P62" s="85">
        <v>6.0</v>
      </c>
      <c r="Q62" s="85">
        <v>2.0</v>
      </c>
      <c r="R62" s="94">
        <v>0.0</v>
      </c>
      <c r="S62" s="85">
        <v>1.0</v>
      </c>
      <c r="T62" s="85">
        <v>6.0</v>
      </c>
      <c r="U62" s="85">
        <v>1.0</v>
      </c>
      <c r="V62" s="94">
        <v>0.0</v>
      </c>
      <c r="W62" s="94">
        <v>0.0</v>
      </c>
      <c r="X62" s="94">
        <v>0.0</v>
      </c>
      <c r="Y62" s="94">
        <v>0.0</v>
      </c>
      <c r="Z62" s="94">
        <v>0.0</v>
      </c>
      <c r="AA62" s="94">
        <v>0.0</v>
      </c>
      <c r="AB62" s="94">
        <v>0.0</v>
      </c>
      <c r="AC62" s="94">
        <v>0.0</v>
      </c>
      <c r="AD62" s="94">
        <v>0.0</v>
      </c>
      <c r="AE62" s="94">
        <v>0.0</v>
      </c>
      <c r="AF62" s="94">
        <v>0.0</v>
      </c>
      <c r="AG62" s="94">
        <v>0.0</v>
      </c>
      <c r="AH62" s="94">
        <v>0.0</v>
      </c>
    </row>
    <row r="63" hidden="1">
      <c r="A63" s="83" t="s">
        <v>20</v>
      </c>
      <c r="B63" s="84" t="s">
        <v>236</v>
      </c>
      <c r="C63" s="94">
        <v>0.0</v>
      </c>
      <c r="D63" s="94">
        <v>0.0</v>
      </c>
      <c r="E63" s="96">
        <f t="shared" ref="E63:E64" si="46">SUM(L63*I63)/60</f>
        <v>0</v>
      </c>
      <c r="F63" s="94">
        <v>0.0</v>
      </c>
      <c r="G63" s="94">
        <v>0.0</v>
      </c>
      <c r="H63" s="94">
        <v>0.0</v>
      </c>
      <c r="I63" s="94">
        <v>0.0</v>
      </c>
      <c r="J63" s="95">
        <f t="shared" si="43"/>
        <v>0</v>
      </c>
      <c r="K63" s="87" t="str">
        <f t="shared" si="44"/>
        <v>#DIV/0!</v>
      </c>
      <c r="L63" s="94">
        <v>0.0</v>
      </c>
      <c r="M63" s="94">
        <v>0.0</v>
      </c>
      <c r="N63" s="85">
        <v>0.0</v>
      </c>
      <c r="O63" s="110">
        <f t="shared" si="45"/>
        <v>0</v>
      </c>
      <c r="P63" s="94">
        <v>0.0</v>
      </c>
      <c r="Q63" s="94">
        <v>0.0</v>
      </c>
      <c r="R63" s="94">
        <v>0.0</v>
      </c>
      <c r="S63" s="94">
        <v>0.0</v>
      </c>
      <c r="T63" s="94">
        <v>0.0</v>
      </c>
      <c r="U63" s="94">
        <v>0.0</v>
      </c>
      <c r="V63" s="94">
        <v>0.0</v>
      </c>
      <c r="W63" s="94">
        <v>0.0</v>
      </c>
      <c r="X63" s="94">
        <v>0.0</v>
      </c>
      <c r="Y63" s="94">
        <v>0.0</v>
      </c>
      <c r="Z63" s="94">
        <v>0.0</v>
      </c>
      <c r="AA63" s="94">
        <v>0.0</v>
      </c>
      <c r="AB63" s="94">
        <v>0.0</v>
      </c>
      <c r="AC63" s="94">
        <v>0.0</v>
      </c>
      <c r="AD63" s="94">
        <v>0.0</v>
      </c>
      <c r="AE63" s="94">
        <v>0.0</v>
      </c>
      <c r="AF63" s="94">
        <v>0.0</v>
      </c>
      <c r="AG63" s="94">
        <v>0.0</v>
      </c>
      <c r="AH63" s="94">
        <v>0.0</v>
      </c>
    </row>
    <row r="64" hidden="1">
      <c r="A64" s="83" t="s">
        <v>20</v>
      </c>
      <c r="B64" s="93"/>
      <c r="C64" s="94">
        <v>0.0</v>
      </c>
      <c r="D64" s="94">
        <v>0.0</v>
      </c>
      <c r="E64" s="96">
        <f t="shared" si="46"/>
        <v>0</v>
      </c>
      <c r="F64" s="94">
        <v>0.0</v>
      </c>
      <c r="G64" s="94">
        <v>0.0</v>
      </c>
      <c r="H64" s="94">
        <v>0.0</v>
      </c>
      <c r="I64" s="94">
        <v>0.0</v>
      </c>
      <c r="J64" s="95">
        <f t="shared" si="43"/>
        <v>0</v>
      </c>
      <c r="K64" s="87" t="str">
        <f t="shared" si="44"/>
        <v>#DIV/0!</v>
      </c>
      <c r="L64" s="94">
        <v>0.0</v>
      </c>
      <c r="M64" s="94">
        <v>0.0</v>
      </c>
      <c r="N64" s="85">
        <v>0.0</v>
      </c>
      <c r="O64" s="110">
        <f t="shared" si="45"/>
        <v>0</v>
      </c>
      <c r="P64" s="94">
        <v>0.0</v>
      </c>
      <c r="Q64" s="94">
        <v>0.0</v>
      </c>
      <c r="R64" s="94">
        <v>0.0</v>
      </c>
      <c r="S64" s="94">
        <v>0.0</v>
      </c>
      <c r="T64" s="94">
        <v>0.0</v>
      </c>
      <c r="U64" s="94">
        <v>0.0</v>
      </c>
      <c r="V64" s="94">
        <v>0.0</v>
      </c>
      <c r="W64" s="94">
        <v>0.0</v>
      </c>
      <c r="X64" s="94">
        <v>0.0</v>
      </c>
      <c r="Y64" s="94">
        <v>0.0</v>
      </c>
      <c r="Z64" s="94">
        <v>0.0</v>
      </c>
      <c r="AA64" s="94">
        <v>0.0</v>
      </c>
      <c r="AB64" s="94">
        <v>0.0</v>
      </c>
      <c r="AC64" s="94">
        <v>0.0</v>
      </c>
      <c r="AD64" s="94">
        <v>0.0</v>
      </c>
      <c r="AE64" s="94">
        <v>0.0</v>
      </c>
      <c r="AF64" s="94">
        <v>0.0</v>
      </c>
      <c r="AG64" s="94">
        <v>0.0</v>
      </c>
      <c r="AH64" s="94">
        <v>0.0</v>
      </c>
    </row>
    <row r="65" hidden="1">
      <c r="A65" s="89"/>
      <c r="B65" s="111"/>
      <c r="C65" s="111">
        <f t="shared" ref="C65:D65" si="47">SUM(C59:C64)/4</f>
        <v>1</v>
      </c>
      <c r="D65" s="111">
        <f t="shared" si="47"/>
        <v>1</v>
      </c>
      <c r="E65" s="91">
        <f t="shared" ref="E65:G65" si="48">SUM(E59:E64)</f>
        <v>100</v>
      </c>
      <c r="F65" s="111">
        <f t="shared" si="48"/>
        <v>5</v>
      </c>
      <c r="G65" s="111">
        <f t="shared" si="48"/>
        <v>300</v>
      </c>
      <c r="H65" s="111"/>
      <c r="I65" s="111">
        <f>SUM(I59:I64)</f>
        <v>347</v>
      </c>
      <c r="J65" s="111">
        <f t="shared" si="43"/>
        <v>-47</v>
      </c>
      <c r="K65" s="92">
        <f t="shared" si="44"/>
        <v>0.8645533141</v>
      </c>
      <c r="L65" s="111">
        <f t="shared" ref="L65:M65" si="49">SUM(L59:L64)</f>
        <v>60</v>
      </c>
      <c r="M65" s="111">
        <f t="shared" si="49"/>
        <v>416</v>
      </c>
      <c r="N65" s="111"/>
      <c r="O65" s="112"/>
      <c r="P65" s="111">
        <f t="shared" ref="P65:AH65" si="50">SUM(P59:P64)</f>
        <v>16</v>
      </c>
      <c r="Q65" s="111">
        <f t="shared" si="50"/>
        <v>4</v>
      </c>
      <c r="R65" s="111">
        <f t="shared" si="50"/>
        <v>28</v>
      </c>
      <c r="S65" s="111">
        <f t="shared" si="50"/>
        <v>9</v>
      </c>
      <c r="T65" s="111">
        <f t="shared" si="50"/>
        <v>54</v>
      </c>
      <c r="U65" s="111">
        <f t="shared" si="50"/>
        <v>9</v>
      </c>
      <c r="V65" s="111">
        <f t="shared" si="50"/>
        <v>2</v>
      </c>
      <c r="W65" s="111">
        <f t="shared" si="50"/>
        <v>2</v>
      </c>
      <c r="X65" s="111">
        <f t="shared" si="50"/>
        <v>0</v>
      </c>
      <c r="Y65" s="111">
        <f t="shared" si="50"/>
        <v>0</v>
      </c>
      <c r="Z65" s="111">
        <f t="shared" si="50"/>
        <v>0</v>
      </c>
      <c r="AA65" s="111">
        <f t="shared" si="50"/>
        <v>0</v>
      </c>
      <c r="AB65" s="111">
        <f t="shared" si="50"/>
        <v>0</v>
      </c>
      <c r="AC65" s="111">
        <f t="shared" si="50"/>
        <v>8</v>
      </c>
      <c r="AD65" s="111">
        <f t="shared" si="50"/>
        <v>1</v>
      </c>
      <c r="AE65" s="111">
        <f t="shared" si="50"/>
        <v>0</v>
      </c>
      <c r="AF65" s="111">
        <f t="shared" si="50"/>
        <v>0</v>
      </c>
      <c r="AG65" s="111">
        <f t="shared" si="50"/>
        <v>1</v>
      </c>
      <c r="AH65" s="111">
        <f t="shared" si="50"/>
        <v>0</v>
      </c>
    </row>
    <row r="66" hidden="1">
      <c r="A66" s="83" t="s">
        <v>53</v>
      </c>
      <c r="B66" s="84" t="s">
        <v>192</v>
      </c>
      <c r="C66" s="85">
        <v>1.0</v>
      </c>
      <c r="D66" s="94">
        <v>0.0</v>
      </c>
      <c r="E66" s="86">
        <v>25.0</v>
      </c>
      <c r="F66" s="85">
        <v>3.0</v>
      </c>
      <c r="G66" s="85">
        <v>71.0</v>
      </c>
      <c r="H66" s="94">
        <v>0.0</v>
      </c>
      <c r="I66" s="85">
        <v>82.0</v>
      </c>
      <c r="J66" s="95">
        <f t="shared" si="43"/>
        <v>-11</v>
      </c>
      <c r="K66" s="87">
        <f t="shared" si="44"/>
        <v>0.8658536585</v>
      </c>
      <c r="L66" s="85">
        <v>15.0</v>
      </c>
      <c r="M66" s="85">
        <v>89.0</v>
      </c>
      <c r="N66" s="85">
        <v>1.0</v>
      </c>
      <c r="O66" s="110">
        <f t="shared" ref="O66:O71" si="51">(E66*N66)</f>
        <v>25</v>
      </c>
      <c r="P66" s="85">
        <v>5.0</v>
      </c>
      <c r="Q66" s="85">
        <v>5.0</v>
      </c>
      <c r="R66" s="94">
        <v>0.0</v>
      </c>
      <c r="S66" s="85">
        <v>2.0</v>
      </c>
      <c r="T66" s="85">
        <v>8.0</v>
      </c>
      <c r="U66" s="94">
        <v>0.0</v>
      </c>
      <c r="V66" s="94">
        <v>0.0</v>
      </c>
      <c r="W66" s="94">
        <v>0.0</v>
      </c>
      <c r="X66" s="94">
        <v>0.0</v>
      </c>
      <c r="Y66" s="94">
        <v>0.0</v>
      </c>
      <c r="Z66" s="94">
        <v>0.0</v>
      </c>
      <c r="AA66" s="94">
        <v>0.0</v>
      </c>
      <c r="AB66" s="85">
        <v>0.0</v>
      </c>
      <c r="AC66" s="85">
        <v>1.0</v>
      </c>
      <c r="AD66" s="94">
        <v>0.0</v>
      </c>
      <c r="AE66" s="94">
        <v>0.0</v>
      </c>
      <c r="AF66" s="94">
        <v>0.0</v>
      </c>
      <c r="AG66" s="94">
        <v>0.0</v>
      </c>
      <c r="AH66" s="94">
        <v>0.0</v>
      </c>
    </row>
    <row r="67" hidden="1">
      <c r="A67" s="83" t="s">
        <v>53</v>
      </c>
      <c r="B67" s="84" t="s">
        <v>193</v>
      </c>
      <c r="C67" s="85">
        <v>1.0</v>
      </c>
      <c r="D67" s="94">
        <v>0.0</v>
      </c>
      <c r="E67" s="86">
        <v>25.0</v>
      </c>
      <c r="F67" s="94">
        <v>0.0</v>
      </c>
      <c r="G67" s="85">
        <v>99.0</v>
      </c>
      <c r="H67" s="94">
        <v>0.0</v>
      </c>
      <c r="I67" s="85">
        <v>84.0</v>
      </c>
      <c r="J67" s="95">
        <f t="shared" si="43"/>
        <v>15</v>
      </c>
      <c r="K67" s="87">
        <f t="shared" si="44"/>
        <v>1.178571429</v>
      </c>
      <c r="L67" s="85">
        <v>15.0</v>
      </c>
      <c r="M67" s="85">
        <v>123.0</v>
      </c>
      <c r="N67" s="85">
        <v>1.0</v>
      </c>
      <c r="O67" s="110">
        <f t="shared" si="51"/>
        <v>25</v>
      </c>
      <c r="P67" s="85">
        <v>2.0</v>
      </c>
      <c r="Q67" s="85">
        <v>2.0</v>
      </c>
      <c r="R67" s="85">
        <v>5.0</v>
      </c>
      <c r="S67" s="85">
        <v>1.0</v>
      </c>
      <c r="T67" s="85">
        <v>15.0</v>
      </c>
      <c r="U67" s="85">
        <v>2.0</v>
      </c>
      <c r="V67" s="85">
        <v>2.0</v>
      </c>
      <c r="W67" s="94">
        <v>0.0</v>
      </c>
      <c r="X67" s="94">
        <v>0.0</v>
      </c>
      <c r="Y67" s="94">
        <v>0.0</v>
      </c>
      <c r="Z67" s="94">
        <v>0.0</v>
      </c>
      <c r="AA67" s="94">
        <v>0.0</v>
      </c>
      <c r="AB67" s="94">
        <v>0.0</v>
      </c>
      <c r="AC67" s="85">
        <v>4.0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</row>
    <row r="68" hidden="1">
      <c r="A68" s="83" t="s">
        <v>53</v>
      </c>
      <c r="B68" s="84" t="s">
        <v>194</v>
      </c>
      <c r="C68" s="85">
        <v>1.0</v>
      </c>
      <c r="D68" s="94">
        <v>0.0</v>
      </c>
      <c r="E68" s="86">
        <v>25.0</v>
      </c>
      <c r="F68" s="94">
        <v>0.0</v>
      </c>
      <c r="G68" s="85">
        <v>93.0</v>
      </c>
      <c r="H68" s="94">
        <v>0.0</v>
      </c>
      <c r="I68" s="85">
        <v>90.0</v>
      </c>
      <c r="J68" s="95">
        <f t="shared" si="43"/>
        <v>3</v>
      </c>
      <c r="K68" s="87">
        <f t="shared" si="44"/>
        <v>1.033333333</v>
      </c>
      <c r="L68" s="85">
        <v>14.0</v>
      </c>
      <c r="M68" s="85">
        <v>126.0</v>
      </c>
      <c r="N68" s="85">
        <v>1.0</v>
      </c>
      <c r="O68" s="110">
        <f t="shared" si="51"/>
        <v>25</v>
      </c>
      <c r="P68" s="85">
        <v>8.0</v>
      </c>
      <c r="Q68" s="85">
        <v>1.0</v>
      </c>
      <c r="R68" s="94">
        <v>0.0</v>
      </c>
      <c r="S68" s="85">
        <v>2.0</v>
      </c>
      <c r="T68" s="85">
        <v>21.0</v>
      </c>
      <c r="U68" s="85">
        <v>1.0</v>
      </c>
      <c r="V68" s="85">
        <v>1.0</v>
      </c>
      <c r="W68" s="94">
        <v>0.0</v>
      </c>
      <c r="X68" s="94">
        <v>0.0</v>
      </c>
      <c r="Y68" s="94">
        <v>0.0</v>
      </c>
      <c r="Z68" s="94">
        <v>0.0</v>
      </c>
      <c r="AA68" s="94">
        <v>0.0</v>
      </c>
      <c r="AB68" s="94">
        <v>0.0</v>
      </c>
      <c r="AC68" s="85">
        <v>2.0</v>
      </c>
      <c r="AD68" s="94">
        <v>0.0</v>
      </c>
      <c r="AE68" s="94">
        <v>0.0</v>
      </c>
      <c r="AF68" s="94">
        <v>0.0</v>
      </c>
      <c r="AG68" s="94">
        <v>0.0</v>
      </c>
      <c r="AH68" s="94">
        <v>0.0</v>
      </c>
    </row>
    <row r="69" hidden="1">
      <c r="A69" s="83" t="s">
        <v>53</v>
      </c>
      <c r="B69" s="84" t="s">
        <v>195</v>
      </c>
      <c r="C69" s="85">
        <v>1.0</v>
      </c>
      <c r="D69" s="94">
        <v>0.0</v>
      </c>
      <c r="E69" s="86">
        <v>25.0</v>
      </c>
      <c r="F69" s="94">
        <v>0.0</v>
      </c>
      <c r="G69" s="85">
        <v>70.0</v>
      </c>
      <c r="H69" s="85">
        <v>1.0</v>
      </c>
      <c r="I69" s="85">
        <v>53.0</v>
      </c>
      <c r="J69" s="95">
        <f t="shared" si="43"/>
        <v>17</v>
      </c>
      <c r="K69" s="87">
        <f t="shared" si="44"/>
        <v>1.320754717</v>
      </c>
      <c r="L69" s="85">
        <v>25.0</v>
      </c>
      <c r="M69" s="85">
        <v>84.0</v>
      </c>
      <c r="N69" s="85">
        <v>1.0</v>
      </c>
      <c r="O69" s="110">
        <f t="shared" si="51"/>
        <v>25</v>
      </c>
      <c r="P69" s="85">
        <v>1.0</v>
      </c>
      <c r="Q69" s="85">
        <v>1.0</v>
      </c>
      <c r="R69" s="85">
        <v>5.0</v>
      </c>
      <c r="S69" s="85">
        <v>1.0</v>
      </c>
      <c r="T69" s="85">
        <v>7.0</v>
      </c>
      <c r="U69" s="94">
        <v>0.0</v>
      </c>
      <c r="V69" s="94">
        <v>0.0</v>
      </c>
      <c r="W69" s="94">
        <v>0.0</v>
      </c>
      <c r="X69" s="94">
        <v>0.0</v>
      </c>
      <c r="Y69" s="94">
        <v>0.0</v>
      </c>
      <c r="Z69" s="94">
        <v>0.0</v>
      </c>
      <c r="AA69" s="94">
        <v>0.0</v>
      </c>
      <c r="AB69" s="94">
        <v>0.0</v>
      </c>
      <c r="AC69" s="85">
        <v>2.0</v>
      </c>
      <c r="AD69" s="94">
        <v>0.0</v>
      </c>
      <c r="AE69" s="94">
        <v>0.0</v>
      </c>
      <c r="AF69" s="94">
        <v>0.0</v>
      </c>
      <c r="AG69" s="94">
        <v>0.0</v>
      </c>
      <c r="AH69" s="94">
        <v>0.0</v>
      </c>
    </row>
    <row r="70" hidden="1">
      <c r="A70" s="83" t="s">
        <v>53</v>
      </c>
      <c r="B70" s="84" t="s">
        <v>196</v>
      </c>
      <c r="C70" s="94">
        <v>0.0</v>
      </c>
      <c r="D70" s="94">
        <v>0.0</v>
      </c>
      <c r="E70" s="96">
        <f t="shared" ref="E70:E71" si="52">SUM(L70*I70)/60</f>
        <v>0</v>
      </c>
      <c r="F70" s="94">
        <v>0.0</v>
      </c>
      <c r="G70" s="94">
        <v>0.0</v>
      </c>
      <c r="H70" s="94">
        <v>0.0</v>
      </c>
      <c r="I70" s="94">
        <v>0.0</v>
      </c>
      <c r="J70" s="95">
        <f t="shared" si="43"/>
        <v>0</v>
      </c>
      <c r="K70" s="87" t="str">
        <f t="shared" si="44"/>
        <v>#DIV/0!</v>
      </c>
      <c r="L70" s="94">
        <v>0.0</v>
      </c>
      <c r="M70" s="94">
        <v>0.0</v>
      </c>
      <c r="N70" s="85">
        <v>0.0</v>
      </c>
      <c r="O70" s="110">
        <f t="shared" si="51"/>
        <v>0</v>
      </c>
      <c r="P70" s="94">
        <v>0.0</v>
      </c>
      <c r="Q70" s="94">
        <v>0.0</v>
      </c>
      <c r="R70" s="94">
        <v>0.0</v>
      </c>
      <c r="S70" s="94">
        <v>0.0</v>
      </c>
      <c r="T70" s="94">
        <v>0.0</v>
      </c>
      <c r="U70" s="94">
        <v>0.0</v>
      </c>
      <c r="V70" s="94">
        <v>0.0</v>
      </c>
      <c r="W70" s="94">
        <v>0.0</v>
      </c>
      <c r="X70" s="94">
        <v>0.0</v>
      </c>
      <c r="Y70" s="94">
        <v>0.0</v>
      </c>
      <c r="Z70" s="94">
        <v>0.0</v>
      </c>
      <c r="AA70" s="94">
        <v>0.0</v>
      </c>
      <c r="AB70" s="94">
        <v>0.0</v>
      </c>
      <c r="AC70" s="94">
        <v>0.0</v>
      </c>
      <c r="AD70" s="94">
        <v>0.0</v>
      </c>
      <c r="AE70" s="94">
        <v>0.0</v>
      </c>
      <c r="AF70" s="94">
        <v>0.0</v>
      </c>
      <c r="AG70" s="94">
        <v>0.0</v>
      </c>
      <c r="AH70" s="94">
        <v>0.0</v>
      </c>
    </row>
    <row r="71" hidden="1">
      <c r="A71" s="83" t="s">
        <v>53</v>
      </c>
      <c r="B71" s="93"/>
      <c r="C71" s="94">
        <v>0.0</v>
      </c>
      <c r="D71" s="94">
        <v>0.0</v>
      </c>
      <c r="E71" s="96">
        <f t="shared" si="52"/>
        <v>0</v>
      </c>
      <c r="F71" s="94">
        <v>0.0</v>
      </c>
      <c r="G71" s="94">
        <v>0.0</v>
      </c>
      <c r="H71" s="94">
        <v>0.0</v>
      </c>
      <c r="I71" s="94">
        <v>0.0</v>
      </c>
      <c r="J71" s="95">
        <f t="shared" si="43"/>
        <v>0</v>
      </c>
      <c r="K71" s="87" t="str">
        <f t="shared" si="44"/>
        <v>#DIV/0!</v>
      </c>
      <c r="L71" s="94">
        <v>0.0</v>
      </c>
      <c r="M71" s="94">
        <v>0.0</v>
      </c>
      <c r="N71" s="85">
        <v>0.0</v>
      </c>
      <c r="O71" s="110">
        <f t="shared" si="51"/>
        <v>0</v>
      </c>
      <c r="P71" s="94">
        <v>0.0</v>
      </c>
      <c r="Q71" s="94">
        <v>0.0</v>
      </c>
      <c r="R71" s="94">
        <v>0.0</v>
      </c>
      <c r="S71" s="94">
        <v>0.0</v>
      </c>
      <c r="T71" s="94">
        <v>0.0</v>
      </c>
      <c r="U71" s="94">
        <v>0.0</v>
      </c>
      <c r="V71" s="94">
        <v>0.0</v>
      </c>
      <c r="W71" s="94">
        <v>0.0</v>
      </c>
      <c r="X71" s="94">
        <v>0.0</v>
      </c>
      <c r="Y71" s="94">
        <v>0.0</v>
      </c>
      <c r="Z71" s="94">
        <v>0.0</v>
      </c>
      <c r="AA71" s="94">
        <v>0.0</v>
      </c>
      <c r="AB71" s="94">
        <v>0.0</v>
      </c>
      <c r="AC71" s="94">
        <v>0.0</v>
      </c>
      <c r="AD71" s="94">
        <v>0.0</v>
      </c>
      <c r="AE71" s="94">
        <v>0.0</v>
      </c>
      <c r="AF71" s="94">
        <v>0.0</v>
      </c>
      <c r="AG71" s="94">
        <v>0.0</v>
      </c>
      <c r="AH71" s="94">
        <v>0.0</v>
      </c>
    </row>
    <row r="72" hidden="1">
      <c r="A72" s="89" t="s">
        <v>185</v>
      </c>
      <c r="B72" s="111"/>
      <c r="C72" s="111">
        <f>SUM(C66:C71)</f>
        <v>4</v>
      </c>
      <c r="D72" s="111">
        <f t="shared" ref="D72:E72" si="53">SUM(D66:D71)/4</f>
        <v>0</v>
      </c>
      <c r="E72" s="91">
        <f t="shared" si="53"/>
        <v>25</v>
      </c>
      <c r="F72" s="111">
        <f t="shared" ref="F72:G72" si="54">SUM(F66:F71)</f>
        <v>3</v>
      </c>
      <c r="G72" s="111">
        <f t="shared" si="54"/>
        <v>333</v>
      </c>
      <c r="H72" s="111"/>
      <c r="I72" s="111">
        <f>SUM(I66:I71)</f>
        <v>309</v>
      </c>
      <c r="J72" s="111">
        <f t="shared" si="43"/>
        <v>24</v>
      </c>
      <c r="K72" s="92">
        <f t="shared" si="44"/>
        <v>1.077669903</v>
      </c>
      <c r="L72" s="111">
        <f t="shared" ref="L72:M72" si="55">SUM(L66:L71)</f>
        <v>69</v>
      </c>
      <c r="M72" s="111">
        <f t="shared" si="55"/>
        <v>422</v>
      </c>
      <c r="N72" s="111"/>
      <c r="O72" s="112"/>
      <c r="P72" s="111">
        <f t="shared" ref="P72:AH72" si="56">SUM(P66:P71)</f>
        <v>16</v>
      </c>
      <c r="Q72" s="111">
        <f t="shared" si="56"/>
        <v>9</v>
      </c>
      <c r="R72" s="111">
        <f t="shared" si="56"/>
        <v>10</v>
      </c>
      <c r="S72" s="111">
        <f t="shared" si="56"/>
        <v>6</v>
      </c>
      <c r="T72" s="111">
        <f t="shared" si="56"/>
        <v>51</v>
      </c>
      <c r="U72" s="111">
        <f t="shared" si="56"/>
        <v>3</v>
      </c>
      <c r="V72" s="111">
        <f t="shared" si="56"/>
        <v>3</v>
      </c>
      <c r="W72" s="111">
        <f t="shared" si="56"/>
        <v>0</v>
      </c>
      <c r="X72" s="111">
        <f t="shared" si="56"/>
        <v>0</v>
      </c>
      <c r="Y72" s="111">
        <f t="shared" si="56"/>
        <v>0</v>
      </c>
      <c r="Z72" s="111">
        <f t="shared" si="56"/>
        <v>0</v>
      </c>
      <c r="AA72" s="111">
        <f t="shared" si="56"/>
        <v>0</v>
      </c>
      <c r="AB72" s="111">
        <f t="shared" si="56"/>
        <v>0</v>
      </c>
      <c r="AC72" s="111">
        <f t="shared" si="56"/>
        <v>9</v>
      </c>
      <c r="AD72" s="111">
        <f t="shared" si="56"/>
        <v>0</v>
      </c>
      <c r="AE72" s="111">
        <f t="shared" si="56"/>
        <v>0</v>
      </c>
      <c r="AF72" s="111">
        <f t="shared" si="56"/>
        <v>0</v>
      </c>
      <c r="AG72" s="111">
        <f t="shared" si="56"/>
        <v>0</v>
      </c>
      <c r="AH72" s="111">
        <f t="shared" si="56"/>
        <v>0</v>
      </c>
    </row>
    <row r="73">
      <c r="A73" s="104" t="s">
        <v>259</v>
      </c>
    </row>
    <row r="75" hidden="1">
      <c r="A75" s="105"/>
      <c r="F75" s="106" t="s">
        <v>251</v>
      </c>
      <c r="L75" s="107" t="s">
        <v>252</v>
      </c>
      <c r="N75" s="108" t="s">
        <v>253</v>
      </c>
    </row>
    <row r="76" hidden="1">
      <c r="A76" s="76" t="s">
        <v>148</v>
      </c>
      <c r="B76" s="76" t="s">
        <v>149</v>
      </c>
      <c r="C76" s="76" t="s">
        <v>150</v>
      </c>
      <c r="D76" s="76" t="s">
        <v>13</v>
      </c>
      <c r="E76" s="77" t="s">
        <v>151</v>
      </c>
      <c r="F76" s="78" t="s">
        <v>15</v>
      </c>
      <c r="G76" s="78" t="s">
        <v>152</v>
      </c>
      <c r="H76" s="78" t="s">
        <v>153</v>
      </c>
      <c r="I76" s="78" t="s">
        <v>154</v>
      </c>
      <c r="J76" s="78" t="s">
        <v>155</v>
      </c>
      <c r="K76" s="79" t="s">
        <v>156</v>
      </c>
      <c r="L76" s="80" t="s">
        <v>157</v>
      </c>
      <c r="M76" s="80" t="s">
        <v>158</v>
      </c>
      <c r="N76" s="81" t="s">
        <v>254</v>
      </c>
      <c r="O76" s="81" t="s">
        <v>151</v>
      </c>
      <c r="P76" s="81" t="s">
        <v>160</v>
      </c>
      <c r="Q76" s="81" t="s">
        <v>161</v>
      </c>
      <c r="R76" s="81" t="s">
        <v>162</v>
      </c>
      <c r="S76" s="81" t="s">
        <v>163</v>
      </c>
      <c r="T76" s="81" t="s">
        <v>164</v>
      </c>
      <c r="U76" s="81" t="s">
        <v>165</v>
      </c>
      <c r="V76" s="81" t="s">
        <v>166</v>
      </c>
      <c r="W76" s="81" t="s">
        <v>167</v>
      </c>
      <c r="X76" s="81" t="s">
        <v>168</v>
      </c>
      <c r="Y76" s="81" t="s">
        <v>169</v>
      </c>
      <c r="Z76" s="81" t="s">
        <v>170</v>
      </c>
      <c r="AA76" s="81" t="s">
        <v>171</v>
      </c>
      <c r="AB76" s="81" t="s">
        <v>172</v>
      </c>
      <c r="AC76" s="81" t="s">
        <v>173</v>
      </c>
      <c r="AD76" s="81" t="s">
        <v>174</v>
      </c>
      <c r="AE76" s="81" t="s">
        <v>175</v>
      </c>
      <c r="AF76" s="81" t="s">
        <v>176</v>
      </c>
      <c r="AG76" s="81" t="s">
        <v>177</v>
      </c>
      <c r="AH76" s="81" t="s">
        <v>178</v>
      </c>
    </row>
    <row r="77" hidden="1">
      <c r="A77" s="83" t="s">
        <v>20</v>
      </c>
      <c r="B77" s="84" t="s">
        <v>232</v>
      </c>
      <c r="C77" s="85">
        <v>1.0</v>
      </c>
      <c r="D77" s="85">
        <v>1.0</v>
      </c>
      <c r="E77" s="86">
        <v>17.0</v>
      </c>
      <c r="F77" s="85">
        <v>0.0</v>
      </c>
      <c r="G77" s="85">
        <v>66.0</v>
      </c>
      <c r="H77" s="85">
        <v>3.0</v>
      </c>
      <c r="I77" s="85">
        <v>45.0</v>
      </c>
      <c r="J77" s="95">
        <f t="shared" ref="J77:J90" si="57">SUM(G77-I77)</f>
        <v>21</v>
      </c>
      <c r="K77" s="87">
        <f t="shared" ref="K77:K90" si="58">SUM(G77/I77)</f>
        <v>1.466666667</v>
      </c>
      <c r="L77" s="85">
        <v>19.0</v>
      </c>
      <c r="M77" s="85">
        <v>85.0</v>
      </c>
      <c r="N77" s="85">
        <v>1.0</v>
      </c>
      <c r="O77" s="110">
        <f t="shared" ref="O77:O82" si="59">(E77*N77)</f>
        <v>17</v>
      </c>
      <c r="P77" s="85">
        <v>1.0</v>
      </c>
      <c r="Q77" s="85">
        <v>0.0</v>
      </c>
      <c r="R77" s="85">
        <v>5.0</v>
      </c>
      <c r="S77" s="94">
        <v>0.0</v>
      </c>
      <c r="T77" s="85">
        <v>12.0</v>
      </c>
      <c r="U77" s="85">
        <v>2.0</v>
      </c>
      <c r="V77" s="94">
        <v>0.0</v>
      </c>
      <c r="W77" s="94">
        <v>0.0</v>
      </c>
      <c r="X77" s="94">
        <v>0.0</v>
      </c>
      <c r="Y77" s="94">
        <v>0.0</v>
      </c>
      <c r="Z77" s="94">
        <v>0.0</v>
      </c>
      <c r="AA77" s="94">
        <v>0.0</v>
      </c>
      <c r="AB77" s="94">
        <v>0.0</v>
      </c>
      <c r="AC77" s="85">
        <v>2.0</v>
      </c>
      <c r="AD77" s="94">
        <v>0.0</v>
      </c>
      <c r="AE77" s="94">
        <v>0.0</v>
      </c>
      <c r="AF77" s="94">
        <v>0.0</v>
      </c>
      <c r="AG77" s="94">
        <v>0.0</v>
      </c>
      <c r="AH77" s="94">
        <v>0.0</v>
      </c>
    </row>
    <row r="78" hidden="1">
      <c r="A78" s="83" t="s">
        <v>20</v>
      </c>
      <c r="B78" s="84" t="s">
        <v>233</v>
      </c>
      <c r="C78" s="85">
        <v>1.0</v>
      </c>
      <c r="D78" s="85">
        <v>1.0</v>
      </c>
      <c r="E78" s="86">
        <v>17.0</v>
      </c>
      <c r="F78" s="94">
        <v>0.0</v>
      </c>
      <c r="G78" s="85">
        <v>71.0</v>
      </c>
      <c r="H78" s="94">
        <v>0.0</v>
      </c>
      <c r="I78" s="85">
        <v>62.0</v>
      </c>
      <c r="J78" s="95">
        <f t="shared" si="57"/>
        <v>9</v>
      </c>
      <c r="K78" s="87">
        <f t="shared" si="58"/>
        <v>1.14516129</v>
      </c>
      <c r="L78" s="85">
        <v>13.0</v>
      </c>
      <c r="M78" s="85">
        <v>90.0</v>
      </c>
      <c r="N78" s="85">
        <v>1.0</v>
      </c>
      <c r="O78" s="110">
        <f t="shared" si="59"/>
        <v>17</v>
      </c>
      <c r="P78" s="85">
        <v>2.0</v>
      </c>
      <c r="Q78" s="85">
        <v>0.0</v>
      </c>
      <c r="R78" s="85">
        <v>2.0</v>
      </c>
      <c r="S78" s="85">
        <v>2.0</v>
      </c>
      <c r="T78" s="85">
        <v>10.0</v>
      </c>
      <c r="U78" s="85">
        <v>3.0</v>
      </c>
      <c r="V78" s="85">
        <v>1.0</v>
      </c>
      <c r="W78" s="85">
        <v>1.0</v>
      </c>
      <c r="X78" s="85">
        <v>1.0</v>
      </c>
      <c r="Y78" s="94">
        <v>0.0</v>
      </c>
      <c r="Z78" s="94">
        <v>0.0</v>
      </c>
      <c r="AA78" s="94">
        <v>0.0</v>
      </c>
      <c r="AB78" s="94">
        <v>0.0</v>
      </c>
      <c r="AC78" s="85">
        <v>3.0</v>
      </c>
      <c r="AD78" s="94">
        <v>0.0</v>
      </c>
      <c r="AE78" s="94">
        <v>0.0</v>
      </c>
      <c r="AF78" s="94">
        <v>0.0</v>
      </c>
      <c r="AG78" s="94">
        <v>0.0</v>
      </c>
      <c r="AH78" s="94">
        <v>0.0</v>
      </c>
    </row>
    <row r="79" hidden="1">
      <c r="A79" s="83" t="s">
        <v>20</v>
      </c>
      <c r="B79" s="84" t="s">
        <v>234</v>
      </c>
      <c r="C79" s="85">
        <v>1.0</v>
      </c>
      <c r="D79" s="85">
        <v>1.0</v>
      </c>
      <c r="E79" s="86">
        <v>17.0</v>
      </c>
      <c r="F79" s="94">
        <v>0.0</v>
      </c>
      <c r="G79" s="85">
        <v>57.0</v>
      </c>
      <c r="H79" s="85">
        <v>1.0</v>
      </c>
      <c r="I79" s="85">
        <v>44.0</v>
      </c>
      <c r="J79" s="95">
        <f t="shared" si="57"/>
        <v>13</v>
      </c>
      <c r="K79" s="87">
        <f t="shared" si="58"/>
        <v>1.295454545</v>
      </c>
      <c r="L79" s="85">
        <v>19.0</v>
      </c>
      <c r="M79" s="85">
        <v>76.0</v>
      </c>
      <c r="N79" s="85">
        <v>1.0</v>
      </c>
      <c r="O79" s="110">
        <f t="shared" si="59"/>
        <v>17</v>
      </c>
      <c r="P79" s="85">
        <v>4.0</v>
      </c>
      <c r="Q79" s="85">
        <v>2.0</v>
      </c>
      <c r="R79" s="85">
        <v>2.0</v>
      </c>
      <c r="S79" s="85">
        <v>3.0</v>
      </c>
      <c r="T79" s="85">
        <v>12.0</v>
      </c>
      <c r="U79" s="85">
        <v>4.0</v>
      </c>
      <c r="V79" s="94">
        <v>0.0</v>
      </c>
      <c r="W79" s="94">
        <v>0.0</v>
      </c>
      <c r="X79" s="94">
        <v>0.0</v>
      </c>
      <c r="Y79" s="94">
        <v>0.0</v>
      </c>
      <c r="Z79" s="94">
        <v>0.0</v>
      </c>
      <c r="AA79" s="94">
        <v>0.0</v>
      </c>
      <c r="AB79" s="94">
        <v>0.0</v>
      </c>
      <c r="AC79" s="85">
        <v>1.0</v>
      </c>
      <c r="AD79" s="94">
        <v>0.0</v>
      </c>
      <c r="AE79" s="94">
        <v>0.0</v>
      </c>
      <c r="AF79" s="94">
        <v>0.0</v>
      </c>
      <c r="AG79" s="94">
        <v>0.0</v>
      </c>
      <c r="AH79" s="94">
        <v>0.0</v>
      </c>
    </row>
    <row r="80" hidden="1">
      <c r="A80" s="83" t="s">
        <v>20</v>
      </c>
      <c r="B80" s="84" t="s">
        <v>235</v>
      </c>
      <c r="C80" s="85">
        <v>1.0</v>
      </c>
      <c r="D80" s="85">
        <v>1.0</v>
      </c>
      <c r="E80" s="86">
        <v>17.0</v>
      </c>
      <c r="F80" s="85">
        <v>5.0</v>
      </c>
      <c r="G80" s="85">
        <v>30.0</v>
      </c>
      <c r="H80" s="94">
        <v>0.0</v>
      </c>
      <c r="I80" s="85">
        <v>47.0</v>
      </c>
      <c r="J80" s="95">
        <f t="shared" si="57"/>
        <v>-17</v>
      </c>
      <c r="K80" s="87">
        <f t="shared" si="58"/>
        <v>0.6382978723</v>
      </c>
      <c r="L80" s="85">
        <v>18.0</v>
      </c>
      <c r="M80" s="85">
        <v>43.0</v>
      </c>
      <c r="N80" s="85">
        <v>1.0</v>
      </c>
      <c r="O80" s="110">
        <f t="shared" si="59"/>
        <v>17</v>
      </c>
      <c r="P80" s="85">
        <v>4.0</v>
      </c>
      <c r="Q80" s="85">
        <v>0.0</v>
      </c>
      <c r="R80" s="94">
        <v>0.0</v>
      </c>
      <c r="S80" s="94">
        <v>0.0</v>
      </c>
      <c r="T80" s="85">
        <v>5.0</v>
      </c>
      <c r="U80" s="94">
        <v>0.0</v>
      </c>
      <c r="V80" s="94">
        <v>0.0</v>
      </c>
      <c r="W80" s="94">
        <v>0.0</v>
      </c>
      <c r="X80" s="94">
        <v>0.0</v>
      </c>
      <c r="Y80" s="94">
        <v>0.0</v>
      </c>
      <c r="Z80" s="94">
        <v>0.0</v>
      </c>
      <c r="AA80" s="94">
        <v>0.0</v>
      </c>
      <c r="AB80" s="94">
        <v>0.0</v>
      </c>
      <c r="AC80" s="94">
        <v>0.0</v>
      </c>
      <c r="AD80" s="94">
        <v>0.0</v>
      </c>
      <c r="AE80" s="94">
        <v>0.0</v>
      </c>
      <c r="AF80" s="94">
        <v>0.0</v>
      </c>
      <c r="AG80" s="94">
        <v>0.0</v>
      </c>
      <c r="AH80" s="94">
        <v>0.0</v>
      </c>
    </row>
    <row r="81" hidden="1">
      <c r="A81" s="83" t="s">
        <v>20</v>
      </c>
      <c r="B81" s="84" t="s">
        <v>236</v>
      </c>
      <c r="C81" s="94">
        <v>0.0</v>
      </c>
      <c r="D81" s="94">
        <v>0.0</v>
      </c>
      <c r="E81" s="96">
        <f t="shared" ref="E81:E82" si="60">SUM(L81*I81)/60</f>
        <v>0</v>
      </c>
      <c r="F81" s="94">
        <v>0.0</v>
      </c>
      <c r="G81" s="94">
        <v>0.0</v>
      </c>
      <c r="H81" s="94">
        <v>0.0</v>
      </c>
      <c r="I81" s="94">
        <v>0.0</v>
      </c>
      <c r="J81" s="95">
        <f t="shared" si="57"/>
        <v>0</v>
      </c>
      <c r="K81" s="87" t="str">
        <f t="shared" si="58"/>
        <v>#DIV/0!</v>
      </c>
      <c r="L81" s="94">
        <v>0.0</v>
      </c>
      <c r="M81" s="94">
        <v>0.0</v>
      </c>
      <c r="N81" s="85">
        <v>0.0</v>
      </c>
      <c r="O81" s="110">
        <f t="shared" si="59"/>
        <v>0</v>
      </c>
      <c r="P81" s="94">
        <v>0.0</v>
      </c>
      <c r="Q81" s="94">
        <v>0.0</v>
      </c>
      <c r="R81" s="94">
        <v>0.0</v>
      </c>
      <c r="S81" s="94">
        <v>0.0</v>
      </c>
      <c r="T81" s="94">
        <v>0.0</v>
      </c>
      <c r="U81" s="94">
        <v>0.0</v>
      </c>
      <c r="V81" s="94">
        <v>0.0</v>
      </c>
      <c r="W81" s="94">
        <v>0.0</v>
      </c>
      <c r="X81" s="94">
        <v>0.0</v>
      </c>
      <c r="Y81" s="94">
        <v>0.0</v>
      </c>
      <c r="Z81" s="94">
        <v>0.0</v>
      </c>
      <c r="AA81" s="94">
        <v>0.0</v>
      </c>
      <c r="AB81" s="94">
        <v>0.0</v>
      </c>
      <c r="AC81" s="94">
        <v>0.0</v>
      </c>
      <c r="AD81" s="94">
        <v>0.0</v>
      </c>
      <c r="AE81" s="94">
        <v>0.0</v>
      </c>
      <c r="AF81" s="94">
        <v>0.0</v>
      </c>
      <c r="AG81" s="94">
        <v>0.0</v>
      </c>
      <c r="AH81" s="94">
        <v>0.0</v>
      </c>
    </row>
    <row r="82" hidden="1">
      <c r="A82" s="83" t="s">
        <v>20</v>
      </c>
      <c r="B82" s="93"/>
      <c r="C82" s="94">
        <v>0.0</v>
      </c>
      <c r="D82" s="94">
        <v>0.0</v>
      </c>
      <c r="E82" s="96">
        <f t="shared" si="60"/>
        <v>0</v>
      </c>
      <c r="F82" s="94">
        <v>0.0</v>
      </c>
      <c r="G82" s="94">
        <v>0.0</v>
      </c>
      <c r="H82" s="94">
        <v>0.0</v>
      </c>
      <c r="I82" s="94">
        <v>0.0</v>
      </c>
      <c r="J82" s="95">
        <f t="shared" si="57"/>
        <v>0</v>
      </c>
      <c r="K82" s="87" t="str">
        <f t="shared" si="58"/>
        <v>#DIV/0!</v>
      </c>
      <c r="L82" s="94">
        <v>0.0</v>
      </c>
      <c r="M82" s="94">
        <v>0.0</v>
      </c>
      <c r="N82" s="85">
        <v>0.0</v>
      </c>
      <c r="O82" s="110">
        <f t="shared" si="59"/>
        <v>0</v>
      </c>
      <c r="P82" s="94">
        <v>0.0</v>
      </c>
      <c r="Q82" s="94">
        <v>0.0</v>
      </c>
      <c r="R82" s="94">
        <v>0.0</v>
      </c>
      <c r="S82" s="94">
        <v>0.0</v>
      </c>
      <c r="T82" s="94">
        <v>0.0</v>
      </c>
      <c r="U82" s="94">
        <v>0.0</v>
      </c>
      <c r="V82" s="94">
        <v>0.0</v>
      </c>
      <c r="W82" s="94">
        <v>0.0</v>
      </c>
      <c r="X82" s="94">
        <v>0.0</v>
      </c>
      <c r="Y82" s="94">
        <v>0.0</v>
      </c>
      <c r="Z82" s="94">
        <v>0.0</v>
      </c>
      <c r="AA82" s="94">
        <v>0.0</v>
      </c>
      <c r="AB82" s="94">
        <v>0.0</v>
      </c>
      <c r="AC82" s="94">
        <v>0.0</v>
      </c>
      <c r="AD82" s="94">
        <v>0.0</v>
      </c>
      <c r="AE82" s="94">
        <v>0.0</v>
      </c>
      <c r="AF82" s="94">
        <v>0.0</v>
      </c>
      <c r="AG82" s="94">
        <v>0.0</v>
      </c>
      <c r="AH82" s="94">
        <v>0.0</v>
      </c>
    </row>
    <row r="83" hidden="1">
      <c r="A83" s="89"/>
      <c r="B83" s="111"/>
      <c r="C83" s="111">
        <f t="shared" ref="C83:D83" si="61">SUM(C77:C82)/4</f>
        <v>1</v>
      </c>
      <c r="D83" s="111">
        <f t="shared" si="61"/>
        <v>1</v>
      </c>
      <c r="E83" s="91">
        <f t="shared" ref="E83:G83" si="62">SUM(E77:E82)</f>
        <v>68</v>
      </c>
      <c r="F83" s="111">
        <f t="shared" si="62"/>
        <v>5</v>
      </c>
      <c r="G83" s="111">
        <f t="shared" si="62"/>
        <v>224</v>
      </c>
      <c r="H83" s="111"/>
      <c r="I83" s="111">
        <f>SUM(I77:I82)</f>
        <v>198</v>
      </c>
      <c r="J83" s="111">
        <f t="shared" si="57"/>
        <v>26</v>
      </c>
      <c r="K83" s="92">
        <f t="shared" si="58"/>
        <v>1.131313131</v>
      </c>
      <c r="L83" s="111">
        <f t="shared" ref="L83:M83" si="63">SUM(L77:L82)</f>
        <v>69</v>
      </c>
      <c r="M83" s="111">
        <f t="shared" si="63"/>
        <v>294</v>
      </c>
      <c r="N83" s="111"/>
      <c r="O83" s="112"/>
      <c r="P83" s="111">
        <f t="shared" ref="P83:AH83" si="64">SUM(P77:P82)</f>
        <v>11</v>
      </c>
      <c r="Q83" s="111">
        <f t="shared" si="64"/>
        <v>2</v>
      </c>
      <c r="R83" s="111">
        <f t="shared" si="64"/>
        <v>9</v>
      </c>
      <c r="S83" s="111">
        <f t="shared" si="64"/>
        <v>5</v>
      </c>
      <c r="T83" s="111">
        <f t="shared" si="64"/>
        <v>39</v>
      </c>
      <c r="U83" s="111">
        <f t="shared" si="64"/>
        <v>9</v>
      </c>
      <c r="V83" s="111">
        <f t="shared" si="64"/>
        <v>1</v>
      </c>
      <c r="W83" s="111">
        <f t="shared" si="64"/>
        <v>1</v>
      </c>
      <c r="X83" s="111">
        <f t="shared" si="64"/>
        <v>1</v>
      </c>
      <c r="Y83" s="111">
        <f t="shared" si="64"/>
        <v>0</v>
      </c>
      <c r="Z83" s="111">
        <f t="shared" si="64"/>
        <v>0</v>
      </c>
      <c r="AA83" s="111">
        <f t="shared" si="64"/>
        <v>0</v>
      </c>
      <c r="AB83" s="111">
        <f t="shared" si="64"/>
        <v>0</v>
      </c>
      <c r="AC83" s="111">
        <f t="shared" si="64"/>
        <v>6</v>
      </c>
      <c r="AD83" s="111">
        <f t="shared" si="64"/>
        <v>0</v>
      </c>
      <c r="AE83" s="111">
        <f t="shared" si="64"/>
        <v>0</v>
      </c>
      <c r="AF83" s="111">
        <f t="shared" si="64"/>
        <v>0</v>
      </c>
      <c r="AG83" s="111">
        <f t="shared" si="64"/>
        <v>0</v>
      </c>
      <c r="AH83" s="111">
        <f t="shared" si="64"/>
        <v>0</v>
      </c>
    </row>
    <row r="84" hidden="1">
      <c r="A84" s="83" t="s">
        <v>53</v>
      </c>
      <c r="B84" s="84" t="s">
        <v>192</v>
      </c>
      <c r="C84" s="85">
        <v>1.0</v>
      </c>
      <c r="D84" s="94">
        <v>0.0</v>
      </c>
      <c r="E84" s="86">
        <v>17.0</v>
      </c>
      <c r="F84" s="94">
        <v>0.0</v>
      </c>
      <c r="G84" s="85">
        <v>42.0</v>
      </c>
      <c r="H84" s="94">
        <v>0.0</v>
      </c>
      <c r="I84" s="85">
        <v>51.0</v>
      </c>
      <c r="J84" s="95">
        <f t="shared" si="57"/>
        <v>-9</v>
      </c>
      <c r="K84" s="87">
        <f t="shared" si="58"/>
        <v>0.8235294118</v>
      </c>
      <c r="L84" s="85">
        <v>16.0</v>
      </c>
      <c r="M84" s="85">
        <v>52.0</v>
      </c>
      <c r="N84" s="85">
        <v>1.0</v>
      </c>
      <c r="O84" s="110">
        <f t="shared" ref="O84:O89" si="65">(E84*N84)</f>
        <v>17</v>
      </c>
      <c r="P84" s="85">
        <v>2.0</v>
      </c>
      <c r="Q84" s="85">
        <v>1.0</v>
      </c>
      <c r="R84" s="85">
        <v>1.0</v>
      </c>
      <c r="S84" s="85">
        <v>2.0</v>
      </c>
      <c r="T84" s="85">
        <v>5.0</v>
      </c>
      <c r="U84" s="94">
        <v>0.0</v>
      </c>
      <c r="V84" s="94">
        <v>0.0</v>
      </c>
      <c r="W84" s="94">
        <v>0.0</v>
      </c>
      <c r="X84" s="94">
        <v>0.0</v>
      </c>
      <c r="Y84" s="94">
        <v>0.0</v>
      </c>
      <c r="Z84" s="94">
        <v>0.0</v>
      </c>
      <c r="AA84" s="94">
        <v>0.0</v>
      </c>
      <c r="AB84" s="94">
        <v>0.0</v>
      </c>
      <c r="AC84" s="85">
        <v>2.0</v>
      </c>
      <c r="AD84" s="94">
        <v>0.0</v>
      </c>
      <c r="AE84" s="94">
        <v>0.0</v>
      </c>
      <c r="AF84" s="94">
        <v>0.0</v>
      </c>
      <c r="AG84" s="94">
        <v>0.0</v>
      </c>
      <c r="AH84" s="94">
        <v>0.0</v>
      </c>
    </row>
    <row r="85" hidden="1">
      <c r="A85" s="83" t="s">
        <v>53</v>
      </c>
      <c r="B85" s="84" t="s">
        <v>193</v>
      </c>
      <c r="C85" s="85">
        <v>1.0</v>
      </c>
      <c r="D85" s="94">
        <v>0.0</v>
      </c>
      <c r="E85" s="86">
        <v>17.0</v>
      </c>
      <c r="F85" s="94">
        <v>0.0</v>
      </c>
      <c r="G85" s="85">
        <v>66.0</v>
      </c>
      <c r="H85" s="94">
        <v>0.0</v>
      </c>
      <c r="I85" s="85">
        <v>61.0</v>
      </c>
      <c r="J85" s="95">
        <f t="shared" si="57"/>
        <v>5</v>
      </c>
      <c r="K85" s="87">
        <f t="shared" si="58"/>
        <v>1.081967213</v>
      </c>
      <c r="L85" s="85">
        <v>13.0</v>
      </c>
      <c r="M85" s="85">
        <v>88.0</v>
      </c>
      <c r="N85" s="85">
        <v>1.0</v>
      </c>
      <c r="O85" s="110">
        <f t="shared" si="65"/>
        <v>17</v>
      </c>
      <c r="P85" s="85">
        <v>1.0</v>
      </c>
      <c r="Q85" s="85">
        <v>2.0</v>
      </c>
      <c r="R85" s="85">
        <v>3.0</v>
      </c>
      <c r="S85" s="85">
        <v>2.0</v>
      </c>
      <c r="T85" s="85">
        <v>14.0</v>
      </c>
      <c r="U85" s="85">
        <v>5.0</v>
      </c>
      <c r="V85" s="94">
        <v>0.0</v>
      </c>
      <c r="W85" s="94">
        <v>0.0</v>
      </c>
      <c r="X85" s="94">
        <v>0.0</v>
      </c>
      <c r="Y85" s="94">
        <v>0.0</v>
      </c>
      <c r="Z85" s="94">
        <v>0.0</v>
      </c>
      <c r="AA85" s="94">
        <v>0.0</v>
      </c>
      <c r="AB85" s="94">
        <v>0.0</v>
      </c>
      <c r="AC85" s="85">
        <v>2.0</v>
      </c>
      <c r="AD85" s="94">
        <v>0.0</v>
      </c>
      <c r="AE85" s="94">
        <v>0.0</v>
      </c>
      <c r="AF85" s="94">
        <v>0.0</v>
      </c>
      <c r="AG85" s="94">
        <v>0.0</v>
      </c>
      <c r="AH85" s="94">
        <v>0.0</v>
      </c>
    </row>
    <row r="86" hidden="1">
      <c r="A86" s="83" t="s">
        <v>53</v>
      </c>
      <c r="B86" s="84" t="s">
        <v>194</v>
      </c>
      <c r="C86" s="85">
        <v>1.0</v>
      </c>
      <c r="D86" s="94">
        <v>0.0</v>
      </c>
      <c r="E86" s="86">
        <v>17.0</v>
      </c>
      <c r="F86" s="94">
        <v>0.0</v>
      </c>
      <c r="G86" s="85">
        <v>36.0</v>
      </c>
      <c r="H86" s="94">
        <v>0.0</v>
      </c>
      <c r="I86" s="85">
        <v>73.0</v>
      </c>
      <c r="J86" s="95">
        <f t="shared" si="57"/>
        <v>-37</v>
      </c>
      <c r="K86" s="87">
        <f t="shared" si="58"/>
        <v>0.4931506849</v>
      </c>
      <c r="L86" s="85">
        <v>10.0</v>
      </c>
      <c r="M86" s="85">
        <v>46.0</v>
      </c>
      <c r="N86" s="85">
        <v>1.0</v>
      </c>
      <c r="O86" s="110">
        <f t="shared" si="65"/>
        <v>17</v>
      </c>
      <c r="P86" s="85">
        <v>2.0</v>
      </c>
      <c r="Q86" s="85">
        <v>2.0</v>
      </c>
      <c r="R86" s="94">
        <v>0.0</v>
      </c>
      <c r="S86" s="85">
        <v>2.0</v>
      </c>
      <c r="T86" s="85">
        <v>5.0</v>
      </c>
      <c r="U86" s="85">
        <v>1.0</v>
      </c>
      <c r="V86" s="94">
        <v>0.0</v>
      </c>
      <c r="W86" s="94">
        <v>0.0</v>
      </c>
      <c r="X86" s="94">
        <v>0.0</v>
      </c>
      <c r="Y86" s="94">
        <v>0.0</v>
      </c>
      <c r="Z86" s="94">
        <v>0.0</v>
      </c>
      <c r="AA86" s="94">
        <v>0.0</v>
      </c>
      <c r="AB86" s="94">
        <v>0.0</v>
      </c>
      <c r="AC86" s="94">
        <v>0.0</v>
      </c>
      <c r="AD86" s="94">
        <v>0.0</v>
      </c>
      <c r="AE86" s="94">
        <v>0.0</v>
      </c>
      <c r="AF86" s="94">
        <v>0.0</v>
      </c>
      <c r="AG86" s="94">
        <v>0.0</v>
      </c>
      <c r="AH86" s="94">
        <v>0.0</v>
      </c>
    </row>
    <row r="87" hidden="1">
      <c r="A87" s="83" t="s">
        <v>53</v>
      </c>
      <c r="B87" s="84" t="s">
        <v>195</v>
      </c>
      <c r="C87" s="85">
        <v>1.0</v>
      </c>
      <c r="D87" s="94">
        <v>0.0</v>
      </c>
      <c r="E87" s="86">
        <v>17.0</v>
      </c>
      <c r="F87" s="94">
        <v>0.0</v>
      </c>
      <c r="G87" s="85">
        <v>52.0</v>
      </c>
      <c r="H87" s="85">
        <v>1.0</v>
      </c>
      <c r="I87" s="85">
        <v>45.0</v>
      </c>
      <c r="J87" s="95">
        <f t="shared" si="57"/>
        <v>7</v>
      </c>
      <c r="K87" s="87">
        <f t="shared" si="58"/>
        <v>1.155555556</v>
      </c>
      <c r="L87" s="85">
        <v>19.0</v>
      </c>
      <c r="M87" s="85">
        <v>72.0</v>
      </c>
      <c r="N87" s="85">
        <v>1.0</v>
      </c>
      <c r="O87" s="110">
        <f t="shared" si="65"/>
        <v>17</v>
      </c>
      <c r="P87" s="85">
        <v>2.0</v>
      </c>
      <c r="Q87" s="85">
        <v>2.0</v>
      </c>
      <c r="R87" s="85">
        <v>5.0</v>
      </c>
      <c r="S87" s="94">
        <v>0.0</v>
      </c>
      <c r="T87" s="85">
        <v>10.0</v>
      </c>
      <c r="U87" s="85">
        <v>2.0</v>
      </c>
      <c r="V87" s="94">
        <v>0.0</v>
      </c>
      <c r="W87" s="94">
        <v>0.0</v>
      </c>
      <c r="X87" s="94">
        <v>0.0</v>
      </c>
      <c r="Y87" s="94">
        <v>0.0</v>
      </c>
      <c r="Z87" s="94">
        <v>0.0</v>
      </c>
      <c r="AA87" s="94">
        <v>0.0</v>
      </c>
      <c r="AB87" s="94">
        <v>0.0</v>
      </c>
      <c r="AC87" s="85">
        <v>1.0</v>
      </c>
      <c r="AD87" s="94">
        <v>0.0</v>
      </c>
      <c r="AE87" s="94">
        <v>0.0</v>
      </c>
      <c r="AF87" s="94">
        <v>0.0</v>
      </c>
      <c r="AG87" s="94">
        <v>0.0</v>
      </c>
      <c r="AH87" s="94">
        <v>0.0</v>
      </c>
    </row>
    <row r="88" hidden="1">
      <c r="A88" s="83" t="s">
        <v>53</v>
      </c>
      <c r="B88" s="84" t="s">
        <v>196</v>
      </c>
      <c r="C88" s="94">
        <v>0.0</v>
      </c>
      <c r="D88" s="94">
        <v>0.0</v>
      </c>
      <c r="E88" s="96">
        <f t="shared" ref="E88:E89" si="66">SUM(L88*I88)/60</f>
        <v>0</v>
      </c>
      <c r="F88" s="94">
        <v>0.0</v>
      </c>
      <c r="G88" s="94">
        <v>0.0</v>
      </c>
      <c r="H88" s="94">
        <v>0.0</v>
      </c>
      <c r="I88" s="94">
        <v>0.0</v>
      </c>
      <c r="J88" s="95">
        <f t="shared" si="57"/>
        <v>0</v>
      </c>
      <c r="K88" s="87" t="str">
        <f t="shared" si="58"/>
        <v>#DIV/0!</v>
      </c>
      <c r="L88" s="94">
        <v>0.0</v>
      </c>
      <c r="M88" s="94">
        <v>0.0</v>
      </c>
      <c r="N88" s="85">
        <v>0.0</v>
      </c>
      <c r="O88" s="110">
        <f t="shared" si="65"/>
        <v>0</v>
      </c>
      <c r="P88" s="94">
        <v>0.0</v>
      </c>
      <c r="Q88" s="94">
        <v>0.0</v>
      </c>
      <c r="R88" s="94">
        <v>0.0</v>
      </c>
      <c r="S88" s="94">
        <v>0.0</v>
      </c>
      <c r="T88" s="94">
        <v>0.0</v>
      </c>
      <c r="U88" s="94">
        <v>0.0</v>
      </c>
      <c r="V88" s="94">
        <v>0.0</v>
      </c>
      <c r="W88" s="94">
        <v>0.0</v>
      </c>
      <c r="X88" s="94">
        <v>0.0</v>
      </c>
      <c r="Y88" s="94">
        <v>0.0</v>
      </c>
      <c r="Z88" s="94">
        <v>0.0</v>
      </c>
      <c r="AA88" s="94">
        <v>0.0</v>
      </c>
      <c r="AB88" s="94">
        <v>0.0</v>
      </c>
      <c r="AC88" s="94">
        <v>0.0</v>
      </c>
      <c r="AD88" s="94">
        <v>0.0</v>
      </c>
      <c r="AE88" s="94">
        <v>0.0</v>
      </c>
      <c r="AF88" s="94">
        <v>0.0</v>
      </c>
      <c r="AG88" s="94">
        <v>0.0</v>
      </c>
      <c r="AH88" s="94">
        <v>0.0</v>
      </c>
    </row>
    <row r="89" hidden="1">
      <c r="A89" s="83" t="s">
        <v>53</v>
      </c>
      <c r="B89" s="93"/>
      <c r="C89" s="94">
        <v>0.0</v>
      </c>
      <c r="D89" s="94">
        <v>0.0</v>
      </c>
      <c r="E89" s="96">
        <f t="shared" si="66"/>
        <v>0</v>
      </c>
      <c r="F89" s="94">
        <v>0.0</v>
      </c>
      <c r="G89" s="94">
        <v>0.0</v>
      </c>
      <c r="H89" s="94">
        <v>0.0</v>
      </c>
      <c r="I89" s="94">
        <v>0.0</v>
      </c>
      <c r="J89" s="95">
        <f t="shared" si="57"/>
        <v>0</v>
      </c>
      <c r="K89" s="87" t="str">
        <f t="shared" si="58"/>
        <v>#DIV/0!</v>
      </c>
      <c r="L89" s="94">
        <v>0.0</v>
      </c>
      <c r="M89" s="94">
        <v>0.0</v>
      </c>
      <c r="N89" s="85">
        <v>0.0</v>
      </c>
      <c r="O89" s="110">
        <f t="shared" si="65"/>
        <v>0</v>
      </c>
      <c r="P89" s="94">
        <v>0.0</v>
      </c>
      <c r="Q89" s="94">
        <v>0.0</v>
      </c>
      <c r="R89" s="94">
        <v>0.0</v>
      </c>
      <c r="S89" s="94">
        <v>0.0</v>
      </c>
      <c r="T89" s="94">
        <v>0.0</v>
      </c>
      <c r="U89" s="94">
        <v>0.0</v>
      </c>
      <c r="V89" s="94">
        <v>0.0</v>
      </c>
      <c r="W89" s="94">
        <v>0.0</v>
      </c>
      <c r="X89" s="94">
        <v>0.0</v>
      </c>
      <c r="Y89" s="94">
        <v>0.0</v>
      </c>
      <c r="Z89" s="94">
        <v>0.0</v>
      </c>
      <c r="AA89" s="94">
        <v>0.0</v>
      </c>
      <c r="AB89" s="94">
        <v>0.0</v>
      </c>
      <c r="AC89" s="94">
        <v>0.0</v>
      </c>
      <c r="AD89" s="94">
        <v>0.0</v>
      </c>
      <c r="AE89" s="94">
        <v>0.0</v>
      </c>
      <c r="AF89" s="94">
        <v>0.0</v>
      </c>
      <c r="AG89" s="94">
        <v>0.0</v>
      </c>
      <c r="AH89" s="94">
        <v>0.0</v>
      </c>
    </row>
    <row r="90" hidden="1">
      <c r="A90" s="89" t="s">
        <v>185</v>
      </c>
      <c r="B90" s="111"/>
      <c r="C90" s="111">
        <f>SUM(C84:C89)</f>
        <v>4</v>
      </c>
      <c r="D90" s="111">
        <f t="shared" ref="D90:E90" si="67">SUM(D84:D89)/4</f>
        <v>0</v>
      </c>
      <c r="E90" s="91">
        <f t="shared" si="67"/>
        <v>17</v>
      </c>
      <c r="F90" s="111">
        <f t="shared" ref="F90:G90" si="68">SUM(F84:F89)</f>
        <v>0</v>
      </c>
      <c r="G90" s="111">
        <f t="shared" si="68"/>
        <v>196</v>
      </c>
      <c r="H90" s="111"/>
      <c r="I90" s="111">
        <f>SUM(I84:I89)</f>
        <v>230</v>
      </c>
      <c r="J90" s="111">
        <f t="shared" si="57"/>
        <v>-34</v>
      </c>
      <c r="K90" s="92">
        <f t="shared" si="58"/>
        <v>0.852173913</v>
      </c>
      <c r="L90" s="111">
        <f t="shared" ref="L90:M90" si="69">SUM(L84:L89)</f>
        <v>58</v>
      </c>
      <c r="M90" s="111">
        <f t="shared" si="69"/>
        <v>258</v>
      </c>
      <c r="N90" s="111"/>
      <c r="O90" s="112"/>
      <c r="P90" s="111">
        <f t="shared" ref="P90:AH90" si="70">SUM(P84:P89)</f>
        <v>7</v>
      </c>
      <c r="Q90" s="111">
        <f t="shared" si="70"/>
        <v>7</v>
      </c>
      <c r="R90" s="111">
        <f t="shared" si="70"/>
        <v>9</v>
      </c>
      <c r="S90" s="111">
        <f t="shared" si="70"/>
        <v>6</v>
      </c>
      <c r="T90" s="111">
        <f t="shared" si="70"/>
        <v>34</v>
      </c>
      <c r="U90" s="111">
        <f t="shared" si="70"/>
        <v>8</v>
      </c>
      <c r="V90" s="111">
        <f t="shared" si="70"/>
        <v>0</v>
      </c>
      <c r="W90" s="111">
        <f t="shared" si="70"/>
        <v>0</v>
      </c>
      <c r="X90" s="111">
        <f t="shared" si="70"/>
        <v>0</v>
      </c>
      <c r="Y90" s="111">
        <f t="shared" si="70"/>
        <v>0</v>
      </c>
      <c r="Z90" s="111">
        <f t="shared" si="70"/>
        <v>0</v>
      </c>
      <c r="AA90" s="111">
        <f t="shared" si="70"/>
        <v>0</v>
      </c>
      <c r="AB90" s="111">
        <f t="shared" si="70"/>
        <v>0</v>
      </c>
      <c r="AC90" s="111">
        <f t="shared" si="70"/>
        <v>5</v>
      </c>
      <c r="AD90" s="111">
        <f t="shared" si="70"/>
        <v>0</v>
      </c>
      <c r="AE90" s="111">
        <f t="shared" si="70"/>
        <v>0</v>
      </c>
      <c r="AF90" s="111">
        <f t="shared" si="70"/>
        <v>0</v>
      </c>
      <c r="AG90" s="111">
        <f t="shared" si="70"/>
        <v>0</v>
      </c>
      <c r="AH90" s="111">
        <f t="shared" si="70"/>
        <v>0</v>
      </c>
    </row>
    <row r="91">
      <c r="A91" s="104" t="s">
        <v>260</v>
      </c>
    </row>
    <row r="93" hidden="1">
      <c r="A93" s="105"/>
      <c r="F93" s="106" t="s">
        <v>251</v>
      </c>
      <c r="L93" s="107" t="s">
        <v>252</v>
      </c>
      <c r="N93" s="108" t="s">
        <v>253</v>
      </c>
    </row>
    <row r="94" hidden="1">
      <c r="A94" s="76" t="s">
        <v>148</v>
      </c>
      <c r="B94" s="76" t="s">
        <v>149</v>
      </c>
      <c r="C94" s="76" t="s">
        <v>150</v>
      </c>
      <c r="D94" s="76" t="s">
        <v>13</v>
      </c>
      <c r="E94" s="77" t="s">
        <v>151</v>
      </c>
      <c r="F94" s="78" t="s">
        <v>15</v>
      </c>
      <c r="G94" s="78" t="s">
        <v>152</v>
      </c>
      <c r="H94" s="78" t="s">
        <v>153</v>
      </c>
      <c r="I94" s="78" t="s">
        <v>154</v>
      </c>
      <c r="J94" s="78" t="s">
        <v>155</v>
      </c>
      <c r="K94" s="79" t="s">
        <v>156</v>
      </c>
      <c r="L94" s="80" t="s">
        <v>157</v>
      </c>
      <c r="M94" s="80" t="s">
        <v>158</v>
      </c>
      <c r="N94" s="81" t="s">
        <v>254</v>
      </c>
      <c r="O94" s="81" t="s">
        <v>151</v>
      </c>
      <c r="P94" s="81" t="s">
        <v>160</v>
      </c>
      <c r="Q94" s="81" t="s">
        <v>161</v>
      </c>
      <c r="R94" s="81" t="s">
        <v>162</v>
      </c>
      <c r="S94" s="81" t="s">
        <v>163</v>
      </c>
      <c r="T94" s="81" t="s">
        <v>164</v>
      </c>
      <c r="U94" s="81" t="s">
        <v>165</v>
      </c>
      <c r="V94" s="81" t="s">
        <v>166</v>
      </c>
      <c r="W94" s="81" t="s">
        <v>167</v>
      </c>
      <c r="X94" s="81" t="s">
        <v>168</v>
      </c>
      <c r="Y94" s="81" t="s">
        <v>169</v>
      </c>
      <c r="Z94" s="81" t="s">
        <v>170</v>
      </c>
      <c r="AA94" s="81" t="s">
        <v>171</v>
      </c>
      <c r="AB94" s="81" t="s">
        <v>172</v>
      </c>
      <c r="AC94" s="81" t="s">
        <v>173</v>
      </c>
      <c r="AD94" s="81" t="s">
        <v>174</v>
      </c>
      <c r="AE94" s="81" t="s">
        <v>175</v>
      </c>
      <c r="AF94" s="81" t="s">
        <v>176</v>
      </c>
      <c r="AG94" s="81" t="s">
        <v>177</v>
      </c>
      <c r="AH94" s="81" t="s">
        <v>178</v>
      </c>
    </row>
    <row r="95" hidden="1">
      <c r="A95" s="83" t="s">
        <v>51</v>
      </c>
      <c r="B95" s="84" t="s">
        <v>222</v>
      </c>
      <c r="C95" s="85">
        <v>1.0</v>
      </c>
      <c r="D95" s="85">
        <v>1.0</v>
      </c>
      <c r="E95" s="86">
        <v>17.0</v>
      </c>
      <c r="F95" s="94">
        <v>0.0</v>
      </c>
      <c r="G95" s="85">
        <v>61.0</v>
      </c>
      <c r="H95" s="94">
        <v>0.0</v>
      </c>
      <c r="I95" s="85">
        <v>58.0</v>
      </c>
      <c r="J95" s="95">
        <f t="shared" ref="J95:J108" si="71">SUM(G95-I95)</f>
        <v>3</v>
      </c>
      <c r="K95" s="87">
        <f t="shared" ref="K95:K108" si="72">SUM(G95/I95)</f>
        <v>1.051724138</v>
      </c>
      <c r="L95" s="85">
        <v>14.0</v>
      </c>
      <c r="M95" s="85">
        <v>79.0</v>
      </c>
      <c r="N95" s="85">
        <v>1.0</v>
      </c>
      <c r="O95" s="110">
        <f t="shared" ref="O95:O100" si="73">(E95*N95)</f>
        <v>17</v>
      </c>
      <c r="P95" s="94">
        <v>0.0</v>
      </c>
      <c r="Q95" s="85">
        <v>2.0</v>
      </c>
      <c r="R95" s="85">
        <v>8.0</v>
      </c>
      <c r="S95" s="94">
        <v>0.0</v>
      </c>
      <c r="T95" s="85">
        <v>13.0</v>
      </c>
      <c r="U95" s="85">
        <v>2.0</v>
      </c>
      <c r="V95" s="94">
        <v>0.0</v>
      </c>
      <c r="W95" s="94">
        <v>0.0</v>
      </c>
      <c r="X95" s="94">
        <v>0.0</v>
      </c>
      <c r="Y95" s="94">
        <v>0.0</v>
      </c>
      <c r="Z95" s="94">
        <v>0.0</v>
      </c>
      <c r="AA95" s="94">
        <v>0.0</v>
      </c>
      <c r="AB95" s="94">
        <v>0.0</v>
      </c>
      <c r="AC95" s="85">
        <v>1.0</v>
      </c>
      <c r="AD95" s="85">
        <v>1.0</v>
      </c>
      <c r="AE95" s="94">
        <v>0.0</v>
      </c>
      <c r="AF95" s="94">
        <v>0.0</v>
      </c>
      <c r="AG95" s="94">
        <v>0.0</v>
      </c>
      <c r="AH95" s="94">
        <v>0.0</v>
      </c>
    </row>
    <row r="96" hidden="1">
      <c r="A96" s="83" t="s">
        <v>51</v>
      </c>
      <c r="B96" s="84" t="s">
        <v>223</v>
      </c>
      <c r="C96" s="85">
        <v>1.0</v>
      </c>
      <c r="D96" s="85">
        <v>1.0</v>
      </c>
      <c r="E96" s="86">
        <v>17.0</v>
      </c>
      <c r="F96" s="94">
        <v>0.0</v>
      </c>
      <c r="G96" s="85">
        <v>79.0</v>
      </c>
      <c r="H96" s="94">
        <v>0.0</v>
      </c>
      <c r="I96" s="85">
        <v>55.0</v>
      </c>
      <c r="J96" s="95">
        <f t="shared" si="71"/>
        <v>24</v>
      </c>
      <c r="K96" s="87">
        <f t="shared" si="72"/>
        <v>1.436363636</v>
      </c>
      <c r="L96" s="85">
        <v>15.0</v>
      </c>
      <c r="M96" s="85">
        <v>112.0</v>
      </c>
      <c r="N96" s="85">
        <v>1.0</v>
      </c>
      <c r="O96" s="110">
        <f t="shared" si="73"/>
        <v>17</v>
      </c>
      <c r="P96" s="94">
        <v>0.0</v>
      </c>
      <c r="Q96" s="85">
        <v>3.0</v>
      </c>
      <c r="R96" s="85">
        <v>11.0</v>
      </c>
      <c r="S96" s="85">
        <v>1.0</v>
      </c>
      <c r="T96" s="85">
        <v>13.0</v>
      </c>
      <c r="U96" s="85">
        <v>4.0</v>
      </c>
      <c r="V96" s="85">
        <v>2.0</v>
      </c>
      <c r="W96" s="85">
        <v>2.0</v>
      </c>
      <c r="X96" s="85">
        <v>1.0</v>
      </c>
      <c r="Y96" s="94">
        <v>0.0</v>
      </c>
      <c r="Z96" s="94">
        <v>0.0</v>
      </c>
      <c r="AA96" s="94">
        <v>0.0</v>
      </c>
      <c r="AB96" s="94">
        <v>0.0</v>
      </c>
      <c r="AC96" s="85">
        <v>3.0</v>
      </c>
      <c r="AD96" s="85">
        <v>1.0</v>
      </c>
      <c r="AE96" s="94">
        <v>0.0</v>
      </c>
      <c r="AF96" s="94">
        <v>0.0</v>
      </c>
      <c r="AG96" s="94">
        <v>0.0</v>
      </c>
      <c r="AH96" s="94">
        <v>0.0</v>
      </c>
    </row>
    <row r="97" hidden="1">
      <c r="A97" s="83" t="s">
        <v>51</v>
      </c>
      <c r="B97" s="84" t="s">
        <v>224</v>
      </c>
      <c r="C97" s="85">
        <v>1.0</v>
      </c>
      <c r="D97" s="85">
        <v>1.0</v>
      </c>
      <c r="E97" s="86">
        <v>17.0</v>
      </c>
      <c r="F97" s="94">
        <v>0.0</v>
      </c>
      <c r="G97" s="85">
        <v>87.0</v>
      </c>
      <c r="H97" s="85">
        <v>1.0</v>
      </c>
      <c r="I97" s="85">
        <v>64.0</v>
      </c>
      <c r="J97" s="95">
        <f t="shared" si="71"/>
        <v>23</v>
      </c>
      <c r="K97" s="87">
        <f t="shared" si="72"/>
        <v>1.359375</v>
      </c>
      <c r="L97" s="85">
        <v>13.0</v>
      </c>
      <c r="M97" s="85">
        <v>124.0</v>
      </c>
      <c r="N97" s="85">
        <v>1.0</v>
      </c>
      <c r="O97" s="110">
        <f t="shared" si="73"/>
        <v>17</v>
      </c>
      <c r="P97" s="85">
        <v>2.0</v>
      </c>
      <c r="Q97" s="85">
        <v>1.0</v>
      </c>
      <c r="R97" s="85">
        <v>20.0</v>
      </c>
      <c r="S97" s="94">
        <v>0.0</v>
      </c>
      <c r="T97" s="85">
        <v>15.0</v>
      </c>
      <c r="U97" s="85">
        <v>3.0</v>
      </c>
      <c r="V97" s="85">
        <v>1.0</v>
      </c>
      <c r="W97" s="94">
        <v>0.0</v>
      </c>
      <c r="X97" s="94">
        <v>0.0</v>
      </c>
      <c r="Y97" s="94">
        <v>0.0</v>
      </c>
      <c r="Z97" s="94">
        <v>0.0</v>
      </c>
      <c r="AA97" s="94">
        <v>0.0</v>
      </c>
      <c r="AB97" s="85">
        <v>0.0</v>
      </c>
      <c r="AC97" s="85">
        <v>3.0</v>
      </c>
      <c r="AD97" s="94">
        <v>0.0</v>
      </c>
      <c r="AE97" s="94">
        <v>0.0</v>
      </c>
      <c r="AF97" s="94">
        <v>0.0</v>
      </c>
      <c r="AG97" s="94">
        <v>0.0</v>
      </c>
      <c r="AH97" s="94">
        <v>0.0</v>
      </c>
    </row>
    <row r="98" hidden="1">
      <c r="A98" s="83" t="s">
        <v>51</v>
      </c>
      <c r="B98" s="84" t="s">
        <v>225</v>
      </c>
      <c r="C98" s="85">
        <v>1.0</v>
      </c>
      <c r="D98" s="85">
        <v>1.0</v>
      </c>
      <c r="E98" s="86">
        <v>17.0</v>
      </c>
      <c r="F98" s="85">
        <v>5.0</v>
      </c>
      <c r="G98" s="85">
        <v>31.0</v>
      </c>
      <c r="H98" s="85">
        <v>1.0</v>
      </c>
      <c r="I98" s="85">
        <v>44.0</v>
      </c>
      <c r="J98" s="95">
        <f t="shared" si="71"/>
        <v>-13</v>
      </c>
      <c r="K98" s="87">
        <f t="shared" si="72"/>
        <v>0.7045454545</v>
      </c>
      <c r="L98" s="85">
        <v>20.0</v>
      </c>
      <c r="M98" s="85">
        <v>44.0</v>
      </c>
      <c r="N98" s="85">
        <v>1.0</v>
      </c>
      <c r="O98" s="110">
        <f t="shared" si="73"/>
        <v>17</v>
      </c>
      <c r="P98" s="85">
        <v>3.0</v>
      </c>
      <c r="Q98" s="85">
        <v>3.0</v>
      </c>
      <c r="R98" s="94">
        <v>0.0</v>
      </c>
      <c r="S98" s="85">
        <v>1.0</v>
      </c>
      <c r="T98" s="85">
        <v>4.0</v>
      </c>
      <c r="U98" s="94">
        <v>0.0</v>
      </c>
      <c r="V98" s="94">
        <v>0.0</v>
      </c>
      <c r="W98" s="94">
        <v>0.0</v>
      </c>
      <c r="X98" s="94">
        <v>0.0</v>
      </c>
      <c r="Y98" s="94">
        <v>0.0</v>
      </c>
      <c r="Z98" s="94">
        <v>0.0</v>
      </c>
      <c r="AA98" s="94">
        <v>0.0</v>
      </c>
      <c r="AB98" s="94">
        <v>0.0</v>
      </c>
      <c r="AC98" s="94">
        <v>0.0</v>
      </c>
      <c r="AD98" s="94">
        <v>0.0</v>
      </c>
      <c r="AE98" s="94">
        <v>0.0</v>
      </c>
      <c r="AF98" s="94">
        <v>0.0</v>
      </c>
      <c r="AG98" s="94">
        <v>0.0</v>
      </c>
      <c r="AH98" s="94">
        <v>0.0</v>
      </c>
    </row>
    <row r="99" hidden="1">
      <c r="A99" s="83" t="s">
        <v>51</v>
      </c>
      <c r="B99" s="84" t="s">
        <v>226</v>
      </c>
      <c r="C99" s="94">
        <v>0.0</v>
      </c>
      <c r="D99" s="94">
        <v>0.0</v>
      </c>
      <c r="E99" s="96">
        <f t="shared" ref="E99:E100" si="74">SUM(L99*I99)/60</f>
        <v>0</v>
      </c>
      <c r="F99" s="94">
        <v>0.0</v>
      </c>
      <c r="G99" s="94">
        <v>0.0</v>
      </c>
      <c r="H99" s="94">
        <v>0.0</v>
      </c>
      <c r="I99" s="94">
        <v>0.0</v>
      </c>
      <c r="J99" s="95">
        <f t="shared" si="71"/>
        <v>0</v>
      </c>
      <c r="K99" s="87" t="str">
        <f t="shared" si="72"/>
        <v>#DIV/0!</v>
      </c>
      <c r="L99" s="94">
        <v>0.0</v>
      </c>
      <c r="M99" s="94">
        <v>0.0</v>
      </c>
      <c r="N99" s="85">
        <v>0.0</v>
      </c>
      <c r="O99" s="110">
        <f t="shared" si="73"/>
        <v>0</v>
      </c>
      <c r="P99" s="94">
        <v>0.0</v>
      </c>
      <c r="Q99" s="94">
        <v>0.0</v>
      </c>
      <c r="R99" s="94">
        <v>0.0</v>
      </c>
      <c r="S99" s="94">
        <v>0.0</v>
      </c>
      <c r="T99" s="94">
        <v>0.0</v>
      </c>
      <c r="U99" s="94">
        <v>0.0</v>
      </c>
      <c r="V99" s="94">
        <v>0.0</v>
      </c>
      <c r="W99" s="94">
        <v>0.0</v>
      </c>
      <c r="X99" s="94">
        <v>0.0</v>
      </c>
      <c r="Y99" s="94">
        <v>0.0</v>
      </c>
      <c r="Z99" s="94">
        <v>0.0</v>
      </c>
      <c r="AA99" s="94">
        <v>0.0</v>
      </c>
      <c r="AB99" s="94">
        <v>0.0</v>
      </c>
      <c r="AC99" s="94">
        <v>0.0</v>
      </c>
      <c r="AD99" s="94">
        <v>0.0</v>
      </c>
      <c r="AE99" s="94">
        <v>0.0</v>
      </c>
      <c r="AF99" s="94">
        <v>0.0</v>
      </c>
      <c r="AG99" s="94">
        <v>0.0</v>
      </c>
      <c r="AH99" s="94">
        <v>0.0</v>
      </c>
    </row>
    <row r="100" hidden="1">
      <c r="A100" s="83" t="s">
        <v>51</v>
      </c>
      <c r="B100" s="93"/>
      <c r="C100" s="94">
        <v>0.0</v>
      </c>
      <c r="D100" s="94">
        <v>0.0</v>
      </c>
      <c r="E100" s="96">
        <f t="shared" si="74"/>
        <v>0</v>
      </c>
      <c r="F100" s="94">
        <v>0.0</v>
      </c>
      <c r="G100" s="94">
        <v>0.0</v>
      </c>
      <c r="H100" s="94">
        <v>0.0</v>
      </c>
      <c r="I100" s="94">
        <v>0.0</v>
      </c>
      <c r="J100" s="95">
        <f t="shared" si="71"/>
        <v>0</v>
      </c>
      <c r="K100" s="87" t="str">
        <f t="shared" si="72"/>
        <v>#DIV/0!</v>
      </c>
      <c r="L100" s="94">
        <v>0.0</v>
      </c>
      <c r="M100" s="94">
        <v>0.0</v>
      </c>
      <c r="N100" s="85">
        <v>0.0</v>
      </c>
      <c r="O100" s="110">
        <f t="shared" si="73"/>
        <v>0</v>
      </c>
      <c r="P100" s="94">
        <v>0.0</v>
      </c>
      <c r="Q100" s="94">
        <v>0.0</v>
      </c>
      <c r="R100" s="94">
        <v>0.0</v>
      </c>
      <c r="S100" s="94">
        <v>0.0</v>
      </c>
      <c r="T100" s="94">
        <v>0.0</v>
      </c>
      <c r="U100" s="94">
        <v>0.0</v>
      </c>
      <c r="V100" s="94">
        <v>0.0</v>
      </c>
      <c r="W100" s="94">
        <v>0.0</v>
      </c>
      <c r="X100" s="94">
        <v>0.0</v>
      </c>
      <c r="Y100" s="94">
        <v>0.0</v>
      </c>
      <c r="Z100" s="94">
        <v>0.0</v>
      </c>
      <c r="AA100" s="94">
        <v>0.0</v>
      </c>
      <c r="AB100" s="94">
        <v>0.0</v>
      </c>
      <c r="AC100" s="94">
        <v>0.0</v>
      </c>
      <c r="AD100" s="94">
        <v>0.0</v>
      </c>
      <c r="AE100" s="94">
        <v>0.0</v>
      </c>
      <c r="AF100" s="94">
        <v>0.0</v>
      </c>
      <c r="AG100" s="94">
        <v>0.0</v>
      </c>
      <c r="AH100" s="94">
        <v>0.0</v>
      </c>
    </row>
    <row r="101" hidden="1">
      <c r="A101" s="89"/>
      <c r="B101" s="111"/>
      <c r="C101" s="111">
        <f t="shared" ref="C101:D101" si="75">SUM(C95:C100)/4</f>
        <v>1</v>
      </c>
      <c r="D101" s="111">
        <f t="shared" si="75"/>
        <v>1</v>
      </c>
      <c r="E101" s="91">
        <f t="shared" ref="E101:G101" si="76">SUM(E95:E100)</f>
        <v>68</v>
      </c>
      <c r="F101" s="111">
        <f t="shared" si="76"/>
        <v>5</v>
      </c>
      <c r="G101" s="111">
        <f t="shared" si="76"/>
        <v>258</v>
      </c>
      <c r="H101" s="111"/>
      <c r="I101" s="111">
        <f>SUM(I95:I100)</f>
        <v>221</v>
      </c>
      <c r="J101" s="111">
        <f t="shared" si="71"/>
        <v>37</v>
      </c>
      <c r="K101" s="92">
        <f t="shared" si="72"/>
        <v>1.167420814</v>
      </c>
      <c r="L101" s="111">
        <f t="shared" ref="L101:M101" si="77">SUM(L95:L100)</f>
        <v>62</v>
      </c>
      <c r="M101" s="111">
        <f t="shared" si="77"/>
        <v>359</v>
      </c>
      <c r="N101" s="111"/>
      <c r="O101" s="112"/>
      <c r="P101" s="111">
        <f t="shared" ref="P101:AH101" si="78">SUM(P95:P100)</f>
        <v>5</v>
      </c>
      <c r="Q101" s="111">
        <f t="shared" si="78"/>
        <v>9</v>
      </c>
      <c r="R101" s="111">
        <f t="shared" si="78"/>
        <v>39</v>
      </c>
      <c r="S101" s="111">
        <f t="shared" si="78"/>
        <v>2</v>
      </c>
      <c r="T101" s="111">
        <f t="shared" si="78"/>
        <v>45</v>
      </c>
      <c r="U101" s="111">
        <f t="shared" si="78"/>
        <v>9</v>
      </c>
      <c r="V101" s="111">
        <f t="shared" si="78"/>
        <v>3</v>
      </c>
      <c r="W101" s="111">
        <f t="shared" si="78"/>
        <v>2</v>
      </c>
      <c r="X101" s="111">
        <f t="shared" si="78"/>
        <v>1</v>
      </c>
      <c r="Y101" s="111">
        <f t="shared" si="78"/>
        <v>0</v>
      </c>
      <c r="Z101" s="111">
        <f t="shared" si="78"/>
        <v>0</v>
      </c>
      <c r="AA101" s="111">
        <f t="shared" si="78"/>
        <v>0</v>
      </c>
      <c r="AB101" s="111">
        <f t="shared" si="78"/>
        <v>0</v>
      </c>
      <c r="AC101" s="111">
        <f t="shared" si="78"/>
        <v>7</v>
      </c>
      <c r="AD101" s="111">
        <f t="shared" si="78"/>
        <v>2</v>
      </c>
      <c r="AE101" s="111">
        <f t="shared" si="78"/>
        <v>0</v>
      </c>
      <c r="AF101" s="111">
        <f t="shared" si="78"/>
        <v>0</v>
      </c>
      <c r="AG101" s="111">
        <f t="shared" si="78"/>
        <v>0</v>
      </c>
      <c r="AH101" s="111">
        <f t="shared" si="78"/>
        <v>0</v>
      </c>
    </row>
    <row r="102" hidden="1">
      <c r="A102" s="83" t="s">
        <v>56</v>
      </c>
      <c r="B102" s="84" t="s">
        <v>203</v>
      </c>
      <c r="C102" s="85">
        <v>1.0</v>
      </c>
      <c r="D102" s="94">
        <v>0.0</v>
      </c>
      <c r="E102" s="86">
        <v>17.0</v>
      </c>
      <c r="F102" s="85">
        <v>1.0</v>
      </c>
      <c r="G102" s="85">
        <v>68.0</v>
      </c>
      <c r="H102" s="94">
        <v>0.0</v>
      </c>
      <c r="I102" s="85">
        <v>77.0</v>
      </c>
      <c r="J102" s="95">
        <f t="shared" si="71"/>
        <v>-9</v>
      </c>
      <c r="K102" s="87">
        <f t="shared" si="72"/>
        <v>0.8831168831</v>
      </c>
      <c r="L102" s="85">
        <v>10.0</v>
      </c>
      <c r="M102" s="85">
        <v>84.0</v>
      </c>
      <c r="N102" s="85">
        <v>1.0</v>
      </c>
      <c r="O102" s="110">
        <f t="shared" ref="O102:O107" si="79">(E102*N102)</f>
        <v>17</v>
      </c>
      <c r="P102" s="85">
        <v>1.0</v>
      </c>
      <c r="Q102" s="85">
        <v>2.0</v>
      </c>
      <c r="R102" s="85">
        <v>2.0</v>
      </c>
      <c r="S102" s="85">
        <v>1.0</v>
      </c>
      <c r="T102" s="85">
        <v>12.0</v>
      </c>
      <c r="U102" s="85">
        <v>1.0</v>
      </c>
      <c r="V102" s="94">
        <v>0.0</v>
      </c>
      <c r="W102" s="94">
        <v>0.0</v>
      </c>
      <c r="X102" s="94">
        <v>0.0</v>
      </c>
      <c r="Y102" s="94">
        <v>0.0</v>
      </c>
      <c r="Z102" s="94">
        <v>0.0</v>
      </c>
      <c r="AA102" s="94">
        <v>0.0</v>
      </c>
      <c r="AB102" s="94">
        <v>0.0</v>
      </c>
      <c r="AC102" s="94">
        <v>0.0</v>
      </c>
      <c r="AD102" s="94">
        <v>0.0</v>
      </c>
      <c r="AE102" s="94">
        <v>0.0</v>
      </c>
      <c r="AF102" s="94">
        <v>0.0</v>
      </c>
      <c r="AG102" s="94">
        <v>0.0</v>
      </c>
      <c r="AH102" s="94">
        <v>0.0</v>
      </c>
    </row>
    <row r="103" hidden="1">
      <c r="A103" s="83" t="s">
        <v>56</v>
      </c>
      <c r="B103" s="84" t="s">
        <v>204</v>
      </c>
      <c r="C103" s="85">
        <v>1.0</v>
      </c>
      <c r="D103" s="94">
        <v>0.0</v>
      </c>
      <c r="E103" s="86">
        <v>17.0</v>
      </c>
      <c r="F103" s="85">
        <v>0.0</v>
      </c>
      <c r="G103" s="85">
        <v>61.0</v>
      </c>
      <c r="H103" s="85">
        <v>0.0</v>
      </c>
      <c r="I103" s="85">
        <v>81.0</v>
      </c>
      <c r="J103" s="95">
        <f t="shared" si="71"/>
        <v>-20</v>
      </c>
      <c r="K103" s="87">
        <f t="shared" si="72"/>
        <v>0.7530864198</v>
      </c>
      <c r="L103" s="85">
        <v>9.0</v>
      </c>
      <c r="M103" s="85">
        <v>75.0</v>
      </c>
      <c r="N103" s="85">
        <v>1.0</v>
      </c>
      <c r="O103" s="110">
        <f t="shared" si="79"/>
        <v>17</v>
      </c>
      <c r="P103" s="94">
        <v>0.0</v>
      </c>
      <c r="Q103" s="85">
        <v>1.0</v>
      </c>
      <c r="R103" s="85">
        <v>7.0</v>
      </c>
      <c r="S103" s="85">
        <v>2.0</v>
      </c>
      <c r="T103" s="85">
        <v>7.0</v>
      </c>
      <c r="U103" s="85">
        <v>1.0</v>
      </c>
      <c r="V103" s="94">
        <v>0.0</v>
      </c>
      <c r="W103" s="94">
        <v>0.0</v>
      </c>
      <c r="X103" s="94">
        <v>0.0</v>
      </c>
      <c r="Y103" s="94">
        <v>0.0</v>
      </c>
      <c r="Z103" s="94">
        <v>0.0</v>
      </c>
      <c r="AA103" s="94">
        <v>0.0</v>
      </c>
      <c r="AB103" s="94">
        <v>0.0</v>
      </c>
      <c r="AC103" s="94">
        <v>0.0</v>
      </c>
      <c r="AD103" s="94">
        <v>0.0</v>
      </c>
      <c r="AE103" s="94">
        <v>0.0</v>
      </c>
      <c r="AF103" s="94">
        <v>0.0</v>
      </c>
      <c r="AG103" s="94">
        <v>0.0</v>
      </c>
      <c r="AH103" s="94">
        <v>0.0</v>
      </c>
    </row>
    <row r="104" hidden="1">
      <c r="A104" s="83" t="s">
        <v>56</v>
      </c>
      <c r="B104" s="84" t="s">
        <v>205</v>
      </c>
      <c r="C104" s="85">
        <v>1.0</v>
      </c>
      <c r="D104" s="94">
        <v>0.0</v>
      </c>
      <c r="E104" s="86">
        <v>17.0</v>
      </c>
      <c r="F104" s="94">
        <v>0.0</v>
      </c>
      <c r="G104" s="85">
        <v>59.0</v>
      </c>
      <c r="H104" s="94">
        <v>0.0</v>
      </c>
      <c r="I104" s="85">
        <v>57.0</v>
      </c>
      <c r="J104" s="95">
        <f t="shared" si="71"/>
        <v>2</v>
      </c>
      <c r="K104" s="87">
        <f t="shared" si="72"/>
        <v>1.035087719</v>
      </c>
      <c r="L104" s="85">
        <v>15.0</v>
      </c>
      <c r="M104" s="85">
        <v>80.0</v>
      </c>
      <c r="N104" s="85">
        <v>1.0</v>
      </c>
      <c r="O104" s="110">
        <f t="shared" si="79"/>
        <v>17</v>
      </c>
      <c r="P104" s="85">
        <v>2.0</v>
      </c>
      <c r="Q104" s="85">
        <v>1.0</v>
      </c>
      <c r="R104" s="85">
        <v>5.0</v>
      </c>
      <c r="S104" s="85">
        <v>1.0</v>
      </c>
      <c r="T104" s="85">
        <v>12.0</v>
      </c>
      <c r="U104" s="85">
        <v>2.0</v>
      </c>
      <c r="V104" s="85">
        <v>1.0</v>
      </c>
      <c r="W104" s="94">
        <v>0.0</v>
      </c>
      <c r="X104" s="94">
        <v>0.0</v>
      </c>
      <c r="Y104" s="94">
        <v>0.0</v>
      </c>
      <c r="Z104" s="94">
        <v>0.0</v>
      </c>
      <c r="AA104" s="94">
        <v>0.0</v>
      </c>
      <c r="AB104" s="94">
        <v>0.0</v>
      </c>
      <c r="AC104" s="85">
        <v>2.0</v>
      </c>
      <c r="AD104" s="94">
        <v>0.0</v>
      </c>
      <c r="AE104" s="94">
        <v>0.0</v>
      </c>
      <c r="AF104" s="94">
        <v>0.0</v>
      </c>
      <c r="AG104" s="94">
        <v>0.0</v>
      </c>
      <c r="AH104" s="94">
        <v>0.0</v>
      </c>
    </row>
    <row r="105" hidden="1">
      <c r="A105" s="83" t="s">
        <v>56</v>
      </c>
      <c r="B105" s="84" t="s">
        <v>206</v>
      </c>
      <c r="C105" s="94">
        <v>0.0</v>
      </c>
      <c r="D105" s="94">
        <v>0.0</v>
      </c>
      <c r="E105" s="86">
        <v>0.0</v>
      </c>
      <c r="F105" s="94">
        <v>0.0</v>
      </c>
      <c r="G105" s="94">
        <v>0.0</v>
      </c>
      <c r="H105" s="94">
        <v>0.0</v>
      </c>
      <c r="I105" s="94">
        <v>0.0</v>
      </c>
      <c r="J105" s="95">
        <f t="shared" si="71"/>
        <v>0</v>
      </c>
      <c r="K105" s="87" t="str">
        <f t="shared" si="72"/>
        <v>#DIV/0!</v>
      </c>
      <c r="L105" s="94">
        <v>0.0</v>
      </c>
      <c r="M105" s="94">
        <v>0.0</v>
      </c>
      <c r="N105" s="85">
        <v>0.0</v>
      </c>
      <c r="O105" s="110">
        <f t="shared" si="79"/>
        <v>0</v>
      </c>
      <c r="P105" s="94">
        <v>0.0</v>
      </c>
      <c r="Q105" s="94">
        <v>0.0</v>
      </c>
      <c r="R105" s="94">
        <v>0.0</v>
      </c>
      <c r="S105" s="94">
        <v>0.0</v>
      </c>
      <c r="T105" s="94">
        <v>0.0</v>
      </c>
      <c r="U105" s="94">
        <v>0.0</v>
      </c>
      <c r="V105" s="94">
        <v>0.0</v>
      </c>
      <c r="W105" s="94">
        <v>0.0</v>
      </c>
      <c r="X105" s="94">
        <v>0.0</v>
      </c>
      <c r="Y105" s="94">
        <v>0.0</v>
      </c>
      <c r="Z105" s="94">
        <v>0.0</v>
      </c>
      <c r="AA105" s="94">
        <v>0.0</v>
      </c>
      <c r="AB105" s="94">
        <v>0.0</v>
      </c>
      <c r="AC105" s="94">
        <v>0.0</v>
      </c>
      <c r="AD105" s="94">
        <v>0.0</v>
      </c>
      <c r="AE105" s="94">
        <v>0.0</v>
      </c>
      <c r="AF105" s="94">
        <v>0.0</v>
      </c>
      <c r="AG105" s="94">
        <v>0.0</v>
      </c>
      <c r="AH105" s="94">
        <v>0.0</v>
      </c>
    </row>
    <row r="106" hidden="1">
      <c r="A106" s="83" t="s">
        <v>56</v>
      </c>
      <c r="B106" s="84" t="s">
        <v>207</v>
      </c>
      <c r="C106" s="85">
        <v>1.0</v>
      </c>
      <c r="D106" s="94">
        <v>0.0</v>
      </c>
      <c r="E106" s="96">
        <f t="shared" ref="E106:E107" si="80">SUM(L106*I106)/60</f>
        <v>14.7</v>
      </c>
      <c r="F106" s="85">
        <v>1.0</v>
      </c>
      <c r="G106" s="85">
        <v>22.0</v>
      </c>
      <c r="H106" s="94">
        <v>0.0</v>
      </c>
      <c r="I106" s="85">
        <v>49.0</v>
      </c>
      <c r="J106" s="95">
        <f t="shared" si="71"/>
        <v>-27</v>
      </c>
      <c r="K106" s="87">
        <f t="shared" si="72"/>
        <v>0.4489795918</v>
      </c>
      <c r="L106" s="85">
        <v>18.0</v>
      </c>
      <c r="M106" s="85">
        <v>31.0</v>
      </c>
      <c r="N106" s="85">
        <v>1.0</v>
      </c>
      <c r="O106" s="110">
        <f t="shared" si="79"/>
        <v>14.7</v>
      </c>
      <c r="P106" s="85">
        <v>3.0</v>
      </c>
      <c r="Q106" s="85">
        <v>1.0</v>
      </c>
      <c r="R106" s="94">
        <v>0.0</v>
      </c>
      <c r="S106" s="85">
        <v>1.0</v>
      </c>
      <c r="T106" s="85">
        <v>3.0</v>
      </c>
      <c r="U106" s="85">
        <v>1.0</v>
      </c>
      <c r="V106" s="94">
        <v>0.0</v>
      </c>
      <c r="W106" s="94">
        <v>0.0</v>
      </c>
      <c r="X106" s="94">
        <v>0.0</v>
      </c>
      <c r="Y106" s="94">
        <v>0.0</v>
      </c>
      <c r="Z106" s="94">
        <v>0.0</v>
      </c>
      <c r="AA106" s="94">
        <v>0.0</v>
      </c>
      <c r="AB106" s="94">
        <v>0.0</v>
      </c>
      <c r="AC106" s="94">
        <v>0.0</v>
      </c>
      <c r="AD106" s="94">
        <v>0.0</v>
      </c>
      <c r="AE106" s="94">
        <v>0.0</v>
      </c>
      <c r="AF106" s="94">
        <v>0.0</v>
      </c>
      <c r="AG106" s="94">
        <v>0.0</v>
      </c>
      <c r="AH106" s="94">
        <v>0.0</v>
      </c>
    </row>
    <row r="107" hidden="1">
      <c r="A107" s="83" t="s">
        <v>56</v>
      </c>
      <c r="B107" s="93"/>
      <c r="C107" s="94">
        <v>0.0</v>
      </c>
      <c r="D107" s="94">
        <v>0.0</v>
      </c>
      <c r="E107" s="96">
        <f t="shared" si="80"/>
        <v>0</v>
      </c>
      <c r="F107" s="94">
        <v>0.0</v>
      </c>
      <c r="G107" s="94">
        <v>0.0</v>
      </c>
      <c r="H107" s="94">
        <v>0.0</v>
      </c>
      <c r="I107" s="94">
        <v>0.0</v>
      </c>
      <c r="J107" s="95">
        <f t="shared" si="71"/>
        <v>0</v>
      </c>
      <c r="K107" s="87" t="str">
        <f t="shared" si="72"/>
        <v>#DIV/0!</v>
      </c>
      <c r="L107" s="94">
        <v>0.0</v>
      </c>
      <c r="M107" s="94">
        <v>0.0</v>
      </c>
      <c r="N107" s="85">
        <v>0.0</v>
      </c>
      <c r="O107" s="110">
        <f t="shared" si="79"/>
        <v>0</v>
      </c>
      <c r="P107" s="94">
        <v>0.0</v>
      </c>
      <c r="Q107" s="94">
        <v>0.0</v>
      </c>
      <c r="R107" s="94">
        <v>0.0</v>
      </c>
      <c r="S107" s="94">
        <v>0.0</v>
      </c>
      <c r="T107" s="94">
        <v>0.0</v>
      </c>
      <c r="U107" s="94">
        <v>0.0</v>
      </c>
      <c r="V107" s="94">
        <v>0.0</v>
      </c>
      <c r="W107" s="94">
        <v>0.0</v>
      </c>
      <c r="X107" s="94">
        <v>0.0</v>
      </c>
      <c r="Y107" s="94">
        <v>0.0</v>
      </c>
      <c r="Z107" s="94">
        <v>0.0</v>
      </c>
      <c r="AA107" s="94">
        <v>0.0</v>
      </c>
      <c r="AB107" s="94">
        <v>0.0</v>
      </c>
      <c r="AC107" s="94">
        <v>0.0</v>
      </c>
      <c r="AD107" s="94">
        <v>0.0</v>
      </c>
      <c r="AE107" s="94">
        <v>0.0</v>
      </c>
      <c r="AF107" s="94">
        <v>0.0</v>
      </c>
      <c r="AG107" s="94">
        <v>0.0</v>
      </c>
      <c r="AH107" s="94">
        <v>0.0</v>
      </c>
    </row>
    <row r="108" hidden="1">
      <c r="A108" s="89" t="s">
        <v>185</v>
      </c>
      <c r="B108" s="111"/>
      <c r="C108" s="111">
        <f>SUM(C102:C107)</f>
        <v>4</v>
      </c>
      <c r="D108" s="111">
        <f t="shared" ref="D108:E108" si="81">SUM(D102:D107)/4</f>
        <v>0</v>
      </c>
      <c r="E108" s="91">
        <f t="shared" si="81"/>
        <v>16.425</v>
      </c>
      <c r="F108" s="111">
        <f t="shared" ref="F108:G108" si="82">SUM(F102:F107)</f>
        <v>2</v>
      </c>
      <c r="G108" s="111">
        <f t="shared" si="82"/>
        <v>210</v>
      </c>
      <c r="H108" s="111"/>
      <c r="I108" s="111">
        <f>SUM(I102:I107)</f>
        <v>264</v>
      </c>
      <c r="J108" s="111">
        <f t="shared" si="71"/>
        <v>-54</v>
      </c>
      <c r="K108" s="92">
        <f t="shared" si="72"/>
        <v>0.7954545455</v>
      </c>
      <c r="L108" s="111">
        <f t="shared" ref="L108:M108" si="83">SUM(L102:L107)</f>
        <v>52</v>
      </c>
      <c r="M108" s="111">
        <f t="shared" si="83"/>
        <v>270</v>
      </c>
      <c r="N108" s="111"/>
      <c r="O108" s="112"/>
      <c r="P108" s="111">
        <f t="shared" ref="P108:AH108" si="84">SUM(P102:P107)</f>
        <v>6</v>
      </c>
      <c r="Q108" s="111">
        <f t="shared" si="84"/>
        <v>5</v>
      </c>
      <c r="R108" s="111">
        <f t="shared" si="84"/>
        <v>14</v>
      </c>
      <c r="S108" s="111">
        <f t="shared" si="84"/>
        <v>5</v>
      </c>
      <c r="T108" s="111">
        <f t="shared" si="84"/>
        <v>34</v>
      </c>
      <c r="U108" s="111">
        <f t="shared" si="84"/>
        <v>5</v>
      </c>
      <c r="V108" s="111">
        <f t="shared" si="84"/>
        <v>1</v>
      </c>
      <c r="W108" s="111">
        <f t="shared" si="84"/>
        <v>0</v>
      </c>
      <c r="X108" s="111">
        <f t="shared" si="84"/>
        <v>0</v>
      </c>
      <c r="Y108" s="111">
        <f t="shared" si="84"/>
        <v>0</v>
      </c>
      <c r="Z108" s="111">
        <f t="shared" si="84"/>
        <v>0</v>
      </c>
      <c r="AA108" s="111">
        <f t="shared" si="84"/>
        <v>0</v>
      </c>
      <c r="AB108" s="111">
        <f t="shared" si="84"/>
        <v>0</v>
      </c>
      <c r="AC108" s="111">
        <f t="shared" si="84"/>
        <v>2</v>
      </c>
      <c r="AD108" s="111">
        <f t="shared" si="84"/>
        <v>0</v>
      </c>
      <c r="AE108" s="111">
        <f t="shared" si="84"/>
        <v>0</v>
      </c>
      <c r="AF108" s="111">
        <f t="shared" si="84"/>
        <v>0</v>
      </c>
      <c r="AG108" s="111">
        <f t="shared" si="84"/>
        <v>0</v>
      </c>
      <c r="AH108" s="111">
        <f t="shared" si="84"/>
        <v>0</v>
      </c>
    </row>
    <row r="109">
      <c r="A109" s="113" t="s">
        <v>261</v>
      </c>
    </row>
    <row r="111" hidden="1">
      <c r="A111" s="105"/>
      <c r="F111" s="106" t="s">
        <v>251</v>
      </c>
      <c r="L111" s="107" t="s">
        <v>252</v>
      </c>
      <c r="N111" s="108" t="s">
        <v>253</v>
      </c>
    </row>
    <row r="112" hidden="1">
      <c r="A112" s="76" t="s">
        <v>148</v>
      </c>
      <c r="B112" s="76" t="s">
        <v>149</v>
      </c>
      <c r="C112" s="76" t="s">
        <v>150</v>
      </c>
      <c r="D112" s="76" t="s">
        <v>13</v>
      </c>
      <c r="E112" s="77" t="s">
        <v>151</v>
      </c>
      <c r="F112" s="78" t="s">
        <v>15</v>
      </c>
      <c r="G112" s="78" t="s">
        <v>152</v>
      </c>
      <c r="H112" s="78" t="s">
        <v>153</v>
      </c>
      <c r="I112" s="78" t="s">
        <v>154</v>
      </c>
      <c r="J112" s="78" t="s">
        <v>155</v>
      </c>
      <c r="K112" s="79" t="s">
        <v>156</v>
      </c>
      <c r="L112" s="80" t="s">
        <v>157</v>
      </c>
      <c r="M112" s="80" t="s">
        <v>158</v>
      </c>
      <c r="N112" s="81" t="s">
        <v>254</v>
      </c>
      <c r="O112" s="81" t="s">
        <v>151</v>
      </c>
      <c r="P112" s="81" t="s">
        <v>160</v>
      </c>
      <c r="Q112" s="81" t="s">
        <v>161</v>
      </c>
      <c r="R112" s="81" t="s">
        <v>162</v>
      </c>
      <c r="S112" s="81" t="s">
        <v>163</v>
      </c>
      <c r="T112" s="81" t="s">
        <v>164</v>
      </c>
      <c r="U112" s="81" t="s">
        <v>165</v>
      </c>
      <c r="V112" s="81" t="s">
        <v>166</v>
      </c>
      <c r="W112" s="81" t="s">
        <v>167</v>
      </c>
      <c r="X112" s="81" t="s">
        <v>168</v>
      </c>
      <c r="Y112" s="81" t="s">
        <v>169</v>
      </c>
      <c r="Z112" s="81" t="s">
        <v>170</v>
      </c>
      <c r="AA112" s="81" t="s">
        <v>171</v>
      </c>
      <c r="AB112" s="81" t="s">
        <v>172</v>
      </c>
      <c r="AC112" s="81" t="s">
        <v>173</v>
      </c>
      <c r="AD112" s="81" t="s">
        <v>174</v>
      </c>
      <c r="AE112" s="81" t="s">
        <v>175</v>
      </c>
      <c r="AF112" s="81" t="s">
        <v>176</v>
      </c>
      <c r="AG112" s="81" t="s">
        <v>177</v>
      </c>
      <c r="AH112" s="81" t="s">
        <v>178</v>
      </c>
    </row>
    <row r="113" hidden="1">
      <c r="A113" s="83" t="s">
        <v>51</v>
      </c>
      <c r="B113" s="84" t="s">
        <v>222</v>
      </c>
      <c r="C113" s="85">
        <v>1.0</v>
      </c>
      <c r="D113" s="85">
        <v>1.0</v>
      </c>
      <c r="E113" s="86">
        <v>18.0</v>
      </c>
      <c r="F113" s="85">
        <v>1.0</v>
      </c>
      <c r="G113" s="85">
        <v>52.0</v>
      </c>
      <c r="H113" s="94">
        <v>0.0</v>
      </c>
      <c r="I113" s="85">
        <v>59.0</v>
      </c>
      <c r="J113" s="95">
        <f t="shared" ref="J113:J126" si="85">SUM(G113-I113)</f>
        <v>-7</v>
      </c>
      <c r="K113" s="87">
        <f t="shared" ref="K113:K126" si="86">SUM(G113/I113)</f>
        <v>0.8813559322</v>
      </c>
      <c r="L113" s="85">
        <v>18.0</v>
      </c>
      <c r="M113" s="85">
        <v>63.0</v>
      </c>
      <c r="N113" s="85">
        <v>1.0</v>
      </c>
      <c r="O113" s="110">
        <f t="shared" ref="O113:O118" si="87">(E113*N113)</f>
        <v>18</v>
      </c>
      <c r="P113" s="85">
        <v>1.0</v>
      </c>
      <c r="Q113" s="85">
        <v>2.0</v>
      </c>
      <c r="R113" s="85">
        <v>8.0</v>
      </c>
      <c r="S113" s="94">
        <v>0.0</v>
      </c>
      <c r="T113" s="85">
        <v>4.0</v>
      </c>
      <c r="U113" s="85">
        <v>2.0</v>
      </c>
      <c r="V113" s="94">
        <v>0.0</v>
      </c>
      <c r="W113" s="94">
        <v>0.0</v>
      </c>
      <c r="X113" s="94">
        <v>0.0</v>
      </c>
      <c r="Y113" s="94">
        <v>0.0</v>
      </c>
      <c r="Z113" s="94">
        <v>0.0</v>
      </c>
      <c r="AA113" s="94">
        <v>0.0</v>
      </c>
      <c r="AB113" s="94">
        <v>0.0</v>
      </c>
      <c r="AC113" s="85">
        <v>1.0</v>
      </c>
      <c r="AD113" s="94">
        <v>0.0</v>
      </c>
      <c r="AE113" s="94">
        <v>0.0</v>
      </c>
      <c r="AF113" s="94">
        <v>0.0</v>
      </c>
      <c r="AG113" s="94">
        <v>0.0</v>
      </c>
      <c r="AH113" s="94">
        <v>0.0</v>
      </c>
    </row>
    <row r="114" hidden="1">
      <c r="A114" s="83" t="s">
        <v>51</v>
      </c>
      <c r="B114" s="84" t="s">
        <v>223</v>
      </c>
      <c r="C114" s="85">
        <v>1.0</v>
      </c>
      <c r="D114" s="85">
        <v>1.0</v>
      </c>
      <c r="E114" s="86">
        <v>18.0</v>
      </c>
      <c r="F114" s="94">
        <v>0.0</v>
      </c>
      <c r="G114" s="85">
        <v>87.0</v>
      </c>
      <c r="H114" s="85">
        <v>1.0</v>
      </c>
      <c r="I114" s="85">
        <v>55.0</v>
      </c>
      <c r="J114" s="95">
        <f t="shared" si="85"/>
        <v>32</v>
      </c>
      <c r="K114" s="87">
        <f t="shared" si="86"/>
        <v>1.581818182</v>
      </c>
      <c r="L114" s="85">
        <v>19.0</v>
      </c>
      <c r="M114" s="85">
        <v>115.0</v>
      </c>
      <c r="N114" s="85">
        <v>1.0</v>
      </c>
      <c r="O114" s="110">
        <f t="shared" si="87"/>
        <v>18</v>
      </c>
      <c r="P114" s="85">
        <v>1.0</v>
      </c>
      <c r="Q114" s="85">
        <v>1.0</v>
      </c>
      <c r="R114" s="85">
        <v>4.0</v>
      </c>
      <c r="S114" s="94">
        <v>0.0</v>
      </c>
      <c r="T114" s="85">
        <v>16.0</v>
      </c>
      <c r="U114" s="85">
        <v>5.0</v>
      </c>
      <c r="V114" s="85">
        <v>2.0</v>
      </c>
      <c r="W114" s="94">
        <v>0.0</v>
      </c>
      <c r="X114" s="94">
        <v>0.0</v>
      </c>
      <c r="Y114" s="94">
        <v>0.0</v>
      </c>
      <c r="Z114" s="94">
        <v>0.0</v>
      </c>
      <c r="AA114" s="94">
        <v>0.0</v>
      </c>
      <c r="AB114" s="94">
        <v>0.0</v>
      </c>
      <c r="AC114" s="85">
        <v>5.0</v>
      </c>
      <c r="AD114" s="94">
        <v>0.0</v>
      </c>
      <c r="AE114" s="94">
        <v>0.0</v>
      </c>
      <c r="AF114" s="94">
        <v>0.0</v>
      </c>
      <c r="AG114" s="94">
        <v>0.0</v>
      </c>
      <c r="AH114" s="94">
        <v>0.0</v>
      </c>
    </row>
    <row r="115" hidden="1">
      <c r="A115" s="83" t="s">
        <v>51</v>
      </c>
      <c r="B115" s="84" t="s">
        <v>224</v>
      </c>
      <c r="C115" s="85">
        <v>1.0</v>
      </c>
      <c r="D115" s="85">
        <v>1.0</v>
      </c>
      <c r="E115" s="86">
        <v>18.0</v>
      </c>
      <c r="F115" s="94">
        <v>0.0</v>
      </c>
      <c r="G115" s="85">
        <v>81.0</v>
      </c>
      <c r="H115" s="94">
        <v>0.0</v>
      </c>
      <c r="I115" s="85">
        <v>71.0</v>
      </c>
      <c r="J115" s="95">
        <f t="shared" si="85"/>
        <v>10</v>
      </c>
      <c r="K115" s="87">
        <f t="shared" si="86"/>
        <v>1.14084507</v>
      </c>
      <c r="L115" s="85">
        <v>15.0</v>
      </c>
      <c r="M115" s="85">
        <v>110.0</v>
      </c>
      <c r="N115" s="85">
        <v>1.0</v>
      </c>
      <c r="O115" s="110">
        <f t="shared" si="87"/>
        <v>18</v>
      </c>
      <c r="P115" s="85">
        <v>5.0</v>
      </c>
      <c r="Q115" s="85">
        <v>2.0</v>
      </c>
      <c r="R115" s="85">
        <v>11.0</v>
      </c>
      <c r="S115" s="85">
        <v>1.0</v>
      </c>
      <c r="T115" s="85">
        <v>16.0</v>
      </c>
      <c r="U115" s="85">
        <v>5.0</v>
      </c>
      <c r="V115" s="85">
        <v>2.0</v>
      </c>
      <c r="W115" s="94">
        <v>0.0</v>
      </c>
      <c r="X115" s="94">
        <v>0.0</v>
      </c>
      <c r="Y115" s="94">
        <v>0.0</v>
      </c>
      <c r="Z115" s="94">
        <v>0.0</v>
      </c>
      <c r="AA115" s="94">
        <v>0.0</v>
      </c>
      <c r="AB115" s="94">
        <v>0.0</v>
      </c>
      <c r="AC115" s="85">
        <v>2.0</v>
      </c>
      <c r="AD115" s="94">
        <v>0.0</v>
      </c>
      <c r="AE115" s="94">
        <v>0.0</v>
      </c>
      <c r="AF115" s="94">
        <v>0.0</v>
      </c>
      <c r="AG115" s="94">
        <v>0.0</v>
      </c>
      <c r="AH115" s="94">
        <v>0.0</v>
      </c>
    </row>
    <row r="116" hidden="1">
      <c r="A116" s="83" t="s">
        <v>51</v>
      </c>
      <c r="B116" s="84" t="s">
        <v>225</v>
      </c>
      <c r="C116" s="85">
        <v>1.0</v>
      </c>
      <c r="D116" s="85">
        <v>1.0</v>
      </c>
      <c r="E116" s="86">
        <v>18.0</v>
      </c>
      <c r="F116" s="85">
        <v>4.0</v>
      </c>
      <c r="G116" s="85">
        <v>44.0</v>
      </c>
      <c r="H116" s="94">
        <v>0.0</v>
      </c>
      <c r="I116" s="85">
        <v>57.0</v>
      </c>
      <c r="J116" s="95">
        <f t="shared" si="85"/>
        <v>-13</v>
      </c>
      <c r="K116" s="87">
        <f t="shared" si="86"/>
        <v>0.7719298246</v>
      </c>
      <c r="L116" s="85">
        <v>19.0</v>
      </c>
      <c r="M116" s="85">
        <v>62.0</v>
      </c>
      <c r="N116" s="85">
        <v>1.0</v>
      </c>
      <c r="O116" s="110">
        <f t="shared" si="87"/>
        <v>18</v>
      </c>
      <c r="P116" s="85">
        <v>2.0</v>
      </c>
      <c r="Q116" s="85">
        <v>1.0</v>
      </c>
      <c r="R116" s="85">
        <v>2.0</v>
      </c>
      <c r="S116" s="85">
        <v>3.0</v>
      </c>
      <c r="T116" s="85">
        <v>6.0</v>
      </c>
      <c r="U116" s="85">
        <v>2.0</v>
      </c>
      <c r="V116" s="94">
        <v>0.0</v>
      </c>
      <c r="W116" s="94">
        <v>0.0</v>
      </c>
      <c r="X116" s="94">
        <v>0.0</v>
      </c>
      <c r="Y116" s="94">
        <v>0.0</v>
      </c>
      <c r="Z116" s="94">
        <v>0.0</v>
      </c>
      <c r="AA116" s="94">
        <v>0.0</v>
      </c>
      <c r="AB116" s="94">
        <v>0.0</v>
      </c>
      <c r="AC116" s="85">
        <v>1.0</v>
      </c>
      <c r="AD116" s="94">
        <v>0.0</v>
      </c>
      <c r="AE116" s="94">
        <v>0.0</v>
      </c>
      <c r="AF116" s="94">
        <v>0.0</v>
      </c>
      <c r="AG116" s="94">
        <v>0.0</v>
      </c>
      <c r="AH116" s="94">
        <v>0.0</v>
      </c>
    </row>
    <row r="117" hidden="1">
      <c r="A117" s="83" t="s">
        <v>51</v>
      </c>
      <c r="B117" s="84" t="s">
        <v>226</v>
      </c>
      <c r="C117" s="94">
        <v>0.0</v>
      </c>
      <c r="D117" s="94">
        <v>0.0</v>
      </c>
      <c r="E117" s="96">
        <f t="shared" ref="E117:E118" si="88">SUM(L117*I117)/60</f>
        <v>0</v>
      </c>
      <c r="F117" s="94">
        <v>0.0</v>
      </c>
      <c r="G117" s="94">
        <v>0.0</v>
      </c>
      <c r="H117" s="94">
        <v>0.0</v>
      </c>
      <c r="I117" s="94">
        <v>0.0</v>
      </c>
      <c r="J117" s="95">
        <f t="shared" si="85"/>
        <v>0</v>
      </c>
      <c r="K117" s="87" t="str">
        <f t="shared" si="86"/>
        <v>#DIV/0!</v>
      </c>
      <c r="L117" s="94">
        <v>0.0</v>
      </c>
      <c r="M117" s="94">
        <v>0.0</v>
      </c>
      <c r="N117" s="85">
        <v>0.0</v>
      </c>
      <c r="O117" s="110">
        <f t="shared" si="87"/>
        <v>0</v>
      </c>
      <c r="P117" s="94">
        <v>0.0</v>
      </c>
      <c r="Q117" s="94">
        <v>0.0</v>
      </c>
      <c r="R117" s="94">
        <v>0.0</v>
      </c>
      <c r="S117" s="94">
        <v>0.0</v>
      </c>
      <c r="T117" s="94">
        <v>0.0</v>
      </c>
      <c r="U117" s="94">
        <v>0.0</v>
      </c>
      <c r="V117" s="94">
        <v>0.0</v>
      </c>
      <c r="W117" s="94">
        <v>0.0</v>
      </c>
      <c r="X117" s="94">
        <v>0.0</v>
      </c>
      <c r="Y117" s="94">
        <v>0.0</v>
      </c>
      <c r="Z117" s="94">
        <v>0.0</v>
      </c>
      <c r="AA117" s="94">
        <v>0.0</v>
      </c>
      <c r="AB117" s="94">
        <v>0.0</v>
      </c>
      <c r="AC117" s="94">
        <v>0.0</v>
      </c>
      <c r="AD117" s="94">
        <v>0.0</v>
      </c>
      <c r="AE117" s="94">
        <v>0.0</v>
      </c>
      <c r="AF117" s="94">
        <v>0.0</v>
      </c>
      <c r="AG117" s="94">
        <v>0.0</v>
      </c>
      <c r="AH117" s="94">
        <v>0.0</v>
      </c>
    </row>
    <row r="118" hidden="1">
      <c r="A118" s="83" t="s">
        <v>51</v>
      </c>
      <c r="B118" s="93"/>
      <c r="C118" s="94">
        <v>0.0</v>
      </c>
      <c r="D118" s="94">
        <v>0.0</v>
      </c>
      <c r="E118" s="96">
        <f t="shared" si="88"/>
        <v>0</v>
      </c>
      <c r="F118" s="94">
        <v>0.0</v>
      </c>
      <c r="G118" s="94">
        <v>0.0</v>
      </c>
      <c r="H118" s="94">
        <v>0.0</v>
      </c>
      <c r="I118" s="94">
        <v>0.0</v>
      </c>
      <c r="J118" s="95">
        <f t="shared" si="85"/>
        <v>0</v>
      </c>
      <c r="K118" s="87" t="str">
        <f t="shared" si="86"/>
        <v>#DIV/0!</v>
      </c>
      <c r="L118" s="94">
        <v>0.0</v>
      </c>
      <c r="M118" s="94">
        <v>0.0</v>
      </c>
      <c r="N118" s="85">
        <v>0.0</v>
      </c>
      <c r="O118" s="110">
        <f t="shared" si="87"/>
        <v>0</v>
      </c>
      <c r="P118" s="94">
        <v>0.0</v>
      </c>
      <c r="Q118" s="94">
        <v>0.0</v>
      </c>
      <c r="R118" s="94">
        <v>0.0</v>
      </c>
      <c r="S118" s="94">
        <v>0.0</v>
      </c>
      <c r="T118" s="94">
        <v>0.0</v>
      </c>
      <c r="U118" s="94">
        <v>0.0</v>
      </c>
      <c r="V118" s="94">
        <v>0.0</v>
      </c>
      <c r="W118" s="94">
        <v>0.0</v>
      </c>
      <c r="X118" s="94">
        <v>0.0</v>
      </c>
      <c r="Y118" s="94">
        <v>0.0</v>
      </c>
      <c r="Z118" s="94">
        <v>0.0</v>
      </c>
      <c r="AA118" s="94">
        <v>0.0</v>
      </c>
      <c r="AB118" s="94">
        <v>0.0</v>
      </c>
      <c r="AC118" s="94">
        <v>0.0</v>
      </c>
      <c r="AD118" s="94">
        <v>0.0</v>
      </c>
      <c r="AE118" s="94">
        <v>0.0</v>
      </c>
      <c r="AF118" s="94">
        <v>0.0</v>
      </c>
      <c r="AG118" s="94">
        <v>0.0</v>
      </c>
      <c r="AH118" s="94">
        <v>0.0</v>
      </c>
    </row>
    <row r="119" hidden="1">
      <c r="A119" s="89"/>
      <c r="B119" s="111"/>
      <c r="C119" s="111">
        <f t="shared" ref="C119:D119" si="89">SUM(C113:C118)/4</f>
        <v>1</v>
      </c>
      <c r="D119" s="111">
        <f t="shared" si="89"/>
        <v>1</v>
      </c>
      <c r="E119" s="91">
        <f t="shared" ref="E119:G119" si="90">SUM(E113:E118)</f>
        <v>72</v>
      </c>
      <c r="F119" s="111">
        <f t="shared" si="90"/>
        <v>5</v>
      </c>
      <c r="G119" s="111">
        <f t="shared" si="90"/>
        <v>264</v>
      </c>
      <c r="H119" s="111"/>
      <c r="I119" s="111">
        <f>SUM(I113:I118)</f>
        <v>242</v>
      </c>
      <c r="J119" s="111">
        <f t="shared" si="85"/>
        <v>22</v>
      </c>
      <c r="K119" s="92">
        <f t="shared" si="86"/>
        <v>1.090909091</v>
      </c>
      <c r="L119" s="111">
        <f t="shared" ref="L119:M119" si="91">SUM(L113:L118)</f>
        <v>71</v>
      </c>
      <c r="M119" s="111">
        <f t="shared" si="91"/>
        <v>350</v>
      </c>
      <c r="N119" s="111"/>
      <c r="O119" s="112"/>
      <c r="P119" s="111">
        <f t="shared" ref="P119:AH119" si="92">SUM(P113:P118)</f>
        <v>9</v>
      </c>
      <c r="Q119" s="111">
        <f t="shared" si="92"/>
        <v>6</v>
      </c>
      <c r="R119" s="111">
        <f t="shared" si="92"/>
        <v>25</v>
      </c>
      <c r="S119" s="111">
        <f t="shared" si="92"/>
        <v>4</v>
      </c>
      <c r="T119" s="111">
        <f t="shared" si="92"/>
        <v>42</v>
      </c>
      <c r="U119" s="111">
        <f t="shared" si="92"/>
        <v>14</v>
      </c>
      <c r="V119" s="111">
        <f t="shared" si="92"/>
        <v>4</v>
      </c>
      <c r="W119" s="111">
        <f t="shared" si="92"/>
        <v>0</v>
      </c>
      <c r="X119" s="111">
        <f t="shared" si="92"/>
        <v>0</v>
      </c>
      <c r="Y119" s="111">
        <f t="shared" si="92"/>
        <v>0</v>
      </c>
      <c r="Z119" s="111">
        <f t="shared" si="92"/>
        <v>0</v>
      </c>
      <c r="AA119" s="111">
        <f t="shared" si="92"/>
        <v>0</v>
      </c>
      <c r="AB119" s="111">
        <f t="shared" si="92"/>
        <v>0</v>
      </c>
      <c r="AC119" s="111">
        <f t="shared" si="92"/>
        <v>9</v>
      </c>
      <c r="AD119" s="111">
        <f t="shared" si="92"/>
        <v>0</v>
      </c>
      <c r="AE119" s="111">
        <f t="shared" si="92"/>
        <v>0</v>
      </c>
      <c r="AF119" s="111">
        <f t="shared" si="92"/>
        <v>0</v>
      </c>
      <c r="AG119" s="111">
        <f t="shared" si="92"/>
        <v>0</v>
      </c>
      <c r="AH119" s="111">
        <f t="shared" si="92"/>
        <v>0</v>
      </c>
    </row>
    <row r="120" hidden="1">
      <c r="A120" s="83" t="s">
        <v>56</v>
      </c>
      <c r="B120" s="84" t="s">
        <v>203</v>
      </c>
      <c r="C120" s="85">
        <v>1.0</v>
      </c>
      <c r="D120" s="94">
        <v>0.0</v>
      </c>
      <c r="E120" s="86">
        <v>18.0</v>
      </c>
      <c r="F120" s="94">
        <v>0.0</v>
      </c>
      <c r="G120" s="85">
        <v>76.0</v>
      </c>
      <c r="H120" s="94">
        <v>0.0</v>
      </c>
      <c r="I120" s="85">
        <v>77.0</v>
      </c>
      <c r="J120" s="95">
        <f t="shared" si="85"/>
        <v>-1</v>
      </c>
      <c r="K120" s="87">
        <f t="shared" si="86"/>
        <v>0.987012987</v>
      </c>
      <c r="L120" s="85">
        <v>14.0</v>
      </c>
      <c r="M120" s="85">
        <v>100.0</v>
      </c>
      <c r="N120" s="85">
        <v>1.0</v>
      </c>
      <c r="O120" s="110">
        <f t="shared" ref="O120:O125" si="93">(E120*N120)</f>
        <v>18</v>
      </c>
      <c r="P120" s="85">
        <v>3.0</v>
      </c>
      <c r="Q120" s="85">
        <v>1.0</v>
      </c>
      <c r="R120" s="85">
        <v>10.0</v>
      </c>
      <c r="S120" s="85">
        <v>3.0</v>
      </c>
      <c r="T120" s="85">
        <v>8.0</v>
      </c>
      <c r="U120" s="85">
        <v>1.0</v>
      </c>
      <c r="V120" s="94">
        <v>0.0</v>
      </c>
      <c r="W120" s="94">
        <v>0.0</v>
      </c>
      <c r="X120" s="94">
        <v>0.0</v>
      </c>
      <c r="Y120" s="94">
        <v>0.0</v>
      </c>
      <c r="Z120" s="94">
        <v>0.0</v>
      </c>
      <c r="AA120" s="94">
        <v>0.0</v>
      </c>
      <c r="AB120" s="94">
        <v>0.0</v>
      </c>
      <c r="AC120" s="85">
        <v>1.0</v>
      </c>
      <c r="AD120" s="94">
        <v>0.0</v>
      </c>
      <c r="AE120" s="94">
        <v>0.0</v>
      </c>
      <c r="AF120" s="94">
        <v>0.0</v>
      </c>
      <c r="AG120" s="94">
        <v>0.0</v>
      </c>
      <c r="AH120" s="94">
        <v>0.0</v>
      </c>
    </row>
    <row r="121" hidden="1">
      <c r="A121" s="83" t="s">
        <v>56</v>
      </c>
      <c r="B121" s="84" t="s">
        <v>204</v>
      </c>
      <c r="C121" s="85">
        <v>1.0</v>
      </c>
      <c r="D121" s="94">
        <v>0.0</v>
      </c>
      <c r="E121" s="86">
        <v>18.0</v>
      </c>
      <c r="F121" s="94">
        <v>0.0</v>
      </c>
      <c r="G121" s="85">
        <v>79.0</v>
      </c>
      <c r="H121" s="85">
        <v>1.0</v>
      </c>
      <c r="I121" s="85">
        <v>80.0</v>
      </c>
      <c r="J121" s="95">
        <f t="shared" si="85"/>
        <v>-1</v>
      </c>
      <c r="K121" s="87">
        <f t="shared" si="86"/>
        <v>0.9875</v>
      </c>
      <c r="L121" s="85">
        <v>14.0</v>
      </c>
      <c r="M121" s="85">
        <v>107.0</v>
      </c>
      <c r="N121" s="85">
        <v>1.0</v>
      </c>
      <c r="O121" s="110">
        <f t="shared" si="93"/>
        <v>18</v>
      </c>
      <c r="P121" s="85">
        <v>1.0</v>
      </c>
      <c r="Q121" s="94">
        <v>0.0</v>
      </c>
      <c r="R121" s="85">
        <v>13.0</v>
      </c>
      <c r="S121" s="85">
        <v>1.0</v>
      </c>
      <c r="T121" s="85">
        <v>11.0</v>
      </c>
      <c r="U121" s="85">
        <v>2.0</v>
      </c>
      <c r="V121" s="85">
        <v>2.0</v>
      </c>
      <c r="W121" s="85">
        <v>1.0</v>
      </c>
      <c r="X121" s="94">
        <v>0.0</v>
      </c>
      <c r="Y121" s="94">
        <v>0.0</v>
      </c>
      <c r="Z121" s="94">
        <v>0.0</v>
      </c>
      <c r="AA121" s="94">
        <v>0.0</v>
      </c>
      <c r="AB121" s="94">
        <v>0.0</v>
      </c>
      <c r="AC121" s="85">
        <v>1.0</v>
      </c>
      <c r="AD121" s="94">
        <v>0.0</v>
      </c>
      <c r="AE121" s="94">
        <v>0.0</v>
      </c>
      <c r="AF121" s="94">
        <v>0.0</v>
      </c>
      <c r="AG121" s="94">
        <v>0.0</v>
      </c>
      <c r="AH121" s="94">
        <v>0.0</v>
      </c>
    </row>
    <row r="122" hidden="1">
      <c r="A122" s="83" t="s">
        <v>56</v>
      </c>
      <c r="B122" s="84" t="s">
        <v>205</v>
      </c>
      <c r="C122" s="85">
        <v>1.0</v>
      </c>
      <c r="D122" s="94">
        <v>0.0</v>
      </c>
      <c r="E122" s="86">
        <v>18.0</v>
      </c>
      <c r="F122" s="94">
        <v>0.0</v>
      </c>
      <c r="G122" s="85">
        <v>57.0</v>
      </c>
      <c r="H122" s="94">
        <v>0.0</v>
      </c>
      <c r="I122" s="85">
        <v>73.0</v>
      </c>
      <c r="J122" s="95">
        <f t="shared" si="85"/>
        <v>-16</v>
      </c>
      <c r="K122" s="87">
        <f t="shared" si="86"/>
        <v>0.7808219178</v>
      </c>
      <c r="L122" s="85">
        <v>15.0</v>
      </c>
      <c r="M122" s="85">
        <v>71.0</v>
      </c>
      <c r="N122" s="85">
        <v>1.0</v>
      </c>
      <c r="O122" s="110">
        <f t="shared" si="93"/>
        <v>18</v>
      </c>
      <c r="P122" s="85">
        <v>1.0</v>
      </c>
      <c r="Q122" s="85">
        <v>2.0</v>
      </c>
      <c r="R122" s="85">
        <v>3.0</v>
      </c>
      <c r="S122" s="85">
        <v>3.0</v>
      </c>
      <c r="T122" s="85">
        <v>8.0</v>
      </c>
      <c r="U122" s="85">
        <v>1.0</v>
      </c>
      <c r="V122" s="94">
        <v>0.0</v>
      </c>
      <c r="W122" s="94">
        <v>0.0</v>
      </c>
      <c r="X122" s="94">
        <v>0.0</v>
      </c>
      <c r="Y122" s="94">
        <v>0.0</v>
      </c>
      <c r="Z122" s="94">
        <v>0.0</v>
      </c>
      <c r="AA122" s="94">
        <v>0.0</v>
      </c>
      <c r="AB122" s="94">
        <v>0.0</v>
      </c>
      <c r="AC122" s="85">
        <v>2.0</v>
      </c>
      <c r="AD122" s="94">
        <v>0.0</v>
      </c>
      <c r="AE122" s="94">
        <v>0.0</v>
      </c>
      <c r="AF122" s="94">
        <v>0.0</v>
      </c>
      <c r="AG122" s="94">
        <v>0.0</v>
      </c>
      <c r="AH122" s="94">
        <v>0.0</v>
      </c>
    </row>
    <row r="123" hidden="1">
      <c r="A123" s="83" t="s">
        <v>56</v>
      </c>
      <c r="B123" s="84" t="s">
        <v>206</v>
      </c>
      <c r="C123" s="94">
        <v>0.0</v>
      </c>
      <c r="D123" s="94">
        <v>0.0</v>
      </c>
      <c r="E123" s="96">
        <f>SUM(L123*I123)/60</f>
        <v>0</v>
      </c>
      <c r="F123" s="94">
        <v>0.0</v>
      </c>
      <c r="G123" s="94">
        <v>0.0</v>
      </c>
      <c r="H123" s="94">
        <v>0.0</v>
      </c>
      <c r="I123" s="94">
        <v>0.0</v>
      </c>
      <c r="J123" s="95">
        <f t="shared" si="85"/>
        <v>0</v>
      </c>
      <c r="K123" s="87" t="str">
        <f t="shared" si="86"/>
        <v>#DIV/0!</v>
      </c>
      <c r="L123" s="85">
        <v>25.0</v>
      </c>
      <c r="M123" s="94">
        <v>0.0</v>
      </c>
      <c r="N123" s="85">
        <v>0.0</v>
      </c>
      <c r="O123" s="110">
        <f t="shared" si="93"/>
        <v>0</v>
      </c>
      <c r="P123" s="94">
        <v>0.0</v>
      </c>
      <c r="Q123" s="94">
        <v>0.0</v>
      </c>
      <c r="R123" s="94">
        <v>0.0</v>
      </c>
      <c r="S123" s="94">
        <v>0.0</v>
      </c>
      <c r="T123" s="94">
        <v>0.0</v>
      </c>
      <c r="U123" s="94">
        <v>0.0</v>
      </c>
      <c r="V123" s="94">
        <v>0.0</v>
      </c>
      <c r="W123" s="94">
        <v>0.0</v>
      </c>
      <c r="X123" s="94">
        <v>0.0</v>
      </c>
      <c r="Y123" s="94">
        <v>0.0</v>
      </c>
      <c r="Z123" s="94">
        <v>0.0</v>
      </c>
      <c r="AA123" s="94">
        <v>0.0</v>
      </c>
      <c r="AB123" s="94">
        <v>0.0</v>
      </c>
      <c r="AC123" s="94">
        <v>0.0</v>
      </c>
      <c r="AD123" s="94">
        <v>0.0</v>
      </c>
      <c r="AE123" s="94">
        <v>0.0</v>
      </c>
      <c r="AF123" s="94">
        <v>0.0</v>
      </c>
      <c r="AG123" s="94">
        <v>0.0</v>
      </c>
      <c r="AH123" s="94">
        <v>0.0</v>
      </c>
    </row>
    <row r="124" hidden="1">
      <c r="A124" s="83" t="s">
        <v>56</v>
      </c>
      <c r="B124" s="84" t="s">
        <v>207</v>
      </c>
      <c r="C124" s="85">
        <v>1.0</v>
      </c>
      <c r="D124" s="94">
        <v>0.0</v>
      </c>
      <c r="E124" s="86">
        <v>18.0</v>
      </c>
      <c r="F124" s="85">
        <v>1.0</v>
      </c>
      <c r="G124" s="85">
        <v>24.0</v>
      </c>
      <c r="H124" s="94">
        <v>0.0</v>
      </c>
      <c r="I124" s="85">
        <v>44.0</v>
      </c>
      <c r="J124" s="95">
        <f t="shared" si="85"/>
        <v>-20</v>
      </c>
      <c r="K124" s="87">
        <f t="shared" si="86"/>
        <v>0.5454545455</v>
      </c>
      <c r="L124" s="94">
        <v>0.0</v>
      </c>
      <c r="M124" s="85">
        <v>29.0</v>
      </c>
      <c r="N124" s="85">
        <v>1.0</v>
      </c>
      <c r="O124" s="110">
        <f t="shared" si="93"/>
        <v>18</v>
      </c>
      <c r="P124" s="85">
        <v>1.0</v>
      </c>
      <c r="Q124" s="85">
        <v>1.0</v>
      </c>
      <c r="R124" s="85">
        <v>2.0</v>
      </c>
      <c r="S124" s="85">
        <v>1.0</v>
      </c>
      <c r="T124" s="85">
        <v>1.0</v>
      </c>
      <c r="U124" s="94">
        <v>0.0</v>
      </c>
      <c r="V124" s="94">
        <v>0.0</v>
      </c>
      <c r="W124" s="94">
        <v>0.0</v>
      </c>
      <c r="X124" s="94">
        <v>0.0</v>
      </c>
      <c r="Y124" s="94">
        <v>0.0</v>
      </c>
      <c r="Z124" s="94">
        <v>0.0</v>
      </c>
      <c r="AA124" s="94">
        <v>0.0</v>
      </c>
      <c r="AB124" s="94">
        <v>0.0</v>
      </c>
      <c r="AC124" s="94">
        <v>0.0</v>
      </c>
      <c r="AD124" s="94">
        <v>0.0</v>
      </c>
      <c r="AE124" s="94">
        <v>0.0</v>
      </c>
      <c r="AF124" s="94">
        <v>0.0</v>
      </c>
      <c r="AG124" s="94">
        <v>0.0</v>
      </c>
      <c r="AH124" s="94">
        <v>0.0</v>
      </c>
    </row>
    <row r="125" hidden="1">
      <c r="A125" s="83" t="s">
        <v>56</v>
      </c>
      <c r="B125" s="93"/>
      <c r="C125" s="94">
        <v>0.0</v>
      </c>
      <c r="D125" s="94">
        <v>0.0</v>
      </c>
      <c r="E125" s="96">
        <f>SUM(L125*I125)/60</f>
        <v>0</v>
      </c>
      <c r="F125" s="94">
        <v>0.0</v>
      </c>
      <c r="G125" s="94">
        <v>0.0</v>
      </c>
      <c r="H125" s="94">
        <v>0.0</v>
      </c>
      <c r="I125" s="94">
        <v>0.0</v>
      </c>
      <c r="J125" s="95">
        <f t="shared" si="85"/>
        <v>0</v>
      </c>
      <c r="K125" s="87" t="str">
        <f t="shared" si="86"/>
        <v>#DIV/0!</v>
      </c>
      <c r="L125" s="94">
        <v>0.0</v>
      </c>
      <c r="M125" s="94">
        <v>0.0</v>
      </c>
      <c r="N125" s="85">
        <v>0.0</v>
      </c>
      <c r="O125" s="110">
        <f t="shared" si="93"/>
        <v>0</v>
      </c>
      <c r="P125" s="94">
        <v>0.0</v>
      </c>
      <c r="Q125" s="94">
        <v>0.0</v>
      </c>
      <c r="R125" s="94">
        <v>0.0</v>
      </c>
      <c r="S125" s="94">
        <v>0.0</v>
      </c>
      <c r="T125" s="94">
        <v>0.0</v>
      </c>
      <c r="U125" s="94">
        <v>0.0</v>
      </c>
      <c r="V125" s="94">
        <v>0.0</v>
      </c>
      <c r="W125" s="94">
        <v>0.0</v>
      </c>
      <c r="X125" s="94">
        <v>0.0</v>
      </c>
      <c r="Y125" s="94">
        <v>0.0</v>
      </c>
      <c r="Z125" s="94">
        <v>0.0</v>
      </c>
      <c r="AA125" s="94">
        <v>0.0</v>
      </c>
      <c r="AB125" s="94">
        <v>0.0</v>
      </c>
      <c r="AC125" s="94">
        <v>0.0</v>
      </c>
      <c r="AD125" s="94">
        <v>0.0</v>
      </c>
      <c r="AE125" s="94">
        <v>0.0</v>
      </c>
      <c r="AF125" s="94">
        <v>0.0</v>
      </c>
      <c r="AG125" s="94">
        <v>0.0</v>
      </c>
      <c r="AH125" s="94">
        <v>0.0</v>
      </c>
    </row>
    <row r="126" hidden="1">
      <c r="A126" s="89" t="s">
        <v>185</v>
      </c>
      <c r="B126" s="111"/>
      <c r="C126" s="111">
        <f>SUM(C120:C125)</f>
        <v>4</v>
      </c>
      <c r="D126" s="111">
        <f t="shared" ref="D126:E126" si="94">SUM(D120:D125)/4</f>
        <v>0</v>
      </c>
      <c r="E126" s="91">
        <f t="shared" si="94"/>
        <v>18</v>
      </c>
      <c r="F126" s="111">
        <f t="shared" ref="F126:G126" si="95">SUM(F120:F125)</f>
        <v>1</v>
      </c>
      <c r="G126" s="111">
        <f t="shared" si="95"/>
        <v>236</v>
      </c>
      <c r="H126" s="111"/>
      <c r="I126" s="111">
        <f>SUM(I120:I125)</f>
        <v>274</v>
      </c>
      <c r="J126" s="111">
        <f t="shared" si="85"/>
        <v>-38</v>
      </c>
      <c r="K126" s="92">
        <f t="shared" si="86"/>
        <v>0.8613138686</v>
      </c>
      <c r="L126" s="111">
        <f t="shared" ref="L126:M126" si="96">SUM(L120:L125)</f>
        <v>68</v>
      </c>
      <c r="M126" s="111">
        <f t="shared" si="96"/>
        <v>307</v>
      </c>
      <c r="N126" s="111"/>
      <c r="O126" s="112"/>
      <c r="P126" s="111">
        <f t="shared" ref="P126:AH126" si="97">SUM(P120:P125)</f>
        <v>6</v>
      </c>
      <c r="Q126" s="111">
        <f t="shared" si="97"/>
        <v>4</v>
      </c>
      <c r="R126" s="111">
        <f t="shared" si="97"/>
        <v>28</v>
      </c>
      <c r="S126" s="111">
        <f t="shared" si="97"/>
        <v>8</v>
      </c>
      <c r="T126" s="111">
        <f t="shared" si="97"/>
        <v>28</v>
      </c>
      <c r="U126" s="111">
        <f t="shared" si="97"/>
        <v>4</v>
      </c>
      <c r="V126" s="111">
        <f t="shared" si="97"/>
        <v>2</v>
      </c>
      <c r="W126" s="111">
        <f t="shared" si="97"/>
        <v>1</v>
      </c>
      <c r="X126" s="111">
        <f t="shared" si="97"/>
        <v>0</v>
      </c>
      <c r="Y126" s="111">
        <f t="shared" si="97"/>
        <v>0</v>
      </c>
      <c r="Z126" s="111">
        <f t="shared" si="97"/>
        <v>0</v>
      </c>
      <c r="AA126" s="111">
        <f t="shared" si="97"/>
        <v>0</v>
      </c>
      <c r="AB126" s="111">
        <f t="shared" si="97"/>
        <v>0</v>
      </c>
      <c r="AC126" s="111">
        <f t="shared" si="97"/>
        <v>4</v>
      </c>
      <c r="AD126" s="111">
        <f t="shared" si="97"/>
        <v>0</v>
      </c>
      <c r="AE126" s="111">
        <f t="shared" si="97"/>
        <v>0</v>
      </c>
      <c r="AF126" s="111">
        <f t="shared" si="97"/>
        <v>0</v>
      </c>
      <c r="AG126" s="111">
        <f t="shared" si="97"/>
        <v>0</v>
      </c>
      <c r="AH126" s="111">
        <f t="shared" si="97"/>
        <v>0</v>
      </c>
    </row>
    <row r="127">
      <c r="A127" s="113" t="s">
        <v>262</v>
      </c>
    </row>
    <row r="129" hidden="1">
      <c r="A129" s="105"/>
      <c r="F129" s="106" t="s">
        <v>251</v>
      </c>
      <c r="L129" s="107" t="s">
        <v>252</v>
      </c>
      <c r="N129" s="108" t="s">
        <v>253</v>
      </c>
    </row>
    <row r="130" hidden="1">
      <c r="A130" s="76" t="s">
        <v>148</v>
      </c>
      <c r="B130" s="76" t="s">
        <v>149</v>
      </c>
      <c r="C130" s="76" t="s">
        <v>150</v>
      </c>
      <c r="D130" s="76" t="s">
        <v>13</v>
      </c>
      <c r="E130" s="77" t="s">
        <v>151</v>
      </c>
      <c r="F130" s="78" t="s">
        <v>15</v>
      </c>
      <c r="G130" s="78" t="s">
        <v>152</v>
      </c>
      <c r="H130" s="78" t="s">
        <v>153</v>
      </c>
      <c r="I130" s="78" t="s">
        <v>154</v>
      </c>
      <c r="J130" s="78" t="s">
        <v>155</v>
      </c>
      <c r="K130" s="79" t="s">
        <v>156</v>
      </c>
      <c r="L130" s="80" t="s">
        <v>157</v>
      </c>
      <c r="M130" s="80" t="s">
        <v>158</v>
      </c>
      <c r="N130" s="81" t="s">
        <v>254</v>
      </c>
      <c r="O130" s="81" t="s">
        <v>151</v>
      </c>
      <c r="P130" s="81" t="s">
        <v>160</v>
      </c>
      <c r="Q130" s="81" t="s">
        <v>161</v>
      </c>
      <c r="R130" s="81" t="s">
        <v>162</v>
      </c>
      <c r="S130" s="81" t="s">
        <v>163</v>
      </c>
      <c r="T130" s="81" t="s">
        <v>164</v>
      </c>
      <c r="U130" s="81" t="s">
        <v>165</v>
      </c>
      <c r="V130" s="81" t="s">
        <v>166</v>
      </c>
      <c r="W130" s="81" t="s">
        <v>167</v>
      </c>
      <c r="X130" s="81" t="s">
        <v>168</v>
      </c>
      <c r="Y130" s="81" t="s">
        <v>169</v>
      </c>
      <c r="Z130" s="81" t="s">
        <v>170</v>
      </c>
      <c r="AA130" s="81" t="s">
        <v>171</v>
      </c>
      <c r="AB130" s="81" t="s">
        <v>172</v>
      </c>
      <c r="AC130" s="81" t="s">
        <v>173</v>
      </c>
      <c r="AD130" s="81" t="s">
        <v>174</v>
      </c>
      <c r="AE130" s="81" t="s">
        <v>175</v>
      </c>
      <c r="AF130" s="81" t="s">
        <v>176</v>
      </c>
      <c r="AG130" s="81" t="s">
        <v>177</v>
      </c>
      <c r="AH130" s="81" t="s">
        <v>178</v>
      </c>
    </row>
    <row r="131" hidden="1">
      <c r="A131" s="83" t="s">
        <v>40</v>
      </c>
      <c r="B131" s="84" t="s">
        <v>216</v>
      </c>
      <c r="C131" s="85">
        <v>1.0</v>
      </c>
      <c r="D131" s="94">
        <v>0.0</v>
      </c>
      <c r="E131" s="86">
        <v>13.0</v>
      </c>
      <c r="F131" s="94">
        <v>0.0</v>
      </c>
      <c r="G131" s="85">
        <v>21.0</v>
      </c>
      <c r="H131" s="85">
        <v>1.0</v>
      </c>
      <c r="I131" s="85">
        <v>39.0</v>
      </c>
      <c r="J131" s="95">
        <f t="shared" ref="J131:J144" si="98">SUM(G131-I131)</f>
        <v>-18</v>
      </c>
      <c r="K131" s="87">
        <f t="shared" ref="K131:K144" si="99">SUM(G131/I131)</f>
        <v>0.5384615385</v>
      </c>
      <c r="L131" s="85">
        <v>16.0</v>
      </c>
      <c r="M131" s="85">
        <v>24.0</v>
      </c>
      <c r="N131" s="85">
        <v>1.0</v>
      </c>
      <c r="O131" s="110">
        <f t="shared" ref="O131:O136" si="100">(E131*N131)</f>
        <v>13</v>
      </c>
      <c r="P131" s="85">
        <v>2.0</v>
      </c>
      <c r="Q131" s="85">
        <v>2.0</v>
      </c>
      <c r="R131" s="94">
        <v>0.0</v>
      </c>
      <c r="S131" s="94">
        <v>0.0</v>
      </c>
      <c r="T131" s="85">
        <v>2.0</v>
      </c>
      <c r="U131" s="94">
        <v>0.0</v>
      </c>
      <c r="V131" s="94">
        <v>0.0</v>
      </c>
      <c r="W131" s="94">
        <v>0.0</v>
      </c>
      <c r="X131" s="94">
        <v>0.0</v>
      </c>
      <c r="Y131" s="94">
        <v>0.0</v>
      </c>
      <c r="Z131" s="94">
        <v>0.0</v>
      </c>
      <c r="AA131" s="94">
        <v>0.0</v>
      </c>
      <c r="AB131" s="94">
        <v>0.0</v>
      </c>
      <c r="AC131" s="94">
        <v>0.0</v>
      </c>
      <c r="AD131" s="94">
        <v>0.0</v>
      </c>
      <c r="AE131" s="94">
        <v>0.0</v>
      </c>
      <c r="AF131" s="94">
        <v>0.0</v>
      </c>
      <c r="AG131" s="94">
        <v>0.0</v>
      </c>
      <c r="AH131" s="94">
        <v>0.0</v>
      </c>
    </row>
    <row r="132" hidden="1">
      <c r="A132" s="83" t="s">
        <v>40</v>
      </c>
      <c r="B132" s="84" t="s">
        <v>217</v>
      </c>
      <c r="C132" s="85">
        <v>1.0</v>
      </c>
      <c r="D132" s="94">
        <v>0.0</v>
      </c>
      <c r="E132" s="86">
        <v>13.0</v>
      </c>
      <c r="F132" s="94">
        <v>0.0</v>
      </c>
      <c r="G132" s="85">
        <v>44.0</v>
      </c>
      <c r="H132" s="94">
        <v>0.0</v>
      </c>
      <c r="I132" s="85">
        <v>45.0</v>
      </c>
      <c r="J132" s="95">
        <f t="shared" si="98"/>
        <v>-1</v>
      </c>
      <c r="K132" s="87">
        <f t="shared" si="99"/>
        <v>0.9777777778</v>
      </c>
      <c r="L132" s="85">
        <v>14.0</v>
      </c>
      <c r="M132" s="85">
        <v>50.0</v>
      </c>
      <c r="N132" s="85">
        <v>1.0</v>
      </c>
      <c r="O132" s="110">
        <f t="shared" si="100"/>
        <v>13</v>
      </c>
      <c r="P132" s="85">
        <v>1.0</v>
      </c>
      <c r="Q132" s="94">
        <v>0.0</v>
      </c>
      <c r="R132" s="94">
        <v>0.0</v>
      </c>
      <c r="S132" s="85">
        <v>1.0</v>
      </c>
      <c r="T132" s="85">
        <v>5.0</v>
      </c>
      <c r="U132" s="94">
        <v>0.0</v>
      </c>
      <c r="V132" s="94">
        <v>0.0</v>
      </c>
      <c r="W132" s="94">
        <v>0.0</v>
      </c>
      <c r="X132" s="94">
        <v>0.0</v>
      </c>
      <c r="Y132" s="94">
        <v>0.0</v>
      </c>
      <c r="Z132" s="94">
        <v>0.0</v>
      </c>
      <c r="AA132" s="94">
        <v>0.0</v>
      </c>
      <c r="AB132" s="94">
        <v>0.0</v>
      </c>
      <c r="AC132" s="85">
        <v>1.0</v>
      </c>
      <c r="AD132" s="94">
        <v>0.0</v>
      </c>
      <c r="AE132" s="94">
        <v>0.0</v>
      </c>
      <c r="AF132" s="94">
        <v>0.0</v>
      </c>
      <c r="AG132" s="94">
        <v>0.0</v>
      </c>
      <c r="AH132" s="94">
        <v>0.0</v>
      </c>
    </row>
    <row r="133" hidden="1">
      <c r="A133" s="83" t="s">
        <v>40</v>
      </c>
      <c r="B133" s="84" t="s">
        <v>218</v>
      </c>
      <c r="C133" s="85">
        <v>1.0</v>
      </c>
      <c r="D133" s="94">
        <v>0.0</v>
      </c>
      <c r="E133" s="86">
        <v>13.0</v>
      </c>
      <c r="F133" s="94">
        <v>0.0</v>
      </c>
      <c r="G133" s="85">
        <v>43.0</v>
      </c>
      <c r="H133" s="85">
        <v>4.0</v>
      </c>
      <c r="I133" s="85">
        <v>45.0</v>
      </c>
      <c r="J133" s="95">
        <f t="shared" si="98"/>
        <v>-2</v>
      </c>
      <c r="K133" s="87">
        <f t="shared" si="99"/>
        <v>0.9555555556</v>
      </c>
      <c r="L133" s="85">
        <v>14.0</v>
      </c>
      <c r="M133" s="85">
        <v>53.0</v>
      </c>
      <c r="N133" s="85">
        <v>1.0</v>
      </c>
      <c r="O133" s="110">
        <f t="shared" si="100"/>
        <v>13</v>
      </c>
      <c r="P133" s="85">
        <v>3.0</v>
      </c>
      <c r="Q133" s="94">
        <v>0.0</v>
      </c>
      <c r="R133" s="85">
        <v>4.0</v>
      </c>
      <c r="S133" s="94">
        <v>0.0</v>
      </c>
      <c r="T133" s="85">
        <v>6.0</v>
      </c>
      <c r="U133" s="94">
        <v>0.0</v>
      </c>
      <c r="V133" s="94">
        <v>0.0</v>
      </c>
      <c r="W133" s="94">
        <v>0.0</v>
      </c>
      <c r="X133" s="94">
        <v>0.0</v>
      </c>
      <c r="Y133" s="94">
        <v>0.0</v>
      </c>
      <c r="Z133" s="94">
        <v>0.0</v>
      </c>
      <c r="AA133" s="94">
        <v>0.0</v>
      </c>
      <c r="AB133" s="94">
        <v>0.0</v>
      </c>
      <c r="AC133" s="85">
        <v>1.0</v>
      </c>
      <c r="AD133" s="94">
        <v>0.0</v>
      </c>
      <c r="AE133" s="94">
        <v>0.0</v>
      </c>
      <c r="AF133" s="94">
        <v>0.0</v>
      </c>
      <c r="AG133" s="94">
        <v>0.0</v>
      </c>
      <c r="AH133" s="94">
        <v>0.0</v>
      </c>
    </row>
    <row r="134" hidden="1">
      <c r="A134" s="83" t="s">
        <v>40</v>
      </c>
      <c r="B134" s="84" t="s">
        <v>219</v>
      </c>
      <c r="C134" s="94">
        <v>0.0</v>
      </c>
      <c r="D134" s="94">
        <v>0.0</v>
      </c>
      <c r="E134" s="96">
        <f t="shared" ref="E134:E135" si="101">SUM(L134*I134)/60</f>
        <v>0</v>
      </c>
      <c r="F134" s="94">
        <v>0.0</v>
      </c>
      <c r="G134" s="94">
        <v>0.0</v>
      </c>
      <c r="H134" s="94">
        <v>0.0</v>
      </c>
      <c r="I134" s="94">
        <v>0.0</v>
      </c>
      <c r="J134" s="95">
        <f t="shared" si="98"/>
        <v>0</v>
      </c>
      <c r="K134" s="87" t="str">
        <f t="shared" si="99"/>
        <v>#DIV/0!</v>
      </c>
      <c r="L134" s="94">
        <v>0.0</v>
      </c>
      <c r="M134" s="94">
        <v>0.0</v>
      </c>
      <c r="N134" s="85">
        <v>0.0</v>
      </c>
      <c r="O134" s="110">
        <f t="shared" si="100"/>
        <v>0</v>
      </c>
      <c r="P134" s="94">
        <v>0.0</v>
      </c>
      <c r="Q134" s="94">
        <v>0.0</v>
      </c>
      <c r="R134" s="94">
        <v>0.0</v>
      </c>
      <c r="S134" s="94">
        <v>0.0</v>
      </c>
      <c r="T134" s="94">
        <v>0.0</v>
      </c>
      <c r="U134" s="94">
        <v>0.0</v>
      </c>
      <c r="V134" s="94">
        <v>0.0</v>
      </c>
      <c r="W134" s="94">
        <v>0.0</v>
      </c>
      <c r="X134" s="94">
        <v>0.0</v>
      </c>
      <c r="Y134" s="94">
        <v>0.0</v>
      </c>
      <c r="Z134" s="94">
        <v>0.0</v>
      </c>
      <c r="AA134" s="94">
        <v>0.0</v>
      </c>
      <c r="AB134" s="94">
        <v>0.0</v>
      </c>
      <c r="AC134" s="94">
        <v>0.0</v>
      </c>
      <c r="AD134" s="94">
        <v>0.0</v>
      </c>
      <c r="AE134" s="94">
        <v>0.0</v>
      </c>
      <c r="AF134" s="94">
        <v>0.0</v>
      </c>
      <c r="AG134" s="94">
        <v>0.0</v>
      </c>
      <c r="AH134" s="94">
        <v>0.0</v>
      </c>
    </row>
    <row r="135" hidden="1">
      <c r="A135" s="83" t="s">
        <v>40</v>
      </c>
      <c r="B135" s="84" t="s">
        <v>220</v>
      </c>
      <c r="C135" s="94">
        <v>0.0</v>
      </c>
      <c r="D135" s="94">
        <v>0.0</v>
      </c>
      <c r="E135" s="96">
        <f t="shared" si="101"/>
        <v>0</v>
      </c>
      <c r="F135" s="94">
        <v>0.0</v>
      </c>
      <c r="G135" s="94">
        <v>0.0</v>
      </c>
      <c r="H135" s="94">
        <v>0.0</v>
      </c>
      <c r="I135" s="94">
        <v>0.0</v>
      </c>
      <c r="J135" s="95">
        <f t="shared" si="98"/>
        <v>0</v>
      </c>
      <c r="K135" s="87" t="str">
        <f t="shared" si="99"/>
        <v>#DIV/0!</v>
      </c>
      <c r="L135" s="94">
        <v>0.0</v>
      </c>
      <c r="M135" s="94">
        <v>0.0</v>
      </c>
      <c r="N135" s="85">
        <v>0.0</v>
      </c>
      <c r="O135" s="110">
        <f t="shared" si="100"/>
        <v>0</v>
      </c>
      <c r="P135" s="94">
        <v>0.0</v>
      </c>
      <c r="Q135" s="94">
        <v>0.0</v>
      </c>
      <c r="R135" s="94">
        <v>0.0</v>
      </c>
      <c r="S135" s="94">
        <v>0.0</v>
      </c>
      <c r="T135" s="94">
        <v>0.0</v>
      </c>
      <c r="U135" s="94">
        <v>0.0</v>
      </c>
      <c r="V135" s="94">
        <v>0.0</v>
      </c>
      <c r="W135" s="94">
        <v>0.0</v>
      </c>
      <c r="X135" s="94">
        <v>0.0</v>
      </c>
      <c r="Y135" s="94">
        <v>0.0</v>
      </c>
      <c r="Z135" s="94">
        <v>0.0</v>
      </c>
      <c r="AA135" s="94">
        <v>0.0</v>
      </c>
      <c r="AB135" s="94">
        <v>0.0</v>
      </c>
      <c r="AC135" s="94">
        <v>0.0</v>
      </c>
      <c r="AD135" s="94">
        <v>0.0</v>
      </c>
      <c r="AE135" s="94">
        <v>0.0</v>
      </c>
      <c r="AF135" s="94">
        <v>0.0</v>
      </c>
      <c r="AG135" s="94">
        <v>0.0</v>
      </c>
      <c r="AH135" s="94">
        <v>0.0</v>
      </c>
    </row>
    <row r="136" hidden="1">
      <c r="A136" s="83" t="s">
        <v>40</v>
      </c>
      <c r="B136" s="84" t="s">
        <v>212</v>
      </c>
      <c r="C136" s="85">
        <v>1.0</v>
      </c>
      <c r="D136" s="94">
        <v>0.0</v>
      </c>
      <c r="E136" s="86">
        <v>13.0</v>
      </c>
      <c r="F136" s="94">
        <v>0.0</v>
      </c>
      <c r="G136" s="85">
        <v>42.0</v>
      </c>
      <c r="H136" s="94">
        <v>0.0</v>
      </c>
      <c r="I136" s="85">
        <v>45.0</v>
      </c>
      <c r="J136" s="95">
        <f t="shared" si="98"/>
        <v>-3</v>
      </c>
      <c r="K136" s="87">
        <f t="shared" si="99"/>
        <v>0.9333333333</v>
      </c>
      <c r="L136" s="85">
        <v>14.0</v>
      </c>
      <c r="M136" s="85">
        <v>50.0</v>
      </c>
      <c r="N136" s="85">
        <v>1.0</v>
      </c>
      <c r="O136" s="110">
        <f t="shared" si="100"/>
        <v>13</v>
      </c>
      <c r="P136" s="85">
        <v>1.0</v>
      </c>
      <c r="Q136" s="85">
        <v>1.0</v>
      </c>
      <c r="R136" s="85">
        <v>2.0</v>
      </c>
      <c r="S136" s="85">
        <v>1.0</v>
      </c>
      <c r="T136" s="85">
        <v>5.0</v>
      </c>
      <c r="U136" s="94">
        <v>0.0</v>
      </c>
      <c r="V136" s="94">
        <v>0.0</v>
      </c>
      <c r="W136" s="94">
        <v>0.0</v>
      </c>
      <c r="X136" s="94">
        <v>0.0</v>
      </c>
      <c r="Y136" s="94">
        <v>0.0</v>
      </c>
      <c r="Z136" s="94">
        <v>0.0</v>
      </c>
      <c r="AA136" s="94">
        <v>0.0</v>
      </c>
      <c r="AB136" s="94">
        <v>0.0</v>
      </c>
      <c r="AC136" s="85">
        <v>2.0</v>
      </c>
      <c r="AD136" s="94">
        <v>0.0</v>
      </c>
      <c r="AE136" s="94">
        <v>0.0</v>
      </c>
      <c r="AF136" s="94">
        <v>0.0</v>
      </c>
      <c r="AG136" s="94">
        <v>0.0</v>
      </c>
      <c r="AH136" s="94">
        <v>0.0</v>
      </c>
    </row>
    <row r="137" hidden="1">
      <c r="A137" s="89"/>
      <c r="B137" s="111"/>
      <c r="C137" s="111">
        <f t="shared" ref="C137:D137" si="102">SUM(C131:C136)/4</f>
        <v>1</v>
      </c>
      <c r="D137" s="111">
        <f t="shared" si="102"/>
        <v>0</v>
      </c>
      <c r="E137" s="91">
        <f t="shared" ref="E137:G137" si="103">SUM(E131:E136)</f>
        <v>52</v>
      </c>
      <c r="F137" s="111">
        <f t="shared" si="103"/>
        <v>0</v>
      </c>
      <c r="G137" s="111">
        <f t="shared" si="103"/>
        <v>150</v>
      </c>
      <c r="H137" s="111"/>
      <c r="I137" s="111">
        <f>SUM(I131:I136)</f>
        <v>174</v>
      </c>
      <c r="J137" s="111">
        <f t="shared" si="98"/>
        <v>-24</v>
      </c>
      <c r="K137" s="92">
        <f t="shared" si="99"/>
        <v>0.8620689655</v>
      </c>
      <c r="L137" s="111">
        <f t="shared" ref="L137:M137" si="104">SUM(L131:L136)</f>
        <v>58</v>
      </c>
      <c r="M137" s="111">
        <f t="shared" si="104"/>
        <v>177</v>
      </c>
      <c r="N137" s="111"/>
      <c r="O137" s="112"/>
      <c r="P137" s="111">
        <f t="shared" ref="P137:AH137" si="105">SUM(P131:P136)</f>
        <v>7</v>
      </c>
      <c r="Q137" s="111">
        <f t="shared" si="105"/>
        <v>3</v>
      </c>
      <c r="R137" s="111">
        <f t="shared" si="105"/>
        <v>6</v>
      </c>
      <c r="S137" s="111">
        <f t="shared" si="105"/>
        <v>2</v>
      </c>
      <c r="T137" s="111">
        <f t="shared" si="105"/>
        <v>18</v>
      </c>
      <c r="U137" s="111">
        <f t="shared" si="105"/>
        <v>0</v>
      </c>
      <c r="V137" s="111">
        <f t="shared" si="105"/>
        <v>0</v>
      </c>
      <c r="W137" s="111">
        <f t="shared" si="105"/>
        <v>0</v>
      </c>
      <c r="X137" s="111">
        <f t="shared" si="105"/>
        <v>0</v>
      </c>
      <c r="Y137" s="111">
        <f t="shared" si="105"/>
        <v>0</v>
      </c>
      <c r="Z137" s="111">
        <f t="shared" si="105"/>
        <v>0</v>
      </c>
      <c r="AA137" s="111">
        <f t="shared" si="105"/>
        <v>0</v>
      </c>
      <c r="AB137" s="111">
        <f t="shared" si="105"/>
        <v>0</v>
      </c>
      <c r="AC137" s="111">
        <f t="shared" si="105"/>
        <v>4</v>
      </c>
      <c r="AD137" s="111">
        <f t="shared" si="105"/>
        <v>0</v>
      </c>
      <c r="AE137" s="111">
        <f t="shared" si="105"/>
        <v>0</v>
      </c>
      <c r="AF137" s="111">
        <f t="shared" si="105"/>
        <v>0</v>
      </c>
      <c r="AG137" s="111">
        <f t="shared" si="105"/>
        <v>0</v>
      </c>
      <c r="AH137" s="111">
        <f t="shared" si="105"/>
        <v>0</v>
      </c>
    </row>
    <row r="138" hidden="1">
      <c r="A138" s="83" t="s">
        <v>47</v>
      </c>
      <c r="B138" s="84" t="s">
        <v>237</v>
      </c>
      <c r="C138" s="85">
        <v>1.0</v>
      </c>
      <c r="D138" s="94">
        <v>0.0</v>
      </c>
      <c r="E138" s="86">
        <v>13.0</v>
      </c>
      <c r="F138" s="94">
        <v>0.0</v>
      </c>
      <c r="G138" s="85">
        <v>52.0</v>
      </c>
      <c r="H138" s="85">
        <v>1.0</v>
      </c>
      <c r="I138" s="85">
        <v>44.0</v>
      </c>
      <c r="J138" s="95">
        <f t="shared" si="98"/>
        <v>8</v>
      </c>
      <c r="K138" s="87">
        <f t="shared" si="99"/>
        <v>1.181818182</v>
      </c>
      <c r="L138" s="85">
        <v>14.0</v>
      </c>
      <c r="M138" s="85">
        <v>72.0</v>
      </c>
      <c r="N138" s="85">
        <v>1.0</v>
      </c>
      <c r="O138" s="110">
        <f t="shared" ref="O138:O143" si="106">(E138*N138)</f>
        <v>13</v>
      </c>
      <c r="P138" s="94">
        <v>0.0</v>
      </c>
      <c r="Q138" s="94">
        <v>0.0</v>
      </c>
      <c r="R138" s="85">
        <v>4.0</v>
      </c>
      <c r="S138" s="85">
        <v>3.0</v>
      </c>
      <c r="T138" s="85">
        <v>11.0</v>
      </c>
      <c r="U138" s="85">
        <v>1.0</v>
      </c>
      <c r="V138" s="94">
        <v>0.0</v>
      </c>
      <c r="W138" s="94">
        <v>0.0</v>
      </c>
      <c r="X138" s="94">
        <v>0.0</v>
      </c>
      <c r="Y138" s="94">
        <v>0.0</v>
      </c>
      <c r="Z138" s="94">
        <v>0.0</v>
      </c>
      <c r="AA138" s="94">
        <v>0.0</v>
      </c>
      <c r="AB138" s="94">
        <v>0.0</v>
      </c>
      <c r="AC138" s="85">
        <v>1.0</v>
      </c>
      <c r="AD138" s="94">
        <v>0.0</v>
      </c>
      <c r="AE138" s="94">
        <v>0.0</v>
      </c>
      <c r="AF138" s="94">
        <v>0.0</v>
      </c>
      <c r="AG138" s="94">
        <v>0.0</v>
      </c>
      <c r="AH138" s="94">
        <v>0.0</v>
      </c>
    </row>
    <row r="139" hidden="1">
      <c r="A139" s="83" t="s">
        <v>47</v>
      </c>
      <c r="B139" s="84" t="s">
        <v>238</v>
      </c>
      <c r="C139" s="85">
        <v>1.0</v>
      </c>
      <c r="D139" s="94">
        <v>0.0</v>
      </c>
      <c r="E139" s="86">
        <v>13.0</v>
      </c>
      <c r="F139" s="85">
        <v>4.0</v>
      </c>
      <c r="G139" s="85">
        <v>33.0</v>
      </c>
      <c r="H139" s="94">
        <v>0.0</v>
      </c>
      <c r="I139" s="85">
        <v>22.0</v>
      </c>
      <c r="J139" s="95">
        <f t="shared" si="98"/>
        <v>11</v>
      </c>
      <c r="K139" s="87">
        <f t="shared" si="99"/>
        <v>1.5</v>
      </c>
      <c r="L139" s="85">
        <v>31.0</v>
      </c>
      <c r="M139" s="85">
        <v>49.0</v>
      </c>
      <c r="N139" s="85">
        <v>1.0</v>
      </c>
      <c r="O139" s="110">
        <f t="shared" si="106"/>
        <v>13</v>
      </c>
      <c r="P139" s="85">
        <v>6.0</v>
      </c>
      <c r="Q139" s="94">
        <v>0.0</v>
      </c>
      <c r="R139" s="85">
        <v>1.0</v>
      </c>
      <c r="S139" s="94">
        <v>0.0</v>
      </c>
      <c r="T139" s="85">
        <v>4.0</v>
      </c>
      <c r="U139" s="85">
        <v>1.0</v>
      </c>
      <c r="V139" s="94">
        <v>0.0</v>
      </c>
      <c r="W139" s="94">
        <v>0.0</v>
      </c>
      <c r="X139" s="94">
        <v>0.0</v>
      </c>
      <c r="Y139" s="94">
        <v>0.0</v>
      </c>
      <c r="Z139" s="94">
        <v>0.0</v>
      </c>
      <c r="AA139" s="94">
        <v>0.0</v>
      </c>
      <c r="AB139" s="94">
        <v>0.0</v>
      </c>
      <c r="AC139" s="94">
        <v>0.0</v>
      </c>
      <c r="AD139" s="94">
        <v>0.0</v>
      </c>
      <c r="AE139" s="94">
        <v>0.0</v>
      </c>
      <c r="AF139" s="94">
        <v>0.0</v>
      </c>
      <c r="AG139" s="94">
        <v>0.0</v>
      </c>
      <c r="AH139" s="94">
        <v>0.0</v>
      </c>
    </row>
    <row r="140" hidden="1">
      <c r="A140" s="83" t="s">
        <v>47</v>
      </c>
      <c r="B140" s="84" t="s">
        <v>239</v>
      </c>
      <c r="C140" s="85">
        <v>1.0</v>
      </c>
      <c r="D140" s="94">
        <v>0.0</v>
      </c>
      <c r="E140" s="86">
        <v>13.0</v>
      </c>
      <c r="F140" s="94">
        <v>0.0</v>
      </c>
      <c r="G140" s="85">
        <v>38.0</v>
      </c>
      <c r="H140" s="94">
        <v>0.0</v>
      </c>
      <c r="I140" s="85">
        <v>48.0</v>
      </c>
      <c r="J140" s="95">
        <f t="shared" si="98"/>
        <v>-10</v>
      </c>
      <c r="K140" s="87">
        <f t="shared" si="99"/>
        <v>0.7916666667</v>
      </c>
      <c r="L140" s="85">
        <v>13.0</v>
      </c>
      <c r="M140" s="85">
        <v>39.0</v>
      </c>
      <c r="N140" s="85">
        <v>1.0</v>
      </c>
      <c r="O140" s="110">
        <f t="shared" si="106"/>
        <v>13</v>
      </c>
      <c r="P140" s="85">
        <v>2.0</v>
      </c>
      <c r="Q140" s="94">
        <v>0.0</v>
      </c>
      <c r="R140" s="85">
        <v>2.0</v>
      </c>
      <c r="S140" s="85">
        <v>1.0</v>
      </c>
      <c r="T140" s="85">
        <v>5.0</v>
      </c>
      <c r="U140" s="94">
        <v>0.0</v>
      </c>
      <c r="V140" s="94">
        <v>0.0</v>
      </c>
      <c r="W140" s="94">
        <v>0.0</v>
      </c>
      <c r="X140" s="94">
        <v>0.0</v>
      </c>
      <c r="Y140" s="94">
        <v>0.0</v>
      </c>
      <c r="Z140" s="94">
        <v>0.0</v>
      </c>
      <c r="AA140" s="94">
        <v>0.0</v>
      </c>
      <c r="AB140" s="94">
        <v>0.0</v>
      </c>
      <c r="AC140" s="94">
        <v>0.0</v>
      </c>
      <c r="AD140" s="94">
        <v>0.0</v>
      </c>
      <c r="AE140" s="94">
        <v>0.0</v>
      </c>
      <c r="AF140" s="94">
        <v>0.0</v>
      </c>
      <c r="AG140" s="94">
        <v>0.0</v>
      </c>
      <c r="AH140" s="94">
        <v>0.0</v>
      </c>
    </row>
    <row r="141" hidden="1">
      <c r="A141" s="83" t="s">
        <v>47</v>
      </c>
      <c r="B141" s="84" t="s">
        <v>240</v>
      </c>
      <c r="C141" s="85">
        <v>1.0</v>
      </c>
      <c r="D141" s="94">
        <v>0.0</v>
      </c>
      <c r="E141" s="86">
        <v>13.0</v>
      </c>
      <c r="F141" s="85">
        <v>1.0</v>
      </c>
      <c r="G141" s="85">
        <v>46.0</v>
      </c>
      <c r="H141" s="94">
        <v>0.0</v>
      </c>
      <c r="I141" s="85">
        <v>41.0</v>
      </c>
      <c r="J141" s="95">
        <f t="shared" si="98"/>
        <v>5</v>
      </c>
      <c r="K141" s="87">
        <f t="shared" si="99"/>
        <v>1.12195122</v>
      </c>
      <c r="L141" s="85">
        <v>15.0</v>
      </c>
      <c r="M141" s="85">
        <v>58.0</v>
      </c>
      <c r="N141" s="85">
        <v>1.0</v>
      </c>
      <c r="O141" s="110">
        <f t="shared" si="106"/>
        <v>13</v>
      </c>
      <c r="P141" s="94">
        <v>0.0</v>
      </c>
      <c r="Q141" s="85">
        <v>2.0</v>
      </c>
      <c r="R141" s="85">
        <v>2.0</v>
      </c>
      <c r="S141" s="94">
        <v>0.0</v>
      </c>
      <c r="T141" s="85">
        <v>8.0</v>
      </c>
      <c r="U141" s="85">
        <v>3.0</v>
      </c>
      <c r="V141" s="85">
        <v>2.0</v>
      </c>
      <c r="W141" s="94">
        <v>0.0</v>
      </c>
      <c r="X141" s="94">
        <v>0.0</v>
      </c>
      <c r="Y141" s="94">
        <v>0.0</v>
      </c>
      <c r="Z141" s="94">
        <v>0.0</v>
      </c>
      <c r="AA141" s="94">
        <v>0.0</v>
      </c>
      <c r="AB141" s="94">
        <v>0.0</v>
      </c>
      <c r="AC141" s="85">
        <v>1.0</v>
      </c>
      <c r="AD141" s="94">
        <v>0.0</v>
      </c>
      <c r="AE141" s="94">
        <v>0.0</v>
      </c>
      <c r="AF141" s="94">
        <v>0.0</v>
      </c>
      <c r="AG141" s="94">
        <v>0.0</v>
      </c>
      <c r="AH141" s="94">
        <v>0.0</v>
      </c>
    </row>
    <row r="142" hidden="1">
      <c r="A142" s="83" t="s">
        <v>47</v>
      </c>
      <c r="B142" s="84" t="s">
        <v>241</v>
      </c>
      <c r="C142" s="94">
        <v>0.0</v>
      </c>
      <c r="D142" s="94">
        <v>0.0</v>
      </c>
      <c r="E142" s="96">
        <f t="shared" ref="E142:E143" si="107">SUM(L142*I142)/60</f>
        <v>0</v>
      </c>
      <c r="F142" s="94">
        <v>0.0</v>
      </c>
      <c r="G142" s="94">
        <v>0.0</v>
      </c>
      <c r="H142" s="94">
        <v>0.0</v>
      </c>
      <c r="I142" s="94">
        <v>0.0</v>
      </c>
      <c r="J142" s="95">
        <f t="shared" si="98"/>
        <v>0</v>
      </c>
      <c r="K142" s="87" t="str">
        <f t="shared" si="99"/>
        <v>#DIV/0!</v>
      </c>
      <c r="L142" s="94">
        <v>0.0</v>
      </c>
      <c r="M142" s="94">
        <v>0.0</v>
      </c>
      <c r="N142" s="85">
        <v>0.0</v>
      </c>
      <c r="O142" s="110">
        <f t="shared" si="106"/>
        <v>0</v>
      </c>
      <c r="P142" s="94">
        <v>0.0</v>
      </c>
      <c r="Q142" s="94">
        <v>0.0</v>
      </c>
      <c r="R142" s="94">
        <v>0.0</v>
      </c>
      <c r="S142" s="94">
        <v>0.0</v>
      </c>
      <c r="T142" s="94">
        <v>0.0</v>
      </c>
      <c r="U142" s="94">
        <v>0.0</v>
      </c>
      <c r="V142" s="94">
        <v>0.0</v>
      </c>
      <c r="W142" s="94">
        <v>0.0</v>
      </c>
      <c r="X142" s="94">
        <v>0.0</v>
      </c>
      <c r="Y142" s="94">
        <v>0.0</v>
      </c>
      <c r="Z142" s="94">
        <v>0.0</v>
      </c>
      <c r="AA142" s="94">
        <v>0.0</v>
      </c>
      <c r="AB142" s="94">
        <v>0.0</v>
      </c>
      <c r="AC142" s="94">
        <v>0.0</v>
      </c>
      <c r="AD142" s="94">
        <v>0.0</v>
      </c>
      <c r="AE142" s="94">
        <v>0.0</v>
      </c>
      <c r="AF142" s="94">
        <v>0.0</v>
      </c>
      <c r="AG142" s="94">
        <v>0.0</v>
      </c>
      <c r="AH142" s="94">
        <v>0.0</v>
      </c>
    </row>
    <row r="143" hidden="1">
      <c r="A143" s="83" t="s">
        <v>47</v>
      </c>
      <c r="B143" s="114"/>
      <c r="C143" s="94">
        <v>0.0</v>
      </c>
      <c r="D143" s="94">
        <v>0.0</v>
      </c>
      <c r="E143" s="96">
        <f t="shared" si="107"/>
        <v>0</v>
      </c>
      <c r="F143" s="94">
        <v>0.0</v>
      </c>
      <c r="G143" s="94">
        <v>0.0</v>
      </c>
      <c r="H143" s="94">
        <v>0.0</v>
      </c>
      <c r="I143" s="94">
        <v>0.0</v>
      </c>
      <c r="J143" s="95">
        <f t="shared" si="98"/>
        <v>0</v>
      </c>
      <c r="K143" s="87" t="str">
        <f t="shared" si="99"/>
        <v>#DIV/0!</v>
      </c>
      <c r="L143" s="94">
        <v>0.0</v>
      </c>
      <c r="M143" s="94">
        <v>0.0</v>
      </c>
      <c r="N143" s="85">
        <v>0.0</v>
      </c>
      <c r="O143" s="110">
        <f t="shared" si="106"/>
        <v>0</v>
      </c>
      <c r="P143" s="94">
        <v>0.0</v>
      </c>
      <c r="Q143" s="94">
        <v>0.0</v>
      </c>
      <c r="R143" s="94">
        <v>0.0</v>
      </c>
      <c r="S143" s="94">
        <v>0.0</v>
      </c>
      <c r="T143" s="94">
        <v>0.0</v>
      </c>
      <c r="U143" s="94">
        <v>0.0</v>
      </c>
      <c r="V143" s="94">
        <v>0.0</v>
      </c>
      <c r="W143" s="94">
        <v>0.0</v>
      </c>
      <c r="X143" s="94">
        <v>0.0</v>
      </c>
      <c r="Y143" s="94">
        <v>0.0</v>
      </c>
      <c r="Z143" s="94">
        <v>0.0</v>
      </c>
      <c r="AA143" s="94">
        <v>0.0</v>
      </c>
      <c r="AB143" s="94">
        <v>0.0</v>
      </c>
      <c r="AC143" s="94">
        <v>0.0</v>
      </c>
      <c r="AD143" s="94">
        <v>0.0</v>
      </c>
      <c r="AE143" s="94">
        <v>0.0</v>
      </c>
      <c r="AF143" s="94">
        <v>0.0</v>
      </c>
      <c r="AG143" s="94">
        <v>0.0</v>
      </c>
      <c r="AH143" s="94">
        <v>0.0</v>
      </c>
    </row>
    <row r="144" hidden="1">
      <c r="A144" s="89" t="s">
        <v>185</v>
      </c>
      <c r="B144" s="111"/>
      <c r="C144" s="111">
        <f>SUM(C138:C143)</f>
        <v>4</v>
      </c>
      <c r="D144" s="111">
        <f t="shared" ref="D144:E144" si="108">SUM(D138:D143)/4</f>
        <v>0</v>
      </c>
      <c r="E144" s="91">
        <f t="shared" si="108"/>
        <v>13</v>
      </c>
      <c r="F144" s="111">
        <f t="shared" ref="F144:G144" si="109">SUM(F138:F143)</f>
        <v>5</v>
      </c>
      <c r="G144" s="111">
        <f t="shared" si="109"/>
        <v>169</v>
      </c>
      <c r="H144" s="111"/>
      <c r="I144" s="111">
        <f>SUM(I138:I143)</f>
        <v>155</v>
      </c>
      <c r="J144" s="111">
        <f t="shared" si="98"/>
        <v>14</v>
      </c>
      <c r="K144" s="92">
        <f t="shared" si="99"/>
        <v>1.090322581</v>
      </c>
      <c r="L144" s="111">
        <f t="shared" ref="L144:M144" si="110">SUM(L138:L143)</f>
        <v>73</v>
      </c>
      <c r="M144" s="111">
        <f t="shared" si="110"/>
        <v>218</v>
      </c>
      <c r="N144" s="111"/>
      <c r="O144" s="112"/>
      <c r="P144" s="111">
        <f t="shared" ref="P144:AH144" si="111">SUM(P138:P143)</f>
        <v>8</v>
      </c>
      <c r="Q144" s="111">
        <f t="shared" si="111"/>
        <v>2</v>
      </c>
      <c r="R144" s="111">
        <f t="shared" si="111"/>
        <v>9</v>
      </c>
      <c r="S144" s="111">
        <f t="shared" si="111"/>
        <v>4</v>
      </c>
      <c r="T144" s="111">
        <f t="shared" si="111"/>
        <v>28</v>
      </c>
      <c r="U144" s="111">
        <f t="shared" si="111"/>
        <v>5</v>
      </c>
      <c r="V144" s="111">
        <f t="shared" si="111"/>
        <v>2</v>
      </c>
      <c r="W144" s="111">
        <f t="shared" si="111"/>
        <v>0</v>
      </c>
      <c r="X144" s="111">
        <f t="shared" si="111"/>
        <v>0</v>
      </c>
      <c r="Y144" s="111">
        <f t="shared" si="111"/>
        <v>0</v>
      </c>
      <c r="Z144" s="111">
        <f t="shared" si="111"/>
        <v>0</v>
      </c>
      <c r="AA144" s="111">
        <f t="shared" si="111"/>
        <v>0</v>
      </c>
      <c r="AB144" s="111">
        <f t="shared" si="111"/>
        <v>0</v>
      </c>
      <c r="AC144" s="111">
        <f t="shared" si="111"/>
        <v>2</v>
      </c>
      <c r="AD144" s="111">
        <f t="shared" si="111"/>
        <v>0</v>
      </c>
      <c r="AE144" s="111">
        <f t="shared" si="111"/>
        <v>0</v>
      </c>
      <c r="AF144" s="111">
        <f t="shared" si="111"/>
        <v>0</v>
      </c>
      <c r="AG144" s="111">
        <f t="shared" si="111"/>
        <v>0</v>
      </c>
      <c r="AH144" s="111">
        <f t="shared" si="111"/>
        <v>0</v>
      </c>
    </row>
    <row r="145">
      <c r="A145" s="113" t="s">
        <v>263</v>
      </c>
    </row>
    <row r="147" hidden="1">
      <c r="A147" s="105"/>
      <c r="F147" s="106" t="s">
        <v>251</v>
      </c>
      <c r="L147" s="107" t="s">
        <v>252</v>
      </c>
      <c r="N147" s="108" t="s">
        <v>253</v>
      </c>
    </row>
    <row r="148" hidden="1">
      <c r="A148" s="76" t="s">
        <v>148</v>
      </c>
      <c r="B148" s="76" t="s">
        <v>149</v>
      </c>
      <c r="C148" s="76" t="s">
        <v>150</v>
      </c>
      <c r="D148" s="76" t="s">
        <v>13</v>
      </c>
      <c r="E148" s="77" t="s">
        <v>151</v>
      </c>
      <c r="F148" s="78" t="s">
        <v>15</v>
      </c>
      <c r="G148" s="78" t="s">
        <v>152</v>
      </c>
      <c r="H148" s="78" t="s">
        <v>153</v>
      </c>
      <c r="I148" s="78" t="s">
        <v>154</v>
      </c>
      <c r="J148" s="78" t="s">
        <v>155</v>
      </c>
      <c r="K148" s="79" t="s">
        <v>156</v>
      </c>
      <c r="L148" s="80" t="s">
        <v>157</v>
      </c>
      <c r="M148" s="80" t="s">
        <v>158</v>
      </c>
      <c r="N148" s="81" t="s">
        <v>254</v>
      </c>
      <c r="O148" s="81" t="s">
        <v>151</v>
      </c>
      <c r="P148" s="81" t="s">
        <v>160</v>
      </c>
      <c r="Q148" s="81" t="s">
        <v>161</v>
      </c>
      <c r="R148" s="81" t="s">
        <v>162</v>
      </c>
      <c r="S148" s="81" t="s">
        <v>163</v>
      </c>
      <c r="T148" s="81" t="s">
        <v>164</v>
      </c>
      <c r="U148" s="81" t="s">
        <v>165</v>
      </c>
      <c r="V148" s="81" t="s">
        <v>166</v>
      </c>
      <c r="W148" s="81" t="s">
        <v>167</v>
      </c>
      <c r="X148" s="81" t="s">
        <v>168</v>
      </c>
      <c r="Y148" s="81" t="s">
        <v>169</v>
      </c>
      <c r="Z148" s="81" t="s">
        <v>170</v>
      </c>
      <c r="AA148" s="81" t="s">
        <v>171</v>
      </c>
      <c r="AB148" s="81" t="s">
        <v>172</v>
      </c>
      <c r="AC148" s="81" t="s">
        <v>173</v>
      </c>
      <c r="AD148" s="81" t="s">
        <v>174</v>
      </c>
      <c r="AE148" s="81" t="s">
        <v>175</v>
      </c>
      <c r="AF148" s="81" t="s">
        <v>176</v>
      </c>
      <c r="AG148" s="81" t="s">
        <v>177</v>
      </c>
      <c r="AH148" s="81" t="s">
        <v>178</v>
      </c>
    </row>
    <row r="149" hidden="1">
      <c r="A149" s="83" t="s">
        <v>40</v>
      </c>
      <c r="B149" s="84" t="s">
        <v>216</v>
      </c>
      <c r="C149" s="85">
        <v>1.0</v>
      </c>
      <c r="D149" s="94">
        <v>0.0</v>
      </c>
      <c r="E149" s="86">
        <v>14.0</v>
      </c>
      <c r="F149" s="94">
        <v>0.0</v>
      </c>
      <c r="G149" s="85">
        <v>15.0</v>
      </c>
      <c r="H149" s="94">
        <v>0.0</v>
      </c>
      <c r="I149" s="85">
        <v>38.0</v>
      </c>
      <c r="J149" s="95">
        <f t="shared" ref="J149:J162" si="112">SUM(G149-I149)</f>
        <v>-23</v>
      </c>
      <c r="K149" s="87">
        <f t="shared" ref="K149:K162" si="113">SUM(G149/I149)</f>
        <v>0.3947368421</v>
      </c>
      <c r="L149" s="85">
        <v>18.0</v>
      </c>
      <c r="M149" s="85">
        <v>18.0</v>
      </c>
      <c r="N149" s="85">
        <v>1.0</v>
      </c>
      <c r="O149" s="110">
        <f t="shared" ref="O149:O154" si="114">(E149*N149)</f>
        <v>14</v>
      </c>
      <c r="P149" s="85">
        <v>3.0</v>
      </c>
      <c r="Q149" s="94">
        <v>0.0</v>
      </c>
      <c r="R149" s="94">
        <v>0.0</v>
      </c>
      <c r="S149" s="85">
        <v>1.0</v>
      </c>
      <c r="T149" s="94">
        <v>0.0</v>
      </c>
      <c r="U149" s="94">
        <v>0.0</v>
      </c>
      <c r="V149" s="94">
        <v>0.0</v>
      </c>
      <c r="W149" s="94">
        <v>0.0</v>
      </c>
      <c r="X149" s="94">
        <v>0.0</v>
      </c>
      <c r="Y149" s="94">
        <v>0.0</v>
      </c>
      <c r="Z149" s="94">
        <v>0.0</v>
      </c>
      <c r="AA149" s="94">
        <v>0.0</v>
      </c>
      <c r="AB149" s="94">
        <v>0.0</v>
      </c>
      <c r="AC149" s="94">
        <v>0.0</v>
      </c>
      <c r="AD149" s="94">
        <v>0.0</v>
      </c>
      <c r="AE149" s="94">
        <v>0.0</v>
      </c>
      <c r="AF149" s="94">
        <v>0.0</v>
      </c>
      <c r="AG149" s="94">
        <v>0.0</v>
      </c>
      <c r="AH149" s="94">
        <v>0.0</v>
      </c>
    </row>
    <row r="150" hidden="1">
      <c r="A150" s="83" t="s">
        <v>40</v>
      </c>
      <c r="B150" s="84" t="s">
        <v>217</v>
      </c>
      <c r="C150" s="85">
        <v>1.0</v>
      </c>
      <c r="D150" s="94">
        <v>0.0</v>
      </c>
      <c r="E150" s="86">
        <v>14.0</v>
      </c>
      <c r="F150" s="94">
        <v>0.0</v>
      </c>
      <c r="G150" s="85">
        <v>55.0</v>
      </c>
      <c r="H150" s="94">
        <v>0.0</v>
      </c>
      <c r="I150" s="85">
        <v>55.0</v>
      </c>
      <c r="J150" s="95">
        <f t="shared" si="112"/>
        <v>0</v>
      </c>
      <c r="K150" s="87">
        <f t="shared" si="113"/>
        <v>1</v>
      </c>
      <c r="L150" s="85">
        <v>11.0</v>
      </c>
      <c r="M150" s="85">
        <v>72.0</v>
      </c>
      <c r="N150" s="85">
        <v>1.0</v>
      </c>
      <c r="O150" s="110">
        <f t="shared" si="114"/>
        <v>14</v>
      </c>
      <c r="P150" s="85">
        <v>2.0</v>
      </c>
      <c r="Q150" s="94">
        <v>0.0</v>
      </c>
      <c r="R150" s="85">
        <v>2.0</v>
      </c>
      <c r="S150" s="85">
        <v>3.0</v>
      </c>
      <c r="T150" s="85">
        <v>11.0</v>
      </c>
      <c r="U150" s="85">
        <v>3.0</v>
      </c>
      <c r="V150" s="85">
        <v>1.0</v>
      </c>
      <c r="W150" s="94">
        <v>0.0</v>
      </c>
      <c r="X150" s="94">
        <v>0.0</v>
      </c>
      <c r="Y150" s="94">
        <v>0.0</v>
      </c>
      <c r="Z150" s="94">
        <v>0.0</v>
      </c>
      <c r="AA150" s="94">
        <v>0.0</v>
      </c>
      <c r="AB150" s="94">
        <v>0.0</v>
      </c>
      <c r="AC150" s="85">
        <v>1.0</v>
      </c>
      <c r="AD150" s="94">
        <v>0.0</v>
      </c>
      <c r="AE150" s="94">
        <v>0.0</v>
      </c>
      <c r="AF150" s="94">
        <v>0.0</v>
      </c>
      <c r="AG150" s="94">
        <v>0.0</v>
      </c>
      <c r="AH150" s="94">
        <v>0.0</v>
      </c>
    </row>
    <row r="151" hidden="1">
      <c r="A151" s="83" t="s">
        <v>40</v>
      </c>
      <c r="B151" s="84" t="s">
        <v>218</v>
      </c>
      <c r="C151" s="85">
        <v>1.0</v>
      </c>
      <c r="D151" s="94">
        <v>0.0</v>
      </c>
      <c r="E151" s="86">
        <v>14.0</v>
      </c>
      <c r="F151" s="94">
        <v>0.0</v>
      </c>
      <c r="G151" s="85">
        <v>31.0</v>
      </c>
      <c r="H151" s="94">
        <v>0.0</v>
      </c>
      <c r="I151" s="85">
        <v>50.0</v>
      </c>
      <c r="J151" s="95">
        <f t="shared" si="112"/>
        <v>-19</v>
      </c>
      <c r="K151" s="87">
        <f t="shared" si="113"/>
        <v>0.62</v>
      </c>
      <c r="L151" s="85">
        <v>13.0</v>
      </c>
      <c r="M151" s="85">
        <v>37.0</v>
      </c>
      <c r="N151" s="85">
        <v>1.0</v>
      </c>
      <c r="O151" s="110">
        <f t="shared" si="114"/>
        <v>14</v>
      </c>
      <c r="P151" s="85">
        <v>2.0</v>
      </c>
      <c r="Q151" s="94">
        <v>0.0</v>
      </c>
      <c r="R151" s="85">
        <v>2.0</v>
      </c>
      <c r="S151" s="85">
        <v>1.0</v>
      </c>
      <c r="T151" s="85">
        <v>2.0</v>
      </c>
      <c r="U151" s="94">
        <v>0.0</v>
      </c>
      <c r="V151" s="94">
        <v>0.0</v>
      </c>
      <c r="W151" s="94">
        <v>0.0</v>
      </c>
      <c r="X151" s="94">
        <v>0.0</v>
      </c>
      <c r="Y151" s="94">
        <v>0.0</v>
      </c>
      <c r="Z151" s="94">
        <v>0.0</v>
      </c>
      <c r="AA151" s="94">
        <v>0.0</v>
      </c>
      <c r="AB151" s="94">
        <v>0.0</v>
      </c>
      <c r="AC151" s="94">
        <v>0.0</v>
      </c>
      <c r="AD151" s="94">
        <v>0.0</v>
      </c>
      <c r="AE151" s="94">
        <v>0.0</v>
      </c>
      <c r="AF151" s="94">
        <v>0.0</v>
      </c>
      <c r="AG151" s="94">
        <v>0.0</v>
      </c>
      <c r="AH151" s="94">
        <v>0.0</v>
      </c>
    </row>
    <row r="152" hidden="1">
      <c r="A152" s="83" t="s">
        <v>40</v>
      </c>
      <c r="B152" s="84" t="s">
        <v>219</v>
      </c>
      <c r="C152" s="94">
        <v>0.0</v>
      </c>
      <c r="D152" s="94">
        <v>0.0</v>
      </c>
      <c r="E152" s="96">
        <f t="shared" ref="E152:E153" si="115">SUM(L152*I152)/60</f>
        <v>0</v>
      </c>
      <c r="F152" s="94">
        <v>0.0</v>
      </c>
      <c r="G152" s="94">
        <v>0.0</v>
      </c>
      <c r="H152" s="94">
        <v>0.0</v>
      </c>
      <c r="I152" s="94">
        <v>0.0</v>
      </c>
      <c r="J152" s="95">
        <f t="shared" si="112"/>
        <v>0</v>
      </c>
      <c r="K152" s="87" t="str">
        <f t="shared" si="113"/>
        <v>#DIV/0!</v>
      </c>
      <c r="L152" s="94">
        <v>0.0</v>
      </c>
      <c r="M152" s="94">
        <v>0.0</v>
      </c>
      <c r="N152" s="85">
        <v>0.0</v>
      </c>
      <c r="O152" s="110">
        <f t="shared" si="114"/>
        <v>0</v>
      </c>
      <c r="P152" s="94">
        <v>0.0</v>
      </c>
      <c r="Q152" s="94">
        <v>0.0</v>
      </c>
      <c r="R152" s="94">
        <v>0.0</v>
      </c>
      <c r="S152" s="94">
        <v>0.0</v>
      </c>
      <c r="T152" s="94">
        <v>0.0</v>
      </c>
      <c r="U152" s="94">
        <v>0.0</v>
      </c>
      <c r="V152" s="94">
        <v>0.0</v>
      </c>
      <c r="W152" s="94">
        <v>0.0</v>
      </c>
      <c r="X152" s="94">
        <v>0.0</v>
      </c>
      <c r="Y152" s="94">
        <v>0.0</v>
      </c>
      <c r="Z152" s="94">
        <v>0.0</v>
      </c>
      <c r="AA152" s="94">
        <v>0.0</v>
      </c>
      <c r="AB152" s="94">
        <v>0.0</v>
      </c>
      <c r="AC152" s="94">
        <v>0.0</v>
      </c>
      <c r="AD152" s="94">
        <v>0.0</v>
      </c>
      <c r="AE152" s="94">
        <v>0.0</v>
      </c>
      <c r="AF152" s="94">
        <v>0.0</v>
      </c>
      <c r="AG152" s="94">
        <v>0.0</v>
      </c>
      <c r="AH152" s="94">
        <v>0.0</v>
      </c>
    </row>
    <row r="153" hidden="1">
      <c r="A153" s="83" t="s">
        <v>40</v>
      </c>
      <c r="B153" s="84" t="s">
        <v>220</v>
      </c>
      <c r="C153" s="94">
        <v>0.0</v>
      </c>
      <c r="D153" s="94">
        <v>0.0</v>
      </c>
      <c r="E153" s="96">
        <f t="shared" si="115"/>
        <v>0</v>
      </c>
      <c r="F153" s="94">
        <v>0.0</v>
      </c>
      <c r="G153" s="94">
        <v>0.0</v>
      </c>
      <c r="H153" s="94">
        <v>0.0</v>
      </c>
      <c r="I153" s="94">
        <v>0.0</v>
      </c>
      <c r="J153" s="95">
        <f t="shared" si="112"/>
        <v>0</v>
      </c>
      <c r="K153" s="87" t="str">
        <f t="shared" si="113"/>
        <v>#DIV/0!</v>
      </c>
      <c r="L153" s="94">
        <v>0.0</v>
      </c>
      <c r="M153" s="94">
        <v>0.0</v>
      </c>
      <c r="N153" s="85">
        <v>0.0</v>
      </c>
      <c r="O153" s="110">
        <f t="shared" si="114"/>
        <v>0</v>
      </c>
      <c r="P153" s="94">
        <v>0.0</v>
      </c>
      <c r="Q153" s="94">
        <v>0.0</v>
      </c>
      <c r="R153" s="94">
        <v>0.0</v>
      </c>
      <c r="S153" s="94">
        <v>0.0</v>
      </c>
      <c r="T153" s="94">
        <v>0.0</v>
      </c>
      <c r="U153" s="94">
        <v>0.0</v>
      </c>
      <c r="V153" s="94">
        <v>0.0</v>
      </c>
      <c r="W153" s="94">
        <v>0.0</v>
      </c>
      <c r="X153" s="94">
        <v>0.0</v>
      </c>
      <c r="Y153" s="94">
        <v>0.0</v>
      </c>
      <c r="Z153" s="94">
        <v>0.0</v>
      </c>
      <c r="AA153" s="94">
        <v>0.0</v>
      </c>
      <c r="AB153" s="94">
        <v>0.0</v>
      </c>
      <c r="AC153" s="94">
        <v>0.0</v>
      </c>
      <c r="AD153" s="94">
        <v>0.0</v>
      </c>
      <c r="AE153" s="94">
        <v>0.0</v>
      </c>
      <c r="AF153" s="94">
        <v>0.0</v>
      </c>
      <c r="AG153" s="94">
        <v>0.0</v>
      </c>
      <c r="AH153" s="94">
        <v>0.0</v>
      </c>
    </row>
    <row r="154" hidden="1">
      <c r="A154" s="83" t="s">
        <v>40</v>
      </c>
      <c r="B154" s="84" t="s">
        <v>212</v>
      </c>
      <c r="C154" s="85">
        <v>1.0</v>
      </c>
      <c r="D154" s="94">
        <v>0.0</v>
      </c>
      <c r="E154" s="86">
        <v>14.0</v>
      </c>
      <c r="F154" s="94">
        <v>0.0</v>
      </c>
      <c r="G154" s="85">
        <v>47.0</v>
      </c>
      <c r="H154" s="94">
        <v>0.0</v>
      </c>
      <c r="I154" s="85">
        <v>47.0</v>
      </c>
      <c r="J154" s="95">
        <f t="shared" si="112"/>
        <v>0</v>
      </c>
      <c r="K154" s="87">
        <f t="shared" si="113"/>
        <v>1</v>
      </c>
      <c r="L154" s="85">
        <v>14.0</v>
      </c>
      <c r="M154" s="85">
        <v>60.0</v>
      </c>
      <c r="N154" s="85">
        <v>1.0</v>
      </c>
      <c r="O154" s="110">
        <f t="shared" si="114"/>
        <v>14</v>
      </c>
      <c r="P154" s="94">
        <v>0.0</v>
      </c>
      <c r="Q154" s="85">
        <v>1.0</v>
      </c>
      <c r="R154" s="85">
        <v>5.0</v>
      </c>
      <c r="S154" s="85">
        <v>1.0</v>
      </c>
      <c r="T154" s="85">
        <v>10.0</v>
      </c>
      <c r="U154" s="94">
        <v>0.0</v>
      </c>
      <c r="V154" s="94">
        <v>0.0</v>
      </c>
      <c r="W154" s="94">
        <v>0.0</v>
      </c>
      <c r="X154" s="94">
        <v>0.0</v>
      </c>
      <c r="Y154" s="94">
        <v>0.0</v>
      </c>
      <c r="Z154" s="94">
        <v>0.0</v>
      </c>
      <c r="AA154" s="94">
        <v>0.0</v>
      </c>
      <c r="AB154" s="94">
        <v>0.0</v>
      </c>
      <c r="AC154" s="85">
        <v>1.0</v>
      </c>
      <c r="AD154" s="94">
        <v>0.0</v>
      </c>
      <c r="AE154" s="94">
        <v>0.0</v>
      </c>
      <c r="AF154" s="94">
        <v>0.0</v>
      </c>
      <c r="AG154" s="94">
        <v>0.0</v>
      </c>
      <c r="AH154" s="94">
        <v>0.0</v>
      </c>
    </row>
    <row r="155" hidden="1">
      <c r="A155" s="89"/>
      <c r="B155" s="111"/>
      <c r="C155" s="111">
        <f t="shared" ref="C155:D155" si="116">SUM(C149:C154)/4</f>
        <v>1</v>
      </c>
      <c r="D155" s="111">
        <f t="shared" si="116"/>
        <v>0</v>
      </c>
      <c r="E155" s="91">
        <f t="shared" ref="E155:G155" si="117">SUM(E149:E154)</f>
        <v>56</v>
      </c>
      <c r="F155" s="111">
        <f t="shared" si="117"/>
        <v>0</v>
      </c>
      <c r="G155" s="111">
        <f t="shared" si="117"/>
        <v>148</v>
      </c>
      <c r="H155" s="111"/>
      <c r="I155" s="111">
        <f>SUM(I149:I154)</f>
        <v>190</v>
      </c>
      <c r="J155" s="111">
        <f t="shared" si="112"/>
        <v>-42</v>
      </c>
      <c r="K155" s="92">
        <f t="shared" si="113"/>
        <v>0.7789473684</v>
      </c>
      <c r="L155" s="111">
        <f t="shared" ref="L155:M155" si="118">SUM(L149:L154)</f>
        <v>56</v>
      </c>
      <c r="M155" s="111">
        <f t="shared" si="118"/>
        <v>187</v>
      </c>
      <c r="N155" s="111"/>
      <c r="O155" s="112"/>
      <c r="P155" s="111">
        <f t="shared" ref="P155:AH155" si="119">SUM(P149:P154)</f>
        <v>7</v>
      </c>
      <c r="Q155" s="111">
        <f t="shared" si="119"/>
        <v>1</v>
      </c>
      <c r="R155" s="111">
        <f t="shared" si="119"/>
        <v>9</v>
      </c>
      <c r="S155" s="111">
        <f t="shared" si="119"/>
        <v>6</v>
      </c>
      <c r="T155" s="111">
        <f t="shared" si="119"/>
        <v>23</v>
      </c>
      <c r="U155" s="111">
        <f t="shared" si="119"/>
        <v>3</v>
      </c>
      <c r="V155" s="111">
        <f t="shared" si="119"/>
        <v>1</v>
      </c>
      <c r="W155" s="111">
        <f t="shared" si="119"/>
        <v>0</v>
      </c>
      <c r="X155" s="111">
        <f t="shared" si="119"/>
        <v>0</v>
      </c>
      <c r="Y155" s="111">
        <f t="shared" si="119"/>
        <v>0</v>
      </c>
      <c r="Z155" s="111">
        <f t="shared" si="119"/>
        <v>0</v>
      </c>
      <c r="AA155" s="111">
        <f t="shared" si="119"/>
        <v>0</v>
      </c>
      <c r="AB155" s="111">
        <f t="shared" si="119"/>
        <v>0</v>
      </c>
      <c r="AC155" s="111">
        <f t="shared" si="119"/>
        <v>2</v>
      </c>
      <c r="AD155" s="111">
        <f t="shared" si="119"/>
        <v>0</v>
      </c>
      <c r="AE155" s="111">
        <f t="shared" si="119"/>
        <v>0</v>
      </c>
      <c r="AF155" s="111">
        <f t="shared" si="119"/>
        <v>0</v>
      </c>
      <c r="AG155" s="111">
        <f t="shared" si="119"/>
        <v>0</v>
      </c>
      <c r="AH155" s="111">
        <f t="shared" si="119"/>
        <v>0</v>
      </c>
    </row>
    <row r="156" hidden="1">
      <c r="A156" s="83" t="s">
        <v>47</v>
      </c>
      <c r="B156" s="84" t="s">
        <v>237</v>
      </c>
      <c r="C156" s="85">
        <v>1.0</v>
      </c>
      <c r="D156" s="85">
        <v>1.0</v>
      </c>
      <c r="E156" s="86">
        <v>14.0</v>
      </c>
      <c r="F156" s="85">
        <v>1.0</v>
      </c>
      <c r="G156" s="85">
        <v>65.0</v>
      </c>
      <c r="H156" s="94">
        <v>0.0</v>
      </c>
      <c r="I156" s="85">
        <v>45.0</v>
      </c>
      <c r="J156" s="95">
        <f t="shared" si="112"/>
        <v>20</v>
      </c>
      <c r="K156" s="87">
        <f t="shared" si="113"/>
        <v>1.444444444</v>
      </c>
      <c r="L156" s="85">
        <v>15.0</v>
      </c>
      <c r="M156" s="85">
        <v>84.0</v>
      </c>
      <c r="N156" s="85">
        <v>1.0</v>
      </c>
      <c r="O156" s="110">
        <f t="shared" ref="O156:O161" si="120">(E156*N156)</f>
        <v>14</v>
      </c>
      <c r="P156" s="85">
        <v>1.0</v>
      </c>
      <c r="Q156" s="85">
        <v>2.0</v>
      </c>
      <c r="R156" s="85">
        <v>4.0</v>
      </c>
      <c r="S156" s="85">
        <v>1.0</v>
      </c>
      <c r="T156" s="85">
        <v>11.0</v>
      </c>
      <c r="U156" s="85">
        <v>2.0</v>
      </c>
      <c r="V156" s="85">
        <v>1.0</v>
      </c>
      <c r="W156" s="94">
        <v>0.0</v>
      </c>
      <c r="X156" s="94">
        <v>0.0</v>
      </c>
      <c r="Y156" s="94">
        <v>0.0</v>
      </c>
      <c r="Z156" s="94">
        <v>0.0</v>
      </c>
      <c r="AA156" s="94">
        <v>0.0</v>
      </c>
      <c r="AB156" s="94">
        <v>0.0</v>
      </c>
      <c r="AC156" s="85">
        <v>3.0</v>
      </c>
      <c r="AD156" s="94">
        <v>0.0</v>
      </c>
      <c r="AE156" s="94">
        <v>0.0</v>
      </c>
      <c r="AF156" s="94">
        <v>0.0</v>
      </c>
      <c r="AG156" s="94">
        <v>0.0</v>
      </c>
      <c r="AH156" s="94">
        <v>0.0</v>
      </c>
    </row>
    <row r="157" hidden="1">
      <c r="A157" s="83" t="s">
        <v>47</v>
      </c>
      <c r="B157" s="84" t="s">
        <v>238</v>
      </c>
      <c r="C157" s="85">
        <v>1.0</v>
      </c>
      <c r="D157" s="85">
        <v>1.0</v>
      </c>
      <c r="E157" s="86">
        <v>14.0</v>
      </c>
      <c r="F157" s="85">
        <v>4.0</v>
      </c>
      <c r="G157" s="85">
        <v>32.0</v>
      </c>
      <c r="H157" s="94">
        <v>0.0</v>
      </c>
      <c r="I157" s="85">
        <v>35.0</v>
      </c>
      <c r="J157" s="95">
        <f t="shared" si="112"/>
        <v>-3</v>
      </c>
      <c r="K157" s="87">
        <f t="shared" si="113"/>
        <v>0.9142857143</v>
      </c>
      <c r="L157" s="85">
        <v>20.0</v>
      </c>
      <c r="M157" s="85">
        <v>42.0</v>
      </c>
      <c r="N157" s="85">
        <v>1.0</v>
      </c>
      <c r="O157" s="110">
        <f t="shared" si="120"/>
        <v>14</v>
      </c>
      <c r="P157" s="85">
        <v>4.0</v>
      </c>
      <c r="Q157" s="85">
        <v>1.0</v>
      </c>
      <c r="R157" s="85">
        <v>1.0</v>
      </c>
      <c r="S157" s="94">
        <v>0.0</v>
      </c>
      <c r="T157" s="85">
        <v>3.0</v>
      </c>
      <c r="U157" s="94">
        <v>0.0</v>
      </c>
      <c r="V157" s="94">
        <v>0.0</v>
      </c>
      <c r="W157" s="94">
        <v>0.0</v>
      </c>
      <c r="X157" s="94">
        <v>0.0</v>
      </c>
      <c r="Y157" s="94">
        <v>0.0</v>
      </c>
      <c r="Z157" s="94">
        <v>0.0</v>
      </c>
      <c r="AA157" s="94">
        <v>0.0</v>
      </c>
      <c r="AB157" s="94">
        <v>0.0</v>
      </c>
      <c r="AC157" s="94">
        <v>0.0</v>
      </c>
      <c r="AD157" s="94">
        <v>0.0</v>
      </c>
      <c r="AE157" s="94">
        <v>0.0</v>
      </c>
      <c r="AF157" s="94">
        <v>0.0</v>
      </c>
      <c r="AG157" s="94">
        <v>0.0</v>
      </c>
      <c r="AH157" s="94">
        <v>0.0</v>
      </c>
    </row>
    <row r="158" hidden="1">
      <c r="A158" s="83" t="s">
        <v>47</v>
      </c>
      <c r="B158" s="84" t="s">
        <v>239</v>
      </c>
      <c r="C158" s="85">
        <v>1.0</v>
      </c>
      <c r="D158" s="85">
        <v>1.0</v>
      </c>
      <c r="E158" s="86">
        <v>14.0</v>
      </c>
      <c r="F158" s="85">
        <v>0.0</v>
      </c>
      <c r="G158" s="85">
        <v>42.0</v>
      </c>
      <c r="H158" s="85">
        <v>0.0</v>
      </c>
      <c r="I158" s="85">
        <v>40.0</v>
      </c>
      <c r="J158" s="95">
        <f t="shared" si="112"/>
        <v>2</v>
      </c>
      <c r="K158" s="87">
        <f t="shared" si="113"/>
        <v>1.05</v>
      </c>
      <c r="L158" s="85">
        <v>17.0</v>
      </c>
      <c r="M158" s="85">
        <v>51.0</v>
      </c>
      <c r="N158" s="85">
        <v>1.0</v>
      </c>
      <c r="O158" s="110">
        <f t="shared" si="120"/>
        <v>14</v>
      </c>
      <c r="P158" s="85">
        <v>2.0</v>
      </c>
      <c r="Q158" s="85">
        <v>2.0</v>
      </c>
      <c r="R158" s="94">
        <v>0.0</v>
      </c>
      <c r="S158" s="94">
        <v>0.0</v>
      </c>
      <c r="T158" s="85">
        <v>6.0</v>
      </c>
      <c r="U158" s="85">
        <v>1.0</v>
      </c>
      <c r="V158" s="85">
        <v>1.0</v>
      </c>
      <c r="W158" s="85">
        <v>1.0</v>
      </c>
      <c r="X158" s="94">
        <v>0.0</v>
      </c>
      <c r="Y158" s="94">
        <v>0.0</v>
      </c>
      <c r="Z158" s="94">
        <v>0.0</v>
      </c>
      <c r="AA158" s="94">
        <v>0.0</v>
      </c>
      <c r="AB158" s="94">
        <v>0.0</v>
      </c>
      <c r="AC158" s="85">
        <v>1.0</v>
      </c>
      <c r="AD158" s="94">
        <v>0.0</v>
      </c>
      <c r="AE158" s="94">
        <v>0.0</v>
      </c>
      <c r="AF158" s="94">
        <v>0.0</v>
      </c>
      <c r="AG158" s="94">
        <v>0.0</v>
      </c>
      <c r="AH158" s="94">
        <v>0.0</v>
      </c>
    </row>
    <row r="159" hidden="1">
      <c r="A159" s="83" t="s">
        <v>47</v>
      </c>
      <c r="B159" s="84" t="s">
        <v>240</v>
      </c>
      <c r="C159" s="85">
        <v>1.0</v>
      </c>
      <c r="D159" s="85">
        <v>1.0</v>
      </c>
      <c r="E159" s="86">
        <v>14.0</v>
      </c>
      <c r="F159" s="94">
        <v>0.0</v>
      </c>
      <c r="G159" s="85">
        <v>44.0</v>
      </c>
      <c r="H159" s="94">
        <v>0.0</v>
      </c>
      <c r="I159" s="85">
        <v>35.0</v>
      </c>
      <c r="J159" s="95">
        <f t="shared" si="112"/>
        <v>9</v>
      </c>
      <c r="K159" s="87">
        <f t="shared" si="113"/>
        <v>1.257142857</v>
      </c>
      <c r="L159" s="85">
        <v>20.0</v>
      </c>
      <c r="M159" s="85">
        <v>50.0</v>
      </c>
      <c r="N159" s="85">
        <v>1.0</v>
      </c>
      <c r="O159" s="110">
        <f t="shared" si="120"/>
        <v>14</v>
      </c>
      <c r="P159" s="94">
        <v>0.0</v>
      </c>
      <c r="Q159" s="94">
        <v>0.0</v>
      </c>
      <c r="R159" s="94">
        <v>0.0</v>
      </c>
      <c r="S159" s="85">
        <v>1.0</v>
      </c>
      <c r="T159" s="85">
        <v>4.0</v>
      </c>
      <c r="U159" s="94">
        <v>0.0</v>
      </c>
      <c r="V159" s="94">
        <v>0.0</v>
      </c>
      <c r="W159" s="94">
        <v>0.0</v>
      </c>
      <c r="X159" s="94">
        <v>0.0</v>
      </c>
      <c r="Y159" s="94">
        <v>0.0</v>
      </c>
      <c r="Z159" s="94">
        <v>0.0</v>
      </c>
      <c r="AA159" s="94">
        <v>0.0</v>
      </c>
      <c r="AB159" s="94">
        <v>0.0</v>
      </c>
      <c r="AC159" s="85">
        <v>2.0</v>
      </c>
      <c r="AD159" s="94">
        <v>0.0</v>
      </c>
      <c r="AE159" s="94">
        <v>0.0</v>
      </c>
      <c r="AF159" s="94">
        <v>0.0</v>
      </c>
      <c r="AG159" s="94">
        <v>0.0</v>
      </c>
      <c r="AH159" s="94">
        <v>0.0</v>
      </c>
    </row>
    <row r="160" hidden="1">
      <c r="A160" s="83" t="s">
        <v>47</v>
      </c>
      <c r="B160" s="84" t="s">
        <v>241</v>
      </c>
      <c r="C160" s="94">
        <v>0.0</v>
      </c>
      <c r="D160" s="94">
        <v>0.0</v>
      </c>
      <c r="E160" s="96">
        <f t="shared" ref="E160:E161" si="121">SUM(L160*I160)/60</f>
        <v>0</v>
      </c>
      <c r="F160" s="94">
        <v>0.0</v>
      </c>
      <c r="G160" s="94">
        <v>0.0</v>
      </c>
      <c r="H160" s="94">
        <v>0.0</v>
      </c>
      <c r="I160" s="94">
        <v>0.0</v>
      </c>
      <c r="J160" s="95">
        <f t="shared" si="112"/>
        <v>0</v>
      </c>
      <c r="K160" s="87" t="str">
        <f t="shared" si="113"/>
        <v>#DIV/0!</v>
      </c>
      <c r="L160" s="94">
        <v>0.0</v>
      </c>
      <c r="M160" s="94">
        <v>0.0</v>
      </c>
      <c r="N160" s="85">
        <v>0.0</v>
      </c>
      <c r="O160" s="110">
        <f t="shared" si="120"/>
        <v>0</v>
      </c>
      <c r="P160" s="94">
        <v>0.0</v>
      </c>
      <c r="Q160" s="94">
        <v>0.0</v>
      </c>
      <c r="R160" s="94">
        <v>0.0</v>
      </c>
      <c r="S160" s="94">
        <v>0.0</v>
      </c>
      <c r="T160" s="94">
        <v>0.0</v>
      </c>
      <c r="U160" s="94">
        <v>0.0</v>
      </c>
      <c r="V160" s="94">
        <v>0.0</v>
      </c>
      <c r="W160" s="94">
        <v>0.0</v>
      </c>
      <c r="X160" s="94">
        <v>0.0</v>
      </c>
      <c r="Y160" s="94">
        <v>0.0</v>
      </c>
      <c r="Z160" s="94">
        <v>0.0</v>
      </c>
      <c r="AA160" s="94">
        <v>0.0</v>
      </c>
      <c r="AB160" s="94">
        <v>0.0</v>
      </c>
      <c r="AC160" s="94">
        <v>0.0</v>
      </c>
      <c r="AD160" s="94">
        <v>0.0</v>
      </c>
      <c r="AE160" s="94">
        <v>0.0</v>
      </c>
      <c r="AF160" s="94">
        <v>0.0</v>
      </c>
      <c r="AG160" s="94">
        <v>0.0</v>
      </c>
      <c r="AH160" s="94">
        <v>0.0</v>
      </c>
    </row>
    <row r="161" hidden="1">
      <c r="A161" s="83" t="s">
        <v>47</v>
      </c>
      <c r="B161" s="114"/>
      <c r="C161" s="94">
        <v>0.0</v>
      </c>
      <c r="D161" s="94">
        <v>0.0</v>
      </c>
      <c r="E161" s="96">
        <f t="shared" si="121"/>
        <v>0</v>
      </c>
      <c r="F161" s="94">
        <v>0.0</v>
      </c>
      <c r="G161" s="94">
        <v>0.0</v>
      </c>
      <c r="H161" s="94">
        <v>0.0</v>
      </c>
      <c r="I161" s="94">
        <v>0.0</v>
      </c>
      <c r="J161" s="95">
        <f t="shared" si="112"/>
        <v>0</v>
      </c>
      <c r="K161" s="87" t="str">
        <f t="shared" si="113"/>
        <v>#DIV/0!</v>
      </c>
      <c r="L161" s="94">
        <v>0.0</v>
      </c>
      <c r="M161" s="94">
        <v>0.0</v>
      </c>
      <c r="N161" s="85">
        <v>0.0</v>
      </c>
      <c r="O161" s="110">
        <f t="shared" si="120"/>
        <v>0</v>
      </c>
      <c r="P161" s="94">
        <v>0.0</v>
      </c>
      <c r="Q161" s="94">
        <v>0.0</v>
      </c>
      <c r="R161" s="94">
        <v>0.0</v>
      </c>
      <c r="S161" s="94">
        <v>0.0</v>
      </c>
      <c r="T161" s="94">
        <v>0.0</v>
      </c>
      <c r="U161" s="94">
        <v>0.0</v>
      </c>
      <c r="V161" s="94">
        <v>0.0</v>
      </c>
      <c r="W161" s="94">
        <v>0.0</v>
      </c>
      <c r="X161" s="94">
        <v>0.0</v>
      </c>
      <c r="Y161" s="94">
        <v>0.0</v>
      </c>
      <c r="Z161" s="94">
        <v>0.0</v>
      </c>
      <c r="AA161" s="94">
        <v>0.0</v>
      </c>
      <c r="AB161" s="94">
        <v>0.0</v>
      </c>
      <c r="AC161" s="94">
        <v>0.0</v>
      </c>
      <c r="AD161" s="94">
        <v>0.0</v>
      </c>
      <c r="AE161" s="94">
        <v>0.0</v>
      </c>
      <c r="AF161" s="94">
        <v>0.0</v>
      </c>
      <c r="AG161" s="94">
        <v>0.0</v>
      </c>
      <c r="AH161" s="94">
        <v>0.0</v>
      </c>
    </row>
    <row r="162" hidden="1">
      <c r="A162" s="89" t="s">
        <v>185</v>
      </c>
      <c r="B162" s="111"/>
      <c r="C162" s="111">
        <f>SUM(C156:C161)</f>
        <v>4</v>
      </c>
      <c r="D162" s="111">
        <f t="shared" ref="D162:E162" si="122">SUM(D156:D161)/4</f>
        <v>1</v>
      </c>
      <c r="E162" s="91">
        <f t="shared" si="122"/>
        <v>14</v>
      </c>
      <c r="F162" s="111">
        <f t="shared" ref="F162:G162" si="123">SUM(F156:F161)</f>
        <v>5</v>
      </c>
      <c r="G162" s="111">
        <f t="shared" si="123"/>
        <v>183</v>
      </c>
      <c r="H162" s="111"/>
      <c r="I162" s="111">
        <f>SUM(I156:I161)</f>
        <v>155</v>
      </c>
      <c r="J162" s="111">
        <f t="shared" si="112"/>
        <v>28</v>
      </c>
      <c r="K162" s="92">
        <f t="shared" si="113"/>
        <v>1.180645161</v>
      </c>
      <c r="L162" s="111">
        <f t="shared" ref="L162:M162" si="124">SUM(L156:L161)</f>
        <v>72</v>
      </c>
      <c r="M162" s="111">
        <f t="shared" si="124"/>
        <v>227</v>
      </c>
      <c r="N162" s="111"/>
      <c r="O162" s="112"/>
      <c r="P162" s="111">
        <f t="shared" ref="P162:AH162" si="125">SUM(P156:P161)</f>
        <v>7</v>
      </c>
      <c r="Q162" s="111">
        <f t="shared" si="125"/>
        <v>5</v>
      </c>
      <c r="R162" s="111">
        <f t="shared" si="125"/>
        <v>5</v>
      </c>
      <c r="S162" s="111">
        <f t="shared" si="125"/>
        <v>2</v>
      </c>
      <c r="T162" s="111">
        <f t="shared" si="125"/>
        <v>24</v>
      </c>
      <c r="U162" s="111">
        <f t="shared" si="125"/>
        <v>3</v>
      </c>
      <c r="V162" s="111">
        <f t="shared" si="125"/>
        <v>2</v>
      </c>
      <c r="W162" s="111">
        <f t="shared" si="125"/>
        <v>1</v>
      </c>
      <c r="X162" s="111">
        <f t="shared" si="125"/>
        <v>0</v>
      </c>
      <c r="Y162" s="111">
        <f t="shared" si="125"/>
        <v>0</v>
      </c>
      <c r="Z162" s="111">
        <f t="shared" si="125"/>
        <v>0</v>
      </c>
      <c r="AA162" s="111">
        <f t="shared" si="125"/>
        <v>0</v>
      </c>
      <c r="AB162" s="111">
        <f t="shared" si="125"/>
        <v>0</v>
      </c>
      <c r="AC162" s="111">
        <f t="shared" si="125"/>
        <v>6</v>
      </c>
      <c r="AD162" s="111">
        <f t="shared" si="125"/>
        <v>0</v>
      </c>
      <c r="AE162" s="111">
        <f t="shared" si="125"/>
        <v>0</v>
      </c>
      <c r="AF162" s="111">
        <f t="shared" si="125"/>
        <v>0</v>
      </c>
      <c r="AG162" s="111">
        <f t="shared" si="125"/>
        <v>0</v>
      </c>
      <c r="AH162" s="111">
        <f t="shared" si="125"/>
        <v>0</v>
      </c>
    </row>
    <row r="163">
      <c r="A163" s="104" t="s">
        <v>264</v>
      </c>
    </row>
    <row r="165" hidden="1">
      <c r="A165" s="105"/>
      <c r="F165" s="106" t="s">
        <v>251</v>
      </c>
      <c r="L165" s="107" t="s">
        <v>252</v>
      </c>
      <c r="N165" s="108" t="s">
        <v>253</v>
      </c>
    </row>
    <row r="166" hidden="1">
      <c r="A166" s="76" t="s">
        <v>148</v>
      </c>
      <c r="B166" s="76" t="s">
        <v>149</v>
      </c>
      <c r="C166" s="76" t="s">
        <v>150</v>
      </c>
      <c r="D166" s="76" t="s">
        <v>13</v>
      </c>
      <c r="E166" s="77" t="s">
        <v>151</v>
      </c>
      <c r="F166" s="78" t="s">
        <v>15</v>
      </c>
      <c r="G166" s="78" t="s">
        <v>152</v>
      </c>
      <c r="H166" s="78" t="s">
        <v>153</v>
      </c>
      <c r="I166" s="78" t="s">
        <v>154</v>
      </c>
      <c r="J166" s="78" t="s">
        <v>155</v>
      </c>
      <c r="K166" s="79" t="s">
        <v>156</v>
      </c>
      <c r="L166" s="80" t="s">
        <v>157</v>
      </c>
      <c r="M166" s="80" t="s">
        <v>158</v>
      </c>
      <c r="N166" s="81" t="s">
        <v>254</v>
      </c>
      <c r="O166" s="81" t="s">
        <v>151</v>
      </c>
      <c r="P166" s="81" t="s">
        <v>160</v>
      </c>
      <c r="Q166" s="81" t="s">
        <v>161</v>
      </c>
      <c r="R166" s="81" t="s">
        <v>162</v>
      </c>
      <c r="S166" s="81" t="s">
        <v>163</v>
      </c>
      <c r="T166" s="81" t="s">
        <v>164</v>
      </c>
      <c r="U166" s="81" t="s">
        <v>165</v>
      </c>
      <c r="V166" s="81" t="s">
        <v>166</v>
      </c>
      <c r="W166" s="81" t="s">
        <v>167</v>
      </c>
      <c r="X166" s="81" t="s">
        <v>168</v>
      </c>
      <c r="Y166" s="81" t="s">
        <v>169</v>
      </c>
      <c r="Z166" s="81" t="s">
        <v>170</v>
      </c>
      <c r="AA166" s="81" t="s">
        <v>171</v>
      </c>
      <c r="AB166" s="81" t="s">
        <v>172</v>
      </c>
      <c r="AC166" s="81" t="s">
        <v>173</v>
      </c>
      <c r="AD166" s="81" t="s">
        <v>174</v>
      </c>
      <c r="AE166" s="81" t="s">
        <v>175</v>
      </c>
      <c r="AF166" s="81" t="s">
        <v>176</v>
      </c>
      <c r="AG166" s="81" t="s">
        <v>177</v>
      </c>
      <c r="AH166" s="81" t="s">
        <v>178</v>
      </c>
    </row>
    <row r="167" hidden="1">
      <c r="A167" s="83" t="s">
        <v>49</v>
      </c>
      <c r="B167" s="84" t="s">
        <v>198</v>
      </c>
      <c r="C167" s="85">
        <v>1.0</v>
      </c>
      <c r="D167" s="85">
        <v>1.0</v>
      </c>
      <c r="E167" s="86">
        <v>19.0</v>
      </c>
      <c r="F167" s="94">
        <v>0.0</v>
      </c>
      <c r="G167" s="85">
        <v>83.0</v>
      </c>
      <c r="H167" s="94">
        <v>0.0</v>
      </c>
      <c r="I167" s="85">
        <v>62.0</v>
      </c>
      <c r="J167" s="95">
        <f t="shared" ref="J167:J180" si="126">SUM(G167-I167)</f>
        <v>21</v>
      </c>
      <c r="K167" s="87">
        <f t="shared" ref="K167:K180" si="127">SUM(G167/I167)</f>
        <v>1.338709677</v>
      </c>
      <c r="L167" s="85">
        <v>14.0</v>
      </c>
      <c r="M167" s="85">
        <v>114.0</v>
      </c>
      <c r="N167" s="85">
        <v>1.0</v>
      </c>
      <c r="O167" s="110">
        <f t="shared" ref="O167:O172" si="128">(E167*N167)</f>
        <v>19</v>
      </c>
      <c r="P167" s="85">
        <v>6.0</v>
      </c>
      <c r="Q167" s="85">
        <v>1.0</v>
      </c>
      <c r="R167" s="94">
        <v>0.0</v>
      </c>
      <c r="S167" s="85">
        <v>1.0</v>
      </c>
      <c r="T167" s="85">
        <v>2.0</v>
      </c>
      <c r="U167" s="85">
        <v>2.0</v>
      </c>
      <c r="V167" s="94">
        <v>0.0</v>
      </c>
      <c r="W167" s="94">
        <v>0.0</v>
      </c>
      <c r="X167" s="94">
        <v>0.0</v>
      </c>
      <c r="Y167" s="94">
        <v>0.0</v>
      </c>
      <c r="Z167" s="94">
        <v>0.0</v>
      </c>
      <c r="AA167" s="94">
        <v>0.0</v>
      </c>
      <c r="AB167" s="94">
        <v>0.0</v>
      </c>
      <c r="AC167" s="85">
        <v>1.0</v>
      </c>
      <c r="AD167" s="94">
        <v>0.0</v>
      </c>
      <c r="AE167" s="94">
        <v>0.0</v>
      </c>
      <c r="AF167" s="94">
        <v>0.0</v>
      </c>
      <c r="AG167" s="94">
        <v>0.0</v>
      </c>
      <c r="AH167" s="94">
        <v>0.0</v>
      </c>
    </row>
    <row r="168" hidden="1">
      <c r="A168" s="83" t="s">
        <v>49</v>
      </c>
      <c r="B168" s="84" t="s">
        <v>199</v>
      </c>
      <c r="C168" s="85">
        <v>1.0</v>
      </c>
      <c r="D168" s="85">
        <v>1.0</v>
      </c>
      <c r="E168" s="86">
        <v>19.0</v>
      </c>
      <c r="F168" s="94">
        <v>0.0</v>
      </c>
      <c r="G168" s="85">
        <v>66.0</v>
      </c>
      <c r="H168" s="85">
        <v>1.0</v>
      </c>
      <c r="I168" s="85">
        <v>54.0</v>
      </c>
      <c r="J168" s="95">
        <f t="shared" si="126"/>
        <v>12</v>
      </c>
      <c r="K168" s="87">
        <f t="shared" si="127"/>
        <v>1.222222222</v>
      </c>
      <c r="L168" s="85">
        <v>17.0</v>
      </c>
      <c r="M168" s="85">
        <v>85.0</v>
      </c>
      <c r="N168" s="85">
        <v>1.0</v>
      </c>
      <c r="O168" s="110">
        <f t="shared" si="128"/>
        <v>19</v>
      </c>
      <c r="P168" s="85">
        <v>5.0</v>
      </c>
      <c r="Q168" s="85">
        <v>3.0</v>
      </c>
      <c r="R168" s="85">
        <v>3.0</v>
      </c>
      <c r="S168" s="94">
        <v>0.0</v>
      </c>
      <c r="T168" s="85">
        <v>8.0</v>
      </c>
      <c r="U168" s="85">
        <v>3.0</v>
      </c>
      <c r="V168" s="85">
        <v>1.0</v>
      </c>
      <c r="W168" s="94">
        <v>0.0</v>
      </c>
      <c r="X168" s="94">
        <v>0.0</v>
      </c>
      <c r="Y168" s="94">
        <v>0.0</v>
      </c>
      <c r="Z168" s="94">
        <v>0.0</v>
      </c>
      <c r="AA168" s="94">
        <v>0.0</v>
      </c>
      <c r="AB168" s="94">
        <v>0.0</v>
      </c>
      <c r="AC168" s="85">
        <v>1.0</v>
      </c>
      <c r="AD168" s="94">
        <v>0.0</v>
      </c>
      <c r="AE168" s="94">
        <v>0.0</v>
      </c>
      <c r="AF168" s="94">
        <v>0.0</v>
      </c>
      <c r="AG168" s="94">
        <v>0.0</v>
      </c>
      <c r="AH168" s="94">
        <v>0.0</v>
      </c>
    </row>
    <row r="169" hidden="1">
      <c r="A169" s="83" t="s">
        <v>49</v>
      </c>
      <c r="B169" s="84" t="s">
        <v>200</v>
      </c>
      <c r="C169" s="85">
        <v>1.0</v>
      </c>
      <c r="D169" s="85">
        <v>1.0</v>
      </c>
      <c r="E169" s="86">
        <v>19.0</v>
      </c>
      <c r="F169" s="85">
        <v>5.0</v>
      </c>
      <c r="G169" s="85">
        <v>42.0</v>
      </c>
      <c r="H169" s="85">
        <v>1.0</v>
      </c>
      <c r="I169" s="85">
        <v>48.0</v>
      </c>
      <c r="J169" s="95">
        <f t="shared" si="126"/>
        <v>-6</v>
      </c>
      <c r="K169" s="87">
        <f t="shared" si="127"/>
        <v>0.875</v>
      </c>
      <c r="L169" s="85">
        <v>19.0</v>
      </c>
      <c r="M169" s="85">
        <v>59.0</v>
      </c>
      <c r="N169" s="85">
        <v>1.0</v>
      </c>
      <c r="O169" s="110">
        <f t="shared" si="128"/>
        <v>19</v>
      </c>
      <c r="P169" s="85">
        <v>3.0</v>
      </c>
      <c r="Q169" s="94">
        <v>0.0</v>
      </c>
      <c r="R169" s="85">
        <v>11.0</v>
      </c>
      <c r="S169" s="85">
        <v>1.0</v>
      </c>
      <c r="T169" s="85">
        <v>19.0</v>
      </c>
      <c r="U169" s="85">
        <v>5.0</v>
      </c>
      <c r="V169" s="94">
        <v>0.0</v>
      </c>
      <c r="W169" s="94">
        <v>0.0</v>
      </c>
      <c r="X169" s="94">
        <v>0.0</v>
      </c>
      <c r="Y169" s="94">
        <v>0.0</v>
      </c>
      <c r="Z169" s="94">
        <v>0.0</v>
      </c>
      <c r="AA169" s="94">
        <v>0.0</v>
      </c>
      <c r="AB169" s="94">
        <v>0.0</v>
      </c>
      <c r="AC169" s="85">
        <v>2.0</v>
      </c>
      <c r="AD169" s="94">
        <v>0.0</v>
      </c>
      <c r="AE169" s="94">
        <v>0.0</v>
      </c>
      <c r="AF169" s="94">
        <v>0.0</v>
      </c>
      <c r="AG169" s="94">
        <v>0.0</v>
      </c>
      <c r="AH169" s="94">
        <v>0.0</v>
      </c>
    </row>
    <row r="170" hidden="1">
      <c r="A170" s="83" t="s">
        <v>49</v>
      </c>
      <c r="B170" s="84" t="s">
        <v>201</v>
      </c>
      <c r="C170" s="85">
        <v>1.0</v>
      </c>
      <c r="D170" s="85">
        <v>1.0</v>
      </c>
      <c r="E170" s="86">
        <v>19.0</v>
      </c>
      <c r="F170" s="94">
        <v>0.0</v>
      </c>
      <c r="G170" s="85">
        <v>68.0</v>
      </c>
      <c r="H170" s="94">
        <v>0.0</v>
      </c>
      <c r="I170" s="85">
        <v>65.0</v>
      </c>
      <c r="J170" s="95">
        <f t="shared" si="126"/>
        <v>3</v>
      </c>
      <c r="K170" s="87">
        <f t="shared" si="127"/>
        <v>1.046153846</v>
      </c>
      <c r="L170" s="85">
        <v>13.0</v>
      </c>
      <c r="M170" s="85">
        <v>84.0</v>
      </c>
      <c r="N170" s="85">
        <v>1.0</v>
      </c>
      <c r="O170" s="110">
        <f t="shared" si="128"/>
        <v>19</v>
      </c>
      <c r="P170" s="94">
        <v>0.0</v>
      </c>
      <c r="Q170" s="85">
        <v>1.0</v>
      </c>
      <c r="R170" s="85">
        <v>7.0</v>
      </c>
      <c r="S170" s="94">
        <v>0.0</v>
      </c>
      <c r="T170" s="85">
        <v>10.0</v>
      </c>
      <c r="U170" s="85">
        <v>1.0</v>
      </c>
      <c r="V170" s="94">
        <v>0.0</v>
      </c>
      <c r="W170" s="94">
        <v>0.0</v>
      </c>
      <c r="X170" s="94">
        <v>0.0</v>
      </c>
      <c r="Y170" s="94">
        <v>0.0</v>
      </c>
      <c r="Z170" s="94">
        <v>0.0</v>
      </c>
      <c r="AA170" s="94">
        <v>0.0</v>
      </c>
      <c r="AB170" s="94">
        <v>0.0</v>
      </c>
      <c r="AC170" s="85">
        <v>1.0</v>
      </c>
      <c r="AD170" s="94">
        <v>0.0</v>
      </c>
      <c r="AE170" s="94">
        <v>0.0</v>
      </c>
      <c r="AF170" s="94">
        <v>0.0</v>
      </c>
      <c r="AG170" s="94">
        <v>0.0</v>
      </c>
      <c r="AH170" s="94">
        <v>0.0</v>
      </c>
    </row>
    <row r="171" hidden="1">
      <c r="A171" s="83" t="s">
        <v>49</v>
      </c>
      <c r="B171" s="84" t="s">
        <v>202</v>
      </c>
      <c r="C171" s="94">
        <v>0.0</v>
      </c>
      <c r="D171" s="94">
        <v>0.0</v>
      </c>
      <c r="E171" s="96">
        <f t="shared" ref="E171:E172" si="129">SUM(L171*I171)/60</f>
        <v>0</v>
      </c>
      <c r="F171" s="94">
        <v>0.0</v>
      </c>
      <c r="G171" s="94">
        <v>0.0</v>
      </c>
      <c r="H171" s="94">
        <v>0.0</v>
      </c>
      <c r="I171" s="94">
        <v>0.0</v>
      </c>
      <c r="J171" s="95">
        <f t="shared" si="126"/>
        <v>0</v>
      </c>
      <c r="K171" s="87" t="str">
        <f t="shared" si="127"/>
        <v>#DIV/0!</v>
      </c>
      <c r="L171" s="94">
        <v>0.0</v>
      </c>
      <c r="M171" s="94">
        <v>0.0</v>
      </c>
      <c r="N171" s="85">
        <v>0.0</v>
      </c>
      <c r="O171" s="110">
        <f t="shared" si="128"/>
        <v>0</v>
      </c>
      <c r="P171" s="94">
        <v>0.0</v>
      </c>
      <c r="Q171" s="94">
        <v>0.0</v>
      </c>
      <c r="R171" s="94">
        <v>0.0</v>
      </c>
      <c r="S171" s="94">
        <v>0.0</v>
      </c>
      <c r="T171" s="94">
        <v>0.0</v>
      </c>
      <c r="U171" s="94">
        <v>0.0</v>
      </c>
      <c r="V171" s="94">
        <v>0.0</v>
      </c>
      <c r="W171" s="94">
        <v>0.0</v>
      </c>
      <c r="X171" s="94">
        <v>0.0</v>
      </c>
      <c r="Y171" s="94">
        <v>0.0</v>
      </c>
      <c r="Z171" s="94">
        <v>0.0</v>
      </c>
      <c r="AA171" s="94">
        <v>0.0</v>
      </c>
      <c r="AB171" s="94">
        <v>0.0</v>
      </c>
      <c r="AC171" s="94">
        <v>0.0</v>
      </c>
      <c r="AD171" s="94">
        <v>0.0</v>
      </c>
      <c r="AE171" s="94">
        <v>0.0</v>
      </c>
      <c r="AF171" s="94">
        <v>0.0</v>
      </c>
      <c r="AG171" s="94">
        <v>0.0</v>
      </c>
      <c r="AH171" s="94">
        <v>0.0</v>
      </c>
    </row>
    <row r="172" hidden="1">
      <c r="A172" s="83" t="s">
        <v>49</v>
      </c>
      <c r="B172" s="93"/>
      <c r="C172" s="94">
        <v>0.0</v>
      </c>
      <c r="D172" s="94">
        <v>0.0</v>
      </c>
      <c r="E172" s="96">
        <f t="shared" si="129"/>
        <v>0</v>
      </c>
      <c r="F172" s="94">
        <v>0.0</v>
      </c>
      <c r="G172" s="94">
        <v>0.0</v>
      </c>
      <c r="H172" s="94">
        <v>0.0</v>
      </c>
      <c r="I172" s="94">
        <v>0.0</v>
      </c>
      <c r="J172" s="95">
        <f t="shared" si="126"/>
        <v>0</v>
      </c>
      <c r="K172" s="87" t="str">
        <f t="shared" si="127"/>
        <v>#DIV/0!</v>
      </c>
      <c r="L172" s="94">
        <v>0.0</v>
      </c>
      <c r="M172" s="94">
        <v>0.0</v>
      </c>
      <c r="N172" s="85">
        <v>0.0</v>
      </c>
      <c r="O172" s="110">
        <f t="shared" si="128"/>
        <v>0</v>
      </c>
      <c r="P172" s="94">
        <v>0.0</v>
      </c>
      <c r="Q172" s="94">
        <v>0.0</v>
      </c>
      <c r="R172" s="94">
        <v>0.0</v>
      </c>
      <c r="S172" s="94">
        <v>0.0</v>
      </c>
      <c r="T172" s="94">
        <v>0.0</v>
      </c>
      <c r="U172" s="94">
        <v>0.0</v>
      </c>
      <c r="V172" s="94">
        <v>0.0</v>
      </c>
      <c r="W172" s="94">
        <v>0.0</v>
      </c>
      <c r="X172" s="94">
        <v>0.0</v>
      </c>
      <c r="Y172" s="94">
        <v>0.0</v>
      </c>
      <c r="Z172" s="94">
        <v>0.0</v>
      </c>
      <c r="AA172" s="94">
        <v>0.0</v>
      </c>
      <c r="AB172" s="94">
        <v>0.0</v>
      </c>
      <c r="AC172" s="94">
        <v>0.0</v>
      </c>
      <c r="AD172" s="94">
        <v>0.0</v>
      </c>
      <c r="AE172" s="94">
        <v>0.0</v>
      </c>
      <c r="AF172" s="94">
        <v>0.0</v>
      </c>
      <c r="AG172" s="94">
        <v>0.0</v>
      </c>
      <c r="AH172" s="94">
        <v>0.0</v>
      </c>
    </row>
    <row r="173" hidden="1">
      <c r="A173" s="89"/>
      <c r="B173" s="111"/>
      <c r="C173" s="111">
        <f t="shared" ref="C173:D173" si="130">SUM(C167:C172)/4</f>
        <v>1</v>
      </c>
      <c r="D173" s="111">
        <f t="shared" si="130"/>
        <v>1</v>
      </c>
      <c r="E173" s="91">
        <f t="shared" ref="E173:G173" si="131">SUM(E167:E172)</f>
        <v>76</v>
      </c>
      <c r="F173" s="111">
        <f t="shared" si="131"/>
        <v>5</v>
      </c>
      <c r="G173" s="111">
        <f t="shared" si="131"/>
        <v>259</v>
      </c>
      <c r="H173" s="111"/>
      <c r="I173" s="111">
        <f>SUM(I167:I172)</f>
        <v>229</v>
      </c>
      <c r="J173" s="111">
        <f t="shared" si="126"/>
        <v>30</v>
      </c>
      <c r="K173" s="92">
        <f t="shared" si="127"/>
        <v>1.131004367</v>
      </c>
      <c r="L173" s="111">
        <f t="shared" ref="L173:M173" si="132">SUM(L167:L172)</f>
        <v>63</v>
      </c>
      <c r="M173" s="111">
        <f t="shared" si="132"/>
        <v>342</v>
      </c>
      <c r="N173" s="111"/>
      <c r="O173" s="112"/>
      <c r="P173" s="111">
        <f t="shared" ref="P173:AH173" si="133">SUM(P167:P172)</f>
        <v>14</v>
      </c>
      <c r="Q173" s="111">
        <f t="shared" si="133"/>
        <v>5</v>
      </c>
      <c r="R173" s="111">
        <f t="shared" si="133"/>
        <v>21</v>
      </c>
      <c r="S173" s="111">
        <f t="shared" si="133"/>
        <v>2</v>
      </c>
      <c r="T173" s="111">
        <f t="shared" si="133"/>
        <v>39</v>
      </c>
      <c r="U173" s="111">
        <f t="shared" si="133"/>
        <v>11</v>
      </c>
      <c r="V173" s="111">
        <f t="shared" si="133"/>
        <v>1</v>
      </c>
      <c r="W173" s="111">
        <f t="shared" si="133"/>
        <v>0</v>
      </c>
      <c r="X173" s="111">
        <f t="shared" si="133"/>
        <v>0</v>
      </c>
      <c r="Y173" s="111">
        <f t="shared" si="133"/>
        <v>0</v>
      </c>
      <c r="Z173" s="111">
        <f t="shared" si="133"/>
        <v>0</v>
      </c>
      <c r="AA173" s="111">
        <f t="shared" si="133"/>
        <v>0</v>
      </c>
      <c r="AB173" s="111">
        <f t="shared" si="133"/>
        <v>0</v>
      </c>
      <c r="AC173" s="111">
        <f t="shared" si="133"/>
        <v>5</v>
      </c>
      <c r="AD173" s="111">
        <f t="shared" si="133"/>
        <v>0</v>
      </c>
      <c r="AE173" s="111">
        <f t="shared" si="133"/>
        <v>0</v>
      </c>
      <c r="AF173" s="111">
        <f t="shared" si="133"/>
        <v>0</v>
      </c>
      <c r="AG173" s="111">
        <f t="shared" si="133"/>
        <v>0</v>
      </c>
      <c r="AH173" s="111">
        <f t="shared" si="133"/>
        <v>0</v>
      </c>
    </row>
    <row r="174" hidden="1">
      <c r="A174" s="83" t="s">
        <v>58</v>
      </c>
      <c r="B174" s="84" t="s">
        <v>209</v>
      </c>
      <c r="C174" s="85">
        <v>1.0</v>
      </c>
      <c r="D174" s="94">
        <v>0.0</v>
      </c>
      <c r="E174" s="86">
        <v>19.0</v>
      </c>
      <c r="F174" s="85">
        <v>1.0</v>
      </c>
      <c r="G174" s="85">
        <v>31.0</v>
      </c>
      <c r="H174" s="85">
        <v>1.0</v>
      </c>
      <c r="I174" s="85">
        <v>79.0</v>
      </c>
      <c r="J174" s="95">
        <f t="shared" si="126"/>
        <v>-48</v>
      </c>
      <c r="K174" s="87">
        <f t="shared" si="127"/>
        <v>0.3924050633</v>
      </c>
      <c r="L174" s="85">
        <v>10.0</v>
      </c>
      <c r="M174" s="85">
        <v>76.0</v>
      </c>
      <c r="N174" s="85">
        <v>1.0</v>
      </c>
      <c r="O174" s="110">
        <f t="shared" ref="O174:O179" si="134">(E174*N174)</f>
        <v>19</v>
      </c>
      <c r="P174" s="85">
        <v>1.0</v>
      </c>
      <c r="Q174" s="85">
        <v>1.0</v>
      </c>
      <c r="R174" s="85">
        <v>3.0</v>
      </c>
      <c r="S174" s="85">
        <v>2.0</v>
      </c>
      <c r="T174" s="85">
        <v>10.0</v>
      </c>
      <c r="U174" s="85">
        <v>1.0</v>
      </c>
      <c r="V174" s="94">
        <v>0.0</v>
      </c>
      <c r="W174" s="94">
        <v>0.0</v>
      </c>
      <c r="X174" s="94">
        <v>0.0</v>
      </c>
      <c r="Y174" s="94">
        <v>0.0</v>
      </c>
      <c r="Z174" s="94">
        <v>0.0</v>
      </c>
      <c r="AA174" s="94">
        <v>0.0</v>
      </c>
      <c r="AB174" s="94">
        <v>0.0</v>
      </c>
      <c r="AC174" s="94">
        <v>0.0</v>
      </c>
      <c r="AD174" s="94">
        <v>0.0</v>
      </c>
      <c r="AE174" s="94">
        <v>0.0</v>
      </c>
      <c r="AF174" s="94">
        <v>0.0</v>
      </c>
      <c r="AG174" s="94">
        <v>0.0</v>
      </c>
      <c r="AH174" s="94">
        <v>0.0</v>
      </c>
    </row>
    <row r="175" hidden="1">
      <c r="A175" s="83" t="s">
        <v>58</v>
      </c>
      <c r="B175" s="84" t="s">
        <v>210</v>
      </c>
      <c r="C175" s="85">
        <v>1.0</v>
      </c>
      <c r="D175" s="94">
        <v>0.0</v>
      </c>
      <c r="E175" s="86">
        <v>19.0</v>
      </c>
      <c r="F175" s="85">
        <v>1.0</v>
      </c>
      <c r="G175" s="85">
        <v>59.0</v>
      </c>
      <c r="H175" s="94">
        <v>0.0</v>
      </c>
      <c r="I175" s="85">
        <v>44.0</v>
      </c>
      <c r="J175" s="95">
        <f t="shared" si="126"/>
        <v>15</v>
      </c>
      <c r="K175" s="87">
        <f t="shared" si="127"/>
        <v>1.340909091</v>
      </c>
      <c r="L175" s="85">
        <v>21.0</v>
      </c>
      <c r="M175" s="85">
        <v>76.0</v>
      </c>
      <c r="N175" s="85">
        <v>1.0</v>
      </c>
      <c r="O175" s="110">
        <f t="shared" si="134"/>
        <v>19</v>
      </c>
      <c r="P175" s="85">
        <v>3.0</v>
      </c>
      <c r="Q175" s="85">
        <v>1.0</v>
      </c>
      <c r="R175" s="94">
        <v>0.0</v>
      </c>
      <c r="S175" s="85">
        <v>1.0</v>
      </c>
      <c r="T175" s="85">
        <v>10.0</v>
      </c>
      <c r="U175" s="85">
        <v>2.0</v>
      </c>
      <c r="V175" s="85">
        <v>1.0</v>
      </c>
      <c r="W175" s="94">
        <v>0.0</v>
      </c>
      <c r="X175" s="94">
        <v>0.0</v>
      </c>
      <c r="Y175" s="94">
        <v>0.0</v>
      </c>
      <c r="Z175" s="94">
        <v>0.0</v>
      </c>
      <c r="AA175" s="94">
        <v>0.0</v>
      </c>
      <c r="AB175" s="94">
        <v>0.0</v>
      </c>
      <c r="AC175" s="85">
        <v>2.0</v>
      </c>
      <c r="AD175" s="94">
        <v>0.0</v>
      </c>
      <c r="AE175" s="94">
        <v>0.0</v>
      </c>
      <c r="AF175" s="94">
        <v>0.0</v>
      </c>
      <c r="AG175" s="94">
        <v>0.0</v>
      </c>
      <c r="AH175" s="94">
        <v>0.0</v>
      </c>
    </row>
    <row r="176" hidden="1">
      <c r="A176" s="83" t="s">
        <v>58</v>
      </c>
      <c r="B176" s="84" t="s">
        <v>211</v>
      </c>
      <c r="C176" s="85">
        <v>1.0</v>
      </c>
      <c r="D176" s="94">
        <v>0.0</v>
      </c>
      <c r="E176" s="86">
        <v>19.0</v>
      </c>
      <c r="F176" s="94">
        <v>0.0</v>
      </c>
      <c r="G176" s="85">
        <v>57.0</v>
      </c>
      <c r="H176" s="94">
        <v>0.0</v>
      </c>
      <c r="I176" s="85">
        <v>66.0</v>
      </c>
      <c r="J176" s="95">
        <f t="shared" si="126"/>
        <v>-9</v>
      </c>
      <c r="K176" s="87">
        <f t="shared" si="127"/>
        <v>0.8636363636</v>
      </c>
      <c r="L176" s="85">
        <v>13.0</v>
      </c>
      <c r="M176" s="85">
        <v>71.0</v>
      </c>
      <c r="N176" s="85">
        <v>1.0</v>
      </c>
      <c r="O176" s="110">
        <f t="shared" si="134"/>
        <v>19</v>
      </c>
      <c r="P176" s="85">
        <v>2.0</v>
      </c>
      <c r="Q176" s="85">
        <v>1.0</v>
      </c>
      <c r="R176" s="85">
        <v>4.0</v>
      </c>
      <c r="S176" s="94">
        <v>0.0</v>
      </c>
      <c r="T176" s="85">
        <v>6.0</v>
      </c>
      <c r="U176" s="85">
        <v>4.0</v>
      </c>
      <c r="V176" s="94">
        <v>0.0</v>
      </c>
      <c r="W176" s="94">
        <v>0.0</v>
      </c>
      <c r="X176" s="94">
        <v>0.0</v>
      </c>
      <c r="Y176" s="94">
        <v>0.0</v>
      </c>
      <c r="Z176" s="94">
        <v>0.0</v>
      </c>
      <c r="AA176" s="94">
        <v>0.0</v>
      </c>
      <c r="AB176" s="94">
        <v>0.0</v>
      </c>
      <c r="AC176" s="94">
        <v>0.0</v>
      </c>
      <c r="AD176" s="94">
        <v>0.0</v>
      </c>
      <c r="AE176" s="94">
        <v>0.0</v>
      </c>
      <c r="AF176" s="94">
        <v>0.0</v>
      </c>
      <c r="AG176" s="94">
        <v>0.0</v>
      </c>
      <c r="AH176" s="94">
        <v>0.0</v>
      </c>
    </row>
    <row r="177" hidden="1">
      <c r="A177" s="83" t="s">
        <v>58</v>
      </c>
      <c r="B177" s="84" t="s">
        <v>212</v>
      </c>
      <c r="C177" s="85">
        <v>1.0</v>
      </c>
      <c r="D177" s="94">
        <v>0.0</v>
      </c>
      <c r="E177" s="86">
        <v>19.0</v>
      </c>
      <c r="F177" s="85">
        <v>1.0</v>
      </c>
      <c r="G177" s="85">
        <v>48.0</v>
      </c>
      <c r="H177" s="94">
        <v>0.0</v>
      </c>
      <c r="I177" s="85">
        <v>82.0</v>
      </c>
      <c r="J177" s="95">
        <f t="shared" si="126"/>
        <v>-34</v>
      </c>
      <c r="K177" s="87">
        <f t="shared" si="127"/>
        <v>0.5853658537</v>
      </c>
      <c r="L177" s="85">
        <v>10.0</v>
      </c>
      <c r="M177" s="85">
        <v>51.0</v>
      </c>
      <c r="N177" s="85">
        <v>1.0</v>
      </c>
      <c r="O177" s="110">
        <f t="shared" si="134"/>
        <v>19</v>
      </c>
      <c r="P177" s="85">
        <v>3.0</v>
      </c>
      <c r="Q177" s="85">
        <v>1.0</v>
      </c>
      <c r="R177" s="94">
        <v>0.0</v>
      </c>
      <c r="S177" s="85">
        <v>1.0</v>
      </c>
      <c r="T177" s="85">
        <v>4.0</v>
      </c>
      <c r="U177" s="94">
        <v>0.0</v>
      </c>
      <c r="V177" s="94">
        <v>0.0</v>
      </c>
      <c r="W177" s="94">
        <v>0.0</v>
      </c>
      <c r="X177" s="94">
        <v>0.0</v>
      </c>
      <c r="Y177" s="94">
        <v>0.0</v>
      </c>
      <c r="Z177" s="94">
        <v>0.0</v>
      </c>
      <c r="AA177" s="94">
        <v>0.0</v>
      </c>
      <c r="AB177" s="94">
        <v>0.0</v>
      </c>
      <c r="AC177" s="94">
        <v>0.0</v>
      </c>
      <c r="AD177" s="94">
        <v>0.0</v>
      </c>
      <c r="AE177" s="94">
        <v>0.0</v>
      </c>
      <c r="AF177" s="94">
        <v>0.0</v>
      </c>
      <c r="AG177" s="94">
        <v>0.0</v>
      </c>
      <c r="AH177" s="94">
        <v>0.0</v>
      </c>
    </row>
    <row r="178" hidden="1">
      <c r="A178" s="83" t="s">
        <v>58</v>
      </c>
      <c r="B178" s="84" t="s">
        <v>213</v>
      </c>
      <c r="C178" s="94">
        <v>0.0</v>
      </c>
      <c r="D178" s="94">
        <v>0.0</v>
      </c>
      <c r="E178" s="96">
        <f t="shared" ref="E178:E179" si="135">SUM(L178*I178)/60</f>
        <v>0</v>
      </c>
      <c r="F178" s="94">
        <v>0.0</v>
      </c>
      <c r="G178" s="94">
        <v>0.0</v>
      </c>
      <c r="H178" s="94">
        <v>0.0</v>
      </c>
      <c r="I178" s="94">
        <v>0.0</v>
      </c>
      <c r="J178" s="95">
        <f t="shared" si="126"/>
        <v>0</v>
      </c>
      <c r="K178" s="87" t="str">
        <f t="shared" si="127"/>
        <v>#DIV/0!</v>
      </c>
      <c r="L178" s="94">
        <v>0.0</v>
      </c>
      <c r="M178" s="94">
        <v>0.0</v>
      </c>
      <c r="N178" s="85">
        <v>0.0</v>
      </c>
      <c r="O178" s="110">
        <f t="shared" si="134"/>
        <v>0</v>
      </c>
      <c r="P178" s="94">
        <v>0.0</v>
      </c>
      <c r="Q178" s="94">
        <v>0.0</v>
      </c>
      <c r="R178" s="94">
        <v>0.0</v>
      </c>
      <c r="S178" s="94">
        <v>0.0</v>
      </c>
      <c r="T178" s="94">
        <v>0.0</v>
      </c>
      <c r="U178" s="94">
        <v>0.0</v>
      </c>
      <c r="V178" s="94">
        <v>0.0</v>
      </c>
      <c r="W178" s="94">
        <v>0.0</v>
      </c>
      <c r="X178" s="94">
        <v>0.0</v>
      </c>
      <c r="Y178" s="94">
        <v>0.0</v>
      </c>
      <c r="Z178" s="94">
        <v>0.0</v>
      </c>
      <c r="AA178" s="94">
        <v>0.0</v>
      </c>
      <c r="AB178" s="94">
        <v>0.0</v>
      </c>
      <c r="AC178" s="94">
        <v>0.0</v>
      </c>
      <c r="AD178" s="94">
        <v>0.0</v>
      </c>
      <c r="AE178" s="94">
        <v>0.0</v>
      </c>
      <c r="AF178" s="94">
        <v>0.0</v>
      </c>
      <c r="AG178" s="94">
        <v>0.0</v>
      </c>
      <c r="AH178" s="94">
        <v>0.0</v>
      </c>
    </row>
    <row r="179" hidden="1">
      <c r="A179" s="83" t="s">
        <v>58</v>
      </c>
      <c r="B179" s="93"/>
      <c r="C179" s="94">
        <v>0.0</v>
      </c>
      <c r="D179" s="94">
        <v>0.0</v>
      </c>
      <c r="E179" s="96">
        <f t="shared" si="135"/>
        <v>0</v>
      </c>
      <c r="F179" s="94">
        <v>0.0</v>
      </c>
      <c r="G179" s="94">
        <v>0.0</v>
      </c>
      <c r="H179" s="94">
        <v>0.0</v>
      </c>
      <c r="I179" s="94">
        <v>0.0</v>
      </c>
      <c r="J179" s="95">
        <f t="shared" si="126"/>
        <v>0</v>
      </c>
      <c r="K179" s="87" t="str">
        <f t="shared" si="127"/>
        <v>#DIV/0!</v>
      </c>
      <c r="L179" s="94">
        <v>0.0</v>
      </c>
      <c r="M179" s="94">
        <v>0.0</v>
      </c>
      <c r="N179" s="85">
        <v>0.0</v>
      </c>
      <c r="O179" s="110">
        <f t="shared" si="134"/>
        <v>0</v>
      </c>
      <c r="P179" s="94">
        <v>0.0</v>
      </c>
      <c r="Q179" s="94">
        <v>0.0</v>
      </c>
      <c r="R179" s="94">
        <v>0.0</v>
      </c>
      <c r="S179" s="94">
        <v>0.0</v>
      </c>
      <c r="T179" s="94">
        <v>0.0</v>
      </c>
      <c r="U179" s="94">
        <v>0.0</v>
      </c>
      <c r="V179" s="94">
        <v>0.0</v>
      </c>
      <c r="W179" s="94">
        <v>0.0</v>
      </c>
      <c r="X179" s="94">
        <v>0.0</v>
      </c>
      <c r="Y179" s="94">
        <v>0.0</v>
      </c>
      <c r="Z179" s="94">
        <v>0.0</v>
      </c>
      <c r="AA179" s="94">
        <v>0.0</v>
      </c>
      <c r="AB179" s="94">
        <v>0.0</v>
      </c>
      <c r="AC179" s="94">
        <v>0.0</v>
      </c>
      <c r="AD179" s="94">
        <v>0.0</v>
      </c>
      <c r="AE179" s="94">
        <v>0.0</v>
      </c>
      <c r="AF179" s="94">
        <v>0.0</v>
      </c>
      <c r="AG179" s="94">
        <v>0.0</v>
      </c>
      <c r="AH179" s="94">
        <v>0.0</v>
      </c>
    </row>
    <row r="180" hidden="1">
      <c r="A180" s="89" t="s">
        <v>185</v>
      </c>
      <c r="B180" s="111"/>
      <c r="C180" s="111">
        <f>SUM(C174:C179)</f>
        <v>4</v>
      </c>
      <c r="D180" s="111">
        <f t="shared" ref="D180:E180" si="136">SUM(D174:D179)/4</f>
        <v>0</v>
      </c>
      <c r="E180" s="91">
        <f t="shared" si="136"/>
        <v>19</v>
      </c>
      <c r="F180" s="111">
        <f t="shared" ref="F180:G180" si="137">SUM(F174:F179)</f>
        <v>3</v>
      </c>
      <c r="G180" s="111">
        <f t="shared" si="137"/>
        <v>195</v>
      </c>
      <c r="H180" s="111"/>
      <c r="I180" s="111">
        <f>SUM(I174:I179)</f>
        <v>271</v>
      </c>
      <c r="J180" s="111">
        <f t="shared" si="126"/>
        <v>-76</v>
      </c>
      <c r="K180" s="92">
        <f t="shared" si="127"/>
        <v>0.7195571956</v>
      </c>
      <c r="L180" s="111">
        <f t="shared" ref="L180:M180" si="138">SUM(L174:L179)</f>
        <v>54</v>
      </c>
      <c r="M180" s="111">
        <f t="shared" si="138"/>
        <v>274</v>
      </c>
      <c r="N180" s="111"/>
      <c r="O180" s="112"/>
      <c r="P180" s="111">
        <f t="shared" ref="P180:AH180" si="139">SUM(P174:P179)</f>
        <v>9</v>
      </c>
      <c r="Q180" s="111">
        <f t="shared" si="139"/>
        <v>4</v>
      </c>
      <c r="R180" s="111">
        <f t="shared" si="139"/>
        <v>7</v>
      </c>
      <c r="S180" s="111">
        <f t="shared" si="139"/>
        <v>4</v>
      </c>
      <c r="T180" s="111">
        <f t="shared" si="139"/>
        <v>30</v>
      </c>
      <c r="U180" s="111">
        <f t="shared" si="139"/>
        <v>7</v>
      </c>
      <c r="V180" s="111">
        <f t="shared" si="139"/>
        <v>1</v>
      </c>
      <c r="W180" s="111">
        <f t="shared" si="139"/>
        <v>0</v>
      </c>
      <c r="X180" s="111">
        <f t="shared" si="139"/>
        <v>0</v>
      </c>
      <c r="Y180" s="111">
        <f t="shared" si="139"/>
        <v>0</v>
      </c>
      <c r="Z180" s="111">
        <f t="shared" si="139"/>
        <v>0</v>
      </c>
      <c r="AA180" s="111">
        <f t="shared" si="139"/>
        <v>0</v>
      </c>
      <c r="AB180" s="111">
        <f t="shared" si="139"/>
        <v>0</v>
      </c>
      <c r="AC180" s="111">
        <f t="shared" si="139"/>
        <v>2</v>
      </c>
      <c r="AD180" s="111">
        <f t="shared" si="139"/>
        <v>0</v>
      </c>
      <c r="AE180" s="111">
        <f t="shared" si="139"/>
        <v>0</v>
      </c>
      <c r="AF180" s="111">
        <f t="shared" si="139"/>
        <v>0</v>
      </c>
      <c r="AG180" s="111">
        <f t="shared" si="139"/>
        <v>0</v>
      </c>
      <c r="AH180" s="111">
        <f t="shared" si="139"/>
        <v>0</v>
      </c>
    </row>
    <row r="181">
      <c r="A181" s="104" t="s">
        <v>265</v>
      </c>
    </row>
    <row r="183" hidden="1">
      <c r="A183" s="105"/>
      <c r="F183" s="106" t="s">
        <v>251</v>
      </c>
      <c r="L183" s="107" t="s">
        <v>252</v>
      </c>
      <c r="N183" s="108" t="s">
        <v>253</v>
      </c>
    </row>
    <row r="184" hidden="1">
      <c r="A184" s="76" t="s">
        <v>148</v>
      </c>
      <c r="B184" s="76" t="s">
        <v>149</v>
      </c>
      <c r="C184" s="76" t="s">
        <v>150</v>
      </c>
      <c r="D184" s="76" t="s">
        <v>13</v>
      </c>
      <c r="E184" s="77" t="s">
        <v>151</v>
      </c>
      <c r="F184" s="78" t="s">
        <v>15</v>
      </c>
      <c r="G184" s="78" t="s">
        <v>152</v>
      </c>
      <c r="H184" s="78" t="s">
        <v>153</v>
      </c>
      <c r="I184" s="78" t="s">
        <v>154</v>
      </c>
      <c r="J184" s="78" t="s">
        <v>155</v>
      </c>
      <c r="K184" s="79" t="s">
        <v>156</v>
      </c>
      <c r="L184" s="80" t="s">
        <v>157</v>
      </c>
      <c r="M184" s="80" t="s">
        <v>158</v>
      </c>
      <c r="N184" s="81" t="s">
        <v>254</v>
      </c>
      <c r="O184" s="81" t="s">
        <v>151</v>
      </c>
      <c r="P184" s="81" t="s">
        <v>160</v>
      </c>
      <c r="Q184" s="81" t="s">
        <v>161</v>
      </c>
      <c r="R184" s="81" t="s">
        <v>162</v>
      </c>
      <c r="S184" s="81" t="s">
        <v>163</v>
      </c>
      <c r="T184" s="81" t="s">
        <v>164</v>
      </c>
      <c r="U184" s="81" t="s">
        <v>165</v>
      </c>
      <c r="V184" s="81" t="s">
        <v>166</v>
      </c>
      <c r="W184" s="81" t="s">
        <v>167</v>
      </c>
      <c r="X184" s="81" t="s">
        <v>168</v>
      </c>
      <c r="Y184" s="81" t="s">
        <v>169</v>
      </c>
      <c r="Z184" s="81" t="s">
        <v>170</v>
      </c>
      <c r="AA184" s="81" t="s">
        <v>171</v>
      </c>
      <c r="AB184" s="81" t="s">
        <v>172</v>
      </c>
      <c r="AC184" s="81" t="s">
        <v>173</v>
      </c>
      <c r="AD184" s="81" t="s">
        <v>174</v>
      </c>
      <c r="AE184" s="81" t="s">
        <v>175</v>
      </c>
      <c r="AF184" s="81" t="s">
        <v>176</v>
      </c>
      <c r="AG184" s="81" t="s">
        <v>177</v>
      </c>
      <c r="AH184" s="81" t="s">
        <v>178</v>
      </c>
    </row>
    <row r="185" hidden="1">
      <c r="A185" s="83" t="s">
        <v>58</v>
      </c>
      <c r="B185" s="84" t="s">
        <v>209</v>
      </c>
      <c r="C185" s="85">
        <v>1.0</v>
      </c>
      <c r="D185" s="85">
        <v>1.0</v>
      </c>
      <c r="E185" s="86">
        <v>18.0</v>
      </c>
      <c r="F185" s="94">
        <v>0.0</v>
      </c>
      <c r="G185" s="85">
        <v>60.0</v>
      </c>
      <c r="H185" s="94">
        <v>0.0</v>
      </c>
      <c r="I185" s="85">
        <v>72.0</v>
      </c>
      <c r="J185" s="95">
        <f t="shared" ref="J185:J198" si="140">SUM(G185-I185)</f>
        <v>-12</v>
      </c>
      <c r="K185" s="87">
        <f t="shared" ref="K185:K198" si="141">SUM(G185/I185)</f>
        <v>0.8333333333</v>
      </c>
      <c r="L185" s="85">
        <v>12.0</v>
      </c>
      <c r="M185" s="85">
        <v>87.0</v>
      </c>
      <c r="N185" s="85">
        <v>1.0</v>
      </c>
      <c r="O185" s="110">
        <f t="shared" ref="O185:O190" si="142">(E185*N185)</f>
        <v>18</v>
      </c>
      <c r="P185" s="94">
        <v>0.0</v>
      </c>
      <c r="Q185" s="94">
        <v>0.0</v>
      </c>
      <c r="R185" s="85">
        <v>3.0</v>
      </c>
      <c r="S185" s="85">
        <v>1.0</v>
      </c>
      <c r="T185" s="85">
        <v>11.0</v>
      </c>
      <c r="U185" s="85">
        <v>4.0</v>
      </c>
      <c r="V185" s="85">
        <v>3.0</v>
      </c>
      <c r="W185" s="85">
        <v>2.0</v>
      </c>
      <c r="X185" s="94">
        <v>0.0</v>
      </c>
      <c r="Y185" s="94">
        <v>0.0</v>
      </c>
      <c r="Z185" s="94">
        <v>0.0</v>
      </c>
      <c r="AA185" s="94">
        <v>0.0</v>
      </c>
      <c r="AB185" s="94">
        <v>0.0</v>
      </c>
      <c r="AC185" s="85">
        <v>3.0</v>
      </c>
      <c r="AD185" s="94">
        <v>0.0</v>
      </c>
      <c r="AE185" s="94">
        <v>0.0</v>
      </c>
      <c r="AF185" s="94">
        <v>0.0</v>
      </c>
      <c r="AG185" s="94">
        <v>0.0</v>
      </c>
      <c r="AH185" s="94">
        <v>0.0</v>
      </c>
    </row>
    <row r="186" hidden="1">
      <c r="A186" s="83" t="s">
        <v>58</v>
      </c>
      <c r="B186" s="84" t="s">
        <v>210</v>
      </c>
      <c r="C186" s="85">
        <v>1.0</v>
      </c>
      <c r="D186" s="85">
        <v>1.0</v>
      </c>
      <c r="E186" s="86">
        <v>18.0</v>
      </c>
      <c r="F186" s="85">
        <v>4.0</v>
      </c>
      <c r="G186" s="85">
        <v>58.0</v>
      </c>
      <c r="H186" s="85">
        <v>1.0</v>
      </c>
      <c r="I186" s="85">
        <v>54.0</v>
      </c>
      <c r="J186" s="95">
        <f t="shared" si="140"/>
        <v>4</v>
      </c>
      <c r="K186" s="87">
        <f t="shared" si="141"/>
        <v>1.074074074</v>
      </c>
      <c r="L186" s="85">
        <v>17.0</v>
      </c>
      <c r="M186" s="85">
        <v>78.0</v>
      </c>
      <c r="N186" s="85">
        <v>1.0</v>
      </c>
      <c r="O186" s="110">
        <f t="shared" si="142"/>
        <v>18</v>
      </c>
      <c r="P186" s="85">
        <v>4.0</v>
      </c>
      <c r="Q186" s="94">
        <v>0.0</v>
      </c>
      <c r="R186" s="85">
        <v>1.0</v>
      </c>
      <c r="S186" s="85">
        <v>3.0</v>
      </c>
      <c r="T186" s="85">
        <v>6.0</v>
      </c>
      <c r="U186" s="85">
        <v>2.0</v>
      </c>
      <c r="V186" s="94">
        <v>0.0</v>
      </c>
      <c r="W186" s="94">
        <v>0.0</v>
      </c>
      <c r="X186" s="94">
        <v>0.0</v>
      </c>
      <c r="Y186" s="94">
        <v>0.0</v>
      </c>
      <c r="Z186" s="94">
        <v>0.0</v>
      </c>
      <c r="AA186" s="94">
        <v>0.0</v>
      </c>
      <c r="AB186" s="94">
        <v>0.0</v>
      </c>
      <c r="AC186" s="85">
        <v>1.0</v>
      </c>
      <c r="AD186" s="94">
        <v>0.0</v>
      </c>
      <c r="AE186" s="94">
        <v>0.0</v>
      </c>
      <c r="AF186" s="94">
        <v>0.0</v>
      </c>
      <c r="AG186" s="94">
        <v>0.0</v>
      </c>
      <c r="AH186" s="94">
        <v>0.0</v>
      </c>
    </row>
    <row r="187" hidden="1">
      <c r="A187" s="83" t="s">
        <v>58</v>
      </c>
      <c r="B187" s="84" t="s">
        <v>211</v>
      </c>
      <c r="C187" s="85">
        <v>1.0</v>
      </c>
      <c r="D187" s="85">
        <v>1.0</v>
      </c>
      <c r="E187" s="86">
        <v>18.0</v>
      </c>
      <c r="F187" s="85">
        <v>1.0</v>
      </c>
      <c r="G187" s="85">
        <v>64.0</v>
      </c>
      <c r="H187" s="94">
        <v>0.0</v>
      </c>
      <c r="I187" s="85">
        <v>56.0</v>
      </c>
      <c r="J187" s="95">
        <f t="shared" si="140"/>
        <v>8</v>
      </c>
      <c r="K187" s="87">
        <f t="shared" si="141"/>
        <v>1.142857143</v>
      </c>
      <c r="L187" s="85">
        <v>16.0</v>
      </c>
      <c r="M187" s="85">
        <v>80.0</v>
      </c>
      <c r="N187" s="85">
        <v>1.0</v>
      </c>
      <c r="O187" s="110">
        <f t="shared" si="142"/>
        <v>18</v>
      </c>
      <c r="P187" s="94">
        <v>0.0</v>
      </c>
      <c r="Q187" s="85">
        <v>3.0</v>
      </c>
      <c r="R187" s="85">
        <v>2.0</v>
      </c>
      <c r="S187" s="85">
        <v>1.0</v>
      </c>
      <c r="T187" s="85">
        <v>12.0</v>
      </c>
      <c r="U187" s="85">
        <v>2.0</v>
      </c>
      <c r="V187" s="85">
        <v>1.0</v>
      </c>
      <c r="W187" s="94">
        <v>0.0</v>
      </c>
      <c r="X187" s="94">
        <v>0.0</v>
      </c>
      <c r="Y187" s="94">
        <v>0.0</v>
      </c>
      <c r="Z187" s="94">
        <v>0.0</v>
      </c>
      <c r="AA187" s="94">
        <v>0.0</v>
      </c>
      <c r="AB187" s="94">
        <v>0.0</v>
      </c>
      <c r="AC187" s="94">
        <v>0.0</v>
      </c>
      <c r="AD187" s="94">
        <v>0.0</v>
      </c>
      <c r="AE187" s="94">
        <v>0.0</v>
      </c>
      <c r="AF187" s="94">
        <v>0.0</v>
      </c>
      <c r="AG187" s="94">
        <v>0.0</v>
      </c>
      <c r="AH187" s="94">
        <v>0.0</v>
      </c>
    </row>
    <row r="188" hidden="1">
      <c r="A188" s="83" t="s">
        <v>58</v>
      </c>
      <c r="B188" s="84" t="s">
        <v>212</v>
      </c>
      <c r="C188" s="94">
        <v>0.0</v>
      </c>
      <c r="D188" s="94">
        <v>0.0</v>
      </c>
      <c r="E188" s="86">
        <v>0.0</v>
      </c>
      <c r="F188" s="94">
        <v>0.0</v>
      </c>
      <c r="G188" s="94">
        <v>0.0</v>
      </c>
      <c r="H188" s="94">
        <v>0.0</v>
      </c>
      <c r="I188" s="94">
        <v>0.0</v>
      </c>
      <c r="J188" s="95">
        <f t="shared" si="140"/>
        <v>0</v>
      </c>
      <c r="K188" s="87" t="str">
        <f t="shared" si="141"/>
        <v>#DIV/0!</v>
      </c>
      <c r="L188" s="94">
        <v>0.0</v>
      </c>
      <c r="M188" s="94">
        <v>0.0</v>
      </c>
      <c r="N188" s="85">
        <v>0.0</v>
      </c>
      <c r="O188" s="110">
        <f t="shared" si="142"/>
        <v>0</v>
      </c>
      <c r="P188" s="94">
        <v>0.0</v>
      </c>
      <c r="Q188" s="94">
        <v>0.0</v>
      </c>
      <c r="R188" s="94">
        <v>0.0</v>
      </c>
      <c r="S188" s="94">
        <v>0.0</v>
      </c>
      <c r="T188" s="94">
        <v>0.0</v>
      </c>
      <c r="U188" s="94">
        <v>0.0</v>
      </c>
      <c r="V188" s="94">
        <v>0.0</v>
      </c>
      <c r="W188" s="94">
        <v>0.0</v>
      </c>
      <c r="X188" s="94">
        <v>0.0</v>
      </c>
      <c r="Y188" s="94">
        <v>0.0</v>
      </c>
      <c r="Z188" s="94">
        <v>0.0</v>
      </c>
      <c r="AA188" s="94">
        <v>0.0</v>
      </c>
      <c r="AB188" s="94">
        <v>0.0</v>
      </c>
      <c r="AC188" s="94">
        <v>0.0</v>
      </c>
      <c r="AD188" s="94">
        <v>0.0</v>
      </c>
      <c r="AE188" s="94">
        <v>0.0</v>
      </c>
      <c r="AF188" s="94">
        <v>0.0</v>
      </c>
      <c r="AG188" s="94">
        <v>0.0</v>
      </c>
      <c r="AH188" s="94">
        <v>0.0</v>
      </c>
    </row>
    <row r="189" hidden="1">
      <c r="A189" s="83" t="s">
        <v>58</v>
      </c>
      <c r="B189" s="84" t="s">
        <v>213</v>
      </c>
      <c r="C189" s="94">
        <v>0.0</v>
      </c>
      <c r="D189" s="94">
        <v>0.0</v>
      </c>
      <c r="E189" s="96">
        <f>SUM(L189*I189)/60</f>
        <v>0</v>
      </c>
      <c r="F189" s="94">
        <v>0.0</v>
      </c>
      <c r="G189" s="94">
        <v>0.0</v>
      </c>
      <c r="H189" s="94">
        <v>0.0</v>
      </c>
      <c r="I189" s="94">
        <v>0.0</v>
      </c>
      <c r="J189" s="95">
        <f t="shared" si="140"/>
        <v>0</v>
      </c>
      <c r="K189" s="87" t="str">
        <f t="shared" si="141"/>
        <v>#DIV/0!</v>
      </c>
      <c r="L189" s="94">
        <v>0.0</v>
      </c>
      <c r="M189" s="94">
        <v>0.0</v>
      </c>
      <c r="N189" s="85">
        <v>0.0</v>
      </c>
      <c r="O189" s="110">
        <f t="shared" si="142"/>
        <v>0</v>
      </c>
      <c r="P189" s="94">
        <v>0.0</v>
      </c>
      <c r="Q189" s="94">
        <v>0.0</v>
      </c>
      <c r="R189" s="94">
        <v>0.0</v>
      </c>
      <c r="S189" s="94">
        <v>0.0</v>
      </c>
      <c r="T189" s="94">
        <v>0.0</v>
      </c>
      <c r="U189" s="94">
        <v>0.0</v>
      </c>
      <c r="V189" s="94">
        <v>0.0</v>
      </c>
      <c r="W189" s="94">
        <v>0.0</v>
      </c>
      <c r="X189" s="94">
        <v>0.0</v>
      </c>
      <c r="Y189" s="94">
        <v>0.0</v>
      </c>
      <c r="Z189" s="94">
        <v>0.0</v>
      </c>
      <c r="AA189" s="94">
        <v>0.0</v>
      </c>
      <c r="AB189" s="94">
        <v>0.0</v>
      </c>
      <c r="AC189" s="94">
        <v>0.0</v>
      </c>
      <c r="AD189" s="94">
        <v>0.0</v>
      </c>
      <c r="AE189" s="94">
        <v>0.0</v>
      </c>
      <c r="AF189" s="94">
        <v>0.0</v>
      </c>
      <c r="AG189" s="94">
        <v>0.0</v>
      </c>
      <c r="AH189" s="94">
        <v>0.0</v>
      </c>
    </row>
    <row r="190" hidden="1">
      <c r="A190" s="83" t="s">
        <v>214</v>
      </c>
      <c r="B190" s="84" t="s">
        <v>189</v>
      </c>
      <c r="C190" s="85">
        <v>1.0</v>
      </c>
      <c r="D190" s="85">
        <v>1.0</v>
      </c>
      <c r="E190" s="86">
        <v>18.0</v>
      </c>
      <c r="F190" s="94">
        <v>0.0</v>
      </c>
      <c r="G190" s="85">
        <v>71.0</v>
      </c>
      <c r="H190" s="85">
        <v>1.0</v>
      </c>
      <c r="I190" s="85">
        <v>57.0</v>
      </c>
      <c r="J190" s="95">
        <f t="shared" si="140"/>
        <v>14</v>
      </c>
      <c r="K190" s="87">
        <f t="shared" si="141"/>
        <v>1.245614035</v>
      </c>
      <c r="L190" s="85">
        <v>16.0</v>
      </c>
      <c r="M190" s="85">
        <v>96.0</v>
      </c>
      <c r="N190" s="85">
        <v>1.0</v>
      </c>
      <c r="O190" s="110">
        <f t="shared" si="142"/>
        <v>18</v>
      </c>
      <c r="P190" s="85">
        <v>3.0</v>
      </c>
      <c r="Q190" s="85">
        <v>1.0</v>
      </c>
      <c r="R190" s="85">
        <v>3.0</v>
      </c>
      <c r="S190" s="85">
        <v>1.0</v>
      </c>
      <c r="T190" s="85">
        <v>14.0</v>
      </c>
      <c r="U190" s="85">
        <v>2.0</v>
      </c>
      <c r="V190" s="85">
        <v>1.0</v>
      </c>
      <c r="W190" s="85">
        <v>1.0</v>
      </c>
      <c r="X190" s="94">
        <v>0.0</v>
      </c>
      <c r="Y190" s="94">
        <v>0.0</v>
      </c>
      <c r="Z190" s="94">
        <v>0.0</v>
      </c>
      <c r="AA190" s="94">
        <v>0.0</v>
      </c>
      <c r="AB190" s="94">
        <v>0.0</v>
      </c>
      <c r="AC190" s="85">
        <v>3.0</v>
      </c>
      <c r="AD190" s="94">
        <v>0.0</v>
      </c>
      <c r="AE190" s="94">
        <v>0.0</v>
      </c>
      <c r="AF190" s="94">
        <v>0.0</v>
      </c>
      <c r="AG190" s="94">
        <v>0.0</v>
      </c>
      <c r="AH190" s="94">
        <v>0.0</v>
      </c>
    </row>
    <row r="191" hidden="1">
      <c r="A191" s="89"/>
      <c r="B191" s="111"/>
      <c r="C191" s="111">
        <f t="shared" ref="C191:D191" si="143">SUM(C185:C190)/4</f>
        <v>1</v>
      </c>
      <c r="D191" s="111">
        <f t="shared" si="143"/>
        <v>1</v>
      </c>
      <c r="E191" s="91">
        <f t="shared" ref="E191:G191" si="144">SUM(E185:E190)</f>
        <v>72</v>
      </c>
      <c r="F191" s="111">
        <f t="shared" si="144"/>
        <v>5</v>
      </c>
      <c r="G191" s="111">
        <f t="shared" si="144"/>
        <v>253</v>
      </c>
      <c r="H191" s="111"/>
      <c r="I191" s="111">
        <f>SUM(I185:I190)</f>
        <v>239</v>
      </c>
      <c r="J191" s="111">
        <f t="shared" si="140"/>
        <v>14</v>
      </c>
      <c r="K191" s="92">
        <f t="shared" si="141"/>
        <v>1.058577406</v>
      </c>
      <c r="L191" s="111">
        <f t="shared" ref="L191:M191" si="145">SUM(L185:L190)</f>
        <v>61</v>
      </c>
      <c r="M191" s="111">
        <f t="shared" si="145"/>
        <v>341</v>
      </c>
      <c r="N191" s="111"/>
      <c r="O191" s="112"/>
      <c r="P191" s="111">
        <f t="shared" ref="P191:AH191" si="146">SUM(P185:P190)</f>
        <v>7</v>
      </c>
      <c r="Q191" s="111">
        <f t="shared" si="146"/>
        <v>4</v>
      </c>
      <c r="R191" s="111">
        <f t="shared" si="146"/>
        <v>9</v>
      </c>
      <c r="S191" s="111">
        <f t="shared" si="146"/>
        <v>6</v>
      </c>
      <c r="T191" s="111">
        <f t="shared" si="146"/>
        <v>43</v>
      </c>
      <c r="U191" s="111">
        <f t="shared" si="146"/>
        <v>10</v>
      </c>
      <c r="V191" s="111">
        <f t="shared" si="146"/>
        <v>5</v>
      </c>
      <c r="W191" s="111">
        <f t="shared" si="146"/>
        <v>3</v>
      </c>
      <c r="X191" s="111">
        <f t="shared" si="146"/>
        <v>0</v>
      </c>
      <c r="Y191" s="111">
        <f t="shared" si="146"/>
        <v>0</v>
      </c>
      <c r="Z191" s="111">
        <f t="shared" si="146"/>
        <v>0</v>
      </c>
      <c r="AA191" s="111">
        <f t="shared" si="146"/>
        <v>0</v>
      </c>
      <c r="AB191" s="111">
        <f t="shared" si="146"/>
        <v>0</v>
      </c>
      <c r="AC191" s="111">
        <f t="shared" si="146"/>
        <v>7</v>
      </c>
      <c r="AD191" s="111">
        <f t="shared" si="146"/>
        <v>0</v>
      </c>
      <c r="AE191" s="111">
        <f t="shared" si="146"/>
        <v>0</v>
      </c>
      <c r="AF191" s="111">
        <f t="shared" si="146"/>
        <v>0</v>
      </c>
      <c r="AG191" s="111">
        <f t="shared" si="146"/>
        <v>0</v>
      </c>
      <c r="AH191" s="111">
        <f t="shared" si="146"/>
        <v>0</v>
      </c>
    </row>
    <row r="192" hidden="1">
      <c r="A192" s="83" t="s">
        <v>49</v>
      </c>
      <c r="B192" s="84" t="s">
        <v>198</v>
      </c>
      <c r="C192" s="85">
        <v>1.0</v>
      </c>
      <c r="D192" s="94">
        <v>0.0</v>
      </c>
      <c r="E192" s="86">
        <v>18.0</v>
      </c>
      <c r="F192" s="94">
        <v>0.0</v>
      </c>
      <c r="G192" s="85">
        <v>62.0</v>
      </c>
      <c r="H192" s="94">
        <v>0.0</v>
      </c>
      <c r="I192" s="85">
        <v>85.0</v>
      </c>
      <c r="J192" s="95">
        <f t="shared" si="140"/>
        <v>-23</v>
      </c>
      <c r="K192" s="87">
        <f t="shared" si="141"/>
        <v>0.7294117647</v>
      </c>
      <c r="L192" s="85">
        <v>10.0</v>
      </c>
      <c r="M192" s="85">
        <v>87.0</v>
      </c>
      <c r="N192" s="85">
        <v>1.0</v>
      </c>
      <c r="O192" s="110">
        <f t="shared" ref="O192:O197" si="147">(E192*N192)</f>
        <v>18</v>
      </c>
      <c r="P192" s="85">
        <v>2.0</v>
      </c>
      <c r="Q192" s="94">
        <v>0.0</v>
      </c>
      <c r="R192" s="85">
        <v>14.0</v>
      </c>
      <c r="S192" s="85">
        <v>3.0</v>
      </c>
      <c r="T192" s="85">
        <v>7.0</v>
      </c>
      <c r="U192" s="85">
        <v>2.0</v>
      </c>
      <c r="V192" s="94">
        <v>0.0</v>
      </c>
      <c r="W192" s="94">
        <v>0.0</v>
      </c>
      <c r="X192" s="94">
        <v>0.0</v>
      </c>
      <c r="Y192" s="94">
        <v>0.0</v>
      </c>
      <c r="Z192" s="94">
        <v>0.0</v>
      </c>
      <c r="AA192" s="94">
        <v>0.0</v>
      </c>
      <c r="AB192" s="94">
        <v>0.0</v>
      </c>
      <c r="AC192" s="85">
        <v>1.0</v>
      </c>
      <c r="AD192" s="94">
        <v>0.0</v>
      </c>
      <c r="AE192" s="94">
        <v>0.0</v>
      </c>
      <c r="AF192" s="94">
        <v>0.0</v>
      </c>
      <c r="AG192" s="94">
        <v>0.0</v>
      </c>
      <c r="AH192" s="94">
        <v>0.0</v>
      </c>
    </row>
    <row r="193" hidden="1">
      <c r="A193" s="83" t="s">
        <v>49</v>
      </c>
      <c r="B193" s="84" t="s">
        <v>199</v>
      </c>
      <c r="C193" s="85">
        <v>1.0</v>
      </c>
      <c r="D193" s="94">
        <v>0.0</v>
      </c>
      <c r="E193" s="86">
        <v>18.0</v>
      </c>
      <c r="F193" s="85">
        <v>1.0</v>
      </c>
      <c r="G193" s="85">
        <v>74.0</v>
      </c>
      <c r="H193" s="94">
        <v>0.0</v>
      </c>
      <c r="I193" s="85">
        <v>66.0</v>
      </c>
      <c r="J193" s="95">
        <f t="shared" si="140"/>
        <v>8</v>
      </c>
      <c r="K193" s="87">
        <f t="shared" si="141"/>
        <v>1.121212121</v>
      </c>
      <c r="L193" s="85">
        <v>13.0</v>
      </c>
      <c r="M193" s="85">
        <v>97.0</v>
      </c>
      <c r="N193" s="85">
        <v>1.0</v>
      </c>
      <c r="O193" s="110">
        <f t="shared" si="147"/>
        <v>18</v>
      </c>
      <c r="P193" s="85">
        <v>2.0</v>
      </c>
      <c r="Q193" s="94">
        <v>0.0</v>
      </c>
      <c r="R193" s="85">
        <v>5.0</v>
      </c>
      <c r="S193" s="85">
        <v>2.0</v>
      </c>
      <c r="T193" s="85">
        <v>11.0</v>
      </c>
      <c r="U193" s="85">
        <v>2.0</v>
      </c>
      <c r="V193" s="85">
        <v>1.0</v>
      </c>
      <c r="W193" s="85">
        <v>1.0</v>
      </c>
      <c r="X193" s="85">
        <v>1.0</v>
      </c>
      <c r="Y193" s="94">
        <v>0.0</v>
      </c>
      <c r="Z193" s="94">
        <v>0.0</v>
      </c>
      <c r="AA193" s="94">
        <v>0.0</v>
      </c>
      <c r="AB193" s="94">
        <v>0.0</v>
      </c>
      <c r="AC193" s="85">
        <v>3.0</v>
      </c>
      <c r="AD193" s="94">
        <v>0.0</v>
      </c>
      <c r="AE193" s="94">
        <v>0.0</v>
      </c>
      <c r="AF193" s="94">
        <v>0.0</v>
      </c>
      <c r="AG193" s="94">
        <v>0.0</v>
      </c>
      <c r="AH193" s="94">
        <v>0.0</v>
      </c>
    </row>
    <row r="194" hidden="1">
      <c r="A194" s="83" t="s">
        <v>49</v>
      </c>
      <c r="B194" s="84" t="s">
        <v>200</v>
      </c>
      <c r="C194" s="85">
        <v>1.0</v>
      </c>
      <c r="D194" s="94">
        <v>0.0</v>
      </c>
      <c r="E194" s="86">
        <v>18.0</v>
      </c>
      <c r="F194" s="94">
        <v>0.0</v>
      </c>
      <c r="G194" s="85">
        <v>58.0</v>
      </c>
      <c r="H194" s="94">
        <v>0.0</v>
      </c>
      <c r="I194" s="85">
        <v>52.0</v>
      </c>
      <c r="J194" s="95">
        <f t="shared" si="140"/>
        <v>6</v>
      </c>
      <c r="K194" s="87">
        <f t="shared" si="141"/>
        <v>1.115384615</v>
      </c>
      <c r="L194" s="85">
        <v>18.0</v>
      </c>
      <c r="M194" s="85">
        <v>78.0</v>
      </c>
      <c r="N194" s="85">
        <v>1.0</v>
      </c>
      <c r="O194" s="110">
        <f t="shared" si="147"/>
        <v>18</v>
      </c>
      <c r="P194" s="85">
        <v>1.0</v>
      </c>
      <c r="Q194" s="85">
        <v>2.0</v>
      </c>
      <c r="R194" s="85">
        <v>4.0</v>
      </c>
      <c r="S194" s="85">
        <v>2.0</v>
      </c>
      <c r="T194" s="85">
        <v>9.0</v>
      </c>
      <c r="U194" s="85">
        <v>3.0</v>
      </c>
      <c r="V194" s="94">
        <v>0.0</v>
      </c>
      <c r="W194" s="94">
        <v>0.0</v>
      </c>
      <c r="X194" s="94">
        <v>0.0</v>
      </c>
      <c r="Y194" s="94">
        <v>0.0</v>
      </c>
      <c r="Z194" s="94">
        <v>0.0</v>
      </c>
      <c r="AA194" s="94">
        <v>0.0</v>
      </c>
      <c r="AB194" s="94">
        <v>0.0</v>
      </c>
      <c r="AC194" s="85">
        <v>2.0</v>
      </c>
      <c r="AD194" s="94">
        <v>0.0</v>
      </c>
      <c r="AE194" s="94">
        <v>0.0</v>
      </c>
      <c r="AF194" s="94">
        <v>0.0</v>
      </c>
      <c r="AG194" s="94">
        <v>0.0</v>
      </c>
      <c r="AH194" s="94">
        <v>0.0</v>
      </c>
    </row>
    <row r="195" hidden="1">
      <c r="A195" s="83" t="s">
        <v>49</v>
      </c>
      <c r="B195" s="84" t="s">
        <v>201</v>
      </c>
      <c r="C195" s="94">
        <v>0.0</v>
      </c>
      <c r="D195" s="94">
        <v>0.0</v>
      </c>
      <c r="E195" s="96">
        <f>SUM(L195*I195)/60</f>
        <v>0</v>
      </c>
      <c r="F195" s="94">
        <v>0.0</v>
      </c>
      <c r="G195" s="94">
        <v>0.0</v>
      </c>
      <c r="H195" s="94">
        <v>0.0</v>
      </c>
      <c r="I195" s="94">
        <v>0.0</v>
      </c>
      <c r="J195" s="95">
        <f t="shared" si="140"/>
        <v>0</v>
      </c>
      <c r="K195" s="87" t="str">
        <f t="shared" si="141"/>
        <v>#DIV/0!</v>
      </c>
      <c r="L195" s="94">
        <v>0.0</v>
      </c>
      <c r="M195" s="94">
        <v>0.0</v>
      </c>
      <c r="N195" s="85">
        <v>0.0</v>
      </c>
      <c r="O195" s="110">
        <f t="shared" si="147"/>
        <v>0</v>
      </c>
      <c r="P195" s="94">
        <v>0.0</v>
      </c>
      <c r="Q195" s="94">
        <v>0.0</v>
      </c>
      <c r="R195" s="94">
        <v>0.0</v>
      </c>
      <c r="S195" s="94">
        <v>0.0</v>
      </c>
      <c r="T195" s="94">
        <v>0.0</v>
      </c>
      <c r="U195" s="94">
        <v>0.0</v>
      </c>
      <c r="V195" s="94">
        <v>0.0</v>
      </c>
      <c r="W195" s="94">
        <v>0.0</v>
      </c>
      <c r="X195" s="94">
        <v>0.0</v>
      </c>
      <c r="Y195" s="94">
        <v>0.0</v>
      </c>
      <c r="Z195" s="94">
        <v>0.0</v>
      </c>
      <c r="AA195" s="94">
        <v>0.0</v>
      </c>
      <c r="AB195" s="94">
        <v>0.0</v>
      </c>
      <c r="AC195" s="94">
        <v>0.0</v>
      </c>
      <c r="AD195" s="94">
        <v>0.0</v>
      </c>
      <c r="AE195" s="94">
        <v>0.0</v>
      </c>
      <c r="AF195" s="94">
        <v>0.0</v>
      </c>
      <c r="AG195" s="94">
        <v>0.0</v>
      </c>
      <c r="AH195" s="94">
        <v>0.0</v>
      </c>
    </row>
    <row r="196" hidden="1">
      <c r="A196" s="83" t="s">
        <v>49</v>
      </c>
      <c r="B196" s="84" t="s">
        <v>202</v>
      </c>
      <c r="C196" s="85">
        <v>1.0</v>
      </c>
      <c r="D196" s="94">
        <v>0.0</v>
      </c>
      <c r="E196" s="86">
        <v>18.0</v>
      </c>
      <c r="F196" s="85">
        <v>1.0</v>
      </c>
      <c r="G196" s="85">
        <v>38.0</v>
      </c>
      <c r="H196" s="94">
        <v>0.0</v>
      </c>
      <c r="I196" s="85">
        <v>59.0</v>
      </c>
      <c r="J196" s="95">
        <f t="shared" si="140"/>
        <v>-21</v>
      </c>
      <c r="K196" s="87">
        <f t="shared" si="141"/>
        <v>0.6440677966</v>
      </c>
      <c r="L196" s="94">
        <v>0.0</v>
      </c>
      <c r="M196" s="94">
        <v>0.0</v>
      </c>
      <c r="N196" s="85">
        <v>0.0</v>
      </c>
      <c r="O196" s="110">
        <f t="shared" si="147"/>
        <v>0</v>
      </c>
      <c r="P196" s="85">
        <v>1.0</v>
      </c>
      <c r="Q196" s="94">
        <v>0.0</v>
      </c>
      <c r="R196" s="94">
        <v>0.0</v>
      </c>
      <c r="S196" s="94">
        <v>0.0</v>
      </c>
      <c r="T196" s="85">
        <v>7.0</v>
      </c>
      <c r="U196" s="85">
        <v>1.0</v>
      </c>
      <c r="V196" s="94">
        <v>0.0</v>
      </c>
      <c r="W196" s="94">
        <v>0.0</v>
      </c>
      <c r="X196" s="94">
        <v>0.0</v>
      </c>
      <c r="Y196" s="94">
        <v>0.0</v>
      </c>
      <c r="Z196" s="94">
        <v>0.0</v>
      </c>
      <c r="AA196" s="94">
        <v>0.0</v>
      </c>
      <c r="AB196" s="94">
        <v>0.0</v>
      </c>
      <c r="AC196" s="94">
        <v>0.0</v>
      </c>
      <c r="AD196" s="94">
        <v>0.0</v>
      </c>
      <c r="AE196" s="94">
        <v>0.0</v>
      </c>
      <c r="AF196" s="94">
        <v>0.0</v>
      </c>
      <c r="AG196" s="94">
        <v>0.0</v>
      </c>
      <c r="AH196" s="94">
        <v>0.0</v>
      </c>
    </row>
    <row r="197" hidden="1">
      <c r="A197" s="83" t="s">
        <v>49</v>
      </c>
      <c r="B197" s="93"/>
      <c r="C197" s="94">
        <v>0.0</v>
      </c>
      <c r="D197" s="94">
        <v>0.0</v>
      </c>
      <c r="E197" s="96">
        <f>SUM(L197*I197)/60</f>
        <v>0</v>
      </c>
      <c r="F197" s="94">
        <v>0.0</v>
      </c>
      <c r="G197" s="94">
        <v>0.0</v>
      </c>
      <c r="H197" s="94">
        <v>0.0</v>
      </c>
      <c r="I197" s="94">
        <v>0.0</v>
      </c>
      <c r="J197" s="95">
        <f t="shared" si="140"/>
        <v>0</v>
      </c>
      <c r="K197" s="87" t="str">
        <f t="shared" si="141"/>
        <v>#DIV/0!</v>
      </c>
      <c r="L197" s="85">
        <v>15.0</v>
      </c>
      <c r="M197" s="85">
        <v>47.0</v>
      </c>
      <c r="N197" s="85">
        <v>1.0</v>
      </c>
      <c r="O197" s="110">
        <f t="shared" si="147"/>
        <v>0</v>
      </c>
      <c r="P197" s="94">
        <v>0.0</v>
      </c>
      <c r="Q197" s="94">
        <v>0.0</v>
      </c>
      <c r="R197" s="94">
        <v>0.0</v>
      </c>
      <c r="S197" s="94">
        <v>0.0</v>
      </c>
      <c r="T197" s="94">
        <v>0.0</v>
      </c>
      <c r="U197" s="94">
        <v>0.0</v>
      </c>
      <c r="V197" s="94">
        <v>0.0</v>
      </c>
      <c r="W197" s="94">
        <v>0.0</v>
      </c>
      <c r="X197" s="94">
        <v>0.0</v>
      </c>
      <c r="Y197" s="94">
        <v>0.0</v>
      </c>
      <c r="Z197" s="94">
        <v>0.0</v>
      </c>
      <c r="AA197" s="94">
        <v>0.0</v>
      </c>
      <c r="AB197" s="94">
        <v>0.0</v>
      </c>
      <c r="AC197" s="94">
        <v>0.0</v>
      </c>
      <c r="AD197" s="94">
        <v>0.0</v>
      </c>
      <c r="AE197" s="94">
        <v>0.0</v>
      </c>
      <c r="AF197" s="94">
        <v>0.0</v>
      </c>
      <c r="AG197" s="94">
        <v>0.0</v>
      </c>
      <c r="AH197" s="94">
        <v>0.0</v>
      </c>
    </row>
    <row r="198" hidden="1">
      <c r="A198" s="89" t="s">
        <v>185</v>
      </c>
      <c r="B198" s="111"/>
      <c r="C198" s="111">
        <f>SUM(C192:C197)</f>
        <v>4</v>
      </c>
      <c r="D198" s="111">
        <f t="shared" ref="D198:E198" si="148">SUM(D192:D197)/4</f>
        <v>0</v>
      </c>
      <c r="E198" s="91">
        <f t="shared" si="148"/>
        <v>18</v>
      </c>
      <c r="F198" s="111">
        <f t="shared" ref="F198:G198" si="149">SUM(F192:F197)</f>
        <v>2</v>
      </c>
      <c r="G198" s="111">
        <f t="shared" si="149"/>
        <v>232</v>
      </c>
      <c r="H198" s="111"/>
      <c r="I198" s="111">
        <f>SUM(I192:I197)</f>
        <v>262</v>
      </c>
      <c r="J198" s="111">
        <f t="shared" si="140"/>
        <v>-30</v>
      </c>
      <c r="K198" s="92">
        <f t="shared" si="141"/>
        <v>0.8854961832</v>
      </c>
      <c r="L198" s="111">
        <f t="shared" ref="L198:M198" si="150">SUM(L192:L197)</f>
        <v>56</v>
      </c>
      <c r="M198" s="111">
        <f t="shared" si="150"/>
        <v>309</v>
      </c>
      <c r="N198" s="111"/>
      <c r="O198" s="112"/>
      <c r="P198" s="111">
        <f t="shared" ref="P198:AH198" si="151">SUM(P192:P197)</f>
        <v>6</v>
      </c>
      <c r="Q198" s="111">
        <f t="shared" si="151"/>
        <v>2</v>
      </c>
      <c r="R198" s="111">
        <f t="shared" si="151"/>
        <v>23</v>
      </c>
      <c r="S198" s="111">
        <f t="shared" si="151"/>
        <v>7</v>
      </c>
      <c r="T198" s="111">
        <f t="shared" si="151"/>
        <v>34</v>
      </c>
      <c r="U198" s="111">
        <f t="shared" si="151"/>
        <v>8</v>
      </c>
      <c r="V198" s="111">
        <f t="shared" si="151"/>
        <v>1</v>
      </c>
      <c r="W198" s="111">
        <f t="shared" si="151"/>
        <v>1</v>
      </c>
      <c r="X198" s="111">
        <f t="shared" si="151"/>
        <v>1</v>
      </c>
      <c r="Y198" s="111">
        <f t="shared" si="151"/>
        <v>0</v>
      </c>
      <c r="Z198" s="111">
        <f t="shared" si="151"/>
        <v>0</v>
      </c>
      <c r="AA198" s="111">
        <f t="shared" si="151"/>
        <v>0</v>
      </c>
      <c r="AB198" s="111">
        <f t="shared" si="151"/>
        <v>0</v>
      </c>
      <c r="AC198" s="111">
        <f t="shared" si="151"/>
        <v>6</v>
      </c>
      <c r="AD198" s="111">
        <f t="shared" si="151"/>
        <v>0</v>
      </c>
      <c r="AE198" s="111">
        <f t="shared" si="151"/>
        <v>0</v>
      </c>
      <c r="AF198" s="111">
        <f t="shared" si="151"/>
        <v>0</v>
      </c>
      <c r="AG198" s="111">
        <f t="shared" si="151"/>
        <v>0</v>
      </c>
      <c r="AH198" s="111">
        <f t="shared" si="151"/>
        <v>0</v>
      </c>
    </row>
    <row r="199">
      <c r="A199" s="104" t="s">
        <v>266</v>
      </c>
    </row>
    <row r="201" hidden="1">
      <c r="A201" s="105"/>
      <c r="F201" s="106" t="s">
        <v>251</v>
      </c>
      <c r="L201" s="107" t="s">
        <v>252</v>
      </c>
      <c r="N201" s="108" t="s">
        <v>253</v>
      </c>
    </row>
    <row r="202" hidden="1">
      <c r="A202" s="76" t="s">
        <v>148</v>
      </c>
      <c r="B202" s="76" t="s">
        <v>149</v>
      </c>
      <c r="C202" s="76" t="s">
        <v>150</v>
      </c>
      <c r="D202" s="76" t="s">
        <v>13</v>
      </c>
      <c r="E202" s="77" t="s">
        <v>151</v>
      </c>
      <c r="F202" s="78" t="s">
        <v>15</v>
      </c>
      <c r="G202" s="78" t="s">
        <v>152</v>
      </c>
      <c r="H202" s="78" t="s">
        <v>153</v>
      </c>
      <c r="I202" s="78" t="s">
        <v>154</v>
      </c>
      <c r="J202" s="78" t="s">
        <v>155</v>
      </c>
      <c r="K202" s="79" t="s">
        <v>156</v>
      </c>
      <c r="L202" s="80" t="s">
        <v>157</v>
      </c>
      <c r="M202" s="80" t="s">
        <v>158</v>
      </c>
      <c r="N202" s="81" t="s">
        <v>254</v>
      </c>
      <c r="O202" s="81" t="s">
        <v>151</v>
      </c>
      <c r="P202" s="81" t="s">
        <v>160</v>
      </c>
      <c r="Q202" s="81" t="s">
        <v>161</v>
      </c>
      <c r="R202" s="81" t="s">
        <v>162</v>
      </c>
      <c r="S202" s="81" t="s">
        <v>163</v>
      </c>
      <c r="T202" s="81" t="s">
        <v>164</v>
      </c>
      <c r="U202" s="81" t="s">
        <v>165</v>
      </c>
      <c r="V202" s="81" t="s">
        <v>166</v>
      </c>
      <c r="W202" s="81" t="s">
        <v>167</v>
      </c>
      <c r="X202" s="81" t="s">
        <v>168</v>
      </c>
      <c r="Y202" s="81" t="s">
        <v>169</v>
      </c>
      <c r="Z202" s="81" t="s">
        <v>170</v>
      </c>
      <c r="AA202" s="81" t="s">
        <v>171</v>
      </c>
      <c r="AB202" s="81" t="s">
        <v>172</v>
      </c>
      <c r="AC202" s="81" t="s">
        <v>173</v>
      </c>
      <c r="AD202" s="81" t="s">
        <v>174</v>
      </c>
      <c r="AE202" s="81" t="s">
        <v>175</v>
      </c>
      <c r="AF202" s="81" t="s">
        <v>176</v>
      </c>
      <c r="AG202" s="81" t="s">
        <v>177</v>
      </c>
      <c r="AH202" s="81" t="s">
        <v>178</v>
      </c>
    </row>
    <row r="203" hidden="1">
      <c r="A203" s="83" t="s">
        <v>44</v>
      </c>
      <c r="B203" s="84" t="s">
        <v>186</v>
      </c>
      <c r="C203" s="85">
        <v>1.0</v>
      </c>
      <c r="D203" s="85">
        <v>1.0</v>
      </c>
      <c r="E203" s="86">
        <v>34.0</v>
      </c>
      <c r="F203" s="94">
        <v>0.0</v>
      </c>
      <c r="G203" s="85">
        <v>89.0</v>
      </c>
      <c r="H203" s="94">
        <v>0.0</v>
      </c>
      <c r="I203" s="85">
        <v>134.0</v>
      </c>
      <c r="J203" s="95">
        <f t="shared" ref="J203:J216" si="152">SUM(G203-I203)</f>
        <v>-45</v>
      </c>
      <c r="K203" s="87">
        <f t="shared" ref="K203:K216" si="153">SUM(G203/I203)</f>
        <v>0.6641791045</v>
      </c>
      <c r="L203" s="85">
        <v>12.0</v>
      </c>
      <c r="M203" s="85">
        <v>113.0</v>
      </c>
      <c r="N203" s="85">
        <v>1.0</v>
      </c>
      <c r="O203" s="110">
        <f t="shared" ref="O203:O208" si="154">(E203*N203)</f>
        <v>34</v>
      </c>
      <c r="P203" s="85">
        <v>2.0</v>
      </c>
      <c r="Q203" s="85">
        <v>0.0</v>
      </c>
      <c r="R203" s="85">
        <v>6.0</v>
      </c>
      <c r="S203" s="85">
        <v>4.0</v>
      </c>
      <c r="T203" s="85">
        <v>16.0</v>
      </c>
      <c r="U203" s="85">
        <v>1.0</v>
      </c>
      <c r="V203" s="94">
        <v>0.0</v>
      </c>
      <c r="W203" s="94">
        <v>0.0</v>
      </c>
      <c r="X203" s="94">
        <v>0.0</v>
      </c>
      <c r="Y203" s="94">
        <v>0.0</v>
      </c>
      <c r="Z203" s="94">
        <v>0.0</v>
      </c>
      <c r="AA203" s="94">
        <v>0.0</v>
      </c>
      <c r="AB203" s="94">
        <v>0.0</v>
      </c>
      <c r="AC203" s="85">
        <v>1.0</v>
      </c>
      <c r="AD203" s="94">
        <v>0.0</v>
      </c>
      <c r="AE203" s="94">
        <v>0.0</v>
      </c>
      <c r="AF203" s="94">
        <v>0.0</v>
      </c>
      <c r="AG203" s="94">
        <v>0.0</v>
      </c>
      <c r="AH203" s="94">
        <v>0.0</v>
      </c>
    </row>
    <row r="204" hidden="1">
      <c r="A204" s="83" t="s">
        <v>44</v>
      </c>
      <c r="B204" s="84" t="s">
        <v>187</v>
      </c>
      <c r="C204" s="85">
        <v>1.0</v>
      </c>
      <c r="D204" s="85">
        <v>1.0</v>
      </c>
      <c r="E204" s="86">
        <v>34.0</v>
      </c>
      <c r="F204" s="85">
        <v>2.0</v>
      </c>
      <c r="G204" s="85">
        <v>128.0</v>
      </c>
      <c r="H204" s="94">
        <v>0.0</v>
      </c>
      <c r="I204" s="85">
        <v>91.0</v>
      </c>
      <c r="J204" s="95">
        <f t="shared" si="152"/>
        <v>37</v>
      </c>
      <c r="K204" s="87">
        <f t="shared" si="153"/>
        <v>1.406593407</v>
      </c>
      <c r="L204" s="85">
        <v>19.0</v>
      </c>
      <c r="M204" s="85">
        <v>172.0</v>
      </c>
      <c r="N204" s="85">
        <v>1.0</v>
      </c>
      <c r="O204" s="110">
        <f t="shared" si="154"/>
        <v>34</v>
      </c>
      <c r="P204" s="85">
        <v>8.0</v>
      </c>
      <c r="Q204" s="85">
        <v>3.0</v>
      </c>
      <c r="R204" s="85">
        <v>12.0</v>
      </c>
      <c r="S204" s="85">
        <v>3.0</v>
      </c>
      <c r="T204" s="85">
        <v>15.0</v>
      </c>
      <c r="U204" s="85">
        <v>3.0</v>
      </c>
      <c r="V204" s="85">
        <v>1.0</v>
      </c>
      <c r="W204" s="85">
        <v>1.0</v>
      </c>
      <c r="X204" s="85">
        <v>1.0</v>
      </c>
      <c r="Y204" s="94">
        <v>0.0</v>
      </c>
      <c r="Z204" s="94">
        <v>0.0</v>
      </c>
      <c r="AA204" s="94">
        <v>0.0</v>
      </c>
      <c r="AB204" s="94">
        <v>0.0</v>
      </c>
      <c r="AC204" s="85">
        <v>5.0</v>
      </c>
      <c r="AD204" s="94">
        <v>0.0</v>
      </c>
      <c r="AE204" s="94">
        <v>0.0</v>
      </c>
      <c r="AF204" s="94">
        <v>0.0</v>
      </c>
      <c r="AG204" s="94">
        <v>0.0</v>
      </c>
      <c r="AH204" s="85">
        <v>1.0</v>
      </c>
    </row>
    <row r="205" hidden="1">
      <c r="A205" s="83" t="s">
        <v>44</v>
      </c>
      <c r="B205" s="84" t="s">
        <v>188</v>
      </c>
      <c r="C205" s="85">
        <v>1.0</v>
      </c>
      <c r="D205" s="85">
        <v>1.0</v>
      </c>
      <c r="E205" s="86">
        <v>34.0</v>
      </c>
      <c r="F205" s="85">
        <v>2.0</v>
      </c>
      <c r="G205" s="85">
        <v>91.0</v>
      </c>
      <c r="H205" s="85">
        <v>2.0</v>
      </c>
      <c r="I205" s="85">
        <v>100.0</v>
      </c>
      <c r="J205" s="95">
        <f t="shared" si="152"/>
        <v>-9</v>
      </c>
      <c r="K205" s="87">
        <f t="shared" si="153"/>
        <v>0.91</v>
      </c>
      <c r="L205" s="85">
        <v>17.0</v>
      </c>
      <c r="M205" s="85">
        <v>110.0</v>
      </c>
      <c r="N205" s="85">
        <v>1.0</v>
      </c>
      <c r="O205" s="110">
        <f t="shared" si="154"/>
        <v>34</v>
      </c>
      <c r="P205" s="85">
        <v>4.0</v>
      </c>
      <c r="Q205" s="85">
        <v>1.0</v>
      </c>
      <c r="R205" s="85">
        <v>1.0</v>
      </c>
      <c r="S205" s="85">
        <v>1.0</v>
      </c>
      <c r="T205" s="85">
        <v>8.0</v>
      </c>
      <c r="U205" s="85">
        <v>2.0</v>
      </c>
      <c r="V205" s="85">
        <v>1.0</v>
      </c>
      <c r="W205" s="94">
        <v>0.0</v>
      </c>
      <c r="X205" s="94">
        <v>0.0</v>
      </c>
      <c r="Y205" s="94">
        <v>0.0</v>
      </c>
      <c r="Z205" s="94">
        <v>0.0</v>
      </c>
      <c r="AA205" s="94">
        <v>0.0</v>
      </c>
      <c r="AB205" s="94">
        <v>0.0</v>
      </c>
      <c r="AC205" s="85">
        <v>1.0</v>
      </c>
      <c r="AD205" s="94">
        <v>0.0</v>
      </c>
      <c r="AE205" s="94">
        <v>0.0</v>
      </c>
      <c r="AF205" s="94">
        <v>0.0</v>
      </c>
      <c r="AG205" s="94">
        <v>0.0</v>
      </c>
      <c r="AH205" s="94">
        <v>0.0</v>
      </c>
    </row>
    <row r="206" hidden="1">
      <c r="A206" s="83" t="s">
        <v>44</v>
      </c>
      <c r="B206" s="84" t="s">
        <v>189</v>
      </c>
      <c r="C206" s="85">
        <v>1.0</v>
      </c>
      <c r="D206" s="85">
        <v>1.0</v>
      </c>
      <c r="E206" s="86">
        <v>34.0</v>
      </c>
      <c r="F206" s="85">
        <v>1.0</v>
      </c>
      <c r="G206" s="85">
        <v>87.0</v>
      </c>
      <c r="H206" s="85">
        <v>2.0</v>
      </c>
      <c r="I206" s="85">
        <v>116.0</v>
      </c>
      <c r="J206" s="95">
        <f t="shared" si="152"/>
        <v>-29</v>
      </c>
      <c r="K206" s="87">
        <f t="shared" si="153"/>
        <v>0.75</v>
      </c>
      <c r="L206" s="85">
        <v>14.0</v>
      </c>
      <c r="M206" s="85">
        <v>113.0</v>
      </c>
      <c r="N206" s="85">
        <v>1.0</v>
      </c>
      <c r="O206" s="110">
        <f t="shared" si="154"/>
        <v>34</v>
      </c>
      <c r="P206" s="85">
        <v>4.0</v>
      </c>
      <c r="Q206" s="85">
        <v>4.0</v>
      </c>
      <c r="R206" s="85">
        <v>4.0</v>
      </c>
      <c r="S206" s="85">
        <v>3.0</v>
      </c>
      <c r="T206" s="85">
        <v>12.0</v>
      </c>
      <c r="U206" s="85">
        <v>2.0</v>
      </c>
      <c r="V206" s="85">
        <v>1.0</v>
      </c>
      <c r="W206" s="85">
        <v>1.0</v>
      </c>
      <c r="X206" s="94">
        <v>0.0</v>
      </c>
      <c r="Y206" s="94">
        <v>0.0</v>
      </c>
      <c r="Z206" s="94">
        <v>0.0</v>
      </c>
      <c r="AA206" s="94">
        <v>0.0</v>
      </c>
      <c r="AB206" s="94">
        <v>0.0</v>
      </c>
      <c r="AC206" s="85">
        <v>1.0</v>
      </c>
      <c r="AD206" s="94">
        <v>0.0</v>
      </c>
      <c r="AE206" s="94">
        <v>0.0</v>
      </c>
      <c r="AF206" s="94">
        <v>0.0</v>
      </c>
      <c r="AG206" s="94">
        <v>0.0</v>
      </c>
      <c r="AH206" s="94">
        <v>0.0</v>
      </c>
    </row>
    <row r="207" hidden="1">
      <c r="A207" s="83" t="s">
        <v>44</v>
      </c>
      <c r="B207" s="84" t="s">
        <v>190</v>
      </c>
      <c r="C207" s="94">
        <v>0.0</v>
      </c>
      <c r="D207" s="94">
        <v>0.0</v>
      </c>
      <c r="E207" s="96">
        <f t="shared" ref="E207:E208" si="155">SUM(L207*I207)/60</f>
        <v>0</v>
      </c>
      <c r="F207" s="94">
        <v>0.0</v>
      </c>
      <c r="G207" s="94">
        <v>0.0</v>
      </c>
      <c r="H207" s="94">
        <v>0.0</v>
      </c>
      <c r="I207" s="94">
        <v>0.0</v>
      </c>
      <c r="J207" s="95">
        <f t="shared" si="152"/>
        <v>0</v>
      </c>
      <c r="K207" s="87" t="str">
        <f t="shared" si="153"/>
        <v>#DIV/0!</v>
      </c>
      <c r="L207" s="94">
        <v>0.0</v>
      </c>
      <c r="M207" s="94">
        <v>0.0</v>
      </c>
      <c r="N207" s="85">
        <v>0.0</v>
      </c>
      <c r="O207" s="110">
        <f t="shared" si="154"/>
        <v>0</v>
      </c>
      <c r="P207" s="94">
        <v>0.0</v>
      </c>
      <c r="Q207" s="94">
        <v>0.0</v>
      </c>
      <c r="R207" s="94">
        <v>0.0</v>
      </c>
      <c r="S207" s="94">
        <v>0.0</v>
      </c>
      <c r="T207" s="94">
        <v>0.0</v>
      </c>
      <c r="U207" s="94">
        <v>0.0</v>
      </c>
      <c r="V207" s="94">
        <v>0.0</v>
      </c>
      <c r="W207" s="94">
        <v>0.0</v>
      </c>
      <c r="X207" s="94">
        <v>0.0</v>
      </c>
      <c r="Y207" s="94">
        <v>0.0</v>
      </c>
      <c r="Z207" s="94">
        <v>0.0</v>
      </c>
      <c r="AA207" s="94">
        <v>0.0</v>
      </c>
      <c r="AB207" s="94">
        <v>0.0</v>
      </c>
      <c r="AC207" s="94">
        <v>0.0</v>
      </c>
      <c r="AD207" s="94">
        <v>0.0</v>
      </c>
      <c r="AE207" s="94">
        <v>0.0</v>
      </c>
      <c r="AF207" s="94">
        <v>0.0</v>
      </c>
      <c r="AG207" s="94">
        <v>0.0</v>
      </c>
      <c r="AH207" s="94">
        <v>0.0</v>
      </c>
    </row>
    <row r="208" hidden="1">
      <c r="A208" s="83" t="s">
        <v>44</v>
      </c>
      <c r="B208" s="93"/>
      <c r="C208" s="94">
        <v>0.0</v>
      </c>
      <c r="D208" s="94">
        <v>0.0</v>
      </c>
      <c r="E208" s="96">
        <f t="shared" si="155"/>
        <v>0</v>
      </c>
      <c r="F208" s="94">
        <v>0.0</v>
      </c>
      <c r="G208" s="94">
        <v>0.0</v>
      </c>
      <c r="H208" s="94">
        <v>0.0</v>
      </c>
      <c r="I208" s="94">
        <v>0.0</v>
      </c>
      <c r="J208" s="95">
        <f t="shared" si="152"/>
        <v>0</v>
      </c>
      <c r="K208" s="87" t="str">
        <f t="shared" si="153"/>
        <v>#DIV/0!</v>
      </c>
      <c r="L208" s="94">
        <v>0.0</v>
      </c>
      <c r="M208" s="94">
        <v>0.0</v>
      </c>
      <c r="N208" s="85">
        <v>0.0</v>
      </c>
      <c r="O208" s="110">
        <f t="shared" si="154"/>
        <v>0</v>
      </c>
      <c r="P208" s="94">
        <v>0.0</v>
      </c>
      <c r="Q208" s="94">
        <v>0.0</v>
      </c>
      <c r="R208" s="94">
        <v>0.0</v>
      </c>
      <c r="S208" s="94">
        <v>0.0</v>
      </c>
      <c r="T208" s="94">
        <v>0.0</v>
      </c>
      <c r="U208" s="94">
        <v>0.0</v>
      </c>
      <c r="V208" s="94">
        <v>0.0</v>
      </c>
      <c r="W208" s="94">
        <v>0.0</v>
      </c>
      <c r="X208" s="94">
        <v>0.0</v>
      </c>
      <c r="Y208" s="94">
        <v>0.0</v>
      </c>
      <c r="Z208" s="94">
        <v>0.0</v>
      </c>
      <c r="AA208" s="94">
        <v>0.0</v>
      </c>
      <c r="AB208" s="94">
        <v>0.0</v>
      </c>
      <c r="AC208" s="94">
        <v>0.0</v>
      </c>
      <c r="AD208" s="94">
        <v>0.0</v>
      </c>
      <c r="AE208" s="94">
        <v>0.0</v>
      </c>
      <c r="AF208" s="94">
        <v>0.0</v>
      </c>
      <c r="AG208" s="94">
        <v>0.0</v>
      </c>
      <c r="AH208" s="94">
        <v>0.0</v>
      </c>
    </row>
    <row r="209" hidden="1">
      <c r="A209" s="89"/>
      <c r="B209" s="111"/>
      <c r="C209" s="111">
        <f t="shared" ref="C209:D209" si="156">SUM(C203:C208)/4</f>
        <v>1</v>
      </c>
      <c r="D209" s="111">
        <f t="shared" si="156"/>
        <v>1</v>
      </c>
      <c r="E209" s="91">
        <f t="shared" ref="E209:G209" si="157">SUM(E203:E208)</f>
        <v>136</v>
      </c>
      <c r="F209" s="111">
        <f t="shared" si="157"/>
        <v>5</v>
      </c>
      <c r="G209" s="111">
        <f t="shared" si="157"/>
        <v>395</v>
      </c>
      <c r="H209" s="111"/>
      <c r="I209" s="111">
        <f>SUM(I203:I208)</f>
        <v>441</v>
      </c>
      <c r="J209" s="111">
        <f t="shared" si="152"/>
        <v>-46</v>
      </c>
      <c r="K209" s="92">
        <f t="shared" si="153"/>
        <v>0.89569161</v>
      </c>
      <c r="L209" s="111">
        <f t="shared" ref="L209:M209" si="158">SUM(L203:L208)</f>
        <v>62</v>
      </c>
      <c r="M209" s="111">
        <f t="shared" si="158"/>
        <v>508</v>
      </c>
      <c r="N209" s="111"/>
      <c r="O209" s="112"/>
      <c r="P209" s="111">
        <f t="shared" ref="P209:AH209" si="159">SUM(P203:P208)</f>
        <v>18</v>
      </c>
      <c r="Q209" s="111">
        <f t="shared" si="159"/>
        <v>8</v>
      </c>
      <c r="R209" s="111">
        <f t="shared" si="159"/>
        <v>23</v>
      </c>
      <c r="S209" s="111">
        <f t="shared" si="159"/>
        <v>11</v>
      </c>
      <c r="T209" s="111">
        <f t="shared" si="159"/>
        <v>51</v>
      </c>
      <c r="U209" s="111">
        <f t="shared" si="159"/>
        <v>8</v>
      </c>
      <c r="V209" s="111">
        <f t="shared" si="159"/>
        <v>3</v>
      </c>
      <c r="W209" s="111">
        <f t="shared" si="159"/>
        <v>2</v>
      </c>
      <c r="X209" s="111">
        <f t="shared" si="159"/>
        <v>1</v>
      </c>
      <c r="Y209" s="111">
        <f t="shared" si="159"/>
        <v>0</v>
      </c>
      <c r="Z209" s="111">
        <f t="shared" si="159"/>
        <v>0</v>
      </c>
      <c r="AA209" s="111">
        <f t="shared" si="159"/>
        <v>0</v>
      </c>
      <c r="AB209" s="111">
        <f t="shared" si="159"/>
        <v>0</v>
      </c>
      <c r="AC209" s="111">
        <f t="shared" si="159"/>
        <v>8</v>
      </c>
      <c r="AD209" s="111">
        <f t="shared" si="159"/>
        <v>0</v>
      </c>
      <c r="AE209" s="111">
        <f t="shared" si="159"/>
        <v>0</v>
      </c>
      <c r="AF209" s="111">
        <f t="shared" si="159"/>
        <v>0</v>
      </c>
      <c r="AG209" s="111">
        <f t="shared" si="159"/>
        <v>0</v>
      </c>
      <c r="AH209" s="111">
        <f t="shared" si="159"/>
        <v>1</v>
      </c>
    </row>
    <row r="210" hidden="1">
      <c r="A210" s="83" t="s">
        <v>47</v>
      </c>
      <c r="B210" s="84" t="s">
        <v>237</v>
      </c>
      <c r="C210" s="85">
        <v>1.0</v>
      </c>
      <c r="D210" s="94">
        <v>0.0</v>
      </c>
      <c r="E210" s="86">
        <v>34.0</v>
      </c>
      <c r="F210" s="94">
        <v>0.0</v>
      </c>
      <c r="G210" s="85">
        <v>148.0</v>
      </c>
      <c r="H210" s="85">
        <v>1.0</v>
      </c>
      <c r="I210" s="85">
        <v>107.0</v>
      </c>
      <c r="J210" s="95">
        <f t="shared" si="152"/>
        <v>41</v>
      </c>
      <c r="K210" s="87">
        <f t="shared" si="153"/>
        <v>1.38317757</v>
      </c>
      <c r="L210" s="85">
        <v>16.0</v>
      </c>
      <c r="M210" s="85">
        <v>204.0</v>
      </c>
      <c r="N210" s="85">
        <v>1.0</v>
      </c>
      <c r="O210" s="110">
        <f t="shared" ref="O210:O215" si="160">(E210*N210)</f>
        <v>34</v>
      </c>
      <c r="P210" s="85">
        <v>9.0</v>
      </c>
      <c r="Q210" s="85">
        <v>3.0</v>
      </c>
      <c r="R210" s="85">
        <v>18.0</v>
      </c>
      <c r="S210" s="85">
        <v>2.0</v>
      </c>
      <c r="T210" s="85">
        <v>23.0</v>
      </c>
      <c r="U210" s="85">
        <v>4.0</v>
      </c>
      <c r="V210" s="85">
        <v>1.0</v>
      </c>
      <c r="W210" s="94">
        <v>0.0</v>
      </c>
      <c r="X210" s="94">
        <v>0.0</v>
      </c>
      <c r="Y210" s="94">
        <v>0.0</v>
      </c>
      <c r="Z210" s="94">
        <v>0.0</v>
      </c>
      <c r="AA210" s="94">
        <v>0.0</v>
      </c>
      <c r="AB210" s="94">
        <v>0.0</v>
      </c>
      <c r="AC210" s="85">
        <v>6.0</v>
      </c>
      <c r="AD210" s="94">
        <v>0.0</v>
      </c>
      <c r="AE210" s="94">
        <v>0.0</v>
      </c>
      <c r="AF210" s="94">
        <v>0.0</v>
      </c>
      <c r="AG210" s="94">
        <v>0.0</v>
      </c>
      <c r="AH210" s="94">
        <v>0.0</v>
      </c>
    </row>
    <row r="211" hidden="1">
      <c r="A211" s="83" t="s">
        <v>47</v>
      </c>
      <c r="B211" s="84" t="s">
        <v>238</v>
      </c>
      <c r="C211" s="85">
        <v>1.0</v>
      </c>
      <c r="D211" s="94">
        <v>0.0</v>
      </c>
      <c r="E211" s="86">
        <v>34.0</v>
      </c>
      <c r="F211" s="85">
        <v>2.0</v>
      </c>
      <c r="G211" s="85">
        <v>57.0</v>
      </c>
      <c r="H211" s="85">
        <v>2.0</v>
      </c>
      <c r="I211" s="85">
        <v>63.0</v>
      </c>
      <c r="J211" s="95">
        <f t="shared" si="152"/>
        <v>-6</v>
      </c>
      <c r="K211" s="87">
        <f t="shared" si="153"/>
        <v>0.9047619048</v>
      </c>
      <c r="L211" s="85">
        <v>29.0</v>
      </c>
      <c r="M211" s="85">
        <v>68.0</v>
      </c>
      <c r="N211" s="85">
        <v>1.0</v>
      </c>
      <c r="O211" s="110">
        <f t="shared" si="160"/>
        <v>34</v>
      </c>
      <c r="P211" s="85">
        <v>4.0</v>
      </c>
      <c r="Q211" s="85">
        <v>1.0</v>
      </c>
      <c r="R211" s="94">
        <v>0.0</v>
      </c>
      <c r="S211" s="85">
        <v>2.0</v>
      </c>
      <c r="T211" s="85">
        <v>4.0</v>
      </c>
      <c r="U211" s="94">
        <v>0.0</v>
      </c>
      <c r="V211" s="94">
        <v>0.0</v>
      </c>
      <c r="W211" s="94">
        <v>0.0</v>
      </c>
      <c r="X211" s="94">
        <v>0.0</v>
      </c>
      <c r="Y211" s="94">
        <v>0.0</v>
      </c>
      <c r="Z211" s="94">
        <v>0.0</v>
      </c>
      <c r="AA211" s="94">
        <v>0.0</v>
      </c>
      <c r="AB211" s="94">
        <v>0.0</v>
      </c>
      <c r="AC211" s="85">
        <v>2.0</v>
      </c>
      <c r="AD211" s="94">
        <v>0.0</v>
      </c>
      <c r="AE211" s="94">
        <v>0.0</v>
      </c>
      <c r="AF211" s="94">
        <v>0.0</v>
      </c>
      <c r="AG211" s="94">
        <v>0.0</v>
      </c>
      <c r="AH211" s="94">
        <v>0.0</v>
      </c>
    </row>
    <row r="212" hidden="1">
      <c r="A212" s="83" t="s">
        <v>47</v>
      </c>
      <c r="B212" s="84" t="s">
        <v>239</v>
      </c>
      <c r="C212" s="85">
        <v>1.0</v>
      </c>
      <c r="D212" s="94">
        <v>0.0</v>
      </c>
      <c r="E212" s="86">
        <v>34.0</v>
      </c>
      <c r="F212" s="85">
        <v>1.0</v>
      </c>
      <c r="G212" s="85">
        <v>130.0</v>
      </c>
      <c r="H212" s="94">
        <v>0.0</v>
      </c>
      <c r="I212" s="85">
        <v>133.0</v>
      </c>
      <c r="J212" s="95">
        <f t="shared" si="152"/>
        <v>-3</v>
      </c>
      <c r="K212" s="87">
        <f t="shared" si="153"/>
        <v>0.977443609</v>
      </c>
      <c r="L212" s="85">
        <v>12.0</v>
      </c>
      <c r="M212" s="85">
        <v>172.0</v>
      </c>
      <c r="N212" s="85">
        <v>1.0</v>
      </c>
      <c r="O212" s="110">
        <f t="shared" si="160"/>
        <v>34</v>
      </c>
      <c r="P212" s="85">
        <v>6.0</v>
      </c>
      <c r="Q212" s="85">
        <v>2.0</v>
      </c>
      <c r="R212" s="85">
        <v>15.0</v>
      </c>
      <c r="S212" s="85">
        <v>3.0</v>
      </c>
      <c r="T212" s="85">
        <v>19.0</v>
      </c>
      <c r="U212" s="85">
        <v>2.0</v>
      </c>
      <c r="V212" s="94">
        <v>0.0</v>
      </c>
      <c r="W212" s="94">
        <v>0.0</v>
      </c>
      <c r="X212" s="94">
        <v>0.0</v>
      </c>
      <c r="Y212" s="94">
        <v>0.0</v>
      </c>
      <c r="Z212" s="94">
        <v>0.0</v>
      </c>
      <c r="AA212" s="94">
        <v>0.0</v>
      </c>
      <c r="AB212" s="94">
        <v>0.0</v>
      </c>
      <c r="AC212" s="85">
        <v>2.0</v>
      </c>
      <c r="AD212" s="94">
        <v>0.0</v>
      </c>
      <c r="AE212" s="94">
        <v>0.0</v>
      </c>
      <c r="AF212" s="94">
        <v>0.0</v>
      </c>
      <c r="AG212" s="94">
        <v>0.0</v>
      </c>
      <c r="AH212" s="94">
        <v>0.0</v>
      </c>
    </row>
    <row r="213" hidden="1">
      <c r="A213" s="83" t="s">
        <v>47</v>
      </c>
      <c r="B213" s="84" t="s">
        <v>240</v>
      </c>
      <c r="C213" s="85">
        <v>1.0</v>
      </c>
      <c r="D213" s="94">
        <v>0.0</v>
      </c>
      <c r="E213" s="86">
        <v>34.0</v>
      </c>
      <c r="F213" s="94">
        <v>0.0</v>
      </c>
      <c r="G213" s="85">
        <v>98.0</v>
      </c>
      <c r="H213" s="85">
        <v>1.0</v>
      </c>
      <c r="I213" s="85">
        <v>104.0</v>
      </c>
      <c r="J213" s="95">
        <f t="shared" si="152"/>
        <v>-6</v>
      </c>
      <c r="K213" s="87">
        <f t="shared" si="153"/>
        <v>0.9423076923</v>
      </c>
      <c r="L213" s="85">
        <v>16.0</v>
      </c>
      <c r="M213" s="85">
        <v>115.0</v>
      </c>
      <c r="N213" s="85">
        <v>1.0</v>
      </c>
      <c r="O213" s="110">
        <f t="shared" si="160"/>
        <v>34</v>
      </c>
      <c r="P213" s="85">
        <v>3.0</v>
      </c>
      <c r="Q213" s="85">
        <v>5.0</v>
      </c>
      <c r="R213" s="85">
        <v>6.0</v>
      </c>
      <c r="S213" s="85">
        <v>1.0</v>
      </c>
      <c r="T213" s="85">
        <v>8.0</v>
      </c>
      <c r="U213" s="94">
        <v>0.0</v>
      </c>
      <c r="V213" s="94">
        <v>0.0</v>
      </c>
      <c r="W213" s="94">
        <v>0.0</v>
      </c>
      <c r="X213" s="94">
        <v>0.0</v>
      </c>
      <c r="Y213" s="94">
        <v>0.0</v>
      </c>
      <c r="Z213" s="94">
        <v>0.0</v>
      </c>
      <c r="AA213" s="94">
        <v>0.0</v>
      </c>
      <c r="AB213" s="94">
        <v>0.0</v>
      </c>
      <c r="AC213" s="85">
        <v>1.0</v>
      </c>
      <c r="AD213" s="94">
        <v>0.0</v>
      </c>
      <c r="AE213" s="94">
        <v>0.0</v>
      </c>
      <c r="AF213" s="94">
        <v>0.0</v>
      </c>
      <c r="AG213" s="94">
        <v>0.0</v>
      </c>
      <c r="AH213" s="94">
        <v>0.0</v>
      </c>
    </row>
    <row r="214" hidden="1">
      <c r="A214" s="83" t="s">
        <v>47</v>
      </c>
      <c r="B214" s="84" t="s">
        <v>241</v>
      </c>
      <c r="C214" s="94">
        <v>0.0</v>
      </c>
      <c r="D214" s="94">
        <v>0.0</v>
      </c>
      <c r="E214" s="96">
        <f t="shared" ref="E214:E215" si="161">SUM(L214*I214)/60</f>
        <v>0</v>
      </c>
      <c r="F214" s="94">
        <v>0.0</v>
      </c>
      <c r="G214" s="94">
        <v>0.0</v>
      </c>
      <c r="H214" s="94">
        <v>0.0</v>
      </c>
      <c r="I214" s="94">
        <v>0.0</v>
      </c>
      <c r="J214" s="95">
        <f t="shared" si="152"/>
        <v>0</v>
      </c>
      <c r="K214" s="87" t="str">
        <f t="shared" si="153"/>
        <v>#DIV/0!</v>
      </c>
      <c r="L214" s="94">
        <v>0.0</v>
      </c>
      <c r="M214" s="94">
        <v>0.0</v>
      </c>
      <c r="N214" s="85">
        <v>0.0</v>
      </c>
      <c r="O214" s="110">
        <f t="shared" si="160"/>
        <v>0</v>
      </c>
      <c r="P214" s="94">
        <v>0.0</v>
      </c>
      <c r="Q214" s="94">
        <v>0.0</v>
      </c>
      <c r="R214" s="94">
        <v>0.0</v>
      </c>
      <c r="S214" s="94">
        <v>0.0</v>
      </c>
      <c r="T214" s="94">
        <v>0.0</v>
      </c>
      <c r="U214" s="94">
        <v>0.0</v>
      </c>
      <c r="V214" s="94">
        <v>0.0</v>
      </c>
      <c r="W214" s="94">
        <v>0.0</v>
      </c>
      <c r="X214" s="94">
        <v>0.0</v>
      </c>
      <c r="Y214" s="94">
        <v>0.0</v>
      </c>
      <c r="Z214" s="94">
        <v>0.0</v>
      </c>
      <c r="AA214" s="94">
        <v>0.0</v>
      </c>
      <c r="AB214" s="94">
        <v>0.0</v>
      </c>
      <c r="AC214" s="94">
        <v>0.0</v>
      </c>
      <c r="AD214" s="94">
        <v>0.0</v>
      </c>
      <c r="AE214" s="94">
        <v>0.0</v>
      </c>
      <c r="AF214" s="94">
        <v>0.0</v>
      </c>
      <c r="AG214" s="94">
        <v>0.0</v>
      </c>
      <c r="AH214" s="94">
        <v>0.0</v>
      </c>
    </row>
    <row r="215" hidden="1">
      <c r="A215" s="83" t="s">
        <v>47</v>
      </c>
      <c r="B215" s="114"/>
      <c r="C215" s="94">
        <v>0.0</v>
      </c>
      <c r="D215" s="94">
        <v>0.0</v>
      </c>
      <c r="E215" s="96">
        <f t="shared" si="161"/>
        <v>0</v>
      </c>
      <c r="F215" s="94">
        <v>0.0</v>
      </c>
      <c r="G215" s="94">
        <v>0.0</v>
      </c>
      <c r="H215" s="94">
        <v>0.0</v>
      </c>
      <c r="I215" s="94">
        <v>0.0</v>
      </c>
      <c r="J215" s="95">
        <f t="shared" si="152"/>
        <v>0</v>
      </c>
      <c r="K215" s="87" t="str">
        <f t="shared" si="153"/>
        <v>#DIV/0!</v>
      </c>
      <c r="L215" s="94">
        <v>0.0</v>
      </c>
      <c r="M215" s="94">
        <v>0.0</v>
      </c>
      <c r="N215" s="85">
        <v>0.0</v>
      </c>
      <c r="O215" s="110">
        <f t="shared" si="160"/>
        <v>0</v>
      </c>
      <c r="P215" s="94">
        <v>0.0</v>
      </c>
      <c r="Q215" s="94">
        <v>0.0</v>
      </c>
      <c r="R215" s="94">
        <v>0.0</v>
      </c>
      <c r="S215" s="94">
        <v>0.0</v>
      </c>
      <c r="T215" s="94">
        <v>0.0</v>
      </c>
      <c r="U215" s="94">
        <v>0.0</v>
      </c>
      <c r="V215" s="94">
        <v>0.0</v>
      </c>
      <c r="W215" s="94">
        <v>0.0</v>
      </c>
      <c r="X215" s="94">
        <v>0.0</v>
      </c>
      <c r="Y215" s="94">
        <v>0.0</v>
      </c>
      <c r="Z215" s="94">
        <v>0.0</v>
      </c>
      <c r="AA215" s="94">
        <v>0.0</v>
      </c>
      <c r="AB215" s="94">
        <v>0.0</v>
      </c>
      <c r="AC215" s="94">
        <v>0.0</v>
      </c>
      <c r="AD215" s="94">
        <v>0.0</v>
      </c>
      <c r="AE215" s="94">
        <v>0.0</v>
      </c>
      <c r="AF215" s="94">
        <v>0.0</v>
      </c>
      <c r="AG215" s="94">
        <v>0.0</v>
      </c>
      <c r="AH215" s="94">
        <v>0.0</v>
      </c>
    </row>
    <row r="216" hidden="1">
      <c r="A216" s="89" t="s">
        <v>185</v>
      </c>
      <c r="B216" s="111"/>
      <c r="C216" s="111">
        <f>SUM(C210:C215)</f>
        <v>4</v>
      </c>
      <c r="D216" s="111">
        <f t="shared" ref="D216:E216" si="162">SUM(D210:D215)/4</f>
        <v>0</v>
      </c>
      <c r="E216" s="91">
        <f t="shared" si="162"/>
        <v>34</v>
      </c>
      <c r="F216" s="111">
        <f t="shared" ref="F216:G216" si="163">SUM(F210:F215)</f>
        <v>3</v>
      </c>
      <c r="G216" s="111">
        <f t="shared" si="163"/>
        <v>433</v>
      </c>
      <c r="H216" s="111"/>
      <c r="I216" s="111">
        <f>SUM(I210:I215)</f>
        <v>407</v>
      </c>
      <c r="J216" s="111">
        <f t="shared" si="152"/>
        <v>26</v>
      </c>
      <c r="K216" s="92">
        <f t="shared" si="153"/>
        <v>1.063882064</v>
      </c>
      <c r="L216" s="111">
        <f t="shared" ref="L216:M216" si="164">SUM(L210:L215)</f>
        <v>73</v>
      </c>
      <c r="M216" s="111">
        <f t="shared" si="164"/>
        <v>559</v>
      </c>
      <c r="N216" s="111"/>
      <c r="O216" s="112"/>
      <c r="P216" s="111">
        <f t="shared" ref="P216:AH216" si="165">SUM(P210:P215)</f>
        <v>22</v>
      </c>
      <c r="Q216" s="111">
        <f t="shared" si="165"/>
        <v>11</v>
      </c>
      <c r="R216" s="111">
        <f t="shared" si="165"/>
        <v>39</v>
      </c>
      <c r="S216" s="111">
        <f t="shared" si="165"/>
        <v>8</v>
      </c>
      <c r="T216" s="111">
        <f t="shared" si="165"/>
        <v>54</v>
      </c>
      <c r="U216" s="111">
        <f t="shared" si="165"/>
        <v>6</v>
      </c>
      <c r="V216" s="111">
        <f t="shared" si="165"/>
        <v>1</v>
      </c>
      <c r="W216" s="111">
        <f t="shared" si="165"/>
        <v>0</v>
      </c>
      <c r="X216" s="111">
        <f t="shared" si="165"/>
        <v>0</v>
      </c>
      <c r="Y216" s="111">
        <f t="shared" si="165"/>
        <v>0</v>
      </c>
      <c r="Z216" s="111">
        <f t="shared" si="165"/>
        <v>0</v>
      </c>
      <c r="AA216" s="111">
        <f t="shared" si="165"/>
        <v>0</v>
      </c>
      <c r="AB216" s="111">
        <f t="shared" si="165"/>
        <v>0</v>
      </c>
      <c r="AC216" s="111">
        <f t="shared" si="165"/>
        <v>11</v>
      </c>
      <c r="AD216" s="111">
        <f t="shared" si="165"/>
        <v>0</v>
      </c>
      <c r="AE216" s="111">
        <f t="shared" si="165"/>
        <v>0</v>
      </c>
      <c r="AF216" s="111">
        <f t="shared" si="165"/>
        <v>0</v>
      </c>
      <c r="AG216" s="111">
        <f t="shared" si="165"/>
        <v>0</v>
      </c>
      <c r="AH216" s="111">
        <f t="shared" si="165"/>
        <v>0</v>
      </c>
    </row>
    <row r="217">
      <c r="A217" s="115" t="s">
        <v>267</v>
      </c>
    </row>
    <row r="219" hidden="1">
      <c r="A219" s="105"/>
      <c r="F219" s="106" t="s">
        <v>251</v>
      </c>
      <c r="L219" s="107" t="s">
        <v>252</v>
      </c>
      <c r="N219" s="108" t="s">
        <v>253</v>
      </c>
    </row>
    <row r="220" hidden="1">
      <c r="A220" s="76" t="s">
        <v>148</v>
      </c>
      <c r="B220" s="76" t="s">
        <v>149</v>
      </c>
      <c r="C220" s="76" t="s">
        <v>150</v>
      </c>
      <c r="D220" s="76" t="s">
        <v>13</v>
      </c>
      <c r="E220" s="77" t="s">
        <v>151</v>
      </c>
      <c r="F220" s="78" t="s">
        <v>15</v>
      </c>
      <c r="G220" s="78" t="s">
        <v>152</v>
      </c>
      <c r="H220" s="78" t="s">
        <v>153</v>
      </c>
      <c r="I220" s="78" t="s">
        <v>154</v>
      </c>
      <c r="J220" s="78" t="s">
        <v>155</v>
      </c>
      <c r="K220" s="79" t="s">
        <v>156</v>
      </c>
      <c r="L220" s="80" t="s">
        <v>157</v>
      </c>
      <c r="M220" s="80" t="s">
        <v>158</v>
      </c>
      <c r="N220" s="81" t="s">
        <v>254</v>
      </c>
      <c r="O220" s="81" t="s">
        <v>151</v>
      </c>
      <c r="P220" s="81" t="s">
        <v>160</v>
      </c>
      <c r="Q220" s="81" t="s">
        <v>161</v>
      </c>
      <c r="R220" s="81" t="s">
        <v>162</v>
      </c>
      <c r="S220" s="81" t="s">
        <v>163</v>
      </c>
      <c r="T220" s="81" t="s">
        <v>164</v>
      </c>
      <c r="U220" s="81" t="s">
        <v>165</v>
      </c>
      <c r="V220" s="81" t="s">
        <v>166</v>
      </c>
      <c r="W220" s="81" t="s">
        <v>167</v>
      </c>
      <c r="X220" s="81" t="s">
        <v>168</v>
      </c>
      <c r="Y220" s="81" t="s">
        <v>169</v>
      </c>
      <c r="Z220" s="81" t="s">
        <v>170</v>
      </c>
      <c r="AA220" s="81" t="s">
        <v>171</v>
      </c>
      <c r="AB220" s="81" t="s">
        <v>172</v>
      </c>
      <c r="AC220" s="81" t="s">
        <v>173</v>
      </c>
      <c r="AD220" s="81" t="s">
        <v>174</v>
      </c>
      <c r="AE220" s="81" t="s">
        <v>175</v>
      </c>
      <c r="AF220" s="81" t="s">
        <v>176</v>
      </c>
      <c r="AG220" s="81" t="s">
        <v>177</v>
      </c>
      <c r="AH220" s="81" t="s">
        <v>178</v>
      </c>
    </row>
    <row r="221" hidden="1">
      <c r="A221" s="83" t="s">
        <v>44</v>
      </c>
      <c r="B221" s="84" t="s">
        <v>186</v>
      </c>
      <c r="C221" s="85">
        <v>1.0</v>
      </c>
      <c r="D221" s="85">
        <v>1.0</v>
      </c>
      <c r="E221" s="86">
        <v>33.0</v>
      </c>
      <c r="F221" s="94">
        <v>0.0</v>
      </c>
      <c r="G221" s="85">
        <v>79.0</v>
      </c>
      <c r="H221" s="94">
        <v>0.0</v>
      </c>
      <c r="I221" s="85">
        <v>101.0</v>
      </c>
      <c r="J221" s="95">
        <f t="shared" ref="J221:J234" si="166">SUM(G221-I221)</f>
        <v>-22</v>
      </c>
      <c r="K221" s="87">
        <f t="shared" ref="K221:K234" si="167">SUM(G221/I221)</f>
        <v>0.7821782178</v>
      </c>
      <c r="L221" s="85">
        <v>16.0</v>
      </c>
      <c r="M221" s="85">
        <v>99.0</v>
      </c>
      <c r="N221" s="85">
        <v>1.0</v>
      </c>
      <c r="O221" s="110">
        <f t="shared" ref="O221:O226" si="168">(E221*N221)</f>
        <v>33</v>
      </c>
      <c r="P221" s="94">
        <v>0.0</v>
      </c>
      <c r="Q221" s="94">
        <v>0.0</v>
      </c>
      <c r="R221" s="85">
        <v>6.0</v>
      </c>
      <c r="S221" s="85">
        <v>2.0</v>
      </c>
      <c r="T221" s="85">
        <v>12.0</v>
      </c>
      <c r="U221" s="85">
        <v>1.0</v>
      </c>
      <c r="V221" s="94">
        <v>0.0</v>
      </c>
      <c r="W221" s="94">
        <v>0.0</v>
      </c>
      <c r="X221" s="94">
        <v>0.0</v>
      </c>
      <c r="Y221" s="94">
        <v>0.0</v>
      </c>
      <c r="Z221" s="94">
        <v>0.0</v>
      </c>
      <c r="AA221" s="94">
        <v>0.0</v>
      </c>
      <c r="AB221" s="94">
        <v>0.0</v>
      </c>
      <c r="AC221" s="94">
        <v>0.0</v>
      </c>
      <c r="AD221" s="94">
        <v>0.0</v>
      </c>
      <c r="AE221" s="94">
        <v>0.0</v>
      </c>
      <c r="AF221" s="94">
        <v>0.0</v>
      </c>
      <c r="AG221" s="94">
        <v>0.0</v>
      </c>
      <c r="AH221" s="94">
        <v>0.0</v>
      </c>
    </row>
    <row r="222" hidden="1">
      <c r="A222" s="83" t="s">
        <v>44</v>
      </c>
      <c r="B222" s="84" t="s">
        <v>187</v>
      </c>
      <c r="C222" s="85">
        <v>1.0</v>
      </c>
      <c r="D222" s="85">
        <v>1.0</v>
      </c>
      <c r="E222" s="86">
        <v>33.0</v>
      </c>
      <c r="F222" s="94">
        <v>0.0</v>
      </c>
      <c r="G222" s="85">
        <v>134.0</v>
      </c>
      <c r="H222" s="94">
        <v>0.0</v>
      </c>
      <c r="I222" s="85">
        <v>88.0</v>
      </c>
      <c r="J222" s="95">
        <f t="shared" si="166"/>
        <v>46</v>
      </c>
      <c r="K222" s="87">
        <f t="shared" si="167"/>
        <v>1.522727273</v>
      </c>
      <c r="L222" s="85">
        <v>19.0</v>
      </c>
      <c r="M222" s="85">
        <v>168.0</v>
      </c>
      <c r="N222" s="85">
        <v>1.0</v>
      </c>
      <c r="O222" s="110">
        <f t="shared" si="168"/>
        <v>33</v>
      </c>
      <c r="P222" s="85">
        <v>4.0</v>
      </c>
      <c r="Q222" s="85">
        <v>2.0</v>
      </c>
      <c r="R222" s="85">
        <v>4.0</v>
      </c>
      <c r="S222" s="85">
        <v>1.0</v>
      </c>
      <c r="T222" s="85">
        <v>24.0</v>
      </c>
      <c r="U222" s="85">
        <v>6.0</v>
      </c>
      <c r="V222" s="85">
        <v>1.0</v>
      </c>
      <c r="W222" s="94">
        <v>0.0</v>
      </c>
      <c r="X222" s="94">
        <v>0.0</v>
      </c>
      <c r="Y222" s="94">
        <v>0.0</v>
      </c>
      <c r="Z222" s="94">
        <v>0.0</v>
      </c>
      <c r="AA222" s="94">
        <v>0.0</v>
      </c>
      <c r="AB222" s="94">
        <v>0.0</v>
      </c>
      <c r="AC222" s="85">
        <v>5.0</v>
      </c>
      <c r="AD222" s="94">
        <v>0.0</v>
      </c>
      <c r="AE222" s="94">
        <v>0.0</v>
      </c>
      <c r="AF222" s="94">
        <v>0.0</v>
      </c>
      <c r="AG222" s="94">
        <v>0.0</v>
      </c>
      <c r="AH222" s="94">
        <v>0.0</v>
      </c>
    </row>
    <row r="223" hidden="1">
      <c r="A223" s="83" t="s">
        <v>44</v>
      </c>
      <c r="B223" s="84" t="s">
        <v>188</v>
      </c>
      <c r="C223" s="85">
        <v>1.0</v>
      </c>
      <c r="D223" s="85">
        <v>1.0</v>
      </c>
      <c r="E223" s="86">
        <v>33.0</v>
      </c>
      <c r="F223" s="85">
        <v>4.0</v>
      </c>
      <c r="G223" s="85">
        <v>38.0</v>
      </c>
      <c r="H223" s="94">
        <v>0.0</v>
      </c>
      <c r="I223" s="85">
        <v>48.0</v>
      </c>
      <c r="J223" s="95">
        <f t="shared" si="166"/>
        <v>-10</v>
      </c>
      <c r="K223" s="87">
        <f t="shared" si="167"/>
        <v>0.7916666667</v>
      </c>
      <c r="L223" s="85">
        <v>34.0</v>
      </c>
      <c r="M223" s="85">
        <v>50.0</v>
      </c>
      <c r="N223" s="85">
        <v>1.0</v>
      </c>
      <c r="O223" s="110">
        <f t="shared" si="168"/>
        <v>33</v>
      </c>
      <c r="P223" s="85">
        <v>3.0</v>
      </c>
      <c r="Q223" s="85">
        <v>1.0</v>
      </c>
      <c r="R223" s="85">
        <v>1.0</v>
      </c>
      <c r="S223" s="85">
        <v>1.0</v>
      </c>
      <c r="T223" s="85">
        <v>3.0</v>
      </c>
      <c r="U223" s="85">
        <v>1.0</v>
      </c>
      <c r="V223" s="94">
        <v>0.0</v>
      </c>
      <c r="W223" s="94">
        <v>0.0</v>
      </c>
      <c r="X223" s="94">
        <v>0.0</v>
      </c>
      <c r="Y223" s="94">
        <v>0.0</v>
      </c>
      <c r="Z223" s="94">
        <v>0.0</v>
      </c>
      <c r="AA223" s="94">
        <v>0.0</v>
      </c>
      <c r="AB223" s="94">
        <v>0.0</v>
      </c>
      <c r="AC223" s="94">
        <v>0.0</v>
      </c>
      <c r="AD223" s="94">
        <v>0.0</v>
      </c>
      <c r="AE223" s="94">
        <v>0.0</v>
      </c>
      <c r="AF223" s="94">
        <v>0.0</v>
      </c>
      <c r="AG223" s="94">
        <v>0.0</v>
      </c>
      <c r="AH223" s="94">
        <v>0.0</v>
      </c>
    </row>
    <row r="224" hidden="1">
      <c r="A224" s="83" t="s">
        <v>44</v>
      </c>
      <c r="B224" s="84" t="s">
        <v>189</v>
      </c>
      <c r="C224" s="85">
        <v>1.0</v>
      </c>
      <c r="D224" s="85">
        <v>1.0</v>
      </c>
      <c r="E224" s="86">
        <v>33.0</v>
      </c>
      <c r="F224" s="85">
        <v>1.0</v>
      </c>
      <c r="G224" s="85">
        <v>122.0</v>
      </c>
      <c r="H224" s="94">
        <v>0.0</v>
      </c>
      <c r="I224" s="85">
        <v>90.0</v>
      </c>
      <c r="J224" s="95">
        <f t="shared" si="166"/>
        <v>32</v>
      </c>
      <c r="K224" s="87">
        <f t="shared" si="167"/>
        <v>1.355555556</v>
      </c>
      <c r="L224" s="85">
        <v>18.0</v>
      </c>
      <c r="M224" s="85">
        <v>173.0</v>
      </c>
      <c r="N224" s="85">
        <v>1.0</v>
      </c>
      <c r="O224" s="110">
        <f t="shared" si="168"/>
        <v>33</v>
      </c>
      <c r="P224" s="85">
        <v>0.0</v>
      </c>
      <c r="Q224" s="85">
        <v>4.0</v>
      </c>
      <c r="R224" s="85">
        <v>14.0</v>
      </c>
      <c r="S224" s="85">
        <v>1.0</v>
      </c>
      <c r="T224" s="85">
        <v>21.0</v>
      </c>
      <c r="U224" s="85">
        <v>10.0</v>
      </c>
      <c r="V224" s="85">
        <v>3.0</v>
      </c>
      <c r="W224" s="94">
        <v>0.0</v>
      </c>
      <c r="X224" s="94">
        <v>0.0</v>
      </c>
      <c r="Y224" s="94">
        <v>0.0</v>
      </c>
      <c r="Z224" s="94">
        <v>0.0</v>
      </c>
      <c r="AA224" s="94">
        <v>0.0</v>
      </c>
      <c r="AB224" s="94">
        <v>0.0</v>
      </c>
      <c r="AC224" s="85">
        <v>6.0</v>
      </c>
      <c r="AD224" s="94">
        <v>0.0</v>
      </c>
      <c r="AE224" s="94">
        <v>0.0</v>
      </c>
      <c r="AF224" s="94">
        <v>0.0</v>
      </c>
      <c r="AG224" s="94">
        <v>0.0</v>
      </c>
      <c r="AH224" s="94">
        <v>0.0</v>
      </c>
    </row>
    <row r="225" hidden="1">
      <c r="A225" s="83" t="s">
        <v>44</v>
      </c>
      <c r="B225" s="84" t="s">
        <v>190</v>
      </c>
      <c r="C225" s="94">
        <v>0.0</v>
      </c>
      <c r="D225" s="94">
        <v>0.0</v>
      </c>
      <c r="E225" s="96">
        <f t="shared" ref="E225:E226" si="169">SUM(L225*I225)/60</f>
        <v>0</v>
      </c>
      <c r="F225" s="94">
        <v>0.0</v>
      </c>
      <c r="G225" s="94">
        <v>0.0</v>
      </c>
      <c r="H225" s="94">
        <v>0.0</v>
      </c>
      <c r="I225" s="94">
        <v>0.0</v>
      </c>
      <c r="J225" s="95">
        <f t="shared" si="166"/>
        <v>0</v>
      </c>
      <c r="K225" s="87" t="str">
        <f t="shared" si="167"/>
        <v>#DIV/0!</v>
      </c>
      <c r="L225" s="94">
        <v>0.0</v>
      </c>
      <c r="M225" s="94">
        <v>0.0</v>
      </c>
      <c r="N225" s="85">
        <v>0.0</v>
      </c>
      <c r="O225" s="110">
        <f t="shared" si="168"/>
        <v>0</v>
      </c>
      <c r="P225" s="94">
        <v>0.0</v>
      </c>
      <c r="Q225" s="94">
        <v>0.0</v>
      </c>
      <c r="R225" s="94">
        <v>0.0</v>
      </c>
      <c r="S225" s="94">
        <v>0.0</v>
      </c>
      <c r="T225" s="94">
        <v>0.0</v>
      </c>
      <c r="U225" s="94">
        <v>0.0</v>
      </c>
      <c r="V225" s="94">
        <v>0.0</v>
      </c>
      <c r="W225" s="94">
        <v>0.0</v>
      </c>
      <c r="X225" s="94">
        <v>0.0</v>
      </c>
      <c r="Y225" s="94">
        <v>0.0</v>
      </c>
      <c r="Z225" s="94">
        <v>0.0</v>
      </c>
      <c r="AA225" s="94">
        <v>0.0</v>
      </c>
      <c r="AB225" s="94">
        <v>0.0</v>
      </c>
      <c r="AC225" s="94">
        <v>0.0</v>
      </c>
      <c r="AD225" s="94">
        <v>0.0</v>
      </c>
      <c r="AE225" s="94">
        <v>0.0</v>
      </c>
      <c r="AF225" s="94">
        <v>0.0</v>
      </c>
      <c r="AG225" s="94">
        <v>0.0</v>
      </c>
      <c r="AH225" s="94">
        <v>0.0</v>
      </c>
    </row>
    <row r="226" hidden="1">
      <c r="A226" s="83" t="s">
        <v>44</v>
      </c>
      <c r="B226" s="93"/>
      <c r="C226" s="94">
        <v>0.0</v>
      </c>
      <c r="D226" s="94">
        <v>0.0</v>
      </c>
      <c r="E226" s="96">
        <f t="shared" si="169"/>
        <v>0</v>
      </c>
      <c r="F226" s="94">
        <v>0.0</v>
      </c>
      <c r="G226" s="94">
        <v>0.0</v>
      </c>
      <c r="H226" s="94">
        <v>0.0</v>
      </c>
      <c r="I226" s="94">
        <v>0.0</v>
      </c>
      <c r="J226" s="95">
        <f t="shared" si="166"/>
        <v>0</v>
      </c>
      <c r="K226" s="87" t="str">
        <f t="shared" si="167"/>
        <v>#DIV/0!</v>
      </c>
      <c r="L226" s="94">
        <v>0.0</v>
      </c>
      <c r="M226" s="94">
        <v>0.0</v>
      </c>
      <c r="N226" s="85">
        <v>0.0</v>
      </c>
      <c r="O226" s="110">
        <f t="shared" si="168"/>
        <v>0</v>
      </c>
      <c r="P226" s="94">
        <v>0.0</v>
      </c>
      <c r="Q226" s="94">
        <v>0.0</v>
      </c>
      <c r="R226" s="94">
        <v>0.0</v>
      </c>
      <c r="S226" s="94">
        <v>0.0</v>
      </c>
      <c r="T226" s="94">
        <v>0.0</v>
      </c>
      <c r="U226" s="94">
        <v>0.0</v>
      </c>
      <c r="V226" s="94">
        <v>0.0</v>
      </c>
      <c r="W226" s="94">
        <v>0.0</v>
      </c>
      <c r="X226" s="94">
        <v>0.0</v>
      </c>
      <c r="Y226" s="94">
        <v>0.0</v>
      </c>
      <c r="Z226" s="94">
        <v>0.0</v>
      </c>
      <c r="AA226" s="94">
        <v>0.0</v>
      </c>
      <c r="AB226" s="94">
        <v>0.0</v>
      </c>
      <c r="AC226" s="94">
        <v>0.0</v>
      </c>
      <c r="AD226" s="94">
        <v>0.0</v>
      </c>
      <c r="AE226" s="94">
        <v>0.0</v>
      </c>
      <c r="AF226" s="94">
        <v>0.0</v>
      </c>
      <c r="AG226" s="94">
        <v>0.0</v>
      </c>
      <c r="AH226" s="94">
        <v>0.0</v>
      </c>
    </row>
    <row r="227" hidden="1">
      <c r="A227" s="89"/>
      <c r="B227" s="111"/>
      <c r="C227" s="111">
        <f t="shared" ref="C227:D227" si="170">SUM(C221:C226)/4</f>
        <v>1</v>
      </c>
      <c r="D227" s="111">
        <f t="shared" si="170"/>
        <v>1</v>
      </c>
      <c r="E227" s="91">
        <f t="shared" ref="E227:G227" si="171">SUM(E221:E226)</f>
        <v>132</v>
      </c>
      <c r="F227" s="111">
        <f t="shared" si="171"/>
        <v>5</v>
      </c>
      <c r="G227" s="111">
        <f t="shared" si="171"/>
        <v>373</v>
      </c>
      <c r="H227" s="111"/>
      <c r="I227" s="111">
        <f>SUM(I221:I226)</f>
        <v>327</v>
      </c>
      <c r="J227" s="111">
        <f t="shared" si="166"/>
        <v>46</v>
      </c>
      <c r="K227" s="92">
        <f t="shared" si="167"/>
        <v>1.140672783</v>
      </c>
      <c r="L227" s="111">
        <f t="shared" ref="L227:M227" si="172">SUM(L221:L226)</f>
        <v>87</v>
      </c>
      <c r="M227" s="111">
        <f t="shared" si="172"/>
        <v>490</v>
      </c>
      <c r="N227" s="111"/>
      <c r="O227" s="112"/>
      <c r="P227" s="111">
        <f t="shared" ref="P227:AH227" si="173">SUM(P221:P226)</f>
        <v>7</v>
      </c>
      <c r="Q227" s="111">
        <f t="shared" si="173"/>
        <v>7</v>
      </c>
      <c r="R227" s="111">
        <f t="shared" si="173"/>
        <v>25</v>
      </c>
      <c r="S227" s="111">
        <f t="shared" si="173"/>
        <v>5</v>
      </c>
      <c r="T227" s="111">
        <f t="shared" si="173"/>
        <v>60</v>
      </c>
      <c r="U227" s="111">
        <f t="shared" si="173"/>
        <v>18</v>
      </c>
      <c r="V227" s="111">
        <f t="shared" si="173"/>
        <v>4</v>
      </c>
      <c r="W227" s="111">
        <f t="shared" si="173"/>
        <v>0</v>
      </c>
      <c r="X227" s="111">
        <f t="shared" si="173"/>
        <v>0</v>
      </c>
      <c r="Y227" s="111">
        <f t="shared" si="173"/>
        <v>0</v>
      </c>
      <c r="Z227" s="111">
        <f t="shared" si="173"/>
        <v>0</v>
      </c>
      <c r="AA227" s="111">
        <f t="shared" si="173"/>
        <v>0</v>
      </c>
      <c r="AB227" s="111">
        <f t="shared" si="173"/>
        <v>0</v>
      </c>
      <c r="AC227" s="111">
        <f t="shared" si="173"/>
        <v>11</v>
      </c>
      <c r="AD227" s="111">
        <f t="shared" si="173"/>
        <v>0</v>
      </c>
      <c r="AE227" s="111">
        <f t="shared" si="173"/>
        <v>0</v>
      </c>
      <c r="AF227" s="111">
        <f t="shared" si="173"/>
        <v>0</v>
      </c>
      <c r="AG227" s="111">
        <f t="shared" si="173"/>
        <v>0</v>
      </c>
      <c r="AH227" s="111">
        <f t="shared" si="173"/>
        <v>0</v>
      </c>
    </row>
    <row r="228" hidden="1">
      <c r="A228" s="83" t="s">
        <v>47</v>
      </c>
      <c r="B228" s="84" t="s">
        <v>237</v>
      </c>
      <c r="C228" s="85">
        <v>1.0</v>
      </c>
      <c r="D228" s="94">
        <v>0.0</v>
      </c>
      <c r="E228" s="86">
        <v>33.0</v>
      </c>
      <c r="F228" s="94">
        <v>0.0</v>
      </c>
      <c r="G228" s="85">
        <v>118.0</v>
      </c>
      <c r="H228" s="94">
        <v>0.0</v>
      </c>
      <c r="I228" s="85">
        <v>87.0</v>
      </c>
      <c r="J228" s="95">
        <f t="shared" si="166"/>
        <v>31</v>
      </c>
      <c r="K228" s="87">
        <f t="shared" si="167"/>
        <v>1.356321839</v>
      </c>
      <c r="L228" s="85">
        <v>19.0</v>
      </c>
      <c r="M228" s="85">
        <v>147.0</v>
      </c>
      <c r="N228" s="85">
        <v>1.0</v>
      </c>
      <c r="O228" s="110">
        <f t="shared" ref="O228:O233" si="174">(E228*N228)</f>
        <v>33</v>
      </c>
      <c r="P228" s="85">
        <v>6.0</v>
      </c>
      <c r="Q228" s="85">
        <v>1.0</v>
      </c>
      <c r="R228" s="85">
        <v>3.0</v>
      </c>
      <c r="S228" s="94">
        <v>0.0</v>
      </c>
      <c r="T228" s="85">
        <v>21.0</v>
      </c>
      <c r="U228" s="85">
        <v>4.0</v>
      </c>
      <c r="V228" s="85">
        <v>1.0</v>
      </c>
      <c r="W228" s="94">
        <v>0.0</v>
      </c>
      <c r="X228" s="94">
        <v>0.0</v>
      </c>
      <c r="Y228" s="94">
        <v>0.0</v>
      </c>
      <c r="Z228" s="94">
        <v>0.0</v>
      </c>
      <c r="AA228" s="94">
        <v>0.0</v>
      </c>
      <c r="AB228" s="94">
        <v>0.0</v>
      </c>
      <c r="AC228" s="85">
        <v>5.0</v>
      </c>
      <c r="AD228" s="94">
        <v>0.0</v>
      </c>
      <c r="AE228" s="94">
        <v>0.0</v>
      </c>
      <c r="AF228" s="94">
        <v>0.0</v>
      </c>
      <c r="AG228" s="94">
        <v>0.0</v>
      </c>
      <c r="AH228" s="94">
        <v>0.0</v>
      </c>
    </row>
    <row r="229" hidden="1">
      <c r="A229" s="83" t="s">
        <v>47</v>
      </c>
      <c r="B229" s="84" t="s">
        <v>238</v>
      </c>
      <c r="C229" s="85">
        <v>1.0</v>
      </c>
      <c r="D229" s="94">
        <v>0.0</v>
      </c>
      <c r="E229" s="86">
        <v>33.0</v>
      </c>
      <c r="F229" s="85">
        <v>3.0</v>
      </c>
      <c r="G229" s="85">
        <v>67.0</v>
      </c>
      <c r="H229" s="94">
        <v>0.0</v>
      </c>
      <c r="I229" s="85">
        <v>87.0</v>
      </c>
      <c r="J229" s="95">
        <f t="shared" si="166"/>
        <v>-20</v>
      </c>
      <c r="K229" s="87">
        <f t="shared" si="167"/>
        <v>0.7701149425</v>
      </c>
      <c r="L229" s="85">
        <v>19.0</v>
      </c>
      <c r="M229" s="85">
        <v>76.0</v>
      </c>
      <c r="N229" s="85">
        <v>1.0</v>
      </c>
      <c r="O229" s="110">
        <f t="shared" si="174"/>
        <v>33</v>
      </c>
      <c r="P229" s="85">
        <v>3.0</v>
      </c>
      <c r="Q229" s="94">
        <v>0.0</v>
      </c>
      <c r="R229" s="85">
        <v>2.0</v>
      </c>
      <c r="S229" s="85">
        <v>4.0</v>
      </c>
      <c r="T229" s="85">
        <v>5.0</v>
      </c>
      <c r="U229" s="94">
        <v>0.0</v>
      </c>
      <c r="V229" s="94">
        <v>0.0</v>
      </c>
      <c r="W229" s="94">
        <v>0.0</v>
      </c>
      <c r="X229" s="94">
        <v>0.0</v>
      </c>
      <c r="Y229" s="94">
        <v>0.0</v>
      </c>
      <c r="Z229" s="94">
        <v>0.0</v>
      </c>
      <c r="AA229" s="94">
        <v>0.0</v>
      </c>
      <c r="AB229" s="94">
        <v>0.0</v>
      </c>
      <c r="AC229" s="94">
        <v>0.0</v>
      </c>
      <c r="AD229" s="94">
        <v>0.0</v>
      </c>
      <c r="AE229" s="94">
        <v>0.0</v>
      </c>
      <c r="AF229" s="94">
        <v>0.0</v>
      </c>
      <c r="AG229" s="94">
        <v>0.0</v>
      </c>
      <c r="AH229" s="94">
        <v>0.0</v>
      </c>
    </row>
    <row r="230" hidden="1">
      <c r="A230" s="83" t="s">
        <v>47</v>
      </c>
      <c r="B230" s="84" t="s">
        <v>239</v>
      </c>
      <c r="C230" s="94">
        <v>0.0</v>
      </c>
      <c r="D230" s="94">
        <v>0.0</v>
      </c>
      <c r="E230" s="96">
        <f>SUM(L230*I230)/60</f>
        <v>0</v>
      </c>
      <c r="F230" s="94">
        <v>0.0</v>
      </c>
      <c r="G230" s="94">
        <v>0.0</v>
      </c>
      <c r="H230" s="94">
        <v>0.0</v>
      </c>
      <c r="I230" s="94">
        <v>0.0</v>
      </c>
      <c r="J230" s="95">
        <f t="shared" si="166"/>
        <v>0</v>
      </c>
      <c r="K230" s="87" t="str">
        <f t="shared" si="167"/>
        <v>#DIV/0!</v>
      </c>
      <c r="L230" s="94">
        <v>0.0</v>
      </c>
      <c r="M230" s="94">
        <v>0.0</v>
      </c>
      <c r="N230" s="85">
        <v>0.0</v>
      </c>
      <c r="O230" s="110">
        <f t="shared" si="174"/>
        <v>0</v>
      </c>
      <c r="P230" s="94">
        <v>0.0</v>
      </c>
      <c r="Q230" s="94">
        <v>0.0</v>
      </c>
      <c r="R230" s="94">
        <v>0.0</v>
      </c>
      <c r="S230" s="94">
        <v>0.0</v>
      </c>
      <c r="T230" s="94">
        <v>0.0</v>
      </c>
      <c r="U230" s="94">
        <v>0.0</v>
      </c>
      <c r="V230" s="94">
        <v>0.0</v>
      </c>
      <c r="W230" s="94">
        <v>0.0</v>
      </c>
      <c r="X230" s="94">
        <v>0.0</v>
      </c>
      <c r="Y230" s="94">
        <v>0.0</v>
      </c>
      <c r="Z230" s="94">
        <v>0.0</v>
      </c>
      <c r="AA230" s="94">
        <v>0.0</v>
      </c>
      <c r="AB230" s="94">
        <v>0.0</v>
      </c>
      <c r="AC230" s="94">
        <v>0.0</v>
      </c>
      <c r="AD230" s="94">
        <v>0.0</v>
      </c>
      <c r="AE230" s="94">
        <v>0.0</v>
      </c>
      <c r="AF230" s="94">
        <v>0.0</v>
      </c>
      <c r="AG230" s="94">
        <v>0.0</v>
      </c>
      <c r="AH230" s="94">
        <v>0.0</v>
      </c>
    </row>
    <row r="231" hidden="1">
      <c r="A231" s="83" t="s">
        <v>47</v>
      </c>
      <c r="B231" s="84" t="s">
        <v>240</v>
      </c>
      <c r="C231" s="85">
        <v>1.0</v>
      </c>
      <c r="D231" s="94">
        <v>0.0</v>
      </c>
      <c r="E231" s="86">
        <v>33.0</v>
      </c>
      <c r="F231" s="94">
        <v>0.0</v>
      </c>
      <c r="G231" s="85">
        <v>77.0</v>
      </c>
      <c r="H231" s="94">
        <v>0.0</v>
      </c>
      <c r="I231" s="85">
        <v>96.0</v>
      </c>
      <c r="J231" s="95">
        <f t="shared" si="166"/>
        <v>-19</v>
      </c>
      <c r="K231" s="87">
        <f t="shared" si="167"/>
        <v>0.8020833333</v>
      </c>
      <c r="L231" s="85">
        <v>17.0</v>
      </c>
      <c r="M231" s="85">
        <v>97.0</v>
      </c>
      <c r="N231" s="85">
        <v>1.0</v>
      </c>
      <c r="O231" s="110">
        <f t="shared" si="174"/>
        <v>33</v>
      </c>
      <c r="P231" s="85">
        <v>2.0</v>
      </c>
      <c r="Q231" s="85">
        <v>1.0</v>
      </c>
      <c r="R231" s="85">
        <v>3.0</v>
      </c>
      <c r="S231" s="85">
        <v>6.0</v>
      </c>
      <c r="T231" s="85">
        <v>12.0</v>
      </c>
      <c r="U231" s="94">
        <v>0.0</v>
      </c>
      <c r="V231" s="94">
        <v>0.0</v>
      </c>
      <c r="W231" s="94">
        <v>0.0</v>
      </c>
      <c r="X231" s="94">
        <v>0.0</v>
      </c>
      <c r="Y231" s="94">
        <v>0.0</v>
      </c>
      <c r="Z231" s="94">
        <v>0.0</v>
      </c>
      <c r="AA231" s="94">
        <v>0.0</v>
      </c>
      <c r="AB231" s="94">
        <v>0.0</v>
      </c>
      <c r="AC231" s="94">
        <v>0.0</v>
      </c>
      <c r="AD231" s="94">
        <v>0.0</v>
      </c>
      <c r="AE231" s="94">
        <v>0.0</v>
      </c>
      <c r="AF231" s="94">
        <v>0.0</v>
      </c>
      <c r="AG231" s="94">
        <v>0.0</v>
      </c>
      <c r="AH231" s="94">
        <v>0.0</v>
      </c>
    </row>
    <row r="232" hidden="1">
      <c r="A232" s="83" t="s">
        <v>47</v>
      </c>
      <c r="B232" s="84" t="s">
        <v>241</v>
      </c>
      <c r="C232" s="85">
        <v>1.0</v>
      </c>
      <c r="D232" s="94">
        <v>0.0</v>
      </c>
      <c r="E232" s="86">
        <v>33.0</v>
      </c>
      <c r="F232" s="85">
        <v>1.0</v>
      </c>
      <c r="G232" s="85">
        <v>56.0</v>
      </c>
      <c r="H232" s="85">
        <v>1.0</v>
      </c>
      <c r="I232" s="85">
        <v>112.0</v>
      </c>
      <c r="J232" s="95">
        <f t="shared" si="166"/>
        <v>-56</v>
      </c>
      <c r="K232" s="87">
        <f t="shared" si="167"/>
        <v>0.5</v>
      </c>
      <c r="L232" s="85">
        <v>14.0</v>
      </c>
      <c r="M232" s="85">
        <v>68.0</v>
      </c>
      <c r="N232" s="85">
        <v>1.0</v>
      </c>
      <c r="O232" s="110">
        <f t="shared" si="174"/>
        <v>33</v>
      </c>
      <c r="P232" s="85">
        <v>4.0</v>
      </c>
      <c r="Q232" s="85">
        <v>1.0</v>
      </c>
      <c r="R232" s="85">
        <v>1.0</v>
      </c>
      <c r="S232" s="94">
        <v>0.0</v>
      </c>
      <c r="T232" s="85">
        <v>5.0</v>
      </c>
      <c r="U232" s="85">
        <v>1.0</v>
      </c>
      <c r="V232" s="94">
        <v>0.0</v>
      </c>
      <c r="W232" s="94">
        <v>0.0</v>
      </c>
      <c r="X232" s="94">
        <v>0.0</v>
      </c>
      <c r="Y232" s="94">
        <v>0.0</v>
      </c>
      <c r="Z232" s="94">
        <v>0.0</v>
      </c>
      <c r="AA232" s="94">
        <v>0.0</v>
      </c>
      <c r="AB232" s="94">
        <v>0.0</v>
      </c>
      <c r="AC232" s="94">
        <v>0.0</v>
      </c>
      <c r="AD232" s="94">
        <v>0.0</v>
      </c>
      <c r="AE232" s="94">
        <v>0.0</v>
      </c>
      <c r="AF232" s="94">
        <v>0.0</v>
      </c>
      <c r="AG232" s="94">
        <v>0.0</v>
      </c>
      <c r="AH232" s="94">
        <v>0.0</v>
      </c>
    </row>
    <row r="233" hidden="1">
      <c r="A233" s="83" t="s">
        <v>47</v>
      </c>
      <c r="B233" s="114"/>
      <c r="C233" s="94">
        <v>0.0</v>
      </c>
      <c r="D233" s="94">
        <v>0.0</v>
      </c>
      <c r="E233" s="96">
        <f>SUM(L233*I233)/60</f>
        <v>0</v>
      </c>
      <c r="F233" s="94">
        <v>0.0</v>
      </c>
      <c r="G233" s="94">
        <v>0.0</v>
      </c>
      <c r="H233" s="94">
        <v>0.0</v>
      </c>
      <c r="I233" s="94">
        <v>0.0</v>
      </c>
      <c r="J233" s="95">
        <f t="shared" si="166"/>
        <v>0</v>
      </c>
      <c r="K233" s="87" t="str">
        <f t="shared" si="167"/>
        <v>#DIV/0!</v>
      </c>
      <c r="L233" s="94">
        <v>0.0</v>
      </c>
      <c r="M233" s="94">
        <v>0.0</v>
      </c>
      <c r="N233" s="85">
        <v>0.0</v>
      </c>
      <c r="O233" s="110">
        <f t="shared" si="174"/>
        <v>0</v>
      </c>
      <c r="P233" s="94">
        <v>0.0</v>
      </c>
      <c r="Q233" s="94">
        <v>0.0</v>
      </c>
      <c r="R233" s="94">
        <v>0.0</v>
      </c>
      <c r="S233" s="94">
        <v>0.0</v>
      </c>
      <c r="T233" s="94">
        <v>0.0</v>
      </c>
      <c r="U233" s="94">
        <v>0.0</v>
      </c>
      <c r="V233" s="94">
        <v>0.0</v>
      </c>
      <c r="W233" s="94">
        <v>0.0</v>
      </c>
      <c r="X233" s="94">
        <v>0.0</v>
      </c>
      <c r="Y233" s="94">
        <v>0.0</v>
      </c>
      <c r="Z233" s="94">
        <v>0.0</v>
      </c>
      <c r="AA233" s="94">
        <v>0.0</v>
      </c>
      <c r="AB233" s="94">
        <v>0.0</v>
      </c>
      <c r="AC233" s="94">
        <v>0.0</v>
      </c>
      <c r="AD233" s="94">
        <v>0.0</v>
      </c>
      <c r="AE233" s="94">
        <v>0.0</v>
      </c>
      <c r="AF233" s="94">
        <v>0.0</v>
      </c>
      <c r="AG233" s="94">
        <v>0.0</v>
      </c>
      <c r="AH233" s="94">
        <v>0.0</v>
      </c>
    </row>
    <row r="234" hidden="1">
      <c r="A234" s="89" t="s">
        <v>185</v>
      </c>
      <c r="B234" s="111"/>
      <c r="C234" s="111">
        <f>SUM(C228:C233)</f>
        <v>4</v>
      </c>
      <c r="D234" s="111">
        <f t="shared" ref="D234:E234" si="175">SUM(D228:D233)/4</f>
        <v>0</v>
      </c>
      <c r="E234" s="91">
        <f t="shared" si="175"/>
        <v>33</v>
      </c>
      <c r="F234" s="111">
        <f t="shared" ref="F234:G234" si="176">SUM(F228:F233)</f>
        <v>4</v>
      </c>
      <c r="G234" s="111">
        <f t="shared" si="176"/>
        <v>318</v>
      </c>
      <c r="H234" s="111"/>
      <c r="I234" s="111">
        <f>SUM(I228:I233)</f>
        <v>382</v>
      </c>
      <c r="J234" s="111">
        <f t="shared" si="166"/>
        <v>-64</v>
      </c>
      <c r="K234" s="92">
        <f t="shared" si="167"/>
        <v>0.832460733</v>
      </c>
      <c r="L234" s="111">
        <f t="shared" ref="L234:M234" si="177">SUM(L228:L233)</f>
        <v>69</v>
      </c>
      <c r="M234" s="111">
        <f t="shared" si="177"/>
        <v>388</v>
      </c>
      <c r="N234" s="111"/>
      <c r="O234" s="112"/>
      <c r="P234" s="111">
        <f t="shared" ref="P234:AH234" si="178">SUM(P228:P233)</f>
        <v>15</v>
      </c>
      <c r="Q234" s="111">
        <f t="shared" si="178"/>
        <v>3</v>
      </c>
      <c r="R234" s="111">
        <f t="shared" si="178"/>
        <v>9</v>
      </c>
      <c r="S234" s="111">
        <f t="shared" si="178"/>
        <v>10</v>
      </c>
      <c r="T234" s="111">
        <f t="shared" si="178"/>
        <v>43</v>
      </c>
      <c r="U234" s="111">
        <f t="shared" si="178"/>
        <v>5</v>
      </c>
      <c r="V234" s="111">
        <f t="shared" si="178"/>
        <v>1</v>
      </c>
      <c r="W234" s="111">
        <f t="shared" si="178"/>
        <v>0</v>
      </c>
      <c r="X234" s="111">
        <f t="shared" si="178"/>
        <v>0</v>
      </c>
      <c r="Y234" s="111">
        <f t="shared" si="178"/>
        <v>0</v>
      </c>
      <c r="Z234" s="111">
        <f t="shared" si="178"/>
        <v>0</v>
      </c>
      <c r="AA234" s="111">
        <f t="shared" si="178"/>
        <v>0</v>
      </c>
      <c r="AB234" s="111">
        <f t="shared" si="178"/>
        <v>0</v>
      </c>
      <c r="AC234" s="111">
        <f t="shared" si="178"/>
        <v>5</v>
      </c>
      <c r="AD234" s="111">
        <f t="shared" si="178"/>
        <v>0</v>
      </c>
      <c r="AE234" s="111">
        <f t="shared" si="178"/>
        <v>0</v>
      </c>
      <c r="AF234" s="111">
        <f t="shared" si="178"/>
        <v>0</v>
      </c>
      <c r="AG234" s="111">
        <f t="shared" si="178"/>
        <v>0</v>
      </c>
      <c r="AH234" s="111">
        <f t="shared" si="178"/>
        <v>0</v>
      </c>
    </row>
    <row r="235">
      <c r="A235" s="104" t="s">
        <v>268</v>
      </c>
    </row>
    <row r="237" hidden="1">
      <c r="A237" s="105"/>
      <c r="F237" s="106" t="s">
        <v>251</v>
      </c>
      <c r="L237" s="107" t="s">
        <v>252</v>
      </c>
      <c r="N237" s="108" t="s">
        <v>253</v>
      </c>
    </row>
    <row r="238" hidden="1">
      <c r="A238" s="76" t="s">
        <v>148</v>
      </c>
      <c r="B238" s="76" t="s">
        <v>149</v>
      </c>
      <c r="C238" s="76" t="s">
        <v>150</v>
      </c>
      <c r="D238" s="76" t="s">
        <v>13</v>
      </c>
      <c r="E238" s="77" t="s">
        <v>151</v>
      </c>
      <c r="F238" s="78" t="s">
        <v>15</v>
      </c>
      <c r="G238" s="78" t="s">
        <v>152</v>
      </c>
      <c r="H238" s="78" t="s">
        <v>153</v>
      </c>
      <c r="I238" s="78" t="s">
        <v>154</v>
      </c>
      <c r="J238" s="78" t="s">
        <v>155</v>
      </c>
      <c r="K238" s="79" t="s">
        <v>156</v>
      </c>
      <c r="L238" s="80" t="s">
        <v>157</v>
      </c>
      <c r="M238" s="80" t="s">
        <v>158</v>
      </c>
      <c r="N238" s="81" t="s">
        <v>254</v>
      </c>
      <c r="O238" s="81" t="s">
        <v>151</v>
      </c>
      <c r="P238" s="81" t="s">
        <v>160</v>
      </c>
      <c r="Q238" s="81" t="s">
        <v>161</v>
      </c>
      <c r="R238" s="81" t="s">
        <v>162</v>
      </c>
      <c r="S238" s="81" t="s">
        <v>163</v>
      </c>
      <c r="T238" s="81" t="s">
        <v>164</v>
      </c>
      <c r="U238" s="81" t="s">
        <v>165</v>
      </c>
      <c r="V238" s="81" t="s">
        <v>166</v>
      </c>
      <c r="W238" s="81" t="s">
        <v>167</v>
      </c>
      <c r="X238" s="81" t="s">
        <v>168</v>
      </c>
      <c r="Y238" s="81" t="s">
        <v>169</v>
      </c>
      <c r="Z238" s="81" t="s">
        <v>170</v>
      </c>
      <c r="AA238" s="81" t="s">
        <v>171</v>
      </c>
      <c r="AB238" s="81" t="s">
        <v>172</v>
      </c>
      <c r="AC238" s="81" t="s">
        <v>173</v>
      </c>
      <c r="AD238" s="81" t="s">
        <v>174</v>
      </c>
      <c r="AE238" s="81" t="s">
        <v>175</v>
      </c>
      <c r="AF238" s="81" t="s">
        <v>176</v>
      </c>
      <c r="AG238" s="81" t="s">
        <v>177</v>
      </c>
      <c r="AH238" s="81" t="s">
        <v>178</v>
      </c>
    </row>
    <row r="239" hidden="1">
      <c r="A239" s="83" t="s">
        <v>49</v>
      </c>
      <c r="B239" s="84" t="s">
        <v>198</v>
      </c>
      <c r="C239" s="85">
        <v>1.0</v>
      </c>
      <c r="D239" s="85">
        <v>1.0</v>
      </c>
      <c r="E239" s="86">
        <v>46.0</v>
      </c>
      <c r="F239" s="85">
        <v>1.0</v>
      </c>
      <c r="G239" s="85">
        <v>151.0</v>
      </c>
      <c r="H239" s="85">
        <v>1.0</v>
      </c>
      <c r="I239" s="85">
        <v>152.0</v>
      </c>
      <c r="J239" s="95">
        <f t="shared" ref="J239:J252" si="179">SUM(G239-I239)</f>
        <v>-1</v>
      </c>
      <c r="K239" s="87">
        <f t="shared" ref="K239:K252" si="180">SUM(G239/I239)</f>
        <v>0.9934210526</v>
      </c>
      <c r="L239" s="85">
        <v>14.0</v>
      </c>
      <c r="M239" s="85">
        <v>188.0</v>
      </c>
      <c r="N239" s="85">
        <v>1.0</v>
      </c>
      <c r="O239" s="110">
        <f t="shared" ref="O239:O244" si="181">(E239*N239)</f>
        <v>46</v>
      </c>
      <c r="P239" s="85">
        <v>7.0</v>
      </c>
      <c r="Q239" s="85">
        <v>2.0</v>
      </c>
      <c r="R239" s="85">
        <v>5.0</v>
      </c>
      <c r="S239" s="85">
        <v>3.0</v>
      </c>
      <c r="T239" s="85">
        <v>20.0</v>
      </c>
      <c r="U239" s="85">
        <v>5.0</v>
      </c>
      <c r="V239" s="85">
        <v>1.0</v>
      </c>
      <c r="W239" s="94">
        <v>0.0</v>
      </c>
      <c r="X239" s="94">
        <v>0.0</v>
      </c>
      <c r="Y239" s="94">
        <v>0.0</v>
      </c>
      <c r="Z239" s="94">
        <v>0.0</v>
      </c>
      <c r="AA239" s="94">
        <v>0.0</v>
      </c>
      <c r="AB239" s="94">
        <v>0.0</v>
      </c>
      <c r="AC239" s="85">
        <v>3.0</v>
      </c>
      <c r="AD239" s="94">
        <v>0.0</v>
      </c>
      <c r="AE239" s="94">
        <v>0.0</v>
      </c>
      <c r="AF239" s="94">
        <v>0.0</v>
      </c>
      <c r="AG239" s="94">
        <v>0.0</v>
      </c>
      <c r="AH239" s="94">
        <v>0.0</v>
      </c>
    </row>
    <row r="240" hidden="1">
      <c r="A240" s="83" t="s">
        <v>49</v>
      </c>
      <c r="B240" s="84" t="s">
        <v>199</v>
      </c>
      <c r="C240" s="85">
        <v>1.0</v>
      </c>
      <c r="D240" s="85">
        <v>1.0</v>
      </c>
      <c r="E240" s="86">
        <v>46.0</v>
      </c>
      <c r="F240" s="94">
        <v>0.0</v>
      </c>
      <c r="G240" s="85">
        <v>145.0</v>
      </c>
      <c r="H240" s="94">
        <v>0.0</v>
      </c>
      <c r="I240" s="85">
        <v>138.0</v>
      </c>
      <c r="J240" s="95">
        <f t="shared" si="179"/>
        <v>7</v>
      </c>
      <c r="K240" s="87">
        <f t="shared" si="180"/>
        <v>1.050724638</v>
      </c>
      <c r="L240" s="85">
        <v>16.0</v>
      </c>
      <c r="M240" s="85">
        <v>180.0</v>
      </c>
      <c r="N240" s="85">
        <v>1.0</v>
      </c>
      <c r="O240" s="110">
        <f t="shared" si="181"/>
        <v>46</v>
      </c>
      <c r="P240" s="85">
        <v>8.0</v>
      </c>
      <c r="Q240" s="85">
        <v>5.0</v>
      </c>
      <c r="R240" s="85">
        <v>5.0</v>
      </c>
      <c r="S240" s="85">
        <v>5.0</v>
      </c>
      <c r="T240" s="85">
        <v>23.0</v>
      </c>
      <c r="U240" s="85">
        <v>2.0</v>
      </c>
      <c r="V240" s="94">
        <v>0.0</v>
      </c>
      <c r="W240" s="94">
        <v>0.0</v>
      </c>
      <c r="X240" s="94">
        <v>0.0</v>
      </c>
      <c r="Y240" s="94">
        <v>0.0</v>
      </c>
      <c r="Z240" s="94">
        <v>0.0</v>
      </c>
      <c r="AA240" s="94">
        <v>0.0</v>
      </c>
      <c r="AB240" s="94">
        <v>0.0</v>
      </c>
      <c r="AC240" s="85">
        <v>4.0</v>
      </c>
      <c r="AD240" s="94">
        <v>0.0</v>
      </c>
      <c r="AE240" s="94">
        <v>0.0</v>
      </c>
      <c r="AF240" s="94">
        <v>0.0</v>
      </c>
      <c r="AG240" s="94">
        <v>0.0</v>
      </c>
      <c r="AH240" s="94">
        <v>0.0</v>
      </c>
    </row>
    <row r="241" hidden="1">
      <c r="A241" s="83" t="s">
        <v>49</v>
      </c>
      <c r="B241" s="84" t="s">
        <v>200</v>
      </c>
      <c r="C241" s="85">
        <v>1.0</v>
      </c>
      <c r="D241" s="85">
        <v>1.0</v>
      </c>
      <c r="E241" s="86">
        <v>46.0</v>
      </c>
      <c r="F241" s="85">
        <v>4.0</v>
      </c>
      <c r="G241" s="85">
        <v>62.0</v>
      </c>
      <c r="H241" s="85">
        <v>1.0</v>
      </c>
      <c r="I241" s="85">
        <v>85.0</v>
      </c>
      <c r="J241" s="95">
        <f t="shared" si="179"/>
        <v>-23</v>
      </c>
      <c r="K241" s="87">
        <f t="shared" si="180"/>
        <v>0.7294117647</v>
      </c>
      <c r="L241" s="85">
        <v>28.0</v>
      </c>
      <c r="M241" s="85">
        <v>83.0</v>
      </c>
      <c r="N241" s="85">
        <v>1.0</v>
      </c>
      <c r="O241" s="110">
        <f t="shared" si="181"/>
        <v>46</v>
      </c>
      <c r="P241" s="85">
        <v>6.0</v>
      </c>
      <c r="Q241" s="94">
        <v>0.0</v>
      </c>
      <c r="R241" s="85">
        <v>3.0</v>
      </c>
      <c r="S241" s="85">
        <v>3.0</v>
      </c>
      <c r="T241" s="85">
        <v>6.0</v>
      </c>
      <c r="U241" s="85">
        <v>1.0</v>
      </c>
      <c r="V241" s="94">
        <v>0.0</v>
      </c>
      <c r="W241" s="94">
        <v>0.0</v>
      </c>
      <c r="X241" s="94">
        <v>0.0</v>
      </c>
      <c r="Y241" s="94">
        <v>0.0</v>
      </c>
      <c r="Z241" s="94">
        <v>0.0</v>
      </c>
      <c r="AA241" s="94">
        <v>0.0</v>
      </c>
      <c r="AB241" s="94">
        <v>0.0</v>
      </c>
      <c r="AC241" s="94">
        <v>0.0</v>
      </c>
      <c r="AD241" s="94">
        <v>0.0</v>
      </c>
      <c r="AE241" s="94">
        <v>0.0</v>
      </c>
      <c r="AF241" s="94">
        <v>0.0</v>
      </c>
      <c r="AG241" s="94">
        <v>0.0</v>
      </c>
      <c r="AH241" s="94">
        <v>0.0</v>
      </c>
    </row>
    <row r="242" hidden="1">
      <c r="A242" s="83" t="s">
        <v>49</v>
      </c>
      <c r="B242" s="84" t="s">
        <v>201</v>
      </c>
      <c r="C242" s="85">
        <v>1.0</v>
      </c>
      <c r="D242" s="85">
        <v>1.0</v>
      </c>
      <c r="E242" s="86">
        <v>46.0</v>
      </c>
      <c r="F242" s="85">
        <v>0.0</v>
      </c>
      <c r="G242" s="85">
        <v>151.0</v>
      </c>
      <c r="H242" s="94">
        <v>0.0</v>
      </c>
      <c r="I242" s="85">
        <v>161.0</v>
      </c>
      <c r="J242" s="95">
        <f t="shared" si="179"/>
        <v>-10</v>
      </c>
      <c r="K242" s="87">
        <f t="shared" si="180"/>
        <v>0.9378881988</v>
      </c>
      <c r="L242" s="85">
        <v>13.0</v>
      </c>
      <c r="M242" s="85">
        <v>186.0</v>
      </c>
      <c r="N242" s="85">
        <v>1.0</v>
      </c>
      <c r="O242" s="110">
        <f t="shared" si="181"/>
        <v>46</v>
      </c>
      <c r="P242" s="85">
        <v>3.0</v>
      </c>
      <c r="Q242" s="85">
        <v>1.0</v>
      </c>
      <c r="R242" s="85">
        <v>9.0</v>
      </c>
      <c r="S242" s="85">
        <v>2.0</v>
      </c>
      <c r="T242" s="85">
        <v>24.0</v>
      </c>
      <c r="U242" s="85">
        <v>4.0</v>
      </c>
      <c r="V242" s="94">
        <v>0.0</v>
      </c>
      <c r="W242" s="94">
        <v>0.0</v>
      </c>
      <c r="X242" s="94">
        <v>0.0</v>
      </c>
      <c r="Y242" s="94">
        <v>0.0</v>
      </c>
      <c r="Z242" s="94">
        <v>0.0</v>
      </c>
      <c r="AA242" s="94">
        <v>0.0</v>
      </c>
      <c r="AB242" s="94">
        <v>0.0</v>
      </c>
      <c r="AC242" s="85">
        <v>1.0</v>
      </c>
      <c r="AD242" s="94">
        <v>0.0</v>
      </c>
      <c r="AE242" s="94">
        <v>0.0</v>
      </c>
      <c r="AF242" s="94">
        <v>0.0</v>
      </c>
      <c r="AG242" s="94">
        <v>0.0</v>
      </c>
      <c r="AH242" s="94">
        <v>0.0</v>
      </c>
    </row>
    <row r="243" hidden="1">
      <c r="A243" s="83" t="s">
        <v>49</v>
      </c>
      <c r="B243" s="84" t="s">
        <v>202</v>
      </c>
      <c r="C243" s="94">
        <v>0.0</v>
      </c>
      <c r="D243" s="94">
        <v>0.0</v>
      </c>
      <c r="E243" s="96">
        <f t="shared" ref="E243:E244" si="182">SUM(L243*I243)/60</f>
        <v>0</v>
      </c>
      <c r="F243" s="94">
        <v>0.0</v>
      </c>
      <c r="G243" s="94">
        <v>0.0</v>
      </c>
      <c r="H243" s="94">
        <v>0.0</v>
      </c>
      <c r="I243" s="94">
        <v>0.0</v>
      </c>
      <c r="J243" s="95">
        <f t="shared" si="179"/>
        <v>0</v>
      </c>
      <c r="K243" s="87" t="str">
        <f t="shared" si="180"/>
        <v>#DIV/0!</v>
      </c>
      <c r="L243" s="94">
        <v>0.0</v>
      </c>
      <c r="M243" s="94">
        <v>0.0</v>
      </c>
      <c r="N243" s="85">
        <v>0.0</v>
      </c>
      <c r="O243" s="110">
        <f t="shared" si="181"/>
        <v>0</v>
      </c>
      <c r="P243" s="94">
        <v>0.0</v>
      </c>
      <c r="Q243" s="94">
        <v>0.0</v>
      </c>
      <c r="R243" s="94">
        <v>0.0</v>
      </c>
      <c r="S243" s="94">
        <v>0.0</v>
      </c>
      <c r="T243" s="94">
        <v>0.0</v>
      </c>
      <c r="U243" s="94">
        <v>0.0</v>
      </c>
      <c r="V243" s="94">
        <v>0.0</v>
      </c>
      <c r="W243" s="94">
        <v>0.0</v>
      </c>
      <c r="X243" s="94">
        <v>0.0</v>
      </c>
      <c r="Y243" s="94">
        <v>0.0</v>
      </c>
      <c r="Z243" s="94">
        <v>0.0</v>
      </c>
      <c r="AA243" s="94">
        <v>0.0</v>
      </c>
      <c r="AB243" s="94">
        <v>0.0</v>
      </c>
      <c r="AC243" s="94">
        <v>0.0</v>
      </c>
      <c r="AD243" s="94">
        <v>0.0</v>
      </c>
      <c r="AE243" s="94">
        <v>0.0</v>
      </c>
      <c r="AF243" s="94">
        <v>0.0</v>
      </c>
      <c r="AG243" s="94">
        <v>0.0</v>
      </c>
      <c r="AH243" s="94">
        <v>0.0</v>
      </c>
    </row>
    <row r="244" hidden="1">
      <c r="A244" s="83" t="s">
        <v>49</v>
      </c>
      <c r="B244" s="93"/>
      <c r="C244" s="94">
        <v>0.0</v>
      </c>
      <c r="D244" s="94">
        <v>0.0</v>
      </c>
      <c r="E244" s="96">
        <f t="shared" si="182"/>
        <v>0</v>
      </c>
      <c r="F244" s="94">
        <v>0.0</v>
      </c>
      <c r="G244" s="94">
        <v>0.0</v>
      </c>
      <c r="H244" s="94">
        <v>0.0</v>
      </c>
      <c r="I244" s="94">
        <v>0.0</v>
      </c>
      <c r="J244" s="95">
        <f t="shared" si="179"/>
        <v>0</v>
      </c>
      <c r="K244" s="87" t="str">
        <f t="shared" si="180"/>
        <v>#DIV/0!</v>
      </c>
      <c r="L244" s="94">
        <v>0.0</v>
      </c>
      <c r="M244" s="94">
        <v>0.0</v>
      </c>
      <c r="N244" s="85">
        <v>0.0</v>
      </c>
      <c r="O244" s="110">
        <f t="shared" si="181"/>
        <v>0</v>
      </c>
      <c r="P244" s="94">
        <v>0.0</v>
      </c>
      <c r="Q244" s="94">
        <v>0.0</v>
      </c>
      <c r="R244" s="94">
        <v>0.0</v>
      </c>
      <c r="S244" s="94">
        <v>0.0</v>
      </c>
      <c r="T244" s="94">
        <v>0.0</v>
      </c>
      <c r="U244" s="94">
        <v>0.0</v>
      </c>
      <c r="V244" s="94">
        <v>0.0</v>
      </c>
      <c r="W244" s="94">
        <v>0.0</v>
      </c>
      <c r="X244" s="94">
        <v>0.0</v>
      </c>
      <c r="Y244" s="94">
        <v>0.0</v>
      </c>
      <c r="Z244" s="94">
        <v>0.0</v>
      </c>
      <c r="AA244" s="94">
        <v>0.0</v>
      </c>
      <c r="AB244" s="94">
        <v>0.0</v>
      </c>
      <c r="AC244" s="94">
        <v>0.0</v>
      </c>
      <c r="AD244" s="94">
        <v>0.0</v>
      </c>
      <c r="AE244" s="94">
        <v>0.0</v>
      </c>
      <c r="AF244" s="94">
        <v>0.0</v>
      </c>
      <c r="AG244" s="94">
        <v>0.0</v>
      </c>
      <c r="AH244" s="94">
        <v>0.0</v>
      </c>
    </row>
    <row r="245" hidden="1">
      <c r="A245" s="89"/>
      <c r="B245" s="111"/>
      <c r="C245" s="111">
        <f t="shared" ref="C245:D245" si="183">SUM(C239:C244)/4</f>
        <v>1</v>
      </c>
      <c r="D245" s="111">
        <f t="shared" si="183"/>
        <v>1</v>
      </c>
      <c r="E245" s="91">
        <f t="shared" ref="E245:G245" si="184">SUM(E239:E244)</f>
        <v>184</v>
      </c>
      <c r="F245" s="111">
        <f t="shared" si="184"/>
        <v>5</v>
      </c>
      <c r="G245" s="111">
        <f t="shared" si="184"/>
        <v>509</v>
      </c>
      <c r="H245" s="111"/>
      <c r="I245" s="111">
        <f>SUM(I239:I244)</f>
        <v>536</v>
      </c>
      <c r="J245" s="111">
        <f t="shared" si="179"/>
        <v>-27</v>
      </c>
      <c r="K245" s="92">
        <f t="shared" si="180"/>
        <v>0.9496268657</v>
      </c>
      <c r="L245" s="111">
        <f t="shared" ref="L245:M245" si="185">SUM(L239:L244)</f>
        <v>71</v>
      </c>
      <c r="M245" s="111">
        <f t="shared" si="185"/>
        <v>637</v>
      </c>
      <c r="N245" s="111"/>
      <c r="O245" s="112"/>
      <c r="P245" s="111">
        <f t="shared" ref="P245:AH245" si="186">SUM(P239:P244)</f>
        <v>24</v>
      </c>
      <c r="Q245" s="111">
        <f t="shared" si="186"/>
        <v>8</v>
      </c>
      <c r="R245" s="111">
        <f t="shared" si="186"/>
        <v>22</v>
      </c>
      <c r="S245" s="111">
        <f t="shared" si="186"/>
        <v>13</v>
      </c>
      <c r="T245" s="111">
        <f t="shared" si="186"/>
        <v>73</v>
      </c>
      <c r="U245" s="111">
        <f t="shared" si="186"/>
        <v>12</v>
      </c>
      <c r="V245" s="111">
        <f t="shared" si="186"/>
        <v>1</v>
      </c>
      <c r="W245" s="111">
        <f t="shared" si="186"/>
        <v>0</v>
      </c>
      <c r="X245" s="111">
        <f t="shared" si="186"/>
        <v>0</v>
      </c>
      <c r="Y245" s="111">
        <f t="shared" si="186"/>
        <v>0</v>
      </c>
      <c r="Z245" s="111">
        <f t="shared" si="186"/>
        <v>0</v>
      </c>
      <c r="AA245" s="111">
        <f t="shared" si="186"/>
        <v>0</v>
      </c>
      <c r="AB245" s="111">
        <f t="shared" si="186"/>
        <v>0</v>
      </c>
      <c r="AC245" s="111">
        <f t="shared" si="186"/>
        <v>8</v>
      </c>
      <c r="AD245" s="111">
        <f t="shared" si="186"/>
        <v>0</v>
      </c>
      <c r="AE245" s="111">
        <f t="shared" si="186"/>
        <v>0</v>
      </c>
      <c r="AF245" s="111">
        <f t="shared" si="186"/>
        <v>0</v>
      </c>
      <c r="AG245" s="111">
        <f t="shared" si="186"/>
        <v>0</v>
      </c>
      <c r="AH245" s="111">
        <f t="shared" si="186"/>
        <v>0</v>
      </c>
    </row>
    <row r="246" hidden="1">
      <c r="A246" s="83" t="s">
        <v>28</v>
      </c>
      <c r="B246" s="84" t="s">
        <v>179</v>
      </c>
      <c r="C246" s="85">
        <v>1.0</v>
      </c>
      <c r="D246" s="94">
        <v>0.0</v>
      </c>
      <c r="E246" s="86">
        <v>46.0</v>
      </c>
      <c r="F246" s="94">
        <v>0.0</v>
      </c>
      <c r="G246" s="85">
        <v>130.0</v>
      </c>
      <c r="H246" s="94">
        <v>0.0</v>
      </c>
      <c r="I246" s="85">
        <v>133.0</v>
      </c>
      <c r="J246" s="95">
        <f t="shared" si="179"/>
        <v>-3</v>
      </c>
      <c r="K246" s="87">
        <f t="shared" si="180"/>
        <v>0.977443609</v>
      </c>
      <c r="L246" s="85">
        <v>17.0</v>
      </c>
      <c r="M246" s="85">
        <v>147.0</v>
      </c>
      <c r="N246" s="85">
        <v>1.0</v>
      </c>
      <c r="O246" s="110">
        <f t="shared" ref="O246:O251" si="187">(E246*N246)</f>
        <v>46</v>
      </c>
      <c r="P246" s="85">
        <v>2.0</v>
      </c>
      <c r="Q246" s="94">
        <v>0.0</v>
      </c>
      <c r="R246" s="85">
        <v>5.0</v>
      </c>
      <c r="S246" s="85">
        <v>1.0</v>
      </c>
      <c r="T246" s="85">
        <v>15.0</v>
      </c>
      <c r="U246" s="94">
        <v>0.0</v>
      </c>
      <c r="V246" s="94">
        <v>0.0</v>
      </c>
      <c r="W246" s="94">
        <v>0.0</v>
      </c>
      <c r="X246" s="94">
        <v>0.0</v>
      </c>
      <c r="Y246" s="94">
        <v>0.0</v>
      </c>
      <c r="Z246" s="94">
        <v>0.0</v>
      </c>
      <c r="AA246" s="94">
        <v>0.0</v>
      </c>
      <c r="AB246" s="94">
        <v>0.0</v>
      </c>
      <c r="AC246" s="85">
        <v>3.0</v>
      </c>
      <c r="AD246" s="94">
        <v>0.0</v>
      </c>
      <c r="AE246" s="94">
        <v>0.0</v>
      </c>
      <c r="AF246" s="94">
        <v>0.0</v>
      </c>
      <c r="AG246" s="94">
        <v>0.0</v>
      </c>
      <c r="AH246" s="94">
        <v>0.0</v>
      </c>
    </row>
    <row r="247" hidden="1">
      <c r="A247" s="83" t="s">
        <v>28</v>
      </c>
      <c r="B247" s="84" t="s">
        <v>180</v>
      </c>
      <c r="C247" s="85">
        <v>1.0</v>
      </c>
      <c r="D247" s="94">
        <v>0.0</v>
      </c>
      <c r="E247" s="86">
        <v>46.0</v>
      </c>
      <c r="F247" s="94">
        <v>0.0</v>
      </c>
      <c r="G247" s="85">
        <v>149.0</v>
      </c>
      <c r="H247" s="94">
        <v>0.0</v>
      </c>
      <c r="I247" s="85">
        <v>131.0</v>
      </c>
      <c r="J247" s="95">
        <f t="shared" si="179"/>
        <v>18</v>
      </c>
      <c r="K247" s="87">
        <f t="shared" si="180"/>
        <v>1.13740458</v>
      </c>
      <c r="L247" s="85">
        <v>17.0</v>
      </c>
      <c r="M247" s="85">
        <v>186.0</v>
      </c>
      <c r="N247" s="85">
        <v>1.0</v>
      </c>
      <c r="O247" s="110">
        <f t="shared" si="187"/>
        <v>46</v>
      </c>
      <c r="P247" s="85">
        <v>7.0</v>
      </c>
      <c r="Q247" s="85">
        <v>4.0</v>
      </c>
      <c r="R247" s="85">
        <v>14.0</v>
      </c>
      <c r="S247" s="85">
        <v>1.0</v>
      </c>
      <c r="T247" s="85">
        <v>15.0</v>
      </c>
      <c r="U247" s="85">
        <v>2.0</v>
      </c>
      <c r="V247" s="94">
        <v>0.0</v>
      </c>
      <c r="W247" s="94">
        <v>0.0</v>
      </c>
      <c r="X247" s="94">
        <v>0.0</v>
      </c>
      <c r="Y247" s="94">
        <v>0.0</v>
      </c>
      <c r="Z247" s="94">
        <v>0.0</v>
      </c>
      <c r="AA247" s="94">
        <v>0.0</v>
      </c>
      <c r="AB247" s="94">
        <v>0.0</v>
      </c>
      <c r="AC247" s="85">
        <v>5.0</v>
      </c>
      <c r="AD247" s="94">
        <v>0.0</v>
      </c>
      <c r="AE247" s="94">
        <v>0.0</v>
      </c>
      <c r="AF247" s="94">
        <v>0.0</v>
      </c>
      <c r="AG247" s="94">
        <v>0.0</v>
      </c>
      <c r="AH247" s="94">
        <v>0.0</v>
      </c>
    </row>
    <row r="248" hidden="1">
      <c r="A248" s="83" t="s">
        <v>28</v>
      </c>
      <c r="B248" s="84" t="s">
        <v>181</v>
      </c>
      <c r="C248" s="85">
        <v>1.0</v>
      </c>
      <c r="D248" s="94">
        <v>0.0</v>
      </c>
      <c r="E248" s="86">
        <v>46.0</v>
      </c>
      <c r="F248" s="85">
        <v>1.0</v>
      </c>
      <c r="G248" s="85">
        <v>153.0</v>
      </c>
      <c r="H248" s="94">
        <v>0.0</v>
      </c>
      <c r="I248" s="85">
        <v>147.0</v>
      </c>
      <c r="J248" s="95">
        <f t="shared" si="179"/>
        <v>6</v>
      </c>
      <c r="K248" s="87">
        <f t="shared" si="180"/>
        <v>1.040816327</v>
      </c>
      <c r="L248" s="85">
        <v>15.0</v>
      </c>
      <c r="M248" s="85">
        <v>187.0</v>
      </c>
      <c r="N248" s="85">
        <v>1.0</v>
      </c>
      <c r="O248" s="110">
        <f t="shared" si="187"/>
        <v>46</v>
      </c>
      <c r="P248" s="85">
        <v>7.0</v>
      </c>
      <c r="Q248" s="85">
        <v>2.0</v>
      </c>
      <c r="R248" s="85">
        <v>5.0</v>
      </c>
      <c r="S248" s="85">
        <v>3.0</v>
      </c>
      <c r="T248" s="85">
        <v>19.0</v>
      </c>
      <c r="U248" s="85">
        <v>4.0</v>
      </c>
      <c r="V248" s="94">
        <v>0.0</v>
      </c>
      <c r="W248" s="94">
        <v>0.0</v>
      </c>
      <c r="X248" s="94">
        <v>0.0</v>
      </c>
      <c r="Y248" s="94">
        <v>0.0</v>
      </c>
      <c r="Z248" s="94">
        <v>0.0</v>
      </c>
      <c r="AA248" s="94">
        <v>0.0</v>
      </c>
      <c r="AB248" s="94">
        <v>0.0</v>
      </c>
      <c r="AC248" s="85">
        <v>1.0</v>
      </c>
      <c r="AD248" s="94">
        <v>0.0</v>
      </c>
      <c r="AE248" s="94">
        <v>0.0</v>
      </c>
      <c r="AF248" s="94">
        <v>0.0</v>
      </c>
      <c r="AG248" s="94">
        <v>0.0</v>
      </c>
      <c r="AH248" s="94">
        <v>0.0</v>
      </c>
    </row>
    <row r="249" hidden="1">
      <c r="A249" s="83" t="s">
        <v>28</v>
      </c>
      <c r="B249" s="84" t="s">
        <v>182</v>
      </c>
      <c r="C249" s="85">
        <v>1.0</v>
      </c>
      <c r="D249" s="94">
        <v>0.0</v>
      </c>
      <c r="E249" s="86">
        <v>46.0</v>
      </c>
      <c r="F249" s="85">
        <v>2.0</v>
      </c>
      <c r="G249" s="85">
        <v>98.0</v>
      </c>
      <c r="H249" s="94">
        <v>0.0</v>
      </c>
      <c r="I249" s="85">
        <v>113.0</v>
      </c>
      <c r="J249" s="95">
        <f t="shared" si="179"/>
        <v>-15</v>
      </c>
      <c r="K249" s="87">
        <f t="shared" si="180"/>
        <v>0.8672566372</v>
      </c>
      <c r="L249" s="85">
        <v>21.0</v>
      </c>
      <c r="M249" s="85">
        <v>129.0</v>
      </c>
      <c r="N249" s="85">
        <v>1.0</v>
      </c>
      <c r="O249" s="110">
        <f t="shared" si="187"/>
        <v>46</v>
      </c>
      <c r="P249" s="85">
        <v>5.0</v>
      </c>
      <c r="Q249" s="85">
        <v>1.0</v>
      </c>
      <c r="R249" s="85">
        <v>4.0</v>
      </c>
      <c r="S249" s="85">
        <v>3.0</v>
      </c>
      <c r="T249" s="85">
        <v>11.0</v>
      </c>
      <c r="U249" s="85">
        <v>2.0</v>
      </c>
      <c r="V249" s="94">
        <v>0.0</v>
      </c>
      <c r="W249" s="94">
        <v>0.0</v>
      </c>
      <c r="X249" s="94">
        <v>0.0</v>
      </c>
      <c r="Y249" s="94">
        <v>0.0</v>
      </c>
      <c r="Z249" s="94">
        <v>0.0</v>
      </c>
      <c r="AA249" s="94">
        <v>0.0</v>
      </c>
      <c r="AB249" s="94">
        <v>0.0</v>
      </c>
      <c r="AC249" s="85">
        <v>4.0</v>
      </c>
      <c r="AD249" s="94">
        <v>0.0</v>
      </c>
      <c r="AE249" s="94">
        <v>0.0</v>
      </c>
      <c r="AF249" s="94">
        <v>0.0</v>
      </c>
      <c r="AG249" s="94">
        <v>0.0</v>
      </c>
      <c r="AH249" s="94">
        <v>0.0</v>
      </c>
    </row>
    <row r="250" hidden="1">
      <c r="A250" s="83" t="s">
        <v>28</v>
      </c>
      <c r="B250" s="84" t="s">
        <v>183</v>
      </c>
      <c r="C250" s="94">
        <v>0.0</v>
      </c>
      <c r="D250" s="94">
        <v>0.0</v>
      </c>
      <c r="E250" s="96">
        <f t="shared" ref="E250:E251" si="188">SUM(L250*I250)/60</f>
        <v>0</v>
      </c>
      <c r="F250" s="94">
        <v>0.0</v>
      </c>
      <c r="G250" s="94">
        <v>0.0</v>
      </c>
      <c r="H250" s="94">
        <v>0.0</v>
      </c>
      <c r="I250" s="94">
        <v>0.0</v>
      </c>
      <c r="J250" s="95">
        <f t="shared" si="179"/>
        <v>0</v>
      </c>
      <c r="K250" s="87" t="str">
        <f t="shared" si="180"/>
        <v>#DIV/0!</v>
      </c>
      <c r="L250" s="94">
        <v>0.0</v>
      </c>
      <c r="M250" s="94">
        <v>0.0</v>
      </c>
      <c r="N250" s="85">
        <v>0.0</v>
      </c>
      <c r="O250" s="110">
        <f t="shared" si="187"/>
        <v>0</v>
      </c>
      <c r="P250" s="94">
        <v>0.0</v>
      </c>
      <c r="Q250" s="94">
        <v>0.0</v>
      </c>
      <c r="R250" s="94">
        <v>0.0</v>
      </c>
      <c r="S250" s="94">
        <v>0.0</v>
      </c>
      <c r="T250" s="94">
        <v>0.0</v>
      </c>
      <c r="U250" s="94">
        <v>0.0</v>
      </c>
      <c r="V250" s="94">
        <v>0.0</v>
      </c>
      <c r="W250" s="94">
        <v>0.0</v>
      </c>
      <c r="X250" s="94">
        <v>0.0</v>
      </c>
      <c r="Y250" s="94">
        <v>0.0</v>
      </c>
      <c r="Z250" s="94">
        <v>0.0</v>
      </c>
      <c r="AA250" s="94">
        <v>0.0</v>
      </c>
      <c r="AB250" s="94">
        <v>0.0</v>
      </c>
      <c r="AC250" s="94">
        <v>0.0</v>
      </c>
      <c r="AD250" s="94">
        <v>0.0</v>
      </c>
      <c r="AE250" s="94">
        <v>0.0</v>
      </c>
      <c r="AF250" s="94">
        <v>0.0</v>
      </c>
      <c r="AG250" s="94">
        <v>0.0</v>
      </c>
      <c r="AH250" s="94">
        <v>0.0</v>
      </c>
    </row>
    <row r="251" hidden="1">
      <c r="A251" s="83" t="s">
        <v>28</v>
      </c>
      <c r="B251" s="84" t="s">
        <v>184</v>
      </c>
      <c r="C251" s="94">
        <v>0.0</v>
      </c>
      <c r="D251" s="94">
        <v>0.0</v>
      </c>
      <c r="E251" s="96">
        <f t="shared" si="188"/>
        <v>0</v>
      </c>
      <c r="F251" s="94">
        <v>0.0</v>
      </c>
      <c r="G251" s="94">
        <v>0.0</v>
      </c>
      <c r="H251" s="94">
        <v>0.0</v>
      </c>
      <c r="I251" s="94">
        <v>0.0</v>
      </c>
      <c r="J251" s="95">
        <f t="shared" si="179"/>
        <v>0</v>
      </c>
      <c r="K251" s="87" t="str">
        <f t="shared" si="180"/>
        <v>#DIV/0!</v>
      </c>
      <c r="L251" s="94">
        <v>0.0</v>
      </c>
      <c r="M251" s="94">
        <v>0.0</v>
      </c>
      <c r="N251" s="85">
        <v>0.0</v>
      </c>
      <c r="O251" s="110">
        <f t="shared" si="187"/>
        <v>0</v>
      </c>
      <c r="P251" s="94">
        <v>0.0</v>
      </c>
      <c r="Q251" s="94">
        <v>0.0</v>
      </c>
      <c r="R251" s="94">
        <v>0.0</v>
      </c>
      <c r="S251" s="94">
        <v>0.0</v>
      </c>
      <c r="T251" s="94">
        <v>0.0</v>
      </c>
      <c r="U251" s="94">
        <v>0.0</v>
      </c>
      <c r="V251" s="94">
        <v>0.0</v>
      </c>
      <c r="W251" s="94">
        <v>0.0</v>
      </c>
      <c r="X251" s="94">
        <v>0.0</v>
      </c>
      <c r="Y251" s="94">
        <v>0.0</v>
      </c>
      <c r="Z251" s="94">
        <v>0.0</v>
      </c>
      <c r="AA251" s="94">
        <v>0.0</v>
      </c>
      <c r="AB251" s="94">
        <v>0.0</v>
      </c>
      <c r="AC251" s="94">
        <v>0.0</v>
      </c>
      <c r="AD251" s="94">
        <v>0.0</v>
      </c>
      <c r="AE251" s="94">
        <v>0.0</v>
      </c>
      <c r="AF251" s="94">
        <v>0.0</v>
      </c>
      <c r="AG251" s="94">
        <v>0.0</v>
      </c>
      <c r="AH251" s="94">
        <v>0.0</v>
      </c>
    </row>
    <row r="252" hidden="1">
      <c r="A252" s="89" t="s">
        <v>185</v>
      </c>
      <c r="B252" s="111"/>
      <c r="C252" s="111">
        <f>SUM(C246:C251)</f>
        <v>4</v>
      </c>
      <c r="D252" s="111">
        <f t="shared" ref="D252:E252" si="189">SUM(D246:D251)/4</f>
        <v>0</v>
      </c>
      <c r="E252" s="91">
        <f t="shared" si="189"/>
        <v>46</v>
      </c>
      <c r="F252" s="111">
        <f t="shared" ref="F252:G252" si="190">SUM(F246:F251)</f>
        <v>3</v>
      </c>
      <c r="G252" s="111">
        <f t="shared" si="190"/>
        <v>530</v>
      </c>
      <c r="H252" s="111"/>
      <c r="I252" s="111">
        <f>SUM(I246:I251)</f>
        <v>524</v>
      </c>
      <c r="J252" s="111">
        <f t="shared" si="179"/>
        <v>6</v>
      </c>
      <c r="K252" s="92">
        <f t="shared" si="180"/>
        <v>1.011450382</v>
      </c>
      <c r="L252" s="111">
        <f t="shared" ref="L252:M252" si="191">SUM(L246:L251)</f>
        <v>70</v>
      </c>
      <c r="M252" s="111">
        <f t="shared" si="191"/>
        <v>649</v>
      </c>
      <c r="N252" s="111"/>
      <c r="O252" s="112"/>
      <c r="P252" s="111">
        <f t="shared" ref="P252:AH252" si="192">SUM(P246:P251)</f>
        <v>21</v>
      </c>
      <c r="Q252" s="111">
        <f t="shared" si="192"/>
        <v>7</v>
      </c>
      <c r="R252" s="111">
        <f t="shared" si="192"/>
        <v>28</v>
      </c>
      <c r="S252" s="111">
        <f t="shared" si="192"/>
        <v>8</v>
      </c>
      <c r="T252" s="111">
        <f t="shared" si="192"/>
        <v>60</v>
      </c>
      <c r="U252" s="111">
        <f t="shared" si="192"/>
        <v>8</v>
      </c>
      <c r="V252" s="111">
        <f t="shared" si="192"/>
        <v>0</v>
      </c>
      <c r="W252" s="111">
        <f t="shared" si="192"/>
        <v>0</v>
      </c>
      <c r="X252" s="111">
        <f t="shared" si="192"/>
        <v>0</v>
      </c>
      <c r="Y252" s="111">
        <f t="shared" si="192"/>
        <v>0</v>
      </c>
      <c r="Z252" s="111">
        <f t="shared" si="192"/>
        <v>0</v>
      </c>
      <c r="AA252" s="111">
        <f t="shared" si="192"/>
        <v>0</v>
      </c>
      <c r="AB252" s="111">
        <f t="shared" si="192"/>
        <v>0</v>
      </c>
      <c r="AC252" s="111">
        <f t="shared" si="192"/>
        <v>13</v>
      </c>
      <c r="AD252" s="111">
        <f t="shared" si="192"/>
        <v>0</v>
      </c>
      <c r="AE252" s="111">
        <f t="shared" si="192"/>
        <v>0</v>
      </c>
      <c r="AF252" s="111">
        <f t="shared" si="192"/>
        <v>0</v>
      </c>
      <c r="AG252" s="111">
        <f t="shared" si="192"/>
        <v>0</v>
      </c>
      <c r="AH252" s="111">
        <f t="shared" si="192"/>
        <v>0</v>
      </c>
    </row>
    <row r="253">
      <c r="A253" s="104" t="s">
        <v>269</v>
      </c>
    </row>
    <row r="255" hidden="1">
      <c r="A255" s="105"/>
      <c r="F255" s="106" t="s">
        <v>251</v>
      </c>
      <c r="L255" s="107" t="s">
        <v>252</v>
      </c>
      <c r="N255" s="108" t="s">
        <v>253</v>
      </c>
    </row>
    <row r="256" hidden="1">
      <c r="A256" s="76" t="s">
        <v>148</v>
      </c>
      <c r="B256" s="76" t="s">
        <v>149</v>
      </c>
      <c r="C256" s="76" t="s">
        <v>150</v>
      </c>
      <c r="D256" s="76" t="s">
        <v>13</v>
      </c>
      <c r="E256" s="77" t="s">
        <v>151</v>
      </c>
      <c r="F256" s="78" t="s">
        <v>15</v>
      </c>
      <c r="G256" s="78" t="s">
        <v>152</v>
      </c>
      <c r="H256" s="78" t="s">
        <v>153</v>
      </c>
      <c r="I256" s="78" t="s">
        <v>154</v>
      </c>
      <c r="J256" s="78" t="s">
        <v>155</v>
      </c>
      <c r="K256" s="79" t="s">
        <v>156</v>
      </c>
      <c r="L256" s="80" t="s">
        <v>157</v>
      </c>
      <c r="M256" s="80" t="s">
        <v>158</v>
      </c>
      <c r="N256" s="81" t="s">
        <v>254</v>
      </c>
      <c r="O256" s="81" t="s">
        <v>151</v>
      </c>
      <c r="P256" s="81" t="s">
        <v>160</v>
      </c>
      <c r="Q256" s="81" t="s">
        <v>161</v>
      </c>
      <c r="R256" s="81" t="s">
        <v>162</v>
      </c>
      <c r="S256" s="81" t="s">
        <v>163</v>
      </c>
      <c r="T256" s="81" t="s">
        <v>164</v>
      </c>
      <c r="U256" s="81" t="s">
        <v>165</v>
      </c>
      <c r="V256" s="81" t="s">
        <v>166</v>
      </c>
      <c r="W256" s="81" t="s">
        <v>167</v>
      </c>
      <c r="X256" s="81" t="s">
        <v>168</v>
      </c>
      <c r="Y256" s="81" t="s">
        <v>169</v>
      </c>
      <c r="Z256" s="81" t="s">
        <v>170</v>
      </c>
      <c r="AA256" s="81" t="s">
        <v>171</v>
      </c>
      <c r="AB256" s="81" t="s">
        <v>172</v>
      </c>
      <c r="AC256" s="81" t="s">
        <v>173</v>
      </c>
      <c r="AD256" s="81" t="s">
        <v>174</v>
      </c>
      <c r="AE256" s="81" t="s">
        <v>175</v>
      </c>
      <c r="AF256" s="81" t="s">
        <v>176</v>
      </c>
      <c r="AG256" s="81" t="s">
        <v>177</v>
      </c>
      <c r="AH256" s="81" t="s">
        <v>178</v>
      </c>
    </row>
    <row r="257" hidden="1">
      <c r="A257" s="83" t="s">
        <v>28</v>
      </c>
      <c r="B257" s="84" t="s">
        <v>179</v>
      </c>
      <c r="C257" s="85">
        <v>1.0</v>
      </c>
      <c r="D257" s="94">
        <v>0.0</v>
      </c>
      <c r="E257" s="96">
        <f t="shared" ref="E257:E262" si="193">SUM(L257*I257)/60</f>
        <v>0</v>
      </c>
      <c r="F257" s="94">
        <v>0.0</v>
      </c>
      <c r="G257" s="85">
        <v>50.0</v>
      </c>
      <c r="H257" s="85">
        <v>1.0</v>
      </c>
      <c r="I257" s="85">
        <v>75.0</v>
      </c>
      <c r="J257" s="95">
        <f t="shared" ref="J257:J270" si="194">SUM(G257-I257)</f>
        <v>-25</v>
      </c>
      <c r="K257" s="87">
        <f t="shared" ref="K257:K270" si="195">SUM(G257/I257)</f>
        <v>0.6666666667</v>
      </c>
      <c r="L257" s="94">
        <v>0.0</v>
      </c>
      <c r="M257" s="94">
        <v>0.0</v>
      </c>
      <c r="N257" s="85">
        <v>0.0</v>
      </c>
      <c r="O257" s="110">
        <f t="shared" ref="O257:O262" si="196">(E257*N257)</f>
        <v>0</v>
      </c>
      <c r="P257" s="94">
        <v>0.0</v>
      </c>
      <c r="Q257" s="94">
        <v>0.0</v>
      </c>
      <c r="R257" s="94">
        <v>0.0</v>
      </c>
      <c r="S257" s="94">
        <v>0.0</v>
      </c>
      <c r="T257" s="94">
        <v>0.0</v>
      </c>
      <c r="U257" s="94">
        <v>0.0</v>
      </c>
      <c r="V257" s="94">
        <v>0.0</v>
      </c>
      <c r="W257" s="94">
        <v>0.0</v>
      </c>
      <c r="X257" s="94">
        <v>0.0</v>
      </c>
      <c r="Y257" s="94">
        <v>0.0</v>
      </c>
      <c r="Z257" s="94">
        <v>0.0</v>
      </c>
      <c r="AA257" s="94">
        <v>0.0</v>
      </c>
      <c r="AB257" s="94">
        <v>0.0</v>
      </c>
      <c r="AC257" s="94">
        <v>0.0</v>
      </c>
      <c r="AD257" s="94">
        <v>0.0</v>
      </c>
      <c r="AE257" s="94">
        <v>0.0</v>
      </c>
      <c r="AF257" s="94">
        <v>0.0</v>
      </c>
      <c r="AG257" s="94">
        <v>0.0</v>
      </c>
      <c r="AH257" s="94">
        <v>0.0</v>
      </c>
    </row>
    <row r="258" hidden="1">
      <c r="A258" s="83" t="s">
        <v>28</v>
      </c>
      <c r="B258" s="84" t="s">
        <v>180</v>
      </c>
      <c r="C258" s="85">
        <v>1.0</v>
      </c>
      <c r="D258" s="94">
        <v>0.0</v>
      </c>
      <c r="E258" s="96">
        <f t="shared" si="193"/>
        <v>0</v>
      </c>
      <c r="F258" s="94">
        <v>0.0</v>
      </c>
      <c r="G258" s="85">
        <v>72.0</v>
      </c>
      <c r="H258" s="94">
        <v>0.0</v>
      </c>
      <c r="I258" s="85">
        <v>56.0</v>
      </c>
      <c r="J258" s="95">
        <f t="shared" si="194"/>
        <v>16</v>
      </c>
      <c r="K258" s="87">
        <f t="shared" si="195"/>
        <v>1.285714286</v>
      </c>
      <c r="L258" s="94">
        <v>0.0</v>
      </c>
      <c r="M258" s="94">
        <v>0.0</v>
      </c>
      <c r="N258" s="85">
        <v>0.0</v>
      </c>
      <c r="O258" s="110">
        <f t="shared" si="196"/>
        <v>0</v>
      </c>
      <c r="P258" s="94">
        <v>0.0</v>
      </c>
      <c r="Q258" s="94">
        <v>0.0</v>
      </c>
      <c r="R258" s="94">
        <v>0.0</v>
      </c>
      <c r="S258" s="94">
        <v>0.0</v>
      </c>
      <c r="T258" s="94">
        <v>0.0</v>
      </c>
      <c r="U258" s="94">
        <v>0.0</v>
      </c>
      <c r="V258" s="94">
        <v>0.0</v>
      </c>
      <c r="W258" s="94">
        <v>0.0</v>
      </c>
      <c r="X258" s="94">
        <v>0.0</v>
      </c>
      <c r="Y258" s="94">
        <v>0.0</v>
      </c>
      <c r="Z258" s="94">
        <v>0.0</v>
      </c>
      <c r="AA258" s="94">
        <v>0.0</v>
      </c>
      <c r="AB258" s="94">
        <v>0.0</v>
      </c>
      <c r="AC258" s="94">
        <v>0.0</v>
      </c>
      <c r="AD258" s="94">
        <v>0.0</v>
      </c>
      <c r="AE258" s="94">
        <v>0.0</v>
      </c>
      <c r="AF258" s="94">
        <v>0.0</v>
      </c>
      <c r="AG258" s="94">
        <v>0.0</v>
      </c>
      <c r="AH258" s="94">
        <v>0.0</v>
      </c>
    </row>
    <row r="259" hidden="1">
      <c r="A259" s="83" t="s">
        <v>28</v>
      </c>
      <c r="B259" s="84" t="s">
        <v>181</v>
      </c>
      <c r="C259" s="85">
        <v>1.0</v>
      </c>
      <c r="D259" s="94">
        <v>0.0</v>
      </c>
      <c r="E259" s="96">
        <f t="shared" si="193"/>
        <v>0</v>
      </c>
      <c r="F259" s="94">
        <v>0.0</v>
      </c>
      <c r="G259" s="85">
        <v>56.0</v>
      </c>
      <c r="H259" s="94">
        <v>0.0</v>
      </c>
      <c r="I259" s="85">
        <v>66.0</v>
      </c>
      <c r="J259" s="95">
        <f t="shared" si="194"/>
        <v>-10</v>
      </c>
      <c r="K259" s="87">
        <f t="shared" si="195"/>
        <v>0.8484848485</v>
      </c>
      <c r="L259" s="94">
        <v>0.0</v>
      </c>
      <c r="M259" s="94">
        <v>0.0</v>
      </c>
      <c r="N259" s="85">
        <v>0.0</v>
      </c>
      <c r="O259" s="110">
        <f t="shared" si="196"/>
        <v>0</v>
      </c>
      <c r="P259" s="94">
        <v>0.0</v>
      </c>
      <c r="Q259" s="94">
        <v>0.0</v>
      </c>
      <c r="R259" s="94">
        <v>0.0</v>
      </c>
      <c r="S259" s="94">
        <v>0.0</v>
      </c>
      <c r="T259" s="94">
        <v>0.0</v>
      </c>
      <c r="U259" s="94">
        <v>0.0</v>
      </c>
      <c r="V259" s="94">
        <v>0.0</v>
      </c>
      <c r="W259" s="94">
        <v>0.0</v>
      </c>
      <c r="X259" s="94">
        <v>0.0</v>
      </c>
      <c r="Y259" s="94">
        <v>0.0</v>
      </c>
      <c r="Z259" s="94">
        <v>0.0</v>
      </c>
      <c r="AA259" s="94">
        <v>0.0</v>
      </c>
      <c r="AB259" s="94">
        <v>0.0</v>
      </c>
      <c r="AC259" s="94">
        <v>0.0</v>
      </c>
      <c r="AD259" s="94">
        <v>0.0</v>
      </c>
      <c r="AE259" s="94">
        <v>0.0</v>
      </c>
      <c r="AF259" s="94">
        <v>0.0</v>
      </c>
      <c r="AG259" s="94">
        <v>0.0</v>
      </c>
      <c r="AH259" s="94">
        <v>0.0</v>
      </c>
    </row>
    <row r="260" hidden="1">
      <c r="A260" s="83" t="s">
        <v>28</v>
      </c>
      <c r="B260" s="84" t="s">
        <v>182</v>
      </c>
      <c r="C260" s="85">
        <v>1.0</v>
      </c>
      <c r="D260" s="94">
        <v>0.0</v>
      </c>
      <c r="E260" s="96">
        <f t="shared" si="193"/>
        <v>0</v>
      </c>
      <c r="F260" s="85">
        <v>1.0</v>
      </c>
      <c r="G260" s="85">
        <v>41.0</v>
      </c>
      <c r="H260" s="94">
        <v>0.0</v>
      </c>
      <c r="I260" s="85">
        <v>54.0</v>
      </c>
      <c r="J260" s="95">
        <f t="shared" si="194"/>
        <v>-13</v>
      </c>
      <c r="K260" s="87">
        <f t="shared" si="195"/>
        <v>0.7592592593</v>
      </c>
      <c r="L260" s="94">
        <v>0.0</v>
      </c>
      <c r="M260" s="94">
        <v>0.0</v>
      </c>
      <c r="N260" s="85">
        <v>0.0</v>
      </c>
      <c r="O260" s="110">
        <f t="shared" si="196"/>
        <v>0</v>
      </c>
      <c r="P260" s="94">
        <v>0.0</v>
      </c>
      <c r="Q260" s="94">
        <v>0.0</v>
      </c>
      <c r="R260" s="94">
        <v>0.0</v>
      </c>
      <c r="S260" s="94">
        <v>0.0</v>
      </c>
      <c r="T260" s="94">
        <v>0.0</v>
      </c>
      <c r="U260" s="94">
        <v>0.0</v>
      </c>
      <c r="V260" s="94">
        <v>0.0</v>
      </c>
      <c r="W260" s="94">
        <v>0.0</v>
      </c>
      <c r="X260" s="94">
        <v>0.0</v>
      </c>
      <c r="Y260" s="94">
        <v>0.0</v>
      </c>
      <c r="Z260" s="94">
        <v>0.0</v>
      </c>
      <c r="AA260" s="94">
        <v>0.0</v>
      </c>
      <c r="AB260" s="94">
        <v>0.0</v>
      </c>
      <c r="AC260" s="94">
        <v>0.0</v>
      </c>
      <c r="AD260" s="94">
        <v>0.0</v>
      </c>
      <c r="AE260" s="94">
        <v>0.0</v>
      </c>
      <c r="AF260" s="94">
        <v>0.0</v>
      </c>
      <c r="AG260" s="94">
        <v>0.0</v>
      </c>
      <c r="AH260" s="94">
        <v>0.0</v>
      </c>
    </row>
    <row r="261" hidden="1">
      <c r="A261" s="83" t="s">
        <v>28</v>
      </c>
      <c r="B261" s="84" t="s">
        <v>183</v>
      </c>
      <c r="C261" s="94">
        <v>0.0</v>
      </c>
      <c r="D261" s="94">
        <v>0.0</v>
      </c>
      <c r="E261" s="96">
        <f t="shared" si="193"/>
        <v>0</v>
      </c>
      <c r="F261" s="94">
        <v>0.0</v>
      </c>
      <c r="G261" s="94">
        <v>0.0</v>
      </c>
      <c r="H261" s="94">
        <v>0.0</v>
      </c>
      <c r="I261" s="94">
        <v>0.0</v>
      </c>
      <c r="J261" s="95">
        <f t="shared" si="194"/>
        <v>0</v>
      </c>
      <c r="K261" s="87" t="str">
        <f t="shared" si="195"/>
        <v>#DIV/0!</v>
      </c>
      <c r="L261" s="94">
        <v>0.0</v>
      </c>
      <c r="M261" s="94">
        <v>0.0</v>
      </c>
      <c r="N261" s="85">
        <v>0.0</v>
      </c>
      <c r="O261" s="110">
        <f t="shared" si="196"/>
        <v>0</v>
      </c>
      <c r="P261" s="94">
        <v>0.0</v>
      </c>
      <c r="Q261" s="94">
        <v>0.0</v>
      </c>
      <c r="R261" s="94">
        <v>0.0</v>
      </c>
      <c r="S261" s="94">
        <v>0.0</v>
      </c>
      <c r="T261" s="94">
        <v>0.0</v>
      </c>
      <c r="U261" s="94">
        <v>0.0</v>
      </c>
      <c r="V261" s="94">
        <v>0.0</v>
      </c>
      <c r="W261" s="94">
        <v>0.0</v>
      </c>
      <c r="X261" s="94">
        <v>0.0</v>
      </c>
      <c r="Y261" s="94">
        <v>0.0</v>
      </c>
      <c r="Z261" s="94">
        <v>0.0</v>
      </c>
      <c r="AA261" s="94">
        <v>0.0</v>
      </c>
      <c r="AB261" s="94">
        <v>0.0</v>
      </c>
      <c r="AC261" s="94">
        <v>0.0</v>
      </c>
      <c r="AD261" s="94">
        <v>0.0</v>
      </c>
      <c r="AE261" s="94">
        <v>0.0</v>
      </c>
      <c r="AF261" s="94">
        <v>0.0</v>
      </c>
      <c r="AG261" s="94">
        <v>0.0</v>
      </c>
      <c r="AH261" s="94">
        <v>0.0</v>
      </c>
    </row>
    <row r="262" hidden="1">
      <c r="A262" s="83" t="s">
        <v>28</v>
      </c>
      <c r="B262" s="84" t="s">
        <v>184</v>
      </c>
      <c r="C262" s="94">
        <v>0.0</v>
      </c>
      <c r="D262" s="94">
        <v>0.0</v>
      </c>
      <c r="E262" s="96">
        <f t="shared" si="193"/>
        <v>0</v>
      </c>
      <c r="F262" s="94">
        <v>0.0</v>
      </c>
      <c r="G262" s="94">
        <v>0.0</v>
      </c>
      <c r="H262" s="94">
        <v>0.0</v>
      </c>
      <c r="I262" s="94">
        <v>0.0</v>
      </c>
      <c r="J262" s="95">
        <f t="shared" si="194"/>
        <v>0</v>
      </c>
      <c r="K262" s="87" t="str">
        <f t="shared" si="195"/>
        <v>#DIV/0!</v>
      </c>
      <c r="L262" s="94">
        <v>0.0</v>
      </c>
      <c r="M262" s="94">
        <v>0.0</v>
      </c>
      <c r="N262" s="85">
        <v>0.0</v>
      </c>
      <c r="O262" s="110">
        <f t="shared" si="196"/>
        <v>0</v>
      </c>
      <c r="P262" s="94">
        <v>0.0</v>
      </c>
      <c r="Q262" s="94">
        <v>0.0</v>
      </c>
      <c r="R262" s="94">
        <v>0.0</v>
      </c>
      <c r="S262" s="94">
        <v>0.0</v>
      </c>
      <c r="T262" s="94">
        <v>0.0</v>
      </c>
      <c r="U262" s="94">
        <v>0.0</v>
      </c>
      <c r="V262" s="94">
        <v>0.0</v>
      </c>
      <c r="W262" s="94">
        <v>0.0</v>
      </c>
      <c r="X262" s="94">
        <v>0.0</v>
      </c>
      <c r="Y262" s="94">
        <v>0.0</v>
      </c>
      <c r="Z262" s="94">
        <v>0.0</v>
      </c>
      <c r="AA262" s="94">
        <v>0.0</v>
      </c>
      <c r="AB262" s="94">
        <v>0.0</v>
      </c>
      <c r="AC262" s="94">
        <v>0.0</v>
      </c>
      <c r="AD262" s="94">
        <v>0.0</v>
      </c>
      <c r="AE262" s="94">
        <v>0.0</v>
      </c>
      <c r="AF262" s="94">
        <v>0.0</v>
      </c>
      <c r="AG262" s="94">
        <v>0.0</v>
      </c>
      <c r="AH262" s="94">
        <v>0.0</v>
      </c>
    </row>
    <row r="263" hidden="1">
      <c r="A263" s="89"/>
      <c r="B263" s="111"/>
      <c r="C263" s="111">
        <f t="shared" ref="C263:D263" si="197">SUM(C257:C262)/4</f>
        <v>1</v>
      </c>
      <c r="D263" s="111">
        <f t="shared" si="197"/>
        <v>0</v>
      </c>
      <c r="E263" s="91">
        <f t="shared" ref="E263:G263" si="198">SUM(E257:E262)</f>
        <v>0</v>
      </c>
      <c r="F263" s="111">
        <f t="shared" si="198"/>
        <v>1</v>
      </c>
      <c r="G263" s="111">
        <f t="shared" si="198"/>
        <v>219</v>
      </c>
      <c r="H263" s="111"/>
      <c r="I263" s="111">
        <f>SUM(I257:I262)</f>
        <v>251</v>
      </c>
      <c r="J263" s="111">
        <f t="shared" si="194"/>
        <v>-32</v>
      </c>
      <c r="K263" s="92">
        <f t="shared" si="195"/>
        <v>0.8725099602</v>
      </c>
      <c r="L263" s="111">
        <f t="shared" ref="L263:M263" si="199">SUM(L257:L262)</f>
        <v>0</v>
      </c>
      <c r="M263" s="111">
        <f t="shared" si="199"/>
        <v>0</v>
      </c>
      <c r="N263" s="111"/>
      <c r="O263" s="112"/>
      <c r="P263" s="111">
        <f t="shared" ref="P263:AH263" si="200">SUM(P257:P262)</f>
        <v>0</v>
      </c>
      <c r="Q263" s="111">
        <f t="shared" si="200"/>
        <v>0</v>
      </c>
      <c r="R263" s="111">
        <f t="shared" si="200"/>
        <v>0</v>
      </c>
      <c r="S263" s="111">
        <f t="shared" si="200"/>
        <v>0</v>
      </c>
      <c r="T263" s="111">
        <f t="shared" si="200"/>
        <v>0</v>
      </c>
      <c r="U263" s="111">
        <f t="shared" si="200"/>
        <v>0</v>
      </c>
      <c r="V263" s="111">
        <f t="shared" si="200"/>
        <v>0</v>
      </c>
      <c r="W263" s="111">
        <f t="shared" si="200"/>
        <v>0</v>
      </c>
      <c r="X263" s="111">
        <f t="shared" si="200"/>
        <v>0</v>
      </c>
      <c r="Y263" s="111">
        <f t="shared" si="200"/>
        <v>0</v>
      </c>
      <c r="Z263" s="111">
        <f t="shared" si="200"/>
        <v>0</v>
      </c>
      <c r="AA263" s="111">
        <f t="shared" si="200"/>
        <v>0</v>
      </c>
      <c r="AB263" s="111">
        <f t="shared" si="200"/>
        <v>0</v>
      </c>
      <c r="AC263" s="111">
        <f t="shared" si="200"/>
        <v>0</v>
      </c>
      <c r="AD263" s="111">
        <f t="shared" si="200"/>
        <v>0</v>
      </c>
      <c r="AE263" s="111">
        <f t="shared" si="200"/>
        <v>0</v>
      </c>
      <c r="AF263" s="111">
        <f t="shared" si="200"/>
        <v>0</v>
      </c>
      <c r="AG263" s="111">
        <f t="shared" si="200"/>
        <v>0</v>
      </c>
      <c r="AH263" s="111">
        <f t="shared" si="200"/>
        <v>0</v>
      </c>
    </row>
    <row r="264" hidden="1">
      <c r="A264" s="83" t="s">
        <v>49</v>
      </c>
      <c r="B264" s="84" t="s">
        <v>198</v>
      </c>
      <c r="C264" s="85">
        <v>1.0</v>
      </c>
      <c r="D264" s="85">
        <v>1.0</v>
      </c>
      <c r="E264" s="96">
        <f t="shared" ref="E264:E269" si="201">SUM(L264*I264)/60</f>
        <v>0</v>
      </c>
      <c r="F264" s="85">
        <v>1.0</v>
      </c>
      <c r="G264" s="85">
        <v>67.0</v>
      </c>
      <c r="H264" s="94">
        <v>0.0</v>
      </c>
      <c r="I264" s="85">
        <v>54.0</v>
      </c>
      <c r="J264" s="95">
        <f t="shared" si="194"/>
        <v>13</v>
      </c>
      <c r="K264" s="87">
        <f t="shared" si="195"/>
        <v>1.240740741</v>
      </c>
      <c r="L264" s="94">
        <v>0.0</v>
      </c>
      <c r="M264" s="94">
        <v>0.0</v>
      </c>
      <c r="N264" s="85">
        <v>0.0</v>
      </c>
      <c r="O264" s="110">
        <f t="shared" ref="O264:O269" si="202">(E264*N264)</f>
        <v>0</v>
      </c>
      <c r="P264" s="94">
        <v>0.0</v>
      </c>
      <c r="Q264" s="94">
        <v>0.0</v>
      </c>
      <c r="R264" s="94">
        <v>0.0</v>
      </c>
      <c r="S264" s="94">
        <v>0.0</v>
      </c>
      <c r="T264" s="94">
        <v>0.0</v>
      </c>
      <c r="U264" s="94">
        <v>0.0</v>
      </c>
      <c r="V264" s="94">
        <v>0.0</v>
      </c>
      <c r="W264" s="94">
        <v>0.0</v>
      </c>
      <c r="X264" s="94">
        <v>0.0</v>
      </c>
      <c r="Y264" s="94">
        <v>0.0</v>
      </c>
      <c r="Z264" s="94">
        <v>0.0</v>
      </c>
      <c r="AA264" s="94">
        <v>0.0</v>
      </c>
      <c r="AB264" s="94">
        <v>0.0</v>
      </c>
      <c r="AC264" s="94">
        <v>0.0</v>
      </c>
      <c r="AD264" s="94">
        <v>0.0</v>
      </c>
      <c r="AE264" s="94">
        <v>0.0</v>
      </c>
      <c r="AF264" s="94">
        <v>0.0</v>
      </c>
      <c r="AG264" s="94">
        <v>0.0</v>
      </c>
      <c r="AH264" s="94">
        <v>0.0</v>
      </c>
    </row>
    <row r="265" hidden="1">
      <c r="A265" s="83" t="s">
        <v>49</v>
      </c>
      <c r="B265" s="84" t="s">
        <v>199</v>
      </c>
      <c r="C265" s="85">
        <v>1.0</v>
      </c>
      <c r="D265" s="85">
        <v>1.0</v>
      </c>
      <c r="E265" s="96">
        <f t="shared" si="201"/>
        <v>0</v>
      </c>
      <c r="F265" s="85">
        <v>1.0</v>
      </c>
      <c r="G265" s="85">
        <v>67.0</v>
      </c>
      <c r="H265" s="85">
        <v>1.0</v>
      </c>
      <c r="I265" s="85">
        <v>52.0</v>
      </c>
      <c r="J265" s="95">
        <f t="shared" si="194"/>
        <v>15</v>
      </c>
      <c r="K265" s="87">
        <f t="shared" si="195"/>
        <v>1.288461538</v>
      </c>
      <c r="L265" s="94">
        <v>0.0</v>
      </c>
      <c r="M265" s="94">
        <v>0.0</v>
      </c>
      <c r="N265" s="85">
        <v>0.0</v>
      </c>
      <c r="O265" s="110">
        <f t="shared" si="202"/>
        <v>0</v>
      </c>
      <c r="P265" s="94">
        <v>0.0</v>
      </c>
      <c r="Q265" s="94">
        <v>0.0</v>
      </c>
      <c r="R265" s="94">
        <v>0.0</v>
      </c>
      <c r="S265" s="94">
        <v>0.0</v>
      </c>
      <c r="T265" s="94">
        <v>0.0</v>
      </c>
      <c r="U265" s="94">
        <v>0.0</v>
      </c>
      <c r="V265" s="94">
        <v>0.0</v>
      </c>
      <c r="W265" s="94">
        <v>0.0</v>
      </c>
      <c r="X265" s="94">
        <v>0.0</v>
      </c>
      <c r="Y265" s="94">
        <v>0.0</v>
      </c>
      <c r="Z265" s="94">
        <v>0.0</v>
      </c>
      <c r="AA265" s="94">
        <v>0.0</v>
      </c>
      <c r="AB265" s="94">
        <v>0.0</v>
      </c>
      <c r="AC265" s="94">
        <v>0.0</v>
      </c>
      <c r="AD265" s="94">
        <v>0.0</v>
      </c>
      <c r="AE265" s="94">
        <v>0.0</v>
      </c>
      <c r="AF265" s="94">
        <v>0.0</v>
      </c>
      <c r="AG265" s="94">
        <v>0.0</v>
      </c>
      <c r="AH265" s="94">
        <v>0.0</v>
      </c>
    </row>
    <row r="266" hidden="1">
      <c r="A266" s="83" t="s">
        <v>49</v>
      </c>
      <c r="B266" s="84" t="s">
        <v>200</v>
      </c>
      <c r="C266" s="85">
        <v>1.0</v>
      </c>
      <c r="D266" s="85">
        <v>1.0</v>
      </c>
      <c r="E266" s="96">
        <f t="shared" si="201"/>
        <v>0</v>
      </c>
      <c r="F266" s="85">
        <v>3.0</v>
      </c>
      <c r="G266" s="85">
        <v>66.0</v>
      </c>
      <c r="H266" s="85">
        <v>1.0</v>
      </c>
      <c r="I266" s="85">
        <v>64.0</v>
      </c>
      <c r="J266" s="95">
        <f t="shared" si="194"/>
        <v>2</v>
      </c>
      <c r="K266" s="87">
        <f t="shared" si="195"/>
        <v>1.03125</v>
      </c>
      <c r="L266" s="94">
        <v>0.0</v>
      </c>
      <c r="M266" s="94">
        <v>0.0</v>
      </c>
      <c r="N266" s="85">
        <v>0.0</v>
      </c>
      <c r="O266" s="110">
        <f t="shared" si="202"/>
        <v>0</v>
      </c>
      <c r="P266" s="94">
        <v>0.0</v>
      </c>
      <c r="Q266" s="94">
        <v>0.0</v>
      </c>
      <c r="R266" s="94">
        <v>0.0</v>
      </c>
      <c r="S266" s="94">
        <v>0.0</v>
      </c>
      <c r="T266" s="94">
        <v>0.0</v>
      </c>
      <c r="U266" s="94">
        <v>0.0</v>
      </c>
      <c r="V266" s="94">
        <v>0.0</v>
      </c>
      <c r="W266" s="94">
        <v>0.0</v>
      </c>
      <c r="X266" s="94">
        <v>0.0</v>
      </c>
      <c r="Y266" s="94">
        <v>0.0</v>
      </c>
      <c r="Z266" s="94">
        <v>0.0</v>
      </c>
      <c r="AA266" s="94">
        <v>0.0</v>
      </c>
      <c r="AB266" s="94">
        <v>0.0</v>
      </c>
      <c r="AC266" s="94">
        <v>0.0</v>
      </c>
      <c r="AD266" s="94">
        <v>0.0</v>
      </c>
      <c r="AE266" s="94">
        <v>0.0</v>
      </c>
      <c r="AF266" s="94">
        <v>0.0</v>
      </c>
      <c r="AG266" s="94">
        <v>0.0</v>
      </c>
      <c r="AH266" s="94">
        <v>0.0</v>
      </c>
    </row>
    <row r="267" hidden="1">
      <c r="A267" s="83" t="s">
        <v>49</v>
      </c>
      <c r="B267" s="84" t="s">
        <v>201</v>
      </c>
      <c r="C267" s="94">
        <v>0.0</v>
      </c>
      <c r="D267" s="94">
        <v>0.0</v>
      </c>
      <c r="E267" s="96">
        <f t="shared" si="201"/>
        <v>0</v>
      </c>
      <c r="F267" s="94">
        <v>0.0</v>
      </c>
      <c r="G267" s="94">
        <v>0.0</v>
      </c>
      <c r="H267" s="94">
        <v>0.0</v>
      </c>
      <c r="I267" s="94">
        <v>0.0</v>
      </c>
      <c r="J267" s="95">
        <f t="shared" si="194"/>
        <v>0</v>
      </c>
      <c r="K267" s="87" t="str">
        <f t="shared" si="195"/>
        <v>#DIV/0!</v>
      </c>
      <c r="L267" s="94">
        <v>0.0</v>
      </c>
      <c r="M267" s="94">
        <v>0.0</v>
      </c>
      <c r="N267" s="85">
        <v>0.0</v>
      </c>
      <c r="O267" s="110">
        <f t="shared" si="202"/>
        <v>0</v>
      </c>
      <c r="P267" s="94">
        <v>0.0</v>
      </c>
      <c r="Q267" s="94">
        <v>0.0</v>
      </c>
      <c r="R267" s="94">
        <v>0.0</v>
      </c>
      <c r="S267" s="94">
        <v>0.0</v>
      </c>
      <c r="T267" s="94">
        <v>0.0</v>
      </c>
      <c r="U267" s="94">
        <v>0.0</v>
      </c>
      <c r="V267" s="94">
        <v>0.0</v>
      </c>
      <c r="W267" s="94">
        <v>0.0</v>
      </c>
      <c r="X267" s="94">
        <v>0.0</v>
      </c>
      <c r="Y267" s="94">
        <v>0.0</v>
      </c>
      <c r="Z267" s="94">
        <v>0.0</v>
      </c>
      <c r="AA267" s="94">
        <v>0.0</v>
      </c>
      <c r="AB267" s="94">
        <v>0.0</v>
      </c>
      <c r="AC267" s="94">
        <v>0.0</v>
      </c>
      <c r="AD267" s="94">
        <v>0.0</v>
      </c>
      <c r="AE267" s="94">
        <v>0.0</v>
      </c>
      <c r="AF267" s="94">
        <v>0.0</v>
      </c>
      <c r="AG267" s="94">
        <v>0.0</v>
      </c>
      <c r="AH267" s="94">
        <v>0.0</v>
      </c>
    </row>
    <row r="268" hidden="1">
      <c r="A268" s="83" t="s">
        <v>49</v>
      </c>
      <c r="B268" s="84" t="s">
        <v>202</v>
      </c>
      <c r="C268" s="85">
        <v>1.0</v>
      </c>
      <c r="D268" s="85">
        <v>1.0</v>
      </c>
      <c r="E268" s="96">
        <f t="shared" si="201"/>
        <v>0</v>
      </c>
      <c r="F268" s="94">
        <v>0.0</v>
      </c>
      <c r="G268" s="85">
        <v>39.0</v>
      </c>
      <c r="H268" s="94">
        <v>0.0</v>
      </c>
      <c r="I268" s="85">
        <v>58.0</v>
      </c>
      <c r="J268" s="95">
        <f t="shared" si="194"/>
        <v>-19</v>
      </c>
      <c r="K268" s="87">
        <f t="shared" si="195"/>
        <v>0.6724137931</v>
      </c>
      <c r="L268" s="94">
        <v>0.0</v>
      </c>
      <c r="M268" s="94">
        <v>0.0</v>
      </c>
      <c r="N268" s="85">
        <v>0.0</v>
      </c>
      <c r="O268" s="110">
        <f t="shared" si="202"/>
        <v>0</v>
      </c>
      <c r="P268" s="94">
        <v>0.0</v>
      </c>
      <c r="Q268" s="94">
        <v>0.0</v>
      </c>
      <c r="R268" s="94">
        <v>0.0</v>
      </c>
      <c r="S268" s="94">
        <v>0.0</v>
      </c>
      <c r="T268" s="94">
        <v>0.0</v>
      </c>
      <c r="U268" s="94">
        <v>0.0</v>
      </c>
      <c r="V268" s="94">
        <v>0.0</v>
      </c>
      <c r="W268" s="94">
        <v>0.0</v>
      </c>
      <c r="X268" s="94">
        <v>0.0</v>
      </c>
      <c r="Y268" s="94">
        <v>0.0</v>
      </c>
      <c r="Z268" s="94">
        <v>0.0</v>
      </c>
      <c r="AA268" s="94">
        <v>0.0</v>
      </c>
      <c r="AB268" s="94">
        <v>0.0</v>
      </c>
      <c r="AC268" s="94">
        <v>0.0</v>
      </c>
      <c r="AD268" s="94">
        <v>0.0</v>
      </c>
      <c r="AE268" s="94">
        <v>0.0</v>
      </c>
      <c r="AF268" s="94">
        <v>0.0</v>
      </c>
      <c r="AG268" s="94">
        <v>0.0</v>
      </c>
      <c r="AH268" s="94">
        <v>0.0</v>
      </c>
    </row>
    <row r="269" hidden="1">
      <c r="A269" s="83" t="s">
        <v>49</v>
      </c>
      <c r="B269" s="93"/>
      <c r="C269" s="94">
        <v>0.0</v>
      </c>
      <c r="D269" s="94">
        <v>0.0</v>
      </c>
      <c r="E269" s="96">
        <f t="shared" si="201"/>
        <v>0</v>
      </c>
      <c r="F269" s="94">
        <v>0.0</v>
      </c>
      <c r="G269" s="94">
        <v>0.0</v>
      </c>
      <c r="H269" s="94">
        <v>0.0</v>
      </c>
      <c r="I269" s="94">
        <v>0.0</v>
      </c>
      <c r="J269" s="95">
        <f t="shared" si="194"/>
        <v>0</v>
      </c>
      <c r="K269" s="87" t="str">
        <f t="shared" si="195"/>
        <v>#DIV/0!</v>
      </c>
      <c r="L269" s="94">
        <v>0.0</v>
      </c>
      <c r="M269" s="94">
        <v>0.0</v>
      </c>
      <c r="N269" s="85">
        <v>0.0</v>
      </c>
      <c r="O269" s="110">
        <f t="shared" si="202"/>
        <v>0</v>
      </c>
      <c r="P269" s="94">
        <v>0.0</v>
      </c>
      <c r="Q269" s="94">
        <v>0.0</v>
      </c>
      <c r="R269" s="94">
        <v>0.0</v>
      </c>
      <c r="S269" s="94">
        <v>0.0</v>
      </c>
      <c r="T269" s="94">
        <v>0.0</v>
      </c>
      <c r="U269" s="94">
        <v>0.0</v>
      </c>
      <c r="V269" s="94">
        <v>0.0</v>
      </c>
      <c r="W269" s="94">
        <v>0.0</v>
      </c>
      <c r="X269" s="94">
        <v>0.0</v>
      </c>
      <c r="Y269" s="94">
        <v>0.0</v>
      </c>
      <c r="Z269" s="94">
        <v>0.0</v>
      </c>
      <c r="AA269" s="94">
        <v>0.0</v>
      </c>
      <c r="AB269" s="94">
        <v>0.0</v>
      </c>
      <c r="AC269" s="94">
        <v>0.0</v>
      </c>
      <c r="AD269" s="94">
        <v>0.0</v>
      </c>
      <c r="AE269" s="94">
        <v>0.0</v>
      </c>
      <c r="AF269" s="94">
        <v>0.0</v>
      </c>
      <c r="AG269" s="94">
        <v>0.0</v>
      </c>
      <c r="AH269" s="94">
        <v>0.0</v>
      </c>
    </row>
    <row r="270" hidden="1">
      <c r="A270" s="89" t="s">
        <v>185</v>
      </c>
      <c r="B270" s="111"/>
      <c r="C270" s="111">
        <f>SUM(C264:C269)</f>
        <v>4</v>
      </c>
      <c r="D270" s="111">
        <f t="shared" ref="D270:E270" si="203">SUM(D264:D269)/4</f>
        <v>1</v>
      </c>
      <c r="E270" s="91">
        <f t="shared" si="203"/>
        <v>0</v>
      </c>
      <c r="F270" s="111">
        <f t="shared" ref="F270:G270" si="204">SUM(F264:F269)</f>
        <v>5</v>
      </c>
      <c r="G270" s="111">
        <f t="shared" si="204"/>
        <v>239</v>
      </c>
      <c r="H270" s="111"/>
      <c r="I270" s="111">
        <f>SUM(I264:I269)</f>
        <v>228</v>
      </c>
      <c r="J270" s="111">
        <f t="shared" si="194"/>
        <v>11</v>
      </c>
      <c r="K270" s="92">
        <f t="shared" si="195"/>
        <v>1.048245614</v>
      </c>
      <c r="L270" s="111">
        <f t="shared" ref="L270:M270" si="205">SUM(L264:L269)</f>
        <v>0</v>
      </c>
      <c r="M270" s="111">
        <f t="shared" si="205"/>
        <v>0</v>
      </c>
      <c r="N270" s="111"/>
      <c r="O270" s="112"/>
      <c r="P270" s="111">
        <f t="shared" ref="P270:AH270" si="206">SUM(P264:P269)</f>
        <v>0</v>
      </c>
      <c r="Q270" s="111">
        <f t="shared" si="206"/>
        <v>0</v>
      </c>
      <c r="R270" s="111">
        <f t="shared" si="206"/>
        <v>0</v>
      </c>
      <c r="S270" s="111">
        <f t="shared" si="206"/>
        <v>0</v>
      </c>
      <c r="T270" s="111">
        <f t="shared" si="206"/>
        <v>0</v>
      </c>
      <c r="U270" s="111">
        <f t="shared" si="206"/>
        <v>0</v>
      </c>
      <c r="V270" s="111">
        <f t="shared" si="206"/>
        <v>0</v>
      </c>
      <c r="W270" s="111">
        <f t="shared" si="206"/>
        <v>0</v>
      </c>
      <c r="X270" s="111">
        <f t="shared" si="206"/>
        <v>0</v>
      </c>
      <c r="Y270" s="111">
        <f t="shared" si="206"/>
        <v>0</v>
      </c>
      <c r="Z270" s="111">
        <f t="shared" si="206"/>
        <v>0</v>
      </c>
      <c r="AA270" s="111">
        <f t="shared" si="206"/>
        <v>0</v>
      </c>
      <c r="AB270" s="111">
        <f t="shared" si="206"/>
        <v>0</v>
      </c>
      <c r="AC270" s="111">
        <f t="shared" si="206"/>
        <v>0</v>
      </c>
      <c r="AD270" s="111">
        <f t="shared" si="206"/>
        <v>0</v>
      </c>
      <c r="AE270" s="111">
        <f t="shared" si="206"/>
        <v>0</v>
      </c>
      <c r="AF270" s="111">
        <f t="shared" si="206"/>
        <v>0</v>
      </c>
      <c r="AG270" s="111">
        <f t="shared" si="206"/>
        <v>0</v>
      </c>
      <c r="AH270" s="111">
        <f t="shared" si="206"/>
        <v>0</v>
      </c>
    </row>
    <row r="271">
      <c r="A271" s="104" t="s">
        <v>270</v>
      </c>
    </row>
    <row r="273" hidden="1">
      <c r="A273" s="105"/>
      <c r="F273" s="106" t="s">
        <v>251</v>
      </c>
      <c r="L273" s="107" t="s">
        <v>252</v>
      </c>
      <c r="N273" s="108" t="s">
        <v>253</v>
      </c>
    </row>
    <row r="274" hidden="1">
      <c r="A274" s="76" t="s">
        <v>148</v>
      </c>
      <c r="B274" s="76" t="s">
        <v>149</v>
      </c>
      <c r="C274" s="76" t="s">
        <v>150</v>
      </c>
      <c r="D274" s="76" t="s">
        <v>13</v>
      </c>
      <c r="E274" s="77" t="s">
        <v>151</v>
      </c>
      <c r="F274" s="78" t="s">
        <v>15</v>
      </c>
      <c r="G274" s="78" t="s">
        <v>152</v>
      </c>
      <c r="H274" s="78" t="s">
        <v>153</v>
      </c>
      <c r="I274" s="78" t="s">
        <v>154</v>
      </c>
      <c r="J274" s="78" t="s">
        <v>155</v>
      </c>
      <c r="K274" s="79" t="s">
        <v>156</v>
      </c>
      <c r="L274" s="80" t="s">
        <v>157</v>
      </c>
      <c r="M274" s="80" t="s">
        <v>158</v>
      </c>
      <c r="N274" s="81" t="s">
        <v>254</v>
      </c>
      <c r="O274" s="81" t="s">
        <v>151</v>
      </c>
      <c r="P274" s="81" t="s">
        <v>160</v>
      </c>
      <c r="Q274" s="81" t="s">
        <v>161</v>
      </c>
      <c r="R274" s="81" t="s">
        <v>162</v>
      </c>
      <c r="S274" s="81" t="s">
        <v>163</v>
      </c>
      <c r="T274" s="81" t="s">
        <v>164</v>
      </c>
      <c r="U274" s="81" t="s">
        <v>165</v>
      </c>
      <c r="V274" s="81" t="s">
        <v>166</v>
      </c>
      <c r="W274" s="81" t="s">
        <v>167</v>
      </c>
      <c r="X274" s="81" t="s">
        <v>168</v>
      </c>
      <c r="Y274" s="81" t="s">
        <v>169</v>
      </c>
      <c r="Z274" s="81" t="s">
        <v>170</v>
      </c>
      <c r="AA274" s="81" t="s">
        <v>171</v>
      </c>
      <c r="AB274" s="81" t="s">
        <v>172</v>
      </c>
      <c r="AC274" s="81" t="s">
        <v>173</v>
      </c>
      <c r="AD274" s="81" t="s">
        <v>174</v>
      </c>
      <c r="AE274" s="81" t="s">
        <v>175</v>
      </c>
      <c r="AF274" s="81" t="s">
        <v>176</v>
      </c>
      <c r="AG274" s="81" t="s">
        <v>177</v>
      </c>
      <c r="AH274" s="81" t="s">
        <v>178</v>
      </c>
    </row>
    <row r="275" hidden="1">
      <c r="A275" s="83" t="s">
        <v>20</v>
      </c>
      <c r="B275" s="84" t="s">
        <v>232</v>
      </c>
      <c r="C275" s="85">
        <v>1.0</v>
      </c>
      <c r="D275" s="85">
        <v>1.0</v>
      </c>
      <c r="E275" s="96">
        <f t="shared" ref="E275:E280" si="207">SUM(L275*I275)/60</f>
        <v>24.26666667</v>
      </c>
      <c r="F275" s="94">
        <v>0.0</v>
      </c>
      <c r="G275" s="85">
        <v>105.0</v>
      </c>
      <c r="H275" s="94">
        <v>0.0</v>
      </c>
      <c r="I275" s="85">
        <v>91.0</v>
      </c>
      <c r="J275" s="95">
        <f t="shared" ref="J275:J288" si="208">SUM(G275-I275)</f>
        <v>14</v>
      </c>
      <c r="K275" s="87">
        <f t="shared" ref="K275:K288" si="209">SUM(G275/I275)</f>
        <v>1.153846154</v>
      </c>
      <c r="L275" s="85">
        <v>16.0</v>
      </c>
      <c r="M275" s="85">
        <v>128.0</v>
      </c>
      <c r="N275" s="85">
        <v>1.0</v>
      </c>
      <c r="O275" s="110">
        <f t="shared" ref="O275:O280" si="210">(E275*N275)</f>
        <v>24.26666667</v>
      </c>
      <c r="P275" s="85">
        <v>3.0</v>
      </c>
      <c r="Q275" s="85">
        <v>2.0</v>
      </c>
      <c r="R275" s="85">
        <v>5.0</v>
      </c>
      <c r="S275" s="85">
        <v>4.0</v>
      </c>
      <c r="T275" s="85">
        <v>11.0</v>
      </c>
      <c r="U275" s="85">
        <v>3.0</v>
      </c>
      <c r="V275" s="94">
        <v>0.0</v>
      </c>
      <c r="W275" s="94">
        <v>0.0</v>
      </c>
      <c r="X275" s="94">
        <v>0.0</v>
      </c>
      <c r="Y275" s="94">
        <v>0.0</v>
      </c>
      <c r="Z275" s="94">
        <v>0.0</v>
      </c>
      <c r="AA275" s="94">
        <v>0.0</v>
      </c>
      <c r="AB275" s="94">
        <v>0.0</v>
      </c>
      <c r="AC275" s="85">
        <v>1.0</v>
      </c>
      <c r="AD275" s="94">
        <v>0.0</v>
      </c>
      <c r="AE275" s="94">
        <v>0.0</v>
      </c>
      <c r="AF275" s="94">
        <v>0.0</v>
      </c>
      <c r="AG275" s="94">
        <v>0.0</v>
      </c>
      <c r="AH275" s="94">
        <v>0.0</v>
      </c>
    </row>
    <row r="276" hidden="1">
      <c r="A276" s="83" t="s">
        <v>20</v>
      </c>
      <c r="B276" s="84" t="s">
        <v>233</v>
      </c>
      <c r="C276" s="85">
        <v>1.0</v>
      </c>
      <c r="D276" s="85">
        <v>1.0</v>
      </c>
      <c r="E276" s="96">
        <f t="shared" si="207"/>
        <v>22.36666667</v>
      </c>
      <c r="F276" s="94">
        <v>0.0</v>
      </c>
      <c r="G276" s="85">
        <v>131.0</v>
      </c>
      <c r="H276" s="85">
        <v>0.0</v>
      </c>
      <c r="I276" s="85">
        <v>122.0</v>
      </c>
      <c r="J276" s="95">
        <f t="shared" si="208"/>
        <v>9</v>
      </c>
      <c r="K276" s="87">
        <f t="shared" si="209"/>
        <v>1.073770492</v>
      </c>
      <c r="L276" s="85">
        <v>11.0</v>
      </c>
      <c r="M276" s="85">
        <v>183.0</v>
      </c>
      <c r="N276" s="85">
        <v>1.0</v>
      </c>
      <c r="O276" s="110">
        <f t="shared" si="210"/>
        <v>22.36666667</v>
      </c>
      <c r="P276" s="85">
        <v>2.0</v>
      </c>
      <c r="Q276" s="94">
        <v>0.0</v>
      </c>
      <c r="R276" s="85">
        <v>11.0</v>
      </c>
      <c r="S276" s="85">
        <v>3.0</v>
      </c>
      <c r="T276" s="85">
        <v>28.0</v>
      </c>
      <c r="U276" s="85">
        <v>8.0</v>
      </c>
      <c r="V276" s="85">
        <v>2.0</v>
      </c>
      <c r="W276" s="94">
        <v>0.0</v>
      </c>
      <c r="X276" s="94">
        <v>0.0</v>
      </c>
      <c r="Y276" s="94">
        <v>0.0</v>
      </c>
      <c r="Z276" s="94">
        <v>0.0</v>
      </c>
      <c r="AA276" s="94">
        <v>0.0</v>
      </c>
      <c r="AB276" s="94">
        <v>0.0</v>
      </c>
      <c r="AC276" s="85">
        <v>1.0</v>
      </c>
      <c r="AD276" s="94">
        <v>0.0</v>
      </c>
      <c r="AE276" s="94">
        <v>0.0</v>
      </c>
      <c r="AF276" s="94">
        <v>0.0</v>
      </c>
      <c r="AG276" s="94">
        <v>0.0</v>
      </c>
      <c r="AH276" s="94">
        <v>0.0</v>
      </c>
    </row>
    <row r="277" hidden="1">
      <c r="A277" s="83" t="s">
        <v>20</v>
      </c>
      <c r="B277" s="84" t="s">
        <v>234</v>
      </c>
      <c r="C277" s="85">
        <v>1.0</v>
      </c>
      <c r="D277" s="85">
        <v>1.0</v>
      </c>
      <c r="E277" s="96">
        <f t="shared" si="207"/>
        <v>22.4</v>
      </c>
      <c r="F277" s="94">
        <v>0.0</v>
      </c>
      <c r="G277" s="85">
        <v>102.0</v>
      </c>
      <c r="H277" s="94">
        <v>0.0</v>
      </c>
      <c r="I277" s="85">
        <v>112.0</v>
      </c>
      <c r="J277" s="95">
        <f t="shared" si="208"/>
        <v>-10</v>
      </c>
      <c r="K277" s="87">
        <f t="shared" si="209"/>
        <v>0.9107142857</v>
      </c>
      <c r="L277" s="85">
        <v>12.0</v>
      </c>
      <c r="M277" s="85">
        <v>130.0</v>
      </c>
      <c r="N277" s="85">
        <v>1.0</v>
      </c>
      <c r="O277" s="110">
        <f t="shared" si="210"/>
        <v>22.4</v>
      </c>
      <c r="P277" s="85">
        <v>2.0</v>
      </c>
      <c r="Q277" s="94">
        <v>0.0</v>
      </c>
      <c r="R277" s="85">
        <v>4.0</v>
      </c>
      <c r="S277" s="85">
        <v>2.0</v>
      </c>
      <c r="T277" s="85">
        <v>18.0</v>
      </c>
      <c r="U277" s="85">
        <v>4.0</v>
      </c>
      <c r="V277" s="85">
        <v>1.0</v>
      </c>
      <c r="W277" s="94">
        <v>0.0</v>
      </c>
      <c r="X277" s="94">
        <v>0.0</v>
      </c>
      <c r="Y277" s="94">
        <v>0.0</v>
      </c>
      <c r="Z277" s="94">
        <v>0.0</v>
      </c>
      <c r="AA277" s="94">
        <v>0.0</v>
      </c>
      <c r="AB277" s="94">
        <v>0.0</v>
      </c>
      <c r="AC277" s="85">
        <v>2.0</v>
      </c>
      <c r="AD277" s="94">
        <v>0.0</v>
      </c>
      <c r="AE277" s="94">
        <v>0.0</v>
      </c>
      <c r="AF277" s="94">
        <v>0.0</v>
      </c>
      <c r="AG277" s="94">
        <v>0.0</v>
      </c>
      <c r="AH277" s="94">
        <v>0.0</v>
      </c>
    </row>
    <row r="278" hidden="1">
      <c r="A278" s="83" t="s">
        <v>20</v>
      </c>
      <c r="B278" s="84" t="s">
        <v>235</v>
      </c>
      <c r="C278" s="85">
        <v>1.0</v>
      </c>
      <c r="D278" s="85">
        <v>1.0</v>
      </c>
      <c r="E278" s="96">
        <f t="shared" si="207"/>
        <v>27</v>
      </c>
      <c r="F278" s="85">
        <v>5.0</v>
      </c>
      <c r="G278" s="85">
        <v>50.0</v>
      </c>
      <c r="H278" s="94">
        <v>0.0</v>
      </c>
      <c r="I278" s="85">
        <v>54.0</v>
      </c>
      <c r="J278" s="95">
        <f t="shared" si="208"/>
        <v>-4</v>
      </c>
      <c r="K278" s="87">
        <f t="shared" si="209"/>
        <v>0.9259259259</v>
      </c>
      <c r="L278" s="85">
        <v>30.0</v>
      </c>
      <c r="M278" s="85">
        <v>71.0</v>
      </c>
      <c r="N278" s="85">
        <v>1.0</v>
      </c>
      <c r="O278" s="110">
        <f t="shared" si="210"/>
        <v>27</v>
      </c>
      <c r="P278" s="85">
        <v>4.0</v>
      </c>
      <c r="Q278" s="85">
        <v>2.0</v>
      </c>
      <c r="R278" s="85">
        <v>5.0</v>
      </c>
      <c r="S278" s="85">
        <v>1.0</v>
      </c>
      <c r="T278" s="85">
        <v>7.0</v>
      </c>
      <c r="U278" s="94">
        <v>0.0</v>
      </c>
      <c r="V278" s="94">
        <v>0.0</v>
      </c>
      <c r="W278" s="94">
        <v>0.0</v>
      </c>
      <c r="X278" s="94">
        <v>0.0</v>
      </c>
      <c r="Y278" s="94">
        <v>0.0</v>
      </c>
      <c r="Z278" s="94">
        <v>0.0</v>
      </c>
      <c r="AA278" s="94">
        <v>0.0</v>
      </c>
      <c r="AB278" s="94">
        <v>0.0</v>
      </c>
      <c r="AC278" s="85">
        <v>1.0</v>
      </c>
      <c r="AD278" s="94">
        <v>0.0</v>
      </c>
      <c r="AE278" s="94">
        <v>0.0</v>
      </c>
      <c r="AF278" s="94">
        <v>0.0</v>
      </c>
      <c r="AG278" s="94">
        <v>0.0</v>
      </c>
      <c r="AH278" s="94">
        <v>0.0</v>
      </c>
    </row>
    <row r="279" hidden="1">
      <c r="A279" s="83" t="s">
        <v>20</v>
      </c>
      <c r="B279" s="84" t="s">
        <v>236</v>
      </c>
      <c r="C279" s="94">
        <v>0.0</v>
      </c>
      <c r="D279" s="94">
        <v>0.0</v>
      </c>
      <c r="E279" s="96">
        <f t="shared" si="207"/>
        <v>0</v>
      </c>
      <c r="F279" s="94">
        <v>0.0</v>
      </c>
      <c r="G279" s="94">
        <v>0.0</v>
      </c>
      <c r="H279" s="94">
        <v>0.0</v>
      </c>
      <c r="I279" s="94">
        <v>0.0</v>
      </c>
      <c r="J279" s="95">
        <f t="shared" si="208"/>
        <v>0</v>
      </c>
      <c r="K279" s="87" t="str">
        <f t="shared" si="209"/>
        <v>#DIV/0!</v>
      </c>
      <c r="L279" s="94">
        <v>0.0</v>
      </c>
      <c r="M279" s="94">
        <v>0.0</v>
      </c>
      <c r="N279" s="85">
        <v>0.0</v>
      </c>
      <c r="O279" s="110">
        <f t="shared" si="210"/>
        <v>0</v>
      </c>
      <c r="P279" s="94">
        <v>0.0</v>
      </c>
      <c r="Q279" s="94">
        <v>0.0</v>
      </c>
      <c r="R279" s="94">
        <v>0.0</v>
      </c>
      <c r="S279" s="94">
        <v>0.0</v>
      </c>
      <c r="T279" s="94">
        <v>0.0</v>
      </c>
      <c r="U279" s="94">
        <v>0.0</v>
      </c>
      <c r="V279" s="94">
        <v>0.0</v>
      </c>
      <c r="W279" s="94">
        <v>0.0</v>
      </c>
      <c r="X279" s="94">
        <v>0.0</v>
      </c>
      <c r="Y279" s="94">
        <v>0.0</v>
      </c>
      <c r="Z279" s="94">
        <v>0.0</v>
      </c>
      <c r="AA279" s="94">
        <v>0.0</v>
      </c>
      <c r="AB279" s="94">
        <v>0.0</v>
      </c>
      <c r="AC279" s="94">
        <v>0.0</v>
      </c>
      <c r="AD279" s="94">
        <v>0.0</v>
      </c>
      <c r="AE279" s="94">
        <v>0.0</v>
      </c>
      <c r="AF279" s="94">
        <v>0.0</v>
      </c>
      <c r="AG279" s="94">
        <v>0.0</v>
      </c>
      <c r="AH279" s="94">
        <v>0.0</v>
      </c>
    </row>
    <row r="280" hidden="1">
      <c r="A280" s="83" t="s">
        <v>20</v>
      </c>
      <c r="B280" s="93"/>
      <c r="C280" s="94">
        <v>0.0</v>
      </c>
      <c r="D280" s="94">
        <v>0.0</v>
      </c>
      <c r="E280" s="96">
        <f t="shared" si="207"/>
        <v>0</v>
      </c>
      <c r="F280" s="94">
        <v>0.0</v>
      </c>
      <c r="G280" s="94">
        <v>0.0</v>
      </c>
      <c r="H280" s="94">
        <v>0.0</v>
      </c>
      <c r="I280" s="94">
        <v>0.0</v>
      </c>
      <c r="J280" s="95">
        <f t="shared" si="208"/>
        <v>0</v>
      </c>
      <c r="K280" s="87" t="str">
        <f t="shared" si="209"/>
        <v>#DIV/0!</v>
      </c>
      <c r="L280" s="94">
        <v>0.0</v>
      </c>
      <c r="M280" s="94">
        <v>0.0</v>
      </c>
      <c r="N280" s="85">
        <v>0.0</v>
      </c>
      <c r="O280" s="110">
        <f t="shared" si="210"/>
        <v>0</v>
      </c>
      <c r="P280" s="94">
        <v>0.0</v>
      </c>
      <c r="Q280" s="94">
        <v>0.0</v>
      </c>
      <c r="R280" s="94">
        <v>0.0</v>
      </c>
      <c r="S280" s="94">
        <v>0.0</v>
      </c>
      <c r="T280" s="94">
        <v>0.0</v>
      </c>
      <c r="U280" s="94">
        <v>0.0</v>
      </c>
      <c r="V280" s="94">
        <v>0.0</v>
      </c>
      <c r="W280" s="94">
        <v>0.0</v>
      </c>
      <c r="X280" s="94">
        <v>0.0</v>
      </c>
      <c r="Y280" s="94">
        <v>0.0</v>
      </c>
      <c r="Z280" s="94">
        <v>0.0</v>
      </c>
      <c r="AA280" s="94">
        <v>0.0</v>
      </c>
      <c r="AB280" s="94">
        <v>0.0</v>
      </c>
      <c r="AC280" s="94">
        <v>0.0</v>
      </c>
      <c r="AD280" s="94">
        <v>0.0</v>
      </c>
      <c r="AE280" s="94">
        <v>0.0</v>
      </c>
      <c r="AF280" s="94">
        <v>0.0</v>
      </c>
      <c r="AG280" s="94">
        <v>0.0</v>
      </c>
      <c r="AH280" s="94">
        <v>0.0</v>
      </c>
    </row>
    <row r="281" hidden="1">
      <c r="A281" s="89"/>
      <c r="B281" s="111"/>
      <c r="C281" s="111">
        <f t="shared" ref="C281:D281" si="211">SUM(C275:C280)/4</f>
        <v>1</v>
      </c>
      <c r="D281" s="111">
        <f t="shared" si="211"/>
        <v>1</v>
      </c>
      <c r="E281" s="91">
        <f t="shared" ref="E281:G281" si="212">SUM(E275:E280)</f>
        <v>96.03333333</v>
      </c>
      <c r="F281" s="111">
        <f t="shared" si="212"/>
        <v>5</v>
      </c>
      <c r="G281" s="111">
        <f t="shared" si="212"/>
        <v>388</v>
      </c>
      <c r="H281" s="111"/>
      <c r="I281" s="111">
        <f>SUM(I275:I280)</f>
        <v>379</v>
      </c>
      <c r="J281" s="111">
        <f t="shared" si="208"/>
        <v>9</v>
      </c>
      <c r="K281" s="92">
        <f t="shared" si="209"/>
        <v>1.023746702</v>
      </c>
      <c r="L281" s="111">
        <f t="shared" ref="L281:M281" si="213">SUM(L275:L280)</f>
        <v>69</v>
      </c>
      <c r="M281" s="111">
        <f t="shared" si="213"/>
        <v>512</v>
      </c>
      <c r="N281" s="111"/>
      <c r="O281" s="112"/>
      <c r="P281" s="111">
        <f t="shared" ref="P281:AH281" si="214">SUM(P275:P280)</f>
        <v>11</v>
      </c>
      <c r="Q281" s="111">
        <f t="shared" si="214"/>
        <v>4</v>
      </c>
      <c r="R281" s="111">
        <f t="shared" si="214"/>
        <v>25</v>
      </c>
      <c r="S281" s="111">
        <f t="shared" si="214"/>
        <v>10</v>
      </c>
      <c r="T281" s="111">
        <f t="shared" si="214"/>
        <v>64</v>
      </c>
      <c r="U281" s="111">
        <f t="shared" si="214"/>
        <v>15</v>
      </c>
      <c r="V281" s="111">
        <f t="shared" si="214"/>
        <v>3</v>
      </c>
      <c r="W281" s="111">
        <f t="shared" si="214"/>
        <v>0</v>
      </c>
      <c r="X281" s="111">
        <f t="shared" si="214"/>
        <v>0</v>
      </c>
      <c r="Y281" s="111">
        <f t="shared" si="214"/>
        <v>0</v>
      </c>
      <c r="Z281" s="111">
        <f t="shared" si="214"/>
        <v>0</v>
      </c>
      <c r="AA281" s="111">
        <f t="shared" si="214"/>
        <v>0</v>
      </c>
      <c r="AB281" s="111">
        <f t="shared" si="214"/>
        <v>0</v>
      </c>
      <c r="AC281" s="111">
        <f t="shared" si="214"/>
        <v>5</v>
      </c>
      <c r="AD281" s="111">
        <f t="shared" si="214"/>
        <v>0</v>
      </c>
      <c r="AE281" s="111">
        <f t="shared" si="214"/>
        <v>0</v>
      </c>
      <c r="AF281" s="111">
        <f t="shared" si="214"/>
        <v>0</v>
      </c>
      <c r="AG281" s="111">
        <f t="shared" si="214"/>
        <v>0</v>
      </c>
      <c r="AH281" s="111">
        <f t="shared" si="214"/>
        <v>0</v>
      </c>
    </row>
    <row r="282" hidden="1">
      <c r="A282" s="83" t="s">
        <v>34</v>
      </c>
      <c r="B282" s="84" t="s">
        <v>227</v>
      </c>
      <c r="C282" s="85">
        <v>1.0</v>
      </c>
      <c r="D282" s="94">
        <v>0.0</v>
      </c>
      <c r="E282" s="96">
        <f t="shared" ref="E282:E287" si="215">SUM(L282*I282)/60</f>
        <v>24.03333333</v>
      </c>
      <c r="F282" s="85">
        <v>3.0</v>
      </c>
      <c r="G282" s="85">
        <v>84.0</v>
      </c>
      <c r="H282" s="94">
        <v>0.0</v>
      </c>
      <c r="I282" s="85">
        <v>103.0</v>
      </c>
      <c r="J282" s="95">
        <f t="shared" si="208"/>
        <v>-19</v>
      </c>
      <c r="K282" s="87">
        <f t="shared" si="209"/>
        <v>0.8155339806</v>
      </c>
      <c r="L282" s="85">
        <v>14.0</v>
      </c>
      <c r="M282" s="85">
        <v>113.0</v>
      </c>
      <c r="N282" s="85">
        <v>1.0</v>
      </c>
      <c r="O282" s="110">
        <f t="shared" ref="O282:O287" si="216">(E282*N282)</f>
        <v>24.03333333</v>
      </c>
      <c r="P282" s="85">
        <v>2.0</v>
      </c>
      <c r="Q282" s="94">
        <v>0.0</v>
      </c>
      <c r="R282" s="85">
        <v>5.0</v>
      </c>
      <c r="S282" s="85">
        <v>1.0</v>
      </c>
      <c r="T282" s="85">
        <v>13.0</v>
      </c>
      <c r="U282" s="85">
        <v>3.0</v>
      </c>
      <c r="V282" s="94">
        <v>0.0</v>
      </c>
      <c r="W282" s="94">
        <v>0.0</v>
      </c>
      <c r="X282" s="94">
        <v>0.0</v>
      </c>
      <c r="Y282" s="94">
        <v>0.0</v>
      </c>
      <c r="Z282" s="94">
        <v>0.0</v>
      </c>
      <c r="AA282" s="94">
        <v>0.0</v>
      </c>
      <c r="AB282" s="94">
        <v>0.0</v>
      </c>
      <c r="AC282" s="85">
        <v>3.0</v>
      </c>
      <c r="AD282" s="94">
        <v>0.0</v>
      </c>
      <c r="AE282" s="94">
        <v>0.0</v>
      </c>
      <c r="AF282" s="94">
        <v>0.0</v>
      </c>
      <c r="AG282" s="94">
        <v>0.0</v>
      </c>
      <c r="AH282" s="94">
        <v>0.0</v>
      </c>
    </row>
    <row r="283" hidden="1">
      <c r="A283" s="83" t="s">
        <v>34</v>
      </c>
      <c r="B283" s="84" t="s">
        <v>228</v>
      </c>
      <c r="C283" s="85">
        <v>1.0</v>
      </c>
      <c r="D283" s="94">
        <v>0.0</v>
      </c>
      <c r="E283" s="96">
        <f t="shared" si="215"/>
        <v>24.25</v>
      </c>
      <c r="F283" s="94">
        <v>0.0</v>
      </c>
      <c r="G283" s="85">
        <v>108.0</v>
      </c>
      <c r="H283" s="94">
        <v>0.0</v>
      </c>
      <c r="I283" s="85">
        <v>97.0</v>
      </c>
      <c r="J283" s="95">
        <f t="shared" si="208"/>
        <v>11</v>
      </c>
      <c r="K283" s="87">
        <f t="shared" si="209"/>
        <v>1.113402062</v>
      </c>
      <c r="L283" s="85">
        <v>15.0</v>
      </c>
      <c r="M283" s="85">
        <v>140.0</v>
      </c>
      <c r="N283" s="85">
        <v>1.0</v>
      </c>
      <c r="O283" s="110">
        <f t="shared" si="216"/>
        <v>24.25</v>
      </c>
      <c r="P283" s="85">
        <v>6.0</v>
      </c>
      <c r="Q283" s="94">
        <v>0.0</v>
      </c>
      <c r="R283" s="85">
        <v>5.0</v>
      </c>
      <c r="S283" s="94">
        <v>0.0</v>
      </c>
      <c r="T283" s="85">
        <v>17.0</v>
      </c>
      <c r="U283" s="85">
        <v>3.0</v>
      </c>
      <c r="V283" s="85">
        <v>1.0</v>
      </c>
      <c r="W283" s="94">
        <v>0.0</v>
      </c>
      <c r="X283" s="94">
        <v>0.0</v>
      </c>
      <c r="Y283" s="94">
        <v>0.0</v>
      </c>
      <c r="Z283" s="94">
        <v>0.0</v>
      </c>
      <c r="AA283" s="94">
        <v>0.0</v>
      </c>
      <c r="AB283" s="94">
        <v>0.0</v>
      </c>
      <c r="AC283" s="85">
        <v>4.0</v>
      </c>
      <c r="AD283" s="94">
        <v>0.0</v>
      </c>
      <c r="AE283" s="94">
        <v>0.0</v>
      </c>
      <c r="AF283" s="94">
        <v>0.0</v>
      </c>
      <c r="AG283" s="94">
        <v>0.0</v>
      </c>
      <c r="AH283" s="94">
        <v>0.0</v>
      </c>
    </row>
    <row r="284" hidden="1">
      <c r="A284" s="83" t="s">
        <v>34</v>
      </c>
      <c r="B284" s="84" t="s">
        <v>229</v>
      </c>
      <c r="C284" s="85">
        <v>1.0</v>
      </c>
      <c r="D284" s="94">
        <v>0.0</v>
      </c>
      <c r="E284" s="96">
        <f t="shared" si="215"/>
        <v>24.65</v>
      </c>
      <c r="F284" s="85">
        <v>1.0</v>
      </c>
      <c r="G284" s="85">
        <v>79.0</v>
      </c>
      <c r="H284" s="94">
        <v>0.0</v>
      </c>
      <c r="I284" s="85">
        <v>87.0</v>
      </c>
      <c r="J284" s="95">
        <f t="shared" si="208"/>
        <v>-8</v>
      </c>
      <c r="K284" s="87">
        <f t="shared" si="209"/>
        <v>0.908045977</v>
      </c>
      <c r="L284" s="85">
        <v>17.0</v>
      </c>
      <c r="M284" s="85">
        <v>97.0</v>
      </c>
      <c r="N284" s="85">
        <v>1.0</v>
      </c>
      <c r="O284" s="110">
        <f t="shared" si="216"/>
        <v>24.65</v>
      </c>
      <c r="P284" s="85">
        <v>2.0</v>
      </c>
      <c r="Q284" s="94">
        <v>0.0</v>
      </c>
      <c r="R284" s="85">
        <v>4.0</v>
      </c>
      <c r="S284" s="85">
        <v>1.0</v>
      </c>
      <c r="T284" s="85">
        <v>6.0</v>
      </c>
      <c r="U284" s="85">
        <v>2.0</v>
      </c>
      <c r="V284" s="85">
        <v>1.0</v>
      </c>
      <c r="W284" s="85">
        <v>1.0</v>
      </c>
      <c r="X284" s="85">
        <v>1.0</v>
      </c>
      <c r="Y284" s="94">
        <v>0.0</v>
      </c>
      <c r="Z284" s="94">
        <v>0.0</v>
      </c>
      <c r="AA284" s="94">
        <v>0.0</v>
      </c>
      <c r="AB284" s="94">
        <v>0.0</v>
      </c>
      <c r="AC284" s="85">
        <v>2.0</v>
      </c>
      <c r="AD284" s="94">
        <v>0.0</v>
      </c>
      <c r="AE284" s="94">
        <v>0.0</v>
      </c>
      <c r="AF284" s="94">
        <v>0.0</v>
      </c>
      <c r="AG284" s="94">
        <v>0.0</v>
      </c>
      <c r="AH284" s="94">
        <v>0.0</v>
      </c>
    </row>
    <row r="285" hidden="1">
      <c r="A285" s="83" t="s">
        <v>34</v>
      </c>
      <c r="B285" s="84" t="s">
        <v>230</v>
      </c>
      <c r="C285" s="85">
        <v>1.0</v>
      </c>
      <c r="D285" s="94">
        <v>0.0</v>
      </c>
      <c r="E285" s="96">
        <f t="shared" si="215"/>
        <v>24.05</v>
      </c>
      <c r="F285" s="94">
        <v>0.0</v>
      </c>
      <c r="G285" s="85">
        <v>95.0</v>
      </c>
      <c r="H285" s="85">
        <v>1.0</v>
      </c>
      <c r="I285" s="85">
        <v>111.0</v>
      </c>
      <c r="J285" s="95">
        <f t="shared" si="208"/>
        <v>-16</v>
      </c>
      <c r="K285" s="87">
        <f t="shared" si="209"/>
        <v>0.8558558559</v>
      </c>
      <c r="L285" s="85">
        <v>13.0</v>
      </c>
      <c r="M285" s="85">
        <v>113.0</v>
      </c>
      <c r="N285" s="85">
        <v>1.0</v>
      </c>
      <c r="O285" s="110">
        <f t="shared" si="216"/>
        <v>24.05</v>
      </c>
      <c r="P285" s="85">
        <v>1.0</v>
      </c>
      <c r="Q285" s="85">
        <v>2.0</v>
      </c>
      <c r="R285" s="85">
        <v>6.0</v>
      </c>
      <c r="S285" s="85">
        <v>1.0</v>
      </c>
      <c r="T285" s="85">
        <v>12.0</v>
      </c>
      <c r="U285" s="85">
        <v>2.0</v>
      </c>
      <c r="V285" s="94">
        <v>0.0</v>
      </c>
      <c r="W285" s="94">
        <v>0.0</v>
      </c>
      <c r="X285" s="94">
        <v>0.0</v>
      </c>
      <c r="Y285" s="94">
        <v>0.0</v>
      </c>
      <c r="Z285" s="94">
        <v>0.0</v>
      </c>
      <c r="AA285" s="94">
        <v>0.0</v>
      </c>
      <c r="AB285" s="94">
        <v>0.0</v>
      </c>
      <c r="AC285" s="85">
        <v>1.0</v>
      </c>
      <c r="AD285" s="94">
        <v>0.0</v>
      </c>
      <c r="AE285" s="94">
        <v>0.0</v>
      </c>
      <c r="AF285" s="94">
        <v>0.0</v>
      </c>
      <c r="AG285" s="94">
        <v>0.0</v>
      </c>
      <c r="AH285" s="94">
        <v>0.0</v>
      </c>
    </row>
    <row r="286" hidden="1">
      <c r="A286" s="83" t="s">
        <v>34</v>
      </c>
      <c r="B286" s="84" t="s">
        <v>231</v>
      </c>
      <c r="C286" s="94">
        <v>0.0</v>
      </c>
      <c r="D286" s="94">
        <v>0.0</v>
      </c>
      <c r="E286" s="96">
        <f t="shared" si="215"/>
        <v>0</v>
      </c>
      <c r="F286" s="94">
        <v>0.0</v>
      </c>
      <c r="G286" s="94">
        <v>0.0</v>
      </c>
      <c r="H286" s="94">
        <v>0.0</v>
      </c>
      <c r="I286" s="94">
        <v>0.0</v>
      </c>
      <c r="J286" s="95">
        <f t="shared" si="208"/>
        <v>0</v>
      </c>
      <c r="K286" s="87" t="str">
        <f t="shared" si="209"/>
        <v>#DIV/0!</v>
      </c>
      <c r="L286" s="94">
        <v>0.0</v>
      </c>
      <c r="M286" s="94">
        <v>0.0</v>
      </c>
      <c r="N286" s="85">
        <v>0.0</v>
      </c>
      <c r="O286" s="110">
        <f t="shared" si="216"/>
        <v>0</v>
      </c>
      <c r="P286" s="94">
        <v>0.0</v>
      </c>
      <c r="Q286" s="94">
        <v>0.0</v>
      </c>
      <c r="R286" s="94">
        <v>0.0</v>
      </c>
      <c r="S286" s="94">
        <v>0.0</v>
      </c>
      <c r="T286" s="94">
        <v>0.0</v>
      </c>
      <c r="U286" s="94">
        <v>0.0</v>
      </c>
      <c r="V286" s="94">
        <v>0.0</v>
      </c>
      <c r="W286" s="94">
        <v>0.0</v>
      </c>
      <c r="X286" s="94">
        <v>0.0</v>
      </c>
      <c r="Y286" s="94">
        <v>0.0</v>
      </c>
      <c r="Z286" s="94">
        <v>0.0</v>
      </c>
      <c r="AA286" s="94">
        <v>0.0</v>
      </c>
      <c r="AB286" s="94">
        <v>0.0</v>
      </c>
      <c r="AC286" s="94">
        <v>0.0</v>
      </c>
      <c r="AD286" s="94">
        <v>0.0</v>
      </c>
      <c r="AE286" s="94">
        <v>0.0</v>
      </c>
      <c r="AF286" s="94">
        <v>0.0</v>
      </c>
      <c r="AG286" s="94">
        <v>0.0</v>
      </c>
      <c r="AH286" s="94">
        <v>0.0</v>
      </c>
    </row>
    <row r="287" hidden="1">
      <c r="A287" s="83" t="s">
        <v>34</v>
      </c>
      <c r="B287" s="93"/>
      <c r="C287" s="94">
        <v>0.0</v>
      </c>
      <c r="D287" s="94">
        <v>0.0</v>
      </c>
      <c r="E287" s="96">
        <f t="shared" si="215"/>
        <v>0</v>
      </c>
      <c r="F287" s="94">
        <v>0.0</v>
      </c>
      <c r="G287" s="94">
        <v>0.0</v>
      </c>
      <c r="H287" s="94">
        <v>0.0</v>
      </c>
      <c r="I287" s="94">
        <v>0.0</v>
      </c>
      <c r="J287" s="95">
        <f t="shared" si="208"/>
        <v>0</v>
      </c>
      <c r="K287" s="87" t="str">
        <f t="shared" si="209"/>
        <v>#DIV/0!</v>
      </c>
      <c r="L287" s="94">
        <v>0.0</v>
      </c>
      <c r="M287" s="94">
        <v>0.0</v>
      </c>
      <c r="N287" s="85">
        <v>0.0</v>
      </c>
      <c r="O287" s="110">
        <f t="shared" si="216"/>
        <v>0</v>
      </c>
      <c r="P287" s="94">
        <v>0.0</v>
      </c>
      <c r="Q287" s="94">
        <v>0.0</v>
      </c>
      <c r="R287" s="94">
        <v>0.0</v>
      </c>
      <c r="S287" s="94">
        <v>0.0</v>
      </c>
      <c r="T287" s="94">
        <v>0.0</v>
      </c>
      <c r="U287" s="94">
        <v>0.0</v>
      </c>
      <c r="V287" s="94">
        <v>0.0</v>
      </c>
      <c r="W287" s="94">
        <v>0.0</v>
      </c>
      <c r="X287" s="94">
        <v>0.0</v>
      </c>
      <c r="Y287" s="94">
        <v>0.0</v>
      </c>
      <c r="Z287" s="94">
        <v>0.0</v>
      </c>
      <c r="AA287" s="94">
        <v>0.0</v>
      </c>
      <c r="AB287" s="94">
        <v>0.0</v>
      </c>
      <c r="AC287" s="94">
        <v>0.0</v>
      </c>
      <c r="AD287" s="94">
        <v>0.0</v>
      </c>
      <c r="AE287" s="94">
        <v>0.0</v>
      </c>
      <c r="AF287" s="94">
        <v>0.0</v>
      </c>
      <c r="AG287" s="94">
        <v>0.0</v>
      </c>
      <c r="AH287" s="94">
        <v>0.0</v>
      </c>
    </row>
    <row r="288" hidden="1">
      <c r="A288" s="89" t="s">
        <v>185</v>
      </c>
      <c r="B288" s="111"/>
      <c r="C288" s="111">
        <f>SUM(C282:C287)</f>
        <v>4</v>
      </c>
      <c r="D288" s="111">
        <f t="shared" ref="D288:E288" si="217">SUM(D282:D287)/4</f>
        <v>0</v>
      </c>
      <c r="E288" s="91">
        <f t="shared" si="217"/>
        <v>24.24583333</v>
      </c>
      <c r="F288" s="111">
        <f t="shared" ref="F288:G288" si="218">SUM(F282:F287)</f>
        <v>4</v>
      </c>
      <c r="G288" s="111">
        <f t="shared" si="218"/>
        <v>366</v>
      </c>
      <c r="H288" s="111"/>
      <c r="I288" s="111">
        <f>SUM(I282:I287)</f>
        <v>398</v>
      </c>
      <c r="J288" s="111">
        <f t="shared" si="208"/>
        <v>-32</v>
      </c>
      <c r="K288" s="92">
        <f t="shared" si="209"/>
        <v>0.9195979899</v>
      </c>
      <c r="L288" s="111">
        <f t="shared" ref="L288:M288" si="219">SUM(L282:L287)</f>
        <v>59</v>
      </c>
      <c r="M288" s="111">
        <f t="shared" si="219"/>
        <v>463</v>
      </c>
      <c r="N288" s="111"/>
      <c r="O288" s="112"/>
      <c r="P288" s="111">
        <f t="shared" ref="P288:AH288" si="220">SUM(P282:P287)</f>
        <v>11</v>
      </c>
      <c r="Q288" s="111">
        <f t="shared" si="220"/>
        <v>2</v>
      </c>
      <c r="R288" s="111">
        <f t="shared" si="220"/>
        <v>20</v>
      </c>
      <c r="S288" s="111">
        <f t="shared" si="220"/>
        <v>3</v>
      </c>
      <c r="T288" s="111">
        <f t="shared" si="220"/>
        <v>48</v>
      </c>
      <c r="U288" s="111">
        <f t="shared" si="220"/>
        <v>10</v>
      </c>
      <c r="V288" s="111">
        <f t="shared" si="220"/>
        <v>2</v>
      </c>
      <c r="W288" s="111">
        <f t="shared" si="220"/>
        <v>1</v>
      </c>
      <c r="X288" s="111">
        <f t="shared" si="220"/>
        <v>1</v>
      </c>
      <c r="Y288" s="111">
        <f t="shared" si="220"/>
        <v>0</v>
      </c>
      <c r="Z288" s="111">
        <f t="shared" si="220"/>
        <v>0</v>
      </c>
      <c r="AA288" s="111">
        <f t="shared" si="220"/>
        <v>0</v>
      </c>
      <c r="AB288" s="111">
        <f t="shared" si="220"/>
        <v>0</v>
      </c>
      <c r="AC288" s="111">
        <f t="shared" si="220"/>
        <v>10</v>
      </c>
      <c r="AD288" s="111">
        <f t="shared" si="220"/>
        <v>0</v>
      </c>
      <c r="AE288" s="111">
        <f t="shared" si="220"/>
        <v>0</v>
      </c>
      <c r="AF288" s="111">
        <f t="shared" si="220"/>
        <v>0</v>
      </c>
      <c r="AG288" s="111">
        <f t="shared" si="220"/>
        <v>0</v>
      </c>
      <c r="AH288" s="111">
        <f t="shared" si="220"/>
        <v>0</v>
      </c>
    </row>
    <row r="289">
      <c r="A289" s="104" t="s">
        <v>271</v>
      </c>
    </row>
    <row r="291" hidden="1">
      <c r="A291" s="105"/>
      <c r="F291" s="106" t="s">
        <v>251</v>
      </c>
      <c r="L291" s="107" t="s">
        <v>252</v>
      </c>
      <c r="N291" s="108" t="s">
        <v>253</v>
      </c>
    </row>
    <row r="292" hidden="1">
      <c r="A292" s="76" t="s">
        <v>148</v>
      </c>
      <c r="B292" s="76" t="s">
        <v>149</v>
      </c>
      <c r="C292" s="76" t="s">
        <v>150</v>
      </c>
      <c r="D292" s="76" t="s">
        <v>13</v>
      </c>
      <c r="E292" s="77" t="s">
        <v>151</v>
      </c>
      <c r="F292" s="78" t="s">
        <v>15</v>
      </c>
      <c r="G292" s="78" t="s">
        <v>152</v>
      </c>
      <c r="H292" s="78" t="s">
        <v>153</v>
      </c>
      <c r="I292" s="78" t="s">
        <v>154</v>
      </c>
      <c r="J292" s="78" t="s">
        <v>155</v>
      </c>
      <c r="K292" s="79" t="s">
        <v>156</v>
      </c>
      <c r="L292" s="80" t="s">
        <v>157</v>
      </c>
      <c r="M292" s="80" t="s">
        <v>158</v>
      </c>
      <c r="N292" s="81" t="s">
        <v>254</v>
      </c>
      <c r="O292" s="81" t="s">
        <v>151</v>
      </c>
      <c r="P292" s="81" t="s">
        <v>160</v>
      </c>
      <c r="Q292" s="81" t="s">
        <v>161</v>
      </c>
      <c r="R292" s="81" t="s">
        <v>162</v>
      </c>
      <c r="S292" s="81" t="s">
        <v>163</v>
      </c>
      <c r="T292" s="81" t="s">
        <v>164</v>
      </c>
      <c r="U292" s="81" t="s">
        <v>165</v>
      </c>
      <c r="V292" s="81" t="s">
        <v>166</v>
      </c>
      <c r="W292" s="81" t="s">
        <v>167</v>
      </c>
      <c r="X292" s="81" t="s">
        <v>168</v>
      </c>
      <c r="Y292" s="81" t="s">
        <v>169</v>
      </c>
      <c r="Z292" s="81" t="s">
        <v>170</v>
      </c>
      <c r="AA292" s="81" t="s">
        <v>171</v>
      </c>
      <c r="AB292" s="81" t="s">
        <v>172</v>
      </c>
      <c r="AC292" s="81" t="s">
        <v>173</v>
      </c>
      <c r="AD292" s="81" t="s">
        <v>174</v>
      </c>
      <c r="AE292" s="81" t="s">
        <v>175</v>
      </c>
      <c r="AF292" s="81" t="s">
        <v>176</v>
      </c>
      <c r="AG292" s="81" t="s">
        <v>177</v>
      </c>
      <c r="AH292" s="81" t="s">
        <v>178</v>
      </c>
    </row>
    <row r="293" hidden="1">
      <c r="A293" s="83" t="s">
        <v>20</v>
      </c>
      <c r="B293" s="84" t="s">
        <v>232</v>
      </c>
      <c r="C293" s="85">
        <v>1.0</v>
      </c>
      <c r="D293" s="94">
        <v>0.0</v>
      </c>
      <c r="E293" s="96">
        <f t="shared" ref="E293:E298" si="221">SUM(L293*I293)/60</f>
        <v>0</v>
      </c>
      <c r="F293" s="94">
        <v>0.0</v>
      </c>
      <c r="G293" s="94">
        <v>0.0</v>
      </c>
      <c r="H293" s="94">
        <v>0.0</v>
      </c>
      <c r="I293" s="94">
        <v>0.0</v>
      </c>
      <c r="J293" s="95">
        <f t="shared" ref="J293:J306" si="222">SUM(G293-I293)</f>
        <v>0</v>
      </c>
      <c r="K293" s="87"/>
      <c r="L293" s="94"/>
      <c r="M293" s="94">
        <v>0.0</v>
      </c>
      <c r="N293" s="85">
        <v>0.0</v>
      </c>
      <c r="O293" s="110">
        <f t="shared" ref="O293:O298" si="223">(E293*N293)</f>
        <v>0</v>
      </c>
      <c r="P293" s="94">
        <v>0.0</v>
      </c>
      <c r="Q293" s="94">
        <v>0.0</v>
      </c>
      <c r="R293" s="94">
        <v>0.0</v>
      </c>
      <c r="S293" s="94">
        <v>0.0</v>
      </c>
      <c r="T293" s="94">
        <v>0.0</v>
      </c>
      <c r="U293" s="94">
        <v>0.0</v>
      </c>
      <c r="V293" s="94">
        <v>0.0</v>
      </c>
      <c r="W293" s="94">
        <v>0.0</v>
      </c>
      <c r="X293" s="94">
        <v>0.0</v>
      </c>
      <c r="Y293" s="94">
        <v>0.0</v>
      </c>
      <c r="Z293" s="94">
        <v>0.0</v>
      </c>
      <c r="AA293" s="94">
        <v>0.0</v>
      </c>
      <c r="AB293" s="94">
        <v>0.0</v>
      </c>
      <c r="AC293" s="94">
        <v>0.0</v>
      </c>
      <c r="AD293" s="94">
        <v>0.0</v>
      </c>
      <c r="AE293" s="94">
        <v>0.0</v>
      </c>
      <c r="AF293" s="94">
        <v>0.0</v>
      </c>
      <c r="AG293" s="94">
        <v>0.0</v>
      </c>
      <c r="AH293" s="94">
        <v>0.0</v>
      </c>
    </row>
    <row r="294" hidden="1">
      <c r="A294" s="83" t="s">
        <v>20</v>
      </c>
      <c r="B294" s="84" t="s">
        <v>233</v>
      </c>
      <c r="C294" s="85">
        <v>1.0</v>
      </c>
      <c r="D294" s="94">
        <v>0.0</v>
      </c>
      <c r="E294" s="96">
        <f t="shared" si="221"/>
        <v>0</v>
      </c>
      <c r="F294" s="94">
        <v>0.0</v>
      </c>
      <c r="G294" s="94">
        <v>0.0</v>
      </c>
      <c r="H294" s="94">
        <v>0.0</v>
      </c>
      <c r="I294" s="94">
        <v>0.0</v>
      </c>
      <c r="J294" s="95">
        <f t="shared" si="222"/>
        <v>0</v>
      </c>
      <c r="K294" s="87"/>
      <c r="L294" s="94"/>
      <c r="M294" s="94">
        <v>0.0</v>
      </c>
      <c r="N294" s="85">
        <v>0.0</v>
      </c>
      <c r="O294" s="110">
        <f t="shared" si="223"/>
        <v>0</v>
      </c>
      <c r="P294" s="94">
        <v>0.0</v>
      </c>
      <c r="Q294" s="94">
        <v>0.0</v>
      </c>
      <c r="R294" s="94">
        <v>0.0</v>
      </c>
      <c r="S294" s="94">
        <v>0.0</v>
      </c>
      <c r="T294" s="94">
        <v>0.0</v>
      </c>
      <c r="U294" s="94">
        <v>0.0</v>
      </c>
      <c r="V294" s="94">
        <v>0.0</v>
      </c>
      <c r="W294" s="94">
        <v>0.0</v>
      </c>
      <c r="X294" s="94">
        <v>0.0</v>
      </c>
      <c r="Y294" s="94">
        <v>0.0</v>
      </c>
      <c r="Z294" s="94">
        <v>0.0</v>
      </c>
      <c r="AA294" s="94">
        <v>0.0</v>
      </c>
      <c r="AB294" s="94">
        <v>0.0</v>
      </c>
      <c r="AC294" s="94">
        <v>0.0</v>
      </c>
      <c r="AD294" s="94">
        <v>0.0</v>
      </c>
      <c r="AE294" s="94">
        <v>0.0</v>
      </c>
      <c r="AF294" s="94">
        <v>0.0</v>
      </c>
      <c r="AG294" s="94">
        <v>0.0</v>
      </c>
      <c r="AH294" s="94">
        <v>0.0</v>
      </c>
    </row>
    <row r="295" hidden="1">
      <c r="A295" s="83" t="s">
        <v>20</v>
      </c>
      <c r="B295" s="84" t="s">
        <v>234</v>
      </c>
      <c r="C295" s="85">
        <v>1.0</v>
      </c>
      <c r="D295" s="94">
        <v>0.0</v>
      </c>
      <c r="E295" s="96">
        <f t="shared" si="221"/>
        <v>0</v>
      </c>
      <c r="F295" s="94">
        <v>0.0</v>
      </c>
      <c r="G295" s="94">
        <v>0.0</v>
      </c>
      <c r="H295" s="94">
        <v>0.0</v>
      </c>
      <c r="I295" s="94">
        <v>0.0</v>
      </c>
      <c r="J295" s="95">
        <f t="shared" si="222"/>
        <v>0</v>
      </c>
      <c r="K295" s="87"/>
      <c r="L295" s="94"/>
      <c r="M295" s="94">
        <v>0.0</v>
      </c>
      <c r="N295" s="85">
        <v>0.0</v>
      </c>
      <c r="O295" s="110">
        <f t="shared" si="223"/>
        <v>0</v>
      </c>
      <c r="P295" s="94">
        <v>0.0</v>
      </c>
      <c r="Q295" s="94">
        <v>0.0</v>
      </c>
      <c r="R295" s="94">
        <v>0.0</v>
      </c>
      <c r="S295" s="94">
        <v>0.0</v>
      </c>
      <c r="T295" s="94">
        <v>0.0</v>
      </c>
      <c r="U295" s="94">
        <v>0.0</v>
      </c>
      <c r="V295" s="94">
        <v>0.0</v>
      </c>
      <c r="W295" s="94">
        <v>0.0</v>
      </c>
      <c r="X295" s="94">
        <v>0.0</v>
      </c>
      <c r="Y295" s="94">
        <v>0.0</v>
      </c>
      <c r="Z295" s="94">
        <v>0.0</v>
      </c>
      <c r="AA295" s="94">
        <v>0.0</v>
      </c>
      <c r="AB295" s="94">
        <v>0.0</v>
      </c>
      <c r="AC295" s="94">
        <v>0.0</v>
      </c>
      <c r="AD295" s="94">
        <v>0.0</v>
      </c>
      <c r="AE295" s="94">
        <v>0.0</v>
      </c>
      <c r="AF295" s="94">
        <v>0.0</v>
      </c>
      <c r="AG295" s="94">
        <v>0.0</v>
      </c>
      <c r="AH295" s="94">
        <v>0.0</v>
      </c>
    </row>
    <row r="296" hidden="1">
      <c r="A296" s="83" t="s">
        <v>20</v>
      </c>
      <c r="B296" s="84" t="s">
        <v>235</v>
      </c>
      <c r="C296" s="85">
        <v>1.0</v>
      </c>
      <c r="D296" s="94">
        <v>0.0</v>
      </c>
      <c r="E296" s="96">
        <f t="shared" si="221"/>
        <v>0</v>
      </c>
      <c r="F296" s="85">
        <v>1.0</v>
      </c>
      <c r="G296" s="94">
        <v>0.0</v>
      </c>
      <c r="H296" s="94">
        <v>0.0</v>
      </c>
      <c r="I296" s="94">
        <v>0.0</v>
      </c>
      <c r="J296" s="95">
        <f t="shared" si="222"/>
        <v>0</v>
      </c>
      <c r="K296" s="87"/>
      <c r="L296" s="94"/>
      <c r="M296" s="94">
        <v>0.0</v>
      </c>
      <c r="N296" s="85">
        <v>0.0</v>
      </c>
      <c r="O296" s="110">
        <f t="shared" si="223"/>
        <v>0</v>
      </c>
      <c r="P296" s="94">
        <v>0.0</v>
      </c>
      <c r="Q296" s="94">
        <v>0.0</v>
      </c>
      <c r="R296" s="94">
        <v>0.0</v>
      </c>
      <c r="S296" s="94">
        <v>0.0</v>
      </c>
      <c r="T296" s="94">
        <v>0.0</v>
      </c>
      <c r="U296" s="94">
        <v>0.0</v>
      </c>
      <c r="V296" s="94">
        <v>0.0</v>
      </c>
      <c r="W296" s="94">
        <v>0.0</v>
      </c>
      <c r="X296" s="94">
        <v>0.0</v>
      </c>
      <c r="Y296" s="94">
        <v>0.0</v>
      </c>
      <c r="Z296" s="94">
        <v>0.0</v>
      </c>
      <c r="AA296" s="94">
        <v>0.0</v>
      </c>
      <c r="AB296" s="94">
        <v>0.0</v>
      </c>
      <c r="AC296" s="94">
        <v>0.0</v>
      </c>
      <c r="AD296" s="94">
        <v>0.0</v>
      </c>
      <c r="AE296" s="94">
        <v>0.0</v>
      </c>
      <c r="AF296" s="94">
        <v>0.0</v>
      </c>
      <c r="AG296" s="94">
        <v>0.0</v>
      </c>
      <c r="AH296" s="94">
        <v>0.0</v>
      </c>
    </row>
    <row r="297" hidden="1">
      <c r="A297" s="83" t="s">
        <v>20</v>
      </c>
      <c r="B297" s="84" t="s">
        <v>236</v>
      </c>
      <c r="C297" s="94">
        <v>0.0</v>
      </c>
      <c r="D297" s="94">
        <v>0.0</v>
      </c>
      <c r="E297" s="96">
        <f t="shared" si="221"/>
        <v>0</v>
      </c>
      <c r="F297" s="94">
        <v>0.0</v>
      </c>
      <c r="G297" s="94">
        <v>0.0</v>
      </c>
      <c r="H297" s="94">
        <v>0.0</v>
      </c>
      <c r="I297" s="94">
        <v>0.0</v>
      </c>
      <c r="J297" s="95">
        <f t="shared" si="222"/>
        <v>0</v>
      </c>
      <c r="K297" s="87"/>
      <c r="L297" s="94"/>
      <c r="M297" s="94">
        <v>0.0</v>
      </c>
      <c r="N297" s="85">
        <v>0.0</v>
      </c>
      <c r="O297" s="110">
        <f t="shared" si="223"/>
        <v>0</v>
      </c>
      <c r="P297" s="94">
        <v>0.0</v>
      </c>
      <c r="Q297" s="94">
        <v>0.0</v>
      </c>
      <c r="R297" s="94">
        <v>0.0</v>
      </c>
      <c r="S297" s="94">
        <v>0.0</v>
      </c>
      <c r="T297" s="94">
        <v>0.0</v>
      </c>
      <c r="U297" s="94">
        <v>0.0</v>
      </c>
      <c r="V297" s="94">
        <v>0.0</v>
      </c>
      <c r="W297" s="94">
        <v>0.0</v>
      </c>
      <c r="X297" s="94">
        <v>0.0</v>
      </c>
      <c r="Y297" s="94">
        <v>0.0</v>
      </c>
      <c r="Z297" s="94">
        <v>0.0</v>
      </c>
      <c r="AA297" s="94">
        <v>0.0</v>
      </c>
      <c r="AB297" s="94">
        <v>0.0</v>
      </c>
      <c r="AC297" s="94">
        <v>0.0</v>
      </c>
      <c r="AD297" s="94">
        <v>0.0</v>
      </c>
      <c r="AE297" s="94">
        <v>0.0</v>
      </c>
      <c r="AF297" s="94">
        <v>0.0</v>
      </c>
      <c r="AG297" s="94">
        <v>0.0</v>
      </c>
      <c r="AH297" s="94">
        <v>0.0</v>
      </c>
    </row>
    <row r="298" hidden="1">
      <c r="A298" s="83" t="s">
        <v>20</v>
      </c>
      <c r="B298" s="93"/>
      <c r="C298" s="94">
        <v>0.0</v>
      </c>
      <c r="D298" s="94">
        <v>0.0</v>
      </c>
      <c r="E298" s="96">
        <f t="shared" si="221"/>
        <v>0</v>
      </c>
      <c r="F298" s="94">
        <v>0.0</v>
      </c>
      <c r="G298" s="94">
        <v>0.0</v>
      </c>
      <c r="H298" s="94">
        <v>0.0</v>
      </c>
      <c r="I298" s="94">
        <v>0.0</v>
      </c>
      <c r="J298" s="95">
        <f t="shared" si="222"/>
        <v>0</v>
      </c>
      <c r="K298" s="87"/>
      <c r="L298" s="94"/>
      <c r="M298" s="94">
        <v>0.0</v>
      </c>
      <c r="N298" s="85">
        <v>0.0</v>
      </c>
      <c r="O298" s="110">
        <f t="shared" si="223"/>
        <v>0</v>
      </c>
      <c r="P298" s="94">
        <v>0.0</v>
      </c>
      <c r="Q298" s="94">
        <v>0.0</v>
      </c>
      <c r="R298" s="94">
        <v>0.0</v>
      </c>
      <c r="S298" s="94">
        <v>0.0</v>
      </c>
      <c r="T298" s="94">
        <v>0.0</v>
      </c>
      <c r="U298" s="94">
        <v>0.0</v>
      </c>
      <c r="V298" s="94">
        <v>0.0</v>
      </c>
      <c r="W298" s="94">
        <v>0.0</v>
      </c>
      <c r="X298" s="94">
        <v>0.0</v>
      </c>
      <c r="Y298" s="94">
        <v>0.0</v>
      </c>
      <c r="Z298" s="94">
        <v>0.0</v>
      </c>
      <c r="AA298" s="94">
        <v>0.0</v>
      </c>
      <c r="AB298" s="94">
        <v>0.0</v>
      </c>
      <c r="AC298" s="94">
        <v>0.0</v>
      </c>
      <c r="AD298" s="94">
        <v>0.0</v>
      </c>
      <c r="AE298" s="94">
        <v>0.0</v>
      </c>
      <c r="AF298" s="94">
        <v>0.0</v>
      </c>
      <c r="AG298" s="94">
        <v>0.0</v>
      </c>
      <c r="AH298" s="94">
        <v>0.0</v>
      </c>
    </row>
    <row r="299" hidden="1">
      <c r="A299" s="89"/>
      <c r="B299" s="111"/>
      <c r="C299" s="111">
        <f t="shared" ref="C299:D299" si="224">SUM(C293:C298)/4</f>
        <v>1</v>
      </c>
      <c r="D299" s="111">
        <f t="shared" si="224"/>
        <v>0</v>
      </c>
      <c r="E299" s="91">
        <f t="shared" ref="E299:G299" si="225">SUM(E293:E298)</f>
        <v>0</v>
      </c>
      <c r="F299" s="111">
        <f t="shared" si="225"/>
        <v>1</v>
      </c>
      <c r="G299" s="111">
        <f t="shared" si="225"/>
        <v>0</v>
      </c>
      <c r="H299" s="111"/>
      <c r="I299" s="111">
        <f>SUM(I293:I298)</f>
        <v>0</v>
      </c>
      <c r="J299" s="111">
        <f t="shared" si="222"/>
        <v>0</v>
      </c>
      <c r="K299" s="92" t="str">
        <f>SUM(G299/I299)</f>
        <v>#DIV/0!</v>
      </c>
      <c r="L299" s="111">
        <f t="shared" ref="L299:M299" si="226">SUM(L293:L298)</f>
        <v>0</v>
      </c>
      <c r="M299" s="111">
        <f t="shared" si="226"/>
        <v>0</v>
      </c>
      <c r="N299" s="111"/>
      <c r="O299" s="112"/>
      <c r="P299" s="111">
        <f t="shared" ref="P299:AH299" si="227">SUM(P293:P298)</f>
        <v>0</v>
      </c>
      <c r="Q299" s="111">
        <f t="shared" si="227"/>
        <v>0</v>
      </c>
      <c r="R299" s="111">
        <f t="shared" si="227"/>
        <v>0</v>
      </c>
      <c r="S299" s="111">
        <f t="shared" si="227"/>
        <v>0</v>
      </c>
      <c r="T299" s="111">
        <f t="shared" si="227"/>
        <v>0</v>
      </c>
      <c r="U299" s="111">
        <f t="shared" si="227"/>
        <v>0</v>
      </c>
      <c r="V299" s="111">
        <f t="shared" si="227"/>
        <v>0</v>
      </c>
      <c r="W299" s="111">
        <f t="shared" si="227"/>
        <v>0</v>
      </c>
      <c r="X299" s="111">
        <f t="shared" si="227"/>
        <v>0</v>
      </c>
      <c r="Y299" s="111">
        <f t="shared" si="227"/>
        <v>0</v>
      </c>
      <c r="Z299" s="111">
        <f t="shared" si="227"/>
        <v>0</v>
      </c>
      <c r="AA299" s="111">
        <f t="shared" si="227"/>
        <v>0</v>
      </c>
      <c r="AB299" s="111">
        <f t="shared" si="227"/>
        <v>0</v>
      </c>
      <c r="AC299" s="111">
        <f t="shared" si="227"/>
        <v>0</v>
      </c>
      <c r="AD299" s="111">
        <f t="shared" si="227"/>
        <v>0</v>
      </c>
      <c r="AE299" s="111">
        <f t="shared" si="227"/>
        <v>0</v>
      </c>
      <c r="AF299" s="111">
        <f t="shared" si="227"/>
        <v>0</v>
      </c>
      <c r="AG299" s="111">
        <f t="shared" si="227"/>
        <v>0</v>
      </c>
      <c r="AH299" s="111">
        <f t="shared" si="227"/>
        <v>0</v>
      </c>
    </row>
    <row r="300" hidden="1">
      <c r="A300" s="83" t="s">
        <v>34</v>
      </c>
      <c r="B300" s="84" t="s">
        <v>227</v>
      </c>
      <c r="C300" s="85">
        <v>1.0</v>
      </c>
      <c r="D300" s="85">
        <v>1.0</v>
      </c>
      <c r="E300" s="96">
        <f t="shared" ref="E300:E305" si="228">SUM(L300*I300)/60</f>
        <v>0</v>
      </c>
      <c r="F300" s="85">
        <v>5.0</v>
      </c>
      <c r="G300" s="94">
        <v>0.0</v>
      </c>
      <c r="H300" s="94">
        <v>0.0</v>
      </c>
      <c r="I300" s="94">
        <v>0.0</v>
      </c>
      <c r="J300" s="95">
        <f t="shared" si="222"/>
        <v>0</v>
      </c>
      <c r="K300" s="87"/>
      <c r="L300" s="94"/>
      <c r="M300" s="94">
        <v>0.0</v>
      </c>
      <c r="N300" s="85">
        <v>0.0</v>
      </c>
      <c r="O300" s="110">
        <f t="shared" ref="O300:O305" si="229">(E300*N300)</f>
        <v>0</v>
      </c>
      <c r="P300" s="94">
        <v>0.0</v>
      </c>
      <c r="Q300" s="94">
        <v>0.0</v>
      </c>
      <c r="R300" s="94">
        <v>0.0</v>
      </c>
      <c r="S300" s="94">
        <v>0.0</v>
      </c>
      <c r="T300" s="94">
        <v>0.0</v>
      </c>
      <c r="U300" s="94">
        <v>0.0</v>
      </c>
      <c r="V300" s="94">
        <v>0.0</v>
      </c>
      <c r="W300" s="94">
        <v>0.0</v>
      </c>
      <c r="X300" s="94">
        <v>0.0</v>
      </c>
      <c r="Y300" s="94">
        <v>0.0</v>
      </c>
      <c r="Z300" s="94">
        <v>0.0</v>
      </c>
      <c r="AA300" s="94">
        <v>0.0</v>
      </c>
      <c r="AB300" s="94">
        <v>0.0</v>
      </c>
      <c r="AC300" s="94">
        <v>0.0</v>
      </c>
      <c r="AD300" s="94">
        <v>0.0</v>
      </c>
      <c r="AE300" s="94">
        <v>0.0</v>
      </c>
      <c r="AF300" s="94">
        <v>0.0</v>
      </c>
      <c r="AG300" s="94">
        <v>0.0</v>
      </c>
      <c r="AH300" s="94">
        <v>0.0</v>
      </c>
    </row>
    <row r="301" hidden="1">
      <c r="A301" s="83" t="s">
        <v>34</v>
      </c>
      <c r="B301" s="84" t="s">
        <v>228</v>
      </c>
      <c r="C301" s="85">
        <v>1.0</v>
      </c>
      <c r="D301" s="85">
        <v>1.0</v>
      </c>
      <c r="E301" s="96">
        <f t="shared" si="228"/>
        <v>0</v>
      </c>
      <c r="F301" s="94">
        <v>0.0</v>
      </c>
      <c r="G301" s="94">
        <v>0.0</v>
      </c>
      <c r="H301" s="94">
        <v>0.0</v>
      </c>
      <c r="I301" s="94">
        <v>0.0</v>
      </c>
      <c r="J301" s="95">
        <f t="shared" si="222"/>
        <v>0</v>
      </c>
      <c r="K301" s="87"/>
      <c r="L301" s="94"/>
      <c r="M301" s="94">
        <v>0.0</v>
      </c>
      <c r="N301" s="85">
        <v>0.0</v>
      </c>
      <c r="O301" s="110">
        <f t="shared" si="229"/>
        <v>0</v>
      </c>
      <c r="P301" s="94">
        <v>0.0</v>
      </c>
      <c r="Q301" s="94">
        <v>0.0</v>
      </c>
      <c r="R301" s="94">
        <v>0.0</v>
      </c>
      <c r="S301" s="94">
        <v>0.0</v>
      </c>
      <c r="T301" s="94">
        <v>0.0</v>
      </c>
      <c r="U301" s="94">
        <v>0.0</v>
      </c>
      <c r="V301" s="94">
        <v>0.0</v>
      </c>
      <c r="W301" s="94">
        <v>0.0</v>
      </c>
      <c r="X301" s="94">
        <v>0.0</v>
      </c>
      <c r="Y301" s="94">
        <v>0.0</v>
      </c>
      <c r="Z301" s="94">
        <v>0.0</v>
      </c>
      <c r="AA301" s="94">
        <v>0.0</v>
      </c>
      <c r="AB301" s="94">
        <v>0.0</v>
      </c>
      <c r="AC301" s="94">
        <v>0.0</v>
      </c>
      <c r="AD301" s="94">
        <v>0.0</v>
      </c>
      <c r="AE301" s="94">
        <v>0.0</v>
      </c>
      <c r="AF301" s="94">
        <v>0.0</v>
      </c>
      <c r="AG301" s="94">
        <v>0.0</v>
      </c>
      <c r="AH301" s="94">
        <v>0.0</v>
      </c>
    </row>
    <row r="302" hidden="1">
      <c r="A302" s="83" t="s">
        <v>34</v>
      </c>
      <c r="B302" s="84" t="s">
        <v>229</v>
      </c>
      <c r="C302" s="85">
        <v>1.0</v>
      </c>
      <c r="D302" s="85">
        <v>1.0</v>
      </c>
      <c r="E302" s="96">
        <f t="shared" si="228"/>
        <v>0</v>
      </c>
      <c r="F302" s="94">
        <v>0.0</v>
      </c>
      <c r="G302" s="94">
        <v>0.0</v>
      </c>
      <c r="H302" s="94">
        <v>0.0</v>
      </c>
      <c r="I302" s="94">
        <v>0.0</v>
      </c>
      <c r="J302" s="95">
        <f t="shared" si="222"/>
        <v>0</v>
      </c>
      <c r="K302" s="87"/>
      <c r="L302" s="94"/>
      <c r="M302" s="94">
        <v>0.0</v>
      </c>
      <c r="N302" s="85">
        <v>0.0</v>
      </c>
      <c r="O302" s="110">
        <f t="shared" si="229"/>
        <v>0</v>
      </c>
      <c r="P302" s="94">
        <v>0.0</v>
      </c>
      <c r="Q302" s="94">
        <v>0.0</v>
      </c>
      <c r="R302" s="94">
        <v>0.0</v>
      </c>
      <c r="S302" s="94">
        <v>0.0</v>
      </c>
      <c r="T302" s="94">
        <v>0.0</v>
      </c>
      <c r="U302" s="94">
        <v>0.0</v>
      </c>
      <c r="V302" s="94">
        <v>0.0</v>
      </c>
      <c r="W302" s="94">
        <v>0.0</v>
      </c>
      <c r="X302" s="94">
        <v>0.0</v>
      </c>
      <c r="Y302" s="94">
        <v>0.0</v>
      </c>
      <c r="Z302" s="94">
        <v>0.0</v>
      </c>
      <c r="AA302" s="94">
        <v>0.0</v>
      </c>
      <c r="AB302" s="94">
        <v>0.0</v>
      </c>
      <c r="AC302" s="94">
        <v>0.0</v>
      </c>
      <c r="AD302" s="94">
        <v>0.0</v>
      </c>
      <c r="AE302" s="94">
        <v>0.0</v>
      </c>
      <c r="AF302" s="94">
        <v>0.0</v>
      </c>
      <c r="AG302" s="94">
        <v>0.0</v>
      </c>
      <c r="AH302" s="94">
        <v>0.0</v>
      </c>
    </row>
    <row r="303" hidden="1">
      <c r="A303" s="83" t="s">
        <v>34</v>
      </c>
      <c r="B303" s="84" t="s">
        <v>230</v>
      </c>
      <c r="C303" s="85">
        <v>1.0</v>
      </c>
      <c r="D303" s="85">
        <v>1.0</v>
      </c>
      <c r="E303" s="96">
        <f t="shared" si="228"/>
        <v>0</v>
      </c>
      <c r="F303" s="94">
        <v>0.0</v>
      </c>
      <c r="G303" s="94">
        <v>0.0</v>
      </c>
      <c r="H303" s="94">
        <v>0.0</v>
      </c>
      <c r="I303" s="94">
        <v>0.0</v>
      </c>
      <c r="J303" s="95">
        <f t="shared" si="222"/>
        <v>0</v>
      </c>
      <c r="K303" s="87"/>
      <c r="L303" s="94"/>
      <c r="M303" s="94">
        <v>0.0</v>
      </c>
      <c r="N303" s="85">
        <v>0.0</v>
      </c>
      <c r="O303" s="110">
        <f t="shared" si="229"/>
        <v>0</v>
      </c>
      <c r="P303" s="94">
        <v>0.0</v>
      </c>
      <c r="Q303" s="94">
        <v>0.0</v>
      </c>
      <c r="R303" s="94">
        <v>0.0</v>
      </c>
      <c r="S303" s="94">
        <v>0.0</v>
      </c>
      <c r="T303" s="94">
        <v>0.0</v>
      </c>
      <c r="U303" s="94">
        <v>0.0</v>
      </c>
      <c r="V303" s="94">
        <v>0.0</v>
      </c>
      <c r="W303" s="94">
        <v>0.0</v>
      </c>
      <c r="X303" s="94">
        <v>0.0</v>
      </c>
      <c r="Y303" s="94">
        <v>0.0</v>
      </c>
      <c r="Z303" s="94">
        <v>0.0</v>
      </c>
      <c r="AA303" s="94">
        <v>0.0</v>
      </c>
      <c r="AB303" s="94">
        <v>0.0</v>
      </c>
      <c r="AC303" s="94">
        <v>0.0</v>
      </c>
      <c r="AD303" s="94">
        <v>0.0</v>
      </c>
      <c r="AE303" s="94">
        <v>0.0</v>
      </c>
      <c r="AF303" s="94">
        <v>0.0</v>
      </c>
      <c r="AG303" s="94">
        <v>0.0</v>
      </c>
      <c r="AH303" s="94">
        <v>0.0</v>
      </c>
    </row>
    <row r="304" hidden="1">
      <c r="A304" s="83" t="s">
        <v>34</v>
      </c>
      <c r="B304" s="84" t="s">
        <v>231</v>
      </c>
      <c r="C304" s="94">
        <v>0.0</v>
      </c>
      <c r="D304" s="94">
        <v>0.0</v>
      </c>
      <c r="E304" s="96">
        <f t="shared" si="228"/>
        <v>0</v>
      </c>
      <c r="F304" s="94">
        <v>0.0</v>
      </c>
      <c r="G304" s="94">
        <v>0.0</v>
      </c>
      <c r="H304" s="94">
        <v>0.0</v>
      </c>
      <c r="I304" s="94">
        <v>0.0</v>
      </c>
      <c r="J304" s="95">
        <f t="shared" si="222"/>
        <v>0</v>
      </c>
      <c r="K304" s="87"/>
      <c r="L304" s="94"/>
      <c r="M304" s="94">
        <v>0.0</v>
      </c>
      <c r="N304" s="85">
        <v>0.0</v>
      </c>
      <c r="O304" s="110">
        <f t="shared" si="229"/>
        <v>0</v>
      </c>
      <c r="P304" s="94">
        <v>0.0</v>
      </c>
      <c r="Q304" s="94">
        <v>0.0</v>
      </c>
      <c r="R304" s="94">
        <v>0.0</v>
      </c>
      <c r="S304" s="94">
        <v>0.0</v>
      </c>
      <c r="T304" s="94">
        <v>0.0</v>
      </c>
      <c r="U304" s="94">
        <v>0.0</v>
      </c>
      <c r="V304" s="94">
        <v>0.0</v>
      </c>
      <c r="W304" s="94">
        <v>0.0</v>
      </c>
      <c r="X304" s="94">
        <v>0.0</v>
      </c>
      <c r="Y304" s="94">
        <v>0.0</v>
      </c>
      <c r="Z304" s="94">
        <v>0.0</v>
      </c>
      <c r="AA304" s="94">
        <v>0.0</v>
      </c>
      <c r="AB304" s="94">
        <v>0.0</v>
      </c>
      <c r="AC304" s="94">
        <v>0.0</v>
      </c>
      <c r="AD304" s="94">
        <v>0.0</v>
      </c>
      <c r="AE304" s="94">
        <v>0.0</v>
      </c>
      <c r="AF304" s="94">
        <v>0.0</v>
      </c>
      <c r="AG304" s="94">
        <v>0.0</v>
      </c>
      <c r="AH304" s="94">
        <v>0.0</v>
      </c>
    </row>
    <row r="305" hidden="1">
      <c r="A305" s="83" t="s">
        <v>34</v>
      </c>
      <c r="B305" s="93"/>
      <c r="C305" s="94">
        <v>0.0</v>
      </c>
      <c r="D305" s="94">
        <v>0.0</v>
      </c>
      <c r="E305" s="96">
        <f t="shared" si="228"/>
        <v>0</v>
      </c>
      <c r="F305" s="94">
        <v>0.0</v>
      </c>
      <c r="G305" s="94">
        <v>0.0</v>
      </c>
      <c r="H305" s="94">
        <v>0.0</v>
      </c>
      <c r="I305" s="94">
        <v>0.0</v>
      </c>
      <c r="J305" s="95">
        <f t="shared" si="222"/>
        <v>0</v>
      </c>
      <c r="K305" s="87"/>
      <c r="L305" s="94"/>
      <c r="M305" s="94">
        <v>0.0</v>
      </c>
      <c r="N305" s="85">
        <v>0.0</v>
      </c>
      <c r="O305" s="110">
        <f t="shared" si="229"/>
        <v>0</v>
      </c>
      <c r="P305" s="94">
        <v>0.0</v>
      </c>
      <c r="Q305" s="94">
        <v>0.0</v>
      </c>
      <c r="R305" s="94">
        <v>0.0</v>
      </c>
      <c r="S305" s="94">
        <v>0.0</v>
      </c>
      <c r="T305" s="94">
        <v>0.0</v>
      </c>
      <c r="U305" s="94">
        <v>0.0</v>
      </c>
      <c r="V305" s="94">
        <v>0.0</v>
      </c>
      <c r="W305" s="94">
        <v>0.0</v>
      </c>
      <c r="X305" s="94">
        <v>0.0</v>
      </c>
      <c r="Y305" s="94">
        <v>0.0</v>
      </c>
      <c r="Z305" s="94">
        <v>0.0</v>
      </c>
      <c r="AA305" s="94">
        <v>0.0</v>
      </c>
      <c r="AB305" s="94">
        <v>0.0</v>
      </c>
      <c r="AC305" s="94">
        <v>0.0</v>
      </c>
      <c r="AD305" s="94">
        <v>0.0</v>
      </c>
      <c r="AE305" s="94">
        <v>0.0</v>
      </c>
      <c r="AF305" s="94">
        <v>0.0</v>
      </c>
      <c r="AG305" s="94">
        <v>0.0</v>
      </c>
      <c r="AH305" s="94">
        <v>0.0</v>
      </c>
    </row>
    <row r="306" hidden="1">
      <c r="A306" s="89" t="s">
        <v>185</v>
      </c>
      <c r="B306" s="111"/>
      <c r="C306" s="111">
        <f>SUM(C300:C305)</f>
        <v>4</v>
      </c>
      <c r="D306" s="111">
        <f t="shared" ref="D306:E306" si="230">SUM(D300:D305)/4</f>
        <v>1</v>
      </c>
      <c r="E306" s="91">
        <f t="shared" si="230"/>
        <v>0</v>
      </c>
      <c r="F306" s="111">
        <f t="shared" ref="F306:G306" si="231">SUM(F300:F305)</f>
        <v>5</v>
      </c>
      <c r="G306" s="111">
        <f t="shared" si="231"/>
        <v>0</v>
      </c>
      <c r="H306" s="111"/>
      <c r="I306" s="111">
        <f>SUM(I300:I305)</f>
        <v>0</v>
      </c>
      <c r="J306" s="111">
        <f t="shared" si="222"/>
        <v>0</v>
      </c>
      <c r="K306" s="92" t="str">
        <f>SUM(G306/I306)</f>
        <v>#DIV/0!</v>
      </c>
      <c r="L306" s="111">
        <f t="shared" ref="L306:M306" si="232">SUM(L300:L305)</f>
        <v>0</v>
      </c>
      <c r="M306" s="111">
        <f t="shared" si="232"/>
        <v>0</v>
      </c>
      <c r="N306" s="111"/>
      <c r="O306" s="112"/>
      <c r="P306" s="111">
        <f t="shared" ref="P306:AH306" si="233">SUM(P300:P305)</f>
        <v>0</v>
      </c>
      <c r="Q306" s="111">
        <f t="shared" si="233"/>
        <v>0</v>
      </c>
      <c r="R306" s="111">
        <f t="shared" si="233"/>
        <v>0</v>
      </c>
      <c r="S306" s="111">
        <f t="shared" si="233"/>
        <v>0</v>
      </c>
      <c r="T306" s="111">
        <f t="shared" si="233"/>
        <v>0</v>
      </c>
      <c r="U306" s="111">
        <f t="shared" si="233"/>
        <v>0</v>
      </c>
      <c r="V306" s="111">
        <f t="shared" si="233"/>
        <v>0</v>
      </c>
      <c r="W306" s="111">
        <f t="shared" si="233"/>
        <v>0</v>
      </c>
      <c r="X306" s="111">
        <f t="shared" si="233"/>
        <v>0</v>
      </c>
      <c r="Y306" s="111">
        <f t="shared" si="233"/>
        <v>0</v>
      </c>
      <c r="Z306" s="111">
        <f t="shared" si="233"/>
        <v>0</v>
      </c>
      <c r="AA306" s="111">
        <f t="shared" si="233"/>
        <v>0</v>
      </c>
      <c r="AB306" s="111">
        <f t="shared" si="233"/>
        <v>0</v>
      </c>
      <c r="AC306" s="111">
        <f t="shared" si="233"/>
        <v>0</v>
      </c>
      <c r="AD306" s="111">
        <f t="shared" si="233"/>
        <v>0</v>
      </c>
      <c r="AE306" s="111">
        <f t="shared" si="233"/>
        <v>0</v>
      </c>
      <c r="AF306" s="111">
        <f t="shared" si="233"/>
        <v>0</v>
      </c>
      <c r="AG306" s="111">
        <f t="shared" si="233"/>
        <v>0</v>
      </c>
      <c r="AH306" s="111">
        <f t="shared" si="233"/>
        <v>0</v>
      </c>
    </row>
    <row r="307">
      <c r="A307" s="115" t="s">
        <v>272</v>
      </c>
    </row>
    <row r="309" hidden="1">
      <c r="A309" s="105"/>
      <c r="F309" s="106" t="s">
        <v>251</v>
      </c>
      <c r="L309" s="107" t="s">
        <v>252</v>
      </c>
      <c r="N309" s="108" t="s">
        <v>253</v>
      </c>
    </row>
    <row r="310" hidden="1">
      <c r="A310" s="76" t="s">
        <v>148</v>
      </c>
      <c r="B310" s="76" t="s">
        <v>149</v>
      </c>
      <c r="C310" s="76" t="s">
        <v>150</v>
      </c>
      <c r="D310" s="76" t="s">
        <v>13</v>
      </c>
      <c r="E310" s="77" t="s">
        <v>151</v>
      </c>
      <c r="F310" s="78" t="s">
        <v>15</v>
      </c>
      <c r="G310" s="78" t="s">
        <v>152</v>
      </c>
      <c r="H310" s="78" t="s">
        <v>153</v>
      </c>
      <c r="I310" s="78" t="s">
        <v>154</v>
      </c>
      <c r="J310" s="78" t="s">
        <v>155</v>
      </c>
      <c r="K310" s="79" t="s">
        <v>156</v>
      </c>
      <c r="L310" s="80" t="s">
        <v>157</v>
      </c>
      <c r="M310" s="80" t="s">
        <v>158</v>
      </c>
      <c r="N310" s="81" t="s">
        <v>254</v>
      </c>
      <c r="O310" s="81" t="s">
        <v>151</v>
      </c>
      <c r="P310" s="81" t="s">
        <v>160</v>
      </c>
      <c r="Q310" s="81" t="s">
        <v>161</v>
      </c>
      <c r="R310" s="81" t="s">
        <v>162</v>
      </c>
      <c r="S310" s="81" t="s">
        <v>163</v>
      </c>
      <c r="T310" s="81" t="s">
        <v>164</v>
      </c>
      <c r="U310" s="81" t="s">
        <v>165</v>
      </c>
      <c r="V310" s="81" t="s">
        <v>166</v>
      </c>
      <c r="W310" s="81" t="s">
        <v>167</v>
      </c>
      <c r="X310" s="81" t="s">
        <v>168</v>
      </c>
      <c r="Y310" s="81" t="s">
        <v>169</v>
      </c>
      <c r="Z310" s="81" t="s">
        <v>170</v>
      </c>
      <c r="AA310" s="81" t="s">
        <v>171</v>
      </c>
      <c r="AB310" s="81" t="s">
        <v>172</v>
      </c>
      <c r="AC310" s="81" t="s">
        <v>173</v>
      </c>
      <c r="AD310" s="81" t="s">
        <v>174</v>
      </c>
      <c r="AE310" s="81" t="s">
        <v>175</v>
      </c>
      <c r="AF310" s="81" t="s">
        <v>176</v>
      </c>
      <c r="AG310" s="81" t="s">
        <v>177</v>
      </c>
      <c r="AH310" s="81" t="s">
        <v>178</v>
      </c>
    </row>
    <row r="311" hidden="1">
      <c r="A311" s="83" t="s">
        <v>28</v>
      </c>
      <c r="B311" s="84" t="s">
        <v>179</v>
      </c>
      <c r="C311" s="85">
        <v>1.0</v>
      </c>
      <c r="D311" s="85">
        <v>1.0</v>
      </c>
      <c r="E311" s="86">
        <v>13.0</v>
      </c>
      <c r="F311" s="94">
        <v>0.0</v>
      </c>
      <c r="G311" s="85">
        <v>30.0</v>
      </c>
      <c r="H311" s="94">
        <v>0.0</v>
      </c>
      <c r="I311" s="85">
        <v>26.0</v>
      </c>
      <c r="J311" s="95">
        <f t="shared" ref="J311:J324" si="234">SUM(G311-I311)</f>
        <v>4</v>
      </c>
      <c r="K311" s="87">
        <f t="shared" ref="K311:K324" si="235">SUM(G311/I311)</f>
        <v>1.153846154</v>
      </c>
      <c r="L311" s="85">
        <v>26.0</v>
      </c>
      <c r="M311" s="85">
        <v>34.0</v>
      </c>
      <c r="N311" s="85">
        <v>1.0</v>
      </c>
      <c r="O311" s="110">
        <f t="shared" ref="O311:O316" si="236">(E311*N311)</f>
        <v>13</v>
      </c>
      <c r="P311" s="94">
        <v>0.0</v>
      </c>
      <c r="Q311" s="94">
        <v>0.0</v>
      </c>
      <c r="R311" s="85">
        <v>4.0</v>
      </c>
      <c r="S311" s="94">
        <v>0.0</v>
      </c>
      <c r="T311" s="85">
        <v>2.0</v>
      </c>
      <c r="U311" s="85">
        <v>1.0</v>
      </c>
      <c r="V311" s="85">
        <v>1.0</v>
      </c>
      <c r="W311" s="94">
        <v>0.0</v>
      </c>
      <c r="X311" s="94">
        <v>0.0</v>
      </c>
      <c r="Y311" s="94">
        <v>0.0</v>
      </c>
      <c r="Z311" s="94">
        <v>0.0</v>
      </c>
      <c r="AA311" s="94">
        <v>0.0</v>
      </c>
      <c r="AB311" s="94">
        <v>0.0</v>
      </c>
      <c r="AC311" s="85">
        <v>1.0</v>
      </c>
      <c r="AD311" s="94">
        <v>0.0</v>
      </c>
      <c r="AE311" s="94">
        <v>0.0</v>
      </c>
      <c r="AF311" s="94">
        <v>0.0</v>
      </c>
      <c r="AG311" s="85">
        <v>1.0</v>
      </c>
      <c r="AH311" s="94">
        <v>0.0</v>
      </c>
    </row>
    <row r="312" hidden="1">
      <c r="A312" s="83" t="s">
        <v>28</v>
      </c>
      <c r="B312" s="84" t="s">
        <v>180</v>
      </c>
      <c r="C312" s="85">
        <v>1.0</v>
      </c>
      <c r="D312" s="85">
        <v>1.0</v>
      </c>
      <c r="E312" s="86">
        <v>13.0</v>
      </c>
      <c r="F312" s="85">
        <v>0.0</v>
      </c>
      <c r="G312" s="85">
        <v>51.0</v>
      </c>
      <c r="H312" s="85">
        <v>0.0</v>
      </c>
      <c r="I312" s="85">
        <v>40.0</v>
      </c>
      <c r="J312" s="95">
        <f t="shared" si="234"/>
        <v>11</v>
      </c>
      <c r="K312" s="87">
        <f t="shared" si="235"/>
        <v>1.275</v>
      </c>
      <c r="L312" s="85">
        <v>16.0</v>
      </c>
      <c r="M312" s="85">
        <v>68.0</v>
      </c>
      <c r="N312" s="85">
        <v>1.0</v>
      </c>
      <c r="O312" s="110">
        <f t="shared" si="236"/>
        <v>13</v>
      </c>
      <c r="P312" s="85">
        <v>3.0</v>
      </c>
      <c r="Q312" s="85">
        <v>1.0</v>
      </c>
      <c r="R312" s="85">
        <v>5.0</v>
      </c>
      <c r="S312" s="94">
        <v>0.0</v>
      </c>
      <c r="T312" s="85">
        <v>7.0</v>
      </c>
      <c r="U312" s="94">
        <v>0.0</v>
      </c>
      <c r="V312" s="94">
        <v>0.0</v>
      </c>
      <c r="W312" s="94">
        <v>0.0</v>
      </c>
      <c r="X312" s="94">
        <v>0.0</v>
      </c>
      <c r="Y312" s="94">
        <v>0.0</v>
      </c>
      <c r="Z312" s="94">
        <v>0.0</v>
      </c>
      <c r="AA312" s="94">
        <v>0.0</v>
      </c>
      <c r="AB312" s="94">
        <v>0.0</v>
      </c>
      <c r="AC312" s="85">
        <v>2.0</v>
      </c>
      <c r="AD312" s="94">
        <v>0.0</v>
      </c>
      <c r="AE312" s="94">
        <v>0.0</v>
      </c>
      <c r="AF312" s="94">
        <v>0.0</v>
      </c>
      <c r="AG312" s="94">
        <v>0.0</v>
      </c>
      <c r="AH312" s="94">
        <v>0.0</v>
      </c>
    </row>
    <row r="313" hidden="1">
      <c r="A313" s="83" t="s">
        <v>28</v>
      </c>
      <c r="B313" s="84" t="s">
        <v>181</v>
      </c>
      <c r="C313" s="85">
        <v>1.0</v>
      </c>
      <c r="D313" s="85">
        <v>1.0</v>
      </c>
      <c r="E313" s="86">
        <v>13.0</v>
      </c>
      <c r="F313" s="85">
        <v>1.0</v>
      </c>
      <c r="G313" s="85">
        <v>46.0</v>
      </c>
      <c r="H313" s="94">
        <v>0.0</v>
      </c>
      <c r="I313" s="85">
        <v>38.0</v>
      </c>
      <c r="J313" s="95">
        <f t="shared" si="234"/>
        <v>8</v>
      </c>
      <c r="K313" s="87">
        <f t="shared" si="235"/>
        <v>1.210526316</v>
      </c>
      <c r="L313" s="85">
        <v>17.0</v>
      </c>
      <c r="M313" s="85">
        <v>58.0</v>
      </c>
      <c r="N313" s="85">
        <v>1.0</v>
      </c>
      <c r="O313" s="110">
        <f t="shared" si="236"/>
        <v>13</v>
      </c>
      <c r="P313" s="85">
        <v>1.0</v>
      </c>
      <c r="Q313" s="85">
        <v>2.0</v>
      </c>
      <c r="R313" s="85">
        <v>1.0</v>
      </c>
      <c r="S313" s="94">
        <v>0.0</v>
      </c>
      <c r="T313" s="85">
        <v>7.0</v>
      </c>
      <c r="U313" s="85">
        <v>3.0</v>
      </c>
      <c r="V313" s="85">
        <v>2.0</v>
      </c>
      <c r="W313" s="94">
        <v>0.0</v>
      </c>
      <c r="X313" s="94">
        <v>0.0</v>
      </c>
      <c r="Y313" s="94">
        <v>0.0</v>
      </c>
      <c r="Z313" s="94">
        <v>0.0</v>
      </c>
      <c r="AA313" s="94">
        <v>0.0</v>
      </c>
      <c r="AB313" s="94">
        <v>0.0</v>
      </c>
      <c r="AC313" s="85">
        <v>1.0</v>
      </c>
      <c r="AD313" s="94">
        <v>0.0</v>
      </c>
      <c r="AE313" s="94">
        <v>0.0</v>
      </c>
      <c r="AF313" s="94">
        <v>0.0</v>
      </c>
      <c r="AG313" s="85">
        <v>1.0</v>
      </c>
      <c r="AH313" s="94">
        <v>0.0</v>
      </c>
    </row>
    <row r="314" hidden="1">
      <c r="A314" s="83" t="s">
        <v>28</v>
      </c>
      <c r="B314" s="84" t="s">
        <v>182</v>
      </c>
      <c r="C314" s="94">
        <v>0.0</v>
      </c>
      <c r="D314" s="94">
        <v>0.0</v>
      </c>
      <c r="E314" s="96">
        <f>SUM(L314*I314)/60</f>
        <v>0</v>
      </c>
      <c r="F314" s="94">
        <v>0.0</v>
      </c>
      <c r="G314" s="94">
        <v>0.0</v>
      </c>
      <c r="H314" s="94">
        <v>0.0</v>
      </c>
      <c r="I314" s="94">
        <v>0.0</v>
      </c>
      <c r="J314" s="95">
        <f t="shared" si="234"/>
        <v>0</v>
      </c>
      <c r="K314" s="87" t="str">
        <f t="shared" si="235"/>
        <v>#DIV/0!</v>
      </c>
      <c r="L314" s="94">
        <v>0.0</v>
      </c>
      <c r="M314" s="94">
        <v>0.0</v>
      </c>
      <c r="N314" s="85">
        <v>0.0</v>
      </c>
      <c r="O314" s="110">
        <f t="shared" si="236"/>
        <v>0</v>
      </c>
      <c r="P314" s="94">
        <v>0.0</v>
      </c>
      <c r="Q314" s="94">
        <v>0.0</v>
      </c>
      <c r="R314" s="94">
        <v>0.0</v>
      </c>
      <c r="S314" s="94">
        <v>0.0</v>
      </c>
      <c r="T314" s="94">
        <v>0.0</v>
      </c>
      <c r="U314" s="94">
        <v>0.0</v>
      </c>
      <c r="V314" s="94">
        <v>0.0</v>
      </c>
      <c r="W314" s="94">
        <v>0.0</v>
      </c>
      <c r="X314" s="94">
        <v>0.0</v>
      </c>
      <c r="Y314" s="94">
        <v>0.0</v>
      </c>
      <c r="Z314" s="94">
        <v>0.0</v>
      </c>
      <c r="AA314" s="94">
        <v>0.0</v>
      </c>
      <c r="AB314" s="94">
        <v>0.0</v>
      </c>
      <c r="AC314" s="94">
        <v>0.0</v>
      </c>
      <c r="AD314" s="94">
        <v>0.0</v>
      </c>
      <c r="AE314" s="94">
        <v>0.0</v>
      </c>
      <c r="AF314" s="94">
        <v>0.0</v>
      </c>
      <c r="AG314" s="94">
        <v>0.0</v>
      </c>
      <c r="AH314" s="94">
        <v>0.0</v>
      </c>
    </row>
    <row r="315" hidden="1">
      <c r="A315" s="83" t="s">
        <v>28</v>
      </c>
      <c r="B315" s="84" t="s">
        <v>183</v>
      </c>
      <c r="C315" s="85">
        <v>1.0</v>
      </c>
      <c r="D315" s="85">
        <v>1.0</v>
      </c>
      <c r="E315" s="86">
        <v>13.0</v>
      </c>
      <c r="F315" s="85">
        <v>4.0</v>
      </c>
      <c r="G315" s="85">
        <v>45.0</v>
      </c>
      <c r="H315" s="94">
        <v>0.0</v>
      </c>
      <c r="I315" s="85">
        <v>38.0</v>
      </c>
      <c r="J315" s="95">
        <f t="shared" si="234"/>
        <v>7</v>
      </c>
      <c r="K315" s="87">
        <f t="shared" si="235"/>
        <v>1.184210526</v>
      </c>
      <c r="L315" s="85">
        <v>17.0</v>
      </c>
      <c r="M315" s="85">
        <v>63.0</v>
      </c>
      <c r="N315" s="85">
        <v>1.0</v>
      </c>
      <c r="O315" s="110">
        <f t="shared" si="236"/>
        <v>13</v>
      </c>
      <c r="P315" s="85">
        <v>2.0</v>
      </c>
      <c r="Q315" s="85">
        <v>3.0</v>
      </c>
      <c r="R315" s="85">
        <v>2.0</v>
      </c>
      <c r="S315" s="85">
        <v>1.0</v>
      </c>
      <c r="T315" s="85">
        <v>6.0</v>
      </c>
      <c r="U315" s="85">
        <v>1.0</v>
      </c>
      <c r="V315" s="94">
        <v>0.0</v>
      </c>
      <c r="W315" s="94">
        <v>0.0</v>
      </c>
      <c r="X315" s="94">
        <v>0.0</v>
      </c>
      <c r="Y315" s="94">
        <v>0.0</v>
      </c>
      <c r="Z315" s="94">
        <v>0.0</v>
      </c>
      <c r="AA315" s="94">
        <v>0.0</v>
      </c>
      <c r="AB315" s="94">
        <v>0.0</v>
      </c>
      <c r="AC315" s="85">
        <v>2.0</v>
      </c>
      <c r="AD315" s="94">
        <v>0.0</v>
      </c>
      <c r="AE315" s="94">
        <v>0.0</v>
      </c>
      <c r="AF315" s="94">
        <v>0.0</v>
      </c>
      <c r="AG315" s="94">
        <v>0.0</v>
      </c>
      <c r="AH315" s="94">
        <v>0.0</v>
      </c>
    </row>
    <row r="316" hidden="1">
      <c r="A316" s="83" t="s">
        <v>28</v>
      </c>
      <c r="B316" s="84" t="s">
        <v>184</v>
      </c>
      <c r="C316" s="94">
        <v>0.0</v>
      </c>
      <c r="D316" s="94">
        <v>0.0</v>
      </c>
      <c r="E316" s="96">
        <f>SUM(L316*I316)/60</f>
        <v>0</v>
      </c>
      <c r="F316" s="94">
        <v>0.0</v>
      </c>
      <c r="G316" s="94">
        <v>0.0</v>
      </c>
      <c r="H316" s="94">
        <v>0.0</v>
      </c>
      <c r="I316" s="94">
        <v>0.0</v>
      </c>
      <c r="J316" s="95">
        <f t="shared" si="234"/>
        <v>0</v>
      </c>
      <c r="K316" s="87" t="str">
        <f t="shared" si="235"/>
        <v>#DIV/0!</v>
      </c>
      <c r="L316" s="94">
        <v>0.0</v>
      </c>
      <c r="M316" s="94">
        <v>0.0</v>
      </c>
      <c r="N316" s="85">
        <v>0.0</v>
      </c>
      <c r="O316" s="110">
        <f t="shared" si="236"/>
        <v>0</v>
      </c>
      <c r="P316" s="94">
        <v>0.0</v>
      </c>
      <c r="Q316" s="94">
        <v>0.0</v>
      </c>
      <c r="R316" s="94">
        <v>0.0</v>
      </c>
      <c r="S316" s="94">
        <v>0.0</v>
      </c>
      <c r="T316" s="94">
        <v>0.0</v>
      </c>
      <c r="U316" s="94">
        <v>0.0</v>
      </c>
      <c r="V316" s="94">
        <v>0.0</v>
      </c>
      <c r="W316" s="94">
        <v>0.0</v>
      </c>
      <c r="X316" s="94">
        <v>0.0</v>
      </c>
      <c r="Y316" s="94">
        <v>0.0</v>
      </c>
      <c r="Z316" s="94">
        <v>0.0</v>
      </c>
      <c r="AA316" s="94">
        <v>0.0</v>
      </c>
      <c r="AB316" s="94">
        <v>0.0</v>
      </c>
      <c r="AC316" s="94">
        <v>0.0</v>
      </c>
      <c r="AD316" s="94">
        <v>0.0</v>
      </c>
      <c r="AE316" s="94">
        <v>0.0</v>
      </c>
      <c r="AF316" s="94">
        <v>0.0</v>
      </c>
      <c r="AG316" s="94">
        <v>0.0</v>
      </c>
      <c r="AH316" s="94">
        <v>0.0</v>
      </c>
    </row>
    <row r="317" hidden="1">
      <c r="A317" s="89"/>
      <c r="B317" s="111"/>
      <c r="C317" s="111">
        <f t="shared" ref="C317:D317" si="237">SUM(C311:C316)/4</f>
        <v>1</v>
      </c>
      <c r="D317" s="111">
        <f t="shared" si="237"/>
        <v>1</v>
      </c>
      <c r="E317" s="91">
        <f t="shared" ref="E317:G317" si="238">SUM(E311:E316)</f>
        <v>52</v>
      </c>
      <c r="F317" s="111">
        <f t="shared" si="238"/>
        <v>5</v>
      </c>
      <c r="G317" s="111">
        <f t="shared" si="238"/>
        <v>172</v>
      </c>
      <c r="H317" s="111"/>
      <c r="I317" s="111">
        <f>SUM(I311:I316)</f>
        <v>142</v>
      </c>
      <c r="J317" s="111">
        <f t="shared" si="234"/>
        <v>30</v>
      </c>
      <c r="K317" s="92">
        <f t="shared" si="235"/>
        <v>1.211267606</v>
      </c>
      <c r="L317" s="111">
        <f t="shared" ref="L317:M317" si="239">SUM(L311:L316)</f>
        <v>76</v>
      </c>
      <c r="M317" s="111">
        <f t="shared" si="239"/>
        <v>223</v>
      </c>
      <c r="N317" s="111"/>
      <c r="O317" s="112"/>
      <c r="P317" s="111">
        <f t="shared" ref="P317:AH317" si="240">SUM(P311:P316)</f>
        <v>6</v>
      </c>
      <c r="Q317" s="111">
        <f t="shared" si="240"/>
        <v>6</v>
      </c>
      <c r="R317" s="111">
        <f t="shared" si="240"/>
        <v>12</v>
      </c>
      <c r="S317" s="111">
        <f t="shared" si="240"/>
        <v>1</v>
      </c>
      <c r="T317" s="111">
        <f t="shared" si="240"/>
        <v>22</v>
      </c>
      <c r="U317" s="111">
        <f t="shared" si="240"/>
        <v>5</v>
      </c>
      <c r="V317" s="111">
        <f t="shared" si="240"/>
        <v>3</v>
      </c>
      <c r="W317" s="111">
        <f t="shared" si="240"/>
        <v>0</v>
      </c>
      <c r="X317" s="111">
        <f t="shared" si="240"/>
        <v>0</v>
      </c>
      <c r="Y317" s="111">
        <f t="shared" si="240"/>
        <v>0</v>
      </c>
      <c r="Z317" s="111">
        <f t="shared" si="240"/>
        <v>0</v>
      </c>
      <c r="AA317" s="111">
        <f t="shared" si="240"/>
        <v>0</v>
      </c>
      <c r="AB317" s="111">
        <f t="shared" si="240"/>
        <v>0</v>
      </c>
      <c r="AC317" s="111">
        <f t="shared" si="240"/>
        <v>6</v>
      </c>
      <c r="AD317" s="111">
        <f t="shared" si="240"/>
        <v>0</v>
      </c>
      <c r="AE317" s="111">
        <f t="shared" si="240"/>
        <v>0</v>
      </c>
      <c r="AF317" s="111">
        <f t="shared" si="240"/>
        <v>0</v>
      </c>
      <c r="AG317" s="111">
        <f t="shared" si="240"/>
        <v>2</v>
      </c>
      <c r="AH317" s="111">
        <f t="shared" si="240"/>
        <v>0</v>
      </c>
    </row>
    <row r="318" hidden="1">
      <c r="A318" s="83" t="s">
        <v>47</v>
      </c>
      <c r="B318" s="84" t="s">
        <v>237</v>
      </c>
      <c r="C318" s="85">
        <v>1.0</v>
      </c>
      <c r="D318" s="94">
        <v>0.0</v>
      </c>
      <c r="E318" s="86">
        <v>13.0</v>
      </c>
      <c r="F318" s="94">
        <v>0.0</v>
      </c>
      <c r="G318" s="85">
        <v>52.0</v>
      </c>
      <c r="H318" s="94">
        <v>0.0</v>
      </c>
      <c r="I318" s="85">
        <v>48.0</v>
      </c>
      <c r="J318" s="95">
        <f t="shared" si="234"/>
        <v>4</v>
      </c>
      <c r="K318" s="87">
        <f t="shared" si="235"/>
        <v>1.083333333</v>
      </c>
      <c r="L318" s="85">
        <v>13.0</v>
      </c>
      <c r="M318" s="85">
        <v>65.0</v>
      </c>
      <c r="N318" s="85">
        <v>1.0</v>
      </c>
      <c r="O318" s="110">
        <f t="shared" ref="O318:O323" si="241">(E318*N318)</f>
        <v>13</v>
      </c>
      <c r="P318" s="85">
        <v>3.0</v>
      </c>
      <c r="Q318" s="85">
        <v>1.0</v>
      </c>
      <c r="R318" s="85">
        <v>5.0</v>
      </c>
      <c r="S318" s="85">
        <v>1.0</v>
      </c>
      <c r="T318" s="85">
        <v>7.0</v>
      </c>
      <c r="U318" s="85">
        <v>1.0</v>
      </c>
      <c r="V318" s="85">
        <v>1.0</v>
      </c>
      <c r="W318" s="94">
        <v>0.0</v>
      </c>
      <c r="X318" s="94">
        <v>0.0</v>
      </c>
      <c r="Y318" s="94">
        <v>0.0</v>
      </c>
      <c r="Z318" s="94">
        <v>0.0</v>
      </c>
      <c r="AA318" s="94">
        <v>0.0</v>
      </c>
      <c r="AB318" s="94">
        <v>0.0</v>
      </c>
      <c r="AC318" s="85">
        <v>0.0</v>
      </c>
      <c r="AD318" s="94">
        <v>0.0</v>
      </c>
      <c r="AE318" s="94">
        <v>0.0</v>
      </c>
      <c r="AF318" s="94">
        <v>0.0</v>
      </c>
      <c r="AG318" s="94">
        <v>0.0</v>
      </c>
      <c r="AH318" s="94">
        <v>0.0</v>
      </c>
    </row>
    <row r="319" hidden="1">
      <c r="A319" s="83" t="s">
        <v>47</v>
      </c>
      <c r="B319" s="84" t="s">
        <v>238</v>
      </c>
      <c r="C319" s="85">
        <v>1.0</v>
      </c>
      <c r="D319" s="94">
        <v>0.0</v>
      </c>
      <c r="E319" s="86">
        <v>13.0</v>
      </c>
      <c r="F319" s="85">
        <v>1.0</v>
      </c>
      <c r="G319" s="85">
        <v>17.0</v>
      </c>
      <c r="H319" s="94">
        <v>0.0</v>
      </c>
      <c r="I319" s="85">
        <v>34.0</v>
      </c>
      <c r="J319" s="95">
        <f t="shared" si="234"/>
        <v>-17</v>
      </c>
      <c r="K319" s="87">
        <f t="shared" si="235"/>
        <v>0.5</v>
      </c>
      <c r="L319" s="85">
        <v>19.0</v>
      </c>
      <c r="M319" s="85">
        <v>25.0</v>
      </c>
      <c r="N319" s="85">
        <v>1.0</v>
      </c>
      <c r="O319" s="110">
        <f t="shared" si="241"/>
        <v>13</v>
      </c>
      <c r="P319" s="85">
        <v>2.0</v>
      </c>
      <c r="Q319" s="94">
        <v>0.0</v>
      </c>
      <c r="R319" s="85">
        <v>1.0</v>
      </c>
      <c r="S319" s="85">
        <v>3.0</v>
      </c>
      <c r="T319" s="85">
        <v>1.0</v>
      </c>
      <c r="U319" s="94">
        <v>0.0</v>
      </c>
      <c r="V319" s="94">
        <v>0.0</v>
      </c>
      <c r="W319" s="94">
        <v>0.0</v>
      </c>
      <c r="X319" s="94">
        <v>0.0</v>
      </c>
      <c r="Y319" s="94">
        <v>0.0</v>
      </c>
      <c r="Z319" s="94">
        <v>0.0</v>
      </c>
      <c r="AA319" s="94">
        <v>0.0</v>
      </c>
      <c r="AB319" s="94">
        <v>0.0</v>
      </c>
      <c r="AC319" s="94">
        <v>0.0</v>
      </c>
      <c r="AD319" s="94">
        <v>0.0</v>
      </c>
      <c r="AE319" s="94">
        <v>0.0</v>
      </c>
      <c r="AF319" s="94">
        <v>0.0</v>
      </c>
      <c r="AG319" s="94">
        <v>0.0</v>
      </c>
      <c r="AH319" s="94">
        <v>0.0</v>
      </c>
    </row>
    <row r="320" hidden="1">
      <c r="A320" s="83" t="s">
        <v>47</v>
      </c>
      <c r="B320" s="84" t="s">
        <v>239</v>
      </c>
      <c r="C320" s="85">
        <v>1.0</v>
      </c>
      <c r="D320" s="94">
        <v>0.0</v>
      </c>
      <c r="E320" s="86">
        <v>13.0</v>
      </c>
      <c r="F320" s="94">
        <v>0.0</v>
      </c>
      <c r="G320" s="85">
        <v>37.0</v>
      </c>
      <c r="H320" s="94">
        <v>0.0</v>
      </c>
      <c r="I320" s="85">
        <v>54.0</v>
      </c>
      <c r="J320" s="95">
        <f t="shared" si="234"/>
        <v>-17</v>
      </c>
      <c r="K320" s="87">
        <f t="shared" si="235"/>
        <v>0.6851851852</v>
      </c>
      <c r="L320" s="85">
        <v>11.0</v>
      </c>
      <c r="M320" s="85">
        <v>45.0</v>
      </c>
      <c r="N320" s="85">
        <v>1.0</v>
      </c>
      <c r="O320" s="110">
        <f t="shared" si="241"/>
        <v>13</v>
      </c>
      <c r="P320" s="94">
        <v>0.0</v>
      </c>
      <c r="Q320" s="94">
        <v>0.0</v>
      </c>
      <c r="R320" s="85">
        <v>8.0</v>
      </c>
      <c r="S320" s="94">
        <v>0.0</v>
      </c>
      <c r="T320" s="85">
        <v>2.0</v>
      </c>
      <c r="U320" s="85">
        <v>1.0</v>
      </c>
      <c r="V320" s="85">
        <v>1.0</v>
      </c>
      <c r="W320" s="94">
        <v>0.0</v>
      </c>
      <c r="X320" s="94">
        <v>0.0</v>
      </c>
      <c r="Y320" s="94">
        <v>0.0</v>
      </c>
      <c r="Z320" s="94">
        <v>0.0</v>
      </c>
      <c r="AA320" s="94">
        <v>0.0</v>
      </c>
      <c r="AB320" s="94">
        <v>0.0</v>
      </c>
      <c r="AC320" s="94">
        <v>0.0</v>
      </c>
      <c r="AD320" s="94">
        <v>0.0</v>
      </c>
      <c r="AE320" s="94">
        <v>0.0</v>
      </c>
      <c r="AF320" s="94">
        <v>0.0</v>
      </c>
      <c r="AG320" s="94">
        <v>0.0</v>
      </c>
      <c r="AH320" s="94">
        <v>0.0</v>
      </c>
    </row>
    <row r="321" hidden="1">
      <c r="A321" s="83" t="s">
        <v>47</v>
      </c>
      <c r="B321" s="84" t="s">
        <v>240</v>
      </c>
      <c r="C321" s="85">
        <v>1.0</v>
      </c>
      <c r="D321" s="94">
        <v>0.0</v>
      </c>
      <c r="E321" s="86">
        <v>13.0</v>
      </c>
      <c r="F321" s="94">
        <v>0.0</v>
      </c>
      <c r="G321" s="85">
        <v>30.0</v>
      </c>
      <c r="H321" s="94">
        <v>0.0</v>
      </c>
      <c r="I321" s="85">
        <v>44.0</v>
      </c>
      <c r="J321" s="95">
        <f t="shared" si="234"/>
        <v>-14</v>
      </c>
      <c r="K321" s="87">
        <f t="shared" si="235"/>
        <v>0.6818181818</v>
      </c>
      <c r="L321" s="85">
        <v>14.0</v>
      </c>
      <c r="M321" s="85">
        <v>37.0</v>
      </c>
      <c r="N321" s="85">
        <v>1.0</v>
      </c>
      <c r="O321" s="110">
        <f t="shared" si="241"/>
        <v>13</v>
      </c>
      <c r="P321" s="85">
        <v>1.0</v>
      </c>
      <c r="Q321" s="94">
        <v>0.0</v>
      </c>
      <c r="R321" s="85">
        <v>1.0</v>
      </c>
      <c r="S321" s="94">
        <v>0.0</v>
      </c>
      <c r="T321" s="85">
        <v>5.0</v>
      </c>
      <c r="U321" s="85">
        <v>2.0</v>
      </c>
      <c r="V321" s="94">
        <v>0.0</v>
      </c>
      <c r="W321" s="94">
        <v>0.0</v>
      </c>
      <c r="X321" s="94">
        <v>0.0</v>
      </c>
      <c r="Y321" s="94">
        <v>0.0</v>
      </c>
      <c r="Z321" s="94">
        <v>0.0</v>
      </c>
      <c r="AA321" s="94">
        <v>0.0</v>
      </c>
      <c r="AB321" s="94">
        <v>0.0</v>
      </c>
      <c r="AC321" s="94">
        <v>0.0</v>
      </c>
      <c r="AD321" s="85">
        <v>1.0</v>
      </c>
      <c r="AE321" s="94">
        <v>0.0</v>
      </c>
      <c r="AF321" s="94">
        <v>0.0</v>
      </c>
      <c r="AG321" s="94">
        <v>0.0</v>
      </c>
      <c r="AH321" s="94">
        <v>0.0</v>
      </c>
    </row>
    <row r="322" hidden="1">
      <c r="A322" s="83" t="s">
        <v>47</v>
      </c>
      <c r="B322" s="84" t="s">
        <v>241</v>
      </c>
      <c r="C322" s="94">
        <v>0.0</v>
      </c>
      <c r="D322" s="94">
        <v>0.0</v>
      </c>
      <c r="E322" s="96">
        <f t="shared" ref="E322:E323" si="242">SUM(L322*I322)/60</f>
        <v>0</v>
      </c>
      <c r="F322" s="94">
        <v>0.0</v>
      </c>
      <c r="G322" s="94">
        <v>0.0</v>
      </c>
      <c r="H322" s="94">
        <v>0.0</v>
      </c>
      <c r="I322" s="94">
        <v>0.0</v>
      </c>
      <c r="J322" s="95">
        <f t="shared" si="234"/>
        <v>0</v>
      </c>
      <c r="K322" s="87" t="str">
        <f t="shared" si="235"/>
        <v>#DIV/0!</v>
      </c>
      <c r="L322" s="94">
        <v>0.0</v>
      </c>
      <c r="M322" s="94">
        <v>0.0</v>
      </c>
      <c r="N322" s="85">
        <v>0.0</v>
      </c>
      <c r="O322" s="110">
        <f t="shared" si="241"/>
        <v>0</v>
      </c>
      <c r="P322" s="94">
        <v>0.0</v>
      </c>
      <c r="Q322" s="94">
        <v>0.0</v>
      </c>
      <c r="R322" s="94">
        <v>0.0</v>
      </c>
      <c r="S322" s="94">
        <v>0.0</v>
      </c>
      <c r="T322" s="94">
        <v>0.0</v>
      </c>
      <c r="U322" s="94">
        <v>0.0</v>
      </c>
      <c r="V322" s="94">
        <v>0.0</v>
      </c>
      <c r="W322" s="94">
        <v>0.0</v>
      </c>
      <c r="X322" s="94">
        <v>0.0</v>
      </c>
      <c r="Y322" s="94">
        <v>0.0</v>
      </c>
      <c r="Z322" s="94">
        <v>0.0</v>
      </c>
      <c r="AA322" s="94">
        <v>0.0</v>
      </c>
      <c r="AB322" s="94">
        <v>0.0</v>
      </c>
      <c r="AC322" s="94">
        <v>0.0</v>
      </c>
      <c r="AD322" s="94">
        <v>0.0</v>
      </c>
      <c r="AE322" s="94">
        <v>0.0</v>
      </c>
      <c r="AF322" s="94">
        <v>0.0</v>
      </c>
      <c r="AG322" s="94">
        <v>0.0</v>
      </c>
      <c r="AH322" s="94">
        <v>0.0</v>
      </c>
    </row>
    <row r="323" hidden="1">
      <c r="A323" s="83" t="s">
        <v>47</v>
      </c>
      <c r="B323" s="114"/>
      <c r="C323" s="94">
        <v>0.0</v>
      </c>
      <c r="D323" s="94">
        <v>0.0</v>
      </c>
      <c r="E323" s="96">
        <f t="shared" si="242"/>
        <v>0</v>
      </c>
      <c r="F323" s="94">
        <v>0.0</v>
      </c>
      <c r="G323" s="94">
        <v>0.0</v>
      </c>
      <c r="H323" s="94">
        <v>0.0</v>
      </c>
      <c r="I323" s="94">
        <v>0.0</v>
      </c>
      <c r="J323" s="95">
        <f t="shared" si="234"/>
        <v>0</v>
      </c>
      <c r="K323" s="87" t="str">
        <f t="shared" si="235"/>
        <v>#DIV/0!</v>
      </c>
      <c r="L323" s="94">
        <v>0.0</v>
      </c>
      <c r="M323" s="94">
        <v>0.0</v>
      </c>
      <c r="N323" s="85">
        <v>0.0</v>
      </c>
      <c r="O323" s="110">
        <f t="shared" si="241"/>
        <v>0</v>
      </c>
      <c r="P323" s="94">
        <v>0.0</v>
      </c>
      <c r="Q323" s="94">
        <v>0.0</v>
      </c>
      <c r="R323" s="94">
        <v>0.0</v>
      </c>
      <c r="S323" s="94">
        <v>0.0</v>
      </c>
      <c r="T323" s="94">
        <v>0.0</v>
      </c>
      <c r="U323" s="94">
        <v>0.0</v>
      </c>
      <c r="V323" s="94">
        <v>0.0</v>
      </c>
      <c r="W323" s="94">
        <v>0.0</v>
      </c>
      <c r="X323" s="94">
        <v>0.0</v>
      </c>
      <c r="Y323" s="94">
        <v>0.0</v>
      </c>
      <c r="Z323" s="94">
        <v>0.0</v>
      </c>
      <c r="AA323" s="94">
        <v>0.0</v>
      </c>
      <c r="AB323" s="94">
        <v>0.0</v>
      </c>
      <c r="AC323" s="94">
        <v>0.0</v>
      </c>
      <c r="AD323" s="94">
        <v>0.0</v>
      </c>
      <c r="AE323" s="94">
        <v>0.0</v>
      </c>
      <c r="AF323" s="94">
        <v>0.0</v>
      </c>
      <c r="AG323" s="94">
        <v>0.0</v>
      </c>
      <c r="AH323" s="94">
        <v>0.0</v>
      </c>
    </row>
    <row r="324" hidden="1">
      <c r="A324" s="89" t="s">
        <v>185</v>
      </c>
      <c r="B324" s="111"/>
      <c r="C324" s="111">
        <f>SUM(C318:C323)</f>
        <v>4</v>
      </c>
      <c r="D324" s="111">
        <f t="shared" ref="D324:E324" si="243">SUM(D318:D323)/4</f>
        <v>0</v>
      </c>
      <c r="E324" s="91">
        <f t="shared" si="243"/>
        <v>13</v>
      </c>
      <c r="F324" s="111">
        <f t="shared" ref="F324:G324" si="244">SUM(F318:F323)</f>
        <v>1</v>
      </c>
      <c r="G324" s="111">
        <f t="shared" si="244"/>
        <v>136</v>
      </c>
      <c r="H324" s="111"/>
      <c r="I324" s="111">
        <f>SUM(I318:I323)</f>
        <v>180</v>
      </c>
      <c r="J324" s="111">
        <f t="shared" si="234"/>
        <v>-44</v>
      </c>
      <c r="K324" s="92">
        <f t="shared" si="235"/>
        <v>0.7555555556</v>
      </c>
      <c r="L324" s="111">
        <f t="shared" ref="L324:M324" si="245">SUM(L318:L323)</f>
        <v>57</v>
      </c>
      <c r="M324" s="111">
        <f t="shared" si="245"/>
        <v>172</v>
      </c>
      <c r="N324" s="111"/>
      <c r="O324" s="112"/>
      <c r="P324" s="111">
        <f t="shared" ref="P324:AH324" si="246">SUM(P318:P323)</f>
        <v>6</v>
      </c>
      <c r="Q324" s="111">
        <f t="shared" si="246"/>
        <v>1</v>
      </c>
      <c r="R324" s="111">
        <f t="shared" si="246"/>
        <v>15</v>
      </c>
      <c r="S324" s="111">
        <f t="shared" si="246"/>
        <v>4</v>
      </c>
      <c r="T324" s="111">
        <f t="shared" si="246"/>
        <v>15</v>
      </c>
      <c r="U324" s="111">
        <f t="shared" si="246"/>
        <v>4</v>
      </c>
      <c r="V324" s="111">
        <f t="shared" si="246"/>
        <v>2</v>
      </c>
      <c r="W324" s="111">
        <f t="shared" si="246"/>
        <v>0</v>
      </c>
      <c r="X324" s="111">
        <f t="shared" si="246"/>
        <v>0</v>
      </c>
      <c r="Y324" s="111">
        <f t="shared" si="246"/>
        <v>0</v>
      </c>
      <c r="Z324" s="111">
        <f t="shared" si="246"/>
        <v>0</v>
      </c>
      <c r="AA324" s="111">
        <f t="shared" si="246"/>
        <v>0</v>
      </c>
      <c r="AB324" s="111">
        <f t="shared" si="246"/>
        <v>0</v>
      </c>
      <c r="AC324" s="111">
        <f t="shared" si="246"/>
        <v>0</v>
      </c>
      <c r="AD324" s="111">
        <f t="shared" si="246"/>
        <v>1</v>
      </c>
      <c r="AE324" s="111">
        <f t="shared" si="246"/>
        <v>0</v>
      </c>
      <c r="AF324" s="111">
        <f t="shared" si="246"/>
        <v>0</v>
      </c>
      <c r="AG324" s="111">
        <f t="shared" si="246"/>
        <v>0</v>
      </c>
      <c r="AH324" s="111">
        <f t="shared" si="246"/>
        <v>0</v>
      </c>
    </row>
    <row r="325">
      <c r="A325" s="115" t="s">
        <v>273</v>
      </c>
    </row>
    <row r="327" hidden="1">
      <c r="A327" s="105"/>
      <c r="F327" s="106" t="s">
        <v>251</v>
      </c>
      <c r="L327" s="107" t="s">
        <v>252</v>
      </c>
      <c r="N327" s="108" t="s">
        <v>253</v>
      </c>
    </row>
    <row r="328" hidden="1">
      <c r="A328" s="76" t="s">
        <v>148</v>
      </c>
      <c r="B328" s="76" t="s">
        <v>149</v>
      </c>
      <c r="C328" s="76" t="s">
        <v>150</v>
      </c>
      <c r="D328" s="76" t="s">
        <v>13</v>
      </c>
      <c r="E328" s="77" t="s">
        <v>151</v>
      </c>
      <c r="F328" s="78" t="s">
        <v>15</v>
      </c>
      <c r="G328" s="78" t="s">
        <v>152</v>
      </c>
      <c r="H328" s="78" t="s">
        <v>153</v>
      </c>
      <c r="I328" s="78" t="s">
        <v>154</v>
      </c>
      <c r="J328" s="78" t="s">
        <v>155</v>
      </c>
      <c r="K328" s="79" t="s">
        <v>156</v>
      </c>
      <c r="L328" s="80" t="s">
        <v>157</v>
      </c>
      <c r="M328" s="80" t="s">
        <v>158</v>
      </c>
      <c r="N328" s="81" t="s">
        <v>254</v>
      </c>
      <c r="O328" s="81" t="s">
        <v>151</v>
      </c>
      <c r="P328" s="81" t="s">
        <v>160</v>
      </c>
      <c r="Q328" s="81" t="s">
        <v>161</v>
      </c>
      <c r="R328" s="81" t="s">
        <v>162</v>
      </c>
      <c r="S328" s="81" t="s">
        <v>163</v>
      </c>
      <c r="T328" s="81" t="s">
        <v>164</v>
      </c>
      <c r="U328" s="81" t="s">
        <v>165</v>
      </c>
      <c r="V328" s="81" t="s">
        <v>166</v>
      </c>
      <c r="W328" s="81" t="s">
        <v>167</v>
      </c>
      <c r="X328" s="81" t="s">
        <v>168</v>
      </c>
      <c r="Y328" s="81" t="s">
        <v>169</v>
      </c>
      <c r="Z328" s="81" t="s">
        <v>170</v>
      </c>
      <c r="AA328" s="81" t="s">
        <v>171</v>
      </c>
      <c r="AB328" s="81" t="s">
        <v>172</v>
      </c>
      <c r="AC328" s="81" t="s">
        <v>173</v>
      </c>
      <c r="AD328" s="81" t="s">
        <v>174</v>
      </c>
      <c r="AE328" s="81" t="s">
        <v>175</v>
      </c>
      <c r="AF328" s="81" t="s">
        <v>176</v>
      </c>
      <c r="AG328" s="81" t="s">
        <v>177</v>
      </c>
      <c r="AH328" s="81" t="s">
        <v>178</v>
      </c>
    </row>
    <row r="329" hidden="1">
      <c r="A329" s="83" t="s">
        <v>28</v>
      </c>
      <c r="B329" s="84" t="s">
        <v>179</v>
      </c>
      <c r="C329" s="85">
        <v>1.0</v>
      </c>
      <c r="D329" s="85">
        <v>1.0</v>
      </c>
      <c r="E329" s="86">
        <v>20.0</v>
      </c>
      <c r="F329" s="94">
        <v>0.0</v>
      </c>
      <c r="G329" s="85">
        <v>47.0</v>
      </c>
      <c r="H329" s="94">
        <v>0.0</v>
      </c>
      <c r="I329" s="85">
        <v>61.0</v>
      </c>
      <c r="J329" s="95">
        <f t="shared" ref="J329:J342" si="247">SUM(G329-I329)</f>
        <v>-14</v>
      </c>
      <c r="K329" s="87">
        <f t="shared" ref="K329:K342" si="248">SUM(G329/I329)</f>
        <v>0.7704918033</v>
      </c>
      <c r="L329" s="85">
        <v>16.0</v>
      </c>
      <c r="M329" s="85">
        <v>63.0</v>
      </c>
      <c r="N329" s="85">
        <v>1.0</v>
      </c>
      <c r="O329" s="110">
        <f t="shared" ref="O329:O334" si="249">(E329*N329)</f>
        <v>20</v>
      </c>
      <c r="P329" s="85">
        <v>2.0</v>
      </c>
      <c r="Q329" s="85">
        <v>3.0</v>
      </c>
      <c r="R329" s="85">
        <v>7.0</v>
      </c>
      <c r="S329" s="94">
        <v>0.0</v>
      </c>
      <c r="T329" s="85">
        <v>6.0</v>
      </c>
      <c r="U329" s="85">
        <v>2.0</v>
      </c>
      <c r="V329" s="94">
        <v>0.0</v>
      </c>
      <c r="W329" s="94">
        <v>0.0</v>
      </c>
      <c r="X329" s="94">
        <v>0.0</v>
      </c>
      <c r="Y329" s="94">
        <v>0.0</v>
      </c>
      <c r="Z329" s="94">
        <v>0.0</v>
      </c>
      <c r="AA329" s="94">
        <v>0.0</v>
      </c>
      <c r="AB329" s="94">
        <v>0.0</v>
      </c>
      <c r="AC329" s="94">
        <v>0.0</v>
      </c>
      <c r="AD329" s="94">
        <v>0.0</v>
      </c>
      <c r="AE329" s="94">
        <v>0.0</v>
      </c>
      <c r="AF329" s="94">
        <v>0.0</v>
      </c>
      <c r="AG329" s="94">
        <v>0.0</v>
      </c>
      <c r="AH329" s="94">
        <v>0.0</v>
      </c>
    </row>
    <row r="330" hidden="1">
      <c r="A330" s="83" t="s">
        <v>28</v>
      </c>
      <c r="B330" s="84" t="s">
        <v>180</v>
      </c>
      <c r="C330" s="85">
        <v>1.0</v>
      </c>
      <c r="D330" s="85">
        <v>1.0</v>
      </c>
      <c r="E330" s="86">
        <v>20.0</v>
      </c>
      <c r="F330" s="94">
        <v>0.0</v>
      </c>
      <c r="G330" s="85">
        <v>87.0</v>
      </c>
      <c r="H330" s="85">
        <v>2.0</v>
      </c>
      <c r="I330" s="85">
        <v>56.0</v>
      </c>
      <c r="J330" s="95">
        <f t="shared" si="247"/>
        <v>31</v>
      </c>
      <c r="K330" s="87">
        <f t="shared" si="248"/>
        <v>1.553571429</v>
      </c>
      <c r="L330" s="85">
        <v>18.0</v>
      </c>
      <c r="M330" s="85">
        <v>119.0</v>
      </c>
      <c r="N330" s="85">
        <v>1.0</v>
      </c>
      <c r="O330" s="110">
        <f t="shared" si="249"/>
        <v>20</v>
      </c>
      <c r="P330" s="85">
        <v>3.0</v>
      </c>
      <c r="Q330" s="85">
        <v>3.0</v>
      </c>
      <c r="R330" s="85">
        <v>5.0</v>
      </c>
      <c r="S330" s="85">
        <v>2.0</v>
      </c>
      <c r="T330" s="85">
        <v>17.0</v>
      </c>
      <c r="U330" s="85">
        <v>5.0</v>
      </c>
      <c r="V330" s="85">
        <v>2.0</v>
      </c>
      <c r="W330" s="94">
        <v>0.0</v>
      </c>
      <c r="X330" s="94">
        <v>0.0</v>
      </c>
      <c r="Y330" s="94">
        <v>0.0</v>
      </c>
      <c r="Z330" s="94">
        <v>0.0</v>
      </c>
      <c r="AA330" s="94">
        <v>0.0</v>
      </c>
      <c r="AB330" s="94">
        <v>0.0</v>
      </c>
      <c r="AC330" s="85">
        <v>4.0</v>
      </c>
      <c r="AD330" s="94">
        <v>0.0</v>
      </c>
      <c r="AE330" s="94">
        <v>0.0</v>
      </c>
      <c r="AF330" s="94">
        <v>0.0</v>
      </c>
      <c r="AG330" s="94">
        <v>0.0</v>
      </c>
      <c r="AH330" s="94">
        <v>0.0</v>
      </c>
    </row>
    <row r="331" hidden="1">
      <c r="A331" s="83" t="s">
        <v>28</v>
      </c>
      <c r="B331" s="84" t="s">
        <v>181</v>
      </c>
      <c r="C331" s="85">
        <v>1.0</v>
      </c>
      <c r="D331" s="85">
        <v>1.0</v>
      </c>
      <c r="E331" s="86">
        <v>20.0</v>
      </c>
      <c r="F331" s="85">
        <v>1.0</v>
      </c>
      <c r="G331" s="85">
        <v>88.0</v>
      </c>
      <c r="H331" s="94">
        <v>0.0</v>
      </c>
      <c r="I331" s="85">
        <v>65.0</v>
      </c>
      <c r="J331" s="95">
        <f t="shared" si="247"/>
        <v>23</v>
      </c>
      <c r="K331" s="87">
        <f t="shared" si="248"/>
        <v>1.353846154</v>
      </c>
      <c r="L331" s="85">
        <v>15.0</v>
      </c>
      <c r="M331" s="85">
        <v>126.0</v>
      </c>
      <c r="N331" s="85">
        <v>1.0</v>
      </c>
      <c r="O331" s="110">
        <f t="shared" si="249"/>
        <v>20</v>
      </c>
      <c r="P331" s="85">
        <v>5.0</v>
      </c>
      <c r="Q331" s="94">
        <v>0.0</v>
      </c>
      <c r="R331" s="85">
        <v>5.0</v>
      </c>
      <c r="S331" s="94">
        <v>0.0</v>
      </c>
      <c r="T331" s="85">
        <v>15.0</v>
      </c>
      <c r="U331" s="85">
        <v>5.0</v>
      </c>
      <c r="V331" s="85">
        <v>2.0</v>
      </c>
      <c r="W331" s="85">
        <v>1.0</v>
      </c>
      <c r="X331" s="94">
        <v>0.0</v>
      </c>
      <c r="Y331" s="94">
        <v>0.0</v>
      </c>
      <c r="Z331" s="94">
        <v>0.0</v>
      </c>
      <c r="AA331" s="94">
        <v>0.0</v>
      </c>
      <c r="AB331" s="94">
        <v>0.0</v>
      </c>
      <c r="AC331" s="85">
        <v>5.0</v>
      </c>
      <c r="AD331" s="85">
        <v>1.0</v>
      </c>
      <c r="AE331" s="94">
        <v>0.0</v>
      </c>
      <c r="AF331" s="94">
        <v>0.0</v>
      </c>
      <c r="AG331" s="94">
        <v>0.0</v>
      </c>
      <c r="AH331" s="94">
        <v>0.0</v>
      </c>
    </row>
    <row r="332" hidden="1">
      <c r="A332" s="83" t="s">
        <v>28</v>
      </c>
      <c r="B332" s="84" t="s">
        <v>182</v>
      </c>
      <c r="C332" s="94">
        <v>0.0</v>
      </c>
      <c r="D332" s="94">
        <v>0.0</v>
      </c>
      <c r="E332" s="96">
        <f>SUM(L332*I332)/60</f>
        <v>0</v>
      </c>
      <c r="F332" s="94">
        <v>0.0</v>
      </c>
      <c r="G332" s="94">
        <v>0.0</v>
      </c>
      <c r="H332" s="94">
        <v>0.0</v>
      </c>
      <c r="I332" s="94">
        <v>0.0</v>
      </c>
      <c r="J332" s="95">
        <f t="shared" si="247"/>
        <v>0</v>
      </c>
      <c r="K332" s="87" t="str">
        <f t="shared" si="248"/>
        <v>#DIV/0!</v>
      </c>
      <c r="L332" s="94">
        <v>0.0</v>
      </c>
      <c r="M332" s="94">
        <v>0.0</v>
      </c>
      <c r="N332" s="85">
        <v>0.0</v>
      </c>
      <c r="O332" s="110">
        <f t="shared" si="249"/>
        <v>0</v>
      </c>
      <c r="P332" s="94">
        <v>0.0</v>
      </c>
      <c r="Q332" s="94">
        <v>0.0</v>
      </c>
      <c r="R332" s="94">
        <v>0.0</v>
      </c>
      <c r="S332" s="94">
        <v>0.0</v>
      </c>
      <c r="T332" s="94">
        <v>0.0</v>
      </c>
      <c r="U332" s="94">
        <v>0.0</v>
      </c>
      <c r="V332" s="94">
        <v>0.0</v>
      </c>
      <c r="W332" s="94">
        <v>0.0</v>
      </c>
      <c r="X332" s="94">
        <v>0.0</v>
      </c>
      <c r="Y332" s="94">
        <v>0.0</v>
      </c>
      <c r="Z332" s="94">
        <v>0.0</v>
      </c>
      <c r="AA332" s="94">
        <v>0.0</v>
      </c>
      <c r="AB332" s="94">
        <v>0.0</v>
      </c>
      <c r="AC332" s="94">
        <v>0.0</v>
      </c>
      <c r="AD332" s="94">
        <v>0.0</v>
      </c>
      <c r="AE332" s="94">
        <v>0.0</v>
      </c>
      <c r="AF332" s="94">
        <v>0.0</v>
      </c>
      <c r="AG332" s="94">
        <v>0.0</v>
      </c>
      <c r="AH332" s="94">
        <v>0.0</v>
      </c>
    </row>
    <row r="333" hidden="1">
      <c r="A333" s="83" t="s">
        <v>28</v>
      </c>
      <c r="B333" s="84" t="s">
        <v>183</v>
      </c>
      <c r="C333" s="85">
        <v>1.0</v>
      </c>
      <c r="D333" s="85">
        <v>1.0</v>
      </c>
      <c r="E333" s="86">
        <v>20.0</v>
      </c>
      <c r="F333" s="85">
        <v>4.0</v>
      </c>
      <c r="G333" s="85">
        <v>42.0</v>
      </c>
      <c r="H333" s="94">
        <v>0.0</v>
      </c>
      <c r="I333" s="85">
        <v>62.0</v>
      </c>
      <c r="J333" s="95">
        <f t="shared" si="247"/>
        <v>-20</v>
      </c>
      <c r="K333" s="87">
        <f t="shared" si="248"/>
        <v>0.6774193548</v>
      </c>
      <c r="L333" s="85">
        <v>16.0</v>
      </c>
      <c r="M333" s="85">
        <v>58.0</v>
      </c>
      <c r="N333" s="85">
        <v>1.0</v>
      </c>
      <c r="O333" s="110">
        <f t="shared" si="249"/>
        <v>20</v>
      </c>
      <c r="P333" s="85">
        <v>5.0</v>
      </c>
      <c r="Q333" s="85">
        <v>3.0</v>
      </c>
      <c r="R333" s="85">
        <v>1.0</v>
      </c>
      <c r="S333" s="85">
        <v>2.0</v>
      </c>
      <c r="T333" s="85">
        <v>4.0</v>
      </c>
      <c r="U333" s="85">
        <v>1.0</v>
      </c>
      <c r="V333" s="94">
        <v>0.0</v>
      </c>
      <c r="W333" s="94">
        <v>0.0</v>
      </c>
      <c r="X333" s="94">
        <v>0.0</v>
      </c>
      <c r="Y333" s="94">
        <v>0.0</v>
      </c>
      <c r="Z333" s="94">
        <v>0.0</v>
      </c>
      <c r="AA333" s="94">
        <v>0.0</v>
      </c>
      <c r="AB333" s="94">
        <v>0.0</v>
      </c>
      <c r="AC333" s="94">
        <v>0.0</v>
      </c>
      <c r="AD333" s="94">
        <v>0.0</v>
      </c>
      <c r="AE333" s="94">
        <v>0.0</v>
      </c>
      <c r="AF333" s="94">
        <v>0.0</v>
      </c>
      <c r="AG333" s="94">
        <v>0.0</v>
      </c>
      <c r="AH333" s="94">
        <v>0.0</v>
      </c>
    </row>
    <row r="334" hidden="1">
      <c r="A334" s="83" t="s">
        <v>28</v>
      </c>
      <c r="B334" s="84" t="s">
        <v>184</v>
      </c>
      <c r="C334" s="94">
        <v>0.0</v>
      </c>
      <c r="D334" s="94">
        <v>0.0</v>
      </c>
      <c r="E334" s="96">
        <f>SUM(L334*I334)/60</f>
        <v>0</v>
      </c>
      <c r="F334" s="94">
        <v>0.0</v>
      </c>
      <c r="G334" s="94">
        <v>0.0</v>
      </c>
      <c r="H334" s="94">
        <v>0.0</v>
      </c>
      <c r="I334" s="94">
        <v>0.0</v>
      </c>
      <c r="J334" s="95">
        <f t="shared" si="247"/>
        <v>0</v>
      </c>
      <c r="K334" s="87" t="str">
        <f t="shared" si="248"/>
        <v>#DIV/0!</v>
      </c>
      <c r="L334" s="94">
        <v>0.0</v>
      </c>
      <c r="M334" s="94">
        <v>0.0</v>
      </c>
      <c r="N334" s="85">
        <v>0.0</v>
      </c>
      <c r="O334" s="110">
        <f t="shared" si="249"/>
        <v>0</v>
      </c>
      <c r="P334" s="94">
        <v>0.0</v>
      </c>
      <c r="Q334" s="94">
        <v>0.0</v>
      </c>
      <c r="R334" s="94">
        <v>0.0</v>
      </c>
      <c r="S334" s="94">
        <v>0.0</v>
      </c>
      <c r="T334" s="94">
        <v>0.0</v>
      </c>
      <c r="U334" s="94">
        <v>0.0</v>
      </c>
      <c r="V334" s="94">
        <v>0.0</v>
      </c>
      <c r="W334" s="94">
        <v>0.0</v>
      </c>
      <c r="X334" s="94">
        <v>0.0</v>
      </c>
      <c r="Y334" s="94">
        <v>0.0</v>
      </c>
      <c r="Z334" s="94">
        <v>0.0</v>
      </c>
      <c r="AA334" s="94">
        <v>0.0</v>
      </c>
      <c r="AB334" s="94">
        <v>0.0</v>
      </c>
      <c r="AC334" s="94">
        <v>0.0</v>
      </c>
      <c r="AD334" s="94">
        <v>0.0</v>
      </c>
      <c r="AE334" s="94">
        <v>0.0</v>
      </c>
      <c r="AF334" s="94">
        <v>0.0</v>
      </c>
      <c r="AG334" s="94">
        <v>0.0</v>
      </c>
      <c r="AH334" s="94">
        <v>0.0</v>
      </c>
    </row>
    <row r="335" hidden="1">
      <c r="A335" s="89"/>
      <c r="B335" s="111"/>
      <c r="C335" s="111">
        <f t="shared" ref="C335:D335" si="250">SUM(C329:C334)/4</f>
        <v>1</v>
      </c>
      <c r="D335" s="111">
        <f t="shared" si="250"/>
        <v>1</v>
      </c>
      <c r="E335" s="91">
        <f t="shared" ref="E335:G335" si="251">SUM(E329:E334)</f>
        <v>80</v>
      </c>
      <c r="F335" s="111">
        <f t="shared" si="251"/>
        <v>5</v>
      </c>
      <c r="G335" s="111">
        <f t="shared" si="251"/>
        <v>264</v>
      </c>
      <c r="H335" s="111"/>
      <c r="I335" s="111">
        <f>SUM(I329:I334)</f>
        <v>244</v>
      </c>
      <c r="J335" s="111">
        <f t="shared" si="247"/>
        <v>20</v>
      </c>
      <c r="K335" s="92">
        <f t="shared" si="248"/>
        <v>1.081967213</v>
      </c>
      <c r="L335" s="111">
        <f t="shared" ref="L335:M335" si="252">SUM(L329:L334)</f>
        <v>65</v>
      </c>
      <c r="M335" s="111">
        <f t="shared" si="252"/>
        <v>366</v>
      </c>
      <c r="N335" s="111"/>
      <c r="O335" s="112"/>
      <c r="P335" s="111">
        <f t="shared" ref="P335:AH335" si="253">SUM(P329:P334)</f>
        <v>15</v>
      </c>
      <c r="Q335" s="111">
        <f t="shared" si="253"/>
        <v>9</v>
      </c>
      <c r="R335" s="111">
        <f t="shared" si="253"/>
        <v>18</v>
      </c>
      <c r="S335" s="111">
        <f t="shared" si="253"/>
        <v>4</v>
      </c>
      <c r="T335" s="111">
        <f t="shared" si="253"/>
        <v>42</v>
      </c>
      <c r="U335" s="111">
        <f t="shared" si="253"/>
        <v>13</v>
      </c>
      <c r="V335" s="111">
        <f t="shared" si="253"/>
        <v>4</v>
      </c>
      <c r="W335" s="111">
        <f t="shared" si="253"/>
        <v>1</v>
      </c>
      <c r="X335" s="111">
        <f t="shared" si="253"/>
        <v>0</v>
      </c>
      <c r="Y335" s="111">
        <f t="shared" si="253"/>
        <v>0</v>
      </c>
      <c r="Z335" s="111">
        <f t="shared" si="253"/>
        <v>0</v>
      </c>
      <c r="AA335" s="111">
        <f t="shared" si="253"/>
        <v>0</v>
      </c>
      <c r="AB335" s="111">
        <f t="shared" si="253"/>
        <v>0</v>
      </c>
      <c r="AC335" s="111">
        <f t="shared" si="253"/>
        <v>9</v>
      </c>
      <c r="AD335" s="111">
        <f t="shared" si="253"/>
        <v>1</v>
      </c>
      <c r="AE335" s="111">
        <f t="shared" si="253"/>
        <v>0</v>
      </c>
      <c r="AF335" s="111">
        <f t="shared" si="253"/>
        <v>0</v>
      </c>
      <c r="AG335" s="111">
        <f t="shared" si="253"/>
        <v>0</v>
      </c>
      <c r="AH335" s="111">
        <f t="shared" si="253"/>
        <v>0</v>
      </c>
    </row>
    <row r="336" hidden="1">
      <c r="A336" s="83" t="s">
        <v>47</v>
      </c>
      <c r="B336" s="84" t="s">
        <v>237</v>
      </c>
      <c r="C336" s="85">
        <v>1.0</v>
      </c>
      <c r="D336" s="94">
        <v>0.0</v>
      </c>
      <c r="E336" s="86">
        <v>20.0</v>
      </c>
      <c r="F336" s="94">
        <v>0.0</v>
      </c>
      <c r="G336" s="85">
        <v>96.0</v>
      </c>
      <c r="H336" s="85">
        <v>1.0</v>
      </c>
      <c r="I336" s="85">
        <v>80.0</v>
      </c>
      <c r="J336" s="95">
        <f t="shared" si="247"/>
        <v>16</v>
      </c>
      <c r="K336" s="87">
        <f t="shared" si="248"/>
        <v>1.2</v>
      </c>
      <c r="L336" s="85">
        <v>12.0</v>
      </c>
      <c r="M336" s="85">
        <v>129.0</v>
      </c>
      <c r="N336" s="85">
        <v>1.0</v>
      </c>
      <c r="O336" s="110">
        <f t="shared" ref="O336:O341" si="254">(E336*N336)</f>
        <v>20</v>
      </c>
      <c r="P336" s="85">
        <v>5.0</v>
      </c>
      <c r="Q336" s="85">
        <v>1.0</v>
      </c>
      <c r="R336" s="85">
        <v>7.0</v>
      </c>
      <c r="S336" s="85">
        <v>4.0</v>
      </c>
      <c r="T336" s="85">
        <v>17.0</v>
      </c>
      <c r="U336" s="85">
        <v>3.0</v>
      </c>
      <c r="V336" s="85">
        <v>2.0</v>
      </c>
      <c r="W336" s="94">
        <v>0.0</v>
      </c>
      <c r="X336" s="94">
        <v>0.0</v>
      </c>
      <c r="Y336" s="94">
        <v>0.0</v>
      </c>
      <c r="Z336" s="94">
        <v>0.0</v>
      </c>
      <c r="AA336" s="94">
        <v>0.0</v>
      </c>
      <c r="AB336" s="94">
        <v>0.0</v>
      </c>
      <c r="AC336" s="85">
        <v>3.0</v>
      </c>
      <c r="AD336" s="94">
        <v>0.0</v>
      </c>
      <c r="AE336" s="94">
        <v>0.0</v>
      </c>
      <c r="AF336" s="94">
        <v>0.0</v>
      </c>
      <c r="AG336" s="94">
        <v>0.0</v>
      </c>
      <c r="AH336" s="94">
        <v>0.0</v>
      </c>
    </row>
    <row r="337" hidden="1">
      <c r="A337" s="83" t="s">
        <v>47</v>
      </c>
      <c r="B337" s="84" t="s">
        <v>238</v>
      </c>
      <c r="C337" s="85">
        <v>1.0</v>
      </c>
      <c r="D337" s="94">
        <v>0.0</v>
      </c>
      <c r="E337" s="86">
        <v>20.0</v>
      </c>
      <c r="F337" s="85">
        <v>3.0</v>
      </c>
      <c r="G337" s="85">
        <v>47.0</v>
      </c>
      <c r="H337" s="85">
        <v>1.0</v>
      </c>
      <c r="I337" s="85">
        <v>53.0</v>
      </c>
      <c r="J337" s="95">
        <f t="shared" si="247"/>
        <v>-6</v>
      </c>
      <c r="K337" s="87">
        <f t="shared" si="248"/>
        <v>0.8867924528</v>
      </c>
      <c r="L337" s="85">
        <v>19.0</v>
      </c>
      <c r="M337" s="85">
        <v>65.0</v>
      </c>
      <c r="N337" s="85">
        <v>1.0</v>
      </c>
      <c r="O337" s="110">
        <f t="shared" si="254"/>
        <v>20</v>
      </c>
      <c r="P337" s="85">
        <v>4.0</v>
      </c>
      <c r="Q337" s="94">
        <v>0.0</v>
      </c>
      <c r="R337" s="85">
        <v>4.0</v>
      </c>
      <c r="S337" s="85">
        <v>2.0</v>
      </c>
      <c r="T337" s="85">
        <v>7.0</v>
      </c>
      <c r="U337" s="94">
        <v>0.0</v>
      </c>
      <c r="V337" s="94">
        <v>0.0</v>
      </c>
      <c r="W337" s="94">
        <v>0.0</v>
      </c>
      <c r="X337" s="94">
        <v>0.0</v>
      </c>
      <c r="Y337" s="94">
        <v>0.0</v>
      </c>
      <c r="Z337" s="94">
        <v>0.0</v>
      </c>
      <c r="AA337" s="94">
        <v>0.0</v>
      </c>
      <c r="AB337" s="94">
        <v>0.0</v>
      </c>
      <c r="AC337" s="85">
        <v>1.0</v>
      </c>
      <c r="AD337" s="94">
        <v>0.0</v>
      </c>
      <c r="AE337" s="94">
        <v>0.0</v>
      </c>
      <c r="AF337" s="94">
        <v>0.0</v>
      </c>
      <c r="AG337" s="94">
        <v>0.0</v>
      </c>
      <c r="AH337" s="94">
        <v>0.0</v>
      </c>
    </row>
    <row r="338" hidden="1">
      <c r="A338" s="83" t="s">
        <v>47</v>
      </c>
      <c r="B338" s="84" t="s">
        <v>239</v>
      </c>
      <c r="C338" s="85">
        <v>1.0</v>
      </c>
      <c r="D338" s="94">
        <v>0.0</v>
      </c>
      <c r="E338" s="86">
        <v>20.0</v>
      </c>
      <c r="F338" s="94">
        <v>0.0</v>
      </c>
      <c r="G338" s="85">
        <v>49.0</v>
      </c>
      <c r="H338" s="85">
        <v>1.0</v>
      </c>
      <c r="I338" s="85">
        <v>67.0</v>
      </c>
      <c r="J338" s="95">
        <f t="shared" si="247"/>
        <v>-18</v>
      </c>
      <c r="K338" s="87">
        <f t="shared" si="248"/>
        <v>0.7313432836</v>
      </c>
      <c r="L338" s="85">
        <v>14.0</v>
      </c>
      <c r="M338" s="85">
        <v>58.0</v>
      </c>
      <c r="N338" s="85">
        <v>1.0</v>
      </c>
      <c r="O338" s="110">
        <f t="shared" si="254"/>
        <v>20</v>
      </c>
      <c r="P338" s="85">
        <v>1.0</v>
      </c>
      <c r="Q338" s="85">
        <v>2.0</v>
      </c>
      <c r="R338" s="85">
        <v>8.0</v>
      </c>
      <c r="S338" s="94">
        <v>0.0</v>
      </c>
      <c r="T338" s="85">
        <v>4.0</v>
      </c>
      <c r="U338" s="85">
        <v>1.0</v>
      </c>
      <c r="V338" s="94">
        <v>0.0</v>
      </c>
      <c r="W338" s="94">
        <v>0.0</v>
      </c>
      <c r="X338" s="94">
        <v>0.0</v>
      </c>
      <c r="Y338" s="94">
        <v>0.0</v>
      </c>
      <c r="Z338" s="94">
        <v>0.0</v>
      </c>
      <c r="AA338" s="94">
        <v>0.0</v>
      </c>
      <c r="AB338" s="94">
        <v>0.0</v>
      </c>
      <c r="AC338" s="94">
        <v>0.0</v>
      </c>
      <c r="AD338" s="94">
        <v>0.0</v>
      </c>
      <c r="AE338" s="94">
        <v>0.0</v>
      </c>
      <c r="AF338" s="94">
        <v>0.0</v>
      </c>
      <c r="AG338" s="94">
        <v>0.0</v>
      </c>
      <c r="AH338" s="94">
        <v>0.0</v>
      </c>
    </row>
    <row r="339" hidden="1">
      <c r="A339" s="83" t="s">
        <v>47</v>
      </c>
      <c r="B339" s="84" t="s">
        <v>240</v>
      </c>
      <c r="C339" s="85">
        <v>1.0</v>
      </c>
      <c r="D339" s="94">
        <v>0.0</v>
      </c>
      <c r="E339" s="86">
        <v>20.0</v>
      </c>
      <c r="F339" s="94">
        <v>0.0</v>
      </c>
      <c r="G339" s="85">
        <v>46.0</v>
      </c>
      <c r="H339" s="94">
        <v>0.0</v>
      </c>
      <c r="I339" s="85">
        <v>73.0</v>
      </c>
      <c r="J339" s="95">
        <f t="shared" si="247"/>
        <v>-27</v>
      </c>
      <c r="K339" s="87">
        <f t="shared" si="248"/>
        <v>0.6301369863</v>
      </c>
      <c r="L339" s="85">
        <v>13.0</v>
      </c>
      <c r="M339" s="85">
        <v>59.0</v>
      </c>
      <c r="N339" s="85">
        <v>1.0</v>
      </c>
      <c r="O339" s="110">
        <f t="shared" si="254"/>
        <v>20</v>
      </c>
      <c r="P339" s="85">
        <v>1.0</v>
      </c>
      <c r="Q339" s="85">
        <v>1.0</v>
      </c>
      <c r="R339" s="85">
        <v>3.0</v>
      </c>
      <c r="S339" s="85">
        <v>1.0</v>
      </c>
      <c r="T339" s="85">
        <v>1.0</v>
      </c>
      <c r="U339" s="94">
        <v>0.0</v>
      </c>
      <c r="V339" s="94">
        <v>0.0</v>
      </c>
      <c r="W339" s="94">
        <v>0.0</v>
      </c>
      <c r="X339" s="94">
        <v>0.0</v>
      </c>
      <c r="Y339" s="94">
        <v>0.0</v>
      </c>
      <c r="Z339" s="94">
        <v>0.0</v>
      </c>
      <c r="AA339" s="94">
        <v>0.0</v>
      </c>
      <c r="AB339" s="94">
        <v>0.0</v>
      </c>
      <c r="AC339" s="94">
        <v>0.0</v>
      </c>
      <c r="AD339" s="94">
        <v>0.0</v>
      </c>
      <c r="AE339" s="94">
        <v>0.0</v>
      </c>
      <c r="AF339" s="94">
        <v>0.0</v>
      </c>
      <c r="AG339" s="94">
        <v>0.0</v>
      </c>
      <c r="AH339" s="94">
        <v>0.0</v>
      </c>
    </row>
    <row r="340" hidden="1">
      <c r="A340" s="83" t="s">
        <v>47</v>
      </c>
      <c r="B340" s="84" t="s">
        <v>241</v>
      </c>
      <c r="C340" s="94">
        <v>0.0</v>
      </c>
      <c r="D340" s="94">
        <v>0.0</v>
      </c>
      <c r="E340" s="96">
        <f t="shared" ref="E340:E341" si="255">SUM(L340*I340)/60</f>
        <v>0</v>
      </c>
      <c r="F340" s="94">
        <v>0.0</v>
      </c>
      <c r="G340" s="94">
        <v>0.0</v>
      </c>
      <c r="H340" s="94">
        <v>0.0</v>
      </c>
      <c r="I340" s="94">
        <v>0.0</v>
      </c>
      <c r="J340" s="95">
        <f t="shared" si="247"/>
        <v>0</v>
      </c>
      <c r="K340" s="87" t="str">
        <f t="shared" si="248"/>
        <v>#DIV/0!</v>
      </c>
      <c r="L340" s="94">
        <v>0.0</v>
      </c>
      <c r="M340" s="94">
        <v>0.0</v>
      </c>
      <c r="N340" s="85">
        <v>0.0</v>
      </c>
      <c r="O340" s="110">
        <f t="shared" si="254"/>
        <v>0</v>
      </c>
      <c r="P340" s="94">
        <v>0.0</v>
      </c>
      <c r="Q340" s="94">
        <v>0.0</v>
      </c>
      <c r="R340" s="94">
        <v>0.0</v>
      </c>
      <c r="S340" s="94">
        <v>0.0</v>
      </c>
      <c r="T340" s="94">
        <v>0.0</v>
      </c>
      <c r="U340" s="94">
        <v>0.0</v>
      </c>
      <c r="V340" s="94">
        <v>0.0</v>
      </c>
      <c r="W340" s="94">
        <v>0.0</v>
      </c>
      <c r="X340" s="94">
        <v>0.0</v>
      </c>
      <c r="Y340" s="94">
        <v>0.0</v>
      </c>
      <c r="Z340" s="94">
        <v>0.0</v>
      </c>
      <c r="AA340" s="94">
        <v>0.0</v>
      </c>
      <c r="AB340" s="94">
        <v>0.0</v>
      </c>
      <c r="AC340" s="94">
        <v>0.0</v>
      </c>
      <c r="AD340" s="94">
        <v>0.0</v>
      </c>
      <c r="AE340" s="94">
        <v>0.0</v>
      </c>
      <c r="AF340" s="94">
        <v>0.0</v>
      </c>
      <c r="AG340" s="94">
        <v>0.0</v>
      </c>
      <c r="AH340" s="94">
        <v>0.0</v>
      </c>
    </row>
    <row r="341" hidden="1">
      <c r="A341" s="83" t="s">
        <v>47</v>
      </c>
      <c r="B341" s="114"/>
      <c r="C341" s="94">
        <v>0.0</v>
      </c>
      <c r="D341" s="94">
        <v>0.0</v>
      </c>
      <c r="E341" s="96">
        <f t="shared" si="255"/>
        <v>0</v>
      </c>
      <c r="F341" s="94">
        <v>0.0</v>
      </c>
      <c r="G341" s="94">
        <v>0.0</v>
      </c>
      <c r="H341" s="94">
        <v>0.0</v>
      </c>
      <c r="I341" s="94">
        <v>0.0</v>
      </c>
      <c r="J341" s="95">
        <f t="shared" si="247"/>
        <v>0</v>
      </c>
      <c r="K341" s="87" t="str">
        <f t="shared" si="248"/>
        <v>#DIV/0!</v>
      </c>
      <c r="L341" s="94">
        <v>0.0</v>
      </c>
      <c r="M341" s="94">
        <v>0.0</v>
      </c>
      <c r="N341" s="85">
        <v>0.0</v>
      </c>
      <c r="O341" s="110">
        <f t="shared" si="254"/>
        <v>0</v>
      </c>
      <c r="P341" s="94">
        <v>0.0</v>
      </c>
      <c r="Q341" s="94">
        <v>0.0</v>
      </c>
      <c r="R341" s="94">
        <v>0.0</v>
      </c>
      <c r="S341" s="94">
        <v>0.0</v>
      </c>
      <c r="T341" s="94">
        <v>0.0</v>
      </c>
      <c r="U341" s="94">
        <v>0.0</v>
      </c>
      <c r="V341" s="94">
        <v>0.0</v>
      </c>
      <c r="W341" s="94">
        <v>0.0</v>
      </c>
      <c r="X341" s="94">
        <v>0.0</v>
      </c>
      <c r="Y341" s="94">
        <v>0.0</v>
      </c>
      <c r="Z341" s="94">
        <v>0.0</v>
      </c>
      <c r="AA341" s="94">
        <v>0.0</v>
      </c>
      <c r="AB341" s="94">
        <v>0.0</v>
      </c>
      <c r="AC341" s="94">
        <v>0.0</v>
      </c>
      <c r="AD341" s="94">
        <v>0.0</v>
      </c>
      <c r="AE341" s="94">
        <v>0.0</v>
      </c>
      <c r="AF341" s="94">
        <v>0.0</v>
      </c>
      <c r="AG341" s="94">
        <v>0.0</v>
      </c>
      <c r="AH341" s="94">
        <v>0.0</v>
      </c>
    </row>
    <row r="342" hidden="1">
      <c r="A342" s="89" t="s">
        <v>185</v>
      </c>
      <c r="B342" s="111"/>
      <c r="C342" s="111">
        <f>SUM(C336:C341)</f>
        <v>4</v>
      </c>
      <c r="D342" s="111">
        <f t="shared" ref="D342:E342" si="256">SUM(D336:D341)/4</f>
        <v>0</v>
      </c>
      <c r="E342" s="91">
        <f t="shared" si="256"/>
        <v>20</v>
      </c>
      <c r="F342" s="111">
        <f t="shared" ref="F342:G342" si="257">SUM(F336:F341)</f>
        <v>3</v>
      </c>
      <c r="G342" s="111">
        <f t="shared" si="257"/>
        <v>238</v>
      </c>
      <c r="H342" s="111"/>
      <c r="I342" s="111">
        <f>SUM(I336:I341)</f>
        <v>273</v>
      </c>
      <c r="J342" s="111">
        <f t="shared" si="247"/>
        <v>-35</v>
      </c>
      <c r="K342" s="92">
        <f t="shared" si="248"/>
        <v>0.8717948718</v>
      </c>
      <c r="L342" s="111">
        <f t="shared" ref="L342:M342" si="258">SUM(L336:L341)</f>
        <v>58</v>
      </c>
      <c r="M342" s="111">
        <f t="shared" si="258"/>
        <v>311</v>
      </c>
      <c r="N342" s="111"/>
      <c r="O342" s="112"/>
      <c r="P342" s="111">
        <f t="shared" ref="P342:AH342" si="259">SUM(P336:P341)</f>
        <v>11</v>
      </c>
      <c r="Q342" s="111">
        <f t="shared" si="259"/>
        <v>4</v>
      </c>
      <c r="R342" s="111">
        <f t="shared" si="259"/>
        <v>22</v>
      </c>
      <c r="S342" s="111">
        <f t="shared" si="259"/>
        <v>7</v>
      </c>
      <c r="T342" s="111">
        <f t="shared" si="259"/>
        <v>29</v>
      </c>
      <c r="U342" s="111">
        <f t="shared" si="259"/>
        <v>4</v>
      </c>
      <c r="V342" s="111">
        <f t="shared" si="259"/>
        <v>2</v>
      </c>
      <c r="W342" s="111">
        <f t="shared" si="259"/>
        <v>0</v>
      </c>
      <c r="X342" s="111">
        <f t="shared" si="259"/>
        <v>0</v>
      </c>
      <c r="Y342" s="111">
        <f t="shared" si="259"/>
        <v>0</v>
      </c>
      <c r="Z342" s="111">
        <f t="shared" si="259"/>
        <v>0</v>
      </c>
      <c r="AA342" s="111">
        <f t="shared" si="259"/>
        <v>0</v>
      </c>
      <c r="AB342" s="111">
        <f t="shared" si="259"/>
        <v>0</v>
      </c>
      <c r="AC342" s="111">
        <f t="shared" si="259"/>
        <v>4</v>
      </c>
      <c r="AD342" s="111">
        <f t="shared" si="259"/>
        <v>0</v>
      </c>
      <c r="AE342" s="111">
        <f t="shared" si="259"/>
        <v>0</v>
      </c>
      <c r="AF342" s="111">
        <f t="shared" si="259"/>
        <v>0</v>
      </c>
      <c r="AG342" s="111">
        <f t="shared" si="259"/>
        <v>0</v>
      </c>
      <c r="AH342" s="111">
        <f t="shared" si="259"/>
        <v>0</v>
      </c>
    </row>
    <row r="343">
      <c r="A343" s="104" t="s">
        <v>274</v>
      </c>
    </row>
    <row r="345" hidden="1">
      <c r="A345" s="105"/>
      <c r="F345" s="106" t="s">
        <v>251</v>
      </c>
      <c r="L345" s="107" t="s">
        <v>252</v>
      </c>
      <c r="N345" s="108" t="s">
        <v>253</v>
      </c>
    </row>
    <row r="346" hidden="1">
      <c r="A346" s="76" t="s">
        <v>148</v>
      </c>
      <c r="B346" s="76" t="s">
        <v>149</v>
      </c>
      <c r="C346" s="76" t="s">
        <v>150</v>
      </c>
      <c r="D346" s="76" t="s">
        <v>13</v>
      </c>
      <c r="E346" s="77" t="s">
        <v>151</v>
      </c>
      <c r="F346" s="78" t="s">
        <v>15</v>
      </c>
      <c r="G346" s="78" t="s">
        <v>152</v>
      </c>
      <c r="H346" s="78" t="s">
        <v>153</v>
      </c>
      <c r="I346" s="78" t="s">
        <v>154</v>
      </c>
      <c r="J346" s="78" t="s">
        <v>155</v>
      </c>
      <c r="K346" s="79" t="s">
        <v>156</v>
      </c>
      <c r="L346" s="80" t="s">
        <v>157</v>
      </c>
      <c r="M346" s="80" t="s">
        <v>158</v>
      </c>
      <c r="N346" s="81" t="s">
        <v>254</v>
      </c>
      <c r="O346" s="81" t="s">
        <v>151</v>
      </c>
      <c r="P346" s="81" t="s">
        <v>160</v>
      </c>
      <c r="Q346" s="81" t="s">
        <v>161</v>
      </c>
      <c r="R346" s="81" t="s">
        <v>162</v>
      </c>
      <c r="S346" s="81" t="s">
        <v>163</v>
      </c>
      <c r="T346" s="81" t="s">
        <v>164</v>
      </c>
      <c r="U346" s="81" t="s">
        <v>165</v>
      </c>
      <c r="V346" s="81" t="s">
        <v>166</v>
      </c>
      <c r="W346" s="81" t="s">
        <v>167</v>
      </c>
      <c r="X346" s="81" t="s">
        <v>168</v>
      </c>
      <c r="Y346" s="81" t="s">
        <v>169</v>
      </c>
      <c r="Z346" s="81" t="s">
        <v>170</v>
      </c>
      <c r="AA346" s="81" t="s">
        <v>171</v>
      </c>
      <c r="AB346" s="81" t="s">
        <v>172</v>
      </c>
      <c r="AC346" s="81" t="s">
        <v>173</v>
      </c>
      <c r="AD346" s="81" t="s">
        <v>174</v>
      </c>
      <c r="AE346" s="81" t="s">
        <v>175</v>
      </c>
      <c r="AF346" s="81" t="s">
        <v>176</v>
      </c>
      <c r="AG346" s="81" t="s">
        <v>177</v>
      </c>
      <c r="AH346" s="81" t="s">
        <v>178</v>
      </c>
    </row>
    <row r="347" hidden="1">
      <c r="A347" s="83" t="s">
        <v>58</v>
      </c>
      <c r="B347" s="84" t="s">
        <v>209</v>
      </c>
      <c r="C347" s="85">
        <v>1.0</v>
      </c>
      <c r="D347" s="94">
        <v>0.0</v>
      </c>
      <c r="E347" s="86">
        <v>27.0</v>
      </c>
      <c r="F347" s="85">
        <v>1.0</v>
      </c>
      <c r="G347" s="85">
        <v>115.0</v>
      </c>
      <c r="H347" s="94">
        <v>0.0</v>
      </c>
      <c r="I347" s="85">
        <v>106.0</v>
      </c>
      <c r="J347" s="95">
        <f t="shared" ref="J347:J360" si="260">SUM(G347-I347)</f>
        <v>9</v>
      </c>
      <c r="K347" s="87">
        <f t="shared" ref="K347:K360" si="261">SUM(G347/I347)</f>
        <v>1.08490566</v>
      </c>
      <c r="L347" s="85">
        <v>12.0</v>
      </c>
      <c r="M347" s="85">
        <v>160.0</v>
      </c>
      <c r="N347" s="85">
        <v>1.0</v>
      </c>
      <c r="O347" s="110">
        <f t="shared" ref="O347:O352" si="262">(E347*N347)</f>
        <v>27</v>
      </c>
      <c r="P347" s="85">
        <v>7.0</v>
      </c>
      <c r="Q347" s="85">
        <v>3.0</v>
      </c>
      <c r="R347" s="85">
        <v>9.0</v>
      </c>
      <c r="S347" s="85">
        <v>2.0</v>
      </c>
      <c r="T347" s="85">
        <v>23.0</v>
      </c>
      <c r="U347" s="85">
        <v>3.0</v>
      </c>
      <c r="V347" s="94">
        <v>0.0</v>
      </c>
      <c r="W347" s="94">
        <v>0.0</v>
      </c>
      <c r="X347" s="94">
        <v>0.0</v>
      </c>
      <c r="Y347" s="94">
        <v>0.0</v>
      </c>
      <c r="Z347" s="94">
        <v>0.0</v>
      </c>
      <c r="AA347" s="94">
        <v>0.0</v>
      </c>
      <c r="AB347" s="94">
        <v>0.0</v>
      </c>
      <c r="AC347" s="85">
        <v>4.0</v>
      </c>
      <c r="AD347" s="94">
        <v>0.0</v>
      </c>
      <c r="AE347" s="94">
        <v>0.0</v>
      </c>
      <c r="AF347" s="94">
        <v>0.0</v>
      </c>
      <c r="AG347" s="94">
        <v>0.0</v>
      </c>
      <c r="AH347" s="94">
        <v>0.0</v>
      </c>
    </row>
    <row r="348" hidden="1">
      <c r="A348" s="83" t="s">
        <v>58</v>
      </c>
      <c r="B348" s="84" t="s">
        <v>210</v>
      </c>
      <c r="C348" s="85">
        <v>1.0</v>
      </c>
      <c r="D348" s="94">
        <v>0.0</v>
      </c>
      <c r="E348" s="86">
        <v>27.0</v>
      </c>
      <c r="F348" s="85">
        <v>1.0</v>
      </c>
      <c r="G348" s="85">
        <v>120.0</v>
      </c>
      <c r="H348" s="94">
        <v>0.0</v>
      </c>
      <c r="I348" s="85">
        <v>91.0</v>
      </c>
      <c r="J348" s="95">
        <f t="shared" si="260"/>
        <v>29</v>
      </c>
      <c r="K348" s="87">
        <f t="shared" si="261"/>
        <v>1.318681319</v>
      </c>
      <c r="L348" s="85">
        <v>15.0</v>
      </c>
      <c r="M348" s="85">
        <v>169.0</v>
      </c>
      <c r="N348" s="85">
        <v>1.0</v>
      </c>
      <c r="O348" s="110">
        <f t="shared" si="262"/>
        <v>27</v>
      </c>
      <c r="P348" s="85">
        <v>5.0</v>
      </c>
      <c r="Q348" s="85">
        <v>1.0</v>
      </c>
      <c r="R348" s="85">
        <v>9.0</v>
      </c>
      <c r="S348" s="85">
        <v>3.0</v>
      </c>
      <c r="T348" s="85">
        <v>25.0</v>
      </c>
      <c r="U348" s="85">
        <v>6.0</v>
      </c>
      <c r="V348" s="85">
        <v>2.0</v>
      </c>
      <c r="W348" s="94">
        <v>0.0</v>
      </c>
      <c r="X348" s="94">
        <v>0.0</v>
      </c>
      <c r="Y348" s="94">
        <v>0.0</v>
      </c>
      <c r="Z348" s="94">
        <v>0.0</v>
      </c>
      <c r="AA348" s="94">
        <v>0.0</v>
      </c>
      <c r="AB348" s="94">
        <v>0.0</v>
      </c>
      <c r="AC348" s="85">
        <v>3.0</v>
      </c>
      <c r="AD348" s="85">
        <v>0.0</v>
      </c>
      <c r="AE348" s="94">
        <v>0.0</v>
      </c>
      <c r="AF348" s="94">
        <v>0.0</v>
      </c>
      <c r="AG348" s="94">
        <v>0.0</v>
      </c>
      <c r="AH348" s="94">
        <v>0.0</v>
      </c>
    </row>
    <row r="349" hidden="1">
      <c r="A349" s="83" t="s">
        <v>58</v>
      </c>
      <c r="B349" s="84" t="s">
        <v>211</v>
      </c>
      <c r="C349" s="85">
        <v>1.0</v>
      </c>
      <c r="D349" s="94">
        <v>0.0</v>
      </c>
      <c r="E349" s="86">
        <v>27.0</v>
      </c>
      <c r="F349" s="94">
        <v>0.0</v>
      </c>
      <c r="G349" s="85">
        <v>88.0</v>
      </c>
      <c r="H349" s="85">
        <v>1.0</v>
      </c>
      <c r="I349" s="85">
        <v>99.0</v>
      </c>
      <c r="J349" s="95">
        <f t="shared" si="260"/>
        <v>-11</v>
      </c>
      <c r="K349" s="87">
        <f t="shared" si="261"/>
        <v>0.8888888889</v>
      </c>
      <c r="L349" s="85">
        <v>13.0</v>
      </c>
      <c r="M349" s="85">
        <v>122.0</v>
      </c>
      <c r="N349" s="85">
        <v>1.0</v>
      </c>
      <c r="O349" s="110">
        <f t="shared" si="262"/>
        <v>27</v>
      </c>
      <c r="P349" s="85">
        <v>9.0</v>
      </c>
      <c r="Q349" s="85">
        <v>7.0</v>
      </c>
      <c r="R349" s="85">
        <v>8.0</v>
      </c>
      <c r="S349" s="85">
        <v>1.0</v>
      </c>
      <c r="T349" s="85">
        <v>12.0</v>
      </c>
      <c r="U349" s="85">
        <v>2.0</v>
      </c>
      <c r="V349" s="85">
        <v>1.0</v>
      </c>
      <c r="W349" s="94">
        <v>0.0</v>
      </c>
      <c r="X349" s="94">
        <v>0.0</v>
      </c>
      <c r="Y349" s="94">
        <v>0.0</v>
      </c>
      <c r="Z349" s="94">
        <v>0.0</v>
      </c>
      <c r="AA349" s="94">
        <v>0.0</v>
      </c>
      <c r="AB349" s="94">
        <v>0.0</v>
      </c>
      <c r="AC349" s="85">
        <v>2.0</v>
      </c>
      <c r="AD349" s="94">
        <v>0.0</v>
      </c>
      <c r="AE349" s="94">
        <v>0.0</v>
      </c>
      <c r="AF349" s="94">
        <v>0.0</v>
      </c>
      <c r="AG349" s="94">
        <v>0.0</v>
      </c>
      <c r="AH349" s="85">
        <v>1.0</v>
      </c>
    </row>
    <row r="350" hidden="1">
      <c r="A350" s="83" t="s">
        <v>58</v>
      </c>
      <c r="B350" s="84" t="s">
        <v>212</v>
      </c>
      <c r="C350" s="85">
        <v>1.0</v>
      </c>
      <c r="D350" s="94">
        <v>0.0</v>
      </c>
      <c r="E350" s="86">
        <v>27.0</v>
      </c>
      <c r="F350" s="94">
        <v>0.0</v>
      </c>
      <c r="G350" s="85">
        <v>56.0</v>
      </c>
      <c r="H350" s="85">
        <v>1.0</v>
      </c>
      <c r="I350" s="85">
        <v>79.0</v>
      </c>
      <c r="J350" s="95">
        <f t="shared" si="260"/>
        <v>-23</v>
      </c>
      <c r="K350" s="87">
        <f t="shared" si="261"/>
        <v>0.7088607595</v>
      </c>
      <c r="L350" s="85">
        <v>17.0</v>
      </c>
      <c r="M350" s="85">
        <v>68.0</v>
      </c>
      <c r="N350" s="85">
        <v>1.0</v>
      </c>
      <c r="O350" s="110">
        <f t="shared" si="262"/>
        <v>27</v>
      </c>
      <c r="P350" s="85">
        <v>2.0</v>
      </c>
      <c r="Q350" s="85">
        <v>3.0</v>
      </c>
      <c r="R350" s="85">
        <v>3.0</v>
      </c>
      <c r="S350" s="85">
        <v>2.0</v>
      </c>
      <c r="T350" s="85">
        <v>8.0</v>
      </c>
      <c r="U350" s="94">
        <v>0.0</v>
      </c>
      <c r="V350" s="94">
        <v>0.0</v>
      </c>
      <c r="W350" s="94">
        <v>0.0</v>
      </c>
      <c r="X350" s="94">
        <v>0.0</v>
      </c>
      <c r="Y350" s="94">
        <v>0.0</v>
      </c>
      <c r="Z350" s="94">
        <v>0.0</v>
      </c>
      <c r="AA350" s="94">
        <v>0.0</v>
      </c>
      <c r="AB350" s="94">
        <v>0.0</v>
      </c>
      <c r="AC350" s="94">
        <v>0.0</v>
      </c>
      <c r="AD350" s="94">
        <v>0.0</v>
      </c>
      <c r="AE350" s="94">
        <v>0.0</v>
      </c>
      <c r="AF350" s="94">
        <v>0.0</v>
      </c>
      <c r="AG350" s="94">
        <v>0.0</v>
      </c>
      <c r="AH350" s="94">
        <v>0.0</v>
      </c>
    </row>
    <row r="351" hidden="1">
      <c r="A351" s="83" t="s">
        <v>58</v>
      </c>
      <c r="B351" s="84" t="s">
        <v>213</v>
      </c>
      <c r="C351" s="94">
        <v>0.0</v>
      </c>
      <c r="D351" s="94">
        <v>0.0</v>
      </c>
      <c r="E351" s="96">
        <f t="shared" ref="E351:E352" si="263">SUM(L351*I351)/60</f>
        <v>0</v>
      </c>
      <c r="F351" s="94">
        <v>0.0</v>
      </c>
      <c r="G351" s="94">
        <v>0.0</v>
      </c>
      <c r="H351" s="94">
        <v>0.0</v>
      </c>
      <c r="I351" s="94">
        <v>0.0</v>
      </c>
      <c r="J351" s="95">
        <f t="shared" si="260"/>
        <v>0</v>
      </c>
      <c r="K351" s="87" t="str">
        <f t="shared" si="261"/>
        <v>#DIV/0!</v>
      </c>
      <c r="L351" s="94">
        <v>0.0</v>
      </c>
      <c r="M351" s="94">
        <v>0.0</v>
      </c>
      <c r="N351" s="85">
        <v>0.0</v>
      </c>
      <c r="O351" s="110">
        <f t="shared" si="262"/>
        <v>0</v>
      </c>
      <c r="P351" s="94">
        <v>0.0</v>
      </c>
      <c r="Q351" s="94">
        <v>0.0</v>
      </c>
      <c r="R351" s="94">
        <v>0.0</v>
      </c>
      <c r="S351" s="94">
        <v>0.0</v>
      </c>
      <c r="T351" s="94">
        <v>0.0</v>
      </c>
      <c r="U351" s="94">
        <v>0.0</v>
      </c>
      <c r="V351" s="94">
        <v>0.0</v>
      </c>
      <c r="W351" s="94">
        <v>0.0</v>
      </c>
      <c r="X351" s="94">
        <v>0.0</v>
      </c>
      <c r="Y351" s="94">
        <v>0.0</v>
      </c>
      <c r="Z351" s="94">
        <v>0.0</v>
      </c>
      <c r="AA351" s="94">
        <v>0.0</v>
      </c>
      <c r="AB351" s="94">
        <v>0.0</v>
      </c>
      <c r="AC351" s="94">
        <v>0.0</v>
      </c>
      <c r="AD351" s="94">
        <v>0.0</v>
      </c>
      <c r="AE351" s="94">
        <v>0.0</v>
      </c>
      <c r="AF351" s="94">
        <v>0.0</v>
      </c>
      <c r="AG351" s="94">
        <v>0.0</v>
      </c>
      <c r="AH351" s="94">
        <v>0.0</v>
      </c>
    </row>
    <row r="352" hidden="1">
      <c r="A352" s="83" t="s">
        <v>214</v>
      </c>
      <c r="B352" s="84" t="s">
        <v>189</v>
      </c>
      <c r="C352" s="94">
        <v>0.0</v>
      </c>
      <c r="D352" s="94">
        <v>0.0</v>
      </c>
      <c r="E352" s="96">
        <f t="shared" si="263"/>
        <v>0</v>
      </c>
      <c r="F352" s="94">
        <v>0.0</v>
      </c>
      <c r="G352" s="94">
        <v>0.0</v>
      </c>
      <c r="H352" s="94">
        <v>0.0</v>
      </c>
      <c r="I352" s="94">
        <v>0.0</v>
      </c>
      <c r="J352" s="95">
        <f t="shared" si="260"/>
        <v>0</v>
      </c>
      <c r="K352" s="87" t="str">
        <f t="shared" si="261"/>
        <v>#DIV/0!</v>
      </c>
      <c r="L352" s="94">
        <v>0.0</v>
      </c>
      <c r="M352" s="94">
        <v>0.0</v>
      </c>
      <c r="N352" s="85">
        <v>0.0</v>
      </c>
      <c r="O352" s="110">
        <f t="shared" si="262"/>
        <v>0</v>
      </c>
      <c r="P352" s="94">
        <v>0.0</v>
      </c>
      <c r="Q352" s="94">
        <v>0.0</v>
      </c>
      <c r="R352" s="94">
        <v>0.0</v>
      </c>
      <c r="S352" s="94">
        <v>0.0</v>
      </c>
      <c r="T352" s="94">
        <v>0.0</v>
      </c>
      <c r="U352" s="94">
        <v>0.0</v>
      </c>
      <c r="V352" s="94">
        <v>0.0</v>
      </c>
      <c r="W352" s="94">
        <v>0.0</v>
      </c>
      <c r="X352" s="94">
        <v>0.0</v>
      </c>
      <c r="Y352" s="94">
        <v>0.0</v>
      </c>
      <c r="Z352" s="94">
        <v>0.0</v>
      </c>
      <c r="AA352" s="94">
        <v>0.0</v>
      </c>
      <c r="AB352" s="94">
        <v>0.0</v>
      </c>
      <c r="AC352" s="94">
        <v>0.0</v>
      </c>
      <c r="AD352" s="94">
        <v>0.0</v>
      </c>
      <c r="AE352" s="94">
        <v>0.0</v>
      </c>
      <c r="AF352" s="94">
        <v>0.0</v>
      </c>
      <c r="AG352" s="94">
        <v>0.0</v>
      </c>
      <c r="AH352" s="94">
        <v>0.0</v>
      </c>
    </row>
    <row r="353" hidden="1">
      <c r="A353" s="89"/>
      <c r="B353" s="111"/>
      <c r="C353" s="111">
        <f t="shared" ref="C353:D353" si="264">SUM(C347:C352)/4</f>
        <v>1</v>
      </c>
      <c r="D353" s="111">
        <f t="shared" si="264"/>
        <v>0</v>
      </c>
      <c r="E353" s="91">
        <f t="shared" ref="E353:G353" si="265">SUM(E347:E352)</f>
        <v>108</v>
      </c>
      <c r="F353" s="111">
        <f t="shared" si="265"/>
        <v>2</v>
      </c>
      <c r="G353" s="111">
        <f t="shared" si="265"/>
        <v>379</v>
      </c>
      <c r="H353" s="111"/>
      <c r="I353" s="111">
        <f>SUM(I347:I352)</f>
        <v>375</v>
      </c>
      <c r="J353" s="111">
        <f t="shared" si="260"/>
        <v>4</v>
      </c>
      <c r="K353" s="92">
        <f t="shared" si="261"/>
        <v>1.010666667</v>
      </c>
      <c r="L353" s="111">
        <f t="shared" ref="L353:M353" si="266">SUM(L347:L352)</f>
        <v>57</v>
      </c>
      <c r="M353" s="111">
        <f t="shared" si="266"/>
        <v>519</v>
      </c>
      <c r="N353" s="111"/>
      <c r="O353" s="112"/>
      <c r="P353" s="111">
        <f t="shared" ref="P353:AH353" si="267">SUM(P347:P352)</f>
        <v>23</v>
      </c>
      <c r="Q353" s="111">
        <f t="shared" si="267"/>
        <v>14</v>
      </c>
      <c r="R353" s="111">
        <f t="shared" si="267"/>
        <v>29</v>
      </c>
      <c r="S353" s="111">
        <f t="shared" si="267"/>
        <v>8</v>
      </c>
      <c r="T353" s="111">
        <f t="shared" si="267"/>
        <v>68</v>
      </c>
      <c r="U353" s="111">
        <f t="shared" si="267"/>
        <v>11</v>
      </c>
      <c r="V353" s="111">
        <f t="shared" si="267"/>
        <v>3</v>
      </c>
      <c r="W353" s="111">
        <f t="shared" si="267"/>
        <v>0</v>
      </c>
      <c r="X353" s="111">
        <f t="shared" si="267"/>
        <v>0</v>
      </c>
      <c r="Y353" s="111">
        <f t="shared" si="267"/>
        <v>0</v>
      </c>
      <c r="Z353" s="111">
        <f t="shared" si="267"/>
        <v>0</v>
      </c>
      <c r="AA353" s="111">
        <f t="shared" si="267"/>
        <v>0</v>
      </c>
      <c r="AB353" s="111">
        <f t="shared" si="267"/>
        <v>0</v>
      </c>
      <c r="AC353" s="111">
        <f t="shared" si="267"/>
        <v>9</v>
      </c>
      <c r="AD353" s="111">
        <f t="shared" si="267"/>
        <v>0</v>
      </c>
      <c r="AE353" s="111">
        <f t="shared" si="267"/>
        <v>0</v>
      </c>
      <c r="AF353" s="111">
        <f t="shared" si="267"/>
        <v>0</v>
      </c>
      <c r="AG353" s="111">
        <f t="shared" si="267"/>
        <v>0</v>
      </c>
      <c r="AH353" s="111">
        <f t="shared" si="267"/>
        <v>1</v>
      </c>
    </row>
    <row r="354" hidden="1">
      <c r="A354" s="83" t="s">
        <v>51</v>
      </c>
      <c r="B354" s="84" t="s">
        <v>222</v>
      </c>
      <c r="C354" s="85">
        <v>1.0</v>
      </c>
      <c r="D354" s="85">
        <v>1.0</v>
      </c>
      <c r="E354" s="86">
        <v>27.0</v>
      </c>
      <c r="F354" s="85">
        <v>5.0</v>
      </c>
      <c r="G354" s="85">
        <v>55.0</v>
      </c>
      <c r="H354" s="85">
        <v>2.0</v>
      </c>
      <c r="I354" s="85">
        <v>64.0</v>
      </c>
      <c r="J354" s="95">
        <f t="shared" si="260"/>
        <v>-9</v>
      </c>
      <c r="K354" s="87">
        <f t="shared" si="261"/>
        <v>0.859375</v>
      </c>
      <c r="L354" s="85">
        <v>22.0</v>
      </c>
      <c r="M354" s="85">
        <v>81.0</v>
      </c>
      <c r="N354" s="85">
        <v>1.0</v>
      </c>
      <c r="O354" s="110">
        <f t="shared" ref="O354:O359" si="268">(E354*N354)</f>
        <v>27</v>
      </c>
      <c r="P354" s="85">
        <v>6.0</v>
      </c>
      <c r="Q354" s="85">
        <v>3.0</v>
      </c>
      <c r="R354" s="85">
        <v>2.0</v>
      </c>
      <c r="S354" s="85">
        <v>3.0</v>
      </c>
      <c r="T354" s="85">
        <v>7.0</v>
      </c>
      <c r="U354" s="85">
        <v>1.0</v>
      </c>
      <c r="V354" s="94">
        <v>0.0</v>
      </c>
      <c r="W354" s="94">
        <v>0.0</v>
      </c>
      <c r="X354" s="94">
        <v>0.0</v>
      </c>
      <c r="Y354" s="94">
        <v>0.0</v>
      </c>
      <c r="Z354" s="94">
        <v>0.0</v>
      </c>
      <c r="AA354" s="94">
        <v>0.0</v>
      </c>
      <c r="AB354" s="94">
        <v>0.0</v>
      </c>
      <c r="AC354" s="85">
        <v>1.0</v>
      </c>
      <c r="AD354" s="94">
        <v>0.0</v>
      </c>
      <c r="AE354" s="94">
        <v>0.0</v>
      </c>
      <c r="AF354" s="94">
        <v>0.0</v>
      </c>
      <c r="AG354" s="94">
        <v>0.0</v>
      </c>
      <c r="AH354" s="85">
        <v>1.0</v>
      </c>
    </row>
    <row r="355" hidden="1">
      <c r="A355" s="83" t="s">
        <v>51</v>
      </c>
      <c r="B355" s="84" t="s">
        <v>223</v>
      </c>
      <c r="C355" s="85">
        <v>1.0</v>
      </c>
      <c r="D355" s="85">
        <v>1.0</v>
      </c>
      <c r="E355" s="86">
        <v>27.0</v>
      </c>
      <c r="F355" s="94">
        <v>0.0</v>
      </c>
      <c r="G355" s="85">
        <v>96.0</v>
      </c>
      <c r="H355" s="94">
        <v>0.0</v>
      </c>
      <c r="I355" s="85">
        <v>82.0</v>
      </c>
      <c r="J355" s="95">
        <f t="shared" si="260"/>
        <v>14</v>
      </c>
      <c r="K355" s="87">
        <f t="shared" si="261"/>
        <v>1.170731707</v>
      </c>
      <c r="L355" s="85">
        <v>17.0</v>
      </c>
      <c r="M355" s="85">
        <v>123.0</v>
      </c>
      <c r="N355" s="85">
        <v>1.0</v>
      </c>
      <c r="O355" s="110">
        <f t="shared" si="268"/>
        <v>27</v>
      </c>
      <c r="P355" s="85">
        <v>5.0</v>
      </c>
      <c r="Q355" s="85">
        <v>2.0</v>
      </c>
      <c r="R355" s="85">
        <v>8.0</v>
      </c>
      <c r="S355" s="94">
        <v>0.0</v>
      </c>
      <c r="T355" s="85">
        <v>12.0</v>
      </c>
      <c r="U355" s="85">
        <v>4.0</v>
      </c>
      <c r="V355" s="85">
        <v>1.0</v>
      </c>
      <c r="W355" s="94">
        <v>0.0</v>
      </c>
      <c r="X355" s="94">
        <v>0.0</v>
      </c>
      <c r="Y355" s="94">
        <v>0.0</v>
      </c>
      <c r="Z355" s="94">
        <v>0.0</v>
      </c>
      <c r="AA355" s="94">
        <v>0.0</v>
      </c>
      <c r="AB355" s="94">
        <v>0.0</v>
      </c>
      <c r="AC355" s="85">
        <v>2.0</v>
      </c>
      <c r="AD355" s="94">
        <v>0.0</v>
      </c>
      <c r="AE355" s="94">
        <v>0.0</v>
      </c>
      <c r="AF355" s="94">
        <v>0.0</v>
      </c>
      <c r="AG355" s="94">
        <v>0.0</v>
      </c>
      <c r="AH355" s="94">
        <v>0.0</v>
      </c>
    </row>
    <row r="356" hidden="1">
      <c r="A356" s="83" t="s">
        <v>51</v>
      </c>
      <c r="B356" s="84" t="s">
        <v>224</v>
      </c>
      <c r="C356" s="85">
        <v>1.0</v>
      </c>
      <c r="D356" s="85">
        <v>1.0</v>
      </c>
      <c r="E356" s="86">
        <v>27.0</v>
      </c>
      <c r="F356" s="94">
        <v>0.0</v>
      </c>
      <c r="G356" s="85">
        <v>119.0</v>
      </c>
      <c r="H356" s="94">
        <v>0.0</v>
      </c>
      <c r="I356" s="85">
        <v>105.0</v>
      </c>
      <c r="J356" s="95">
        <f t="shared" si="260"/>
        <v>14</v>
      </c>
      <c r="K356" s="87">
        <f t="shared" si="261"/>
        <v>1.133333333</v>
      </c>
      <c r="L356" s="85">
        <v>12.0</v>
      </c>
      <c r="M356" s="85">
        <v>174.0</v>
      </c>
      <c r="N356" s="85">
        <v>1.0</v>
      </c>
      <c r="O356" s="110">
        <f t="shared" si="268"/>
        <v>27</v>
      </c>
      <c r="P356" s="85">
        <v>10.0</v>
      </c>
      <c r="Q356" s="85">
        <v>5.0</v>
      </c>
      <c r="R356" s="85">
        <v>14.0</v>
      </c>
      <c r="S356" s="85">
        <v>1.0</v>
      </c>
      <c r="T356" s="85">
        <v>24.0</v>
      </c>
      <c r="U356" s="85">
        <v>6.0</v>
      </c>
      <c r="V356" s="85">
        <v>1.0</v>
      </c>
      <c r="W356" s="94">
        <v>0.0</v>
      </c>
      <c r="X356" s="94">
        <v>0.0</v>
      </c>
      <c r="Y356" s="94">
        <v>0.0</v>
      </c>
      <c r="Z356" s="94">
        <v>0.0</v>
      </c>
      <c r="AA356" s="94">
        <v>0.0</v>
      </c>
      <c r="AB356" s="94">
        <v>0.0</v>
      </c>
      <c r="AC356" s="85">
        <v>4.0</v>
      </c>
      <c r="AD356" s="94">
        <v>0.0</v>
      </c>
      <c r="AE356" s="94">
        <v>0.0</v>
      </c>
      <c r="AF356" s="94">
        <v>0.0</v>
      </c>
      <c r="AG356" s="94">
        <v>0.0</v>
      </c>
      <c r="AH356" s="94">
        <v>0.0</v>
      </c>
    </row>
    <row r="357" hidden="1">
      <c r="A357" s="83" t="s">
        <v>51</v>
      </c>
      <c r="B357" s="84" t="s">
        <v>225</v>
      </c>
      <c r="C357" s="85">
        <v>1.0</v>
      </c>
      <c r="D357" s="85">
        <v>1.0</v>
      </c>
      <c r="E357" s="86">
        <v>27.0</v>
      </c>
      <c r="F357" s="94">
        <v>0.0</v>
      </c>
      <c r="G357" s="85">
        <v>94.0</v>
      </c>
      <c r="H357" s="94">
        <v>0.0</v>
      </c>
      <c r="I357" s="85">
        <v>136.0</v>
      </c>
      <c r="J357" s="95">
        <f t="shared" si="260"/>
        <v>-42</v>
      </c>
      <c r="K357" s="87">
        <f t="shared" si="261"/>
        <v>0.6911764706</v>
      </c>
      <c r="L357" s="85">
        <v>9.0</v>
      </c>
      <c r="M357" s="85">
        <v>126.0</v>
      </c>
      <c r="N357" s="85">
        <v>1.0</v>
      </c>
      <c r="O357" s="110">
        <f t="shared" si="268"/>
        <v>27</v>
      </c>
      <c r="P357" s="85">
        <v>4.0</v>
      </c>
      <c r="Q357" s="85">
        <v>6.0</v>
      </c>
      <c r="R357" s="94">
        <v>0.0</v>
      </c>
      <c r="S357" s="85">
        <v>5.0</v>
      </c>
      <c r="T357" s="85">
        <v>16.0</v>
      </c>
      <c r="U357" s="85">
        <v>5.0</v>
      </c>
      <c r="V357" s="85">
        <v>2.0</v>
      </c>
      <c r="W357" s="94">
        <v>0.0</v>
      </c>
      <c r="X357" s="94">
        <v>0.0</v>
      </c>
      <c r="Y357" s="94">
        <v>0.0</v>
      </c>
      <c r="Z357" s="94">
        <v>0.0</v>
      </c>
      <c r="AA357" s="94">
        <v>0.0</v>
      </c>
      <c r="AB357" s="94">
        <v>0.0</v>
      </c>
      <c r="AC357" s="85">
        <v>1.0</v>
      </c>
      <c r="AD357" s="94">
        <v>0.0</v>
      </c>
      <c r="AE357" s="94">
        <v>0.0</v>
      </c>
      <c r="AF357" s="94">
        <v>0.0</v>
      </c>
      <c r="AG357" s="94">
        <v>0.0</v>
      </c>
      <c r="AH357" s="85">
        <v>1.0</v>
      </c>
    </row>
    <row r="358" hidden="1">
      <c r="A358" s="83" t="s">
        <v>51</v>
      </c>
      <c r="B358" s="84" t="s">
        <v>226</v>
      </c>
      <c r="C358" s="94">
        <v>0.0</v>
      </c>
      <c r="D358" s="94">
        <v>0.0</v>
      </c>
      <c r="E358" s="96">
        <f t="shared" ref="E358:E359" si="269">SUM(L358*I358)/60</f>
        <v>0</v>
      </c>
      <c r="F358" s="94">
        <v>0.0</v>
      </c>
      <c r="G358" s="94">
        <v>0.0</v>
      </c>
      <c r="H358" s="94">
        <v>0.0</v>
      </c>
      <c r="I358" s="94">
        <v>0.0</v>
      </c>
      <c r="J358" s="95">
        <f t="shared" si="260"/>
        <v>0</v>
      </c>
      <c r="K358" s="87" t="str">
        <f t="shared" si="261"/>
        <v>#DIV/0!</v>
      </c>
      <c r="L358" s="94">
        <v>0.0</v>
      </c>
      <c r="M358" s="94">
        <v>0.0</v>
      </c>
      <c r="N358" s="85">
        <v>0.0</v>
      </c>
      <c r="O358" s="110">
        <f t="shared" si="268"/>
        <v>0</v>
      </c>
      <c r="P358" s="94">
        <v>0.0</v>
      </c>
      <c r="Q358" s="94">
        <v>0.0</v>
      </c>
      <c r="R358" s="94">
        <v>0.0</v>
      </c>
      <c r="S358" s="94">
        <v>0.0</v>
      </c>
      <c r="T358" s="94">
        <v>0.0</v>
      </c>
      <c r="U358" s="94">
        <v>0.0</v>
      </c>
      <c r="V358" s="94">
        <v>0.0</v>
      </c>
      <c r="W358" s="94">
        <v>0.0</v>
      </c>
      <c r="X358" s="94">
        <v>0.0</v>
      </c>
      <c r="Y358" s="94">
        <v>0.0</v>
      </c>
      <c r="Z358" s="94">
        <v>0.0</v>
      </c>
      <c r="AA358" s="94">
        <v>0.0</v>
      </c>
      <c r="AB358" s="94">
        <v>0.0</v>
      </c>
      <c r="AC358" s="94">
        <v>0.0</v>
      </c>
      <c r="AD358" s="94">
        <v>0.0</v>
      </c>
      <c r="AE358" s="94">
        <v>0.0</v>
      </c>
      <c r="AF358" s="94">
        <v>0.0</v>
      </c>
      <c r="AG358" s="94">
        <v>0.0</v>
      </c>
      <c r="AH358" s="94">
        <v>0.0</v>
      </c>
    </row>
    <row r="359" hidden="1">
      <c r="A359" s="83" t="s">
        <v>51</v>
      </c>
      <c r="B359" s="93"/>
      <c r="C359" s="94">
        <v>0.0</v>
      </c>
      <c r="D359" s="94">
        <v>0.0</v>
      </c>
      <c r="E359" s="96">
        <f t="shared" si="269"/>
        <v>0</v>
      </c>
      <c r="F359" s="94">
        <v>0.0</v>
      </c>
      <c r="G359" s="94">
        <v>0.0</v>
      </c>
      <c r="H359" s="94">
        <v>0.0</v>
      </c>
      <c r="I359" s="94">
        <v>0.0</v>
      </c>
      <c r="J359" s="95">
        <f t="shared" si="260"/>
        <v>0</v>
      </c>
      <c r="K359" s="87" t="str">
        <f t="shared" si="261"/>
        <v>#DIV/0!</v>
      </c>
      <c r="L359" s="94">
        <v>0.0</v>
      </c>
      <c r="M359" s="94">
        <v>0.0</v>
      </c>
      <c r="N359" s="85">
        <v>0.0</v>
      </c>
      <c r="O359" s="110">
        <f t="shared" si="268"/>
        <v>0</v>
      </c>
      <c r="P359" s="94">
        <v>0.0</v>
      </c>
      <c r="Q359" s="94">
        <v>0.0</v>
      </c>
      <c r="R359" s="94">
        <v>0.0</v>
      </c>
      <c r="S359" s="94">
        <v>0.0</v>
      </c>
      <c r="T359" s="94">
        <v>0.0</v>
      </c>
      <c r="U359" s="94">
        <v>0.0</v>
      </c>
      <c r="V359" s="94">
        <v>0.0</v>
      </c>
      <c r="W359" s="94">
        <v>0.0</v>
      </c>
      <c r="X359" s="94">
        <v>0.0</v>
      </c>
      <c r="Y359" s="94">
        <v>0.0</v>
      </c>
      <c r="Z359" s="94">
        <v>0.0</v>
      </c>
      <c r="AA359" s="94">
        <v>0.0</v>
      </c>
      <c r="AB359" s="94">
        <v>0.0</v>
      </c>
      <c r="AC359" s="94">
        <v>0.0</v>
      </c>
      <c r="AD359" s="94">
        <v>0.0</v>
      </c>
      <c r="AE359" s="94">
        <v>0.0</v>
      </c>
      <c r="AF359" s="94">
        <v>0.0</v>
      </c>
      <c r="AG359" s="94">
        <v>0.0</v>
      </c>
      <c r="AH359" s="94">
        <v>0.0</v>
      </c>
    </row>
    <row r="360" hidden="1">
      <c r="A360" s="89" t="s">
        <v>185</v>
      </c>
      <c r="B360" s="111"/>
      <c r="C360" s="111">
        <f>SUM(C354:C359)</f>
        <v>4</v>
      </c>
      <c r="D360" s="111">
        <f t="shared" ref="D360:E360" si="270">SUM(D354:D359)/4</f>
        <v>1</v>
      </c>
      <c r="E360" s="91">
        <f t="shared" si="270"/>
        <v>27</v>
      </c>
      <c r="F360" s="111">
        <f t="shared" ref="F360:G360" si="271">SUM(F354:F359)</f>
        <v>5</v>
      </c>
      <c r="G360" s="111">
        <f t="shared" si="271"/>
        <v>364</v>
      </c>
      <c r="H360" s="111"/>
      <c r="I360" s="111">
        <f>SUM(I354:I359)</f>
        <v>387</v>
      </c>
      <c r="J360" s="111">
        <f t="shared" si="260"/>
        <v>-23</v>
      </c>
      <c r="K360" s="92">
        <f t="shared" si="261"/>
        <v>0.9405684755</v>
      </c>
      <c r="L360" s="111">
        <f t="shared" ref="L360:M360" si="272">SUM(L354:L359)</f>
        <v>60</v>
      </c>
      <c r="M360" s="111">
        <f t="shared" si="272"/>
        <v>504</v>
      </c>
      <c r="N360" s="111"/>
      <c r="O360" s="112"/>
      <c r="P360" s="111">
        <f t="shared" ref="P360:AH360" si="273">SUM(P354:P359)</f>
        <v>25</v>
      </c>
      <c r="Q360" s="111">
        <f t="shared" si="273"/>
        <v>16</v>
      </c>
      <c r="R360" s="111">
        <f t="shared" si="273"/>
        <v>24</v>
      </c>
      <c r="S360" s="111">
        <f t="shared" si="273"/>
        <v>9</v>
      </c>
      <c r="T360" s="111">
        <f t="shared" si="273"/>
        <v>59</v>
      </c>
      <c r="U360" s="111">
        <f t="shared" si="273"/>
        <v>16</v>
      </c>
      <c r="V360" s="111">
        <f t="shared" si="273"/>
        <v>4</v>
      </c>
      <c r="W360" s="111">
        <f t="shared" si="273"/>
        <v>0</v>
      </c>
      <c r="X360" s="111">
        <f t="shared" si="273"/>
        <v>0</v>
      </c>
      <c r="Y360" s="111">
        <f t="shared" si="273"/>
        <v>0</v>
      </c>
      <c r="Z360" s="111">
        <f t="shared" si="273"/>
        <v>0</v>
      </c>
      <c r="AA360" s="111">
        <f t="shared" si="273"/>
        <v>0</v>
      </c>
      <c r="AB360" s="111">
        <f t="shared" si="273"/>
        <v>0</v>
      </c>
      <c r="AC360" s="111">
        <f t="shared" si="273"/>
        <v>8</v>
      </c>
      <c r="AD360" s="111">
        <f t="shared" si="273"/>
        <v>0</v>
      </c>
      <c r="AE360" s="111">
        <f t="shared" si="273"/>
        <v>0</v>
      </c>
      <c r="AF360" s="111">
        <f t="shared" si="273"/>
        <v>0</v>
      </c>
      <c r="AG360" s="111">
        <f t="shared" si="273"/>
        <v>0</v>
      </c>
      <c r="AH360" s="111">
        <f t="shared" si="273"/>
        <v>2</v>
      </c>
    </row>
    <row r="361">
      <c r="A361" s="104" t="s">
        <v>275</v>
      </c>
    </row>
    <row r="363" hidden="1">
      <c r="A363" s="105"/>
      <c r="F363" s="106" t="s">
        <v>251</v>
      </c>
      <c r="L363" s="107" t="s">
        <v>252</v>
      </c>
      <c r="N363" s="108" t="s">
        <v>253</v>
      </c>
    </row>
    <row r="364" hidden="1">
      <c r="A364" s="76" t="s">
        <v>148</v>
      </c>
      <c r="B364" s="76" t="s">
        <v>149</v>
      </c>
      <c r="C364" s="76" t="s">
        <v>150</v>
      </c>
      <c r="D364" s="76" t="s">
        <v>13</v>
      </c>
      <c r="E364" s="77" t="s">
        <v>151</v>
      </c>
      <c r="F364" s="78" t="s">
        <v>15</v>
      </c>
      <c r="G364" s="78" t="s">
        <v>152</v>
      </c>
      <c r="H364" s="78" t="s">
        <v>153</v>
      </c>
      <c r="I364" s="78" t="s">
        <v>154</v>
      </c>
      <c r="J364" s="78" t="s">
        <v>155</v>
      </c>
      <c r="K364" s="79" t="s">
        <v>156</v>
      </c>
      <c r="L364" s="80" t="s">
        <v>157</v>
      </c>
      <c r="M364" s="80" t="s">
        <v>158</v>
      </c>
      <c r="N364" s="81" t="s">
        <v>254</v>
      </c>
      <c r="O364" s="81" t="s">
        <v>151</v>
      </c>
      <c r="P364" s="81" t="s">
        <v>160</v>
      </c>
      <c r="Q364" s="81" t="s">
        <v>161</v>
      </c>
      <c r="R364" s="81" t="s">
        <v>162</v>
      </c>
      <c r="S364" s="81" t="s">
        <v>163</v>
      </c>
      <c r="T364" s="81" t="s">
        <v>164</v>
      </c>
      <c r="U364" s="81" t="s">
        <v>165</v>
      </c>
      <c r="V364" s="81" t="s">
        <v>166</v>
      </c>
      <c r="W364" s="81" t="s">
        <v>167</v>
      </c>
      <c r="X364" s="81" t="s">
        <v>168</v>
      </c>
      <c r="Y364" s="81" t="s">
        <v>169</v>
      </c>
      <c r="Z364" s="81" t="s">
        <v>170</v>
      </c>
      <c r="AA364" s="81" t="s">
        <v>171</v>
      </c>
      <c r="AB364" s="81" t="s">
        <v>172</v>
      </c>
      <c r="AC364" s="81" t="s">
        <v>173</v>
      </c>
      <c r="AD364" s="81" t="s">
        <v>174</v>
      </c>
      <c r="AE364" s="81" t="s">
        <v>175</v>
      </c>
      <c r="AF364" s="81" t="s">
        <v>176</v>
      </c>
      <c r="AG364" s="81" t="s">
        <v>177</v>
      </c>
      <c r="AH364" s="81" t="s">
        <v>178</v>
      </c>
    </row>
    <row r="365" hidden="1">
      <c r="A365" s="83" t="s">
        <v>58</v>
      </c>
      <c r="B365" s="84" t="s">
        <v>209</v>
      </c>
      <c r="C365" s="85">
        <v>1.0</v>
      </c>
      <c r="D365" s="94">
        <v>0.0</v>
      </c>
      <c r="E365" s="96">
        <f t="shared" ref="E365:E370" si="274">SUM(L365*I365)/60</f>
        <v>18.33333333</v>
      </c>
      <c r="F365" s="94">
        <v>0.0</v>
      </c>
      <c r="G365" s="85">
        <v>61.0</v>
      </c>
      <c r="H365" s="85">
        <v>1.0</v>
      </c>
      <c r="I365" s="85">
        <v>100.0</v>
      </c>
      <c r="J365" s="95">
        <f t="shared" ref="J365:J378" si="275">SUM(G365-I365)</f>
        <v>-39</v>
      </c>
      <c r="K365" s="87">
        <f t="shared" ref="K365:K378" si="276">SUM(G365/I365)</f>
        <v>0.61</v>
      </c>
      <c r="L365" s="85">
        <v>11.0</v>
      </c>
      <c r="M365" s="85">
        <v>64.0</v>
      </c>
      <c r="N365" s="85">
        <v>1.0</v>
      </c>
      <c r="O365" s="110">
        <f t="shared" ref="O365:O370" si="277">(E365*N365)</f>
        <v>18.33333333</v>
      </c>
      <c r="P365" s="85">
        <v>2.0</v>
      </c>
      <c r="Q365" s="85">
        <v>2.0</v>
      </c>
      <c r="R365" s="85">
        <v>1.0</v>
      </c>
      <c r="S365" s="85">
        <v>1.0</v>
      </c>
      <c r="T365" s="85">
        <v>2.0</v>
      </c>
      <c r="U365" s="94">
        <v>0.0</v>
      </c>
      <c r="V365" s="94">
        <v>0.0</v>
      </c>
      <c r="W365" s="94">
        <v>0.0</v>
      </c>
      <c r="X365" s="94">
        <v>0.0</v>
      </c>
      <c r="Y365" s="94">
        <v>0.0</v>
      </c>
      <c r="Z365" s="94">
        <v>0.0</v>
      </c>
      <c r="AA365" s="94">
        <v>0.0</v>
      </c>
      <c r="AB365" s="94">
        <v>0.0</v>
      </c>
      <c r="AC365" s="94">
        <v>0.0</v>
      </c>
      <c r="AD365" s="94">
        <v>0.0</v>
      </c>
      <c r="AE365" s="94">
        <v>0.0</v>
      </c>
      <c r="AF365" s="94">
        <v>0.0</v>
      </c>
      <c r="AG365" s="94">
        <v>0.0</v>
      </c>
      <c r="AH365" s="94">
        <v>0.0</v>
      </c>
    </row>
    <row r="366" hidden="1">
      <c r="A366" s="83" t="s">
        <v>58</v>
      </c>
      <c r="B366" s="84" t="s">
        <v>210</v>
      </c>
      <c r="C366" s="85">
        <v>1.0</v>
      </c>
      <c r="D366" s="94">
        <v>0.0</v>
      </c>
      <c r="E366" s="96">
        <f t="shared" si="274"/>
        <v>19.06666667</v>
      </c>
      <c r="F366" s="85">
        <v>1.0</v>
      </c>
      <c r="G366" s="85">
        <v>76.0</v>
      </c>
      <c r="H366" s="94">
        <v>0.0</v>
      </c>
      <c r="I366" s="85">
        <v>88.0</v>
      </c>
      <c r="J366" s="95">
        <f t="shared" si="275"/>
        <v>-12</v>
      </c>
      <c r="K366" s="87">
        <f t="shared" si="276"/>
        <v>0.8636363636</v>
      </c>
      <c r="L366" s="85">
        <v>13.0</v>
      </c>
      <c r="M366" s="85">
        <v>102.0</v>
      </c>
      <c r="N366" s="85">
        <v>1.0</v>
      </c>
      <c r="O366" s="110">
        <f t="shared" si="277"/>
        <v>19.06666667</v>
      </c>
      <c r="P366" s="85">
        <v>5.0</v>
      </c>
      <c r="Q366" s="85">
        <v>4.0</v>
      </c>
      <c r="R366" s="85">
        <v>8.0</v>
      </c>
      <c r="S366" s="85">
        <v>2.0</v>
      </c>
      <c r="T366" s="85">
        <v>13.0</v>
      </c>
      <c r="U366" s="85">
        <v>3.0</v>
      </c>
      <c r="V366" s="94">
        <v>0.0</v>
      </c>
      <c r="W366" s="94">
        <v>0.0</v>
      </c>
      <c r="X366" s="94">
        <v>0.0</v>
      </c>
      <c r="Y366" s="94">
        <v>0.0</v>
      </c>
      <c r="Z366" s="94">
        <v>0.0</v>
      </c>
      <c r="AA366" s="94">
        <v>0.0</v>
      </c>
      <c r="AB366" s="94">
        <v>0.0</v>
      </c>
      <c r="AC366" s="85">
        <v>1.0</v>
      </c>
      <c r="AD366" s="94">
        <v>0.0</v>
      </c>
      <c r="AE366" s="94">
        <v>0.0</v>
      </c>
      <c r="AF366" s="94">
        <v>0.0</v>
      </c>
      <c r="AG366" s="94">
        <v>0.0</v>
      </c>
      <c r="AH366" s="94">
        <v>0.0</v>
      </c>
    </row>
    <row r="367" hidden="1">
      <c r="A367" s="83" t="s">
        <v>58</v>
      </c>
      <c r="B367" s="84" t="s">
        <v>211</v>
      </c>
      <c r="C367" s="85">
        <v>1.0</v>
      </c>
      <c r="D367" s="94">
        <v>0.0</v>
      </c>
      <c r="E367" s="96">
        <f t="shared" si="274"/>
        <v>18.41666667</v>
      </c>
      <c r="F367" s="94">
        <v>0.0</v>
      </c>
      <c r="G367" s="85">
        <v>91.0</v>
      </c>
      <c r="H367" s="85">
        <v>2.0</v>
      </c>
      <c r="I367" s="85">
        <v>85.0</v>
      </c>
      <c r="J367" s="95">
        <f t="shared" si="275"/>
        <v>6</v>
      </c>
      <c r="K367" s="87">
        <f t="shared" si="276"/>
        <v>1.070588235</v>
      </c>
      <c r="L367" s="85">
        <v>13.0</v>
      </c>
      <c r="M367" s="85">
        <v>113.0</v>
      </c>
      <c r="N367" s="85">
        <v>1.0</v>
      </c>
      <c r="O367" s="110">
        <f t="shared" si="277"/>
        <v>18.41666667</v>
      </c>
      <c r="P367" s="85">
        <v>1.0</v>
      </c>
      <c r="Q367" s="85">
        <v>4.0</v>
      </c>
      <c r="R367" s="85">
        <v>5.0</v>
      </c>
      <c r="S367" s="85">
        <v>1.0</v>
      </c>
      <c r="T367" s="85">
        <v>14.0</v>
      </c>
      <c r="U367" s="85">
        <v>4.0</v>
      </c>
      <c r="V367" s="94">
        <v>0.0</v>
      </c>
      <c r="W367" s="94">
        <v>0.0</v>
      </c>
      <c r="X367" s="94">
        <v>0.0</v>
      </c>
      <c r="Y367" s="94">
        <v>0.0</v>
      </c>
      <c r="Z367" s="94">
        <v>0.0</v>
      </c>
      <c r="AA367" s="94">
        <v>0.0</v>
      </c>
      <c r="AB367" s="94">
        <v>0.0</v>
      </c>
      <c r="AC367" s="85">
        <v>3.0</v>
      </c>
      <c r="AD367" s="94">
        <v>0.0</v>
      </c>
      <c r="AE367" s="94">
        <v>0.0</v>
      </c>
      <c r="AF367" s="94">
        <v>0.0</v>
      </c>
      <c r="AG367" s="94">
        <v>0.0</v>
      </c>
      <c r="AH367" s="94">
        <v>0.0</v>
      </c>
    </row>
    <row r="368" hidden="1">
      <c r="A368" s="83" t="s">
        <v>58</v>
      </c>
      <c r="B368" s="84" t="s">
        <v>212</v>
      </c>
      <c r="C368" s="85">
        <v>1.0</v>
      </c>
      <c r="D368" s="94">
        <v>0.0</v>
      </c>
      <c r="E368" s="96">
        <f t="shared" si="274"/>
        <v>20.26666667</v>
      </c>
      <c r="F368" s="85">
        <v>1.0</v>
      </c>
      <c r="G368" s="85">
        <v>72.0</v>
      </c>
      <c r="H368" s="94">
        <v>0.0</v>
      </c>
      <c r="I368" s="85">
        <v>64.0</v>
      </c>
      <c r="J368" s="95">
        <f t="shared" si="275"/>
        <v>8</v>
      </c>
      <c r="K368" s="87">
        <f t="shared" si="276"/>
        <v>1.125</v>
      </c>
      <c r="L368" s="85">
        <v>19.0</v>
      </c>
      <c r="M368" s="85">
        <v>98.0</v>
      </c>
      <c r="N368" s="85">
        <v>1.0</v>
      </c>
      <c r="O368" s="110">
        <f t="shared" si="277"/>
        <v>20.26666667</v>
      </c>
      <c r="P368" s="85">
        <v>4.0</v>
      </c>
      <c r="Q368" s="85">
        <v>2.0</v>
      </c>
      <c r="R368" s="85">
        <v>11.0</v>
      </c>
      <c r="S368" s="85">
        <v>2.0</v>
      </c>
      <c r="T368" s="85">
        <v>8.0</v>
      </c>
      <c r="U368" s="85">
        <v>3.0</v>
      </c>
      <c r="V368" s="94">
        <v>0.0</v>
      </c>
      <c r="W368" s="94">
        <v>0.0</v>
      </c>
      <c r="X368" s="94">
        <v>0.0</v>
      </c>
      <c r="Y368" s="94">
        <v>0.0</v>
      </c>
      <c r="Z368" s="94">
        <v>0.0</v>
      </c>
      <c r="AA368" s="94">
        <v>0.0</v>
      </c>
      <c r="AB368" s="94">
        <v>0.0</v>
      </c>
      <c r="AC368" s="94">
        <v>0.0</v>
      </c>
      <c r="AD368" s="94">
        <v>0.0</v>
      </c>
      <c r="AE368" s="94">
        <v>0.0</v>
      </c>
      <c r="AF368" s="94">
        <v>0.0</v>
      </c>
      <c r="AG368" s="94">
        <v>0.0</v>
      </c>
      <c r="AH368" s="94">
        <v>0.0</v>
      </c>
    </row>
    <row r="369" hidden="1">
      <c r="A369" s="83" t="s">
        <v>58</v>
      </c>
      <c r="B369" s="84" t="s">
        <v>213</v>
      </c>
      <c r="C369" s="94">
        <v>0.0</v>
      </c>
      <c r="D369" s="94">
        <v>0.0</v>
      </c>
      <c r="E369" s="96">
        <f t="shared" si="274"/>
        <v>0</v>
      </c>
      <c r="F369" s="94">
        <v>0.0</v>
      </c>
      <c r="G369" s="94">
        <v>0.0</v>
      </c>
      <c r="H369" s="94">
        <v>0.0</v>
      </c>
      <c r="I369" s="94">
        <v>0.0</v>
      </c>
      <c r="J369" s="95">
        <f t="shared" si="275"/>
        <v>0</v>
      </c>
      <c r="K369" s="87" t="str">
        <f t="shared" si="276"/>
        <v>#DIV/0!</v>
      </c>
      <c r="L369" s="94">
        <v>0.0</v>
      </c>
      <c r="M369" s="94">
        <v>0.0</v>
      </c>
      <c r="N369" s="85">
        <v>0.0</v>
      </c>
      <c r="O369" s="110">
        <f t="shared" si="277"/>
        <v>0</v>
      </c>
      <c r="P369" s="94">
        <v>0.0</v>
      </c>
      <c r="Q369" s="94">
        <v>0.0</v>
      </c>
      <c r="R369" s="94">
        <v>0.0</v>
      </c>
      <c r="S369" s="94">
        <v>0.0</v>
      </c>
      <c r="T369" s="94">
        <v>0.0</v>
      </c>
      <c r="U369" s="94">
        <v>0.0</v>
      </c>
      <c r="V369" s="94">
        <v>0.0</v>
      </c>
      <c r="W369" s="94">
        <v>0.0</v>
      </c>
      <c r="X369" s="94">
        <v>0.0</v>
      </c>
      <c r="Y369" s="94">
        <v>0.0</v>
      </c>
      <c r="Z369" s="94">
        <v>0.0</v>
      </c>
      <c r="AA369" s="94">
        <v>0.0</v>
      </c>
      <c r="AB369" s="94">
        <v>0.0</v>
      </c>
      <c r="AC369" s="94">
        <v>0.0</v>
      </c>
      <c r="AD369" s="94">
        <v>0.0</v>
      </c>
      <c r="AE369" s="94">
        <v>0.0</v>
      </c>
      <c r="AF369" s="94">
        <v>0.0</v>
      </c>
      <c r="AG369" s="94">
        <v>0.0</v>
      </c>
      <c r="AH369" s="94">
        <v>0.0</v>
      </c>
    </row>
    <row r="370" hidden="1">
      <c r="A370" s="83" t="s">
        <v>214</v>
      </c>
      <c r="B370" s="84" t="s">
        <v>189</v>
      </c>
      <c r="C370" s="94">
        <v>0.0</v>
      </c>
      <c r="D370" s="94">
        <v>0.0</v>
      </c>
      <c r="E370" s="96">
        <f t="shared" si="274"/>
        <v>0</v>
      </c>
      <c r="F370" s="94">
        <v>0.0</v>
      </c>
      <c r="G370" s="94">
        <v>0.0</v>
      </c>
      <c r="H370" s="94">
        <v>0.0</v>
      </c>
      <c r="I370" s="94">
        <v>0.0</v>
      </c>
      <c r="J370" s="95">
        <f t="shared" si="275"/>
        <v>0</v>
      </c>
      <c r="K370" s="87" t="str">
        <f t="shared" si="276"/>
        <v>#DIV/0!</v>
      </c>
      <c r="L370" s="94">
        <v>0.0</v>
      </c>
      <c r="M370" s="94">
        <v>0.0</v>
      </c>
      <c r="N370" s="85">
        <v>0.0</v>
      </c>
      <c r="O370" s="110">
        <f t="shared" si="277"/>
        <v>0</v>
      </c>
      <c r="P370" s="94">
        <v>0.0</v>
      </c>
      <c r="Q370" s="94">
        <v>0.0</v>
      </c>
      <c r="R370" s="94">
        <v>0.0</v>
      </c>
      <c r="S370" s="94">
        <v>0.0</v>
      </c>
      <c r="T370" s="94">
        <v>0.0</v>
      </c>
      <c r="U370" s="94">
        <v>0.0</v>
      </c>
      <c r="V370" s="94">
        <v>0.0</v>
      </c>
      <c r="W370" s="94">
        <v>0.0</v>
      </c>
      <c r="X370" s="94">
        <v>0.0</v>
      </c>
      <c r="Y370" s="94">
        <v>0.0</v>
      </c>
      <c r="Z370" s="94">
        <v>0.0</v>
      </c>
      <c r="AA370" s="94">
        <v>0.0</v>
      </c>
      <c r="AB370" s="94">
        <v>0.0</v>
      </c>
      <c r="AC370" s="94">
        <v>0.0</v>
      </c>
      <c r="AD370" s="94">
        <v>0.0</v>
      </c>
      <c r="AE370" s="94">
        <v>0.0</v>
      </c>
      <c r="AF370" s="94">
        <v>0.0</v>
      </c>
      <c r="AG370" s="94">
        <v>0.0</v>
      </c>
      <c r="AH370" s="94">
        <v>0.0</v>
      </c>
    </row>
    <row r="371" hidden="1">
      <c r="A371" s="89"/>
      <c r="B371" s="111"/>
      <c r="C371" s="111">
        <f t="shared" ref="C371:D371" si="278">SUM(C365:C370)/4</f>
        <v>1</v>
      </c>
      <c r="D371" s="111">
        <f t="shared" si="278"/>
        <v>0</v>
      </c>
      <c r="E371" s="91">
        <f t="shared" ref="E371:G371" si="279">SUM(E365:E370)</f>
        <v>76.08333333</v>
      </c>
      <c r="F371" s="111">
        <f t="shared" si="279"/>
        <v>2</v>
      </c>
      <c r="G371" s="111">
        <f t="shared" si="279"/>
        <v>300</v>
      </c>
      <c r="H371" s="111"/>
      <c r="I371" s="111">
        <f>SUM(I365:I370)</f>
        <v>337</v>
      </c>
      <c r="J371" s="111">
        <f t="shared" si="275"/>
        <v>-37</v>
      </c>
      <c r="K371" s="92">
        <f t="shared" si="276"/>
        <v>0.8902077151</v>
      </c>
      <c r="L371" s="111">
        <f t="shared" ref="L371:M371" si="280">SUM(L365:L370)</f>
        <v>56</v>
      </c>
      <c r="M371" s="111">
        <f t="shared" si="280"/>
        <v>377</v>
      </c>
      <c r="N371" s="111"/>
      <c r="O371" s="112"/>
      <c r="P371" s="111">
        <f t="shared" ref="P371:AH371" si="281">SUM(P365:P370)</f>
        <v>12</v>
      </c>
      <c r="Q371" s="111">
        <f t="shared" si="281"/>
        <v>12</v>
      </c>
      <c r="R371" s="111">
        <f t="shared" si="281"/>
        <v>25</v>
      </c>
      <c r="S371" s="111">
        <f t="shared" si="281"/>
        <v>6</v>
      </c>
      <c r="T371" s="111">
        <f t="shared" si="281"/>
        <v>37</v>
      </c>
      <c r="U371" s="111">
        <f t="shared" si="281"/>
        <v>10</v>
      </c>
      <c r="V371" s="111">
        <f t="shared" si="281"/>
        <v>0</v>
      </c>
      <c r="W371" s="111">
        <f t="shared" si="281"/>
        <v>0</v>
      </c>
      <c r="X371" s="111">
        <f t="shared" si="281"/>
        <v>0</v>
      </c>
      <c r="Y371" s="111">
        <f t="shared" si="281"/>
        <v>0</v>
      </c>
      <c r="Z371" s="111">
        <f t="shared" si="281"/>
        <v>0</v>
      </c>
      <c r="AA371" s="111">
        <f t="shared" si="281"/>
        <v>0</v>
      </c>
      <c r="AB371" s="111">
        <f t="shared" si="281"/>
        <v>0</v>
      </c>
      <c r="AC371" s="111">
        <f t="shared" si="281"/>
        <v>4</v>
      </c>
      <c r="AD371" s="111">
        <f t="shared" si="281"/>
        <v>0</v>
      </c>
      <c r="AE371" s="111">
        <f t="shared" si="281"/>
        <v>0</v>
      </c>
      <c r="AF371" s="111">
        <f t="shared" si="281"/>
        <v>0</v>
      </c>
      <c r="AG371" s="111">
        <f t="shared" si="281"/>
        <v>0</v>
      </c>
      <c r="AH371" s="111">
        <f t="shared" si="281"/>
        <v>0</v>
      </c>
    </row>
    <row r="372" hidden="1">
      <c r="A372" s="83" t="s">
        <v>51</v>
      </c>
      <c r="B372" s="84" t="s">
        <v>222</v>
      </c>
      <c r="C372" s="85">
        <v>1.0</v>
      </c>
      <c r="D372" s="85">
        <v>1.0</v>
      </c>
      <c r="E372" s="96">
        <f t="shared" ref="E372:E377" si="282">SUM(L372*I372)/60</f>
        <v>19.46666667</v>
      </c>
      <c r="F372" s="85">
        <v>4.0</v>
      </c>
      <c r="G372" s="85">
        <v>71.0</v>
      </c>
      <c r="H372" s="85">
        <v>1.0</v>
      </c>
      <c r="I372" s="85">
        <v>73.0</v>
      </c>
      <c r="J372" s="95">
        <f t="shared" si="275"/>
        <v>-2</v>
      </c>
      <c r="K372" s="87">
        <f t="shared" si="276"/>
        <v>0.9726027397</v>
      </c>
      <c r="L372" s="85">
        <v>16.0</v>
      </c>
      <c r="M372" s="85">
        <v>102.0</v>
      </c>
      <c r="N372" s="85">
        <v>1.0</v>
      </c>
      <c r="O372" s="110">
        <f t="shared" ref="O372:O377" si="283">(E372*N372)</f>
        <v>19.46666667</v>
      </c>
      <c r="P372" s="85">
        <v>5.0</v>
      </c>
      <c r="Q372" s="94">
        <v>0.0</v>
      </c>
      <c r="R372" s="85">
        <v>3.0</v>
      </c>
      <c r="S372" s="85">
        <v>2.0</v>
      </c>
      <c r="T372" s="85">
        <v>9.0</v>
      </c>
      <c r="U372" s="85">
        <v>3.0</v>
      </c>
      <c r="V372" s="85">
        <v>1.0</v>
      </c>
      <c r="W372" s="85">
        <v>1.0</v>
      </c>
      <c r="X372" s="85">
        <v>1.0</v>
      </c>
      <c r="Y372" s="94">
        <v>0.0</v>
      </c>
      <c r="Z372" s="94">
        <v>0.0</v>
      </c>
      <c r="AA372" s="94">
        <v>0.0</v>
      </c>
      <c r="AB372" s="94">
        <v>0.0</v>
      </c>
      <c r="AC372" s="85">
        <v>2.0</v>
      </c>
      <c r="AD372" s="94">
        <v>0.0</v>
      </c>
      <c r="AE372" s="94">
        <v>0.0</v>
      </c>
      <c r="AF372" s="94">
        <v>0.0</v>
      </c>
      <c r="AG372" s="94">
        <v>0.0</v>
      </c>
      <c r="AH372" s="85">
        <v>1.0</v>
      </c>
    </row>
    <row r="373" hidden="1">
      <c r="A373" s="83" t="s">
        <v>51</v>
      </c>
      <c r="B373" s="84" t="s">
        <v>223</v>
      </c>
      <c r="C373" s="85">
        <v>1.0</v>
      </c>
      <c r="D373" s="85">
        <v>1.0</v>
      </c>
      <c r="E373" s="96">
        <f t="shared" si="282"/>
        <v>19.25</v>
      </c>
      <c r="F373" s="94">
        <v>0.0</v>
      </c>
      <c r="G373" s="85">
        <v>87.0</v>
      </c>
      <c r="H373" s="94">
        <v>0.0</v>
      </c>
      <c r="I373" s="85">
        <v>77.0</v>
      </c>
      <c r="J373" s="95">
        <f t="shared" si="275"/>
        <v>10</v>
      </c>
      <c r="K373" s="87">
        <f t="shared" si="276"/>
        <v>1.12987013</v>
      </c>
      <c r="L373" s="85">
        <v>15.0</v>
      </c>
      <c r="M373" s="85">
        <v>104.0</v>
      </c>
      <c r="N373" s="85">
        <v>1.0</v>
      </c>
      <c r="O373" s="110">
        <f t="shared" si="283"/>
        <v>19.25</v>
      </c>
      <c r="P373" s="85">
        <v>3.0</v>
      </c>
      <c r="Q373" s="85">
        <v>3.0</v>
      </c>
      <c r="R373" s="85">
        <v>10.0</v>
      </c>
      <c r="S373" s="85">
        <v>1.0</v>
      </c>
      <c r="T373" s="85">
        <v>10.0</v>
      </c>
      <c r="U373" s="85">
        <v>3.0</v>
      </c>
      <c r="V373" s="94">
        <v>0.0</v>
      </c>
      <c r="W373" s="94">
        <v>0.0</v>
      </c>
      <c r="X373" s="94">
        <v>0.0</v>
      </c>
      <c r="Y373" s="94">
        <v>0.0</v>
      </c>
      <c r="Z373" s="94">
        <v>0.0</v>
      </c>
      <c r="AA373" s="94">
        <v>0.0</v>
      </c>
      <c r="AB373" s="94">
        <v>0.0</v>
      </c>
      <c r="AC373" s="94">
        <v>0.0</v>
      </c>
      <c r="AD373" s="94">
        <v>0.0</v>
      </c>
      <c r="AE373" s="94">
        <v>0.0</v>
      </c>
      <c r="AF373" s="94">
        <v>0.0</v>
      </c>
      <c r="AG373" s="94">
        <v>0.0</v>
      </c>
      <c r="AH373" s="94">
        <v>0.0</v>
      </c>
    </row>
    <row r="374" hidden="1">
      <c r="A374" s="83" t="s">
        <v>51</v>
      </c>
      <c r="B374" s="84" t="s">
        <v>224</v>
      </c>
      <c r="C374" s="85">
        <v>1.0</v>
      </c>
      <c r="D374" s="85">
        <v>1.0</v>
      </c>
      <c r="E374" s="96">
        <f t="shared" si="282"/>
        <v>19.5</v>
      </c>
      <c r="F374" s="94">
        <v>0.0</v>
      </c>
      <c r="G374" s="85">
        <v>117.0</v>
      </c>
      <c r="H374" s="85">
        <v>3.0</v>
      </c>
      <c r="I374" s="85">
        <v>90.0</v>
      </c>
      <c r="J374" s="95">
        <f t="shared" si="275"/>
        <v>27</v>
      </c>
      <c r="K374" s="87">
        <f t="shared" si="276"/>
        <v>1.3</v>
      </c>
      <c r="L374" s="85">
        <v>13.0</v>
      </c>
      <c r="M374" s="85">
        <v>157.0</v>
      </c>
      <c r="N374" s="85">
        <v>1.0</v>
      </c>
      <c r="O374" s="110">
        <f t="shared" si="283"/>
        <v>19.5</v>
      </c>
      <c r="P374" s="85">
        <v>3.0</v>
      </c>
      <c r="Q374" s="85">
        <v>1.0</v>
      </c>
      <c r="R374" s="85">
        <v>9.0</v>
      </c>
      <c r="S374" s="85">
        <v>1.0</v>
      </c>
      <c r="T374" s="85">
        <v>20.0</v>
      </c>
      <c r="U374" s="85">
        <v>4.0</v>
      </c>
      <c r="V374" s="85">
        <v>1.0</v>
      </c>
      <c r="W374" s="94">
        <v>0.0</v>
      </c>
      <c r="X374" s="94">
        <v>0.0</v>
      </c>
      <c r="Y374" s="94">
        <v>0.0</v>
      </c>
      <c r="Z374" s="94">
        <v>0.0</v>
      </c>
      <c r="AA374" s="94">
        <v>0.0</v>
      </c>
      <c r="AB374" s="94">
        <v>0.0</v>
      </c>
      <c r="AC374" s="85">
        <v>4.0</v>
      </c>
      <c r="AD374" s="94">
        <v>0.0</v>
      </c>
      <c r="AE374" s="94">
        <v>0.0</v>
      </c>
      <c r="AF374" s="94">
        <v>0.0</v>
      </c>
      <c r="AG374" s="94">
        <v>0.0</v>
      </c>
      <c r="AH374" s="94">
        <v>0.0</v>
      </c>
    </row>
    <row r="375" hidden="1">
      <c r="A375" s="83" t="s">
        <v>51</v>
      </c>
      <c r="B375" s="84" t="s">
        <v>225</v>
      </c>
      <c r="C375" s="85">
        <v>1.0</v>
      </c>
      <c r="D375" s="85">
        <v>1.0</v>
      </c>
      <c r="E375" s="96">
        <f t="shared" si="282"/>
        <v>20.11666667</v>
      </c>
      <c r="F375" s="85">
        <v>1.0</v>
      </c>
      <c r="G375" s="85">
        <v>54.0</v>
      </c>
      <c r="H375" s="94">
        <v>0.0</v>
      </c>
      <c r="I375" s="85">
        <v>71.0</v>
      </c>
      <c r="J375" s="95">
        <f t="shared" si="275"/>
        <v>-17</v>
      </c>
      <c r="K375" s="87">
        <f t="shared" si="276"/>
        <v>0.7605633803</v>
      </c>
      <c r="L375" s="85">
        <v>17.0</v>
      </c>
      <c r="M375" s="85">
        <v>68.0</v>
      </c>
      <c r="N375" s="85">
        <v>1.0</v>
      </c>
      <c r="O375" s="110">
        <f t="shared" si="283"/>
        <v>20.11666667</v>
      </c>
      <c r="P375" s="85">
        <v>5.0</v>
      </c>
      <c r="Q375" s="85">
        <v>1.0</v>
      </c>
      <c r="R375" s="85">
        <v>2.0</v>
      </c>
      <c r="S375" s="94">
        <v>0.0</v>
      </c>
      <c r="T375" s="85">
        <v>6.0</v>
      </c>
      <c r="U375" s="94">
        <v>0.0</v>
      </c>
      <c r="V375" s="94">
        <v>0.0</v>
      </c>
      <c r="W375" s="94">
        <v>0.0</v>
      </c>
      <c r="X375" s="94">
        <v>0.0</v>
      </c>
      <c r="Y375" s="94">
        <v>0.0</v>
      </c>
      <c r="Z375" s="94">
        <v>0.0</v>
      </c>
      <c r="AA375" s="94">
        <v>0.0</v>
      </c>
      <c r="AB375" s="94">
        <v>0.0</v>
      </c>
      <c r="AC375" s="94">
        <v>0.0</v>
      </c>
      <c r="AD375" s="94">
        <v>0.0</v>
      </c>
      <c r="AE375" s="94">
        <v>0.0</v>
      </c>
      <c r="AF375" s="94">
        <v>0.0</v>
      </c>
      <c r="AG375" s="94">
        <v>0.0</v>
      </c>
      <c r="AH375" s="94">
        <v>0.0</v>
      </c>
    </row>
    <row r="376" hidden="1">
      <c r="A376" s="83" t="s">
        <v>51</v>
      </c>
      <c r="B376" s="84" t="s">
        <v>226</v>
      </c>
      <c r="C376" s="94">
        <v>0.0</v>
      </c>
      <c r="D376" s="94">
        <v>0.0</v>
      </c>
      <c r="E376" s="96">
        <f t="shared" si="282"/>
        <v>0</v>
      </c>
      <c r="F376" s="94">
        <v>0.0</v>
      </c>
      <c r="G376" s="94">
        <v>0.0</v>
      </c>
      <c r="H376" s="94">
        <v>0.0</v>
      </c>
      <c r="I376" s="94">
        <v>0.0</v>
      </c>
      <c r="J376" s="95">
        <f t="shared" si="275"/>
        <v>0</v>
      </c>
      <c r="K376" s="87" t="str">
        <f t="shared" si="276"/>
        <v>#DIV/0!</v>
      </c>
      <c r="L376" s="94">
        <v>0.0</v>
      </c>
      <c r="M376" s="94">
        <v>0.0</v>
      </c>
      <c r="N376" s="85">
        <v>0.0</v>
      </c>
      <c r="O376" s="110">
        <f t="shared" si="283"/>
        <v>0</v>
      </c>
      <c r="P376" s="94">
        <v>0.0</v>
      </c>
      <c r="Q376" s="94">
        <v>0.0</v>
      </c>
      <c r="R376" s="94">
        <v>0.0</v>
      </c>
      <c r="S376" s="94">
        <v>0.0</v>
      </c>
      <c r="T376" s="94">
        <v>0.0</v>
      </c>
      <c r="U376" s="94">
        <v>0.0</v>
      </c>
      <c r="V376" s="94">
        <v>0.0</v>
      </c>
      <c r="W376" s="94">
        <v>0.0</v>
      </c>
      <c r="X376" s="94">
        <v>0.0</v>
      </c>
      <c r="Y376" s="94">
        <v>0.0</v>
      </c>
      <c r="Z376" s="94">
        <v>0.0</v>
      </c>
      <c r="AA376" s="94">
        <v>0.0</v>
      </c>
      <c r="AB376" s="94">
        <v>0.0</v>
      </c>
      <c r="AC376" s="94">
        <v>0.0</v>
      </c>
      <c r="AD376" s="94">
        <v>0.0</v>
      </c>
      <c r="AE376" s="94">
        <v>0.0</v>
      </c>
      <c r="AF376" s="94">
        <v>0.0</v>
      </c>
      <c r="AG376" s="94">
        <v>0.0</v>
      </c>
      <c r="AH376" s="94">
        <v>0.0</v>
      </c>
    </row>
    <row r="377" hidden="1">
      <c r="A377" s="83" t="s">
        <v>51</v>
      </c>
      <c r="B377" s="93"/>
      <c r="C377" s="94">
        <v>0.0</v>
      </c>
      <c r="D377" s="94">
        <v>0.0</v>
      </c>
      <c r="E377" s="96">
        <f t="shared" si="282"/>
        <v>0</v>
      </c>
      <c r="F377" s="94">
        <v>0.0</v>
      </c>
      <c r="G377" s="94">
        <v>0.0</v>
      </c>
      <c r="H377" s="94">
        <v>0.0</v>
      </c>
      <c r="I377" s="94">
        <v>0.0</v>
      </c>
      <c r="J377" s="95">
        <f t="shared" si="275"/>
        <v>0</v>
      </c>
      <c r="K377" s="87" t="str">
        <f t="shared" si="276"/>
        <v>#DIV/0!</v>
      </c>
      <c r="L377" s="94">
        <v>0.0</v>
      </c>
      <c r="M377" s="94">
        <v>0.0</v>
      </c>
      <c r="N377" s="85">
        <v>0.0</v>
      </c>
      <c r="O377" s="110">
        <f t="shared" si="283"/>
        <v>0</v>
      </c>
      <c r="P377" s="94">
        <v>0.0</v>
      </c>
      <c r="Q377" s="94">
        <v>0.0</v>
      </c>
      <c r="R377" s="94">
        <v>0.0</v>
      </c>
      <c r="S377" s="94">
        <v>0.0</v>
      </c>
      <c r="T377" s="94">
        <v>0.0</v>
      </c>
      <c r="U377" s="94">
        <v>0.0</v>
      </c>
      <c r="V377" s="94">
        <v>0.0</v>
      </c>
      <c r="W377" s="94">
        <v>0.0</v>
      </c>
      <c r="X377" s="94">
        <v>0.0</v>
      </c>
      <c r="Y377" s="94">
        <v>0.0</v>
      </c>
      <c r="Z377" s="94">
        <v>0.0</v>
      </c>
      <c r="AA377" s="94">
        <v>0.0</v>
      </c>
      <c r="AB377" s="94">
        <v>0.0</v>
      </c>
      <c r="AC377" s="94">
        <v>0.0</v>
      </c>
      <c r="AD377" s="94">
        <v>0.0</v>
      </c>
      <c r="AE377" s="94">
        <v>0.0</v>
      </c>
      <c r="AF377" s="94">
        <v>0.0</v>
      </c>
      <c r="AG377" s="94">
        <v>0.0</v>
      </c>
      <c r="AH377" s="94">
        <v>0.0</v>
      </c>
    </row>
    <row r="378" hidden="1">
      <c r="A378" s="89" t="s">
        <v>185</v>
      </c>
      <c r="B378" s="111"/>
      <c r="C378" s="111">
        <f>SUM(C372:C377)</f>
        <v>4</v>
      </c>
      <c r="D378" s="111">
        <f t="shared" ref="D378:E378" si="284">SUM(D372:D377)/4</f>
        <v>1</v>
      </c>
      <c r="E378" s="91">
        <f t="shared" si="284"/>
        <v>19.58333333</v>
      </c>
      <c r="F378" s="111">
        <f t="shared" ref="F378:G378" si="285">SUM(F372:F377)</f>
        <v>5</v>
      </c>
      <c r="G378" s="111">
        <f t="shared" si="285"/>
        <v>329</v>
      </c>
      <c r="H378" s="111"/>
      <c r="I378" s="111">
        <f>SUM(I372:I377)</f>
        <v>311</v>
      </c>
      <c r="J378" s="111">
        <f t="shared" si="275"/>
        <v>18</v>
      </c>
      <c r="K378" s="92">
        <f t="shared" si="276"/>
        <v>1.057877814</v>
      </c>
      <c r="L378" s="111">
        <f t="shared" ref="L378:M378" si="286">SUM(L372:L377)</f>
        <v>61</v>
      </c>
      <c r="M378" s="111">
        <f t="shared" si="286"/>
        <v>431</v>
      </c>
      <c r="N378" s="111"/>
      <c r="O378" s="112"/>
      <c r="P378" s="111">
        <f t="shared" ref="P378:AH378" si="287">SUM(P372:P377)</f>
        <v>16</v>
      </c>
      <c r="Q378" s="111">
        <f t="shared" si="287"/>
        <v>5</v>
      </c>
      <c r="R378" s="111">
        <f t="shared" si="287"/>
        <v>24</v>
      </c>
      <c r="S378" s="111">
        <f t="shared" si="287"/>
        <v>4</v>
      </c>
      <c r="T378" s="111">
        <f t="shared" si="287"/>
        <v>45</v>
      </c>
      <c r="U378" s="111">
        <f t="shared" si="287"/>
        <v>10</v>
      </c>
      <c r="V378" s="111">
        <f t="shared" si="287"/>
        <v>2</v>
      </c>
      <c r="W378" s="111">
        <f t="shared" si="287"/>
        <v>1</v>
      </c>
      <c r="X378" s="111">
        <f t="shared" si="287"/>
        <v>1</v>
      </c>
      <c r="Y378" s="111">
        <f t="shared" si="287"/>
        <v>0</v>
      </c>
      <c r="Z378" s="111">
        <f t="shared" si="287"/>
        <v>0</v>
      </c>
      <c r="AA378" s="111">
        <f t="shared" si="287"/>
        <v>0</v>
      </c>
      <c r="AB378" s="111">
        <f t="shared" si="287"/>
        <v>0</v>
      </c>
      <c r="AC378" s="111">
        <f t="shared" si="287"/>
        <v>6</v>
      </c>
      <c r="AD378" s="111">
        <f t="shared" si="287"/>
        <v>0</v>
      </c>
      <c r="AE378" s="111">
        <f t="shared" si="287"/>
        <v>0</v>
      </c>
      <c r="AF378" s="111">
        <f t="shared" si="287"/>
        <v>0</v>
      </c>
      <c r="AG378" s="111">
        <f t="shared" si="287"/>
        <v>0</v>
      </c>
      <c r="AH378" s="111">
        <f t="shared" si="287"/>
        <v>1</v>
      </c>
    </row>
    <row r="379">
      <c r="A379" s="104" t="s">
        <v>276</v>
      </c>
    </row>
    <row r="381" hidden="1">
      <c r="A381" s="105"/>
      <c r="F381" s="106" t="s">
        <v>251</v>
      </c>
      <c r="L381" s="107" t="s">
        <v>252</v>
      </c>
      <c r="N381" s="108" t="s">
        <v>253</v>
      </c>
    </row>
    <row r="382" hidden="1">
      <c r="A382" s="76" t="s">
        <v>148</v>
      </c>
      <c r="B382" s="76" t="s">
        <v>149</v>
      </c>
      <c r="C382" s="76" t="s">
        <v>150</v>
      </c>
      <c r="D382" s="76" t="s">
        <v>13</v>
      </c>
      <c r="E382" s="77" t="s">
        <v>151</v>
      </c>
      <c r="F382" s="78" t="s">
        <v>15</v>
      </c>
      <c r="G382" s="78" t="s">
        <v>152</v>
      </c>
      <c r="H382" s="78" t="s">
        <v>153</v>
      </c>
      <c r="I382" s="78" t="s">
        <v>154</v>
      </c>
      <c r="J382" s="78" t="s">
        <v>155</v>
      </c>
      <c r="K382" s="79" t="s">
        <v>156</v>
      </c>
      <c r="L382" s="80" t="s">
        <v>157</v>
      </c>
      <c r="M382" s="80" t="s">
        <v>158</v>
      </c>
      <c r="N382" s="81" t="s">
        <v>254</v>
      </c>
      <c r="O382" s="81" t="s">
        <v>151</v>
      </c>
      <c r="P382" s="81" t="s">
        <v>160</v>
      </c>
      <c r="Q382" s="81" t="s">
        <v>161</v>
      </c>
      <c r="R382" s="81" t="s">
        <v>162</v>
      </c>
      <c r="S382" s="81" t="s">
        <v>163</v>
      </c>
      <c r="T382" s="81" t="s">
        <v>164</v>
      </c>
      <c r="U382" s="81" t="s">
        <v>165</v>
      </c>
      <c r="V382" s="81" t="s">
        <v>166</v>
      </c>
      <c r="W382" s="81" t="s">
        <v>167</v>
      </c>
      <c r="X382" s="81" t="s">
        <v>168</v>
      </c>
      <c r="Y382" s="81" t="s">
        <v>169</v>
      </c>
      <c r="Z382" s="81" t="s">
        <v>170</v>
      </c>
      <c r="AA382" s="81" t="s">
        <v>171</v>
      </c>
      <c r="AB382" s="81" t="s">
        <v>172</v>
      </c>
      <c r="AC382" s="81" t="s">
        <v>173</v>
      </c>
      <c r="AD382" s="81" t="s">
        <v>174</v>
      </c>
      <c r="AE382" s="81" t="s">
        <v>175</v>
      </c>
      <c r="AF382" s="81" t="s">
        <v>176</v>
      </c>
      <c r="AG382" s="81" t="s">
        <v>177</v>
      </c>
      <c r="AH382" s="81" t="s">
        <v>178</v>
      </c>
    </row>
    <row r="383" hidden="1">
      <c r="A383" s="83" t="s">
        <v>49</v>
      </c>
      <c r="B383" s="84" t="s">
        <v>198</v>
      </c>
      <c r="C383" s="85">
        <v>1.0</v>
      </c>
      <c r="D383" s="85">
        <v>1.0</v>
      </c>
      <c r="E383" s="86">
        <v>45.0</v>
      </c>
      <c r="F383" s="94">
        <v>0.0</v>
      </c>
      <c r="G383" s="85">
        <v>175.0</v>
      </c>
      <c r="H383" s="85">
        <v>1.0</v>
      </c>
      <c r="I383" s="85">
        <v>169.0</v>
      </c>
      <c r="J383" s="95">
        <f t="shared" ref="J383:J396" si="288">SUM(G383-I383)</f>
        <v>6</v>
      </c>
      <c r="K383" s="87">
        <f t="shared" ref="K383:K396" si="289">SUM(G383/I383)</f>
        <v>1.035502959</v>
      </c>
      <c r="L383" s="85">
        <v>12.0</v>
      </c>
      <c r="M383" s="85">
        <v>243.0</v>
      </c>
      <c r="N383" s="85">
        <v>1.0</v>
      </c>
      <c r="O383" s="110">
        <f t="shared" ref="O383:O388" si="290">(E383*N383)</f>
        <v>45</v>
      </c>
      <c r="P383" s="85">
        <v>4.0</v>
      </c>
      <c r="Q383" s="85">
        <v>1.0</v>
      </c>
      <c r="R383" s="85">
        <v>23.0</v>
      </c>
      <c r="S383" s="85">
        <v>1.0</v>
      </c>
      <c r="T383" s="85">
        <v>29.0</v>
      </c>
      <c r="U383" s="85">
        <v>7.0</v>
      </c>
      <c r="V383" s="85">
        <v>2.0</v>
      </c>
      <c r="W383" s="94">
        <v>0.0</v>
      </c>
      <c r="X383" s="94">
        <v>0.0</v>
      </c>
      <c r="Y383" s="94">
        <v>0.0</v>
      </c>
      <c r="Z383" s="94">
        <v>0.0</v>
      </c>
      <c r="AA383" s="94">
        <v>0.0</v>
      </c>
      <c r="AB383" s="94">
        <v>0.0</v>
      </c>
      <c r="AC383" s="85">
        <v>6.0</v>
      </c>
      <c r="AD383" s="94">
        <v>0.0</v>
      </c>
      <c r="AE383" s="94">
        <v>0.0</v>
      </c>
      <c r="AF383" s="94">
        <v>0.0</v>
      </c>
      <c r="AG383" s="94">
        <v>0.0</v>
      </c>
      <c r="AH383" s="94">
        <v>0.0</v>
      </c>
    </row>
    <row r="384" hidden="1">
      <c r="A384" s="83" t="s">
        <v>49</v>
      </c>
      <c r="B384" s="84" t="s">
        <v>199</v>
      </c>
      <c r="C384" s="85">
        <v>1.0</v>
      </c>
      <c r="D384" s="85">
        <v>1.0</v>
      </c>
      <c r="E384" s="86">
        <v>45.0</v>
      </c>
      <c r="F384" s="94">
        <v>0.0</v>
      </c>
      <c r="G384" s="85">
        <v>174.0</v>
      </c>
      <c r="H384" s="85">
        <v>1.0</v>
      </c>
      <c r="I384" s="85">
        <v>153.0</v>
      </c>
      <c r="J384" s="95">
        <f t="shared" si="288"/>
        <v>21</v>
      </c>
      <c r="K384" s="87">
        <f t="shared" si="289"/>
        <v>1.137254902</v>
      </c>
      <c r="L384" s="85">
        <v>14.0</v>
      </c>
      <c r="M384" s="85">
        <v>242.0</v>
      </c>
      <c r="N384" s="85">
        <v>1.0</v>
      </c>
      <c r="O384" s="110">
        <f t="shared" si="290"/>
        <v>45</v>
      </c>
      <c r="P384" s="85">
        <v>5.0</v>
      </c>
      <c r="Q384" s="85">
        <v>5.0</v>
      </c>
      <c r="R384" s="85">
        <v>28.0</v>
      </c>
      <c r="S384" s="85">
        <v>4.0</v>
      </c>
      <c r="T384" s="85">
        <v>27.0</v>
      </c>
      <c r="U384" s="85">
        <v>4.0</v>
      </c>
      <c r="V384" s="85">
        <v>1.0</v>
      </c>
      <c r="W384" s="94">
        <v>0.0</v>
      </c>
      <c r="X384" s="94">
        <v>0.0</v>
      </c>
      <c r="Y384" s="94">
        <v>0.0</v>
      </c>
      <c r="Z384" s="94">
        <v>0.0</v>
      </c>
      <c r="AA384" s="94">
        <v>0.0</v>
      </c>
      <c r="AB384" s="94">
        <v>0.0</v>
      </c>
      <c r="AC384" s="85">
        <v>3.0</v>
      </c>
      <c r="AD384" s="94">
        <v>0.0</v>
      </c>
      <c r="AE384" s="94">
        <v>0.0</v>
      </c>
      <c r="AF384" s="94">
        <v>0.0</v>
      </c>
      <c r="AG384" s="94">
        <v>0.0</v>
      </c>
      <c r="AH384" s="94">
        <v>0.0</v>
      </c>
    </row>
    <row r="385" hidden="1">
      <c r="A385" s="83" t="s">
        <v>49</v>
      </c>
      <c r="B385" s="84" t="s">
        <v>200</v>
      </c>
      <c r="C385" s="85">
        <v>1.0</v>
      </c>
      <c r="D385" s="85">
        <v>1.0</v>
      </c>
      <c r="E385" s="86">
        <v>45.0</v>
      </c>
      <c r="F385" s="85">
        <v>5.0</v>
      </c>
      <c r="G385" s="85">
        <v>66.0</v>
      </c>
      <c r="H385" s="94">
        <v>0.0</v>
      </c>
      <c r="I385" s="85">
        <v>83.0</v>
      </c>
      <c r="J385" s="95">
        <f t="shared" si="288"/>
        <v>-17</v>
      </c>
      <c r="K385" s="87">
        <f t="shared" si="289"/>
        <v>0.7951807229</v>
      </c>
      <c r="L385" s="85">
        <v>29.0</v>
      </c>
      <c r="M385" s="85">
        <v>91.0</v>
      </c>
      <c r="N385" s="85">
        <v>1.0</v>
      </c>
      <c r="O385" s="110">
        <f t="shared" si="290"/>
        <v>45</v>
      </c>
      <c r="P385" s="85">
        <v>7.0</v>
      </c>
      <c r="Q385" s="85">
        <v>1.0</v>
      </c>
      <c r="R385" s="85">
        <v>3.0</v>
      </c>
      <c r="S385" s="85">
        <v>3.0</v>
      </c>
      <c r="T385" s="85">
        <v>6.0</v>
      </c>
      <c r="U385" s="94">
        <v>0.0</v>
      </c>
      <c r="V385" s="94">
        <v>0.0</v>
      </c>
      <c r="W385" s="94">
        <v>0.0</v>
      </c>
      <c r="X385" s="94">
        <v>0.0</v>
      </c>
      <c r="Y385" s="94">
        <v>0.0</v>
      </c>
      <c r="Z385" s="94">
        <v>0.0</v>
      </c>
      <c r="AA385" s="94">
        <v>0.0</v>
      </c>
      <c r="AB385" s="94">
        <v>0.0</v>
      </c>
      <c r="AC385" s="85">
        <v>2.0</v>
      </c>
      <c r="AD385" s="94">
        <v>0.0</v>
      </c>
      <c r="AE385" s="94">
        <v>0.0</v>
      </c>
      <c r="AF385" s="94">
        <v>0.0</v>
      </c>
      <c r="AG385" s="94">
        <v>0.0</v>
      </c>
      <c r="AH385" s="94">
        <v>0.0</v>
      </c>
    </row>
    <row r="386" hidden="1">
      <c r="A386" s="83" t="s">
        <v>49</v>
      </c>
      <c r="B386" s="84" t="s">
        <v>201</v>
      </c>
      <c r="C386" s="85">
        <v>1.0</v>
      </c>
      <c r="D386" s="85">
        <v>1.0</v>
      </c>
      <c r="E386" s="86">
        <v>45.0</v>
      </c>
      <c r="F386" s="94">
        <v>0.0</v>
      </c>
      <c r="G386" s="85">
        <v>117.0</v>
      </c>
      <c r="H386" s="85">
        <v>1.0</v>
      </c>
      <c r="I386" s="85">
        <v>168.0</v>
      </c>
      <c r="J386" s="95">
        <f t="shared" si="288"/>
        <v>-51</v>
      </c>
      <c r="K386" s="87">
        <f t="shared" si="289"/>
        <v>0.6964285714</v>
      </c>
      <c r="L386" s="85">
        <v>12.0</v>
      </c>
      <c r="M386" s="85">
        <v>153.0</v>
      </c>
      <c r="N386" s="85">
        <v>1.0</v>
      </c>
      <c r="O386" s="110">
        <f t="shared" si="290"/>
        <v>45</v>
      </c>
      <c r="P386" s="85">
        <v>5.0</v>
      </c>
      <c r="Q386" s="85">
        <v>1.0</v>
      </c>
      <c r="R386" s="85">
        <v>10.0</v>
      </c>
      <c r="S386" s="85">
        <v>3.0</v>
      </c>
      <c r="T386" s="85">
        <v>18.0</v>
      </c>
      <c r="U386" s="85">
        <v>2.0</v>
      </c>
      <c r="V386" s="85">
        <v>1.0</v>
      </c>
      <c r="W386" s="94">
        <v>0.0</v>
      </c>
      <c r="X386" s="94">
        <v>0.0</v>
      </c>
      <c r="Y386" s="94">
        <v>0.0</v>
      </c>
      <c r="Z386" s="94">
        <v>0.0</v>
      </c>
      <c r="AA386" s="94">
        <v>0.0</v>
      </c>
      <c r="AB386" s="94">
        <v>0.0</v>
      </c>
      <c r="AC386" s="85">
        <v>2.0</v>
      </c>
      <c r="AD386" s="94">
        <v>0.0</v>
      </c>
      <c r="AE386" s="94">
        <v>0.0</v>
      </c>
      <c r="AF386" s="94">
        <v>0.0</v>
      </c>
      <c r="AG386" s="85">
        <v>1.0</v>
      </c>
      <c r="AH386" s="94">
        <v>0.0</v>
      </c>
    </row>
    <row r="387" hidden="1">
      <c r="A387" s="83" t="s">
        <v>49</v>
      </c>
      <c r="B387" s="84" t="s">
        <v>202</v>
      </c>
      <c r="C387" s="94">
        <v>0.0</v>
      </c>
      <c r="D387" s="94">
        <v>0.0</v>
      </c>
      <c r="E387" s="96">
        <f t="shared" ref="E387:E388" si="291">SUM(L387*I387)/60</f>
        <v>0</v>
      </c>
      <c r="F387" s="94">
        <v>0.0</v>
      </c>
      <c r="G387" s="94">
        <v>0.0</v>
      </c>
      <c r="H387" s="94">
        <v>0.0</v>
      </c>
      <c r="I387" s="94">
        <v>0.0</v>
      </c>
      <c r="J387" s="95">
        <f t="shared" si="288"/>
        <v>0</v>
      </c>
      <c r="K387" s="87" t="str">
        <f t="shared" si="289"/>
        <v>#DIV/0!</v>
      </c>
      <c r="L387" s="94">
        <v>0.0</v>
      </c>
      <c r="M387" s="94">
        <v>0.0</v>
      </c>
      <c r="N387" s="85">
        <v>0.0</v>
      </c>
      <c r="O387" s="110">
        <f t="shared" si="290"/>
        <v>0</v>
      </c>
      <c r="P387" s="94">
        <v>0.0</v>
      </c>
      <c r="Q387" s="94">
        <v>0.0</v>
      </c>
      <c r="R387" s="94">
        <v>0.0</v>
      </c>
      <c r="S387" s="94">
        <v>0.0</v>
      </c>
      <c r="T387" s="94">
        <v>0.0</v>
      </c>
      <c r="U387" s="94">
        <v>0.0</v>
      </c>
      <c r="V387" s="94">
        <v>0.0</v>
      </c>
      <c r="W387" s="94">
        <v>0.0</v>
      </c>
      <c r="X387" s="94">
        <v>0.0</v>
      </c>
      <c r="Y387" s="94">
        <v>0.0</v>
      </c>
      <c r="Z387" s="94">
        <v>0.0</v>
      </c>
      <c r="AA387" s="94">
        <v>0.0</v>
      </c>
      <c r="AB387" s="94">
        <v>0.0</v>
      </c>
      <c r="AC387" s="94">
        <v>0.0</v>
      </c>
      <c r="AD387" s="94">
        <v>0.0</v>
      </c>
      <c r="AE387" s="94">
        <v>0.0</v>
      </c>
      <c r="AF387" s="94">
        <v>0.0</v>
      </c>
      <c r="AG387" s="94">
        <v>0.0</v>
      </c>
      <c r="AH387" s="94">
        <v>0.0</v>
      </c>
    </row>
    <row r="388" hidden="1">
      <c r="A388" s="109"/>
      <c r="B388" s="93"/>
      <c r="C388" s="94">
        <v>0.0</v>
      </c>
      <c r="D388" s="94">
        <v>0.0</v>
      </c>
      <c r="E388" s="96">
        <f t="shared" si="291"/>
        <v>0</v>
      </c>
      <c r="F388" s="94">
        <v>0.0</v>
      </c>
      <c r="G388" s="94">
        <v>0.0</v>
      </c>
      <c r="H388" s="94">
        <v>0.0</v>
      </c>
      <c r="I388" s="94">
        <v>0.0</v>
      </c>
      <c r="J388" s="95">
        <f t="shared" si="288"/>
        <v>0</v>
      </c>
      <c r="K388" s="87" t="str">
        <f t="shared" si="289"/>
        <v>#DIV/0!</v>
      </c>
      <c r="L388" s="94">
        <v>0.0</v>
      </c>
      <c r="M388" s="94">
        <v>0.0</v>
      </c>
      <c r="N388" s="85">
        <v>0.0</v>
      </c>
      <c r="O388" s="110">
        <f t="shared" si="290"/>
        <v>0</v>
      </c>
      <c r="P388" s="94">
        <v>0.0</v>
      </c>
      <c r="Q388" s="94">
        <v>0.0</v>
      </c>
      <c r="R388" s="94">
        <v>0.0</v>
      </c>
      <c r="S388" s="94">
        <v>0.0</v>
      </c>
      <c r="T388" s="94">
        <v>0.0</v>
      </c>
      <c r="U388" s="94">
        <v>0.0</v>
      </c>
      <c r="V388" s="94">
        <v>0.0</v>
      </c>
      <c r="W388" s="94">
        <v>0.0</v>
      </c>
      <c r="X388" s="94">
        <v>0.0</v>
      </c>
      <c r="Y388" s="94">
        <v>0.0</v>
      </c>
      <c r="Z388" s="94">
        <v>0.0</v>
      </c>
      <c r="AA388" s="94">
        <v>0.0</v>
      </c>
      <c r="AB388" s="94">
        <v>0.0</v>
      </c>
      <c r="AC388" s="94">
        <v>0.0</v>
      </c>
      <c r="AD388" s="94">
        <v>0.0</v>
      </c>
      <c r="AE388" s="94">
        <v>0.0</v>
      </c>
      <c r="AF388" s="94">
        <v>0.0</v>
      </c>
      <c r="AG388" s="94">
        <v>0.0</v>
      </c>
      <c r="AH388" s="94">
        <v>0.0</v>
      </c>
    </row>
    <row r="389" hidden="1">
      <c r="A389" s="89"/>
      <c r="B389" s="111"/>
      <c r="C389" s="111">
        <f t="shared" ref="C389:D389" si="292">SUM(C383:C388)/4</f>
        <v>1</v>
      </c>
      <c r="D389" s="111">
        <f t="shared" si="292"/>
        <v>1</v>
      </c>
      <c r="E389" s="91">
        <f t="shared" ref="E389:G389" si="293">SUM(E383:E388)</f>
        <v>180</v>
      </c>
      <c r="F389" s="111">
        <f t="shared" si="293"/>
        <v>5</v>
      </c>
      <c r="G389" s="111">
        <f t="shared" si="293"/>
        <v>532</v>
      </c>
      <c r="H389" s="111"/>
      <c r="I389" s="111">
        <f>SUM(I383:I388)</f>
        <v>573</v>
      </c>
      <c r="J389" s="111">
        <f t="shared" si="288"/>
        <v>-41</v>
      </c>
      <c r="K389" s="92">
        <f t="shared" si="289"/>
        <v>0.9284467714</v>
      </c>
      <c r="L389" s="111">
        <f t="shared" ref="L389:M389" si="294">SUM(L383:L388)</f>
        <v>67</v>
      </c>
      <c r="M389" s="111">
        <f t="shared" si="294"/>
        <v>729</v>
      </c>
      <c r="N389" s="111"/>
      <c r="O389" s="112"/>
      <c r="P389" s="111">
        <f t="shared" ref="P389:AH389" si="295">SUM(P383:P388)</f>
        <v>21</v>
      </c>
      <c r="Q389" s="111">
        <f t="shared" si="295"/>
        <v>8</v>
      </c>
      <c r="R389" s="111">
        <f t="shared" si="295"/>
        <v>64</v>
      </c>
      <c r="S389" s="111">
        <f t="shared" si="295"/>
        <v>11</v>
      </c>
      <c r="T389" s="111">
        <f t="shared" si="295"/>
        <v>80</v>
      </c>
      <c r="U389" s="111">
        <f t="shared" si="295"/>
        <v>13</v>
      </c>
      <c r="V389" s="111">
        <f t="shared" si="295"/>
        <v>4</v>
      </c>
      <c r="W389" s="111">
        <f t="shared" si="295"/>
        <v>0</v>
      </c>
      <c r="X389" s="111">
        <f t="shared" si="295"/>
        <v>0</v>
      </c>
      <c r="Y389" s="111">
        <f t="shared" si="295"/>
        <v>0</v>
      </c>
      <c r="Z389" s="111">
        <f t="shared" si="295"/>
        <v>0</v>
      </c>
      <c r="AA389" s="111">
        <f t="shared" si="295"/>
        <v>0</v>
      </c>
      <c r="AB389" s="111">
        <f t="shared" si="295"/>
        <v>0</v>
      </c>
      <c r="AC389" s="111">
        <f t="shared" si="295"/>
        <v>13</v>
      </c>
      <c r="AD389" s="111">
        <f t="shared" si="295"/>
        <v>0</v>
      </c>
      <c r="AE389" s="111">
        <f t="shared" si="295"/>
        <v>0</v>
      </c>
      <c r="AF389" s="111">
        <f t="shared" si="295"/>
        <v>0</v>
      </c>
      <c r="AG389" s="111">
        <f t="shared" si="295"/>
        <v>1</v>
      </c>
      <c r="AH389" s="111">
        <f t="shared" si="295"/>
        <v>0</v>
      </c>
    </row>
    <row r="390" hidden="1">
      <c r="A390" s="83" t="s">
        <v>53</v>
      </c>
      <c r="B390" s="84" t="s">
        <v>192</v>
      </c>
      <c r="C390" s="85">
        <v>1.0</v>
      </c>
      <c r="D390" s="94">
        <v>0.0</v>
      </c>
      <c r="E390" s="86">
        <v>45.0</v>
      </c>
      <c r="F390" s="85">
        <v>3.0</v>
      </c>
      <c r="G390" s="85">
        <v>97.0</v>
      </c>
      <c r="H390" s="85">
        <v>1.0</v>
      </c>
      <c r="I390" s="85">
        <v>132.0</v>
      </c>
      <c r="J390" s="95">
        <f t="shared" si="288"/>
        <v>-35</v>
      </c>
      <c r="K390" s="87">
        <f t="shared" si="289"/>
        <v>0.7348484848</v>
      </c>
      <c r="L390" s="85">
        <v>17.0</v>
      </c>
      <c r="M390" s="85">
        <v>127.0</v>
      </c>
      <c r="N390" s="85">
        <v>1.0</v>
      </c>
      <c r="O390" s="110">
        <f t="shared" ref="O390:O395" si="296">(E390*N390)</f>
        <v>45</v>
      </c>
      <c r="P390" s="85">
        <v>6.0</v>
      </c>
      <c r="Q390" s="85">
        <v>4.0</v>
      </c>
      <c r="R390" s="94">
        <v>0.0</v>
      </c>
      <c r="S390" s="85">
        <v>2.0</v>
      </c>
      <c r="T390" s="85">
        <v>12.0</v>
      </c>
      <c r="U390" s="85">
        <v>1.0</v>
      </c>
      <c r="V390" s="94">
        <v>0.0</v>
      </c>
      <c r="W390" s="94">
        <v>0.0</v>
      </c>
      <c r="X390" s="94">
        <v>0.0</v>
      </c>
      <c r="Y390" s="94">
        <v>0.0</v>
      </c>
      <c r="Z390" s="94">
        <v>0.0</v>
      </c>
      <c r="AA390" s="94">
        <v>0.0</v>
      </c>
      <c r="AB390" s="94">
        <v>0.0</v>
      </c>
      <c r="AC390" s="85">
        <v>4.0</v>
      </c>
      <c r="AD390" s="85">
        <v>1.0</v>
      </c>
      <c r="AE390" s="94">
        <v>0.0</v>
      </c>
      <c r="AF390" s="94">
        <v>0.0</v>
      </c>
      <c r="AG390" s="94">
        <v>0.0</v>
      </c>
      <c r="AH390" s="85">
        <v>1.0</v>
      </c>
    </row>
    <row r="391" hidden="1">
      <c r="A391" s="83" t="s">
        <v>53</v>
      </c>
      <c r="B391" s="84" t="s">
        <v>193</v>
      </c>
      <c r="C391" s="85">
        <v>1.0</v>
      </c>
      <c r="D391" s="94">
        <v>0.0</v>
      </c>
      <c r="E391" s="86">
        <v>45.0</v>
      </c>
      <c r="F391" s="94">
        <v>0.0</v>
      </c>
      <c r="G391" s="85">
        <v>182.0</v>
      </c>
      <c r="H391" s="85">
        <v>1.0</v>
      </c>
      <c r="I391" s="85">
        <v>154.0</v>
      </c>
      <c r="J391" s="95">
        <f t="shared" si="288"/>
        <v>28</v>
      </c>
      <c r="K391" s="87">
        <f t="shared" si="289"/>
        <v>1.181818182</v>
      </c>
      <c r="L391" s="85">
        <v>14.0</v>
      </c>
      <c r="M391" s="85">
        <v>216.0</v>
      </c>
      <c r="N391" s="85">
        <v>1.0</v>
      </c>
      <c r="O391" s="110">
        <f t="shared" si="296"/>
        <v>45</v>
      </c>
      <c r="P391" s="85">
        <v>3.0</v>
      </c>
      <c r="Q391" s="85">
        <v>1.0</v>
      </c>
      <c r="R391" s="85">
        <v>10.0</v>
      </c>
      <c r="S391" s="85">
        <v>3.0</v>
      </c>
      <c r="T391" s="85">
        <v>20.0</v>
      </c>
      <c r="U391" s="85">
        <v>3.0</v>
      </c>
      <c r="V391" s="85">
        <v>1.0</v>
      </c>
      <c r="W391" s="94">
        <v>0.0</v>
      </c>
      <c r="X391" s="94">
        <v>0.0</v>
      </c>
      <c r="Y391" s="94">
        <v>0.0</v>
      </c>
      <c r="Z391" s="94">
        <v>0.0</v>
      </c>
      <c r="AA391" s="94">
        <v>0.0</v>
      </c>
      <c r="AB391" s="94">
        <v>0.0</v>
      </c>
      <c r="AC391" s="85">
        <v>4.0</v>
      </c>
      <c r="AD391" s="85">
        <v>0.0</v>
      </c>
      <c r="AE391" s="94">
        <v>0.0</v>
      </c>
      <c r="AF391" s="94">
        <v>0.0</v>
      </c>
      <c r="AG391" s="94">
        <v>0.0</v>
      </c>
      <c r="AH391" s="94">
        <v>0.0</v>
      </c>
    </row>
    <row r="392" hidden="1">
      <c r="A392" s="83" t="s">
        <v>53</v>
      </c>
      <c r="B392" s="84" t="s">
        <v>194</v>
      </c>
      <c r="C392" s="85">
        <v>1.0</v>
      </c>
      <c r="D392" s="94">
        <v>0.0</v>
      </c>
      <c r="E392" s="86">
        <v>45.0</v>
      </c>
      <c r="F392" s="94">
        <v>0.0</v>
      </c>
      <c r="G392" s="85">
        <v>155.0</v>
      </c>
      <c r="H392" s="94">
        <v>0.0</v>
      </c>
      <c r="I392" s="85">
        <v>165.0</v>
      </c>
      <c r="J392" s="95">
        <f t="shared" si="288"/>
        <v>-10</v>
      </c>
      <c r="K392" s="87">
        <f t="shared" si="289"/>
        <v>0.9393939394</v>
      </c>
      <c r="L392" s="85">
        <v>13.0</v>
      </c>
      <c r="M392" s="85">
        <v>194.0</v>
      </c>
      <c r="N392" s="85">
        <v>1.0</v>
      </c>
      <c r="O392" s="110">
        <f t="shared" si="296"/>
        <v>45</v>
      </c>
      <c r="P392" s="85">
        <v>1.0</v>
      </c>
      <c r="Q392" s="85">
        <v>2.0</v>
      </c>
      <c r="R392" s="85">
        <v>9.0</v>
      </c>
      <c r="S392" s="85">
        <v>4.0</v>
      </c>
      <c r="T392" s="85">
        <v>23.0</v>
      </c>
      <c r="U392" s="94">
        <v>0.0</v>
      </c>
      <c r="V392" s="94">
        <v>0.0</v>
      </c>
      <c r="W392" s="94">
        <v>0.0</v>
      </c>
      <c r="X392" s="94">
        <v>0.0</v>
      </c>
      <c r="Y392" s="94">
        <v>0.0</v>
      </c>
      <c r="Z392" s="94">
        <v>0.0</v>
      </c>
      <c r="AA392" s="94">
        <v>0.0</v>
      </c>
      <c r="AB392" s="94">
        <v>0.0</v>
      </c>
      <c r="AC392" s="85">
        <v>2.0</v>
      </c>
      <c r="AD392" s="94">
        <v>0.0</v>
      </c>
      <c r="AE392" s="94">
        <v>0.0</v>
      </c>
      <c r="AF392" s="94">
        <v>0.0</v>
      </c>
      <c r="AG392" s="94">
        <v>0.0</v>
      </c>
      <c r="AH392" s="94">
        <v>0.0</v>
      </c>
    </row>
    <row r="393" hidden="1">
      <c r="A393" s="83" t="s">
        <v>53</v>
      </c>
      <c r="B393" s="84" t="s">
        <v>195</v>
      </c>
      <c r="C393" s="85">
        <v>1.0</v>
      </c>
      <c r="D393" s="94">
        <v>0.0</v>
      </c>
      <c r="E393" s="86">
        <v>45.0</v>
      </c>
      <c r="F393" s="94">
        <v>0.0</v>
      </c>
      <c r="G393" s="85">
        <v>123.0</v>
      </c>
      <c r="H393" s="94">
        <v>0.0</v>
      </c>
      <c r="I393" s="85">
        <v>95.0</v>
      </c>
      <c r="J393" s="95">
        <f t="shared" si="288"/>
        <v>28</v>
      </c>
      <c r="K393" s="87">
        <f t="shared" si="289"/>
        <v>1.294736842</v>
      </c>
      <c r="L393" s="85">
        <v>24.0</v>
      </c>
      <c r="M393" s="85">
        <v>156.0</v>
      </c>
      <c r="N393" s="85">
        <v>1.0</v>
      </c>
      <c r="O393" s="110">
        <f t="shared" si="296"/>
        <v>45</v>
      </c>
      <c r="P393" s="85">
        <v>5.0</v>
      </c>
      <c r="Q393" s="94">
        <v>0.0</v>
      </c>
      <c r="R393" s="85">
        <v>4.0</v>
      </c>
      <c r="S393" s="85">
        <v>3.0</v>
      </c>
      <c r="T393" s="85">
        <v>19.0</v>
      </c>
      <c r="U393" s="85">
        <v>3.0</v>
      </c>
      <c r="V393" s="85">
        <v>1.0</v>
      </c>
      <c r="W393" s="94">
        <v>0.0</v>
      </c>
      <c r="X393" s="94">
        <v>0.0</v>
      </c>
      <c r="Y393" s="94">
        <v>0.0</v>
      </c>
      <c r="Z393" s="94">
        <v>0.0</v>
      </c>
      <c r="AA393" s="94">
        <v>0.0</v>
      </c>
      <c r="AB393" s="94">
        <v>0.0</v>
      </c>
      <c r="AC393" s="85">
        <v>1.0</v>
      </c>
      <c r="AD393" s="85">
        <v>0.0</v>
      </c>
      <c r="AE393" s="94">
        <v>0.0</v>
      </c>
      <c r="AF393" s="94">
        <v>0.0</v>
      </c>
      <c r="AG393" s="94">
        <v>0.0</v>
      </c>
      <c r="AH393" s="85">
        <v>1.0</v>
      </c>
    </row>
    <row r="394" hidden="1">
      <c r="A394" s="83" t="s">
        <v>53</v>
      </c>
      <c r="B394" s="84" t="s">
        <v>196</v>
      </c>
      <c r="C394" s="94">
        <v>0.0</v>
      </c>
      <c r="D394" s="94">
        <v>0.0</v>
      </c>
      <c r="E394" s="96">
        <f t="shared" ref="E394:E395" si="297">SUM(L394*I394)/60</f>
        <v>0</v>
      </c>
      <c r="F394" s="94">
        <v>0.0</v>
      </c>
      <c r="G394" s="94">
        <v>0.0</v>
      </c>
      <c r="H394" s="94">
        <v>0.0</v>
      </c>
      <c r="I394" s="94">
        <v>0.0</v>
      </c>
      <c r="J394" s="95">
        <f t="shared" si="288"/>
        <v>0</v>
      </c>
      <c r="K394" s="87" t="str">
        <f t="shared" si="289"/>
        <v>#DIV/0!</v>
      </c>
      <c r="L394" s="94">
        <v>0.0</v>
      </c>
      <c r="M394" s="94">
        <v>0.0</v>
      </c>
      <c r="N394" s="85">
        <v>0.0</v>
      </c>
      <c r="O394" s="110">
        <f t="shared" si="296"/>
        <v>0</v>
      </c>
      <c r="P394" s="94">
        <v>0.0</v>
      </c>
      <c r="Q394" s="94">
        <v>0.0</v>
      </c>
      <c r="R394" s="94">
        <v>0.0</v>
      </c>
      <c r="S394" s="94">
        <v>0.0</v>
      </c>
      <c r="T394" s="94">
        <v>0.0</v>
      </c>
      <c r="U394" s="94">
        <v>0.0</v>
      </c>
      <c r="V394" s="94">
        <v>0.0</v>
      </c>
      <c r="W394" s="94">
        <v>0.0</v>
      </c>
      <c r="X394" s="94">
        <v>0.0</v>
      </c>
      <c r="Y394" s="94">
        <v>0.0</v>
      </c>
      <c r="Z394" s="94">
        <v>0.0</v>
      </c>
      <c r="AA394" s="94">
        <v>0.0</v>
      </c>
      <c r="AB394" s="94">
        <v>0.0</v>
      </c>
      <c r="AC394" s="94">
        <v>0.0</v>
      </c>
      <c r="AD394" s="94">
        <v>0.0</v>
      </c>
      <c r="AE394" s="94">
        <v>0.0</v>
      </c>
      <c r="AF394" s="94">
        <v>0.0</v>
      </c>
      <c r="AG394" s="94">
        <v>0.0</v>
      </c>
      <c r="AH394" s="94">
        <v>0.0</v>
      </c>
    </row>
    <row r="395" hidden="1">
      <c r="A395" s="109"/>
      <c r="B395" s="93"/>
      <c r="C395" s="94">
        <v>0.0</v>
      </c>
      <c r="D395" s="94">
        <v>0.0</v>
      </c>
      <c r="E395" s="96">
        <f t="shared" si="297"/>
        <v>0</v>
      </c>
      <c r="F395" s="94">
        <v>0.0</v>
      </c>
      <c r="G395" s="94">
        <v>0.0</v>
      </c>
      <c r="H395" s="94">
        <v>0.0</v>
      </c>
      <c r="I395" s="94">
        <v>0.0</v>
      </c>
      <c r="J395" s="95">
        <f t="shared" si="288"/>
        <v>0</v>
      </c>
      <c r="K395" s="87" t="str">
        <f t="shared" si="289"/>
        <v>#DIV/0!</v>
      </c>
      <c r="L395" s="94">
        <v>0.0</v>
      </c>
      <c r="M395" s="94">
        <v>0.0</v>
      </c>
      <c r="N395" s="85">
        <v>0.0</v>
      </c>
      <c r="O395" s="110">
        <f t="shared" si="296"/>
        <v>0</v>
      </c>
      <c r="P395" s="94">
        <v>0.0</v>
      </c>
      <c r="Q395" s="94">
        <v>0.0</v>
      </c>
      <c r="R395" s="94">
        <v>0.0</v>
      </c>
      <c r="S395" s="94">
        <v>0.0</v>
      </c>
      <c r="T395" s="94">
        <v>0.0</v>
      </c>
      <c r="U395" s="94">
        <v>0.0</v>
      </c>
      <c r="V395" s="94">
        <v>0.0</v>
      </c>
      <c r="W395" s="94">
        <v>0.0</v>
      </c>
      <c r="X395" s="94">
        <v>0.0</v>
      </c>
      <c r="Y395" s="94">
        <v>0.0</v>
      </c>
      <c r="Z395" s="94">
        <v>0.0</v>
      </c>
      <c r="AA395" s="94">
        <v>0.0</v>
      </c>
      <c r="AB395" s="94">
        <v>0.0</v>
      </c>
      <c r="AC395" s="94">
        <v>0.0</v>
      </c>
      <c r="AD395" s="94">
        <v>0.0</v>
      </c>
      <c r="AE395" s="94">
        <v>0.0</v>
      </c>
      <c r="AF395" s="94">
        <v>0.0</v>
      </c>
      <c r="AG395" s="94">
        <v>0.0</v>
      </c>
      <c r="AH395" s="94">
        <v>0.0</v>
      </c>
    </row>
    <row r="396" hidden="1">
      <c r="A396" s="89" t="s">
        <v>185</v>
      </c>
      <c r="B396" s="111"/>
      <c r="C396" s="111">
        <f>SUM(C390:C395)</f>
        <v>4</v>
      </c>
      <c r="D396" s="111">
        <f t="shared" ref="D396:E396" si="298">SUM(D390:D395)/4</f>
        <v>0</v>
      </c>
      <c r="E396" s="91">
        <f t="shared" si="298"/>
        <v>45</v>
      </c>
      <c r="F396" s="111">
        <f t="shared" ref="F396:G396" si="299">SUM(F390:F395)</f>
        <v>3</v>
      </c>
      <c r="G396" s="111">
        <f t="shared" si="299"/>
        <v>557</v>
      </c>
      <c r="H396" s="111"/>
      <c r="I396" s="111">
        <f>SUM(I390:I395)</f>
        <v>546</v>
      </c>
      <c r="J396" s="111">
        <f t="shared" si="288"/>
        <v>11</v>
      </c>
      <c r="K396" s="92">
        <f t="shared" si="289"/>
        <v>1.02014652</v>
      </c>
      <c r="L396" s="111">
        <f t="shared" ref="L396:M396" si="300">SUM(L390:L395)</f>
        <v>68</v>
      </c>
      <c r="M396" s="111">
        <f t="shared" si="300"/>
        <v>693</v>
      </c>
      <c r="N396" s="111"/>
      <c r="O396" s="112"/>
      <c r="P396" s="111">
        <f t="shared" ref="P396:AH396" si="301">SUM(P390:P395)</f>
        <v>15</v>
      </c>
      <c r="Q396" s="111">
        <f t="shared" si="301"/>
        <v>7</v>
      </c>
      <c r="R396" s="111">
        <f t="shared" si="301"/>
        <v>23</v>
      </c>
      <c r="S396" s="111">
        <f t="shared" si="301"/>
        <v>12</v>
      </c>
      <c r="T396" s="111">
        <f t="shared" si="301"/>
        <v>74</v>
      </c>
      <c r="U396" s="111">
        <f t="shared" si="301"/>
        <v>7</v>
      </c>
      <c r="V396" s="111">
        <f t="shared" si="301"/>
        <v>2</v>
      </c>
      <c r="W396" s="111">
        <f t="shared" si="301"/>
        <v>0</v>
      </c>
      <c r="X396" s="111">
        <f t="shared" si="301"/>
        <v>0</v>
      </c>
      <c r="Y396" s="111">
        <f t="shared" si="301"/>
        <v>0</v>
      </c>
      <c r="Z396" s="111">
        <f t="shared" si="301"/>
        <v>0</v>
      </c>
      <c r="AA396" s="111">
        <f t="shared" si="301"/>
        <v>0</v>
      </c>
      <c r="AB396" s="111">
        <f t="shared" si="301"/>
        <v>0</v>
      </c>
      <c r="AC396" s="111">
        <f t="shared" si="301"/>
        <v>11</v>
      </c>
      <c r="AD396" s="111">
        <f t="shared" si="301"/>
        <v>1</v>
      </c>
      <c r="AE396" s="111">
        <f t="shared" si="301"/>
        <v>0</v>
      </c>
      <c r="AF396" s="111">
        <f t="shared" si="301"/>
        <v>0</v>
      </c>
      <c r="AG396" s="111">
        <f t="shared" si="301"/>
        <v>0</v>
      </c>
      <c r="AH396" s="111">
        <f t="shared" si="301"/>
        <v>2</v>
      </c>
    </row>
    <row r="397">
      <c r="A397" s="104" t="s">
        <v>277</v>
      </c>
    </row>
    <row r="399" hidden="1">
      <c r="A399" s="105"/>
      <c r="F399" s="106" t="s">
        <v>251</v>
      </c>
      <c r="L399" s="107" t="s">
        <v>252</v>
      </c>
      <c r="N399" s="108" t="s">
        <v>253</v>
      </c>
    </row>
    <row r="400" hidden="1">
      <c r="A400" s="76" t="s">
        <v>148</v>
      </c>
      <c r="B400" s="76" t="s">
        <v>149</v>
      </c>
      <c r="C400" s="76" t="s">
        <v>150</v>
      </c>
      <c r="D400" s="76" t="s">
        <v>13</v>
      </c>
      <c r="E400" s="77" t="s">
        <v>151</v>
      </c>
      <c r="F400" s="78" t="s">
        <v>15</v>
      </c>
      <c r="G400" s="78" t="s">
        <v>152</v>
      </c>
      <c r="H400" s="78" t="s">
        <v>153</v>
      </c>
      <c r="I400" s="78" t="s">
        <v>154</v>
      </c>
      <c r="J400" s="78" t="s">
        <v>155</v>
      </c>
      <c r="K400" s="79" t="s">
        <v>156</v>
      </c>
      <c r="L400" s="80" t="s">
        <v>157</v>
      </c>
      <c r="M400" s="80" t="s">
        <v>158</v>
      </c>
      <c r="N400" s="81" t="s">
        <v>254</v>
      </c>
      <c r="O400" s="81" t="s">
        <v>151</v>
      </c>
      <c r="P400" s="81" t="s">
        <v>160</v>
      </c>
      <c r="Q400" s="81" t="s">
        <v>161</v>
      </c>
      <c r="R400" s="81" t="s">
        <v>162</v>
      </c>
      <c r="S400" s="81" t="s">
        <v>163</v>
      </c>
      <c r="T400" s="81" t="s">
        <v>164</v>
      </c>
      <c r="U400" s="81" t="s">
        <v>165</v>
      </c>
      <c r="V400" s="81" t="s">
        <v>166</v>
      </c>
      <c r="W400" s="81" t="s">
        <v>167</v>
      </c>
      <c r="X400" s="81" t="s">
        <v>168</v>
      </c>
      <c r="Y400" s="81" t="s">
        <v>169</v>
      </c>
      <c r="Z400" s="81" t="s">
        <v>170</v>
      </c>
      <c r="AA400" s="81" t="s">
        <v>171</v>
      </c>
      <c r="AB400" s="81" t="s">
        <v>172</v>
      </c>
      <c r="AC400" s="81" t="s">
        <v>173</v>
      </c>
      <c r="AD400" s="81" t="s">
        <v>174</v>
      </c>
      <c r="AE400" s="81" t="s">
        <v>175</v>
      </c>
      <c r="AF400" s="81" t="s">
        <v>176</v>
      </c>
      <c r="AG400" s="81" t="s">
        <v>177</v>
      </c>
      <c r="AH400" s="81" t="s">
        <v>178</v>
      </c>
    </row>
    <row r="401" hidden="1">
      <c r="A401" s="83" t="s">
        <v>49</v>
      </c>
      <c r="B401" s="84" t="s">
        <v>198</v>
      </c>
      <c r="C401" s="85">
        <v>1.0</v>
      </c>
      <c r="D401" s="85">
        <v>1.0</v>
      </c>
      <c r="E401" s="86">
        <v>20.0</v>
      </c>
      <c r="F401" s="85">
        <v>1.0</v>
      </c>
      <c r="G401" s="85">
        <v>74.0</v>
      </c>
      <c r="H401" s="94">
        <v>0.0</v>
      </c>
      <c r="I401" s="85">
        <v>67.0</v>
      </c>
      <c r="J401" s="95">
        <f t="shared" ref="J401:J414" si="302">SUM(G401-I401)</f>
        <v>7</v>
      </c>
      <c r="K401" s="87">
        <f t="shared" ref="K401:K414" si="303">SUM(G401/I401)</f>
        <v>1.104477612</v>
      </c>
      <c r="L401" s="85">
        <v>14.0</v>
      </c>
      <c r="M401" s="85">
        <v>101.0</v>
      </c>
      <c r="N401" s="85">
        <v>1.0</v>
      </c>
      <c r="O401" s="110">
        <f t="shared" ref="O401:O406" si="304">(E401*N401)</f>
        <v>20</v>
      </c>
      <c r="P401" s="85">
        <v>3.0</v>
      </c>
      <c r="Q401" s="94">
        <v>0.0</v>
      </c>
      <c r="R401" s="85">
        <v>7.0</v>
      </c>
      <c r="S401" s="85">
        <v>1.0</v>
      </c>
      <c r="T401" s="85">
        <v>15.0</v>
      </c>
      <c r="U401" s="85">
        <v>2.0</v>
      </c>
      <c r="V401" s="94">
        <v>0.0</v>
      </c>
      <c r="W401" s="94">
        <v>0.0</v>
      </c>
      <c r="X401" s="94">
        <v>0.0</v>
      </c>
      <c r="Y401" s="94">
        <v>0.0</v>
      </c>
      <c r="Z401" s="94">
        <v>0.0</v>
      </c>
      <c r="AA401" s="94">
        <v>0.0</v>
      </c>
      <c r="AB401" s="94">
        <v>0.0</v>
      </c>
      <c r="AC401" s="85">
        <v>3.0</v>
      </c>
      <c r="AD401" s="94">
        <v>0.0</v>
      </c>
      <c r="AE401" s="94">
        <v>0.0</v>
      </c>
      <c r="AF401" s="94">
        <v>0.0</v>
      </c>
      <c r="AG401" s="94">
        <v>0.0</v>
      </c>
      <c r="AH401" s="94">
        <v>0.0</v>
      </c>
    </row>
    <row r="402" hidden="1">
      <c r="A402" s="83" t="s">
        <v>49</v>
      </c>
      <c r="B402" s="84" t="s">
        <v>199</v>
      </c>
      <c r="C402" s="85">
        <v>1.0</v>
      </c>
      <c r="D402" s="85">
        <v>1.0</v>
      </c>
      <c r="E402" s="86">
        <v>20.0</v>
      </c>
      <c r="F402" s="94">
        <v>0.0</v>
      </c>
      <c r="G402" s="85">
        <v>70.0</v>
      </c>
      <c r="H402" s="94">
        <v>0.0</v>
      </c>
      <c r="I402" s="85">
        <v>53.0</v>
      </c>
      <c r="J402" s="95">
        <f t="shared" si="302"/>
        <v>17</v>
      </c>
      <c r="K402" s="87">
        <f t="shared" si="303"/>
        <v>1.320754717</v>
      </c>
      <c r="L402" s="85">
        <v>19.0</v>
      </c>
      <c r="M402" s="85">
        <v>95.0</v>
      </c>
      <c r="N402" s="85">
        <v>1.0</v>
      </c>
      <c r="O402" s="110">
        <f t="shared" si="304"/>
        <v>20</v>
      </c>
      <c r="P402" s="85">
        <v>7.0</v>
      </c>
      <c r="Q402" s="85">
        <v>2.0</v>
      </c>
      <c r="R402" s="85">
        <v>4.0</v>
      </c>
      <c r="S402" s="85">
        <v>3.0</v>
      </c>
      <c r="T402" s="85">
        <v>9.0</v>
      </c>
      <c r="U402" s="85">
        <v>3.0</v>
      </c>
      <c r="V402" s="85">
        <v>1.0</v>
      </c>
      <c r="W402" s="94">
        <v>0.0</v>
      </c>
      <c r="X402" s="94">
        <v>0.0</v>
      </c>
      <c r="Y402" s="94">
        <v>0.0</v>
      </c>
      <c r="Z402" s="94">
        <v>0.0</v>
      </c>
      <c r="AA402" s="94">
        <v>0.0</v>
      </c>
      <c r="AB402" s="94">
        <v>0.0</v>
      </c>
      <c r="AC402" s="85">
        <v>2.0</v>
      </c>
      <c r="AD402" s="85">
        <v>1.0</v>
      </c>
      <c r="AE402" s="94">
        <v>0.0</v>
      </c>
      <c r="AF402" s="94">
        <v>0.0</v>
      </c>
      <c r="AG402" s="94">
        <v>0.0</v>
      </c>
      <c r="AH402" s="94">
        <v>0.0</v>
      </c>
    </row>
    <row r="403" hidden="1">
      <c r="A403" s="83" t="s">
        <v>49</v>
      </c>
      <c r="B403" s="84" t="s">
        <v>200</v>
      </c>
      <c r="C403" s="85">
        <v>1.0</v>
      </c>
      <c r="D403" s="85">
        <v>1.0</v>
      </c>
      <c r="E403" s="86">
        <v>20.0</v>
      </c>
      <c r="F403" s="85">
        <v>4.0</v>
      </c>
      <c r="G403" s="85">
        <v>38.0</v>
      </c>
      <c r="H403" s="94">
        <v>0.0</v>
      </c>
      <c r="I403" s="85">
        <v>53.0</v>
      </c>
      <c r="J403" s="95">
        <f t="shared" si="302"/>
        <v>-15</v>
      </c>
      <c r="K403" s="87">
        <f t="shared" si="303"/>
        <v>0.7169811321</v>
      </c>
      <c r="L403" s="85">
        <v>19.0</v>
      </c>
      <c r="M403" s="85">
        <v>47.0</v>
      </c>
      <c r="N403" s="85">
        <v>1.0</v>
      </c>
      <c r="O403" s="110">
        <f t="shared" si="304"/>
        <v>20</v>
      </c>
      <c r="P403" s="85">
        <v>6.0</v>
      </c>
      <c r="Q403" s="85">
        <v>2.0</v>
      </c>
      <c r="R403" s="94">
        <v>0.0</v>
      </c>
      <c r="S403" s="94">
        <v>0.0</v>
      </c>
      <c r="T403" s="85">
        <v>4.0</v>
      </c>
      <c r="U403" s="94">
        <v>0.0</v>
      </c>
      <c r="V403" s="94">
        <v>0.0</v>
      </c>
      <c r="W403" s="94">
        <v>0.0</v>
      </c>
      <c r="X403" s="94">
        <v>0.0</v>
      </c>
      <c r="Y403" s="94">
        <v>0.0</v>
      </c>
      <c r="Z403" s="94">
        <v>0.0</v>
      </c>
      <c r="AA403" s="94">
        <v>0.0</v>
      </c>
      <c r="AB403" s="94">
        <v>0.0</v>
      </c>
      <c r="AC403" s="94">
        <v>0.0</v>
      </c>
      <c r="AD403" s="94">
        <v>0.0</v>
      </c>
      <c r="AE403" s="94">
        <v>0.0</v>
      </c>
      <c r="AF403" s="94">
        <v>0.0</v>
      </c>
      <c r="AG403" s="94">
        <v>0.0</v>
      </c>
      <c r="AH403" s="94">
        <v>0.0</v>
      </c>
    </row>
    <row r="404" hidden="1">
      <c r="A404" s="83" t="s">
        <v>49</v>
      </c>
      <c r="B404" s="84" t="s">
        <v>201</v>
      </c>
      <c r="C404" s="94">
        <v>0.0</v>
      </c>
      <c r="D404" s="85">
        <v>1.0</v>
      </c>
      <c r="E404" s="96">
        <f>SUM(L404*I404)/60</f>
        <v>0</v>
      </c>
      <c r="F404" s="94">
        <v>0.0</v>
      </c>
      <c r="G404" s="94">
        <v>0.0</v>
      </c>
      <c r="H404" s="94">
        <v>0.0</v>
      </c>
      <c r="I404" s="94">
        <v>0.0</v>
      </c>
      <c r="J404" s="95">
        <f t="shared" si="302"/>
        <v>0</v>
      </c>
      <c r="K404" s="87" t="str">
        <f t="shared" si="303"/>
        <v>#DIV/0!</v>
      </c>
      <c r="L404" s="94">
        <v>0.0</v>
      </c>
      <c r="M404" s="94">
        <v>0.0</v>
      </c>
      <c r="N404" s="85">
        <v>0.0</v>
      </c>
      <c r="O404" s="110">
        <f t="shared" si="304"/>
        <v>0</v>
      </c>
      <c r="P404" s="94">
        <v>0.0</v>
      </c>
      <c r="Q404" s="94">
        <v>0.0</v>
      </c>
      <c r="R404" s="94">
        <v>0.0</v>
      </c>
      <c r="S404" s="94">
        <v>0.0</v>
      </c>
      <c r="T404" s="94">
        <v>0.0</v>
      </c>
      <c r="U404" s="94">
        <v>0.0</v>
      </c>
      <c r="V404" s="94">
        <v>0.0</v>
      </c>
      <c r="W404" s="94">
        <v>0.0</v>
      </c>
      <c r="X404" s="94">
        <v>0.0</v>
      </c>
      <c r="Y404" s="94">
        <v>0.0</v>
      </c>
      <c r="Z404" s="94">
        <v>0.0</v>
      </c>
      <c r="AA404" s="94">
        <v>0.0</v>
      </c>
      <c r="AB404" s="94">
        <v>0.0</v>
      </c>
      <c r="AC404" s="94">
        <v>0.0</v>
      </c>
      <c r="AD404" s="94">
        <v>0.0</v>
      </c>
      <c r="AE404" s="94">
        <v>0.0</v>
      </c>
      <c r="AF404" s="94">
        <v>0.0</v>
      </c>
      <c r="AG404" s="94">
        <v>0.0</v>
      </c>
      <c r="AH404" s="94">
        <v>0.0</v>
      </c>
    </row>
    <row r="405" hidden="1">
      <c r="A405" s="83" t="s">
        <v>49</v>
      </c>
      <c r="B405" s="84" t="s">
        <v>202</v>
      </c>
      <c r="C405" s="85">
        <v>1.0</v>
      </c>
      <c r="D405" s="94">
        <v>0.0</v>
      </c>
      <c r="E405" s="86">
        <v>20.0</v>
      </c>
      <c r="F405" s="94">
        <v>0.0</v>
      </c>
      <c r="G405" s="85">
        <v>83.0</v>
      </c>
      <c r="H405" s="94">
        <v>0.0</v>
      </c>
      <c r="I405" s="85">
        <v>79.0</v>
      </c>
      <c r="J405" s="95">
        <f t="shared" si="302"/>
        <v>4</v>
      </c>
      <c r="K405" s="87">
        <f t="shared" si="303"/>
        <v>1.050632911</v>
      </c>
      <c r="L405" s="85">
        <v>12.0</v>
      </c>
      <c r="M405" s="85">
        <v>108.0</v>
      </c>
      <c r="N405" s="85">
        <v>1.0</v>
      </c>
      <c r="O405" s="110">
        <f t="shared" si="304"/>
        <v>20</v>
      </c>
      <c r="P405" s="85">
        <v>1.0</v>
      </c>
      <c r="Q405" s="85">
        <v>1.0</v>
      </c>
      <c r="R405" s="85">
        <v>2.0</v>
      </c>
      <c r="S405" s="85">
        <v>1.0</v>
      </c>
      <c r="T405" s="85">
        <v>15.0</v>
      </c>
      <c r="U405" s="85">
        <v>5.0</v>
      </c>
      <c r="V405" s="85">
        <v>1.0</v>
      </c>
      <c r="W405" s="94">
        <v>0.0</v>
      </c>
      <c r="X405" s="94">
        <v>0.0</v>
      </c>
      <c r="Y405" s="94">
        <v>0.0</v>
      </c>
      <c r="Z405" s="94">
        <v>0.0</v>
      </c>
      <c r="AA405" s="94">
        <v>0.0</v>
      </c>
      <c r="AB405" s="94">
        <v>0.0</v>
      </c>
      <c r="AC405" s="85">
        <v>4.0</v>
      </c>
      <c r="AD405" s="94">
        <v>0.0</v>
      </c>
      <c r="AE405" s="94">
        <v>0.0</v>
      </c>
      <c r="AF405" s="94">
        <v>0.0</v>
      </c>
      <c r="AG405" s="94">
        <v>0.0</v>
      </c>
      <c r="AH405" s="94">
        <v>0.0</v>
      </c>
    </row>
    <row r="406" hidden="1">
      <c r="A406" s="109"/>
      <c r="B406" s="93"/>
      <c r="C406" s="94">
        <v>0.0</v>
      </c>
      <c r="D406" s="94">
        <v>0.0</v>
      </c>
      <c r="E406" s="96">
        <f>SUM(L406*I406)/60</f>
        <v>0</v>
      </c>
      <c r="F406" s="94">
        <v>0.0</v>
      </c>
      <c r="G406" s="94">
        <v>0.0</v>
      </c>
      <c r="H406" s="94">
        <v>0.0</v>
      </c>
      <c r="I406" s="94">
        <v>0.0</v>
      </c>
      <c r="J406" s="95">
        <f t="shared" si="302"/>
        <v>0</v>
      </c>
      <c r="K406" s="87" t="str">
        <f t="shared" si="303"/>
        <v>#DIV/0!</v>
      </c>
      <c r="L406" s="94">
        <v>0.0</v>
      </c>
      <c r="M406" s="94">
        <v>0.0</v>
      </c>
      <c r="N406" s="85">
        <v>0.0</v>
      </c>
      <c r="O406" s="110">
        <f t="shared" si="304"/>
        <v>0</v>
      </c>
      <c r="P406" s="94">
        <v>0.0</v>
      </c>
      <c r="Q406" s="94">
        <v>0.0</v>
      </c>
      <c r="R406" s="94">
        <v>0.0</v>
      </c>
      <c r="S406" s="94">
        <v>0.0</v>
      </c>
      <c r="T406" s="94">
        <v>0.0</v>
      </c>
      <c r="U406" s="94">
        <v>0.0</v>
      </c>
      <c r="V406" s="94">
        <v>0.0</v>
      </c>
      <c r="W406" s="94">
        <v>0.0</v>
      </c>
      <c r="X406" s="94">
        <v>0.0</v>
      </c>
      <c r="Y406" s="94">
        <v>0.0</v>
      </c>
      <c r="Z406" s="94">
        <v>0.0</v>
      </c>
      <c r="AA406" s="94">
        <v>0.0</v>
      </c>
      <c r="AB406" s="94">
        <v>0.0</v>
      </c>
      <c r="AC406" s="94">
        <v>0.0</v>
      </c>
      <c r="AD406" s="94">
        <v>0.0</v>
      </c>
      <c r="AE406" s="94">
        <v>0.0</v>
      </c>
      <c r="AF406" s="94">
        <v>0.0</v>
      </c>
      <c r="AG406" s="94">
        <v>0.0</v>
      </c>
      <c r="AH406" s="94">
        <v>0.0</v>
      </c>
    </row>
    <row r="407" hidden="1">
      <c r="A407" s="89"/>
      <c r="B407" s="111"/>
      <c r="C407" s="111">
        <f t="shared" ref="C407:D407" si="305">SUM(C401:C406)/4</f>
        <v>1</v>
      </c>
      <c r="D407" s="111">
        <f t="shared" si="305"/>
        <v>1</v>
      </c>
      <c r="E407" s="91">
        <f t="shared" ref="E407:G407" si="306">SUM(E401:E406)</f>
        <v>80</v>
      </c>
      <c r="F407" s="111">
        <f t="shared" si="306"/>
        <v>5</v>
      </c>
      <c r="G407" s="111">
        <f t="shared" si="306"/>
        <v>265</v>
      </c>
      <c r="H407" s="111"/>
      <c r="I407" s="111">
        <f>SUM(I401:I406)</f>
        <v>252</v>
      </c>
      <c r="J407" s="111">
        <f t="shared" si="302"/>
        <v>13</v>
      </c>
      <c r="K407" s="92">
        <f t="shared" si="303"/>
        <v>1.051587302</v>
      </c>
      <c r="L407" s="111">
        <f t="shared" ref="L407:M407" si="307">SUM(L401:L406)</f>
        <v>64</v>
      </c>
      <c r="M407" s="111">
        <f t="shared" si="307"/>
        <v>351</v>
      </c>
      <c r="N407" s="111"/>
      <c r="O407" s="112"/>
      <c r="P407" s="111">
        <f t="shared" ref="P407:AH407" si="308">SUM(P401:P406)</f>
        <v>17</v>
      </c>
      <c r="Q407" s="111">
        <f t="shared" si="308"/>
        <v>5</v>
      </c>
      <c r="R407" s="111">
        <f t="shared" si="308"/>
        <v>13</v>
      </c>
      <c r="S407" s="111">
        <f t="shared" si="308"/>
        <v>5</v>
      </c>
      <c r="T407" s="111">
        <f t="shared" si="308"/>
        <v>43</v>
      </c>
      <c r="U407" s="111">
        <f t="shared" si="308"/>
        <v>10</v>
      </c>
      <c r="V407" s="111">
        <f t="shared" si="308"/>
        <v>2</v>
      </c>
      <c r="W407" s="111">
        <f t="shared" si="308"/>
        <v>0</v>
      </c>
      <c r="X407" s="111">
        <f t="shared" si="308"/>
        <v>0</v>
      </c>
      <c r="Y407" s="111">
        <f t="shared" si="308"/>
        <v>0</v>
      </c>
      <c r="Z407" s="111">
        <f t="shared" si="308"/>
        <v>0</v>
      </c>
      <c r="AA407" s="111">
        <f t="shared" si="308"/>
        <v>0</v>
      </c>
      <c r="AB407" s="111">
        <f t="shared" si="308"/>
        <v>0</v>
      </c>
      <c r="AC407" s="111">
        <f t="shared" si="308"/>
        <v>9</v>
      </c>
      <c r="AD407" s="111">
        <f t="shared" si="308"/>
        <v>1</v>
      </c>
      <c r="AE407" s="111">
        <f t="shared" si="308"/>
        <v>0</v>
      </c>
      <c r="AF407" s="111">
        <f t="shared" si="308"/>
        <v>0</v>
      </c>
      <c r="AG407" s="111">
        <f t="shared" si="308"/>
        <v>0</v>
      </c>
      <c r="AH407" s="111">
        <f t="shared" si="308"/>
        <v>0</v>
      </c>
    </row>
    <row r="408" hidden="1">
      <c r="A408" s="83" t="s">
        <v>53</v>
      </c>
      <c r="B408" s="84" t="s">
        <v>192</v>
      </c>
      <c r="C408" s="85">
        <v>1.0</v>
      </c>
      <c r="D408" s="94">
        <v>0.0</v>
      </c>
      <c r="E408" s="86">
        <v>20.0</v>
      </c>
      <c r="F408" s="94">
        <v>0.0</v>
      </c>
      <c r="G408" s="85">
        <v>36.0</v>
      </c>
      <c r="H408" s="94">
        <v>0.0</v>
      </c>
      <c r="I408" s="85">
        <v>61.0</v>
      </c>
      <c r="J408" s="95">
        <f t="shared" si="302"/>
        <v>-25</v>
      </c>
      <c r="K408" s="87">
        <f t="shared" si="303"/>
        <v>0.5901639344</v>
      </c>
      <c r="L408" s="85">
        <v>16.0</v>
      </c>
      <c r="M408" s="85">
        <v>42.0</v>
      </c>
      <c r="N408" s="85">
        <v>1.0</v>
      </c>
      <c r="O408" s="110">
        <f t="shared" ref="O408:O413" si="309">(E408*N408)</f>
        <v>20</v>
      </c>
      <c r="P408" s="85">
        <v>2.0</v>
      </c>
      <c r="Q408" s="85">
        <v>2.0</v>
      </c>
      <c r="R408" s="94">
        <v>0.0</v>
      </c>
      <c r="S408" s="94">
        <v>0.0</v>
      </c>
      <c r="T408" s="85">
        <v>4.0</v>
      </c>
      <c r="U408" s="94">
        <v>0.0</v>
      </c>
      <c r="V408" s="94">
        <v>0.0</v>
      </c>
      <c r="W408" s="94">
        <v>0.0</v>
      </c>
      <c r="X408" s="94">
        <v>0.0</v>
      </c>
      <c r="Y408" s="94">
        <v>0.0</v>
      </c>
      <c r="Z408" s="94">
        <v>0.0</v>
      </c>
      <c r="AA408" s="94">
        <v>0.0</v>
      </c>
      <c r="AB408" s="94">
        <v>0.0</v>
      </c>
      <c r="AC408" s="94">
        <v>0.0</v>
      </c>
      <c r="AD408" s="94">
        <v>0.0</v>
      </c>
      <c r="AE408" s="94">
        <v>0.0</v>
      </c>
      <c r="AF408" s="94">
        <v>0.0</v>
      </c>
      <c r="AG408" s="94">
        <v>0.0</v>
      </c>
      <c r="AH408" s="94">
        <v>0.0</v>
      </c>
    </row>
    <row r="409" hidden="1">
      <c r="A409" s="83" t="s">
        <v>53</v>
      </c>
      <c r="B409" s="84" t="s">
        <v>193</v>
      </c>
      <c r="C409" s="85">
        <v>1.0</v>
      </c>
      <c r="D409" s="94">
        <v>0.0</v>
      </c>
      <c r="E409" s="86">
        <v>20.0</v>
      </c>
      <c r="F409" s="94">
        <v>0.0</v>
      </c>
      <c r="G409" s="85">
        <v>86.0</v>
      </c>
      <c r="H409" s="94">
        <v>0.0</v>
      </c>
      <c r="I409" s="85">
        <v>77.0</v>
      </c>
      <c r="J409" s="95">
        <f t="shared" si="302"/>
        <v>9</v>
      </c>
      <c r="K409" s="87">
        <f t="shared" si="303"/>
        <v>1.116883117</v>
      </c>
      <c r="L409" s="85">
        <v>12.0</v>
      </c>
      <c r="M409" s="85">
        <v>115.0</v>
      </c>
      <c r="N409" s="85">
        <v>1.0</v>
      </c>
      <c r="O409" s="110">
        <f t="shared" si="309"/>
        <v>20</v>
      </c>
      <c r="P409" s="85">
        <v>6.0</v>
      </c>
      <c r="Q409" s="85">
        <v>2.0</v>
      </c>
      <c r="R409" s="85">
        <v>4.0</v>
      </c>
      <c r="S409" s="85">
        <v>4.0</v>
      </c>
      <c r="T409" s="85">
        <v>15.0</v>
      </c>
      <c r="U409" s="85">
        <v>4.0</v>
      </c>
      <c r="V409" s="85">
        <v>1.0</v>
      </c>
      <c r="W409" s="85">
        <v>1.0</v>
      </c>
      <c r="X409" s="94">
        <v>0.0</v>
      </c>
      <c r="Y409" s="94">
        <v>0.0</v>
      </c>
      <c r="Z409" s="94">
        <v>0.0</v>
      </c>
      <c r="AA409" s="94">
        <v>0.0</v>
      </c>
      <c r="AB409" s="94">
        <v>0.0</v>
      </c>
      <c r="AC409" s="85">
        <v>3.0</v>
      </c>
      <c r="AD409" s="94">
        <v>0.0</v>
      </c>
      <c r="AE409" s="94">
        <v>0.0</v>
      </c>
      <c r="AF409" s="94">
        <v>0.0</v>
      </c>
      <c r="AG409" s="94">
        <v>0.0</v>
      </c>
      <c r="AH409" s="94">
        <v>0.0</v>
      </c>
    </row>
    <row r="410" hidden="1">
      <c r="A410" s="83" t="s">
        <v>53</v>
      </c>
      <c r="B410" s="84" t="s">
        <v>194</v>
      </c>
      <c r="C410" s="85">
        <v>1.0</v>
      </c>
      <c r="D410" s="94">
        <v>0.0</v>
      </c>
      <c r="E410" s="86">
        <v>20.0</v>
      </c>
      <c r="F410" s="85">
        <v>1.0</v>
      </c>
      <c r="G410" s="85">
        <v>71.0</v>
      </c>
      <c r="H410" s="94">
        <v>0.0</v>
      </c>
      <c r="I410" s="85">
        <v>87.0</v>
      </c>
      <c r="J410" s="95">
        <f t="shared" si="302"/>
        <v>-16</v>
      </c>
      <c r="K410" s="87">
        <f t="shared" si="303"/>
        <v>0.816091954</v>
      </c>
      <c r="L410" s="85">
        <v>10.0</v>
      </c>
      <c r="M410" s="85">
        <v>89.0</v>
      </c>
      <c r="N410" s="85">
        <v>1.0</v>
      </c>
      <c r="O410" s="110">
        <f t="shared" si="309"/>
        <v>20</v>
      </c>
      <c r="P410" s="85">
        <v>5.0</v>
      </c>
      <c r="Q410" s="85">
        <v>5.0</v>
      </c>
      <c r="R410" s="85">
        <v>1.0</v>
      </c>
      <c r="S410" s="85">
        <v>4.0</v>
      </c>
      <c r="T410" s="85">
        <v>10.0</v>
      </c>
      <c r="U410" s="85">
        <v>1.0</v>
      </c>
      <c r="V410" s="94">
        <v>0.0</v>
      </c>
      <c r="W410" s="94">
        <v>0.0</v>
      </c>
      <c r="X410" s="94">
        <v>0.0</v>
      </c>
      <c r="Y410" s="94">
        <v>0.0</v>
      </c>
      <c r="Z410" s="94">
        <v>0.0</v>
      </c>
      <c r="AA410" s="94">
        <v>0.0</v>
      </c>
      <c r="AB410" s="94">
        <v>0.0</v>
      </c>
      <c r="AC410" s="85">
        <v>1.0</v>
      </c>
      <c r="AD410" s="94">
        <v>0.0</v>
      </c>
      <c r="AE410" s="94">
        <v>0.0</v>
      </c>
      <c r="AF410" s="94">
        <v>0.0</v>
      </c>
      <c r="AG410" s="94">
        <v>0.0</v>
      </c>
      <c r="AH410" s="94">
        <v>0.0</v>
      </c>
    </row>
    <row r="411" hidden="1">
      <c r="A411" s="83" t="s">
        <v>53</v>
      </c>
      <c r="B411" s="84" t="s">
        <v>195</v>
      </c>
      <c r="C411" s="85">
        <v>1.0</v>
      </c>
      <c r="D411" s="94">
        <v>0.0</v>
      </c>
      <c r="E411" s="86">
        <v>20.0</v>
      </c>
      <c r="F411" s="85">
        <v>2.0</v>
      </c>
      <c r="G411" s="85">
        <v>53.0</v>
      </c>
      <c r="H411" s="94">
        <v>0.0</v>
      </c>
      <c r="I411" s="85">
        <v>51.0</v>
      </c>
      <c r="J411" s="95">
        <f t="shared" si="302"/>
        <v>2</v>
      </c>
      <c r="K411" s="87">
        <f t="shared" si="303"/>
        <v>1.039215686</v>
      </c>
      <c r="L411" s="85">
        <v>20.0</v>
      </c>
      <c r="M411" s="85">
        <v>70.0</v>
      </c>
      <c r="N411" s="85">
        <v>1.0</v>
      </c>
      <c r="O411" s="110">
        <f t="shared" si="309"/>
        <v>20</v>
      </c>
      <c r="P411" s="85">
        <v>2.0</v>
      </c>
      <c r="Q411" s="85">
        <v>1.0</v>
      </c>
      <c r="R411" s="85">
        <v>4.0</v>
      </c>
      <c r="S411" s="85">
        <v>1.0</v>
      </c>
      <c r="T411" s="85">
        <v>6.0</v>
      </c>
      <c r="U411" s="85">
        <v>1.0</v>
      </c>
      <c r="V411" s="94">
        <v>0.0</v>
      </c>
      <c r="W411" s="94">
        <v>0.0</v>
      </c>
      <c r="X411" s="94">
        <v>0.0</v>
      </c>
      <c r="Y411" s="94">
        <v>0.0</v>
      </c>
      <c r="Z411" s="94">
        <v>0.0</v>
      </c>
      <c r="AA411" s="94">
        <v>0.0</v>
      </c>
      <c r="AB411" s="94">
        <v>0.0</v>
      </c>
      <c r="AC411" s="85">
        <v>2.0</v>
      </c>
      <c r="AD411" s="94">
        <v>0.0</v>
      </c>
      <c r="AE411" s="94">
        <v>0.0</v>
      </c>
      <c r="AF411" s="94">
        <v>0.0</v>
      </c>
      <c r="AG411" s="94">
        <v>0.0</v>
      </c>
      <c r="AH411" s="94">
        <v>0.0</v>
      </c>
    </row>
    <row r="412" hidden="1">
      <c r="A412" s="83" t="s">
        <v>53</v>
      </c>
      <c r="B412" s="84" t="s">
        <v>196</v>
      </c>
      <c r="C412" s="94">
        <v>0.0</v>
      </c>
      <c r="D412" s="94">
        <v>0.0</v>
      </c>
      <c r="E412" s="96">
        <f t="shared" ref="E412:E413" si="310">SUM(L412*I412)/60</f>
        <v>0</v>
      </c>
      <c r="F412" s="94">
        <v>0.0</v>
      </c>
      <c r="G412" s="94">
        <v>0.0</v>
      </c>
      <c r="H412" s="94">
        <v>0.0</v>
      </c>
      <c r="I412" s="94">
        <v>0.0</v>
      </c>
      <c r="J412" s="95">
        <f t="shared" si="302"/>
        <v>0</v>
      </c>
      <c r="K412" s="87" t="str">
        <f t="shared" si="303"/>
        <v>#DIV/0!</v>
      </c>
      <c r="L412" s="94">
        <v>0.0</v>
      </c>
      <c r="M412" s="94">
        <v>0.0</v>
      </c>
      <c r="N412" s="85">
        <v>0.0</v>
      </c>
      <c r="O412" s="110">
        <f t="shared" si="309"/>
        <v>0</v>
      </c>
      <c r="P412" s="94">
        <v>0.0</v>
      </c>
      <c r="Q412" s="94">
        <v>0.0</v>
      </c>
      <c r="R412" s="94">
        <v>0.0</v>
      </c>
      <c r="S412" s="94">
        <v>0.0</v>
      </c>
      <c r="T412" s="94">
        <v>0.0</v>
      </c>
      <c r="U412" s="94">
        <v>0.0</v>
      </c>
      <c r="V412" s="94">
        <v>0.0</v>
      </c>
      <c r="W412" s="94">
        <v>0.0</v>
      </c>
      <c r="X412" s="94">
        <v>0.0</v>
      </c>
      <c r="Y412" s="94">
        <v>0.0</v>
      </c>
      <c r="Z412" s="94">
        <v>0.0</v>
      </c>
      <c r="AA412" s="94">
        <v>0.0</v>
      </c>
      <c r="AB412" s="94">
        <v>0.0</v>
      </c>
      <c r="AC412" s="94">
        <v>0.0</v>
      </c>
      <c r="AD412" s="94">
        <v>0.0</v>
      </c>
      <c r="AE412" s="94">
        <v>0.0</v>
      </c>
      <c r="AF412" s="94">
        <v>0.0</v>
      </c>
      <c r="AG412" s="94">
        <v>0.0</v>
      </c>
      <c r="AH412" s="94">
        <v>0.0</v>
      </c>
    </row>
    <row r="413" hidden="1">
      <c r="A413" s="109"/>
      <c r="B413" s="93"/>
      <c r="C413" s="94">
        <v>0.0</v>
      </c>
      <c r="D413" s="94">
        <v>0.0</v>
      </c>
      <c r="E413" s="96">
        <f t="shared" si="310"/>
        <v>0</v>
      </c>
      <c r="F413" s="94">
        <v>0.0</v>
      </c>
      <c r="G413" s="94">
        <v>0.0</v>
      </c>
      <c r="H413" s="94">
        <v>0.0</v>
      </c>
      <c r="I413" s="94">
        <v>0.0</v>
      </c>
      <c r="J413" s="95">
        <f t="shared" si="302"/>
        <v>0</v>
      </c>
      <c r="K413" s="87" t="str">
        <f t="shared" si="303"/>
        <v>#DIV/0!</v>
      </c>
      <c r="L413" s="94">
        <v>0.0</v>
      </c>
      <c r="M413" s="94">
        <v>0.0</v>
      </c>
      <c r="N413" s="85">
        <v>0.0</v>
      </c>
      <c r="O413" s="110">
        <f t="shared" si="309"/>
        <v>0</v>
      </c>
      <c r="P413" s="94">
        <v>0.0</v>
      </c>
      <c r="Q413" s="94">
        <v>0.0</v>
      </c>
      <c r="R413" s="94">
        <v>0.0</v>
      </c>
      <c r="S413" s="94">
        <v>0.0</v>
      </c>
      <c r="T413" s="94">
        <v>0.0</v>
      </c>
      <c r="U413" s="94">
        <v>0.0</v>
      </c>
      <c r="V413" s="94">
        <v>0.0</v>
      </c>
      <c r="W413" s="94">
        <v>0.0</v>
      </c>
      <c r="X413" s="94">
        <v>0.0</v>
      </c>
      <c r="Y413" s="94">
        <v>0.0</v>
      </c>
      <c r="Z413" s="94">
        <v>0.0</v>
      </c>
      <c r="AA413" s="94">
        <v>0.0</v>
      </c>
      <c r="AB413" s="94">
        <v>0.0</v>
      </c>
      <c r="AC413" s="94">
        <v>0.0</v>
      </c>
      <c r="AD413" s="94">
        <v>0.0</v>
      </c>
      <c r="AE413" s="94">
        <v>0.0</v>
      </c>
      <c r="AF413" s="94">
        <v>0.0</v>
      </c>
      <c r="AG413" s="94">
        <v>0.0</v>
      </c>
      <c r="AH413" s="94">
        <v>0.0</v>
      </c>
    </row>
    <row r="414" hidden="1">
      <c r="A414" s="89" t="s">
        <v>185</v>
      </c>
      <c r="B414" s="111"/>
      <c r="C414" s="111">
        <f>SUM(C408:C413)</f>
        <v>4</v>
      </c>
      <c r="D414" s="111">
        <f t="shared" ref="D414:E414" si="311">SUM(D408:D413)/4</f>
        <v>0</v>
      </c>
      <c r="E414" s="91">
        <f t="shared" si="311"/>
        <v>20</v>
      </c>
      <c r="F414" s="111">
        <f t="shared" ref="F414:G414" si="312">SUM(F408:F413)</f>
        <v>3</v>
      </c>
      <c r="G414" s="111">
        <f t="shared" si="312"/>
        <v>246</v>
      </c>
      <c r="H414" s="111"/>
      <c r="I414" s="111">
        <f>SUM(I408:I413)</f>
        <v>276</v>
      </c>
      <c r="J414" s="111">
        <f t="shared" si="302"/>
        <v>-30</v>
      </c>
      <c r="K414" s="92">
        <f t="shared" si="303"/>
        <v>0.8913043478</v>
      </c>
      <c r="L414" s="111">
        <f t="shared" ref="L414:M414" si="313">SUM(L408:L413)</f>
        <v>58</v>
      </c>
      <c r="M414" s="111">
        <f t="shared" si="313"/>
        <v>316</v>
      </c>
      <c r="N414" s="111"/>
      <c r="O414" s="112"/>
      <c r="P414" s="111">
        <f t="shared" ref="P414:AH414" si="314">SUM(P408:P413)</f>
        <v>15</v>
      </c>
      <c r="Q414" s="111">
        <f t="shared" si="314"/>
        <v>10</v>
      </c>
      <c r="R414" s="111">
        <f t="shared" si="314"/>
        <v>9</v>
      </c>
      <c r="S414" s="111">
        <f t="shared" si="314"/>
        <v>9</v>
      </c>
      <c r="T414" s="111">
        <f t="shared" si="314"/>
        <v>35</v>
      </c>
      <c r="U414" s="111">
        <f t="shared" si="314"/>
        <v>6</v>
      </c>
      <c r="V414" s="111">
        <f t="shared" si="314"/>
        <v>1</v>
      </c>
      <c r="W414" s="111">
        <f t="shared" si="314"/>
        <v>1</v>
      </c>
      <c r="X414" s="111">
        <f t="shared" si="314"/>
        <v>0</v>
      </c>
      <c r="Y414" s="111">
        <f t="shared" si="314"/>
        <v>0</v>
      </c>
      <c r="Z414" s="111">
        <f t="shared" si="314"/>
        <v>0</v>
      </c>
      <c r="AA414" s="111">
        <f t="shared" si="314"/>
        <v>0</v>
      </c>
      <c r="AB414" s="111">
        <f t="shared" si="314"/>
        <v>0</v>
      </c>
      <c r="AC414" s="111">
        <f t="shared" si="314"/>
        <v>6</v>
      </c>
      <c r="AD414" s="111">
        <f t="shared" si="314"/>
        <v>0</v>
      </c>
      <c r="AE414" s="111">
        <f t="shared" si="314"/>
        <v>0</v>
      </c>
      <c r="AF414" s="111">
        <f t="shared" si="314"/>
        <v>0</v>
      </c>
      <c r="AG414" s="111">
        <f t="shared" si="314"/>
        <v>0</v>
      </c>
      <c r="AH414" s="111">
        <f t="shared" si="314"/>
        <v>0</v>
      </c>
    </row>
    <row r="415">
      <c r="A415" s="104" t="s">
        <v>278</v>
      </c>
    </row>
    <row r="417" hidden="1">
      <c r="A417" s="105"/>
      <c r="F417" s="106" t="s">
        <v>251</v>
      </c>
      <c r="L417" s="107" t="s">
        <v>252</v>
      </c>
      <c r="N417" s="108" t="s">
        <v>253</v>
      </c>
    </row>
    <row r="418" hidden="1">
      <c r="A418" s="76" t="s">
        <v>148</v>
      </c>
      <c r="B418" s="76" t="s">
        <v>149</v>
      </c>
      <c r="C418" s="76" t="s">
        <v>150</v>
      </c>
      <c r="D418" s="76" t="s">
        <v>13</v>
      </c>
      <c r="E418" s="77" t="s">
        <v>151</v>
      </c>
      <c r="F418" s="78" t="s">
        <v>15</v>
      </c>
      <c r="G418" s="78" t="s">
        <v>152</v>
      </c>
      <c r="H418" s="78" t="s">
        <v>153</v>
      </c>
      <c r="I418" s="78" t="s">
        <v>154</v>
      </c>
      <c r="J418" s="78" t="s">
        <v>155</v>
      </c>
      <c r="K418" s="79" t="s">
        <v>156</v>
      </c>
      <c r="L418" s="80" t="s">
        <v>157</v>
      </c>
      <c r="M418" s="80" t="s">
        <v>158</v>
      </c>
      <c r="N418" s="81" t="s">
        <v>254</v>
      </c>
      <c r="O418" s="81" t="s">
        <v>151</v>
      </c>
      <c r="P418" s="81" t="s">
        <v>160</v>
      </c>
      <c r="Q418" s="81" t="s">
        <v>161</v>
      </c>
      <c r="R418" s="81" t="s">
        <v>162</v>
      </c>
      <c r="S418" s="81" t="s">
        <v>163</v>
      </c>
      <c r="T418" s="81" t="s">
        <v>164</v>
      </c>
      <c r="U418" s="81" t="s">
        <v>165</v>
      </c>
      <c r="V418" s="81" t="s">
        <v>166</v>
      </c>
      <c r="W418" s="81" t="s">
        <v>167</v>
      </c>
      <c r="X418" s="81" t="s">
        <v>168</v>
      </c>
      <c r="Y418" s="81" t="s">
        <v>169</v>
      </c>
      <c r="Z418" s="81" t="s">
        <v>170</v>
      </c>
      <c r="AA418" s="81" t="s">
        <v>171</v>
      </c>
      <c r="AB418" s="81" t="s">
        <v>172</v>
      </c>
      <c r="AC418" s="81" t="s">
        <v>173</v>
      </c>
      <c r="AD418" s="81" t="s">
        <v>174</v>
      </c>
      <c r="AE418" s="81" t="s">
        <v>175</v>
      </c>
      <c r="AF418" s="81" t="s">
        <v>176</v>
      </c>
      <c r="AG418" s="81" t="s">
        <v>177</v>
      </c>
      <c r="AH418" s="81" t="s">
        <v>178</v>
      </c>
    </row>
    <row r="419" hidden="1">
      <c r="A419" s="83" t="s">
        <v>51</v>
      </c>
      <c r="B419" s="84" t="s">
        <v>222</v>
      </c>
      <c r="C419" s="85">
        <v>1.0</v>
      </c>
      <c r="D419" s="94">
        <v>0.0</v>
      </c>
      <c r="E419" s="86">
        <v>34.0</v>
      </c>
      <c r="F419" s="94">
        <v>0.0</v>
      </c>
      <c r="G419" s="85">
        <v>112.0</v>
      </c>
      <c r="H419" s="85">
        <v>1.0</v>
      </c>
      <c r="I419" s="85">
        <v>103.0</v>
      </c>
      <c r="J419" s="95">
        <f t="shared" ref="J419:J432" si="315">SUM(G419-I419)</f>
        <v>9</v>
      </c>
      <c r="K419" s="87">
        <f t="shared" ref="K419:K432" si="316">SUM(G419/I419)</f>
        <v>1.087378641</v>
      </c>
      <c r="L419" s="85">
        <v>16.0</v>
      </c>
      <c r="M419" s="85">
        <v>133.0</v>
      </c>
      <c r="N419" s="85">
        <v>1.0</v>
      </c>
      <c r="O419" s="110">
        <f t="shared" ref="O419:O424" si="317">(E419*N419)</f>
        <v>34</v>
      </c>
      <c r="P419" s="85">
        <v>5.0</v>
      </c>
      <c r="Q419" s="94">
        <v>0.0</v>
      </c>
      <c r="R419" s="85">
        <v>1.0</v>
      </c>
      <c r="S419" s="85">
        <v>3.0</v>
      </c>
      <c r="T419" s="85">
        <v>13.0</v>
      </c>
      <c r="U419" s="85">
        <v>3.0</v>
      </c>
      <c r="V419" s="85">
        <v>1.0</v>
      </c>
      <c r="W419" s="85">
        <v>1.0</v>
      </c>
      <c r="X419" s="94">
        <v>0.0</v>
      </c>
      <c r="Y419" s="94">
        <v>0.0</v>
      </c>
      <c r="Z419" s="94">
        <v>0.0</v>
      </c>
      <c r="AA419" s="94">
        <v>0.0</v>
      </c>
      <c r="AB419" s="94">
        <v>0.0</v>
      </c>
      <c r="AC419" s="85">
        <v>4.0</v>
      </c>
      <c r="AD419" s="94">
        <v>0.0</v>
      </c>
      <c r="AE419" s="94">
        <v>0.0</v>
      </c>
      <c r="AF419" s="94">
        <v>0.0</v>
      </c>
      <c r="AG419" s="94">
        <v>0.0</v>
      </c>
      <c r="AH419" s="94">
        <v>0.0</v>
      </c>
    </row>
    <row r="420" hidden="1">
      <c r="A420" s="83" t="s">
        <v>51</v>
      </c>
      <c r="B420" s="84" t="s">
        <v>223</v>
      </c>
      <c r="C420" s="85">
        <v>1.0</v>
      </c>
      <c r="D420" s="94">
        <v>0.0</v>
      </c>
      <c r="E420" s="86">
        <v>34.0</v>
      </c>
      <c r="F420" s="94">
        <v>0.0</v>
      </c>
      <c r="G420" s="85">
        <v>93.0</v>
      </c>
      <c r="H420" s="85">
        <v>1.0</v>
      </c>
      <c r="I420" s="85">
        <v>118.0</v>
      </c>
      <c r="J420" s="95">
        <f t="shared" si="315"/>
        <v>-25</v>
      </c>
      <c r="K420" s="87">
        <f t="shared" si="316"/>
        <v>0.7881355932</v>
      </c>
      <c r="L420" s="85">
        <v>14.0</v>
      </c>
      <c r="M420" s="85">
        <v>107.0</v>
      </c>
      <c r="N420" s="85">
        <v>1.0</v>
      </c>
      <c r="O420" s="110">
        <f t="shared" si="317"/>
        <v>34</v>
      </c>
      <c r="P420" s="85">
        <v>3.0</v>
      </c>
      <c r="Q420" s="85">
        <v>5.0</v>
      </c>
      <c r="R420" s="85">
        <v>3.0</v>
      </c>
      <c r="S420" s="85">
        <v>1.0</v>
      </c>
      <c r="T420" s="85">
        <v>9.0</v>
      </c>
      <c r="U420" s="85">
        <v>1.0</v>
      </c>
      <c r="V420" s="94">
        <v>0.0</v>
      </c>
      <c r="W420" s="94">
        <v>0.0</v>
      </c>
      <c r="X420" s="94">
        <v>0.0</v>
      </c>
      <c r="Y420" s="94">
        <v>0.0</v>
      </c>
      <c r="Z420" s="94">
        <v>0.0</v>
      </c>
      <c r="AA420" s="94">
        <v>0.0</v>
      </c>
      <c r="AB420" s="94">
        <v>0.0</v>
      </c>
      <c r="AC420" s="94">
        <v>0.0</v>
      </c>
      <c r="AD420" s="94">
        <v>0.0</v>
      </c>
      <c r="AE420" s="94">
        <v>0.0</v>
      </c>
      <c r="AF420" s="94">
        <v>0.0</v>
      </c>
      <c r="AG420" s="94">
        <v>0.0</v>
      </c>
      <c r="AH420" s="94">
        <v>0.0</v>
      </c>
    </row>
    <row r="421" hidden="1">
      <c r="A421" s="83" t="s">
        <v>51</v>
      </c>
      <c r="B421" s="84" t="s">
        <v>224</v>
      </c>
      <c r="C421" s="85">
        <v>1.0</v>
      </c>
      <c r="D421" s="94">
        <v>0.0</v>
      </c>
      <c r="E421" s="86">
        <v>34.0</v>
      </c>
      <c r="F421" s="94">
        <v>0.0</v>
      </c>
      <c r="G421" s="85">
        <v>127.0</v>
      </c>
      <c r="H421" s="94">
        <v>0.0</v>
      </c>
      <c r="I421" s="85">
        <v>113.0</v>
      </c>
      <c r="J421" s="95">
        <f t="shared" si="315"/>
        <v>14</v>
      </c>
      <c r="K421" s="87">
        <f t="shared" si="316"/>
        <v>1.123893805</v>
      </c>
      <c r="L421" s="85">
        <v>14.0</v>
      </c>
      <c r="M421" s="85">
        <v>157.0</v>
      </c>
      <c r="N421" s="85">
        <v>1.0</v>
      </c>
      <c r="O421" s="110">
        <f t="shared" si="317"/>
        <v>34</v>
      </c>
      <c r="P421" s="85">
        <v>6.0</v>
      </c>
      <c r="Q421" s="85">
        <v>3.0</v>
      </c>
      <c r="R421" s="85">
        <v>4.0</v>
      </c>
      <c r="S421" s="85">
        <v>2.0</v>
      </c>
      <c r="T421" s="85">
        <v>15.0</v>
      </c>
      <c r="U421" s="85">
        <v>3.0</v>
      </c>
      <c r="V421" s="85">
        <v>1.0</v>
      </c>
      <c r="W421" s="94">
        <v>0.0</v>
      </c>
      <c r="X421" s="94">
        <v>0.0</v>
      </c>
      <c r="Y421" s="94">
        <v>0.0</v>
      </c>
      <c r="Z421" s="94">
        <v>0.0</v>
      </c>
      <c r="AA421" s="94">
        <v>0.0</v>
      </c>
      <c r="AB421" s="94">
        <v>0.0</v>
      </c>
      <c r="AC421" s="85">
        <v>2.0</v>
      </c>
      <c r="AD421" s="94">
        <v>0.0</v>
      </c>
      <c r="AE421" s="94">
        <v>0.0</v>
      </c>
      <c r="AF421" s="94">
        <v>0.0</v>
      </c>
      <c r="AG421" s="94">
        <v>0.0</v>
      </c>
      <c r="AH421" s="94">
        <v>0.0</v>
      </c>
    </row>
    <row r="422" hidden="1">
      <c r="A422" s="83" t="s">
        <v>51</v>
      </c>
      <c r="B422" s="84" t="s">
        <v>225</v>
      </c>
      <c r="C422" s="85">
        <v>1.0</v>
      </c>
      <c r="D422" s="94">
        <v>0.0</v>
      </c>
      <c r="E422" s="86">
        <v>34.0</v>
      </c>
      <c r="F422" s="85">
        <v>3.0</v>
      </c>
      <c r="G422" s="85">
        <v>88.0</v>
      </c>
      <c r="H422" s="94">
        <v>0.0</v>
      </c>
      <c r="I422" s="85">
        <v>120.0</v>
      </c>
      <c r="J422" s="95">
        <f t="shared" si="315"/>
        <v>-32</v>
      </c>
      <c r="K422" s="87">
        <f t="shared" si="316"/>
        <v>0.7333333333</v>
      </c>
      <c r="L422" s="85">
        <v>13.0</v>
      </c>
      <c r="M422" s="85">
        <v>104.0</v>
      </c>
      <c r="N422" s="85">
        <v>1.0</v>
      </c>
      <c r="O422" s="110">
        <f t="shared" si="317"/>
        <v>34</v>
      </c>
      <c r="P422" s="85">
        <v>6.0</v>
      </c>
      <c r="Q422" s="85">
        <v>5.0</v>
      </c>
      <c r="R422" s="94">
        <v>0.0</v>
      </c>
      <c r="S422" s="94">
        <v>0.0</v>
      </c>
      <c r="T422" s="85">
        <v>10.0</v>
      </c>
      <c r="U422" s="94">
        <v>0.0</v>
      </c>
      <c r="V422" s="94">
        <v>0.0</v>
      </c>
      <c r="W422" s="94">
        <v>0.0</v>
      </c>
      <c r="X422" s="94">
        <v>0.0</v>
      </c>
      <c r="Y422" s="94">
        <v>0.0</v>
      </c>
      <c r="Z422" s="94">
        <v>0.0</v>
      </c>
      <c r="AA422" s="94">
        <v>0.0</v>
      </c>
      <c r="AB422" s="94">
        <v>0.0</v>
      </c>
      <c r="AC422" s="94">
        <v>0.0</v>
      </c>
      <c r="AD422" s="94">
        <v>0.0</v>
      </c>
      <c r="AE422" s="94">
        <v>0.0</v>
      </c>
      <c r="AF422" s="94">
        <v>0.0</v>
      </c>
      <c r="AG422" s="94">
        <v>0.0</v>
      </c>
      <c r="AH422" s="94">
        <v>0.0</v>
      </c>
    </row>
    <row r="423" hidden="1">
      <c r="A423" s="83" t="s">
        <v>51</v>
      </c>
      <c r="B423" s="84" t="s">
        <v>226</v>
      </c>
      <c r="C423" s="94">
        <v>0.0</v>
      </c>
      <c r="D423" s="94">
        <v>0.0</v>
      </c>
      <c r="E423" s="96">
        <f t="shared" ref="E423:E424" si="318">SUM(L423*I423)/60</f>
        <v>0</v>
      </c>
      <c r="F423" s="94">
        <v>0.0</v>
      </c>
      <c r="G423" s="94">
        <v>0.0</v>
      </c>
      <c r="H423" s="94">
        <v>0.0</v>
      </c>
      <c r="I423" s="94">
        <v>0.0</v>
      </c>
      <c r="J423" s="95">
        <f t="shared" si="315"/>
        <v>0</v>
      </c>
      <c r="K423" s="87" t="str">
        <f t="shared" si="316"/>
        <v>#DIV/0!</v>
      </c>
      <c r="L423" s="94">
        <v>0.0</v>
      </c>
      <c r="M423" s="94">
        <v>0.0</v>
      </c>
      <c r="N423" s="85">
        <v>0.0</v>
      </c>
      <c r="O423" s="110">
        <f t="shared" si="317"/>
        <v>0</v>
      </c>
      <c r="P423" s="94">
        <v>0.0</v>
      </c>
      <c r="Q423" s="94">
        <v>0.0</v>
      </c>
      <c r="R423" s="94">
        <v>0.0</v>
      </c>
      <c r="S423" s="94">
        <v>0.0</v>
      </c>
      <c r="T423" s="94">
        <v>0.0</v>
      </c>
      <c r="U423" s="94">
        <v>0.0</v>
      </c>
      <c r="V423" s="94">
        <v>0.0</v>
      </c>
      <c r="W423" s="94">
        <v>0.0</v>
      </c>
      <c r="X423" s="94">
        <v>0.0</v>
      </c>
      <c r="Y423" s="94">
        <v>0.0</v>
      </c>
      <c r="Z423" s="94">
        <v>0.0</v>
      </c>
      <c r="AA423" s="94">
        <v>0.0</v>
      </c>
      <c r="AB423" s="94">
        <v>0.0</v>
      </c>
      <c r="AC423" s="94">
        <v>0.0</v>
      </c>
      <c r="AD423" s="94">
        <v>0.0</v>
      </c>
      <c r="AE423" s="94">
        <v>0.0</v>
      </c>
      <c r="AF423" s="94">
        <v>0.0</v>
      </c>
      <c r="AG423" s="94">
        <v>0.0</v>
      </c>
      <c r="AH423" s="94">
        <v>0.0</v>
      </c>
    </row>
    <row r="424" hidden="1">
      <c r="A424" s="83" t="s">
        <v>51</v>
      </c>
      <c r="B424" s="93"/>
      <c r="C424" s="94">
        <v>0.0</v>
      </c>
      <c r="D424" s="94">
        <v>0.0</v>
      </c>
      <c r="E424" s="96">
        <f t="shared" si="318"/>
        <v>0</v>
      </c>
      <c r="F424" s="94">
        <v>0.0</v>
      </c>
      <c r="G424" s="94">
        <v>0.0</v>
      </c>
      <c r="H424" s="94">
        <v>0.0</v>
      </c>
      <c r="I424" s="94">
        <v>0.0</v>
      </c>
      <c r="J424" s="95">
        <f t="shared" si="315"/>
        <v>0</v>
      </c>
      <c r="K424" s="87" t="str">
        <f t="shared" si="316"/>
        <v>#DIV/0!</v>
      </c>
      <c r="L424" s="94">
        <v>0.0</v>
      </c>
      <c r="M424" s="94">
        <v>0.0</v>
      </c>
      <c r="N424" s="85">
        <v>0.0</v>
      </c>
      <c r="O424" s="110">
        <f t="shared" si="317"/>
        <v>0</v>
      </c>
      <c r="P424" s="94">
        <v>0.0</v>
      </c>
      <c r="Q424" s="94">
        <v>0.0</v>
      </c>
      <c r="R424" s="94">
        <v>0.0</v>
      </c>
      <c r="S424" s="94">
        <v>0.0</v>
      </c>
      <c r="T424" s="94">
        <v>0.0</v>
      </c>
      <c r="U424" s="94">
        <v>0.0</v>
      </c>
      <c r="V424" s="94">
        <v>0.0</v>
      </c>
      <c r="W424" s="94">
        <v>0.0</v>
      </c>
      <c r="X424" s="94">
        <v>0.0</v>
      </c>
      <c r="Y424" s="94">
        <v>0.0</v>
      </c>
      <c r="Z424" s="94">
        <v>0.0</v>
      </c>
      <c r="AA424" s="94">
        <v>0.0</v>
      </c>
      <c r="AB424" s="94">
        <v>0.0</v>
      </c>
      <c r="AC424" s="94">
        <v>0.0</v>
      </c>
      <c r="AD424" s="94">
        <v>0.0</v>
      </c>
      <c r="AE424" s="94">
        <v>0.0</v>
      </c>
      <c r="AF424" s="94">
        <v>0.0</v>
      </c>
      <c r="AG424" s="94">
        <v>0.0</v>
      </c>
      <c r="AH424" s="94">
        <v>0.0</v>
      </c>
    </row>
    <row r="425" hidden="1">
      <c r="A425" s="89"/>
      <c r="B425" s="111"/>
      <c r="C425" s="111">
        <f t="shared" ref="C425:D425" si="319">SUM(C419:C424)/4</f>
        <v>1</v>
      </c>
      <c r="D425" s="111">
        <f t="shared" si="319"/>
        <v>0</v>
      </c>
      <c r="E425" s="91">
        <f t="shared" ref="E425:G425" si="320">SUM(E419:E424)</f>
        <v>136</v>
      </c>
      <c r="F425" s="111">
        <f t="shared" si="320"/>
        <v>3</v>
      </c>
      <c r="G425" s="111">
        <f t="shared" si="320"/>
        <v>420</v>
      </c>
      <c r="H425" s="111"/>
      <c r="I425" s="111">
        <f>SUM(I419:I424)</f>
        <v>454</v>
      </c>
      <c r="J425" s="111">
        <f t="shared" si="315"/>
        <v>-34</v>
      </c>
      <c r="K425" s="92">
        <f t="shared" si="316"/>
        <v>0.9251101322</v>
      </c>
      <c r="L425" s="111">
        <f t="shared" ref="L425:M425" si="321">SUM(L419:L424)</f>
        <v>57</v>
      </c>
      <c r="M425" s="111">
        <f t="shared" si="321"/>
        <v>501</v>
      </c>
      <c r="N425" s="111"/>
      <c r="O425" s="112"/>
      <c r="P425" s="111">
        <f t="shared" ref="P425:AH425" si="322">SUM(P419:P424)</f>
        <v>20</v>
      </c>
      <c r="Q425" s="111">
        <f t="shared" si="322"/>
        <v>13</v>
      </c>
      <c r="R425" s="111">
        <f t="shared" si="322"/>
        <v>8</v>
      </c>
      <c r="S425" s="111">
        <f t="shared" si="322"/>
        <v>6</v>
      </c>
      <c r="T425" s="111">
        <f t="shared" si="322"/>
        <v>47</v>
      </c>
      <c r="U425" s="111">
        <f t="shared" si="322"/>
        <v>7</v>
      </c>
      <c r="V425" s="111">
        <f t="shared" si="322"/>
        <v>2</v>
      </c>
      <c r="W425" s="111">
        <f t="shared" si="322"/>
        <v>1</v>
      </c>
      <c r="X425" s="111">
        <f t="shared" si="322"/>
        <v>0</v>
      </c>
      <c r="Y425" s="111">
        <f t="shared" si="322"/>
        <v>0</v>
      </c>
      <c r="Z425" s="111">
        <f t="shared" si="322"/>
        <v>0</v>
      </c>
      <c r="AA425" s="111">
        <f t="shared" si="322"/>
        <v>0</v>
      </c>
      <c r="AB425" s="111">
        <f t="shared" si="322"/>
        <v>0</v>
      </c>
      <c r="AC425" s="111">
        <f t="shared" si="322"/>
        <v>6</v>
      </c>
      <c r="AD425" s="111">
        <f t="shared" si="322"/>
        <v>0</v>
      </c>
      <c r="AE425" s="111">
        <f t="shared" si="322"/>
        <v>0</v>
      </c>
      <c r="AF425" s="111">
        <f t="shared" si="322"/>
        <v>0</v>
      </c>
      <c r="AG425" s="111">
        <f t="shared" si="322"/>
        <v>0</v>
      </c>
      <c r="AH425" s="111">
        <f t="shared" si="322"/>
        <v>0</v>
      </c>
    </row>
    <row r="426" hidden="1">
      <c r="A426" s="83" t="s">
        <v>47</v>
      </c>
      <c r="B426" s="84" t="s">
        <v>237</v>
      </c>
      <c r="C426" s="85">
        <v>1.0</v>
      </c>
      <c r="D426" s="85">
        <v>1.0</v>
      </c>
      <c r="E426" s="86">
        <v>34.0</v>
      </c>
      <c r="F426" s="94">
        <v>0.0</v>
      </c>
      <c r="G426" s="85">
        <v>131.0</v>
      </c>
      <c r="H426" s="94">
        <v>0.0</v>
      </c>
      <c r="I426" s="85">
        <v>126.0</v>
      </c>
      <c r="J426" s="95">
        <f t="shared" si="315"/>
        <v>5</v>
      </c>
      <c r="K426" s="87">
        <f t="shared" si="316"/>
        <v>1.03968254</v>
      </c>
      <c r="L426" s="85">
        <v>12.0</v>
      </c>
      <c r="M426" s="85">
        <v>170.0</v>
      </c>
      <c r="N426" s="85">
        <v>1.0</v>
      </c>
      <c r="O426" s="110">
        <f t="shared" ref="O426:O431" si="323">(E426*N426)</f>
        <v>34</v>
      </c>
      <c r="P426" s="85">
        <v>4.0</v>
      </c>
      <c r="Q426" s="85">
        <v>6.0</v>
      </c>
      <c r="R426" s="85">
        <v>15.0</v>
      </c>
      <c r="S426" s="85">
        <v>2.0</v>
      </c>
      <c r="T426" s="85">
        <v>14.0</v>
      </c>
      <c r="U426" s="85">
        <v>3.0</v>
      </c>
      <c r="V426" s="85">
        <v>1.0</v>
      </c>
      <c r="W426" s="85">
        <v>1.0</v>
      </c>
      <c r="X426" s="85">
        <v>1.0</v>
      </c>
      <c r="Y426" s="94">
        <v>0.0</v>
      </c>
      <c r="Z426" s="94">
        <v>0.0</v>
      </c>
      <c r="AA426" s="94">
        <v>0.0</v>
      </c>
      <c r="AB426" s="94">
        <v>0.0</v>
      </c>
      <c r="AC426" s="85">
        <v>3.0</v>
      </c>
      <c r="AD426" s="94">
        <v>0.0</v>
      </c>
      <c r="AE426" s="94">
        <v>0.0</v>
      </c>
      <c r="AF426" s="94">
        <v>0.0</v>
      </c>
      <c r="AG426" s="94">
        <v>0.0</v>
      </c>
      <c r="AH426" s="94">
        <v>0.0</v>
      </c>
    </row>
    <row r="427" hidden="1">
      <c r="A427" s="83" t="s">
        <v>47</v>
      </c>
      <c r="B427" s="84" t="s">
        <v>238</v>
      </c>
      <c r="C427" s="85">
        <v>1.0</v>
      </c>
      <c r="D427" s="85">
        <v>1.0</v>
      </c>
      <c r="E427" s="86">
        <v>34.0</v>
      </c>
      <c r="F427" s="85">
        <v>5.0</v>
      </c>
      <c r="G427" s="85">
        <v>66.0</v>
      </c>
      <c r="H427" s="94">
        <v>0.0</v>
      </c>
      <c r="I427" s="85">
        <v>61.0</v>
      </c>
      <c r="J427" s="95">
        <f t="shared" si="315"/>
        <v>5</v>
      </c>
      <c r="K427" s="87">
        <f t="shared" si="316"/>
        <v>1.081967213</v>
      </c>
      <c r="L427" s="85">
        <v>29.0</v>
      </c>
      <c r="M427" s="85">
        <v>90.0</v>
      </c>
      <c r="N427" s="85">
        <v>1.0</v>
      </c>
      <c r="O427" s="110">
        <f t="shared" si="323"/>
        <v>34</v>
      </c>
      <c r="P427" s="85">
        <v>6.0</v>
      </c>
      <c r="Q427" s="85">
        <v>3.0</v>
      </c>
      <c r="R427" s="85">
        <v>4.0</v>
      </c>
      <c r="S427" s="85">
        <v>2.0</v>
      </c>
      <c r="T427" s="85">
        <v>7.0</v>
      </c>
      <c r="U427" s="85">
        <v>1.0</v>
      </c>
      <c r="V427" s="94">
        <v>0.0</v>
      </c>
      <c r="W427" s="94">
        <v>0.0</v>
      </c>
      <c r="X427" s="94">
        <v>0.0</v>
      </c>
      <c r="Y427" s="94">
        <v>0.0</v>
      </c>
      <c r="Z427" s="94">
        <v>0.0</v>
      </c>
      <c r="AA427" s="94">
        <v>0.0</v>
      </c>
      <c r="AB427" s="94">
        <v>0.0</v>
      </c>
      <c r="AC427" s="94">
        <v>0.0</v>
      </c>
      <c r="AD427" s="94">
        <v>0.0</v>
      </c>
      <c r="AE427" s="94">
        <v>0.0</v>
      </c>
      <c r="AF427" s="94">
        <v>0.0</v>
      </c>
      <c r="AG427" s="94">
        <v>0.0</v>
      </c>
      <c r="AH427" s="94">
        <v>0.0</v>
      </c>
    </row>
    <row r="428" hidden="1">
      <c r="A428" s="83" t="s">
        <v>47</v>
      </c>
      <c r="B428" s="84" t="s">
        <v>239</v>
      </c>
      <c r="C428" s="85">
        <v>1.0</v>
      </c>
      <c r="D428" s="85">
        <v>1.0</v>
      </c>
      <c r="E428" s="86">
        <v>34.0</v>
      </c>
      <c r="F428" s="94">
        <v>0.0</v>
      </c>
      <c r="G428" s="85">
        <v>131.0</v>
      </c>
      <c r="H428" s="94">
        <v>0.0</v>
      </c>
      <c r="I428" s="85">
        <v>135.0</v>
      </c>
      <c r="J428" s="95">
        <f t="shared" si="315"/>
        <v>-4</v>
      </c>
      <c r="K428" s="87">
        <f t="shared" si="316"/>
        <v>0.9703703704</v>
      </c>
      <c r="L428" s="85">
        <v>11.0</v>
      </c>
      <c r="M428" s="85">
        <v>176.0</v>
      </c>
      <c r="N428" s="85">
        <v>1.0</v>
      </c>
      <c r="O428" s="110">
        <f t="shared" si="323"/>
        <v>34</v>
      </c>
      <c r="P428" s="85">
        <v>4.0</v>
      </c>
      <c r="Q428" s="85">
        <v>4.0</v>
      </c>
      <c r="R428" s="85">
        <v>18.0</v>
      </c>
      <c r="S428" s="85">
        <v>1.0</v>
      </c>
      <c r="T428" s="85">
        <v>18.0</v>
      </c>
      <c r="U428" s="85">
        <v>4.0</v>
      </c>
      <c r="V428" s="85">
        <v>2.0</v>
      </c>
      <c r="W428" s="85">
        <v>2.0</v>
      </c>
      <c r="X428" s="94">
        <v>0.0</v>
      </c>
      <c r="Y428" s="94">
        <v>0.0</v>
      </c>
      <c r="Z428" s="94">
        <v>0.0</v>
      </c>
      <c r="AA428" s="94">
        <v>0.0</v>
      </c>
      <c r="AB428" s="94">
        <v>0.0</v>
      </c>
      <c r="AC428" s="85">
        <v>3.0</v>
      </c>
      <c r="AD428" s="94">
        <v>0.0</v>
      </c>
      <c r="AE428" s="94">
        <v>0.0</v>
      </c>
      <c r="AF428" s="94">
        <v>0.0</v>
      </c>
      <c r="AG428" s="94">
        <v>0.0</v>
      </c>
      <c r="AH428" s="94">
        <v>0.0</v>
      </c>
    </row>
    <row r="429" hidden="1">
      <c r="A429" s="83" t="s">
        <v>47</v>
      </c>
      <c r="B429" s="84" t="s">
        <v>240</v>
      </c>
      <c r="C429" s="85">
        <v>1.0</v>
      </c>
      <c r="D429" s="85">
        <v>1.0</v>
      </c>
      <c r="E429" s="86">
        <v>34.0</v>
      </c>
      <c r="F429" s="94">
        <v>0.0</v>
      </c>
      <c r="G429" s="85">
        <v>114.0</v>
      </c>
      <c r="H429" s="94">
        <v>0.0</v>
      </c>
      <c r="I429" s="85">
        <v>108.0</v>
      </c>
      <c r="J429" s="95">
        <f t="shared" si="315"/>
        <v>6</v>
      </c>
      <c r="K429" s="87">
        <f t="shared" si="316"/>
        <v>1.055555556</v>
      </c>
      <c r="L429" s="85">
        <v>15.0</v>
      </c>
      <c r="M429" s="85">
        <v>141.0</v>
      </c>
      <c r="N429" s="85">
        <v>1.0</v>
      </c>
      <c r="O429" s="110">
        <f t="shared" si="323"/>
        <v>34</v>
      </c>
      <c r="P429" s="85">
        <v>4.0</v>
      </c>
      <c r="Q429" s="85">
        <v>3.0</v>
      </c>
      <c r="R429" s="85">
        <v>8.0</v>
      </c>
      <c r="S429" s="85">
        <v>1.0</v>
      </c>
      <c r="T429" s="85">
        <v>14.0</v>
      </c>
      <c r="U429" s="85">
        <v>3.0</v>
      </c>
      <c r="V429" s="94">
        <v>0.0</v>
      </c>
      <c r="W429" s="94">
        <v>0.0</v>
      </c>
      <c r="X429" s="94">
        <v>0.0</v>
      </c>
      <c r="Y429" s="94">
        <v>0.0</v>
      </c>
      <c r="Z429" s="94">
        <v>0.0</v>
      </c>
      <c r="AA429" s="94">
        <v>0.0</v>
      </c>
      <c r="AB429" s="94">
        <v>0.0</v>
      </c>
      <c r="AC429" s="85">
        <v>1.0</v>
      </c>
      <c r="AD429" s="94">
        <v>0.0</v>
      </c>
      <c r="AE429" s="94">
        <v>0.0</v>
      </c>
      <c r="AF429" s="94">
        <v>0.0</v>
      </c>
      <c r="AG429" s="94">
        <v>0.0</v>
      </c>
      <c r="AH429" s="94">
        <v>0.0</v>
      </c>
    </row>
    <row r="430" hidden="1">
      <c r="A430" s="83" t="s">
        <v>47</v>
      </c>
      <c r="B430" s="84" t="s">
        <v>241</v>
      </c>
      <c r="C430" s="94">
        <v>0.0</v>
      </c>
      <c r="D430" s="94">
        <v>0.0</v>
      </c>
      <c r="E430" s="96">
        <f t="shared" ref="E430:E431" si="324">SUM(L430*I430)/60</f>
        <v>0</v>
      </c>
      <c r="F430" s="94">
        <v>0.0</v>
      </c>
      <c r="G430" s="94">
        <v>0.0</v>
      </c>
      <c r="H430" s="94">
        <v>0.0</v>
      </c>
      <c r="I430" s="94">
        <v>0.0</v>
      </c>
      <c r="J430" s="95">
        <f t="shared" si="315"/>
        <v>0</v>
      </c>
      <c r="K430" s="87" t="str">
        <f t="shared" si="316"/>
        <v>#DIV/0!</v>
      </c>
      <c r="L430" s="94">
        <v>0.0</v>
      </c>
      <c r="M430" s="94">
        <v>0.0</v>
      </c>
      <c r="N430" s="85">
        <v>0.0</v>
      </c>
      <c r="O430" s="110">
        <f t="shared" si="323"/>
        <v>0</v>
      </c>
      <c r="P430" s="94">
        <v>0.0</v>
      </c>
      <c r="Q430" s="94">
        <v>0.0</v>
      </c>
      <c r="R430" s="94">
        <v>0.0</v>
      </c>
      <c r="S430" s="94">
        <v>0.0</v>
      </c>
      <c r="T430" s="94">
        <v>0.0</v>
      </c>
      <c r="U430" s="94">
        <v>0.0</v>
      </c>
      <c r="V430" s="94">
        <v>0.0</v>
      </c>
      <c r="W430" s="94">
        <v>0.0</v>
      </c>
      <c r="X430" s="94">
        <v>0.0</v>
      </c>
      <c r="Y430" s="94">
        <v>0.0</v>
      </c>
      <c r="Z430" s="94">
        <v>0.0</v>
      </c>
      <c r="AA430" s="94">
        <v>0.0</v>
      </c>
      <c r="AB430" s="94">
        <v>0.0</v>
      </c>
      <c r="AC430" s="94">
        <v>0.0</v>
      </c>
      <c r="AD430" s="94">
        <v>0.0</v>
      </c>
      <c r="AE430" s="94">
        <v>0.0</v>
      </c>
      <c r="AF430" s="94">
        <v>0.0</v>
      </c>
      <c r="AG430" s="94">
        <v>0.0</v>
      </c>
      <c r="AH430" s="94">
        <v>0.0</v>
      </c>
    </row>
    <row r="431" hidden="1">
      <c r="A431" s="83" t="s">
        <v>47</v>
      </c>
      <c r="B431" s="114"/>
      <c r="C431" s="94">
        <v>0.0</v>
      </c>
      <c r="D431" s="94">
        <v>0.0</v>
      </c>
      <c r="E431" s="96">
        <f t="shared" si="324"/>
        <v>0</v>
      </c>
      <c r="F431" s="94">
        <v>0.0</v>
      </c>
      <c r="G431" s="94">
        <v>0.0</v>
      </c>
      <c r="H431" s="94">
        <v>0.0</v>
      </c>
      <c r="I431" s="94">
        <v>0.0</v>
      </c>
      <c r="J431" s="95">
        <f t="shared" si="315"/>
        <v>0</v>
      </c>
      <c r="K431" s="87" t="str">
        <f t="shared" si="316"/>
        <v>#DIV/0!</v>
      </c>
      <c r="L431" s="94">
        <v>0.0</v>
      </c>
      <c r="M431" s="94">
        <v>0.0</v>
      </c>
      <c r="N431" s="85">
        <v>0.0</v>
      </c>
      <c r="O431" s="110">
        <f t="shared" si="323"/>
        <v>0</v>
      </c>
      <c r="P431" s="94">
        <v>0.0</v>
      </c>
      <c r="Q431" s="94">
        <v>0.0</v>
      </c>
      <c r="R431" s="94">
        <v>0.0</v>
      </c>
      <c r="S431" s="94">
        <v>0.0</v>
      </c>
      <c r="T431" s="94">
        <v>0.0</v>
      </c>
      <c r="U431" s="94">
        <v>0.0</v>
      </c>
      <c r="V431" s="94">
        <v>0.0</v>
      </c>
      <c r="W431" s="94">
        <v>0.0</v>
      </c>
      <c r="X431" s="94">
        <v>0.0</v>
      </c>
      <c r="Y431" s="94">
        <v>0.0</v>
      </c>
      <c r="Z431" s="94">
        <v>0.0</v>
      </c>
      <c r="AA431" s="94">
        <v>0.0</v>
      </c>
      <c r="AB431" s="94">
        <v>0.0</v>
      </c>
      <c r="AC431" s="94">
        <v>0.0</v>
      </c>
      <c r="AD431" s="94">
        <v>0.0</v>
      </c>
      <c r="AE431" s="94">
        <v>0.0</v>
      </c>
      <c r="AF431" s="94">
        <v>0.0</v>
      </c>
      <c r="AG431" s="94">
        <v>0.0</v>
      </c>
      <c r="AH431" s="94">
        <v>0.0</v>
      </c>
    </row>
    <row r="432" hidden="1">
      <c r="A432" s="89" t="s">
        <v>185</v>
      </c>
      <c r="B432" s="111"/>
      <c r="C432" s="111">
        <f>SUM(C426:C431)</f>
        <v>4</v>
      </c>
      <c r="D432" s="111">
        <f t="shared" ref="D432:E432" si="325">SUM(D426:D431)/4</f>
        <v>1</v>
      </c>
      <c r="E432" s="91">
        <f t="shared" si="325"/>
        <v>34</v>
      </c>
      <c r="F432" s="111">
        <f t="shared" ref="F432:G432" si="326">SUM(F426:F431)</f>
        <v>5</v>
      </c>
      <c r="G432" s="111">
        <f t="shared" si="326"/>
        <v>442</v>
      </c>
      <c r="H432" s="111"/>
      <c r="I432" s="111">
        <f>SUM(I426:I431)</f>
        <v>430</v>
      </c>
      <c r="J432" s="111">
        <f t="shared" si="315"/>
        <v>12</v>
      </c>
      <c r="K432" s="92">
        <f t="shared" si="316"/>
        <v>1.027906977</v>
      </c>
      <c r="L432" s="111">
        <f t="shared" ref="L432:M432" si="327">SUM(L426:L431)</f>
        <v>67</v>
      </c>
      <c r="M432" s="111">
        <f t="shared" si="327"/>
        <v>577</v>
      </c>
      <c r="N432" s="111"/>
      <c r="O432" s="112"/>
      <c r="P432" s="111">
        <f t="shared" ref="P432:AH432" si="328">SUM(P426:P431)</f>
        <v>18</v>
      </c>
      <c r="Q432" s="111">
        <f t="shared" si="328"/>
        <v>16</v>
      </c>
      <c r="R432" s="111">
        <f t="shared" si="328"/>
        <v>45</v>
      </c>
      <c r="S432" s="111">
        <f t="shared" si="328"/>
        <v>6</v>
      </c>
      <c r="T432" s="111">
        <f t="shared" si="328"/>
        <v>53</v>
      </c>
      <c r="U432" s="111">
        <f t="shared" si="328"/>
        <v>11</v>
      </c>
      <c r="V432" s="111">
        <f t="shared" si="328"/>
        <v>3</v>
      </c>
      <c r="W432" s="111">
        <f t="shared" si="328"/>
        <v>3</v>
      </c>
      <c r="X432" s="111">
        <f t="shared" si="328"/>
        <v>1</v>
      </c>
      <c r="Y432" s="111">
        <f t="shared" si="328"/>
        <v>0</v>
      </c>
      <c r="Z432" s="111">
        <f t="shared" si="328"/>
        <v>0</v>
      </c>
      <c r="AA432" s="111">
        <f t="shared" si="328"/>
        <v>0</v>
      </c>
      <c r="AB432" s="111">
        <f t="shared" si="328"/>
        <v>0</v>
      </c>
      <c r="AC432" s="111">
        <f t="shared" si="328"/>
        <v>7</v>
      </c>
      <c r="AD432" s="111">
        <f t="shared" si="328"/>
        <v>0</v>
      </c>
      <c r="AE432" s="111">
        <f t="shared" si="328"/>
        <v>0</v>
      </c>
      <c r="AF432" s="111">
        <f t="shared" si="328"/>
        <v>0</v>
      </c>
      <c r="AG432" s="111">
        <f t="shared" si="328"/>
        <v>0</v>
      </c>
      <c r="AH432" s="111">
        <f t="shared" si="328"/>
        <v>0</v>
      </c>
    </row>
    <row r="433">
      <c r="A433" s="104" t="s">
        <v>279</v>
      </c>
    </row>
    <row r="435" hidden="1">
      <c r="A435" s="105"/>
      <c r="F435" s="106" t="s">
        <v>251</v>
      </c>
      <c r="L435" s="107" t="s">
        <v>252</v>
      </c>
      <c r="N435" s="108" t="s">
        <v>253</v>
      </c>
    </row>
    <row r="436" hidden="1">
      <c r="A436" s="76" t="s">
        <v>148</v>
      </c>
      <c r="B436" s="76" t="s">
        <v>149</v>
      </c>
      <c r="C436" s="76" t="s">
        <v>150</v>
      </c>
      <c r="D436" s="76" t="s">
        <v>13</v>
      </c>
      <c r="E436" s="77" t="s">
        <v>151</v>
      </c>
      <c r="F436" s="78" t="s">
        <v>15</v>
      </c>
      <c r="G436" s="78" t="s">
        <v>152</v>
      </c>
      <c r="H436" s="78" t="s">
        <v>153</v>
      </c>
      <c r="I436" s="78" t="s">
        <v>154</v>
      </c>
      <c r="J436" s="78" t="s">
        <v>155</v>
      </c>
      <c r="K436" s="79" t="s">
        <v>156</v>
      </c>
      <c r="L436" s="80" t="s">
        <v>157</v>
      </c>
      <c r="M436" s="80" t="s">
        <v>158</v>
      </c>
      <c r="N436" s="81" t="s">
        <v>254</v>
      </c>
      <c r="O436" s="81" t="s">
        <v>151</v>
      </c>
      <c r="P436" s="81" t="s">
        <v>160</v>
      </c>
      <c r="Q436" s="81" t="s">
        <v>161</v>
      </c>
      <c r="R436" s="81" t="s">
        <v>162</v>
      </c>
      <c r="S436" s="81" t="s">
        <v>163</v>
      </c>
      <c r="T436" s="81" t="s">
        <v>164</v>
      </c>
      <c r="U436" s="81" t="s">
        <v>165</v>
      </c>
      <c r="V436" s="81" t="s">
        <v>166</v>
      </c>
      <c r="W436" s="81" t="s">
        <v>167</v>
      </c>
      <c r="X436" s="81" t="s">
        <v>168</v>
      </c>
      <c r="Y436" s="81" t="s">
        <v>169</v>
      </c>
      <c r="Z436" s="81" t="s">
        <v>170</v>
      </c>
      <c r="AA436" s="81" t="s">
        <v>171</v>
      </c>
      <c r="AB436" s="81" t="s">
        <v>172</v>
      </c>
      <c r="AC436" s="81" t="s">
        <v>173</v>
      </c>
      <c r="AD436" s="81" t="s">
        <v>174</v>
      </c>
      <c r="AE436" s="81" t="s">
        <v>175</v>
      </c>
      <c r="AF436" s="81" t="s">
        <v>176</v>
      </c>
      <c r="AG436" s="81" t="s">
        <v>177</v>
      </c>
      <c r="AH436" s="81" t="s">
        <v>178</v>
      </c>
    </row>
    <row r="437" hidden="1">
      <c r="A437" s="83" t="s">
        <v>51</v>
      </c>
      <c r="B437" s="84" t="s">
        <v>222</v>
      </c>
      <c r="C437" s="85">
        <v>1.0</v>
      </c>
      <c r="D437" s="94">
        <v>0.0</v>
      </c>
      <c r="E437" s="86">
        <v>12.0</v>
      </c>
      <c r="F437" s="94">
        <v>0.0</v>
      </c>
      <c r="G437" s="85">
        <v>40.0</v>
      </c>
      <c r="H437" s="94">
        <v>0.0</v>
      </c>
      <c r="I437" s="85">
        <v>38.0</v>
      </c>
      <c r="J437" s="95">
        <f t="shared" ref="J437:J450" si="329">SUM(G437-I437)</f>
        <v>2</v>
      </c>
      <c r="K437" s="87">
        <f t="shared" ref="K437:K450" si="330">SUM(G437/I437)</f>
        <v>1.052631579</v>
      </c>
      <c r="L437" s="85">
        <v>15.0</v>
      </c>
      <c r="M437" s="85">
        <v>52.0</v>
      </c>
      <c r="N437" s="85">
        <v>1.0</v>
      </c>
      <c r="O437" s="110">
        <f t="shared" ref="O437:O442" si="331">(E437*N437)</f>
        <v>12</v>
      </c>
      <c r="P437" s="85">
        <v>1.0</v>
      </c>
      <c r="Q437" s="85">
        <v>1.0</v>
      </c>
      <c r="R437" s="85">
        <v>1.0</v>
      </c>
      <c r="S437" s="85">
        <v>1.0</v>
      </c>
      <c r="T437" s="85">
        <v>5.0</v>
      </c>
      <c r="U437" s="85">
        <v>3.0</v>
      </c>
      <c r="V437" s="94">
        <v>0.0</v>
      </c>
      <c r="W437" s="94">
        <v>0.0</v>
      </c>
      <c r="X437" s="94">
        <v>0.0</v>
      </c>
      <c r="Y437" s="94">
        <v>0.0</v>
      </c>
      <c r="Z437" s="94">
        <v>0.0</v>
      </c>
      <c r="AA437" s="94">
        <v>0.0</v>
      </c>
      <c r="AB437" s="94">
        <v>0.0</v>
      </c>
      <c r="AC437" s="85">
        <v>1.0</v>
      </c>
      <c r="AD437" s="94">
        <v>0.0</v>
      </c>
      <c r="AE437" s="94">
        <v>0.0</v>
      </c>
      <c r="AF437" s="94">
        <v>0.0</v>
      </c>
      <c r="AG437" s="94">
        <v>0.0</v>
      </c>
      <c r="AH437" s="85">
        <v>1.0</v>
      </c>
    </row>
    <row r="438" hidden="1">
      <c r="A438" s="83" t="s">
        <v>51</v>
      </c>
      <c r="B438" s="84" t="s">
        <v>223</v>
      </c>
      <c r="C438" s="85">
        <v>1.0</v>
      </c>
      <c r="D438" s="94">
        <v>0.0</v>
      </c>
      <c r="E438" s="86">
        <v>12.0</v>
      </c>
      <c r="F438" s="94">
        <v>0.0</v>
      </c>
      <c r="G438" s="85">
        <v>30.0</v>
      </c>
      <c r="H438" s="85">
        <v>1.0</v>
      </c>
      <c r="I438" s="85">
        <v>42.0</v>
      </c>
      <c r="J438" s="95">
        <f t="shared" si="329"/>
        <v>-12</v>
      </c>
      <c r="K438" s="87">
        <f t="shared" si="330"/>
        <v>0.7142857143</v>
      </c>
      <c r="L438" s="85">
        <v>13.0</v>
      </c>
      <c r="M438" s="85">
        <v>32.0</v>
      </c>
      <c r="N438" s="85">
        <v>1.0</v>
      </c>
      <c r="O438" s="110">
        <f t="shared" si="331"/>
        <v>12</v>
      </c>
      <c r="P438" s="85">
        <v>2.0</v>
      </c>
      <c r="Q438" s="85">
        <v>1.0</v>
      </c>
      <c r="R438" s="85">
        <v>1.0</v>
      </c>
      <c r="S438" s="94">
        <v>0.0</v>
      </c>
      <c r="T438" s="85">
        <v>2.0</v>
      </c>
      <c r="U438" s="94">
        <v>0.0</v>
      </c>
      <c r="V438" s="94">
        <v>0.0</v>
      </c>
      <c r="W438" s="94">
        <v>0.0</v>
      </c>
      <c r="X438" s="94">
        <v>0.0</v>
      </c>
      <c r="Y438" s="94">
        <v>0.0</v>
      </c>
      <c r="Z438" s="94">
        <v>0.0</v>
      </c>
      <c r="AA438" s="94">
        <v>0.0</v>
      </c>
      <c r="AB438" s="94">
        <v>0.0</v>
      </c>
      <c r="AC438" s="94">
        <v>0.0</v>
      </c>
      <c r="AD438" s="94">
        <v>0.0</v>
      </c>
      <c r="AE438" s="94">
        <v>0.0</v>
      </c>
      <c r="AF438" s="94">
        <v>0.0</v>
      </c>
      <c r="AG438" s="94">
        <v>0.0</v>
      </c>
      <c r="AH438" s="94">
        <v>0.0</v>
      </c>
    </row>
    <row r="439" hidden="1">
      <c r="A439" s="83" t="s">
        <v>51</v>
      </c>
      <c r="B439" s="84" t="s">
        <v>224</v>
      </c>
      <c r="C439" s="85">
        <v>1.0</v>
      </c>
      <c r="D439" s="94">
        <v>0.0</v>
      </c>
      <c r="E439" s="86">
        <v>12.0</v>
      </c>
      <c r="F439" s="85">
        <v>2.0</v>
      </c>
      <c r="G439" s="85">
        <v>49.0</v>
      </c>
      <c r="H439" s="85">
        <v>1.0</v>
      </c>
      <c r="I439" s="85">
        <v>41.0</v>
      </c>
      <c r="J439" s="95">
        <f t="shared" si="329"/>
        <v>8</v>
      </c>
      <c r="K439" s="87">
        <f t="shared" si="330"/>
        <v>1.195121951</v>
      </c>
      <c r="L439" s="85">
        <v>14.0</v>
      </c>
      <c r="M439" s="85">
        <v>69.0</v>
      </c>
      <c r="N439" s="85">
        <v>1.0</v>
      </c>
      <c r="O439" s="110">
        <f t="shared" si="331"/>
        <v>12</v>
      </c>
      <c r="P439" s="85">
        <v>4.0</v>
      </c>
      <c r="Q439" s="85">
        <v>1.0</v>
      </c>
      <c r="R439" s="85">
        <v>1.0</v>
      </c>
      <c r="S439" s="85">
        <v>1.0</v>
      </c>
      <c r="T439" s="85">
        <v>10.0</v>
      </c>
      <c r="U439" s="85">
        <v>3.0</v>
      </c>
      <c r="V439" s="85">
        <v>1.0</v>
      </c>
      <c r="W439" s="85">
        <v>1.0</v>
      </c>
      <c r="X439" s="94">
        <v>0.0</v>
      </c>
      <c r="Y439" s="94">
        <v>0.0</v>
      </c>
      <c r="Z439" s="94">
        <v>0.0</v>
      </c>
      <c r="AA439" s="94">
        <v>0.0</v>
      </c>
      <c r="AB439" s="94">
        <v>0.0</v>
      </c>
      <c r="AC439" s="85">
        <v>2.0</v>
      </c>
      <c r="AD439" s="94">
        <v>0.0</v>
      </c>
      <c r="AE439" s="94">
        <v>0.0</v>
      </c>
      <c r="AF439" s="94">
        <v>0.0</v>
      </c>
      <c r="AG439" s="94">
        <v>0.0</v>
      </c>
      <c r="AH439" s="94">
        <v>0.0</v>
      </c>
    </row>
    <row r="440" hidden="1">
      <c r="A440" s="83" t="s">
        <v>51</v>
      </c>
      <c r="B440" s="84" t="s">
        <v>225</v>
      </c>
      <c r="C440" s="85">
        <v>1.0</v>
      </c>
      <c r="D440" s="94">
        <v>0.0</v>
      </c>
      <c r="E440" s="86">
        <v>12.0</v>
      </c>
      <c r="F440" s="94">
        <v>0.0</v>
      </c>
      <c r="G440" s="85">
        <v>35.0</v>
      </c>
      <c r="H440" s="94">
        <v>0.0</v>
      </c>
      <c r="I440" s="85">
        <v>42.0</v>
      </c>
      <c r="J440" s="95">
        <f t="shared" si="329"/>
        <v>-7</v>
      </c>
      <c r="K440" s="87">
        <f t="shared" si="330"/>
        <v>0.8333333333</v>
      </c>
      <c r="L440" s="85">
        <v>13.0</v>
      </c>
      <c r="M440" s="85">
        <v>42.0</v>
      </c>
      <c r="N440" s="85">
        <v>1.0</v>
      </c>
      <c r="O440" s="110">
        <f t="shared" si="331"/>
        <v>12</v>
      </c>
      <c r="P440" s="85">
        <v>3.0</v>
      </c>
      <c r="Q440" s="85">
        <v>3.0</v>
      </c>
      <c r="R440" s="94">
        <v>0.0</v>
      </c>
      <c r="S440" s="94">
        <v>0.0</v>
      </c>
      <c r="T440" s="85">
        <v>4.0</v>
      </c>
      <c r="U440" s="85">
        <v>1.0</v>
      </c>
      <c r="V440" s="94">
        <v>0.0</v>
      </c>
      <c r="W440" s="94">
        <v>0.0</v>
      </c>
      <c r="X440" s="94">
        <v>0.0</v>
      </c>
      <c r="Y440" s="94">
        <v>0.0</v>
      </c>
      <c r="Z440" s="94">
        <v>0.0</v>
      </c>
      <c r="AA440" s="94">
        <v>0.0</v>
      </c>
      <c r="AB440" s="94">
        <v>0.0</v>
      </c>
      <c r="AC440" s="94">
        <v>0.0</v>
      </c>
      <c r="AD440" s="94">
        <v>0.0</v>
      </c>
      <c r="AE440" s="94">
        <v>0.0</v>
      </c>
      <c r="AF440" s="94">
        <v>0.0</v>
      </c>
      <c r="AG440" s="94">
        <v>0.0</v>
      </c>
      <c r="AH440" s="94">
        <v>0.0</v>
      </c>
    </row>
    <row r="441" hidden="1">
      <c r="A441" s="83" t="s">
        <v>51</v>
      </c>
      <c r="B441" s="84" t="s">
        <v>226</v>
      </c>
      <c r="C441" s="94">
        <v>0.0</v>
      </c>
      <c r="D441" s="94">
        <v>0.0</v>
      </c>
      <c r="E441" s="96">
        <f t="shared" ref="E441:E442" si="332">SUM(L441*I441)/60</f>
        <v>0</v>
      </c>
      <c r="F441" s="94">
        <v>0.0</v>
      </c>
      <c r="G441" s="94">
        <v>0.0</v>
      </c>
      <c r="H441" s="94">
        <v>0.0</v>
      </c>
      <c r="I441" s="94">
        <v>0.0</v>
      </c>
      <c r="J441" s="95">
        <f t="shared" si="329"/>
        <v>0</v>
      </c>
      <c r="K441" s="87" t="str">
        <f t="shared" si="330"/>
        <v>#DIV/0!</v>
      </c>
      <c r="L441" s="94">
        <v>0.0</v>
      </c>
      <c r="M441" s="94">
        <v>0.0</v>
      </c>
      <c r="N441" s="85">
        <v>0.0</v>
      </c>
      <c r="O441" s="110">
        <f t="shared" si="331"/>
        <v>0</v>
      </c>
      <c r="P441" s="94">
        <v>0.0</v>
      </c>
      <c r="Q441" s="94">
        <v>0.0</v>
      </c>
      <c r="R441" s="94">
        <v>0.0</v>
      </c>
      <c r="S441" s="94">
        <v>0.0</v>
      </c>
      <c r="T441" s="94">
        <v>0.0</v>
      </c>
      <c r="U441" s="94">
        <v>0.0</v>
      </c>
      <c r="V441" s="94">
        <v>0.0</v>
      </c>
      <c r="W441" s="94">
        <v>0.0</v>
      </c>
      <c r="X441" s="94">
        <v>0.0</v>
      </c>
      <c r="Y441" s="94">
        <v>0.0</v>
      </c>
      <c r="Z441" s="94">
        <v>0.0</v>
      </c>
      <c r="AA441" s="94">
        <v>0.0</v>
      </c>
      <c r="AB441" s="94">
        <v>0.0</v>
      </c>
      <c r="AC441" s="94">
        <v>0.0</v>
      </c>
      <c r="AD441" s="94">
        <v>0.0</v>
      </c>
      <c r="AE441" s="94">
        <v>0.0</v>
      </c>
      <c r="AF441" s="94">
        <v>0.0</v>
      </c>
      <c r="AG441" s="94">
        <v>0.0</v>
      </c>
      <c r="AH441" s="94">
        <v>0.0</v>
      </c>
    </row>
    <row r="442" hidden="1">
      <c r="A442" s="83" t="s">
        <v>51</v>
      </c>
      <c r="B442" s="93"/>
      <c r="C442" s="94">
        <v>0.0</v>
      </c>
      <c r="D442" s="94">
        <v>0.0</v>
      </c>
      <c r="E442" s="96">
        <f t="shared" si="332"/>
        <v>0</v>
      </c>
      <c r="F442" s="94">
        <v>0.0</v>
      </c>
      <c r="G442" s="94">
        <v>0.0</v>
      </c>
      <c r="H442" s="94">
        <v>0.0</v>
      </c>
      <c r="I442" s="94">
        <v>0.0</v>
      </c>
      <c r="J442" s="95">
        <f t="shared" si="329"/>
        <v>0</v>
      </c>
      <c r="K442" s="87" t="str">
        <f t="shared" si="330"/>
        <v>#DIV/0!</v>
      </c>
      <c r="L442" s="94">
        <v>0.0</v>
      </c>
      <c r="M442" s="94">
        <v>0.0</v>
      </c>
      <c r="N442" s="85">
        <v>0.0</v>
      </c>
      <c r="O442" s="110">
        <f t="shared" si="331"/>
        <v>0</v>
      </c>
      <c r="P442" s="94">
        <v>0.0</v>
      </c>
      <c r="Q442" s="94">
        <v>0.0</v>
      </c>
      <c r="R442" s="94">
        <v>0.0</v>
      </c>
      <c r="S442" s="94">
        <v>0.0</v>
      </c>
      <c r="T442" s="94">
        <v>0.0</v>
      </c>
      <c r="U442" s="94">
        <v>0.0</v>
      </c>
      <c r="V442" s="94">
        <v>0.0</v>
      </c>
      <c r="W442" s="94">
        <v>0.0</v>
      </c>
      <c r="X442" s="94">
        <v>0.0</v>
      </c>
      <c r="Y442" s="94">
        <v>0.0</v>
      </c>
      <c r="Z442" s="94">
        <v>0.0</v>
      </c>
      <c r="AA442" s="94">
        <v>0.0</v>
      </c>
      <c r="AB442" s="94">
        <v>0.0</v>
      </c>
      <c r="AC442" s="94">
        <v>0.0</v>
      </c>
      <c r="AD442" s="94">
        <v>0.0</v>
      </c>
      <c r="AE442" s="94">
        <v>0.0</v>
      </c>
      <c r="AF442" s="94">
        <v>0.0</v>
      </c>
      <c r="AG442" s="94">
        <v>0.0</v>
      </c>
      <c r="AH442" s="94">
        <v>0.0</v>
      </c>
    </row>
    <row r="443" hidden="1">
      <c r="A443" s="89"/>
      <c r="B443" s="111"/>
      <c r="C443" s="111">
        <f t="shared" ref="C443:D443" si="333">SUM(C437:C442)/4</f>
        <v>1</v>
      </c>
      <c r="D443" s="111">
        <f t="shared" si="333"/>
        <v>0</v>
      </c>
      <c r="E443" s="91">
        <f t="shared" ref="E443:G443" si="334">SUM(E437:E442)</f>
        <v>48</v>
      </c>
      <c r="F443" s="111">
        <f t="shared" si="334"/>
        <v>2</v>
      </c>
      <c r="G443" s="111">
        <f t="shared" si="334"/>
        <v>154</v>
      </c>
      <c r="H443" s="111"/>
      <c r="I443" s="111">
        <f>SUM(I437:I442)</f>
        <v>163</v>
      </c>
      <c r="J443" s="111">
        <f t="shared" si="329"/>
        <v>-9</v>
      </c>
      <c r="K443" s="92">
        <f t="shared" si="330"/>
        <v>0.9447852761</v>
      </c>
      <c r="L443" s="111">
        <f t="shared" ref="L443:M443" si="335">SUM(L437:L442)</f>
        <v>55</v>
      </c>
      <c r="M443" s="111">
        <f t="shared" si="335"/>
        <v>195</v>
      </c>
      <c r="N443" s="111"/>
      <c r="O443" s="112"/>
      <c r="P443" s="111">
        <f t="shared" ref="P443:AH443" si="336">SUM(P437:P442)</f>
        <v>10</v>
      </c>
      <c r="Q443" s="111">
        <f t="shared" si="336"/>
        <v>6</v>
      </c>
      <c r="R443" s="111">
        <f t="shared" si="336"/>
        <v>3</v>
      </c>
      <c r="S443" s="111">
        <f t="shared" si="336"/>
        <v>2</v>
      </c>
      <c r="T443" s="111">
        <f t="shared" si="336"/>
        <v>21</v>
      </c>
      <c r="U443" s="111">
        <f t="shared" si="336"/>
        <v>7</v>
      </c>
      <c r="V443" s="111">
        <f t="shared" si="336"/>
        <v>1</v>
      </c>
      <c r="W443" s="111">
        <f t="shared" si="336"/>
        <v>1</v>
      </c>
      <c r="X443" s="111">
        <f t="shared" si="336"/>
        <v>0</v>
      </c>
      <c r="Y443" s="111">
        <f t="shared" si="336"/>
        <v>0</v>
      </c>
      <c r="Z443" s="111">
        <f t="shared" si="336"/>
        <v>0</v>
      </c>
      <c r="AA443" s="111">
        <f t="shared" si="336"/>
        <v>0</v>
      </c>
      <c r="AB443" s="111">
        <f t="shared" si="336"/>
        <v>0</v>
      </c>
      <c r="AC443" s="111">
        <f t="shared" si="336"/>
        <v>3</v>
      </c>
      <c r="AD443" s="111">
        <f t="shared" si="336"/>
        <v>0</v>
      </c>
      <c r="AE443" s="111">
        <f t="shared" si="336"/>
        <v>0</v>
      </c>
      <c r="AF443" s="111">
        <f t="shared" si="336"/>
        <v>0</v>
      </c>
      <c r="AG443" s="111">
        <f t="shared" si="336"/>
        <v>0</v>
      </c>
      <c r="AH443" s="111">
        <f t="shared" si="336"/>
        <v>1</v>
      </c>
    </row>
    <row r="444" hidden="1">
      <c r="A444" s="83" t="s">
        <v>47</v>
      </c>
      <c r="B444" s="84" t="s">
        <v>237</v>
      </c>
      <c r="C444" s="85">
        <v>1.0</v>
      </c>
      <c r="D444" s="85">
        <v>1.0</v>
      </c>
      <c r="E444" s="86">
        <v>12.0</v>
      </c>
      <c r="F444" s="94">
        <v>0.0</v>
      </c>
      <c r="G444" s="85">
        <v>47.0</v>
      </c>
      <c r="H444" s="94">
        <v>0.0</v>
      </c>
      <c r="I444" s="85">
        <v>44.0</v>
      </c>
      <c r="J444" s="95">
        <f t="shared" si="329"/>
        <v>3</v>
      </c>
      <c r="K444" s="87">
        <f t="shared" si="330"/>
        <v>1.068181818</v>
      </c>
      <c r="L444" s="85">
        <v>13.0</v>
      </c>
      <c r="M444" s="85">
        <v>66.0</v>
      </c>
      <c r="N444" s="85">
        <v>1.0</v>
      </c>
      <c r="O444" s="110">
        <f t="shared" ref="O444:O449" si="337">(E444*N444)</f>
        <v>12</v>
      </c>
      <c r="P444" s="85">
        <v>5.0</v>
      </c>
      <c r="Q444" s="85">
        <v>1.0</v>
      </c>
      <c r="R444" s="85">
        <v>5.0</v>
      </c>
      <c r="S444" s="85">
        <v>1.0</v>
      </c>
      <c r="T444" s="85">
        <v>7.0</v>
      </c>
      <c r="U444" s="94">
        <v>0.0</v>
      </c>
      <c r="V444" s="94">
        <v>0.0</v>
      </c>
      <c r="W444" s="94">
        <v>0.0</v>
      </c>
      <c r="X444" s="94">
        <v>0.0</v>
      </c>
      <c r="Y444" s="94">
        <v>0.0</v>
      </c>
      <c r="Z444" s="94">
        <v>0.0</v>
      </c>
      <c r="AA444" s="94">
        <v>0.0</v>
      </c>
      <c r="AB444" s="94">
        <v>0.0</v>
      </c>
      <c r="AC444" s="85">
        <v>2.0</v>
      </c>
      <c r="AD444" s="94">
        <v>0.0</v>
      </c>
      <c r="AE444" s="94">
        <v>0.0</v>
      </c>
      <c r="AF444" s="94">
        <v>0.0</v>
      </c>
      <c r="AG444" s="94">
        <v>0.0</v>
      </c>
      <c r="AH444" s="94">
        <v>0.0</v>
      </c>
    </row>
    <row r="445" hidden="1">
      <c r="A445" s="83" t="s">
        <v>47</v>
      </c>
      <c r="B445" s="84" t="s">
        <v>238</v>
      </c>
      <c r="C445" s="85">
        <v>1.0</v>
      </c>
      <c r="D445" s="85">
        <v>1.0</v>
      </c>
      <c r="E445" s="86">
        <v>12.0</v>
      </c>
      <c r="F445" s="85">
        <v>5.0</v>
      </c>
      <c r="G445" s="85">
        <v>20.0</v>
      </c>
      <c r="H445" s="94">
        <v>0.0</v>
      </c>
      <c r="I445" s="85">
        <v>30.0</v>
      </c>
      <c r="J445" s="95">
        <f t="shared" si="329"/>
        <v>-10</v>
      </c>
      <c r="K445" s="87">
        <f t="shared" si="330"/>
        <v>0.6666666667</v>
      </c>
      <c r="L445" s="85">
        <v>20.0</v>
      </c>
      <c r="M445" s="85">
        <v>31.0</v>
      </c>
      <c r="N445" s="85">
        <v>1.0</v>
      </c>
      <c r="O445" s="110">
        <f t="shared" si="337"/>
        <v>12</v>
      </c>
      <c r="P445" s="85">
        <v>2.0</v>
      </c>
      <c r="Q445" s="94">
        <v>0.0</v>
      </c>
      <c r="R445" s="85">
        <v>2.0</v>
      </c>
      <c r="S445" s="94">
        <v>0.0</v>
      </c>
      <c r="T445" s="85">
        <v>2.0</v>
      </c>
      <c r="U445" s="94">
        <v>0.0</v>
      </c>
      <c r="V445" s="94">
        <v>0.0</v>
      </c>
      <c r="W445" s="94">
        <v>0.0</v>
      </c>
      <c r="X445" s="94">
        <v>0.0</v>
      </c>
      <c r="Y445" s="94">
        <v>0.0</v>
      </c>
      <c r="Z445" s="94">
        <v>0.0</v>
      </c>
      <c r="AA445" s="94">
        <v>0.0</v>
      </c>
      <c r="AB445" s="94">
        <v>0.0</v>
      </c>
      <c r="AC445" s="94">
        <v>0.0</v>
      </c>
      <c r="AD445" s="94">
        <v>0.0</v>
      </c>
      <c r="AE445" s="94">
        <v>0.0</v>
      </c>
      <c r="AF445" s="94">
        <v>0.0</v>
      </c>
      <c r="AG445" s="94">
        <v>0.0</v>
      </c>
      <c r="AH445" s="94">
        <v>0.0</v>
      </c>
    </row>
    <row r="446" hidden="1">
      <c r="A446" s="83" t="s">
        <v>47</v>
      </c>
      <c r="B446" s="84" t="s">
        <v>239</v>
      </c>
      <c r="C446" s="85">
        <v>1.0</v>
      </c>
      <c r="D446" s="85">
        <v>1.0</v>
      </c>
      <c r="E446" s="86">
        <v>12.0</v>
      </c>
      <c r="F446" s="94">
        <v>0.0</v>
      </c>
      <c r="G446" s="85">
        <v>43.0</v>
      </c>
      <c r="H446" s="94">
        <v>0.0</v>
      </c>
      <c r="I446" s="85">
        <v>41.0</v>
      </c>
      <c r="J446" s="95">
        <f t="shared" si="329"/>
        <v>2</v>
      </c>
      <c r="K446" s="87">
        <f t="shared" si="330"/>
        <v>1.048780488</v>
      </c>
      <c r="L446" s="85">
        <v>14.0</v>
      </c>
      <c r="M446" s="85">
        <v>60.0</v>
      </c>
      <c r="N446" s="85">
        <v>1.0</v>
      </c>
      <c r="O446" s="110">
        <f t="shared" si="337"/>
        <v>12</v>
      </c>
      <c r="P446" s="94">
        <v>0.0</v>
      </c>
      <c r="Q446" s="94">
        <v>0.0</v>
      </c>
      <c r="R446" s="85">
        <v>9.0</v>
      </c>
      <c r="S446" s="94">
        <v>0.0</v>
      </c>
      <c r="T446" s="85">
        <v>5.0</v>
      </c>
      <c r="U446" s="85">
        <v>1.0</v>
      </c>
      <c r="V446" s="85">
        <v>1.0</v>
      </c>
      <c r="W446" s="85">
        <v>1.0</v>
      </c>
      <c r="X446" s="85">
        <v>1.0</v>
      </c>
      <c r="Y446" s="85">
        <v>1.0</v>
      </c>
      <c r="Z446" s="85">
        <v>1.0</v>
      </c>
      <c r="AA446" s="94">
        <v>0.0</v>
      </c>
      <c r="AB446" s="94">
        <v>0.0</v>
      </c>
      <c r="AC446" s="85">
        <v>1.0</v>
      </c>
      <c r="AD446" s="94">
        <v>0.0</v>
      </c>
      <c r="AE446" s="94">
        <v>0.0</v>
      </c>
      <c r="AF446" s="94">
        <v>0.0</v>
      </c>
      <c r="AG446" s="85">
        <v>2.0</v>
      </c>
      <c r="AH446" s="94">
        <v>0.0</v>
      </c>
    </row>
    <row r="447" hidden="1">
      <c r="A447" s="83" t="s">
        <v>47</v>
      </c>
      <c r="B447" s="84" t="s">
        <v>240</v>
      </c>
      <c r="C447" s="85">
        <v>1.0</v>
      </c>
      <c r="D447" s="85">
        <v>1.0</v>
      </c>
      <c r="E447" s="86">
        <v>12.0</v>
      </c>
      <c r="F447" s="94">
        <v>0.0</v>
      </c>
      <c r="G447" s="85">
        <v>38.0</v>
      </c>
      <c r="H447" s="94">
        <v>0.0</v>
      </c>
      <c r="I447" s="85">
        <v>45.0</v>
      </c>
      <c r="J447" s="95">
        <f t="shared" si="329"/>
        <v>-7</v>
      </c>
      <c r="K447" s="87">
        <f t="shared" si="330"/>
        <v>0.8444444444</v>
      </c>
      <c r="L447" s="85">
        <v>12.0</v>
      </c>
      <c r="M447" s="85">
        <v>58.0</v>
      </c>
      <c r="N447" s="85">
        <v>1.0</v>
      </c>
      <c r="O447" s="110">
        <f t="shared" si="337"/>
        <v>12</v>
      </c>
      <c r="P447" s="94">
        <v>0.0</v>
      </c>
      <c r="Q447" s="85">
        <v>2.0</v>
      </c>
      <c r="R447" s="85">
        <v>5.0</v>
      </c>
      <c r="S447" s="85">
        <v>2.0</v>
      </c>
      <c r="T447" s="85">
        <v>7.0</v>
      </c>
      <c r="U447" s="85">
        <v>4.0</v>
      </c>
      <c r="V447" s="85">
        <v>2.0</v>
      </c>
      <c r="W447" s="85">
        <v>1.0</v>
      </c>
      <c r="X447" s="94">
        <v>0.0</v>
      </c>
      <c r="Y447" s="94">
        <v>0.0</v>
      </c>
      <c r="Z447" s="94">
        <v>0.0</v>
      </c>
      <c r="AA447" s="94">
        <v>0.0</v>
      </c>
      <c r="AB447" s="94">
        <v>0.0</v>
      </c>
      <c r="AC447" s="85">
        <v>1.0</v>
      </c>
      <c r="AD447" s="94">
        <v>0.0</v>
      </c>
      <c r="AE447" s="94">
        <v>0.0</v>
      </c>
      <c r="AF447" s="94">
        <v>0.0</v>
      </c>
      <c r="AG447" s="85">
        <v>1.0</v>
      </c>
      <c r="AH447" s="94">
        <v>0.0</v>
      </c>
    </row>
    <row r="448" hidden="1">
      <c r="A448" s="83" t="s">
        <v>47</v>
      </c>
      <c r="B448" s="84" t="s">
        <v>241</v>
      </c>
      <c r="C448" s="94">
        <v>0.0</v>
      </c>
      <c r="D448" s="94">
        <v>0.0</v>
      </c>
      <c r="E448" s="96">
        <f t="shared" ref="E448:E449" si="338">SUM(L448*I448)/60</f>
        <v>0</v>
      </c>
      <c r="F448" s="94">
        <v>0.0</v>
      </c>
      <c r="G448" s="94">
        <v>0.0</v>
      </c>
      <c r="H448" s="94">
        <v>0.0</v>
      </c>
      <c r="I448" s="94">
        <v>0.0</v>
      </c>
      <c r="J448" s="95">
        <f t="shared" si="329"/>
        <v>0</v>
      </c>
      <c r="K448" s="87" t="str">
        <f t="shared" si="330"/>
        <v>#DIV/0!</v>
      </c>
      <c r="L448" s="94">
        <v>0.0</v>
      </c>
      <c r="M448" s="94">
        <v>0.0</v>
      </c>
      <c r="N448" s="85">
        <v>0.0</v>
      </c>
      <c r="O448" s="110">
        <f t="shared" si="337"/>
        <v>0</v>
      </c>
      <c r="P448" s="94">
        <v>0.0</v>
      </c>
      <c r="Q448" s="94">
        <v>0.0</v>
      </c>
      <c r="R448" s="94">
        <v>0.0</v>
      </c>
      <c r="S448" s="94">
        <v>0.0</v>
      </c>
      <c r="T448" s="94">
        <v>0.0</v>
      </c>
      <c r="U448" s="94">
        <v>0.0</v>
      </c>
      <c r="V448" s="94">
        <v>0.0</v>
      </c>
      <c r="W448" s="94">
        <v>0.0</v>
      </c>
      <c r="X448" s="94">
        <v>0.0</v>
      </c>
      <c r="Y448" s="94">
        <v>0.0</v>
      </c>
      <c r="Z448" s="94">
        <v>0.0</v>
      </c>
      <c r="AA448" s="94">
        <v>0.0</v>
      </c>
      <c r="AB448" s="94">
        <v>0.0</v>
      </c>
      <c r="AC448" s="94">
        <v>0.0</v>
      </c>
      <c r="AD448" s="94">
        <v>0.0</v>
      </c>
      <c r="AE448" s="94">
        <v>0.0</v>
      </c>
      <c r="AF448" s="94">
        <v>0.0</v>
      </c>
      <c r="AG448" s="94">
        <v>0.0</v>
      </c>
      <c r="AH448" s="94">
        <v>0.0</v>
      </c>
    </row>
    <row r="449" hidden="1">
      <c r="A449" s="83" t="s">
        <v>47</v>
      </c>
      <c r="B449" s="114"/>
      <c r="C449" s="94">
        <v>0.0</v>
      </c>
      <c r="D449" s="94">
        <v>0.0</v>
      </c>
      <c r="E449" s="96">
        <f t="shared" si="338"/>
        <v>0</v>
      </c>
      <c r="F449" s="94">
        <v>0.0</v>
      </c>
      <c r="G449" s="94">
        <v>0.0</v>
      </c>
      <c r="H449" s="94">
        <v>0.0</v>
      </c>
      <c r="I449" s="94">
        <v>0.0</v>
      </c>
      <c r="J449" s="95">
        <f t="shared" si="329"/>
        <v>0</v>
      </c>
      <c r="K449" s="87" t="str">
        <f t="shared" si="330"/>
        <v>#DIV/0!</v>
      </c>
      <c r="L449" s="94">
        <v>0.0</v>
      </c>
      <c r="M449" s="94">
        <v>0.0</v>
      </c>
      <c r="N449" s="85">
        <v>0.0</v>
      </c>
      <c r="O449" s="110">
        <f t="shared" si="337"/>
        <v>0</v>
      </c>
      <c r="P449" s="94">
        <v>0.0</v>
      </c>
      <c r="Q449" s="94">
        <v>0.0</v>
      </c>
      <c r="R449" s="94">
        <v>0.0</v>
      </c>
      <c r="S449" s="94">
        <v>0.0</v>
      </c>
      <c r="T449" s="94">
        <v>0.0</v>
      </c>
      <c r="U449" s="94">
        <v>0.0</v>
      </c>
      <c r="V449" s="94">
        <v>0.0</v>
      </c>
      <c r="W449" s="94">
        <v>0.0</v>
      </c>
      <c r="X449" s="94">
        <v>0.0</v>
      </c>
      <c r="Y449" s="94">
        <v>0.0</v>
      </c>
      <c r="Z449" s="94">
        <v>0.0</v>
      </c>
      <c r="AA449" s="94">
        <v>0.0</v>
      </c>
      <c r="AB449" s="94">
        <v>0.0</v>
      </c>
      <c r="AC449" s="94">
        <v>0.0</v>
      </c>
      <c r="AD449" s="94">
        <v>0.0</v>
      </c>
      <c r="AE449" s="94">
        <v>0.0</v>
      </c>
      <c r="AF449" s="94">
        <v>0.0</v>
      </c>
      <c r="AG449" s="94">
        <v>0.0</v>
      </c>
      <c r="AH449" s="94">
        <v>0.0</v>
      </c>
    </row>
    <row r="450" hidden="1">
      <c r="A450" s="89" t="s">
        <v>185</v>
      </c>
      <c r="B450" s="111"/>
      <c r="C450" s="111">
        <f>SUM(C444:C449)</f>
        <v>4</v>
      </c>
      <c r="D450" s="111">
        <f t="shared" ref="D450:E450" si="339">SUM(D444:D449)/4</f>
        <v>1</v>
      </c>
      <c r="E450" s="91">
        <f t="shared" si="339"/>
        <v>12</v>
      </c>
      <c r="F450" s="111">
        <f t="shared" ref="F450:G450" si="340">SUM(F444:F449)</f>
        <v>5</v>
      </c>
      <c r="G450" s="111">
        <f t="shared" si="340"/>
        <v>148</v>
      </c>
      <c r="H450" s="111"/>
      <c r="I450" s="111">
        <f>SUM(I444:I449)</f>
        <v>160</v>
      </c>
      <c r="J450" s="111">
        <f t="shared" si="329"/>
        <v>-12</v>
      </c>
      <c r="K450" s="92">
        <f t="shared" si="330"/>
        <v>0.925</v>
      </c>
      <c r="L450" s="111">
        <f t="shared" ref="L450:M450" si="341">SUM(L444:L449)</f>
        <v>59</v>
      </c>
      <c r="M450" s="111">
        <f t="shared" si="341"/>
        <v>215</v>
      </c>
      <c r="N450" s="111"/>
      <c r="O450" s="112"/>
      <c r="P450" s="111">
        <f t="shared" ref="P450:AH450" si="342">SUM(P444:P449)</f>
        <v>7</v>
      </c>
      <c r="Q450" s="111">
        <f t="shared" si="342"/>
        <v>3</v>
      </c>
      <c r="R450" s="111">
        <f t="shared" si="342"/>
        <v>21</v>
      </c>
      <c r="S450" s="111">
        <f t="shared" si="342"/>
        <v>3</v>
      </c>
      <c r="T450" s="111">
        <f t="shared" si="342"/>
        <v>21</v>
      </c>
      <c r="U450" s="111">
        <f t="shared" si="342"/>
        <v>5</v>
      </c>
      <c r="V450" s="111">
        <f t="shared" si="342"/>
        <v>3</v>
      </c>
      <c r="W450" s="111">
        <f t="shared" si="342"/>
        <v>2</v>
      </c>
      <c r="X450" s="111">
        <f t="shared" si="342"/>
        <v>1</v>
      </c>
      <c r="Y450" s="111">
        <f t="shared" si="342"/>
        <v>1</v>
      </c>
      <c r="Z450" s="111">
        <f t="shared" si="342"/>
        <v>1</v>
      </c>
      <c r="AA450" s="111">
        <f t="shared" si="342"/>
        <v>0</v>
      </c>
      <c r="AB450" s="111">
        <f t="shared" si="342"/>
        <v>0</v>
      </c>
      <c r="AC450" s="111">
        <f t="shared" si="342"/>
        <v>4</v>
      </c>
      <c r="AD450" s="111">
        <f t="shared" si="342"/>
        <v>0</v>
      </c>
      <c r="AE450" s="111">
        <f t="shared" si="342"/>
        <v>0</v>
      </c>
      <c r="AF450" s="111">
        <f t="shared" si="342"/>
        <v>0</v>
      </c>
      <c r="AG450" s="111">
        <f t="shared" si="342"/>
        <v>3</v>
      </c>
      <c r="AH450" s="111">
        <f t="shared" si="342"/>
        <v>0</v>
      </c>
    </row>
    <row r="451">
      <c r="A451" s="104" t="s">
        <v>280</v>
      </c>
    </row>
    <row r="453" hidden="1">
      <c r="A453" s="105"/>
      <c r="F453" s="106" t="s">
        <v>251</v>
      </c>
      <c r="L453" s="107" t="s">
        <v>252</v>
      </c>
      <c r="N453" s="108" t="s">
        <v>253</v>
      </c>
    </row>
    <row r="454" hidden="1">
      <c r="A454" s="76" t="s">
        <v>148</v>
      </c>
      <c r="B454" s="76" t="s">
        <v>149</v>
      </c>
      <c r="C454" s="76" t="s">
        <v>150</v>
      </c>
      <c r="D454" s="76" t="s">
        <v>13</v>
      </c>
      <c r="E454" s="77" t="s">
        <v>151</v>
      </c>
      <c r="F454" s="78" t="s">
        <v>15</v>
      </c>
      <c r="G454" s="78" t="s">
        <v>152</v>
      </c>
      <c r="H454" s="78" t="s">
        <v>153</v>
      </c>
      <c r="I454" s="78" t="s">
        <v>154</v>
      </c>
      <c r="J454" s="78" t="s">
        <v>155</v>
      </c>
      <c r="K454" s="79" t="s">
        <v>156</v>
      </c>
      <c r="L454" s="80" t="s">
        <v>157</v>
      </c>
      <c r="M454" s="80" t="s">
        <v>158</v>
      </c>
      <c r="N454" s="81" t="s">
        <v>254</v>
      </c>
      <c r="O454" s="81" t="s">
        <v>151</v>
      </c>
      <c r="P454" s="81" t="s">
        <v>160</v>
      </c>
      <c r="Q454" s="81" t="s">
        <v>161</v>
      </c>
      <c r="R454" s="81" t="s">
        <v>162</v>
      </c>
      <c r="S454" s="81" t="s">
        <v>163</v>
      </c>
      <c r="T454" s="81" t="s">
        <v>164</v>
      </c>
      <c r="U454" s="81" t="s">
        <v>165</v>
      </c>
      <c r="V454" s="81" t="s">
        <v>166</v>
      </c>
      <c r="W454" s="81" t="s">
        <v>167</v>
      </c>
      <c r="X454" s="81" t="s">
        <v>168</v>
      </c>
      <c r="Y454" s="81" t="s">
        <v>169</v>
      </c>
      <c r="Z454" s="81" t="s">
        <v>170</v>
      </c>
      <c r="AA454" s="81" t="s">
        <v>171</v>
      </c>
      <c r="AB454" s="81" t="s">
        <v>172</v>
      </c>
      <c r="AC454" s="81" t="s">
        <v>173</v>
      </c>
      <c r="AD454" s="81" t="s">
        <v>174</v>
      </c>
      <c r="AE454" s="81" t="s">
        <v>175</v>
      </c>
      <c r="AF454" s="81" t="s">
        <v>176</v>
      </c>
      <c r="AG454" s="81" t="s">
        <v>177</v>
      </c>
      <c r="AH454" s="81" t="s">
        <v>178</v>
      </c>
    </row>
    <row r="455" hidden="1">
      <c r="A455" s="83" t="s">
        <v>28</v>
      </c>
      <c r="B455" s="84" t="s">
        <v>179</v>
      </c>
      <c r="C455" s="94">
        <v>0.0</v>
      </c>
      <c r="D455" s="94">
        <v>0.0</v>
      </c>
      <c r="E455" s="96">
        <f t="shared" ref="E455:E460" si="343">SUM(L455*I455)/60</f>
        <v>0</v>
      </c>
      <c r="F455" s="94">
        <v>0.0</v>
      </c>
      <c r="G455" s="94">
        <v>0.0</v>
      </c>
      <c r="H455" s="94">
        <v>0.0</v>
      </c>
      <c r="I455" s="94">
        <v>0.0</v>
      </c>
      <c r="J455" s="95">
        <f t="shared" ref="J455:J468" si="344">SUM(G455-I455)</f>
        <v>0</v>
      </c>
      <c r="K455" s="87" t="str">
        <f t="shared" ref="K455:K468" si="345">SUM(G455/I455)</f>
        <v>#DIV/0!</v>
      </c>
      <c r="L455" s="94">
        <v>0.0</v>
      </c>
      <c r="M455" s="94">
        <v>0.0</v>
      </c>
      <c r="N455" s="94" t="s">
        <v>255</v>
      </c>
      <c r="O455" s="110" t="str">
        <f t="shared" ref="O455:O460" si="346">(E455*N455)</f>
        <v>#VALUE!</v>
      </c>
      <c r="P455" s="94">
        <v>0.0</v>
      </c>
      <c r="Q455" s="94">
        <v>0.0</v>
      </c>
      <c r="R455" s="94">
        <v>0.0</v>
      </c>
      <c r="S455" s="94">
        <v>0.0</v>
      </c>
      <c r="T455" s="94">
        <v>0.0</v>
      </c>
      <c r="U455" s="94">
        <v>0.0</v>
      </c>
      <c r="V455" s="94">
        <v>0.0</v>
      </c>
      <c r="W455" s="94">
        <v>0.0</v>
      </c>
      <c r="X455" s="94">
        <v>0.0</v>
      </c>
      <c r="Y455" s="94">
        <v>0.0</v>
      </c>
      <c r="Z455" s="94">
        <v>0.0</v>
      </c>
      <c r="AA455" s="94">
        <v>0.0</v>
      </c>
      <c r="AB455" s="94">
        <v>0.0</v>
      </c>
      <c r="AC455" s="94">
        <v>0.0</v>
      </c>
      <c r="AD455" s="94">
        <v>0.0</v>
      </c>
      <c r="AE455" s="94">
        <v>0.0</v>
      </c>
      <c r="AF455" s="94">
        <v>0.0</v>
      </c>
      <c r="AG455" s="94">
        <v>0.0</v>
      </c>
      <c r="AH455" s="94">
        <v>0.0</v>
      </c>
    </row>
    <row r="456" hidden="1">
      <c r="A456" s="83" t="s">
        <v>28</v>
      </c>
      <c r="B456" s="84" t="s">
        <v>180</v>
      </c>
      <c r="C456" s="94">
        <v>0.0</v>
      </c>
      <c r="D456" s="94">
        <v>0.0</v>
      </c>
      <c r="E456" s="96">
        <f t="shared" si="343"/>
        <v>0</v>
      </c>
      <c r="F456" s="94">
        <v>0.0</v>
      </c>
      <c r="G456" s="94">
        <v>0.0</v>
      </c>
      <c r="H456" s="94">
        <v>0.0</v>
      </c>
      <c r="I456" s="94">
        <v>0.0</v>
      </c>
      <c r="J456" s="95">
        <f t="shared" si="344"/>
        <v>0</v>
      </c>
      <c r="K456" s="87" t="str">
        <f t="shared" si="345"/>
        <v>#DIV/0!</v>
      </c>
      <c r="L456" s="94">
        <v>0.0</v>
      </c>
      <c r="M456" s="94">
        <v>0.0</v>
      </c>
      <c r="N456" s="94" t="s">
        <v>255</v>
      </c>
      <c r="O456" s="110" t="str">
        <f t="shared" si="346"/>
        <v>#VALUE!</v>
      </c>
      <c r="P456" s="94">
        <v>0.0</v>
      </c>
      <c r="Q456" s="94">
        <v>0.0</v>
      </c>
      <c r="R456" s="94">
        <v>0.0</v>
      </c>
      <c r="S456" s="94">
        <v>0.0</v>
      </c>
      <c r="T456" s="94">
        <v>0.0</v>
      </c>
      <c r="U456" s="94">
        <v>0.0</v>
      </c>
      <c r="V456" s="94">
        <v>0.0</v>
      </c>
      <c r="W456" s="94">
        <v>0.0</v>
      </c>
      <c r="X456" s="94">
        <v>0.0</v>
      </c>
      <c r="Y456" s="94">
        <v>0.0</v>
      </c>
      <c r="Z456" s="94">
        <v>0.0</v>
      </c>
      <c r="AA456" s="94">
        <v>0.0</v>
      </c>
      <c r="AB456" s="94">
        <v>0.0</v>
      </c>
      <c r="AC456" s="94">
        <v>0.0</v>
      </c>
      <c r="AD456" s="94">
        <v>0.0</v>
      </c>
      <c r="AE456" s="94">
        <v>0.0</v>
      </c>
      <c r="AF456" s="94">
        <v>0.0</v>
      </c>
      <c r="AG456" s="94">
        <v>0.0</v>
      </c>
      <c r="AH456" s="94">
        <v>0.0</v>
      </c>
    </row>
    <row r="457" hidden="1">
      <c r="A457" s="83" t="s">
        <v>28</v>
      </c>
      <c r="B457" s="84" t="s">
        <v>181</v>
      </c>
      <c r="C457" s="94">
        <v>0.0</v>
      </c>
      <c r="D457" s="94">
        <v>0.0</v>
      </c>
      <c r="E457" s="96">
        <f t="shared" si="343"/>
        <v>0</v>
      </c>
      <c r="F457" s="94">
        <v>0.0</v>
      </c>
      <c r="G457" s="94">
        <v>0.0</v>
      </c>
      <c r="H457" s="94">
        <v>0.0</v>
      </c>
      <c r="I457" s="94">
        <v>0.0</v>
      </c>
      <c r="J457" s="95">
        <f t="shared" si="344"/>
        <v>0</v>
      </c>
      <c r="K457" s="87" t="str">
        <f t="shared" si="345"/>
        <v>#DIV/0!</v>
      </c>
      <c r="L457" s="94">
        <v>0.0</v>
      </c>
      <c r="M457" s="94">
        <v>0.0</v>
      </c>
      <c r="N457" s="94" t="s">
        <v>255</v>
      </c>
      <c r="O457" s="110" t="str">
        <f t="shared" si="346"/>
        <v>#VALUE!</v>
      </c>
      <c r="P457" s="94">
        <v>0.0</v>
      </c>
      <c r="Q457" s="94">
        <v>0.0</v>
      </c>
      <c r="R457" s="94">
        <v>0.0</v>
      </c>
      <c r="S457" s="94">
        <v>0.0</v>
      </c>
      <c r="T457" s="94">
        <v>0.0</v>
      </c>
      <c r="U457" s="94">
        <v>0.0</v>
      </c>
      <c r="V457" s="94">
        <v>0.0</v>
      </c>
      <c r="W457" s="94">
        <v>0.0</v>
      </c>
      <c r="X457" s="94">
        <v>0.0</v>
      </c>
      <c r="Y457" s="94">
        <v>0.0</v>
      </c>
      <c r="Z457" s="94">
        <v>0.0</v>
      </c>
      <c r="AA457" s="94">
        <v>0.0</v>
      </c>
      <c r="AB457" s="94">
        <v>0.0</v>
      </c>
      <c r="AC457" s="94">
        <v>0.0</v>
      </c>
      <c r="AD457" s="94">
        <v>0.0</v>
      </c>
      <c r="AE457" s="94">
        <v>0.0</v>
      </c>
      <c r="AF457" s="94">
        <v>0.0</v>
      </c>
      <c r="AG457" s="94">
        <v>0.0</v>
      </c>
      <c r="AH457" s="94">
        <v>0.0</v>
      </c>
    </row>
    <row r="458" hidden="1">
      <c r="A458" s="83" t="s">
        <v>28</v>
      </c>
      <c r="B458" s="84" t="s">
        <v>182</v>
      </c>
      <c r="C458" s="94">
        <v>0.0</v>
      </c>
      <c r="D458" s="94">
        <v>0.0</v>
      </c>
      <c r="E458" s="96">
        <f t="shared" si="343"/>
        <v>0</v>
      </c>
      <c r="F458" s="94">
        <v>0.0</v>
      </c>
      <c r="G458" s="94">
        <v>0.0</v>
      </c>
      <c r="H458" s="94">
        <v>0.0</v>
      </c>
      <c r="I458" s="94">
        <v>0.0</v>
      </c>
      <c r="J458" s="95">
        <f t="shared" si="344"/>
        <v>0</v>
      </c>
      <c r="K458" s="87" t="str">
        <f t="shared" si="345"/>
        <v>#DIV/0!</v>
      </c>
      <c r="L458" s="94">
        <v>0.0</v>
      </c>
      <c r="M458" s="94">
        <v>0.0</v>
      </c>
      <c r="N458" s="94" t="s">
        <v>255</v>
      </c>
      <c r="O458" s="110" t="str">
        <f t="shared" si="346"/>
        <v>#VALUE!</v>
      </c>
      <c r="P458" s="94">
        <v>0.0</v>
      </c>
      <c r="Q458" s="94">
        <v>0.0</v>
      </c>
      <c r="R458" s="94">
        <v>0.0</v>
      </c>
      <c r="S458" s="94">
        <v>0.0</v>
      </c>
      <c r="T458" s="94">
        <v>0.0</v>
      </c>
      <c r="U458" s="94">
        <v>0.0</v>
      </c>
      <c r="V458" s="94">
        <v>0.0</v>
      </c>
      <c r="W458" s="94">
        <v>0.0</v>
      </c>
      <c r="X458" s="94">
        <v>0.0</v>
      </c>
      <c r="Y458" s="94">
        <v>0.0</v>
      </c>
      <c r="Z458" s="94">
        <v>0.0</v>
      </c>
      <c r="AA458" s="94">
        <v>0.0</v>
      </c>
      <c r="AB458" s="94">
        <v>0.0</v>
      </c>
      <c r="AC458" s="94">
        <v>0.0</v>
      </c>
      <c r="AD458" s="94">
        <v>0.0</v>
      </c>
      <c r="AE458" s="94">
        <v>0.0</v>
      </c>
      <c r="AF458" s="94">
        <v>0.0</v>
      </c>
      <c r="AG458" s="94">
        <v>0.0</v>
      </c>
      <c r="AH458" s="94">
        <v>0.0</v>
      </c>
    </row>
    <row r="459" hidden="1">
      <c r="A459" s="83" t="s">
        <v>28</v>
      </c>
      <c r="B459" s="84" t="s">
        <v>183</v>
      </c>
      <c r="C459" s="94">
        <v>0.0</v>
      </c>
      <c r="D459" s="94">
        <v>0.0</v>
      </c>
      <c r="E459" s="96">
        <f t="shared" si="343"/>
        <v>0</v>
      </c>
      <c r="F459" s="94">
        <v>0.0</v>
      </c>
      <c r="G459" s="94">
        <v>0.0</v>
      </c>
      <c r="H459" s="94">
        <v>0.0</v>
      </c>
      <c r="I459" s="94">
        <v>0.0</v>
      </c>
      <c r="J459" s="95">
        <f t="shared" si="344"/>
        <v>0</v>
      </c>
      <c r="K459" s="87" t="str">
        <f t="shared" si="345"/>
        <v>#DIV/0!</v>
      </c>
      <c r="L459" s="94">
        <v>0.0</v>
      </c>
      <c r="M459" s="94">
        <v>0.0</v>
      </c>
      <c r="N459" s="94" t="s">
        <v>255</v>
      </c>
      <c r="O459" s="110" t="str">
        <f t="shared" si="346"/>
        <v>#VALUE!</v>
      </c>
      <c r="P459" s="94">
        <v>0.0</v>
      </c>
      <c r="Q459" s="94">
        <v>0.0</v>
      </c>
      <c r="R459" s="94">
        <v>0.0</v>
      </c>
      <c r="S459" s="94">
        <v>0.0</v>
      </c>
      <c r="T459" s="94">
        <v>0.0</v>
      </c>
      <c r="U459" s="94">
        <v>0.0</v>
      </c>
      <c r="V459" s="94">
        <v>0.0</v>
      </c>
      <c r="W459" s="94">
        <v>0.0</v>
      </c>
      <c r="X459" s="94">
        <v>0.0</v>
      </c>
      <c r="Y459" s="94">
        <v>0.0</v>
      </c>
      <c r="Z459" s="94">
        <v>0.0</v>
      </c>
      <c r="AA459" s="94">
        <v>0.0</v>
      </c>
      <c r="AB459" s="94">
        <v>0.0</v>
      </c>
      <c r="AC459" s="94">
        <v>0.0</v>
      </c>
      <c r="AD459" s="94">
        <v>0.0</v>
      </c>
      <c r="AE459" s="94">
        <v>0.0</v>
      </c>
      <c r="AF459" s="94">
        <v>0.0</v>
      </c>
      <c r="AG459" s="94">
        <v>0.0</v>
      </c>
      <c r="AH459" s="94">
        <v>0.0</v>
      </c>
    </row>
    <row r="460" hidden="1">
      <c r="A460" s="83" t="s">
        <v>28</v>
      </c>
      <c r="B460" s="84" t="s">
        <v>184</v>
      </c>
      <c r="C460" s="94">
        <v>0.0</v>
      </c>
      <c r="D460" s="94">
        <v>0.0</v>
      </c>
      <c r="E460" s="96">
        <f t="shared" si="343"/>
        <v>0</v>
      </c>
      <c r="F460" s="94">
        <v>0.0</v>
      </c>
      <c r="G460" s="94">
        <v>0.0</v>
      </c>
      <c r="H460" s="94">
        <v>0.0</v>
      </c>
      <c r="I460" s="94">
        <v>0.0</v>
      </c>
      <c r="J460" s="95">
        <f t="shared" si="344"/>
        <v>0</v>
      </c>
      <c r="K460" s="87" t="str">
        <f t="shared" si="345"/>
        <v>#DIV/0!</v>
      </c>
      <c r="L460" s="94">
        <v>0.0</v>
      </c>
      <c r="M460" s="94">
        <v>0.0</v>
      </c>
      <c r="N460" s="94" t="s">
        <v>255</v>
      </c>
      <c r="O460" s="110" t="str">
        <f t="shared" si="346"/>
        <v>#VALUE!</v>
      </c>
      <c r="P460" s="94">
        <v>0.0</v>
      </c>
      <c r="Q460" s="94">
        <v>0.0</v>
      </c>
      <c r="R460" s="94">
        <v>0.0</v>
      </c>
      <c r="S460" s="94">
        <v>0.0</v>
      </c>
      <c r="T460" s="94">
        <v>0.0</v>
      </c>
      <c r="U460" s="94">
        <v>0.0</v>
      </c>
      <c r="V460" s="94">
        <v>0.0</v>
      </c>
      <c r="W460" s="94">
        <v>0.0</v>
      </c>
      <c r="X460" s="94">
        <v>0.0</v>
      </c>
      <c r="Y460" s="94">
        <v>0.0</v>
      </c>
      <c r="Z460" s="94">
        <v>0.0</v>
      </c>
      <c r="AA460" s="94">
        <v>0.0</v>
      </c>
      <c r="AB460" s="94">
        <v>0.0</v>
      </c>
      <c r="AC460" s="94">
        <v>0.0</v>
      </c>
      <c r="AD460" s="94">
        <v>0.0</v>
      </c>
      <c r="AE460" s="94">
        <v>0.0</v>
      </c>
      <c r="AF460" s="94">
        <v>0.0</v>
      </c>
      <c r="AG460" s="94">
        <v>0.0</v>
      </c>
      <c r="AH460" s="94">
        <v>0.0</v>
      </c>
    </row>
    <row r="461" hidden="1">
      <c r="A461" s="89"/>
      <c r="B461" s="111"/>
      <c r="C461" s="111">
        <f t="shared" ref="C461:D461" si="347">SUM(C455:C460)/4</f>
        <v>0</v>
      </c>
      <c r="D461" s="111">
        <f t="shared" si="347"/>
        <v>0</v>
      </c>
      <c r="E461" s="91">
        <f t="shared" ref="E461:G461" si="348">SUM(E455:E460)</f>
        <v>0</v>
      </c>
      <c r="F461" s="111">
        <f t="shared" si="348"/>
        <v>0</v>
      </c>
      <c r="G461" s="111">
        <f t="shared" si="348"/>
        <v>0</v>
      </c>
      <c r="H461" s="111"/>
      <c r="I461" s="111">
        <f>SUM(I455:I460)</f>
        <v>0</v>
      </c>
      <c r="J461" s="111">
        <f t="shared" si="344"/>
        <v>0</v>
      </c>
      <c r="K461" s="92" t="str">
        <f t="shared" si="345"/>
        <v>#DIV/0!</v>
      </c>
      <c r="L461" s="111">
        <f t="shared" ref="L461:M461" si="349">SUM(L455:L460)</f>
        <v>0</v>
      </c>
      <c r="M461" s="111">
        <f t="shared" si="349"/>
        <v>0</v>
      </c>
      <c r="N461" s="111"/>
      <c r="O461" s="112"/>
      <c r="P461" s="111">
        <f t="shared" ref="P461:AH461" si="350">SUM(P455:P460)</f>
        <v>0</v>
      </c>
      <c r="Q461" s="111">
        <f t="shared" si="350"/>
        <v>0</v>
      </c>
      <c r="R461" s="111">
        <f t="shared" si="350"/>
        <v>0</v>
      </c>
      <c r="S461" s="111">
        <f t="shared" si="350"/>
        <v>0</v>
      </c>
      <c r="T461" s="111">
        <f t="shared" si="350"/>
        <v>0</v>
      </c>
      <c r="U461" s="111">
        <f t="shared" si="350"/>
        <v>0</v>
      </c>
      <c r="V461" s="111">
        <f t="shared" si="350"/>
        <v>0</v>
      </c>
      <c r="W461" s="111">
        <f t="shared" si="350"/>
        <v>0</v>
      </c>
      <c r="X461" s="111">
        <f t="shared" si="350"/>
        <v>0</v>
      </c>
      <c r="Y461" s="111">
        <f t="shared" si="350"/>
        <v>0</v>
      </c>
      <c r="Z461" s="111">
        <f t="shared" si="350"/>
        <v>0</v>
      </c>
      <c r="AA461" s="111">
        <f t="shared" si="350"/>
        <v>0</v>
      </c>
      <c r="AB461" s="111">
        <f t="shared" si="350"/>
        <v>0</v>
      </c>
      <c r="AC461" s="111">
        <f t="shared" si="350"/>
        <v>0</v>
      </c>
      <c r="AD461" s="111">
        <f t="shared" si="350"/>
        <v>0</v>
      </c>
      <c r="AE461" s="111">
        <f t="shared" si="350"/>
        <v>0</v>
      </c>
      <c r="AF461" s="111">
        <f t="shared" si="350"/>
        <v>0</v>
      </c>
      <c r="AG461" s="111">
        <f t="shared" si="350"/>
        <v>0</v>
      </c>
      <c r="AH461" s="111">
        <f t="shared" si="350"/>
        <v>0</v>
      </c>
    </row>
    <row r="462" hidden="1">
      <c r="A462" s="83" t="s">
        <v>56</v>
      </c>
      <c r="B462" s="84" t="s">
        <v>203</v>
      </c>
      <c r="C462" s="94">
        <v>0.0</v>
      </c>
      <c r="D462" s="94">
        <v>0.0</v>
      </c>
      <c r="E462" s="96">
        <f t="shared" ref="E462:E467" si="351">SUM(L462*I462)/60</f>
        <v>0</v>
      </c>
      <c r="F462" s="94">
        <v>0.0</v>
      </c>
      <c r="G462" s="94">
        <v>0.0</v>
      </c>
      <c r="H462" s="94">
        <v>0.0</v>
      </c>
      <c r="I462" s="94">
        <v>0.0</v>
      </c>
      <c r="J462" s="95">
        <f t="shared" si="344"/>
        <v>0</v>
      </c>
      <c r="K462" s="87" t="str">
        <f t="shared" si="345"/>
        <v>#DIV/0!</v>
      </c>
      <c r="L462" s="94">
        <v>0.0</v>
      </c>
      <c r="M462" s="94">
        <v>0.0</v>
      </c>
      <c r="N462" s="94" t="s">
        <v>255</v>
      </c>
      <c r="O462" s="110" t="str">
        <f t="shared" ref="O462:O467" si="352">(E462*N462)</f>
        <v>#VALUE!</v>
      </c>
      <c r="P462" s="94">
        <v>0.0</v>
      </c>
      <c r="Q462" s="94">
        <v>0.0</v>
      </c>
      <c r="R462" s="94">
        <v>0.0</v>
      </c>
      <c r="S462" s="94">
        <v>0.0</v>
      </c>
      <c r="T462" s="94">
        <v>0.0</v>
      </c>
      <c r="U462" s="94">
        <v>0.0</v>
      </c>
      <c r="V462" s="94">
        <v>0.0</v>
      </c>
      <c r="W462" s="94">
        <v>0.0</v>
      </c>
      <c r="X462" s="94">
        <v>0.0</v>
      </c>
      <c r="Y462" s="94">
        <v>0.0</v>
      </c>
      <c r="Z462" s="94">
        <v>0.0</v>
      </c>
      <c r="AA462" s="94">
        <v>0.0</v>
      </c>
      <c r="AB462" s="94">
        <v>0.0</v>
      </c>
      <c r="AC462" s="94">
        <v>0.0</v>
      </c>
      <c r="AD462" s="94">
        <v>0.0</v>
      </c>
      <c r="AE462" s="94">
        <v>0.0</v>
      </c>
      <c r="AF462" s="94">
        <v>0.0</v>
      </c>
      <c r="AG462" s="94">
        <v>0.0</v>
      </c>
      <c r="AH462" s="94">
        <v>0.0</v>
      </c>
    </row>
    <row r="463" hidden="1">
      <c r="A463" s="83" t="s">
        <v>56</v>
      </c>
      <c r="B463" s="84" t="s">
        <v>204</v>
      </c>
      <c r="C463" s="94">
        <v>0.0</v>
      </c>
      <c r="D463" s="94">
        <v>0.0</v>
      </c>
      <c r="E463" s="96">
        <f t="shared" si="351"/>
        <v>0</v>
      </c>
      <c r="F463" s="94">
        <v>0.0</v>
      </c>
      <c r="G463" s="94">
        <v>0.0</v>
      </c>
      <c r="H463" s="94">
        <v>0.0</v>
      </c>
      <c r="I463" s="94">
        <v>0.0</v>
      </c>
      <c r="J463" s="95">
        <f t="shared" si="344"/>
        <v>0</v>
      </c>
      <c r="K463" s="87" t="str">
        <f t="shared" si="345"/>
        <v>#DIV/0!</v>
      </c>
      <c r="L463" s="94">
        <v>0.0</v>
      </c>
      <c r="M463" s="94">
        <v>0.0</v>
      </c>
      <c r="N463" s="94" t="s">
        <v>255</v>
      </c>
      <c r="O463" s="110" t="str">
        <f t="shared" si="352"/>
        <v>#VALUE!</v>
      </c>
      <c r="P463" s="94">
        <v>0.0</v>
      </c>
      <c r="Q463" s="94">
        <v>0.0</v>
      </c>
      <c r="R463" s="94">
        <v>0.0</v>
      </c>
      <c r="S463" s="94">
        <v>0.0</v>
      </c>
      <c r="T463" s="94">
        <v>0.0</v>
      </c>
      <c r="U463" s="94">
        <v>0.0</v>
      </c>
      <c r="V463" s="94">
        <v>0.0</v>
      </c>
      <c r="W463" s="94">
        <v>0.0</v>
      </c>
      <c r="X463" s="94">
        <v>0.0</v>
      </c>
      <c r="Y463" s="94">
        <v>0.0</v>
      </c>
      <c r="Z463" s="94">
        <v>0.0</v>
      </c>
      <c r="AA463" s="94">
        <v>0.0</v>
      </c>
      <c r="AB463" s="94">
        <v>0.0</v>
      </c>
      <c r="AC463" s="94">
        <v>0.0</v>
      </c>
      <c r="AD463" s="94">
        <v>0.0</v>
      </c>
      <c r="AE463" s="94">
        <v>0.0</v>
      </c>
      <c r="AF463" s="94">
        <v>0.0</v>
      </c>
      <c r="AG463" s="94">
        <v>0.0</v>
      </c>
      <c r="AH463" s="94">
        <v>0.0</v>
      </c>
    </row>
    <row r="464" hidden="1">
      <c r="A464" s="83" t="s">
        <v>56</v>
      </c>
      <c r="B464" s="84" t="s">
        <v>205</v>
      </c>
      <c r="C464" s="94">
        <v>0.0</v>
      </c>
      <c r="D464" s="94">
        <v>0.0</v>
      </c>
      <c r="E464" s="96">
        <f t="shared" si="351"/>
        <v>0</v>
      </c>
      <c r="F464" s="94">
        <v>0.0</v>
      </c>
      <c r="G464" s="94">
        <v>0.0</v>
      </c>
      <c r="H464" s="94">
        <v>0.0</v>
      </c>
      <c r="I464" s="94">
        <v>0.0</v>
      </c>
      <c r="J464" s="95">
        <f t="shared" si="344"/>
        <v>0</v>
      </c>
      <c r="K464" s="87" t="str">
        <f t="shared" si="345"/>
        <v>#DIV/0!</v>
      </c>
      <c r="L464" s="94">
        <v>0.0</v>
      </c>
      <c r="M464" s="94">
        <v>0.0</v>
      </c>
      <c r="N464" s="94" t="s">
        <v>255</v>
      </c>
      <c r="O464" s="110" t="str">
        <f t="shared" si="352"/>
        <v>#VALUE!</v>
      </c>
      <c r="P464" s="94">
        <v>0.0</v>
      </c>
      <c r="Q464" s="94">
        <v>0.0</v>
      </c>
      <c r="R464" s="94">
        <v>0.0</v>
      </c>
      <c r="S464" s="94">
        <v>0.0</v>
      </c>
      <c r="T464" s="94">
        <v>0.0</v>
      </c>
      <c r="U464" s="94">
        <v>0.0</v>
      </c>
      <c r="V464" s="94">
        <v>0.0</v>
      </c>
      <c r="W464" s="94">
        <v>0.0</v>
      </c>
      <c r="X464" s="94">
        <v>0.0</v>
      </c>
      <c r="Y464" s="94">
        <v>0.0</v>
      </c>
      <c r="Z464" s="94">
        <v>0.0</v>
      </c>
      <c r="AA464" s="94">
        <v>0.0</v>
      </c>
      <c r="AB464" s="94">
        <v>0.0</v>
      </c>
      <c r="AC464" s="94">
        <v>0.0</v>
      </c>
      <c r="AD464" s="94">
        <v>0.0</v>
      </c>
      <c r="AE464" s="94">
        <v>0.0</v>
      </c>
      <c r="AF464" s="94">
        <v>0.0</v>
      </c>
      <c r="AG464" s="94">
        <v>0.0</v>
      </c>
      <c r="AH464" s="94">
        <v>0.0</v>
      </c>
    </row>
    <row r="465" hidden="1">
      <c r="A465" s="83" t="s">
        <v>56</v>
      </c>
      <c r="B465" s="84" t="s">
        <v>206</v>
      </c>
      <c r="C465" s="94">
        <v>0.0</v>
      </c>
      <c r="D465" s="94">
        <v>0.0</v>
      </c>
      <c r="E465" s="96">
        <f t="shared" si="351"/>
        <v>0</v>
      </c>
      <c r="F465" s="94">
        <v>0.0</v>
      </c>
      <c r="G465" s="94">
        <v>0.0</v>
      </c>
      <c r="H465" s="94">
        <v>0.0</v>
      </c>
      <c r="I465" s="94">
        <v>0.0</v>
      </c>
      <c r="J465" s="95">
        <f t="shared" si="344"/>
        <v>0</v>
      </c>
      <c r="K465" s="87" t="str">
        <f t="shared" si="345"/>
        <v>#DIV/0!</v>
      </c>
      <c r="L465" s="94">
        <v>0.0</v>
      </c>
      <c r="M465" s="94">
        <v>0.0</v>
      </c>
      <c r="N465" s="94" t="s">
        <v>255</v>
      </c>
      <c r="O465" s="110" t="str">
        <f t="shared" si="352"/>
        <v>#VALUE!</v>
      </c>
      <c r="P465" s="94">
        <v>0.0</v>
      </c>
      <c r="Q465" s="94">
        <v>0.0</v>
      </c>
      <c r="R465" s="94">
        <v>0.0</v>
      </c>
      <c r="S465" s="94">
        <v>0.0</v>
      </c>
      <c r="T465" s="94">
        <v>0.0</v>
      </c>
      <c r="U465" s="94">
        <v>0.0</v>
      </c>
      <c r="V465" s="94">
        <v>0.0</v>
      </c>
      <c r="W465" s="94">
        <v>0.0</v>
      </c>
      <c r="X465" s="94">
        <v>0.0</v>
      </c>
      <c r="Y465" s="94">
        <v>0.0</v>
      </c>
      <c r="Z465" s="94">
        <v>0.0</v>
      </c>
      <c r="AA465" s="94">
        <v>0.0</v>
      </c>
      <c r="AB465" s="94">
        <v>0.0</v>
      </c>
      <c r="AC465" s="94">
        <v>0.0</v>
      </c>
      <c r="AD465" s="94">
        <v>0.0</v>
      </c>
      <c r="AE465" s="94">
        <v>0.0</v>
      </c>
      <c r="AF465" s="94">
        <v>0.0</v>
      </c>
      <c r="AG465" s="94">
        <v>0.0</v>
      </c>
      <c r="AH465" s="94">
        <v>0.0</v>
      </c>
    </row>
    <row r="466" hidden="1">
      <c r="A466" s="83" t="s">
        <v>56</v>
      </c>
      <c r="B466" s="84" t="s">
        <v>207</v>
      </c>
      <c r="C466" s="94">
        <v>0.0</v>
      </c>
      <c r="D466" s="94">
        <v>0.0</v>
      </c>
      <c r="E466" s="96">
        <f t="shared" si="351"/>
        <v>0</v>
      </c>
      <c r="F466" s="94">
        <v>0.0</v>
      </c>
      <c r="G466" s="94">
        <v>0.0</v>
      </c>
      <c r="H466" s="94">
        <v>0.0</v>
      </c>
      <c r="I466" s="94">
        <v>0.0</v>
      </c>
      <c r="J466" s="95">
        <f t="shared" si="344"/>
        <v>0</v>
      </c>
      <c r="K466" s="87" t="str">
        <f t="shared" si="345"/>
        <v>#DIV/0!</v>
      </c>
      <c r="L466" s="94">
        <v>0.0</v>
      </c>
      <c r="M466" s="94">
        <v>0.0</v>
      </c>
      <c r="N466" s="94" t="s">
        <v>255</v>
      </c>
      <c r="O466" s="110" t="str">
        <f t="shared" si="352"/>
        <v>#VALUE!</v>
      </c>
      <c r="P466" s="94">
        <v>0.0</v>
      </c>
      <c r="Q466" s="94">
        <v>0.0</v>
      </c>
      <c r="R466" s="94">
        <v>0.0</v>
      </c>
      <c r="S466" s="94">
        <v>0.0</v>
      </c>
      <c r="T466" s="94">
        <v>0.0</v>
      </c>
      <c r="U466" s="94">
        <v>0.0</v>
      </c>
      <c r="V466" s="94">
        <v>0.0</v>
      </c>
      <c r="W466" s="94">
        <v>0.0</v>
      </c>
      <c r="X466" s="94">
        <v>0.0</v>
      </c>
      <c r="Y466" s="94">
        <v>0.0</v>
      </c>
      <c r="Z466" s="94">
        <v>0.0</v>
      </c>
      <c r="AA466" s="94">
        <v>0.0</v>
      </c>
      <c r="AB466" s="94">
        <v>0.0</v>
      </c>
      <c r="AC466" s="94">
        <v>0.0</v>
      </c>
      <c r="AD466" s="94">
        <v>0.0</v>
      </c>
      <c r="AE466" s="94">
        <v>0.0</v>
      </c>
      <c r="AF466" s="94">
        <v>0.0</v>
      </c>
      <c r="AG466" s="94">
        <v>0.0</v>
      </c>
      <c r="AH466" s="94">
        <v>0.0</v>
      </c>
    </row>
    <row r="467" hidden="1">
      <c r="A467" s="83" t="s">
        <v>56</v>
      </c>
      <c r="B467" s="93"/>
      <c r="C467" s="94">
        <v>0.0</v>
      </c>
      <c r="D467" s="94">
        <v>0.0</v>
      </c>
      <c r="E467" s="96">
        <f t="shared" si="351"/>
        <v>0</v>
      </c>
      <c r="F467" s="94">
        <v>0.0</v>
      </c>
      <c r="G467" s="94">
        <v>0.0</v>
      </c>
      <c r="H467" s="94">
        <v>0.0</v>
      </c>
      <c r="I467" s="94">
        <v>0.0</v>
      </c>
      <c r="J467" s="95">
        <f t="shared" si="344"/>
        <v>0</v>
      </c>
      <c r="K467" s="87" t="str">
        <f t="shared" si="345"/>
        <v>#DIV/0!</v>
      </c>
      <c r="L467" s="94">
        <v>0.0</v>
      </c>
      <c r="M467" s="94">
        <v>0.0</v>
      </c>
      <c r="N467" s="94" t="s">
        <v>255</v>
      </c>
      <c r="O467" s="110" t="str">
        <f t="shared" si="352"/>
        <v>#VALUE!</v>
      </c>
      <c r="P467" s="94">
        <v>0.0</v>
      </c>
      <c r="Q467" s="94">
        <v>0.0</v>
      </c>
      <c r="R467" s="94">
        <v>0.0</v>
      </c>
      <c r="S467" s="94">
        <v>0.0</v>
      </c>
      <c r="T467" s="94">
        <v>0.0</v>
      </c>
      <c r="U467" s="94">
        <v>0.0</v>
      </c>
      <c r="V467" s="94">
        <v>0.0</v>
      </c>
      <c r="W467" s="94">
        <v>0.0</v>
      </c>
      <c r="X467" s="94">
        <v>0.0</v>
      </c>
      <c r="Y467" s="94">
        <v>0.0</v>
      </c>
      <c r="Z467" s="94">
        <v>0.0</v>
      </c>
      <c r="AA467" s="94">
        <v>0.0</v>
      </c>
      <c r="AB467" s="94">
        <v>0.0</v>
      </c>
      <c r="AC467" s="94">
        <v>0.0</v>
      </c>
      <c r="AD467" s="94">
        <v>0.0</v>
      </c>
      <c r="AE467" s="94">
        <v>0.0</v>
      </c>
      <c r="AF467" s="94">
        <v>0.0</v>
      </c>
      <c r="AG467" s="94">
        <v>0.0</v>
      </c>
      <c r="AH467" s="94">
        <v>0.0</v>
      </c>
    </row>
    <row r="468" hidden="1">
      <c r="A468" s="89" t="s">
        <v>185</v>
      </c>
      <c r="B468" s="111"/>
      <c r="C468" s="111">
        <f>SUM(C462:C467)</f>
        <v>0</v>
      </c>
      <c r="D468" s="111">
        <f t="shared" ref="D468:E468" si="353">SUM(D462:D467)/4</f>
        <v>0</v>
      </c>
      <c r="E468" s="91">
        <f t="shared" si="353"/>
        <v>0</v>
      </c>
      <c r="F468" s="111">
        <f t="shared" ref="F468:G468" si="354">SUM(F462:F467)</f>
        <v>0</v>
      </c>
      <c r="G468" s="111">
        <f t="shared" si="354"/>
        <v>0</v>
      </c>
      <c r="H468" s="111"/>
      <c r="I468" s="111">
        <f>SUM(I462:I467)</f>
        <v>0</v>
      </c>
      <c r="J468" s="111">
        <f t="shared" si="344"/>
        <v>0</v>
      </c>
      <c r="K468" s="92" t="str">
        <f t="shared" si="345"/>
        <v>#DIV/0!</v>
      </c>
      <c r="L468" s="111">
        <f t="shared" ref="L468:M468" si="355">SUM(L462:L467)</f>
        <v>0</v>
      </c>
      <c r="M468" s="111">
        <f t="shared" si="355"/>
        <v>0</v>
      </c>
      <c r="N468" s="111"/>
      <c r="O468" s="112"/>
      <c r="P468" s="111">
        <f t="shared" ref="P468:AH468" si="356">SUM(P462:P467)</f>
        <v>0</v>
      </c>
      <c r="Q468" s="111">
        <f t="shared" si="356"/>
        <v>0</v>
      </c>
      <c r="R468" s="111">
        <f t="shared" si="356"/>
        <v>0</v>
      </c>
      <c r="S468" s="111">
        <f t="shared" si="356"/>
        <v>0</v>
      </c>
      <c r="T468" s="111">
        <f t="shared" si="356"/>
        <v>0</v>
      </c>
      <c r="U468" s="111">
        <f t="shared" si="356"/>
        <v>0</v>
      </c>
      <c r="V468" s="111">
        <f t="shared" si="356"/>
        <v>0</v>
      </c>
      <c r="W468" s="111">
        <f t="shared" si="356"/>
        <v>0</v>
      </c>
      <c r="X468" s="111">
        <f t="shared" si="356"/>
        <v>0</v>
      </c>
      <c r="Y468" s="111">
        <f t="shared" si="356"/>
        <v>0</v>
      </c>
      <c r="Z468" s="111">
        <f t="shared" si="356"/>
        <v>0</v>
      </c>
      <c r="AA468" s="111">
        <f t="shared" si="356"/>
        <v>0</v>
      </c>
      <c r="AB468" s="111">
        <f t="shared" si="356"/>
        <v>0</v>
      </c>
      <c r="AC468" s="111">
        <f t="shared" si="356"/>
        <v>0</v>
      </c>
      <c r="AD468" s="111">
        <f t="shared" si="356"/>
        <v>0</v>
      </c>
      <c r="AE468" s="111">
        <f t="shared" si="356"/>
        <v>0</v>
      </c>
      <c r="AF468" s="111">
        <f t="shared" si="356"/>
        <v>0</v>
      </c>
      <c r="AG468" s="111">
        <f t="shared" si="356"/>
        <v>0</v>
      </c>
      <c r="AH468" s="111">
        <f t="shared" si="356"/>
        <v>0</v>
      </c>
    </row>
    <row r="469">
      <c r="A469" s="104" t="s">
        <v>281</v>
      </c>
    </row>
    <row r="471" hidden="1">
      <c r="A471" s="105"/>
      <c r="F471" s="106" t="s">
        <v>251</v>
      </c>
      <c r="L471" s="107" t="s">
        <v>252</v>
      </c>
      <c r="N471" s="108" t="s">
        <v>253</v>
      </c>
    </row>
    <row r="472" hidden="1">
      <c r="A472" s="76" t="s">
        <v>148</v>
      </c>
      <c r="B472" s="76" t="s">
        <v>149</v>
      </c>
      <c r="C472" s="76" t="s">
        <v>150</v>
      </c>
      <c r="D472" s="76" t="s">
        <v>13</v>
      </c>
      <c r="E472" s="77" t="s">
        <v>151</v>
      </c>
      <c r="F472" s="78" t="s">
        <v>15</v>
      </c>
      <c r="G472" s="78" t="s">
        <v>152</v>
      </c>
      <c r="H472" s="78" t="s">
        <v>153</v>
      </c>
      <c r="I472" s="78" t="s">
        <v>154</v>
      </c>
      <c r="J472" s="78" t="s">
        <v>155</v>
      </c>
      <c r="K472" s="79" t="s">
        <v>156</v>
      </c>
      <c r="L472" s="80" t="s">
        <v>157</v>
      </c>
      <c r="M472" s="80" t="s">
        <v>158</v>
      </c>
      <c r="N472" s="81" t="s">
        <v>254</v>
      </c>
      <c r="O472" s="81" t="s">
        <v>151</v>
      </c>
      <c r="P472" s="81" t="s">
        <v>160</v>
      </c>
      <c r="Q472" s="81" t="s">
        <v>161</v>
      </c>
      <c r="R472" s="81" t="s">
        <v>162</v>
      </c>
      <c r="S472" s="81" t="s">
        <v>163</v>
      </c>
      <c r="T472" s="81" t="s">
        <v>164</v>
      </c>
      <c r="U472" s="81" t="s">
        <v>165</v>
      </c>
      <c r="V472" s="81" t="s">
        <v>166</v>
      </c>
      <c r="W472" s="81" t="s">
        <v>167</v>
      </c>
      <c r="X472" s="81" t="s">
        <v>168</v>
      </c>
      <c r="Y472" s="81" t="s">
        <v>169</v>
      </c>
      <c r="Z472" s="81" t="s">
        <v>170</v>
      </c>
      <c r="AA472" s="81" t="s">
        <v>171</v>
      </c>
      <c r="AB472" s="81" t="s">
        <v>172</v>
      </c>
      <c r="AC472" s="81" t="s">
        <v>173</v>
      </c>
      <c r="AD472" s="81" t="s">
        <v>174</v>
      </c>
      <c r="AE472" s="81" t="s">
        <v>175</v>
      </c>
      <c r="AF472" s="81" t="s">
        <v>176</v>
      </c>
      <c r="AG472" s="81" t="s">
        <v>177</v>
      </c>
      <c r="AH472" s="81" t="s">
        <v>178</v>
      </c>
    </row>
    <row r="473" hidden="1">
      <c r="A473" s="83" t="s">
        <v>28</v>
      </c>
      <c r="B473" s="84" t="s">
        <v>179</v>
      </c>
      <c r="C473" s="85">
        <v>1.0</v>
      </c>
      <c r="D473" s="85">
        <v>1.0</v>
      </c>
      <c r="E473" s="86">
        <v>9.0</v>
      </c>
      <c r="F473" s="94">
        <v>0.0</v>
      </c>
      <c r="G473" s="85">
        <v>29.0</v>
      </c>
      <c r="H473" s="94">
        <v>0.0</v>
      </c>
      <c r="I473" s="85">
        <v>21.0</v>
      </c>
      <c r="J473" s="95">
        <f t="shared" ref="J473:J486" si="357">SUM(G473-I473)</f>
        <v>8</v>
      </c>
      <c r="K473" s="87">
        <f t="shared" ref="K473:K486" si="358">SUM(G473/I473)</f>
        <v>1.380952381</v>
      </c>
      <c r="L473" s="85">
        <v>22.0</v>
      </c>
      <c r="M473" s="85">
        <v>40.0</v>
      </c>
      <c r="N473" s="85">
        <v>1.0</v>
      </c>
      <c r="O473" s="110">
        <f t="shared" ref="O473:O478" si="359">(E473*N473)</f>
        <v>9</v>
      </c>
      <c r="P473" s="94">
        <v>0.0</v>
      </c>
      <c r="Q473" s="94">
        <v>0.0</v>
      </c>
      <c r="R473" s="94">
        <v>0.0</v>
      </c>
      <c r="S473" s="94">
        <v>0.0</v>
      </c>
      <c r="T473" s="94">
        <v>0.0</v>
      </c>
      <c r="U473" s="94">
        <v>0.0</v>
      </c>
      <c r="V473" s="94">
        <v>0.0</v>
      </c>
      <c r="W473" s="94">
        <v>0.0</v>
      </c>
      <c r="X473" s="94">
        <v>0.0</v>
      </c>
      <c r="Y473" s="94">
        <v>0.0</v>
      </c>
      <c r="Z473" s="94">
        <v>0.0</v>
      </c>
      <c r="AA473" s="94">
        <v>0.0</v>
      </c>
      <c r="AB473" s="94">
        <v>0.0</v>
      </c>
      <c r="AC473" s="94">
        <v>0.0</v>
      </c>
      <c r="AD473" s="94">
        <v>0.0</v>
      </c>
      <c r="AE473" s="94">
        <v>0.0</v>
      </c>
      <c r="AF473" s="94">
        <v>0.0</v>
      </c>
      <c r="AG473" s="94">
        <v>0.0</v>
      </c>
      <c r="AH473" s="94">
        <v>0.0</v>
      </c>
    </row>
    <row r="474" hidden="1">
      <c r="A474" s="83" t="s">
        <v>28</v>
      </c>
      <c r="B474" s="84" t="s">
        <v>180</v>
      </c>
      <c r="C474" s="85">
        <v>1.0</v>
      </c>
      <c r="D474" s="85">
        <v>1.0</v>
      </c>
      <c r="E474" s="86">
        <v>9.0</v>
      </c>
      <c r="F474" s="85">
        <v>1.0</v>
      </c>
      <c r="G474" s="85">
        <v>43.0</v>
      </c>
      <c r="H474" s="94">
        <v>0.0</v>
      </c>
      <c r="I474" s="85">
        <v>27.0</v>
      </c>
      <c r="J474" s="95">
        <f t="shared" si="357"/>
        <v>16</v>
      </c>
      <c r="K474" s="87">
        <f t="shared" si="358"/>
        <v>1.592592593</v>
      </c>
      <c r="L474" s="85">
        <v>17.0</v>
      </c>
      <c r="M474" s="85">
        <v>65.0</v>
      </c>
      <c r="N474" s="85">
        <v>1.0</v>
      </c>
      <c r="O474" s="110">
        <f t="shared" si="359"/>
        <v>9</v>
      </c>
      <c r="P474" s="85">
        <v>3.0</v>
      </c>
      <c r="Q474" s="85">
        <v>1.0</v>
      </c>
      <c r="R474" s="85">
        <v>5.0</v>
      </c>
      <c r="S474" s="94">
        <v>0.0</v>
      </c>
      <c r="T474" s="85">
        <v>8.0</v>
      </c>
      <c r="U474" s="85">
        <v>2.0</v>
      </c>
      <c r="V474" s="85">
        <v>1.0</v>
      </c>
      <c r="W474" s="85">
        <v>1.0</v>
      </c>
      <c r="X474" s="85">
        <v>1.0</v>
      </c>
      <c r="Y474" s="94">
        <v>0.0</v>
      </c>
      <c r="Z474" s="94">
        <v>0.0</v>
      </c>
      <c r="AA474" s="94">
        <v>0.0</v>
      </c>
      <c r="AB474" s="94">
        <v>0.0</v>
      </c>
      <c r="AC474" s="85">
        <v>2.0</v>
      </c>
      <c r="AD474" s="94">
        <v>0.0</v>
      </c>
      <c r="AE474" s="94">
        <v>0.0</v>
      </c>
      <c r="AF474" s="94">
        <v>0.0</v>
      </c>
      <c r="AG474" s="94">
        <v>0.0</v>
      </c>
      <c r="AH474" s="94">
        <v>0.0</v>
      </c>
    </row>
    <row r="475" hidden="1">
      <c r="A475" s="83" t="s">
        <v>28</v>
      </c>
      <c r="B475" s="84" t="s">
        <v>181</v>
      </c>
      <c r="C475" s="85">
        <v>1.0</v>
      </c>
      <c r="D475" s="85">
        <v>1.0</v>
      </c>
      <c r="E475" s="86">
        <v>9.0</v>
      </c>
      <c r="F475" s="85">
        <v>1.0</v>
      </c>
      <c r="G475" s="85">
        <v>39.0</v>
      </c>
      <c r="H475" s="94">
        <v>0.0</v>
      </c>
      <c r="I475" s="85">
        <v>35.0</v>
      </c>
      <c r="J475" s="95">
        <f t="shared" si="357"/>
        <v>4</v>
      </c>
      <c r="K475" s="87">
        <f t="shared" si="358"/>
        <v>1.114285714</v>
      </c>
      <c r="L475" s="85">
        <v>12.0</v>
      </c>
      <c r="M475" s="85">
        <v>57.0</v>
      </c>
      <c r="N475" s="85">
        <v>1.0</v>
      </c>
      <c r="O475" s="110">
        <f t="shared" si="359"/>
        <v>9</v>
      </c>
      <c r="P475" s="85">
        <v>5.0</v>
      </c>
      <c r="Q475" s="94">
        <v>0.0</v>
      </c>
      <c r="R475" s="85">
        <v>2.0</v>
      </c>
      <c r="S475" s="94">
        <v>0.0</v>
      </c>
      <c r="T475" s="85">
        <v>5.0</v>
      </c>
      <c r="U475" s="85">
        <v>2.0</v>
      </c>
      <c r="V475" s="85">
        <v>2.0</v>
      </c>
      <c r="W475" s="94">
        <v>0.0</v>
      </c>
      <c r="X475" s="94">
        <v>0.0</v>
      </c>
      <c r="Y475" s="94">
        <v>0.0</v>
      </c>
      <c r="Z475" s="94">
        <v>0.0</v>
      </c>
      <c r="AA475" s="94">
        <v>0.0</v>
      </c>
      <c r="AB475" s="94">
        <v>0.0</v>
      </c>
      <c r="AC475" s="85">
        <v>2.0</v>
      </c>
      <c r="AD475" s="94">
        <v>0.0</v>
      </c>
      <c r="AE475" s="94">
        <v>0.0</v>
      </c>
      <c r="AF475" s="94">
        <v>0.0</v>
      </c>
      <c r="AG475" s="94">
        <v>0.0</v>
      </c>
      <c r="AH475" s="94">
        <v>0.0</v>
      </c>
    </row>
    <row r="476" hidden="1">
      <c r="A476" s="83" t="s">
        <v>28</v>
      </c>
      <c r="B476" s="84" t="s">
        <v>182</v>
      </c>
      <c r="C476" s="85">
        <v>1.0</v>
      </c>
      <c r="D476" s="85">
        <v>1.0</v>
      </c>
      <c r="E476" s="86">
        <v>9.0</v>
      </c>
      <c r="F476" s="85">
        <v>3.0</v>
      </c>
      <c r="G476" s="85">
        <v>27.0</v>
      </c>
      <c r="H476" s="94">
        <v>0.0</v>
      </c>
      <c r="I476" s="85">
        <v>28.0</v>
      </c>
      <c r="J476" s="95">
        <f t="shared" si="357"/>
        <v>-1</v>
      </c>
      <c r="K476" s="87">
        <f t="shared" si="358"/>
        <v>0.9642857143</v>
      </c>
      <c r="L476" s="85">
        <v>16.0</v>
      </c>
      <c r="M476" s="85">
        <v>33.0</v>
      </c>
      <c r="N476" s="85">
        <v>1.0</v>
      </c>
      <c r="O476" s="110">
        <f t="shared" si="359"/>
        <v>9</v>
      </c>
      <c r="P476" s="85">
        <v>2.0</v>
      </c>
      <c r="Q476" s="85">
        <v>2.0</v>
      </c>
      <c r="R476" s="94">
        <v>0.0</v>
      </c>
      <c r="S476" s="94">
        <v>0.0</v>
      </c>
      <c r="T476" s="85">
        <v>1.0</v>
      </c>
      <c r="U476" s="94">
        <v>0.0</v>
      </c>
      <c r="V476" s="94">
        <v>0.0</v>
      </c>
      <c r="W476" s="94">
        <v>0.0</v>
      </c>
      <c r="X476" s="94">
        <v>0.0</v>
      </c>
      <c r="Y476" s="94">
        <v>0.0</v>
      </c>
      <c r="Z476" s="94">
        <v>0.0</v>
      </c>
      <c r="AA476" s="94">
        <v>0.0</v>
      </c>
      <c r="AB476" s="94">
        <v>0.0</v>
      </c>
      <c r="AC476" s="94">
        <v>0.0</v>
      </c>
      <c r="AD476" s="94">
        <v>0.0</v>
      </c>
      <c r="AE476" s="94">
        <v>0.0</v>
      </c>
      <c r="AF476" s="94">
        <v>0.0</v>
      </c>
      <c r="AG476" s="94">
        <v>0.0</v>
      </c>
      <c r="AH476" s="94">
        <v>0.0</v>
      </c>
    </row>
    <row r="477" hidden="1">
      <c r="A477" s="83" t="s">
        <v>28</v>
      </c>
      <c r="B477" s="84" t="s">
        <v>183</v>
      </c>
      <c r="C477" s="94">
        <v>0.0</v>
      </c>
      <c r="D477" s="94">
        <v>0.0</v>
      </c>
      <c r="E477" s="96">
        <f t="shared" ref="E477:E478" si="360">SUM(L477*I477)/60</f>
        <v>0</v>
      </c>
      <c r="F477" s="94">
        <v>0.0</v>
      </c>
      <c r="G477" s="94">
        <v>0.0</v>
      </c>
      <c r="H477" s="94">
        <v>0.0</v>
      </c>
      <c r="I477" s="94">
        <v>0.0</v>
      </c>
      <c r="J477" s="95">
        <f t="shared" si="357"/>
        <v>0</v>
      </c>
      <c r="K477" s="87" t="str">
        <f t="shared" si="358"/>
        <v>#DIV/0!</v>
      </c>
      <c r="L477" s="94">
        <v>0.0</v>
      </c>
      <c r="M477" s="94">
        <v>0.0</v>
      </c>
      <c r="N477" s="85">
        <v>0.0</v>
      </c>
      <c r="O477" s="110">
        <f t="shared" si="359"/>
        <v>0</v>
      </c>
      <c r="P477" s="94">
        <v>0.0</v>
      </c>
      <c r="Q477" s="94">
        <v>0.0</v>
      </c>
      <c r="R477" s="94">
        <v>0.0</v>
      </c>
      <c r="S477" s="94">
        <v>0.0</v>
      </c>
      <c r="T477" s="94">
        <v>0.0</v>
      </c>
      <c r="U477" s="94">
        <v>0.0</v>
      </c>
      <c r="V477" s="94">
        <v>0.0</v>
      </c>
      <c r="W477" s="94">
        <v>0.0</v>
      </c>
      <c r="X477" s="94">
        <v>0.0</v>
      </c>
      <c r="Y477" s="94">
        <v>0.0</v>
      </c>
      <c r="Z477" s="94">
        <v>0.0</v>
      </c>
      <c r="AA477" s="94">
        <v>0.0</v>
      </c>
      <c r="AB477" s="94">
        <v>0.0</v>
      </c>
      <c r="AC477" s="94">
        <v>0.0</v>
      </c>
      <c r="AD477" s="94">
        <v>0.0</v>
      </c>
      <c r="AE477" s="94">
        <v>0.0</v>
      </c>
      <c r="AF477" s="94">
        <v>0.0</v>
      </c>
      <c r="AG477" s="94">
        <v>0.0</v>
      </c>
      <c r="AH477" s="94">
        <v>0.0</v>
      </c>
    </row>
    <row r="478" hidden="1">
      <c r="A478" s="83" t="s">
        <v>28</v>
      </c>
      <c r="B478" s="84" t="s">
        <v>184</v>
      </c>
      <c r="C478" s="94">
        <v>0.0</v>
      </c>
      <c r="D478" s="94">
        <v>0.0</v>
      </c>
      <c r="E478" s="96">
        <f t="shared" si="360"/>
        <v>0</v>
      </c>
      <c r="F478" s="94">
        <v>0.0</v>
      </c>
      <c r="G478" s="94">
        <v>0.0</v>
      </c>
      <c r="H478" s="94">
        <v>0.0</v>
      </c>
      <c r="I478" s="94">
        <v>0.0</v>
      </c>
      <c r="J478" s="95">
        <f t="shared" si="357"/>
        <v>0</v>
      </c>
      <c r="K478" s="87" t="str">
        <f t="shared" si="358"/>
        <v>#DIV/0!</v>
      </c>
      <c r="L478" s="94">
        <v>0.0</v>
      </c>
      <c r="M478" s="94">
        <v>0.0</v>
      </c>
      <c r="N478" s="85">
        <v>0.0</v>
      </c>
      <c r="O478" s="110">
        <f t="shared" si="359"/>
        <v>0</v>
      </c>
      <c r="P478" s="85">
        <v>1.0</v>
      </c>
      <c r="Q478" s="94">
        <v>0.0</v>
      </c>
      <c r="R478" s="85">
        <v>2.0</v>
      </c>
      <c r="S478" s="94">
        <v>0.0</v>
      </c>
      <c r="T478" s="85">
        <v>4.0</v>
      </c>
      <c r="U478" s="85">
        <v>1.0</v>
      </c>
      <c r="V478" s="85">
        <v>1.0</v>
      </c>
      <c r="W478" s="85">
        <v>1.0</v>
      </c>
      <c r="X478" s="94">
        <v>0.0</v>
      </c>
      <c r="Y478" s="94">
        <v>0.0</v>
      </c>
      <c r="Z478" s="94">
        <v>0.0</v>
      </c>
      <c r="AA478" s="94">
        <v>0.0</v>
      </c>
      <c r="AB478" s="94">
        <v>0.0</v>
      </c>
      <c r="AC478" s="85">
        <v>2.0</v>
      </c>
      <c r="AD478" s="94">
        <v>0.0</v>
      </c>
      <c r="AE478" s="94">
        <v>0.0</v>
      </c>
      <c r="AF478" s="94">
        <v>0.0</v>
      </c>
      <c r="AG478" s="85">
        <v>1.0</v>
      </c>
      <c r="AH478" s="94">
        <v>0.0</v>
      </c>
    </row>
    <row r="479" hidden="1">
      <c r="A479" s="89"/>
      <c r="B479" s="111"/>
      <c r="C479" s="111">
        <f t="shared" ref="C479:D479" si="361">SUM(C473:C478)/4</f>
        <v>1</v>
      </c>
      <c r="D479" s="111">
        <f t="shared" si="361"/>
        <v>1</v>
      </c>
      <c r="E479" s="91">
        <f t="shared" ref="E479:G479" si="362">SUM(E473:E478)</f>
        <v>36</v>
      </c>
      <c r="F479" s="111">
        <f t="shared" si="362"/>
        <v>5</v>
      </c>
      <c r="G479" s="111">
        <f t="shared" si="362"/>
        <v>138</v>
      </c>
      <c r="H479" s="111"/>
      <c r="I479" s="111">
        <f>SUM(I473:I478)</f>
        <v>111</v>
      </c>
      <c r="J479" s="111">
        <f t="shared" si="357"/>
        <v>27</v>
      </c>
      <c r="K479" s="92">
        <f t="shared" si="358"/>
        <v>1.243243243</v>
      </c>
      <c r="L479" s="111">
        <f t="shared" ref="L479:M479" si="363">SUM(L473:L478)</f>
        <v>67</v>
      </c>
      <c r="M479" s="111">
        <f t="shared" si="363"/>
        <v>195</v>
      </c>
      <c r="N479" s="111"/>
      <c r="O479" s="112"/>
      <c r="P479" s="111">
        <f t="shared" ref="P479:AH479" si="364">SUM(P473:P478)</f>
        <v>11</v>
      </c>
      <c r="Q479" s="111">
        <f t="shared" si="364"/>
        <v>3</v>
      </c>
      <c r="R479" s="111">
        <f t="shared" si="364"/>
        <v>9</v>
      </c>
      <c r="S479" s="111">
        <f t="shared" si="364"/>
        <v>0</v>
      </c>
      <c r="T479" s="111">
        <f t="shared" si="364"/>
        <v>18</v>
      </c>
      <c r="U479" s="111">
        <f t="shared" si="364"/>
        <v>5</v>
      </c>
      <c r="V479" s="111">
        <f t="shared" si="364"/>
        <v>4</v>
      </c>
      <c r="W479" s="111">
        <f t="shared" si="364"/>
        <v>2</v>
      </c>
      <c r="X479" s="111">
        <f t="shared" si="364"/>
        <v>1</v>
      </c>
      <c r="Y479" s="111">
        <f t="shared" si="364"/>
        <v>0</v>
      </c>
      <c r="Z479" s="111">
        <f t="shared" si="364"/>
        <v>0</v>
      </c>
      <c r="AA479" s="111">
        <f t="shared" si="364"/>
        <v>0</v>
      </c>
      <c r="AB479" s="111">
        <f t="shared" si="364"/>
        <v>0</v>
      </c>
      <c r="AC479" s="111">
        <f t="shared" si="364"/>
        <v>6</v>
      </c>
      <c r="AD479" s="111">
        <f t="shared" si="364"/>
        <v>0</v>
      </c>
      <c r="AE479" s="111">
        <f t="shared" si="364"/>
        <v>0</v>
      </c>
      <c r="AF479" s="111">
        <f t="shared" si="364"/>
        <v>0</v>
      </c>
      <c r="AG479" s="111">
        <f t="shared" si="364"/>
        <v>1</v>
      </c>
      <c r="AH479" s="111">
        <f t="shared" si="364"/>
        <v>0</v>
      </c>
    </row>
    <row r="480" hidden="1">
      <c r="A480" s="83" t="s">
        <v>56</v>
      </c>
      <c r="B480" s="84" t="s">
        <v>203</v>
      </c>
      <c r="C480" s="85">
        <v>1.0</v>
      </c>
      <c r="D480" s="94">
        <v>0.0</v>
      </c>
      <c r="E480" s="86">
        <v>9.0</v>
      </c>
      <c r="F480" s="94">
        <v>0.0</v>
      </c>
      <c r="G480" s="85">
        <v>30.0</v>
      </c>
      <c r="H480" s="94">
        <v>0.0</v>
      </c>
      <c r="I480" s="85">
        <v>43.0</v>
      </c>
      <c r="J480" s="95">
        <f t="shared" si="357"/>
        <v>-13</v>
      </c>
      <c r="K480" s="87">
        <f t="shared" si="358"/>
        <v>0.6976744186</v>
      </c>
      <c r="L480" s="85">
        <v>10.0</v>
      </c>
      <c r="M480" s="85">
        <v>42.0</v>
      </c>
      <c r="N480" s="85">
        <v>1.0</v>
      </c>
      <c r="O480" s="110">
        <f t="shared" ref="O480:O485" si="365">(E480*N480)</f>
        <v>9</v>
      </c>
      <c r="P480" s="85">
        <v>3.0</v>
      </c>
      <c r="Q480" s="85">
        <v>2.0</v>
      </c>
      <c r="R480" s="85">
        <v>1.0</v>
      </c>
      <c r="S480" s="85">
        <v>1.0</v>
      </c>
      <c r="T480" s="85">
        <v>7.0</v>
      </c>
      <c r="U480" s="85">
        <v>2.0</v>
      </c>
      <c r="V480" s="94">
        <v>0.0</v>
      </c>
      <c r="W480" s="94">
        <v>0.0</v>
      </c>
      <c r="X480" s="94">
        <v>0.0</v>
      </c>
      <c r="Y480" s="94">
        <v>0.0</v>
      </c>
      <c r="Z480" s="94">
        <v>0.0</v>
      </c>
      <c r="AA480" s="94">
        <v>0.0</v>
      </c>
      <c r="AB480" s="94">
        <v>0.0</v>
      </c>
      <c r="AC480" s="94">
        <v>0.0</v>
      </c>
      <c r="AD480" s="94">
        <v>0.0</v>
      </c>
      <c r="AE480" s="94">
        <v>0.0</v>
      </c>
      <c r="AF480" s="94">
        <v>0.0</v>
      </c>
      <c r="AG480" s="94">
        <v>0.0</v>
      </c>
      <c r="AH480" s="94">
        <v>0.0</v>
      </c>
    </row>
    <row r="481" hidden="1">
      <c r="A481" s="83" t="s">
        <v>56</v>
      </c>
      <c r="B481" s="84" t="s">
        <v>204</v>
      </c>
      <c r="C481" s="85">
        <v>1.0</v>
      </c>
      <c r="D481" s="94">
        <v>0.0</v>
      </c>
      <c r="E481" s="86">
        <v>9.0</v>
      </c>
      <c r="F481" s="94">
        <v>0.0</v>
      </c>
      <c r="G481" s="85">
        <v>34.0</v>
      </c>
      <c r="H481" s="85">
        <v>1.0</v>
      </c>
      <c r="I481" s="85">
        <v>38.0</v>
      </c>
      <c r="J481" s="95">
        <f t="shared" si="357"/>
        <v>-4</v>
      </c>
      <c r="K481" s="87">
        <f t="shared" si="358"/>
        <v>0.8947368421</v>
      </c>
      <c r="L481" s="85">
        <v>11.0</v>
      </c>
      <c r="M481" s="85">
        <v>38.0</v>
      </c>
      <c r="N481" s="85">
        <v>1.0</v>
      </c>
      <c r="O481" s="110">
        <f t="shared" si="365"/>
        <v>9</v>
      </c>
      <c r="P481" s="85">
        <v>1.0</v>
      </c>
      <c r="Q481" s="94">
        <v>0.0</v>
      </c>
      <c r="R481" s="85">
        <v>2.0</v>
      </c>
      <c r="S481" s="85">
        <v>2.0</v>
      </c>
      <c r="T481" s="85">
        <v>4.0</v>
      </c>
      <c r="U481" s="85">
        <v>2.0</v>
      </c>
      <c r="V481" s="85">
        <v>1.0</v>
      </c>
      <c r="W481" s="94">
        <v>0.0</v>
      </c>
      <c r="X481" s="94">
        <v>0.0</v>
      </c>
      <c r="Y481" s="94">
        <v>0.0</v>
      </c>
      <c r="Z481" s="94">
        <v>0.0</v>
      </c>
      <c r="AA481" s="94">
        <v>0.0</v>
      </c>
      <c r="AB481" s="94">
        <v>0.0</v>
      </c>
      <c r="AC481" s="94">
        <v>0.0</v>
      </c>
      <c r="AD481" s="94">
        <v>0.0</v>
      </c>
      <c r="AE481" s="94">
        <v>0.0</v>
      </c>
      <c r="AF481" s="94">
        <v>0.0</v>
      </c>
      <c r="AG481" s="94">
        <v>0.0</v>
      </c>
      <c r="AH481" s="94">
        <v>0.0</v>
      </c>
    </row>
    <row r="482" hidden="1">
      <c r="A482" s="83" t="s">
        <v>56</v>
      </c>
      <c r="B482" s="84" t="s">
        <v>205</v>
      </c>
      <c r="C482" s="85">
        <v>0.0</v>
      </c>
      <c r="D482" s="94">
        <v>0.0</v>
      </c>
      <c r="E482" s="96">
        <f t="shared" ref="E482:E484" si="366">SUM(L482*I482)/60</f>
        <v>0</v>
      </c>
      <c r="F482" s="94">
        <v>0.0</v>
      </c>
      <c r="G482" s="94">
        <v>0.0</v>
      </c>
      <c r="H482" s="94">
        <v>0.0</v>
      </c>
      <c r="I482" s="94">
        <v>0.0</v>
      </c>
      <c r="J482" s="95">
        <f t="shared" si="357"/>
        <v>0</v>
      </c>
      <c r="K482" s="87" t="str">
        <f t="shared" si="358"/>
        <v>#DIV/0!</v>
      </c>
      <c r="L482" s="94">
        <v>0.0</v>
      </c>
      <c r="M482" s="94">
        <v>0.0</v>
      </c>
      <c r="N482" s="85">
        <v>0.0</v>
      </c>
      <c r="O482" s="110">
        <f t="shared" si="365"/>
        <v>0</v>
      </c>
      <c r="P482" s="94">
        <v>0.0</v>
      </c>
      <c r="Q482" s="94">
        <v>0.0</v>
      </c>
      <c r="R482" s="94">
        <v>0.0</v>
      </c>
      <c r="S482" s="94">
        <v>0.0</v>
      </c>
      <c r="T482" s="94">
        <v>0.0</v>
      </c>
      <c r="U482" s="94">
        <v>0.0</v>
      </c>
      <c r="V482" s="94">
        <v>0.0</v>
      </c>
      <c r="W482" s="94">
        <v>0.0</v>
      </c>
      <c r="X482" s="94">
        <v>0.0</v>
      </c>
      <c r="Y482" s="94">
        <v>0.0</v>
      </c>
      <c r="Z482" s="94">
        <v>0.0</v>
      </c>
      <c r="AA482" s="94">
        <v>0.0</v>
      </c>
      <c r="AB482" s="94">
        <v>0.0</v>
      </c>
      <c r="AC482" s="94">
        <v>0.0</v>
      </c>
      <c r="AD482" s="94">
        <v>0.0</v>
      </c>
      <c r="AE482" s="94">
        <v>0.0</v>
      </c>
      <c r="AF482" s="94">
        <v>0.0</v>
      </c>
      <c r="AG482" s="94">
        <v>0.0</v>
      </c>
      <c r="AH482" s="94">
        <v>0.0</v>
      </c>
    </row>
    <row r="483" hidden="1">
      <c r="A483" s="83" t="s">
        <v>56</v>
      </c>
      <c r="B483" s="84" t="s">
        <v>206</v>
      </c>
      <c r="C483" s="85">
        <v>0.0</v>
      </c>
      <c r="D483" s="94">
        <v>0.0</v>
      </c>
      <c r="E483" s="96">
        <f t="shared" si="366"/>
        <v>0</v>
      </c>
      <c r="F483" s="94">
        <v>0.0</v>
      </c>
      <c r="G483" s="94">
        <v>0.0</v>
      </c>
      <c r="H483" s="94">
        <v>0.0</v>
      </c>
      <c r="I483" s="94">
        <v>0.0</v>
      </c>
      <c r="J483" s="95">
        <f t="shared" si="357"/>
        <v>0</v>
      </c>
      <c r="K483" s="87" t="str">
        <f t="shared" si="358"/>
        <v>#DIV/0!</v>
      </c>
      <c r="L483" s="94">
        <v>0.0</v>
      </c>
      <c r="M483" s="94">
        <v>0.0</v>
      </c>
      <c r="N483" s="85">
        <v>0.0</v>
      </c>
      <c r="O483" s="110">
        <f t="shared" si="365"/>
        <v>0</v>
      </c>
      <c r="P483" s="94">
        <v>0.0</v>
      </c>
      <c r="Q483" s="94">
        <v>0.0</v>
      </c>
      <c r="R483" s="94">
        <v>0.0</v>
      </c>
      <c r="S483" s="94">
        <v>0.0</v>
      </c>
      <c r="T483" s="94">
        <v>0.0</v>
      </c>
      <c r="U483" s="94">
        <v>0.0</v>
      </c>
      <c r="V483" s="94">
        <v>0.0</v>
      </c>
      <c r="W483" s="94">
        <v>0.0</v>
      </c>
      <c r="X483" s="94">
        <v>0.0</v>
      </c>
      <c r="Y483" s="94">
        <v>0.0</v>
      </c>
      <c r="Z483" s="94">
        <v>0.0</v>
      </c>
      <c r="AA483" s="94">
        <v>0.0</v>
      </c>
      <c r="AB483" s="94">
        <v>0.0</v>
      </c>
      <c r="AC483" s="94">
        <v>0.0</v>
      </c>
      <c r="AD483" s="94">
        <v>0.0</v>
      </c>
      <c r="AE483" s="94">
        <v>0.0</v>
      </c>
      <c r="AF483" s="94">
        <v>0.0</v>
      </c>
      <c r="AG483" s="94">
        <v>0.0</v>
      </c>
      <c r="AH483" s="94">
        <v>0.0</v>
      </c>
    </row>
    <row r="484" hidden="1">
      <c r="A484" s="83" t="s">
        <v>56</v>
      </c>
      <c r="B484" s="84" t="s">
        <v>207</v>
      </c>
      <c r="C484" s="94">
        <v>0.0</v>
      </c>
      <c r="D484" s="94">
        <v>0.0</v>
      </c>
      <c r="E484" s="96">
        <f t="shared" si="366"/>
        <v>0</v>
      </c>
      <c r="F484" s="94">
        <v>0.0</v>
      </c>
      <c r="G484" s="94">
        <v>0.0</v>
      </c>
      <c r="H484" s="94">
        <v>0.0</v>
      </c>
      <c r="I484" s="94">
        <v>0.0</v>
      </c>
      <c r="J484" s="95">
        <f t="shared" si="357"/>
        <v>0</v>
      </c>
      <c r="K484" s="87" t="str">
        <f t="shared" si="358"/>
        <v>#DIV/0!</v>
      </c>
      <c r="L484" s="94">
        <v>0.0</v>
      </c>
      <c r="M484" s="94">
        <v>0.0</v>
      </c>
      <c r="N484" s="85">
        <v>0.0</v>
      </c>
      <c r="O484" s="110">
        <f t="shared" si="365"/>
        <v>0</v>
      </c>
      <c r="P484" s="94">
        <v>0.0</v>
      </c>
      <c r="Q484" s="94">
        <v>0.0</v>
      </c>
      <c r="R484" s="94">
        <v>0.0</v>
      </c>
      <c r="S484" s="94">
        <v>0.0</v>
      </c>
      <c r="T484" s="94">
        <v>0.0</v>
      </c>
      <c r="U484" s="94">
        <v>0.0</v>
      </c>
      <c r="V484" s="94">
        <v>0.0</v>
      </c>
      <c r="W484" s="94">
        <v>0.0</v>
      </c>
      <c r="X484" s="94">
        <v>0.0</v>
      </c>
      <c r="Y484" s="94">
        <v>0.0</v>
      </c>
      <c r="Z484" s="94">
        <v>0.0</v>
      </c>
      <c r="AA484" s="94">
        <v>0.0</v>
      </c>
      <c r="AB484" s="94">
        <v>0.0</v>
      </c>
      <c r="AC484" s="94">
        <v>0.0</v>
      </c>
      <c r="AD484" s="94">
        <v>0.0</v>
      </c>
      <c r="AE484" s="94">
        <v>0.0</v>
      </c>
      <c r="AF484" s="94">
        <v>0.0</v>
      </c>
      <c r="AG484" s="94">
        <v>0.0</v>
      </c>
      <c r="AH484" s="94">
        <v>0.0</v>
      </c>
    </row>
    <row r="485" hidden="1">
      <c r="A485" s="83" t="s">
        <v>56</v>
      </c>
      <c r="B485" s="84" t="s">
        <v>282</v>
      </c>
      <c r="C485" s="85">
        <v>2.0</v>
      </c>
      <c r="D485" s="94">
        <v>0.0</v>
      </c>
      <c r="E485" s="86">
        <v>18.0</v>
      </c>
      <c r="F485" s="94">
        <v>0.0</v>
      </c>
      <c r="G485" s="85">
        <v>45.0</v>
      </c>
      <c r="H485" s="94">
        <v>0.0</v>
      </c>
      <c r="I485" s="85">
        <v>64.0</v>
      </c>
      <c r="J485" s="95">
        <f t="shared" si="357"/>
        <v>-19</v>
      </c>
      <c r="K485" s="87">
        <f t="shared" si="358"/>
        <v>0.703125</v>
      </c>
      <c r="L485" s="85">
        <v>14.0</v>
      </c>
      <c r="M485" s="85">
        <v>53.0</v>
      </c>
      <c r="N485" s="85">
        <v>1.0</v>
      </c>
      <c r="O485" s="110">
        <f t="shared" si="365"/>
        <v>18</v>
      </c>
      <c r="P485" s="85">
        <v>2.0</v>
      </c>
      <c r="Q485" s="94">
        <v>0.0</v>
      </c>
      <c r="R485" s="85">
        <v>1.0</v>
      </c>
      <c r="S485" s="85">
        <v>3.0</v>
      </c>
      <c r="T485" s="85">
        <v>7.0</v>
      </c>
      <c r="U485" s="94">
        <v>0.0</v>
      </c>
      <c r="V485" s="94">
        <v>0.0</v>
      </c>
      <c r="W485" s="94">
        <v>0.0</v>
      </c>
      <c r="X485" s="94">
        <v>0.0</v>
      </c>
      <c r="Y485" s="94">
        <v>0.0</v>
      </c>
      <c r="Z485" s="94">
        <v>0.0</v>
      </c>
      <c r="AA485" s="94">
        <v>0.0</v>
      </c>
      <c r="AB485" s="94">
        <v>0.0</v>
      </c>
      <c r="AC485" s="94">
        <v>0.0</v>
      </c>
      <c r="AD485" s="94">
        <v>0.0</v>
      </c>
      <c r="AE485" s="94">
        <v>0.0</v>
      </c>
      <c r="AF485" s="94">
        <v>0.0</v>
      </c>
      <c r="AG485" s="94">
        <v>0.0</v>
      </c>
      <c r="AH485" s="94">
        <v>0.0</v>
      </c>
    </row>
    <row r="486" hidden="1">
      <c r="A486" s="89" t="s">
        <v>185</v>
      </c>
      <c r="B486" s="111"/>
      <c r="C486" s="111">
        <f>SUM(C480:C485)</f>
        <v>4</v>
      </c>
      <c r="D486" s="111">
        <f t="shared" ref="D486:E486" si="367">SUM(D480:D485)/4</f>
        <v>0</v>
      </c>
      <c r="E486" s="91">
        <f t="shared" si="367"/>
        <v>9</v>
      </c>
      <c r="F486" s="111">
        <f t="shared" ref="F486:G486" si="368">SUM(F480:F485)</f>
        <v>0</v>
      </c>
      <c r="G486" s="111">
        <f t="shared" si="368"/>
        <v>109</v>
      </c>
      <c r="H486" s="111"/>
      <c r="I486" s="111">
        <f>SUM(I480:I485)</f>
        <v>145</v>
      </c>
      <c r="J486" s="111">
        <f t="shared" si="357"/>
        <v>-36</v>
      </c>
      <c r="K486" s="92">
        <f t="shared" si="358"/>
        <v>0.7517241379</v>
      </c>
      <c r="L486" s="111">
        <f t="shared" ref="L486:M486" si="369">SUM(L480:L485)</f>
        <v>35</v>
      </c>
      <c r="M486" s="111">
        <f t="shared" si="369"/>
        <v>133</v>
      </c>
      <c r="N486" s="111"/>
      <c r="O486" s="112"/>
      <c r="P486" s="111">
        <f t="shared" ref="P486:AH486" si="370">SUM(P480:P485)</f>
        <v>6</v>
      </c>
      <c r="Q486" s="111">
        <f t="shared" si="370"/>
        <v>2</v>
      </c>
      <c r="R486" s="111">
        <f t="shared" si="370"/>
        <v>4</v>
      </c>
      <c r="S486" s="111">
        <f t="shared" si="370"/>
        <v>6</v>
      </c>
      <c r="T486" s="111">
        <f t="shared" si="370"/>
        <v>18</v>
      </c>
      <c r="U486" s="111">
        <f t="shared" si="370"/>
        <v>4</v>
      </c>
      <c r="V486" s="111">
        <f t="shared" si="370"/>
        <v>1</v>
      </c>
      <c r="W486" s="111">
        <f t="shared" si="370"/>
        <v>0</v>
      </c>
      <c r="X486" s="111">
        <f t="shared" si="370"/>
        <v>0</v>
      </c>
      <c r="Y486" s="111">
        <f t="shared" si="370"/>
        <v>0</v>
      </c>
      <c r="Z486" s="111">
        <f t="shared" si="370"/>
        <v>0</v>
      </c>
      <c r="AA486" s="111">
        <f t="shared" si="370"/>
        <v>0</v>
      </c>
      <c r="AB486" s="111">
        <f t="shared" si="370"/>
        <v>0</v>
      </c>
      <c r="AC486" s="111">
        <f t="shared" si="370"/>
        <v>0</v>
      </c>
      <c r="AD486" s="111">
        <f t="shared" si="370"/>
        <v>0</v>
      </c>
      <c r="AE486" s="111">
        <f t="shared" si="370"/>
        <v>0</v>
      </c>
      <c r="AF486" s="111">
        <f t="shared" si="370"/>
        <v>0</v>
      </c>
      <c r="AG486" s="111">
        <f t="shared" si="370"/>
        <v>0</v>
      </c>
      <c r="AH486" s="111">
        <f t="shared" si="370"/>
        <v>0</v>
      </c>
    </row>
    <row r="487">
      <c r="A487" s="104" t="s">
        <v>283</v>
      </c>
    </row>
    <row r="489" hidden="1">
      <c r="A489" s="105"/>
      <c r="F489" s="106" t="s">
        <v>251</v>
      </c>
      <c r="L489" s="107" t="s">
        <v>252</v>
      </c>
      <c r="N489" s="108" t="s">
        <v>253</v>
      </c>
    </row>
    <row r="490" hidden="1">
      <c r="A490" s="76" t="s">
        <v>148</v>
      </c>
      <c r="B490" s="76" t="s">
        <v>149</v>
      </c>
      <c r="C490" s="76" t="s">
        <v>150</v>
      </c>
      <c r="D490" s="76" t="s">
        <v>13</v>
      </c>
      <c r="E490" s="77" t="s">
        <v>151</v>
      </c>
      <c r="F490" s="78" t="s">
        <v>15</v>
      </c>
      <c r="G490" s="78" t="s">
        <v>152</v>
      </c>
      <c r="H490" s="78" t="s">
        <v>153</v>
      </c>
      <c r="I490" s="78" t="s">
        <v>154</v>
      </c>
      <c r="J490" s="78" t="s">
        <v>155</v>
      </c>
      <c r="K490" s="79" t="s">
        <v>156</v>
      </c>
      <c r="L490" s="80" t="s">
        <v>157</v>
      </c>
      <c r="M490" s="80" t="s">
        <v>158</v>
      </c>
      <c r="N490" s="81" t="s">
        <v>254</v>
      </c>
      <c r="O490" s="81" t="s">
        <v>151</v>
      </c>
      <c r="P490" s="81" t="s">
        <v>160</v>
      </c>
      <c r="Q490" s="81" t="s">
        <v>161</v>
      </c>
      <c r="R490" s="81" t="s">
        <v>162</v>
      </c>
      <c r="S490" s="81" t="s">
        <v>163</v>
      </c>
      <c r="T490" s="81" t="s">
        <v>164</v>
      </c>
      <c r="U490" s="81" t="s">
        <v>165</v>
      </c>
      <c r="V490" s="81" t="s">
        <v>166</v>
      </c>
      <c r="W490" s="81" t="s">
        <v>167</v>
      </c>
      <c r="X490" s="81" t="s">
        <v>168</v>
      </c>
      <c r="Y490" s="81" t="s">
        <v>169</v>
      </c>
      <c r="Z490" s="81" t="s">
        <v>170</v>
      </c>
      <c r="AA490" s="81" t="s">
        <v>171</v>
      </c>
      <c r="AB490" s="81" t="s">
        <v>172</v>
      </c>
      <c r="AC490" s="81" t="s">
        <v>173</v>
      </c>
      <c r="AD490" s="81" t="s">
        <v>174</v>
      </c>
      <c r="AE490" s="81" t="s">
        <v>175</v>
      </c>
      <c r="AF490" s="81" t="s">
        <v>176</v>
      </c>
      <c r="AG490" s="81" t="s">
        <v>177</v>
      </c>
      <c r="AH490" s="81" t="s">
        <v>178</v>
      </c>
    </row>
    <row r="491" hidden="1">
      <c r="A491" s="83" t="s">
        <v>20</v>
      </c>
      <c r="B491" s="84" t="s">
        <v>232</v>
      </c>
      <c r="C491" s="85">
        <v>1.0</v>
      </c>
      <c r="D491" s="85">
        <v>1.0</v>
      </c>
      <c r="E491" s="86">
        <v>19.0</v>
      </c>
      <c r="F491" s="85">
        <v>1.0</v>
      </c>
      <c r="G491" s="85">
        <v>76.0</v>
      </c>
      <c r="H491" s="94">
        <v>0.0</v>
      </c>
      <c r="I491" s="85">
        <v>59.0</v>
      </c>
      <c r="J491" s="95">
        <f t="shared" ref="J491:J504" si="371">SUM(G491-I491)</f>
        <v>17</v>
      </c>
      <c r="K491" s="87">
        <f t="shared" ref="K491:K504" si="372">SUM(G491/I491)</f>
        <v>1.288135593</v>
      </c>
      <c r="L491" s="85">
        <v>15.0</v>
      </c>
      <c r="M491" s="85">
        <v>110.0</v>
      </c>
      <c r="N491" s="85">
        <v>1.0</v>
      </c>
      <c r="O491" s="110">
        <f t="shared" ref="O491:O496" si="373">(E491*N491)</f>
        <v>19</v>
      </c>
      <c r="P491" s="85">
        <v>4.0</v>
      </c>
      <c r="Q491" s="85">
        <v>1.0</v>
      </c>
      <c r="R491" s="85">
        <v>7.0</v>
      </c>
      <c r="S491" s="85">
        <v>1.0</v>
      </c>
      <c r="T491" s="85">
        <v>14.0</v>
      </c>
      <c r="U491" s="85">
        <v>5.0</v>
      </c>
      <c r="V491" s="85">
        <v>2.0</v>
      </c>
      <c r="W491" s="94">
        <v>0.0</v>
      </c>
      <c r="X491" s="94">
        <v>0.0</v>
      </c>
      <c r="Y491" s="94">
        <v>0.0</v>
      </c>
      <c r="Z491" s="94">
        <v>0.0</v>
      </c>
      <c r="AA491" s="94">
        <v>0.0</v>
      </c>
      <c r="AB491" s="94">
        <v>0.0</v>
      </c>
      <c r="AC491" s="85">
        <v>3.0</v>
      </c>
      <c r="AD491" s="94">
        <v>0.0</v>
      </c>
      <c r="AE491" s="94">
        <v>0.0</v>
      </c>
      <c r="AF491" s="94">
        <v>0.0</v>
      </c>
      <c r="AG491" s="94">
        <v>0.0</v>
      </c>
      <c r="AH491" s="94">
        <v>0.0</v>
      </c>
    </row>
    <row r="492" hidden="1">
      <c r="A492" s="83" t="s">
        <v>20</v>
      </c>
      <c r="B492" s="84" t="s">
        <v>233</v>
      </c>
      <c r="C492" s="85">
        <v>1.0</v>
      </c>
      <c r="D492" s="85">
        <v>1.0</v>
      </c>
      <c r="E492" s="86">
        <v>19.0</v>
      </c>
      <c r="F492" s="94">
        <v>0.0</v>
      </c>
      <c r="G492" s="85">
        <v>67.0</v>
      </c>
      <c r="H492" s="94">
        <v>0.0</v>
      </c>
      <c r="I492" s="85">
        <v>65.0</v>
      </c>
      <c r="J492" s="95">
        <f t="shared" si="371"/>
        <v>2</v>
      </c>
      <c r="K492" s="87">
        <f t="shared" si="372"/>
        <v>1.030769231</v>
      </c>
      <c r="L492" s="85">
        <v>13.0</v>
      </c>
      <c r="M492" s="85">
        <v>83.0</v>
      </c>
      <c r="N492" s="85">
        <v>1.0</v>
      </c>
      <c r="O492" s="110">
        <f t="shared" si="373"/>
        <v>19</v>
      </c>
      <c r="P492" s="85">
        <v>3.0</v>
      </c>
      <c r="Q492" s="85">
        <v>1.0</v>
      </c>
      <c r="R492" s="85">
        <v>3.0</v>
      </c>
      <c r="S492" s="94">
        <v>0.0</v>
      </c>
      <c r="T492" s="85">
        <v>9.0</v>
      </c>
      <c r="U492" s="85">
        <v>1.0</v>
      </c>
      <c r="V492" s="85">
        <v>1.0</v>
      </c>
      <c r="W492" s="85">
        <v>1.0</v>
      </c>
      <c r="X492" s="94">
        <v>0.0</v>
      </c>
      <c r="Y492" s="94">
        <v>0.0</v>
      </c>
      <c r="Z492" s="94">
        <v>0.0</v>
      </c>
      <c r="AA492" s="94">
        <v>0.0</v>
      </c>
      <c r="AB492" s="94">
        <v>0.0</v>
      </c>
      <c r="AC492" s="85">
        <v>1.0</v>
      </c>
      <c r="AD492" s="94">
        <v>0.0</v>
      </c>
      <c r="AE492" s="94">
        <v>0.0</v>
      </c>
      <c r="AF492" s="94">
        <v>0.0</v>
      </c>
      <c r="AG492" s="94">
        <v>0.0</v>
      </c>
      <c r="AH492" s="94">
        <v>0.0</v>
      </c>
    </row>
    <row r="493" hidden="1">
      <c r="A493" s="83" t="s">
        <v>20</v>
      </c>
      <c r="B493" s="84" t="s">
        <v>234</v>
      </c>
      <c r="C493" s="85">
        <v>1.0</v>
      </c>
      <c r="D493" s="85">
        <v>1.0</v>
      </c>
      <c r="E493" s="86">
        <v>19.0</v>
      </c>
      <c r="F493" s="94">
        <v>0.0</v>
      </c>
      <c r="G493" s="85">
        <v>57.0</v>
      </c>
      <c r="H493" s="94">
        <v>0.0</v>
      </c>
      <c r="I493" s="85">
        <v>64.0</v>
      </c>
      <c r="J493" s="95">
        <f t="shared" si="371"/>
        <v>-7</v>
      </c>
      <c r="K493" s="87">
        <f t="shared" si="372"/>
        <v>0.890625</v>
      </c>
      <c r="L493" s="85">
        <v>14.0</v>
      </c>
      <c r="M493" s="85">
        <v>65.0</v>
      </c>
      <c r="N493" s="85">
        <v>1.0</v>
      </c>
      <c r="O493" s="110">
        <f t="shared" si="373"/>
        <v>19</v>
      </c>
      <c r="P493" s="85">
        <v>2.0</v>
      </c>
      <c r="Q493" s="85">
        <v>1.0</v>
      </c>
      <c r="R493" s="85">
        <v>3.0</v>
      </c>
      <c r="S493" s="85">
        <v>2.0</v>
      </c>
      <c r="T493" s="85">
        <v>7.0</v>
      </c>
      <c r="U493" s="94">
        <v>0.0</v>
      </c>
      <c r="V493" s="94">
        <v>0.0</v>
      </c>
      <c r="W493" s="94">
        <v>0.0</v>
      </c>
      <c r="X493" s="94">
        <v>0.0</v>
      </c>
      <c r="Y493" s="94">
        <v>0.0</v>
      </c>
      <c r="Z493" s="94">
        <v>0.0</v>
      </c>
      <c r="AA493" s="94">
        <v>0.0</v>
      </c>
      <c r="AB493" s="94">
        <v>0.0</v>
      </c>
      <c r="AC493" s="85">
        <v>1.0</v>
      </c>
      <c r="AD493" s="94">
        <v>0.0</v>
      </c>
      <c r="AE493" s="94">
        <v>0.0</v>
      </c>
      <c r="AF493" s="94">
        <v>0.0</v>
      </c>
      <c r="AG493" s="94">
        <v>0.0</v>
      </c>
      <c r="AH493" s="94">
        <v>0.0</v>
      </c>
    </row>
    <row r="494" hidden="1">
      <c r="A494" s="83" t="s">
        <v>20</v>
      </c>
      <c r="B494" s="84" t="s">
        <v>235</v>
      </c>
      <c r="C494" s="85">
        <v>1.0</v>
      </c>
      <c r="D494" s="85">
        <v>1.0</v>
      </c>
      <c r="E494" s="86">
        <v>19.0</v>
      </c>
      <c r="F494" s="85">
        <v>4.0</v>
      </c>
      <c r="G494" s="85">
        <v>44.0</v>
      </c>
      <c r="H494" s="85">
        <v>1.0</v>
      </c>
      <c r="I494" s="85">
        <v>52.0</v>
      </c>
      <c r="J494" s="95">
        <f t="shared" si="371"/>
        <v>-8</v>
      </c>
      <c r="K494" s="87">
        <f t="shared" si="372"/>
        <v>0.8461538462</v>
      </c>
      <c r="L494" s="85">
        <v>18.0</v>
      </c>
      <c r="M494" s="85">
        <v>61.0</v>
      </c>
      <c r="N494" s="85">
        <v>1.0</v>
      </c>
      <c r="O494" s="110">
        <f t="shared" si="373"/>
        <v>19</v>
      </c>
      <c r="P494" s="85">
        <v>7.0</v>
      </c>
      <c r="Q494" s="85">
        <v>1.0</v>
      </c>
      <c r="R494" s="85">
        <v>1.0</v>
      </c>
      <c r="S494" s="94">
        <v>0.0</v>
      </c>
      <c r="T494" s="85">
        <v>5.0</v>
      </c>
      <c r="U494" s="94">
        <v>0.0</v>
      </c>
      <c r="V494" s="94">
        <v>0.0</v>
      </c>
      <c r="W494" s="94">
        <v>0.0</v>
      </c>
      <c r="X494" s="94">
        <v>0.0</v>
      </c>
      <c r="Y494" s="94">
        <v>0.0</v>
      </c>
      <c r="Z494" s="94">
        <v>0.0</v>
      </c>
      <c r="AA494" s="94">
        <v>0.0</v>
      </c>
      <c r="AB494" s="94">
        <v>0.0</v>
      </c>
      <c r="AC494" s="85">
        <v>1.0</v>
      </c>
      <c r="AD494" s="94">
        <v>0.0</v>
      </c>
      <c r="AE494" s="94">
        <v>0.0</v>
      </c>
      <c r="AF494" s="94">
        <v>0.0</v>
      </c>
      <c r="AG494" s="94">
        <v>0.0</v>
      </c>
      <c r="AH494" s="94">
        <v>0.0</v>
      </c>
    </row>
    <row r="495" hidden="1">
      <c r="A495" s="83" t="s">
        <v>20</v>
      </c>
      <c r="B495" s="84" t="s">
        <v>236</v>
      </c>
      <c r="C495" s="94">
        <v>0.0</v>
      </c>
      <c r="D495" s="94">
        <v>0.0</v>
      </c>
      <c r="E495" s="96">
        <f t="shared" ref="E495:E496" si="374">SUM(L495*I495)/60</f>
        <v>0</v>
      </c>
      <c r="F495" s="94">
        <v>0.0</v>
      </c>
      <c r="G495" s="94">
        <v>0.0</v>
      </c>
      <c r="H495" s="94">
        <v>0.0</v>
      </c>
      <c r="I495" s="94">
        <v>0.0</v>
      </c>
      <c r="J495" s="95">
        <f t="shared" si="371"/>
        <v>0</v>
      </c>
      <c r="K495" s="87" t="str">
        <f t="shared" si="372"/>
        <v>#DIV/0!</v>
      </c>
      <c r="L495" s="94">
        <v>0.0</v>
      </c>
      <c r="M495" s="94">
        <v>0.0</v>
      </c>
      <c r="N495" s="85">
        <v>0.0</v>
      </c>
      <c r="O495" s="110">
        <f t="shared" si="373"/>
        <v>0</v>
      </c>
      <c r="P495" s="94">
        <v>0.0</v>
      </c>
      <c r="Q495" s="94">
        <v>0.0</v>
      </c>
      <c r="R495" s="94">
        <v>0.0</v>
      </c>
      <c r="S495" s="94">
        <v>0.0</v>
      </c>
      <c r="T495" s="94">
        <v>0.0</v>
      </c>
      <c r="U495" s="94">
        <v>0.0</v>
      </c>
      <c r="V495" s="94">
        <v>0.0</v>
      </c>
      <c r="W495" s="94">
        <v>0.0</v>
      </c>
      <c r="X495" s="94">
        <v>0.0</v>
      </c>
      <c r="Y495" s="94">
        <v>0.0</v>
      </c>
      <c r="Z495" s="94">
        <v>0.0</v>
      </c>
      <c r="AA495" s="94">
        <v>0.0</v>
      </c>
      <c r="AB495" s="94">
        <v>0.0</v>
      </c>
      <c r="AC495" s="94">
        <v>0.0</v>
      </c>
      <c r="AD495" s="94">
        <v>0.0</v>
      </c>
      <c r="AE495" s="94">
        <v>0.0</v>
      </c>
      <c r="AF495" s="94">
        <v>0.0</v>
      </c>
      <c r="AG495" s="94">
        <v>0.0</v>
      </c>
      <c r="AH495" s="94">
        <v>0.0</v>
      </c>
    </row>
    <row r="496" hidden="1">
      <c r="A496" s="83" t="s">
        <v>20</v>
      </c>
      <c r="B496" s="93"/>
      <c r="C496" s="94">
        <v>0.0</v>
      </c>
      <c r="D496" s="94">
        <v>0.0</v>
      </c>
      <c r="E496" s="96">
        <f t="shared" si="374"/>
        <v>0</v>
      </c>
      <c r="F496" s="94">
        <v>0.0</v>
      </c>
      <c r="G496" s="94">
        <v>0.0</v>
      </c>
      <c r="H496" s="94">
        <v>0.0</v>
      </c>
      <c r="I496" s="94">
        <v>0.0</v>
      </c>
      <c r="J496" s="95">
        <f t="shared" si="371"/>
        <v>0</v>
      </c>
      <c r="K496" s="87" t="str">
        <f t="shared" si="372"/>
        <v>#DIV/0!</v>
      </c>
      <c r="L496" s="94">
        <v>0.0</v>
      </c>
      <c r="M496" s="94">
        <v>0.0</v>
      </c>
      <c r="N496" s="85">
        <v>0.0</v>
      </c>
      <c r="O496" s="110">
        <f t="shared" si="373"/>
        <v>0</v>
      </c>
      <c r="P496" s="94">
        <v>0.0</v>
      </c>
      <c r="Q496" s="94">
        <v>0.0</v>
      </c>
      <c r="R496" s="94">
        <v>0.0</v>
      </c>
      <c r="S496" s="94">
        <v>0.0</v>
      </c>
      <c r="T496" s="94">
        <v>0.0</v>
      </c>
      <c r="U496" s="94">
        <v>0.0</v>
      </c>
      <c r="V496" s="94">
        <v>0.0</v>
      </c>
      <c r="W496" s="94">
        <v>0.0</v>
      </c>
      <c r="X496" s="94">
        <v>0.0</v>
      </c>
      <c r="Y496" s="94">
        <v>0.0</v>
      </c>
      <c r="Z496" s="94">
        <v>0.0</v>
      </c>
      <c r="AA496" s="94">
        <v>0.0</v>
      </c>
      <c r="AB496" s="94">
        <v>0.0</v>
      </c>
      <c r="AC496" s="94">
        <v>0.0</v>
      </c>
      <c r="AD496" s="94">
        <v>0.0</v>
      </c>
      <c r="AE496" s="94">
        <v>0.0</v>
      </c>
      <c r="AF496" s="94">
        <v>0.0</v>
      </c>
      <c r="AG496" s="94">
        <v>0.0</v>
      </c>
      <c r="AH496" s="94">
        <v>0.0</v>
      </c>
    </row>
    <row r="497" hidden="1">
      <c r="A497" s="89"/>
      <c r="B497" s="111"/>
      <c r="C497" s="111">
        <f t="shared" ref="C497:D497" si="375">SUM(C491:C496)/4</f>
        <v>1</v>
      </c>
      <c r="D497" s="111">
        <f t="shared" si="375"/>
        <v>1</v>
      </c>
      <c r="E497" s="91">
        <f t="shared" ref="E497:G497" si="376">SUM(E491:E496)</f>
        <v>76</v>
      </c>
      <c r="F497" s="111">
        <f t="shared" si="376"/>
        <v>5</v>
      </c>
      <c r="G497" s="111">
        <f t="shared" si="376"/>
        <v>244</v>
      </c>
      <c r="H497" s="111"/>
      <c r="I497" s="111">
        <f>SUM(I491:I496)</f>
        <v>240</v>
      </c>
      <c r="J497" s="111">
        <f t="shared" si="371"/>
        <v>4</v>
      </c>
      <c r="K497" s="92">
        <f t="shared" si="372"/>
        <v>1.016666667</v>
      </c>
      <c r="L497" s="111">
        <f t="shared" ref="L497:M497" si="377">SUM(L491:L496)</f>
        <v>60</v>
      </c>
      <c r="M497" s="111">
        <f t="shared" si="377"/>
        <v>319</v>
      </c>
      <c r="N497" s="111"/>
      <c r="O497" s="112"/>
      <c r="P497" s="111">
        <f t="shared" ref="P497:AH497" si="378">SUM(P491:P496)</f>
        <v>16</v>
      </c>
      <c r="Q497" s="111">
        <f t="shared" si="378"/>
        <v>4</v>
      </c>
      <c r="R497" s="111">
        <f t="shared" si="378"/>
        <v>14</v>
      </c>
      <c r="S497" s="111">
        <f t="shared" si="378"/>
        <v>3</v>
      </c>
      <c r="T497" s="111">
        <f t="shared" si="378"/>
        <v>35</v>
      </c>
      <c r="U497" s="111">
        <f t="shared" si="378"/>
        <v>6</v>
      </c>
      <c r="V497" s="111">
        <f t="shared" si="378"/>
        <v>3</v>
      </c>
      <c r="W497" s="111">
        <f t="shared" si="378"/>
        <v>1</v>
      </c>
      <c r="X497" s="111">
        <f t="shared" si="378"/>
        <v>0</v>
      </c>
      <c r="Y497" s="111">
        <f t="shared" si="378"/>
        <v>0</v>
      </c>
      <c r="Z497" s="111">
        <f t="shared" si="378"/>
        <v>0</v>
      </c>
      <c r="AA497" s="111">
        <f t="shared" si="378"/>
        <v>0</v>
      </c>
      <c r="AB497" s="111">
        <f t="shared" si="378"/>
        <v>0</v>
      </c>
      <c r="AC497" s="111">
        <f t="shared" si="378"/>
        <v>6</v>
      </c>
      <c r="AD497" s="111">
        <f t="shared" si="378"/>
        <v>0</v>
      </c>
      <c r="AE497" s="111">
        <f t="shared" si="378"/>
        <v>0</v>
      </c>
      <c r="AF497" s="111">
        <f t="shared" si="378"/>
        <v>0</v>
      </c>
      <c r="AG497" s="111">
        <f t="shared" si="378"/>
        <v>0</v>
      </c>
      <c r="AH497" s="111">
        <f t="shared" si="378"/>
        <v>0</v>
      </c>
    </row>
    <row r="498" hidden="1">
      <c r="A498" s="83" t="s">
        <v>58</v>
      </c>
      <c r="B498" s="84" t="s">
        <v>209</v>
      </c>
      <c r="C498" s="85">
        <v>1.0</v>
      </c>
      <c r="D498" s="94">
        <v>0.0</v>
      </c>
      <c r="E498" s="86">
        <v>19.0</v>
      </c>
      <c r="F498" s="94">
        <v>0.0</v>
      </c>
      <c r="G498" s="85">
        <v>67.0</v>
      </c>
      <c r="H498" s="85">
        <v>1.0</v>
      </c>
      <c r="I498" s="85">
        <v>80.0</v>
      </c>
      <c r="J498" s="95">
        <f t="shared" si="371"/>
        <v>-13</v>
      </c>
      <c r="K498" s="87">
        <f t="shared" si="372"/>
        <v>0.8375</v>
      </c>
      <c r="L498" s="85">
        <v>10.0</v>
      </c>
      <c r="M498" s="85">
        <v>79.0</v>
      </c>
      <c r="N498" s="85">
        <v>1.0</v>
      </c>
      <c r="O498" s="110">
        <f t="shared" ref="O498:O503" si="379">(E498*N498)</f>
        <v>19</v>
      </c>
      <c r="P498" s="85">
        <v>3.0</v>
      </c>
      <c r="Q498" s="85">
        <v>3.0</v>
      </c>
      <c r="R498" s="85">
        <v>5.0</v>
      </c>
      <c r="S498" s="94">
        <v>0.0</v>
      </c>
      <c r="T498" s="85">
        <v>9.0</v>
      </c>
      <c r="U498" s="85">
        <v>3.0</v>
      </c>
      <c r="V498" s="85">
        <v>1.0</v>
      </c>
      <c r="W498" s="94">
        <v>0.0</v>
      </c>
      <c r="X498" s="94">
        <v>0.0</v>
      </c>
      <c r="Y498" s="94">
        <v>0.0</v>
      </c>
      <c r="Z498" s="94">
        <v>0.0</v>
      </c>
      <c r="AA498" s="94">
        <v>0.0</v>
      </c>
      <c r="AB498" s="94">
        <v>0.0</v>
      </c>
      <c r="AC498" s="85">
        <v>1.0</v>
      </c>
      <c r="AD498" s="94">
        <v>0.0</v>
      </c>
      <c r="AE498" s="94">
        <v>0.0</v>
      </c>
      <c r="AF498" s="94">
        <v>0.0</v>
      </c>
      <c r="AG498" s="94">
        <v>0.0</v>
      </c>
      <c r="AH498" s="94">
        <v>0.0</v>
      </c>
    </row>
    <row r="499" hidden="1">
      <c r="A499" s="83" t="s">
        <v>58</v>
      </c>
      <c r="B499" s="84" t="s">
        <v>210</v>
      </c>
      <c r="C499" s="85">
        <v>1.0</v>
      </c>
      <c r="D499" s="94">
        <v>0.0</v>
      </c>
      <c r="E499" s="86">
        <v>19.0</v>
      </c>
      <c r="F499" s="85">
        <v>1.0</v>
      </c>
      <c r="G499" s="85">
        <v>43.0</v>
      </c>
      <c r="H499" s="94">
        <v>0.0</v>
      </c>
      <c r="I499" s="85">
        <v>53.0</v>
      </c>
      <c r="J499" s="95">
        <f t="shared" si="371"/>
        <v>-10</v>
      </c>
      <c r="K499" s="87">
        <f t="shared" si="372"/>
        <v>0.8113207547</v>
      </c>
      <c r="L499" s="85">
        <v>17.0</v>
      </c>
      <c r="M499" s="85">
        <v>49.0</v>
      </c>
      <c r="N499" s="85">
        <v>1.0</v>
      </c>
      <c r="O499" s="110">
        <f t="shared" si="379"/>
        <v>19</v>
      </c>
      <c r="P499" s="85">
        <v>2.0</v>
      </c>
      <c r="Q499" s="85">
        <v>2.0</v>
      </c>
      <c r="R499" s="85">
        <v>1.0</v>
      </c>
      <c r="S499" s="85">
        <v>1.0</v>
      </c>
      <c r="T499" s="85">
        <v>3.0</v>
      </c>
      <c r="U499" s="94">
        <v>0.0</v>
      </c>
      <c r="V499" s="94">
        <v>0.0</v>
      </c>
      <c r="W499" s="94">
        <v>0.0</v>
      </c>
      <c r="X499" s="94">
        <v>0.0</v>
      </c>
      <c r="Y499" s="94">
        <v>0.0</v>
      </c>
      <c r="Z499" s="94">
        <v>0.0</v>
      </c>
      <c r="AA499" s="94">
        <v>0.0</v>
      </c>
      <c r="AB499" s="94">
        <v>0.0</v>
      </c>
      <c r="AC499" s="85">
        <v>1.0</v>
      </c>
      <c r="AD499" s="94">
        <v>0.0</v>
      </c>
      <c r="AE499" s="94">
        <v>0.0</v>
      </c>
      <c r="AF499" s="94">
        <v>0.0</v>
      </c>
      <c r="AG499" s="94">
        <v>0.0</v>
      </c>
      <c r="AH499" s="94">
        <v>0.0</v>
      </c>
    </row>
    <row r="500" hidden="1">
      <c r="A500" s="83" t="s">
        <v>58</v>
      </c>
      <c r="B500" s="84" t="s">
        <v>211</v>
      </c>
      <c r="C500" s="85">
        <v>1.0</v>
      </c>
      <c r="D500" s="94">
        <v>0.0</v>
      </c>
      <c r="E500" s="86">
        <v>19.0</v>
      </c>
      <c r="F500" s="94">
        <v>0.0</v>
      </c>
      <c r="G500" s="85">
        <v>49.0</v>
      </c>
      <c r="H500" s="94">
        <v>0.0</v>
      </c>
      <c r="I500" s="85">
        <v>60.0</v>
      </c>
      <c r="J500" s="95">
        <f t="shared" si="371"/>
        <v>-11</v>
      </c>
      <c r="K500" s="87">
        <f t="shared" si="372"/>
        <v>0.8166666667</v>
      </c>
      <c r="L500" s="85">
        <v>15.0</v>
      </c>
      <c r="M500" s="85">
        <v>65.0</v>
      </c>
      <c r="N500" s="85">
        <v>1.0</v>
      </c>
      <c r="O500" s="110">
        <f t="shared" si="379"/>
        <v>19</v>
      </c>
      <c r="P500" s="85">
        <v>2.0</v>
      </c>
      <c r="Q500" s="94">
        <v>0.0</v>
      </c>
      <c r="R500" s="85">
        <v>5.0</v>
      </c>
      <c r="S500" s="85">
        <v>3.0</v>
      </c>
      <c r="T500" s="85">
        <v>8.0</v>
      </c>
      <c r="U500" s="94">
        <v>0.0</v>
      </c>
      <c r="V500" s="94">
        <v>0.0</v>
      </c>
      <c r="W500" s="94">
        <v>0.0</v>
      </c>
      <c r="X500" s="94">
        <v>0.0</v>
      </c>
      <c r="Y500" s="94">
        <v>0.0</v>
      </c>
      <c r="Z500" s="94">
        <v>0.0</v>
      </c>
      <c r="AA500" s="94">
        <v>0.0</v>
      </c>
      <c r="AB500" s="94">
        <v>0.0</v>
      </c>
      <c r="AC500" s="94">
        <v>0.0</v>
      </c>
      <c r="AD500" s="94">
        <v>0.0</v>
      </c>
      <c r="AE500" s="94">
        <v>0.0</v>
      </c>
      <c r="AF500" s="94">
        <v>0.0</v>
      </c>
      <c r="AG500" s="94">
        <v>0.0</v>
      </c>
      <c r="AH500" s="94">
        <v>0.0</v>
      </c>
    </row>
    <row r="501" hidden="1">
      <c r="A501" s="83" t="s">
        <v>58</v>
      </c>
      <c r="B501" s="84" t="s">
        <v>212</v>
      </c>
      <c r="C501" s="85">
        <v>1.0</v>
      </c>
      <c r="D501" s="94">
        <v>0.0</v>
      </c>
      <c r="E501" s="86">
        <v>19.0</v>
      </c>
      <c r="F501" s="85">
        <v>1.0</v>
      </c>
      <c r="G501" s="85">
        <v>77.0</v>
      </c>
      <c r="H501" s="94">
        <v>0.0</v>
      </c>
      <c r="I501" s="85">
        <v>62.0</v>
      </c>
      <c r="J501" s="95">
        <f t="shared" si="371"/>
        <v>15</v>
      </c>
      <c r="K501" s="87">
        <f t="shared" si="372"/>
        <v>1.241935484</v>
      </c>
      <c r="L501" s="85">
        <v>14.0</v>
      </c>
      <c r="M501" s="85">
        <v>102.0</v>
      </c>
      <c r="N501" s="85">
        <v>1.0</v>
      </c>
      <c r="O501" s="110">
        <f t="shared" si="379"/>
        <v>19</v>
      </c>
      <c r="P501" s="85">
        <v>5.0</v>
      </c>
      <c r="Q501" s="85">
        <v>2.0</v>
      </c>
      <c r="R501" s="85">
        <v>3.0</v>
      </c>
      <c r="S501" s="85">
        <v>2.0</v>
      </c>
      <c r="T501" s="85">
        <v>14.0</v>
      </c>
      <c r="U501" s="85">
        <v>3.0</v>
      </c>
      <c r="V501" s="94">
        <v>0.0</v>
      </c>
      <c r="W501" s="94">
        <v>0.0</v>
      </c>
      <c r="X501" s="94">
        <v>0.0</v>
      </c>
      <c r="Y501" s="94">
        <v>0.0</v>
      </c>
      <c r="Z501" s="94">
        <v>0.0</v>
      </c>
      <c r="AA501" s="94">
        <v>0.0</v>
      </c>
      <c r="AB501" s="94">
        <v>0.0</v>
      </c>
      <c r="AC501" s="85">
        <v>1.0</v>
      </c>
      <c r="AD501" s="94">
        <v>0.0</v>
      </c>
      <c r="AE501" s="94">
        <v>0.0</v>
      </c>
      <c r="AF501" s="94">
        <v>0.0</v>
      </c>
      <c r="AG501" s="94">
        <v>0.0</v>
      </c>
      <c r="AH501" s="94">
        <v>0.0</v>
      </c>
    </row>
    <row r="502" hidden="1">
      <c r="A502" s="83" t="s">
        <v>58</v>
      </c>
      <c r="B502" s="84" t="s">
        <v>213</v>
      </c>
      <c r="C502" s="94">
        <v>0.0</v>
      </c>
      <c r="D502" s="94">
        <v>0.0</v>
      </c>
      <c r="E502" s="96">
        <f t="shared" ref="E502:E503" si="380">SUM(L502*I502)/60</f>
        <v>0</v>
      </c>
      <c r="F502" s="94">
        <v>0.0</v>
      </c>
      <c r="G502" s="94">
        <v>0.0</v>
      </c>
      <c r="H502" s="94">
        <v>0.0</v>
      </c>
      <c r="I502" s="94">
        <v>0.0</v>
      </c>
      <c r="J502" s="95">
        <f t="shared" si="371"/>
        <v>0</v>
      </c>
      <c r="K502" s="87" t="str">
        <f t="shared" si="372"/>
        <v>#DIV/0!</v>
      </c>
      <c r="L502" s="94">
        <v>0.0</v>
      </c>
      <c r="M502" s="94">
        <v>0.0</v>
      </c>
      <c r="N502" s="85">
        <v>0.0</v>
      </c>
      <c r="O502" s="110">
        <f t="shared" si="379"/>
        <v>0</v>
      </c>
      <c r="P502" s="94">
        <v>0.0</v>
      </c>
      <c r="Q502" s="94">
        <v>0.0</v>
      </c>
      <c r="R502" s="94">
        <v>0.0</v>
      </c>
      <c r="S502" s="94">
        <v>0.0</v>
      </c>
      <c r="T502" s="94">
        <v>0.0</v>
      </c>
      <c r="U502" s="94">
        <v>0.0</v>
      </c>
      <c r="V502" s="94">
        <v>0.0</v>
      </c>
      <c r="W502" s="94">
        <v>0.0</v>
      </c>
      <c r="X502" s="94">
        <v>0.0</v>
      </c>
      <c r="Y502" s="94">
        <v>0.0</v>
      </c>
      <c r="Z502" s="94">
        <v>0.0</v>
      </c>
      <c r="AA502" s="94">
        <v>0.0</v>
      </c>
      <c r="AB502" s="94">
        <v>0.0</v>
      </c>
      <c r="AC502" s="94">
        <v>0.0</v>
      </c>
      <c r="AD502" s="94">
        <v>0.0</v>
      </c>
      <c r="AE502" s="94">
        <v>0.0</v>
      </c>
      <c r="AF502" s="94">
        <v>0.0</v>
      </c>
      <c r="AG502" s="94">
        <v>0.0</v>
      </c>
      <c r="AH502" s="94">
        <v>0.0</v>
      </c>
    </row>
    <row r="503" hidden="1">
      <c r="A503" s="109"/>
      <c r="B503" s="93"/>
      <c r="C503" s="94">
        <v>0.0</v>
      </c>
      <c r="D503" s="94">
        <v>0.0</v>
      </c>
      <c r="E503" s="96">
        <f t="shared" si="380"/>
        <v>0</v>
      </c>
      <c r="F503" s="94">
        <v>0.0</v>
      </c>
      <c r="G503" s="94">
        <v>0.0</v>
      </c>
      <c r="H503" s="94">
        <v>0.0</v>
      </c>
      <c r="I503" s="94">
        <v>0.0</v>
      </c>
      <c r="J503" s="95">
        <f t="shared" si="371"/>
        <v>0</v>
      </c>
      <c r="K503" s="87" t="str">
        <f t="shared" si="372"/>
        <v>#DIV/0!</v>
      </c>
      <c r="L503" s="94">
        <v>0.0</v>
      </c>
      <c r="M503" s="94">
        <v>0.0</v>
      </c>
      <c r="N503" s="85">
        <v>0.0</v>
      </c>
      <c r="O503" s="110">
        <f t="shared" si="379"/>
        <v>0</v>
      </c>
      <c r="P503" s="94">
        <v>0.0</v>
      </c>
      <c r="Q503" s="94">
        <v>0.0</v>
      </c>
      <c r="R503" s="94">
        <v>0.0</v>
      </c>
      <c r="S503" s="94">
        <v>0.0</v>
      </c>
      <c r="T503" s="94">
        <v>0.0</v>
      </c>
      <c r="U503" s="94">
        <v>0.0</v>
      </c>
      <c r="V503" s="94">
        <v>0.0</v>
      </c>
      <c r="W503" s="94">
        <v>0.0</v>
      </c>
      <c r="X503" s="94">
        <v>0.0</v>
      </c>
      <c r="Y503" s="94">
        <v>0.0</v>
      </c>
      <c r="Z503" s="94">
        <v>0.0</v>
      </c>
      <c r="AA503" s="94">
        <v>0.0</v>
      </c>
      <c r="AB503" s="94">
        <v>0.0</v>
      </c>
      <c r="AC503" s="94">
        <v>0.0</v>
      </c>
      <c r="AD503" s="94">
        <v>0.0</v>
      </c>
      <c r="AE503" s="94">
        <v>0.0</v>
      </c>
      <c r="AF503" s="94">
        <v>0.0</v>
      </c>
      <c r="AG503" s="94">
        <v>0.0</v>
      </c>
      <c r="AH503" s="94">
        <v>0.0</v>
      </c>
    </row>
    <row r="504" hidden="1">
      <c r="A504" s="89" t="s">
        <v>185</v>
      </c>
      <c r="B504" s="111"/>
      <c r="C504" s="111">
        <f>SUM(C498:C503)</f>
        <v>4</v>
      </c>
      <c r="D504" s="111">
        <f t="shared" ref="D504:E504" si="381">SUM(D498:D503)/4</f>
        <v>0</v>
      </c>
      <c r="E504" s="91">
        <f t="shared" si="381"/>
        <v>19</v>
      </c>
      <c r="F504" s="111">
        <f t="shared" ref="F504:G504" si="382">SUM(F498:F503)</f>
        <v>2</v>
      </c>
      <c r="G504" s="111">
        <f t="shared" si="382"/>
        <v>236</v>
      </c>
      <c r="H504" s="111"/>
      <c r="I504" s="111">
        <f>SUM(I498:I503)</f>
        <v>255</v>
      </c>
      <c r="J504" s="111">
        <f t="shared" si="371"/>
        <v>-19</v>
      </c>
      <c r="K504" s="92">
        <f t="shared" si="372"/>
        <v>0.9254901961</v>
      </c>
      <c r="L504" s="111">
        <f t="shared" ref="L504:M504" si="383">SUM(L498:L503)</f>
        <v>56</v>
      </c>
      <c r="M504" s="111">
        <f t="shared" si="383"/>
        <v>295</v>
      </c>
      <c r="N504" s="111"/>
      <c r="O504" s="112"/>
      <c r="P504" s="111">
        <f t="shared" ref="P504:AH504" si="384">SUM(P498:P503)</f>
        <v>12</v>
      </c>
      <c r="Q504" s="111">
        <f t="shared" si="384"/>
        <v>7</v>
      </c>
      <c r="R504" s="111">
        <f t="shared" si="384"/>
        <v>14</v>
      </c>
      <c r="S504" s="111">
        <f t="shared" si="384"/>
        <v>6</v>
      </c>
      <c r="T504" s="111">
        <f t="shared" si="384"/>
        <v>34</v>
      </c>
      <c r="U504" s="111">
        <f t="shared" si="384"/>
        <v>6</v>
      </c>
      <c r="V504" s="111">
        <f t="shared" si="384"/>
        <v>1</v>
      </c>
      <c r="W504" s="111">
        <f t="shared" si="384"/>
        <v>0</v>
      </c>
      <c r="X504" s="111">
        <f t="shared" si="384"/>
        <v>0</v>
      </c>
      <c r="Y504" s="111">
        <f t="shared" si="384"/>
        <v>0</v>
      </c>
      <c r="Z504" s="111">
        <f t="shared" si="384"/>
        <v>0</v>
      </c>
      <c r="AA504" s="111">
        <f t="shared" si="384"/>
        <v>0</v>
      </c>
      <c r="AB504" s="111">
        <f t="shared" si="384"/>
        <v>0</v>
      </c>
      <c r="AC504" s="111">
        <f t="shared" si="384"/>
        <v>3</v>
      </c>
      <c r="AD504" s="111">
        <f t="shared" si="384"/>
        <v>0</v>
      </c>
      <c r="AE504" s="111">
        <f t="shared" si="384"/>
        <v>0</v>
      </c>
      <c r="AF504" s="111">
        <f t="shared" si="384"/>
        <v>0</v>
      </c>
      <c r="AG504" s="111">
        <f t="shared" si="384"/>
        <v>0</v>
      </c>
      <c r="AH504" s="111">
        <f t="shared" si="384"/>
        <v>0</v>
      </c>
    </row>
    <row r="505">
      <c r="A505" s="104" t="s">
        <v>284</v>
      </c>
    </row>
    <row r="507" hidden="1">
      <c r="A507" s="105"/>
      <c r="F507" s="106" t="s">
        <v>251</v>
      </c>
      <c r="L507" s="107" t="s">
        <v>252</v>
      </c>
      <c r="N507" s="108" t="s">
        <v>253</v>
      </c>
    </row>
    <row r="508" hidden="1">
      <c r="A508" s="76" t="s">
        <v>148</v>
      </c>
      <c r="B508" s="76" t="s">
        <v>149</v>
      </c>
      <c r="C508" s="76" t="s">
        <v>150</v>
      </c>
      <c r="D508" s="76" t="s">
        <v>13</v>
      </c>
      <c r="E508" s="77" t="s">
        <v>151</v>
      </c>
      <c r="F508" s="78" t="s">
        <v>15</v>
      </c>
      <c r="G508" s="78" t="s">
        <v>152</v>
      </c>
      <c r="H508" s="78" t="s">
        <v>153</v>
      </c>
      <c r="I508" s="78" t="s">
        <v>154</v>
      </c>
      <c r="J508" s="78" t="s">
        <v>155</v>
      </c>
      <c r="K508" s="79" t="s">
        <v>156</v>
      </c>
      <c r="L508" s="80" t="s">
        <v>157</v>
      </c>
      <c r="M508" s="80" t="s">
        <v>158</v>
      </c>
      <c r="N508" s="81" t="s">
        <v>254</v>
      </c>
      <c r="O508" s="81" t="s">
        <v>151</v>
      </c>
      <c r="P508" s="81" t="s">
        <v>160</v>
      </c>
      <c r="Q508" s="81" t="s">
        <v>161</v>
      </c>
      <c r="R508" s="81" t="s">
        <v>162</v>
      </c>
      <c r="S508" s="81" t="s">
        <v>163</v>
      </c>
      <c r="T508" s="81" t="s">
        <v>164</v>
      </c>
      <c r="U508" s="81" t="s">
        <v>165</v>
      </c>
      <c r="V508" s="81" t="s">
        <v>166</v>
      </c>
      <c r="W508" s="81" t="s">
        <v>167</v>
      </c>
      <c r="X508" s="81" t="s">
        <v>168</v>
      </c>
      <c r="Y508" s="81" t="s">
        <v>169</v>
      </c>
      <c r="Z508" s="81" t="s">
        <v>170</v>
      </c>
      <c r="AA508" s="81" t="s">
        <v>171</v>
      </c>
      <c r="AB508" s="81" t="s">
        <v>172</v>
      </c>
      <c r="AC508" s="81" t="s">
        <v>173</v>
      </c>
      <c r="AD508" s="81" t="s">
        <v>174</v>
      </c>
      <c r="AE508" s="81" t="s">
        <v>175</v>
      </c>
      <c r="AF508" s="81" t="s">
        <v>176</v>
      </c>
      <c r="AG508" s="81" t="s">
        <v>177</v>
      </c>
      <c r="AH508" s="81" t="s">
        <v>178</v>
      </c>
    </row>
    <row r="509" hidden="1">
      <c r="A509" s="83" t="s">
        <v>20</v>
      </c>
      <c r="B509" s="84" t="s">
        <v>232</v>
      </c>
      <c r="C509" s="85">
        <v>1.0</v>
      </c>
      <c r="D509" s="85">
        <v>1.0</v>
      </c>
      <c r="E509" s="86">
        <v>30.0</v>
      </c>
      <c r="F509" s="94">
        <v>0.0</v>
      </c>
      <c r="G509" s="85">
        <v>126.0</v>
      </c>
      <c r="H509" s="94">
        <v>0.0</v>
      </c>
      <c r="I509" s="85">
        <v>93.0</v>
      </c>
      <c r="J509" s="95">
        <f t="shared" ref="J509:J522" si="385">SUM(G509-I509)</f>
        <v>33</v>
      </c>
      <c r="K509" s="87">
        <f t="shared" ref="K509:K522" si="386">SUM(G509/I509)</f>
        <v>1.35483871</v>
      </c>
      <c r="L509" s="85">
        <v>15.0</v>
      </c>
      <c r="M509" s="85">
        <v>192.0</v>
      </c>
      <c r="N509" s="85">
        <v>1.0</v>
      </c>
      <c r="O509" s="110">
        <f t="shared" ref="O509:O514" si="387">(E509*N509)</f>
        <v>30</v>
      </c>
      <c r="P509" s="85">
        <v>9.0</v>
      </c>
      <c r="Q509" s="85">
        <v>1.0</v>
      </c>
      <c r="R509" s="85">
        <v>23.0</v>
      </c>
      <c r="S509" s="85">
        <v>3.0</v>
      </c>
      <c r="T509" s="85">
        <v>25.0</v>
      </c>
      <c r="U509" s="85">
        <v>3.0</v>
      </c>
      <c r="V509" s="85">
        <v>1.0</v>
      </c>
      <c r="W509" s="94">
        <v>0.0</v>
      </c>
      <c r="X509" s="94">
        <v>0.0</v>
      </c>
      <c r="Y509" s="94">
        <v>0.0</v>
      </c>
      <c r="Z509" s="94">
        <v>0.0</v>
      </c>
      <c r="AA509" s="94">
        <v>0.0</v>
      </c>
      <c r="AB509" s="94">
        <v>0.0</v>
      </c>
      <c r="AC509" s="85">
        <v>5.0</v>
      </c>
      <c r="AD509" s="94">
        <v>0.0</v>
      </c>
      <c r="AE509" s="94">
        <v>0.0</v>
      </c>
      <c r="AF509" s="94">
        <v>0.0</v>
      </c>
      <c r="AG509" s="94">
        <v>0.0</v>
      </c>
      <c r="AH509" s="94">
        <v>0.0</v>
      </c>
    </row>
    <row r="510" hidden="1">
      <c r="A510" s="83" t="s">
        <v>20</v>
      </c>
      <c r="B510" s="84" t="s">
        <v>233</v>
      </c>
      <c r="C510" s="85">
        <v>1.0</v>
      </c>
      <c r="D510" s="85">
        <v>1.0</v>
      </c>
      <c r="E510" s="86">
        <v>30.0</v>
      </c>
      <c r="F510" s="94">
        <v>0.0</v>
      </c>
      <c r="G510" s="85">
        <v>146.0</v>
      </c>
      <c r="H510" s="94">
        <v>0.0</v>
      </c>
      <c r="I510" s="85">
        <v>122.0</v>
      </c>
      <c r="J510" s="95">
        <f t="shared" si="385"/>
        <v>24</v>
      </c>
      <c r="K510" s="87">
        <f t="shared" si="386"/>
        <v>1.196721311</v>
      </c>
      <c r="L510" s="85">
        <v>11.0</v>
      </c>
      <c r="M510" s="85">
        <v>222.0</v>
      </c>
      <c r="N510" s="85">
        <v>1.0</v>
      </c>
      <c r="O510" s="110">
        <f t="shared" si="387"/>
        <v>30</v>
      </c>
      <c r="P510" s="85">
        <v>4.0</v>
      </c>
      <c r="Q510" s="94">
        <v>0.0</v>
      </c>
      <c r="R510" s="85">
        <v>24.0</v>
      </c>
      <c r="S510" s="85">
        <v>2.0</v>
      </c>
      <c r="T510" s="85">
        <v>36.0</v>
      </c>
      <c r="U510" s="85">
        <v>5.0</v>
      </c>
      <c r="V510" s="85">
        <v>3.0</v>
      </c>
      <c r="W510" s="85">
        <v>1.0</v>
      </c>
      <c r="X510" s="85">
        <v>1.0</v>
      </c>
      <c r="Y510" s="94">
        <v>0.0</v>
      </c>
      <c r="Z510" s="94">
        <v>0.0</v>
      </c>
      <c r="AA510" s="94">
        <v>0.0</v>
      </c>
      <c r="AB510" s="94">
        <v>0.0</v>
      </c>
      <c r="AC510" s="85">
        <v>6.0</v>
      </c>
      <c r="AD510" s="94">
        <v>0.0</v>
      </c>
      <c r="AE510" s="94">
        <v>0.0</v>
      </c>
      <c r="AF510" s="94">
        <v>0.0</v>
      </c>
      <c r="AG510" s="94">
        <v>0.0</v>
      </c>
      <c r="AH510" s="94">
        <v>0.0</v>
      </c>
    </row>
    <row r="511" hidden="1">
      <c r="A511" s="83" t="s">
        <v>20</v>
      </c>
      <c r="B511" s="84" t="s">
        <v>234</v>
      </c>
      <c r="C511" s="85">
        <v>1.0</v>
      </c>
      <c r="D511" s="85">
        <v>1.0</v>
      </c>
      <c r="E511" s="86">
        <v>30.0</v>
      </c>
      <c r="F511" s="94">
        <v>0.0</v>
      </c>
      <c r="G511" s="85">
        <v>93.0</v>
      </c>
      <c r="H511" s="85">
        <v>3.0</v>
      </c>
      <c r="I511" s="85">
        <v>108.0</v>
      </c>
      <c r="J511" s="95">
        <f t="shared" si="385"/>
        <v>-15</v>
      </c>
      <c r="K511" s="87">
        <f t="shared" si="386"/>
        <v>0.8611111111</v>
      </c>
      <c r="L511" s="85">
        <v>13.0</v>
      </c>
      <c r="M511" s="85">
        <v>123.0</v>
      </c>
      <c r="N511" s="85">
        <v>1.0</v>
      </c>
      <c r="O511" s="110">
        <f t="shared" si="387"/>
        <v>30</v>
      </c>
      <c r="P511" s="85">
        <v>2.0</v>
      </c>
      <c r="Q511" s="94">
        <v>0.0</v>
      </c>
      <c r="R511" s="85">
        <v>9.0</v>
      </c>
      <c r="S511" s="85">
        <v>2.0</v>
      </c>
      <c r="T511" s="85">
        <v>12.0</v>
      </c>
      <c r="U511" s="85">
        <v>4.0</v>
      </c>
      <c r="V511" s="85">
        <v>1.0</v>
      </c>
      <c r="W511" s="85">
        <v>1.0</v>
      </c>
      <c r="X511" s="94">
        <v>0.0</v>
      </c>
      <c r="Y511" s="94">
        <v>0.0</v>
      </c>
      <c r="Z511" s="94">
        <v>0.0</v>
      </c>
      <c r="AA511" s="94">
        <v>0.0</v>
      </c>
      <c r="AB511" s="94">
        <v>0.0</v>
      </c>
      <c r="AC511" s="85">
        <v>2.0</v>
      </c>
      <c r="AD511" s="94">
        <v>0.0</v>
      </c>
      <c r="AE511" s="94">
        <v>0.0</v>
      </c>
      <c r="AF511" s="94">
        <v>0.0</v>
      </c>
      <c r="AG511" s="94">
        <v>0.0</v>
      </c>
      <c r="AH511" s="94">
        <v>0.0</v>
      </c>
    </row>
    <row r="512" hidden="1">
      <c r="A512" s="83" t="s">
        <v>20</v>
      </c>
      <c r="B512" s="84" t="s">
        <v>235</v>
      </c>
      <c r="C512" s="85">
        <v>1.0</v>
      </c>
      <c r="D512" s="85">
        <v>1.0</v>
      </c>
      <c r="E512" s="86">
        <v>30.0</v>
      </c>
      <c r="F512" s="85">
        <v>5.0</v>
      </c>
      <c r="G512" s="85">
        <v>51.0</v>
      </c>
      <c r="H512" s="85">
        <v>1.0</v>
      </c>
      <c r="I512" s="85">
        <v>72.0</v>
      </c>
      <c r="J512" s="95">
        <f t="shared" si="385"/>
        <v>-21</v>
      </c>
      <c r="K512" s="87">
        <f t="shared" si="386"/>
        <v>0.7083333333</v>
      </c>
      <c r="L512" s="85">
        <v>21.0</v>
      </c>
      <c r="M512" s="85">
        <v>65.0</v>
      </c>
      <c r="N512" s="85">
        <v>1.0</v>
      </c>
      <c r="O512" s="110">
        <f t="shared" si="387"/>
        <v>30</v>
      </c>
      <c r="P512" s="85">
        <v>3.0</v>
      </c>
      <c r="Q512" s="85">
        <v>1.0</v>
      </c>
      <c r="R512" s="94">
        <v>0.0</v>
      </c>
      <c r="S512" s="94">
        <v>0.0</v>
      </c>
      <c r="T512" s="85">
        <v>5.0</v>
      </c>
      <c r="U512" s="85">
        <v>2.0</v>
      </c>
      <c r="V512" s="94">
        <v>0.0</v>
      </c>
      <c r="W512" s="94">
        <v>0.0</v>
      </c>
      <c r="X512" s="94">
        <v>0.0</v>
      </c>
      <c r="Y512" s="94">
        <v>0.0</v>
      </c>
      <c r="Z512" s="94">
        <v>0.0</v>
      </c>
      <c r="AA512" s="94">
        <v>0.0</v>
      </c>
      <c r="AB512" s="94">
        <v>0.0</v>
      </c>
      <c r="AC512" s="85">
        <v>1.0</v>
      </c>
      <c r="AD512" s="94">
        <v>0.0</v>
      </c>
      <c r="AE512" s="94">
        <v>0.0</v>
      </c>
      <c r="AF512" s="94">
        <v>0.0</v>
      </c>
      <c r="AG512" s="94">
        <v>0.0</v>
      </c>
      <c r="AH512" s="94">
        <v>0.0</v>
      </c>
    </row>
    <row r="513" hidden="1">
      <c r="A513" s="83" t="s">
        <v>20</v>
      </c>
      <c r="B513" s="84" t="s">
        <v>236</v>
      </c>
      <c r="C513" s="85">
        <v>0.0</v>
      </c>
      <c r="D513" s="94">
        <v>0.0</v>
      </c>
      <c r="E513" s="96">
        <f t="shared" ref="E513:E514" si="388">SUM(L513*I513)/60</f>
        <v>0</v>
      </c>
      <c r="F513" s="94">
        <v>0.0</v>
      </c>
      <c r="G513" s="94">
        <v>0.0</v>
      </c>
      <c r="H513" s="94">
        <v>0.0</v>
      </c>
      <c r="I513" s="94">
        <v>0.0</v>
      </c>
      <c r="J513" s="95">
        <f t="shared" si="385"/>
        <v>0</v>
      </c>
      <c r="K513" s="87" t="str">
        <f t="shared" si="386"/>
        <v>#DIV/0!</v>
      </c>
      <c r="L513" s="94">
        <v>0.0</v>
      </c>
      <c r="M513" s="94">
        <v>0.0</v>
      </c>
      <c r="N513" s="85">
        <v>0.0</v>
      </c>
      <c r="O513" s="110">
        <f t="shared" si="387"/>
        <v>0</v>
      </c>
      <c r="P513" s="94">
        <v>0.0</v>
      </c>
      <c r="Q513" s="94">
        <v>0.0</v>
      </c>
      <c r="R513" s="94">
        <v>0.0</v>
      </c>
      <c r="S513" s="94">
        <v>0.0</v>
      </c>
      <c r="T513" s="94">
        <v>0.0</v>
      </c>
      <c r="U513" s="94">
        <v>0.0</v>
      </c>
      <c r="V513" s="94">
        <v>0.0</v>
      </c>
      <c r="W513" s="94">
        <v>0.0</v>
      </c>
      <c r="X513" s="94">
        <v>0.0</v>
      </c>
      <c r="Y513" s="94">
        <v>0.0</v>
      </c>
      <c r="Z513" s="94">
        <v>0.0</v>
      </c>
      <c r="AA513" s="94">
        <v>0.0</v>
      </c>
      <c r="AB513" s="94">
        <v>0.0</v>
      </c>
      <c r="AC513" s="94">
        <v>0.0</v>
      </c>
      <c r="AD513" s="94">
        <v>0.0</v>
      </c>
      <c r="AE513" s="94">
        <v>0.0</v>
      </c>
      <c r="AF513" s="94">
        <v>0.0</v>
      </c>
      <c r="AG513" s="94">
        <v>0.0</v>
      </c>
      <c r="AH513" s="94">
        <v>0.0</v>
      </c>
    </row>
    <row r="514" hidden="1">
      <c r="A514" s="83" t="s">
        <v>20</v>
      </c>
      <c r="B514" s="93"/>
      <c r="C514" s="94">
        <v>0.0</v>
      </c>
      <c r="D514" s="94">
        <v>0.0</v>
      </c>
      <c r="E514" s="96">
        <f t="shared" si="388"/>
        <v>0</v>
      </c>
      <c r="F514" s="94">
        <v>0.0</v>
      </c>
      <c r="G514" s="94">
        <v>0.0</v>
      </c>
      <c r="H514" s="94">
        <v>0.0</v>
      </c>
      <c r="I514" s="94">
        <v>0.0</v>
      </c>
      <c r="J514" s="95">
        <f t="shared" si="385"/>
        <v>0</v>
      </c>
      <c r="K514" s="87" t="str">
        <f t="shared" si="386"/>
        <v>#DIV/0!</v>
      </c>
      <c r="L514" s="94">
        <v>0.0</v>
      </c>
      <c r="M514" s="94">
        <v>0.0</v>
      </c>
      <c r="N514" s="85">
        <v>0.0</v>
      </c>
      <c r="O514" s="110">
        <f t="shared" si="387"/>
        <v>0</v>
      </c>
      <c r="P514" s="94">
        <v>0.0</v>
      </c>
      <c r="Q514" s="94">
        <v>0.0</v>
      </c>
      <c r="R514" s="94">
        <v>0.0</v>
      </c>
      <c r="S514" s="94">
        <v>0.0</v>
      </c>
      <c r="T514" s="94">
        <v>0.0</v>
      </c>
      <c r="U514" s="94">
        <v>0.0</v>
      </c>
      <c r="V514" s="94">
        <v>0.0</v>
      </c>
      <c r="W514" s="94">
        <v>0.0</v>
      </c>
      <c r="X514" s="94">
        <v>0.0</v>
      </c>
      <c r="Y514" s="94">
        <v>0.0</v>
      </c>
      <c r="Z514" s="94">
        <v>0.0</v>
      </c>
      <c r="AA514" s="94">
        <v>0.0</v>
      </c>
      <c r="AB514" s="94">
        <v>0.0</v>
      </c>
      <c r="AC514" s="94">
        <v>0.0</v>
      </c>
      <c r="AD514" s="94">
        <v>0.0</v>
      </c>
      <c r="AE514" s="94">
        <v>0.0</v>
      </c>
      <c r="AF514" s="94">
        <v>0.0</v>
      </c>
      <c r="AG514" s="94">
        <v>0.0</v>
      </c>
      <c r="AH514" s="94">
        <v>0.0</v>
      </c>
    </row>
    <row r="515" hidden="1">
      <c r="A515" s="89"/>
      <c r="B515" s="111"/>
      <c r="C515" s="111">
        <f t="shared" ref="C515:D515" si="389">SUM(C509:C514)/4</f>
        <v>1</v>
      </c>
      <c r="D515" s="111">
        <f t="shared" si="389"/>
        <v>1</v>
      </c>
      <c r="E515" s="91">
        <f t="shared" ref="E515:G515" si="390">SUM(E509:E514)</f>
        <v>120</v>
      </c>
      <c r="F515" s="111">
        <f t="shared" si="390"/>
        <v>5</v>
      </c>
      <c r="G515" s="111">
        <f t="shared" si="390"/>
        <v>416</v>
      </c>
      <c r="H515" s="111"/>
      <c r="I515" s="111">
        <f>SUM(I509:I514)</f>
        <v>395</v>
      </c>
      <c r="J515" s="111">
        <f t="shared" si="385"/>
        <v>21</v>
      </c>
      <c r="K515" s="92">
        <f t="shared" si="386"/>
        <v>1.053164557</v>
      </c>
      <c r="L515" s="111">
        <f t="shared" ref="L515:M515" si="391">SUM(L509:L514)</f>
        <v>60</v>
      </c>
      <c r="M515" s="111">
        <f t="shared" si="391"/>
        <v>602</v>
      </c>
      <c r="N515" s="111"/>
      <c r="O515" s="112"/>
      <c r="P515" s="111">
        <f t="shared" ref="P515:AH515" si="392">SUM(P509:P514)</f>
        <v>18</v>
      </c>
      <c r="Q515" s="111">
        <f t="shared" si="392"/>
        <v>2</v>
      </c>
      <c r="R515" s="111">
        <f t="shared" si="392"/>
        <v>56</v>
      </c>
      <c r="S515" s="111">
        <f t="shared" si="392"/>
        <v>7</v>
      </c>
      <c r="T515" s="111">
        <f t="shared" si="392"/>
        <v>78</v>
      </c>
      <c r="U515" s="111">
        <f t="shared" si="392"/>
        <v>14</v>
      </c>
      <c r="V515" s="111">
        <f t="shared" si="392"/>
        <v>5</v>
      </c>
      <c r="W515" s="111">
        <f t="shared" si="392"/>
        <v>2</v>
      </c>
      <c r="X515" s="111">
        <f t="shared" si="392"/>
        <v>1</v>
      </c>
      <c r="Y515" s="111">
        <f t="shared" si="392"/>
        <v>0</v>
      </c>
      <c r="Z515" s="111">
        <f t="shared" si="392"/>
        <v>0</v>
      </c>
      <c r="AA515" s="111">
        <f t="shared" si="392"/>
        <v>0</v>
      </c>
      <c r="AB515" s="111">
        <f t="shared" si="392"/>
        <v>0</v>
      </c>
      <c r="AC515" s="111">
        <f t="shared" si="392"/>
        <v>14</v>
      </c>
      <c r="AD515" s="111">
        <f t="shared" si="392"/>
        <v>0</v>
      </c>
      <c r="AE515" s="111">
        <f t="shared" si="392"/>
        <v>0</v>
      </c>
      <c r="AF515" s="111">
        <f t="shared" si="392"/>
        <v>0</v>
      </c>
      <c r="AG515" s="111">
        <f t="shared" si="392"/>
        <v>0</v>
      </c>
      <c r="AH515" s="111">
        <f t="shared" si="392"/>
        <v>0</v>
      </c>
    </row>
    <row r="516" hidden="1">
      <c r="A516" s="83" t="s">
        <v>58</v>
      </c>
      <c r="B516" s="84" t="s">
        <v>209</v>
      </c>
      <c r="C516" s="85">
        <v>1.0</v>
      </c>
      <c r="D516" s="94">
        <v>0.0</v>
      </c>
      <c r="E516" s="86">
        <v>30.0</v>
      </c>
      <c r="F516" s="94">
        <v>0.0</v>
      </c>
      <c r="G516" s="85">
        <v>98.0</v>
      </c>
      <c r="H516" s="94">
        <v>0.0</v>
      </c>
      <c r="I516" s="85">
        <v>138.0</v>
      </c>
      <c r="J516" s="95">
        <f t="shared" si="385"/>
        <v>-40</v>
      </c>
      <c r="K516" s="87">
        <f t="shared" si="386"/>
        <v>0.7101449275</v>
      </c>
      <c r="L516" s="85">
        <v>9.0</v>
      </c>
      <c r="M516" s="85">
        <v>118.0</v>
      </c>
      <c r="N516" s="85">
        <v>1.0</v>
      </c>
      <c r="O516" s="110">
        <f t="shared" ref="O516:O521" si="393">(E516*N516)</f>
        <v>30</v>
      </c>
      <c r="P516" s="85">
        <v>2.0</v>
      </c>
      <c r="Q516" s="85">
        <v>1.0</v>
      </c>
      <c r="R516" s="85">
        <v>3.0</v>
      </c>
      <c r="S516" s="85">
        <v>2.0</v>
      </c>
      <c r="T516" s="85">
        <v>13.0</v>
      </c>
      <c r="U516" s="85">
        <v>2.0</v>
      </c>
      <c r="V516" s="94">
        <v>0.0</v>
      </c>
      <c r="W516" s="94">
        <v>0.0</v>
      </c>
      <c r="X516" s="94">
        <v>0.0</v>
      </c>
      <c r="Y516" s="94">
        <v>0.0</v>
      </c>
      <c r="Z516" s="94">
        <v>0.0</v>
      </c>
      <c r="AA516" s="94">
        <v>0.0</v>
      </c>
      <c r="AB516" s="94">
        <v>0.0</v>
      </c>
      <c r="AC516" s="85">
        <v>2.0</v>
      </c>
      <c r="AD516" s="94">
        <v>0.0</v>
      </c>
      <c r="AE516" s="94">
        <v>0.0</v>
      </c>
      <c r="AF516" s="94">
        <v>0.0</v>
      </c>
      <c r="AG516" s="94">
        <v>0.0</v>
      </c>
      <c r="AH516" s="94">
        <v>0.0</v>
      </c>
    </row>
    <row r="517" hidden="1">
      <c r="A517" s="83" t="s">
        <v>58</v>
      </c>
      <c r="B517" s="84" t="s">
        <v>210</v>
      </c>
      <c r="C517" s="85">
        <v>1.0</v>
      </c>
      <c r="D517" s="94">
        <v>0.0</v>
      </c>
      <c r="E517" s="86">
        <v>30.0</v>
      </c>
      <c r="F517" s="85">
        <v>1.0</v>
      </c>
      <c r="G517" s="85">
        <v>87.0</v>
      </c>
      <c r="H517" s="94">
        <v>0.0</v>
      </c>
      <c r="I517" s="85">
        <v>83.0</v>
      </c>
      <c r="J517" s="95">
        <f t="shared" si="385"/>
        <v>4</v>
      </c>
      <c r="K517" s="87">
        <f t="shared" si="386"/>
        <v>1.048192771</v>
      </c>
      <c r="L517" s="85">
        <v>18.0</v>
      </c>
      <c r="M517" s="85">
        <v>109.0</v>
      </c>
      <c r="N517" s="85">
        <v>1.0</v>
      </c>
      <c r="O517" s="110">
        <f t="shared" si="393"/>
        <v>30</v>
      </c>
      <c r="P517" s="85">
        <v>8.0</v>
      </c>
      <c r="Q517" s="85">
        <v>3.0</v>
      </c>
      <c r="R517" s="85">
        <v>1.0</v>
      </c>
      <c r="S517" s="85">
        <v>1.0</v>
      </c>
      <c r="T517" s="85">
        <v>12.0</v>
      </c>
      <c r="U517" s="85">
        <v>2.0</v>
      </c>
      <c r="V517" s="94">
        <v>0.0</v>
      </c>
      <c r="W517" s="94">
        <v>0.0</v>
      </c>
      <c r="X517" s="94">
        <v>0.0</v>
      </c>
      <c r="Y517" s="94">
        <v>0.0</v>
      </c>
      <c r="Z517" s="94">
        <v>0.0</v>
      </c>
      <c r="AA517" s="94">
        <v>0.0</v>
      </c>
      <c r="AB517" s="94">
        <v>0.0</v>
      </c>
      <c r="AC517" s="85">
        <v>1.0</v>
      </c>
      <c r="AD517" s="94">
        <v>0.0</v>
      </c>
      <c r="AE517" s="94">
        <v>0.0</v>
      </c>
      <c r="AF517" s="94">
        <v>0.0</v>
      </c>
      <c r="AG517" s="94">
        <v>0.0</v>
      </c>
      <c r="AH517" s="94">
        <v>0.0</v>
      </c>
    </row>
    <row r="518" hidden="1">
      <c r="A518" s="83" t="s">
        <v>58</v>
      </c>
      <c r="B518" s="84" t="s">
        <v>211</v>
      </c>
      <c r="C518" s="85">
        <v>1.0</v>
      </c>
      <c r="D518" s="94">
        <v>0.0</v>
      </c>
      <c r="E518" s="86">
        <v>30.0</v>
      </c>
      <c r="F518" s="94">
        <v>0.0</v>
      </c>
      <c r="G518" s="85">
        <v>114.0</v>
      </c>
      <c r="H518" s="85">
        <v>1.0</v>
      </c>
      <c r="I518" s="85">
        <v>95.0</v>
      </c>
      <c r="J518" s="95">
        <f t="shared" si="385"/>
        <v>19</v>
      </c>
      <c r="K518" s="87">
        <f t="shared" si="386"/>
        <v>1.2</v>
      </c>
      <c r="L518" s="85">
        <v>15.0</v>
      </c>
      <c r="M518" s="85">
        <v>145.0</v>
      </c>
      <c r="N518" s="85">
        <v>1.0</v>
      </c>
      <c r="O518" s="110">
        <f t="shared" si="393"/>
        <v>30</v>
      </c>
      <c r="P518" s="85">
        <v>4.0</v>
      </c>
      <c r="Q518" s="85">
        <v>1.0</v>
      </c>
      <c r="R518" s="85">
        <v>6.0</v>
      </c>
      <c r="S518" s="85">
        <v>6.0</v>
      </c>
      <c r="T518" s="85">
        <v>11.0</v>
      </c>
      <c r="U518" s="85">
        <v>4.0</v>
      </c>
      <c r="V518" s="94">
        <v>0.0</v>
      </c>
      <c r="W518" s="94">
        <v>0.0</v>
      </c>
      <c r="X518" s="94">
        <v>0.0</v>
      </c>
      <c r="Y518" s="94">
        <v>0.0</v>
      </c>
      <c r="Z518" s="94">
        <v>0.0</v>
      </c>
      <c r="AA518" s="94">
        <v>0.0</v>
      </c>
      <c r="AB518" s="94">
        <v>0.0</v>
      </c>
      <c r="AC518" s="85">
        <v>3.0</v>
      </c>
      <c r="AD518" s="94">
        <v>0.0</v>
      </c>
      <c r="AE518" s="94">
        <v>0.0</v>
      </c>
      <c r="AF518" s="94">
        <v>0.0</v>
      </c>
      <c r="AG518" s="94">
        <v>0.0</v>
      </c>
      <c r="AH518" s="94">
        <v>0.0</v>
      </c>
    </row>
    <row r="519" hidden="1">
      <c r="A519" s="83" t="s">
        <v>58</v>
      </c>
      <c r="B519" s="84" t="s">
        <v>212</v>
      </c>
      <c r="C519" s="85">
        <v>1.0</v>
      </c>
      <c r="D519" s="94">
        <v>0.0</v>
      </c>
      <c r="E519" s="86">
        <v>30.0</v>
      </c>
      <c r="F519" s="94">
        <v>0.0</v>
      </c>
      <c r="G519" s="85">
        <v>92.0</v>
      </c>
      <c r="H519" s="94">
        <v>0.0</v>
      </c>
      <c r="I519" s="85">
        <v>116.0</v>
      </c>
      <c r="J519" s="95">
        <f t="shared" si="385"/>
        <v>-24</v>
      </c>
      <c r="K519" s="87">
        <f t="shared" si="386"/>
        <v>0.7931034483</v>
      </c>
      <c r="L519" s="85">
        <v>12.0</v>
      </c>
      <c r="M519" s="85">
        <v>121.0</v>
      </c>
      <c r="N519" s="85">
        <v>1.0</v>
      </c>
      <c r="O519" s="110">
        <f t="shared" si="393"/>
        <v>30</v>
      </c>
      <c r="P519" s="85">
        <v>4.0</v>
      </c>
      <c r="Q519" s="85">
        <v>5.0</v>
      </c>
      <c r="R519" s="85">
        <v>5.0</v>
      </c>
      <c r="S519" s="85">
        <v>4.0</v>
      </c>
      <c r="T519" s="85">
        <v>15.0</v>
      </c>
      <c r="U519" s="85">
        <v>2.0</v>
      </c>
      <c r="V519" s="85">
        <v>1.0</v>
      </c>
      <c r="W519" s="94">
        <v>0.0</v>
      </c>
      <c r="X519" s="94">
        <v>0.0</v>
      </c>
      <c r="Y519" s="94">
        <v>0.0</v>
      </c>
      <c r="Z519" s="94">
        <v>0.0</v>
      </c>
      <c r="AA519" s="94">
        <v>0.0</v>
      </c>
      <c r="AB519" s="94">
        <v>0.0</v>
      </c>
      <c r="AC519" s="85">
        <v>1.0</v>
      </c>
      <c r="AD519" s="94">
        <v>0.0</v>
      </c>
      <c r="AE519" s="94">
        <v>0.0</v>
      </c>
      <c r="AF519" s="94">
        <v>0.0</v>
      </c>
      <c r="AG519" s="94">
        <v>0.0</v>
      </c>
      <c r="AH519" s="94">
        <v>0.0</v>
      </c>
    </row>
    <row r="520" hidden="1">
      <c r="A520" s="83" t="s">
        <v>58</v>
      </c>
      <c r="B520" s="84" t="s">
        <v>213</v>
      </c>
      <c r="C520" s="94">
        <v>0.0</v>
      </c>
      <c r="D520" s="94">
        <v>0.0</v>
      </c>
      <c r="E520" s="96">
        <f t="shared" ref="E520:E521" si="394">SUM(L520*I520)/60</f>
        <v>0</v>
      </c>
      <c r="F520" s="94">
        <v>0.0</v>
      </c>
      <c r="G520" s="94">
        <v>0.0</v>
      </c>
      <c r="H520" s="94">
        <v>0.0</v>
      </c>
      <c r="I520" s="94">
        <v>0.0</v>
      </c>
      <c r="J520" s="95">
        <f t="shared" si="385"/>
        <v>0</v>
      </c>
      <c r="K520" s="87" t="str">
        <f t="shared" si="386"/>
        <v>#DIV/0!</v>
      </c>
      <c r="L520" s="94">
        <v>0.0</v>
      </c>
      <c r="M520" s="94">
        <v>0.0</v>
      </c>
      <c r="N520" s="85">
        <v>0.0</v>
      </c>
      <c r="O520" s="110">
        <f t="shared" si="393"/>
        <v>0</v>
      </c>
      <c r="P520" s="94">
        <v>0.0</v>
      </c>
      <c r="Q520" s="94">
        <v>0.0</v>
      </c>
      <c r="R520" s="94">
        <v>0.0</v>
      </c>
      <c r="S520" s="94">
        <v>0.0</v>
      </c>
      <c r="T520" s="94">
        <v>0.0</v>
      </c>
      <c r="U520" s="94">
        <v>0.0</v>
      </c>
      <c r="V520" s="94">
        <v>0.0</v>
      </c>
      <c r="W520" s="94">
        <v>0.0</v>
      </c>
      <c r="X520" s="94">
        <v>0.0</v>
      </c>
      <c r="Y520" s="94">
        <v>0.0</v>
      </c>
      <c r="Z520" s="94">
        <v>0.0</v>
      </c>
      <c r="AA520" s="94">
        <v>0.0</v>
      </c>
      <c r="AB520" s="94">
        <v>0.0</v>
      </c>
      <c r="AC520" s="94">
        <v>0.0</v>
      </c>
      <c r="AD520" s="94">
        <v>0.0</v>
      </c>
      <c r="AE520" s="94">
        <v>0.0</v>
      </c>
      <c r="AF520" s="94">
        <v>0.0</v>
      </c>
      <c r="AG520" s="94">
        <v>0.0</v>
      </c>
      <c r="AH520" s="94">
        <v>0.0</v>
      </c>
    </row>
    <row r="521" hidden="1">
      <c r="A521" s="109"/>
      <c r="B521" s="93"/>
      <c r="C521" s="94">
        <v>0.0</v>
      </c>
      <c r="D521" s="94">
        <v>0.0</v>
      </c>
      <c r="E521" s="96">
        <f t="shared" si="394"/>
        <v>0</v>
      </c>
      <c r="F521" s="94">
        <v>0.0</v>
      </c>
      <c r="G521" s="94">
        <v>0.0</v>
      </c>
      <c r="H521" s="94">
        <v>0.0</v>
      </c>
      <c r="I521" s="94">
        <v>0.0</v>
      </c>
      <c r="J521" s="95">
        <f t="shared" si="385"/>
        <v>0</v>
      </c>
      <c r="K521" s="87" t="str">
        <f t="shared" si="386"/>
        <v>#DIV/0!</v>
      </c>
      <c r="L521" s="94">
        <v>0.0</v>
      </c>
      <c r="M521" s="94">
        <v>0.0</v>
      </c>
      <c r="N521" s="85">
        <v>0.0</v>
      </c>
      <c r="O521" s="110">
        <f t="shared" si="393"/>
        <v>0</v>
      </c>
      <c r="P521" s="94">
        <v>0.0</v>
      </c>
      <c r="Q521" s="94">
        <v>0.0</v>
      </c>
      <c r="R521" s="94">
        <v>0.0</v>
      </c>
      <c r="S521" s="94">
        <v>0.0</v>
      </c>
      <c r="T521" s="94">
        <v>0.0</v>
      </c>
      <c r="U521" s="94">
        <v>0.0</v>
      </c>
      <c r="V521" s="94">
        <v>0.0</v>
      </c>
      <c r="W521" s="94">
        <v>0.0</v>
      </c>
      <c r="X521" s="94">
        <v>0.0</v>
      </c>
      <c r="Y521" s="94">
        <v>0.0</v>
      </c>
      <c r="Z521" s="94">
        <v>0.0</v>
      </c>
      <c r="AA521" s="94">
        <v>0.0</v>
      </c>
      <c r="AB521" s="94">
        <v>0.0</v>
      </c>
      <c r="AC521" s="94">
        <v>0.0</v>
      </c>
      <c r="AD521" s="94">
        <v>0.0</v>
      </c>
      <c r="AE521" s="94">
        <v>0.0</v>
      </c>
      <c r="AF521" s="94">
        <v>0.0</v>
      </c>
      <c r="AG521" s="94">
        <v>0.0</v>
      </c>
      <c r="AH521" s="94">
        <v>0.0</v>
      </c>
    </row>
    <row r="522" hidden="1">
      <c r="A522" s="89" t="s">
        <v>185</v>
      </c>
      <c r="B522" s="111"/>
      <c r="C522" s="111">
        <f>SUM(C516:C521)</f>
        <v>4</v>
      </c>
      <c r="D522" s="111">
        <f t="shared" ref="D522:E522" si="395">SUM(D516:D521)/4</f>
        <v>0</v>
      </c>
      <c r="E522" s="91">
        <f t="shared" si="395"/>
        <v>30</v>
      </c>
      <c r="F522" s="111">
        <f t="shared" ref="F522:G522" si="396">SUM(F516:F521)</f>
        <v>1</v>
      </c>
      <c r="G522" s="111">
        <f t="shared" si="396"/>
        <v>391</v>
      </c>
      <c r="H522" s="111"/>
      <c r="I522" s="111">
        <f>SUM(I516:I521)</f>
        <v>432</v>
      </c>
      <c r="J522" s="111">
        <f t="shared" si="385"/>
        <v>-41</v>
      </c>
      <c r="K522" s="92">
        <f t="shared" si="386"/>
        <v>0.9050925926</v>
      </c>
      <c r="L522" s="111">
        <f t="shared" ref="L522:M522" si="397">SUM(L516:L521)</f>
        <v>54</v>
      </c>
      <c r="M522" s="111">
        <f t="shared" si="397"/>
        <v>493</v>
      </c>
      <c r="N522" s="111"/>
      <c r="O522" s="112"/>
      <c r="P522" s="111">
        <f t="shared" ref="P522:AH522" si="398">SUM(P516:P521)</f>
        <v>18</v>
      </c>
      <c r="Q522" s="111">
        <f t="shared" si="398"/>
        <v>10</v>
      </c>
      <c r="R522" s="111">
        <f t="shared" si="398"/>
        <v>15</v>
      </c>
      <c r="S522" s="111">
        <f t="shared" si="398"/>
        <v>13</v>
      </c>
      <c r="T522" s="111">
        <f t="shared" si="398"/>
        <v>51</v>
      </c>
      <c r="U522" s="111">
        <f t="shared" si="398"/>
        <v>10</v>
      </c>
      <c r="V522" s="111">
        <f t="shared" si="398"/>
        <v>1</v>
      </c>
      <c r="W522" s="111">
        <f t="shared" si="398"/>
        <v>0</v>
      </c>
      <c r="X522" s="111">
        <f t="shared" si="398"/>
        <v>0</v>
      </c>
      <c r="Y522" s="111">
        <f t="shared" si="398"/>
        <v>0</v>
      </c>
      <c r="Z522" s="111">
        <f t="shared" si="398"/>
        <v>0</v>
      </c>
      <c r="AA522" s="111">
        <f t="shared" si="398"/>
        <v>0</v>
      </c>
      <c r="AB522" s="111">
        <f t="shared" si="398"/>
        <v>0</v>
      </c>
      <c r="AC522" s="111">
        <f t="shared" si="398"/>
        <v>7</v>
      </c>
      <c r="AD522" s="111">
        <f t="shared" si="398"/>
        <v>0</v>
      </c>
      <c r="AE522" s="111">
        <f t="shared" si="398"/>
        <v>0</v>
      </c>
      <c r="AF522" s="111">
        <f t="shared" si="398"/>
        <v>0</v>
      </c>
      <c r="AG522" s="111">
        <f t="shared" si="398"/>
        <v>0</v>
      </c>
      <c r="AH522" s="111">
        <f t="shared" si="398"/>
        <v>0</v>
      </c>
    </row>
    <row r="523">
      <c r="A523" s="104" t="s">
        <v>285</v>
      </c>
    </row>
    <row r="525" hidden="1">
      <c r="A525" s="105"/>
      <c r="F525" s="106" t="s">
        <v>251</v>
      </c>
      <c r="L525" s="107" t="s">
        <v>252</v>
      </c>
      <c r="N525" s="108" t="s">
        <v>253</v>
      </c>
    </row>
    <row r="526" hidden="1">
      <c r="A526" s="76" t="s">
        <v>148</v>
      </c>
      <c r="B526" s="76" t="s">
        <v>149</v>
      </c>
      <c r="C526" s="76" t="s">
        <v>150</v>
      </c>
      <c r="D526" s="76" t="s">
        <v>13</v>
      </c>
      <c r="E526" s="77" t="s">
        <v>151</v>
      </c>
      <c r="F526" s="78" t="s">
        <v>15</v>
      </c>
      <c r="G526" s="78" t="s">
        <v>152</v>
      </c>
      <c r="H526" s="78" t="s">
        <v>153</v>
      </c>
      <c r="I526" s="78" t="s">
        <v>154</v>
      </c>
      <c r="J526" s="78" t="s">
        <v>155</v>
      </c>
      <c r="K526" s="79" t="s">
        <v>156</v>
      </c>
      <c r="L526" s="80" t="s">
        <v>157</v>
      </c>
      <c r="M526" s="80" t="s">
        <v>158</v>
      </c>
      <c r="N526" s="81" t="s">
        <v>254</v>
      </c>
      <c r="O526" s="81" t="s">
        <v>151</v>
      </c>
      <c r="P526" s="81" t="s">
        <v>160</v>
      </c>
      <c r="Q526" s="81" t="s">
        <v>161</v>
      </c>
      <c r="R526" s="81" t="s">
        <v>162</v>
      </c>
      <c r="S526" s="81" t="s">
        <v>163</v>
      </c>
      <c r="T526" s="81" t="s">
        <v>164</v>
      </c>
      <c r="U526" s="81" t="s">
        <v>165</v>
      </c>
      <c r="V526" s="81" t="s">
        <v>166</v>
      </c>
      <c r="W526" s="81" t="s">
        <v>167</v>
      </c>
      <c r="X526" s="81" t="s">
        <v>168</v>
      </c>
      <c r="Y526" s="81" t="s">
        <v>169</v>
      </c>
      <c r="Z526" s="81" t="s">
        <v>170</v>
      </c>
      <c r="AA526" s="81" t="s">
        <v>171</v>
      </c>
      <c r="AB526" s="81" t="s">
        <v>172</v>
      </c>
      <c r="AC526" s="81" t="s">
        <v>173</v>
      </c>
      <c r="AD526" s="81" t="s">
        <v>174</v>
      </c>
      <c r="AE526" s="81" t="s">
        <v>175</v>
      </c>
      <c r="AF526" s="81" t="s">
        <v>176</v>
      </c>
      <c r="AG526" s="81" t="s">
        <v>177</v>
      </c>
      <c r="AH526" s="81" t="s">
        <v>178</v>
      </c>
    </row>
    <row r="527" hidden="1">
      <c r="A527" s="83" t="s">
        <v>44</v>
      </c>
      <c r="B527" s="84" t="s">
        <v>186</v>
      </c>
      <c r="C527" s="85">
        <v>0.0</v>
      </c>
      <c r="D527" s="94">
        <v>0.0</v>
      </c>
      <c r="E527" s="96">
        <f>SUM(L527*I527)/60</f>
        <v>0</v>
      </c>
      <c r="F527" s="94">
        <v>0.0</v>
      </c>
      <c r="G527" s="94">
        <v>0.0</v>
      </c>
      <c r="H527" s="94">
        <v>0.0</v>
      </c>
      <c r="I527" s="94">
        <v>0.0</v>
      </c>
      <c r="J527" s="95">
        <f t="shared" ref="J527:J540" si="399">SUM(G527-I527)</f>
        <v>0</v>
      </c>
      <c r="K527" s="87" t="str">
        <f t="shared" ref="K527:K540" si="400">SUM(G527/I527)</f>
        <v>#DIV/0!</v>
      </c>
      <c r="L527" s="94">
        <v>0.0</v>
      </c>
      <c r="M527" s="94">
        <v>0.0</v>
      </c>
      <c r="N527" s="85">
        <v>0.0</v>
      </c>
      <c r="O527" s="110">
        <f t="shared" ref="O527:O532" si="401">(E527*N527)</f>
        <v>0</v>
      </c>
      <c r="P527" s="94">
        <v>0.0</v>
      </c>
      <c r="Q527" s="94">
        <v>0.0</v>
      </c>
      <c r="R527" s="94">
        <v>0.0</v>
      </c>
      <c r="S527" s="94">
        <v>0.0</v>
      </c>
      <c r="T527" s="94">
        <v>0.0</v>
      </c>
      <c r="U527" s="94">
        <v>0.0</v>
      </c>
      <c r="V527" s="94">
        <v>0.0</v>
      </c>
      <c r="W527" s="94">
        <v>0.0</v>
      </c>
      <c r="X527" s="94">
        <v>0.0</v>
      </c>
      <c r="Y527" s="94">
        <v>0.0</v>
      </c>
      <c r="Z527" s="94">
        <v>0.0</v>
      </c>
      <c r="AA527" s="94">
        <v>0.0</v>
      </c>
      <c r="AB527" s="94">
        <v>0.0</v>
      </c>
      <c r="AC527" s="94">
        <v>0.0</v>
      </c>
      <c r="AD527" s="94">
        <v>0.0</v>
      </c>
      <c r="AE527" s="94">
        <v>0.0</v>
      </c>
      <c r="AF527" s="94">
        <v>0.0</v>
      </c>
      <c r="AG527" s="94">
        <v>0.0</v>
      </c>
      <c r="AH527" s="94">
        <v>0.0</v>
      </c>
    </row>
    <row r="528" hidden="1">
      <c r="A528" s="83" t="s">
        <v>44</v>
      </c>
      <c r="B528" s="84" t="s">
        <v>187</v>
      </c>
      <c r="C528" s="85">
        <v>1.0</v>
      </c>
      <c r="D528" s="94">
        <v>0.0</v>
      </c>
      <c r="E528" s="86">
        <v>42.0</v>
      </c>
      <c r="F528" s="85">
        <v>1.0</v>
      </c>
      <c r="G528" s="85">
        <v>145.0</v>
      </c>
      <c r="H528" s="94">
        <v>0.0</v>
      </c>
      <c r="I528" s="85">
        <v>149.0</v>
      </c>
      <c r="J528" s="95">
        <f t="shared" si="399"/>
        <v>-4</v>
      </c>
      <c r="K528" s="87">
        <f t="shared" si="400"/>
        <v>0.9731543624</v>
      </c>
      <c r="L528" s="85">
        <v>13.0</v>
      </c>
      <c r="M528" s="85">
        <v>186.0</v>
      </c>
      <c r="N528" s="85">
        <v>1.0</v>
      </c>
      <c r="O528" s="110">
        <f t="shared" si="401"/>
        <v>42</v>
      </c>
      <c r="P528" s="85">
        <v>4.0</v>
      </c>
      <c r="Q528" s="85">
        <v>1.0</v>
      </c>
      <c r="R528" s="85">
        <v>11.0</v>
      </c>
      <c r="S528" s="85">
        <v>2.0</v>
      </c>
      <c r="T528" s="85">
        <v>26.0</v>
      </c>
      <c r="U528" s="85">
        <v>1.0</v>
      </c>
      <c r="V528" s="94">
        <v>0.0</v>
      </c>
      <c r="W528" s="94">
        <v>0.0</v>
      </c>
      <c r="X528" s="94">
        <v>0.0</v>
      </c>
      <c r="Y528" s="94">
        <v>0.0</v>
      </c>
      <c r="Z528" s="94">
        <v>0.0</v>
      </c>
      <c r="AA528" s="94">
        <v>0.0</v>
      </c>
      <c r="AB528" s="94">
        <v>0.0</v>
      </c>
      <c r="AC528" s="85">
        <v>2.0</v>
      </c>
      <c r="AD528" s="94">
        <v>0.0</v>
      </c>
      <c r="AE528" s="94">
        <v>0.0</v>
      </c>
      <c r="AF528" s="94">
        <v>0.0</v>
      </c>
      <c r="AG528" s="94">
        <v>0.0</v>
      </c>
      <c r="AH528" s="94">
        <v>0.0</v>
      </c>
    </row>
    <row r="529" hidden="1">
      <c r="A529" s="83" t="s">
        <v>44</v>
      </c>
      <c r="B529" s="84" t="s">
        <v>188</v>
      </c>
      <c r="C529" s="85">
        <v>1.0</v>
      </c>
      <c r="D529" s="94">
        <v>0.0</v>
      </c>
      <c r="E529" s="86">
        <v>42.0</v>
      </c>
      <c r="F529" s="85">
        <v>1.0</v>
      </c>
      <c r="G529" s="85">
        <v>96.0</v>
      </c>
      <c r="H529" s="94">
        <v>0.0</v>
      </c>
      <c r="I529" s="85">
        <v>113.0</v>
      </c>
      <c r="J529" s="95">
        <f t="shared" si="399"/>
        <v>-17</v>
      </c>
      <c r="K529" s="87">
        <f t="shared" si="400"/>
        <v>0.8495575221</v>
      </c>
      <c r="L529" s="85">
        <v>19.0</v>
      </c>
      <c r="M529" s="85">
        <v>111.0</v>
      </c>
      <c r="N529" s="85">
        <v>1.0</v>
      </c>
      <c r="O529" s="110">
        <f t="shared" si="401"/>
        <v>42</v>
      </c>
      <c r="P529" s="85">
        <v>3.0</v>
      </c>
      <c r="Q529" s="94">
        <v>0.0</v>
      </c>
      <c r="R529" s="85">
        <v>3.0</v>
      </c>
      <c r="S529" s="85">
        <v>3.0</v>
      </c>
      <c r="T529" s="85">
        <v>10.0</v>
      </c>
      <c r="U529" s="85">
        <v>2.0</v>
      </c>
      <c r="V529" s="85">
        <v>1.0</v>
      </c>
      <c r="W529" s="94">
        <v>0.0</v>
      </c>
      <c r="X529" s="94">
        <v>0.0</v>
      </c>
      <c r="Y529" s="94">
        <v>0.0</v>
      </c>
      <c r="Z529" s="94">
        <v>0.0</v>
      </c>
      <c r="AA529" s="94">
        <v>0.0</v>
      </c>
      <c r="AB529" s="94">
        <v>0.0</v>
      </c>
      <c r="AC529" s="94">
        <v>0.0</v>
      </c>
      <c r="AD529" s="94">
        <v>0.0</v>
      </c>
      <c r="AE529" s="94">
        <v>0.0</v>
      </c>
      <c r="AF529" s="94">
        <v>0.0</v>
      </c>
      <c r="AG529" s="94">
        <v>0.0</v>
      </c>
      <c r="AH529" s="94">
        <v>0.0</v>
      </c>
    </row>
    <row r="530" hidden="1">
      <c r="A530" s="83" t="s">
        <v>44</v>
      </c>
      <c r="B530" s="84" t="s">
        <v>189</v>
      </c>
      <c r="C530" s="85">
        <v>1.0</v>
      </c>
      <c r="D530" s="94">
        <v>0.0</v>
      </c>
      <c r="E530" s="86">
        <v>42.0</v>
      </c>
      <c r="F530" s="85">
        <v>0.0</v>
      </c>
      <c r="G530" s="85">
        <v>129.0</v>
      </c>
      <c r="H530" s="94">
        <v>0.0</v>
      </c>
      <c r="I530" s="85">
        <v>148.0</v>
      </c>
      <c r="J530" s="95">
        <f t="shared" si="399"/>
        <v>-19</v>
      </c>
      <c r="K530" s="87">
        <f t="shared" si="400"/>
        <v>0.8716216216</v>
      </c>
      <c r="L530" s="85">
        <v>14.0</v>
      </c>
      <c r="M530" s="85">
        <v>161.0</v>
      </c>
      <c r="N530" s="85">
        <v>1.0</v>
      </c>
      <c r="O530" s="110">
        <f t="shared" si="401"/>
        <v>42</v>
      </c>
      <c r="P530" s="85">
        <v>3.0</v>
      </c>
      <c r="Q530" s="85">
        <v>1.0</v>
      </c>
      <c r="R530" s="85">
        <v>9.0</v>
      </c>
      <c r="S530" s="85">
        <v>5.0</v>
      </c>
      <c r="T530" s="85">
        <v>19.0</v>
      </c>
      <c r="U530" s="85">
        <v>2.0</v>
      </c>
      <c r="V530" s="94">
        <v>0.0</v>
      </c>
      <c r="W530" s="94">
        <v>0.0</v>
      </c>
      <c r="X530" s="94">
        <v>0.0</v>
      </c>
      <c r="Y530" s="94">
        <v>0.0</v>
      </c>
      <c r="Z530" s="94">
        <v>0.0</v>
      </c>
      <c r="AA530" s="94">
        <v>0.0</v>
      </c>
      <c r="AB530" s="94">
        <v>0.0</v>
      </c>
      <c r="AC530" s="85">
        <v>2.0</v>
      </c>
      <c r="AD530" s="94">
        <v>0.0</v>
      </c>
      <c r="AE530" s="94">
        <v>0.0</v>
      </c>
      <c r="AF530" s="94">
        <v>0.0</v>
      </c>
      <c r="AG530" s="94">
        <v>0.0</v>
      </c>
      <c r="AH530" s="94">
        <v>0.0</v>
      </c>
    </row>
    <row r="531" hidden="1">
      <c r="A531" s="83" t="s">
        <v>44</v>
      </c>
      <c r="B531" s="84" t="s">
        <v>190</v>
      </c>
      <c r="C531" s="85">
        <v>1.0</v>
      </c>
      <c r="D531" s="94">
        <v>0.0</v>
      </c>
      <c r="E531" s="86">
        <v>42.0</v>
      </c>
      <c r="F531" s="85">
        <v>1.0</v>
      </c>
      <c r="G531" s="85">
        <v>124.0</v>
      </c>
      <c r="H531" s="94">
        <v>0.0</v>
      </c>
      <c r="I531" s="85">
        <v>187.0</v>
      </c>
      <c r="J531" s="95">
        <f t="shared" si="399"/>
        <v>-63</v>
      </c>
      <c r="K531" s="87">
        <f t="shared" si="400"/>
        <v>0.6631016043</v>
      </c>
      <c r="L531" s="85">
        <v>10.0</v>
      </c>
      <c r="M531" s="85">
        <v>152.0</v>
      </c>
      <c r="N531" s="85">
        <v>1.0</v>
      </c>
      <c r="O531" s="110">
        <f t="shared" si="401"/>
        <v>42</v>
      </c>
      <c r="P531" s="85">
        <v>4.0</v>
      </c>
      <c r="Q531" s="94">
        <v>0.0</v>
      </c>
      <c r="R531" s="85">
        <v>5.0</v>
      </c>
      <c r="S531" s="85">
        <v>5.0</v>
      </c>
      <c r="T531" s="85">
        <v>14.0</v>
      </c>
      <c r="U531" s="85">
        <v>2.0</v>
      </c>
      <c r="V531" s="94">
        <v>0.0</v>
      </c>
      <c r="W531" s="94">
        <v>0.0</v>
      </c>
      <c r="X531" s="94">
        <v>0.0</v>
      </c>
      <c r="Y531" s="94">
        <v>0.0</v>
      </c>
      <c r="Z531" s="94">
        <v>0.0</v>
      </c>
      <c r="AA531" s="94">
        <v>0.0</v>
      </c>
      <c r="AB531" s="94">
        <v>0.0</v>
      </c>
      <c r="AC531" s="94">
        <v>0.0</v>
      </c>
      <c r="AD531" s="94">
        <v>0.0</v>
      </c>
      <c r="AE531" s="94">
        <v>0.0</v>
      </c>
      <c r="AF531" s="94">
        <v>0.0</v>
      </c>
      <c r="AG531" s="94">
        <v>0.0</v>
      </c>
      <c r="AH531" s="94">
        <v>0.0</v>
      </c>
    </row>
    <row r="532" hidden="1">
      <c r="A532" s="83" t="s">
        <v>44</v>
      </c>
      <c r="B532" s="93"/>
      <c r="C532" s="94">
        <v>0.0</v>
      </c>
      <c r="D532" s="94">
        <v>0.0</v>
      </c>
      <c r="E532" s="96">
        <f>SUM(L532*I532)/60</f>
        <v>0</v>
      </c>
      <c r="F532" s="94">
        <v>0.0</v>
      </c>
      <c r="G532" s="94">
        <v>0.0</v>
      </c>
      <c r="H532" s="94">
        <v>0.0</v>
      </c>
      <c r="I532" s="94">
        <v>0.0</v>
      </c>
      <c r="J532" s="95">
        <f t="shared" si="399"/>
        <v>0</v>
      </c>
      <c r="K532" s="87" t="str">
        <f t="shared" si="400"/>
        <v>#DIV/0!</v>
      </c>
      <c r="L532" s="94">
        <v>0.0</v>
      </c>
      <c r="M532" s="94">
        <v>0.0</v>
      </c>
      <c r="N532" s="85">
        <v>0.0</v>
      </c>
      <c r="O532" s="110">
        <f t="shared" si="401"/>
        <v>0</v>
      </c>
      <c r="P532" s="94">
        <v>0.0</v>
      </c>
      <c r="Q532" s="94">
        <v>0.0</v>
      </c>
      <c r="R532" s="94">
        <v>0.0</v>
      </c>
      <c r="S532" s="94">
        <v>0.0</v>
      </c>
      <c r="T532" s="94">
        <v>0.0</v>
      </c>
      <c r="U532" s="94">
        <v>0.0</v>
      </c>
      <c r="V532" s="94">
        <v>0.0</v>
      </c>
      <c r="W532" s="94">
        <v>0.0</v>
      </c>
      <c r="X532" s="94">
        <v>0.0</v>
      </c>
      <c r="Y532" s="94">
        <v>0.0</v>
      </c>
      <c r="Z532" s="94">
        <v>0.0</v>
      </c>
      <c r="AA532" s="94">
        <v>0.0</v>
      </c>
      <c r="AB532" s="94">
        <v>0.0</v>
      </c>
      <c r="AC532" s="94">
        <v>0.0</v>
      </c>
      <c r="AD532" s="94">
        <v>0.0</v>
      </c>
      <c r="AE532" s="94">
        <v>0.0</v>
      </c>
      <c r="AF532" s="94">
        <v>0.0</v>
      </c>
      <c r="AG532" s="94">
        <v>0.0</v>
      </c>
      <c r="AH532" s="94">
        <v>0.0</v>
      </c>
    </row>
    <row r="533" hidden="1">
      <c r="A533" s="89"/>
      <c r="B533" s="111"/>
      <c r="C533" s="111">
        <f t="shared" ref="C533:D533" si="402">SUM(C527:C532)/4</f>
        <v>1</v>
      </c>
      <c r="D533" s="111">
        <f t="shared" si="402"/>
        <v>0</v>
      </c>
      <c r="E533" s="91">
        <f t="shared" ref="E533:G533" si="403">SUM(E527:E532)</f>
        <v>168</v>
      </c>
      <c r="F533" s="111">
        <f t="shared" si="403"/>
        <v>3</v>
      </c>
      <c r="G533" s="111">
        <f t="shared" si="403"/>
        <v>494</v>
      </c>
      <c r="H533" s="111"/>
      <c r="I533" s="111">
        <f>SUM(I527:I532)</f>
        <v>597</v>
      </c>
      <c r="J533" s="111">
        <f t="shared" si="399"/>
        <v>-103</v>
      </c>
      <c r="K533" s="92">
        <f t="shared" si="400"/>
        <v>0.8274706868</v>
      </c>
      <c r="L533" s="111">
        <f t="shared" ref="L533:M533" si="404">SUM(L527:L532)</f>
        <v>56</v>
      </c>
      <c r="M533" s="111">
        <f t="shared" si="404"/>
        <v>610</v>
      </c>
      <c r="N533" s="111"/>
      <c r="O533" s="112"/>
      <c r="P533" s="111">
        <f t="shared" ref="P533:AH533" si="405">SUM(P527:P532)</f>
        <v>14</v>
      </c>
      <c r="Q533" s="111">
        <f t="shared" si="405"/>
        <v>2</v>
      </c>
      <c r="R533" s="111">
        <f t="shared" si="405"/>
        <v>28</v>
      </c>
      <c r="S533" s="111">
        <f t="shared" si="405"/>
        <v>15</v>
      </c>
      <c r="T533" s="111">
        <f t="shared" si="405"/>
        <v>69</v>
      </c>
      <c r="U533" s="111">
        <f t="shared" si="405"/>
        <v>7</v>
      </c>
      <c r="V533" s="111">
        <f t="shared" si="405"/>
        <v>1</v>
      </c>
      <c r="W533" s="111">
        <f t="shared" si="405"/>
        <v>0</v>
      </c>
      <c r="X533" s="111">
        <f t="shared" si="405"/>
        <v>0</v>
      </c>
      <c r="Y533" s="111">
        <f t="shared" si="405"/>
        <v>0</v>
      </c>
      <c r="Z533" s="111">
        <f t="shared" si="405"/>
        <v>0</v>
      </c>
      <c r="AA533" s="111">
        <f t="shared" si="405"/>
        <v>0</v>
      </c>
      <c r="AB533" s="111">
        <f t="shared" si="405"/>
        <v>0</v>
      </c>
      <c r="AC533" s="111">
        <f t="shared" si="405"/>
        <v>4</v>
      </c>
      <c r="AD533" s="111">
        <f t="shared" si="405"/>
        <v>0</v>
      </c>
      <c r="AE533" s="111">
        <f t="shared" si="405"/>
        <v>0</v>
      </c>
      <c r="AF533" s="111">
        <f t="shared" si="405"/>
        <v>0</v>
      </c>
      <c r="AG533" s="111">
        <f t="shared" si="405"/>
        <v>0</v>
      </c>
      <c r="AH533" s="111">
        <f t="shared" si="405"/>
        <v>0</v>
      </c>
    </row>
    <row r="534" hidden="1">
      <c r="A534" s="83" t="s">
        <v>53</v>
      </c>
      <c r="B534" s="84" t="s">
        <v>192</v>
      </c>
      <c r="C534" s="85">
        <v>1.0</v>
      </c>
      <c r="D534" s="85">
        <v>1.0</v>
      </c>
      <c r="E534" s="86">
        <v>42.0</v>
      </c>
      <c r="F534" s="85">
        <v>5.0</v>
      </c>
      <c r="G534" s="85">
        <v>68.0</v>
      </c>
      <c r="H534" s="94">
        <v>0.0</v>
      </c>
      <c r="I534" s="85">
        <v>95.0</v>
      </c>
      <c r="J534" s="95">
        <f t="shared" si="399"/>
        <v>-27</v>
      </c>
      <c r="K534" s="87">
        <f t="shared" si="400"/>
        <v>0.7157894737</v>
      </c>
      <c r="L534" s="85">
        <v>23.0</v>
      </c>
      <c r="M534" s="85">
        <v>89.0</v>
      </c>
      <c r="N534" s="85">
        <v>1.0</v>
      </c>
      <c r="O534" s="110">
        <f t="shared" ref="O534:O539" si="406">(E534*N534)</f>
        <v>42</v>
      </c>
      <c r="P534" s="85">
        <v>6.0</v>
      </c>
      <c r="Q534" s="94">
        <v>0.0</v>
      </c>
      <c r="R534" s="85">
        <v>3.0</v>
      </c>
      <c r="S534" s="94">
        <v>0.0</v>
      </c>
      <c r="T534" s="85">
        <v>5.0</v>
      </c>
      <c r="U534" s="94">
        <v>0.0</v>
      </c>
      <c r="V534" s="94">
        <v>0.0</v>
      </c>
      <c r="W534" s="94">
        <v>0.0</v>
      </c>
      <c r="X534" s="94">
        <v>0.0</v>
      </c>
      <c r="Y534" s="94">
        <v>0.0</v>
      </c>
      <c r="Z534" s="94">
        <v>0.0</v>
      </c>
      <c r="AA534" s="94">
        <v>0.0</v>
      </c>
      <c r="AB534" s="94">
        <v>0.0</v>
      </c>
      <c r="AC534" s="85">
        <v>2.0</v>
      </c>
      <c r="AD534" s="94">
        <v>0.0</v>
      </c>
      <c r="AE534" s="94">
        <v>0.0</v>
      </c>
      <c r="AF534" s="94">
        <v>0.0</v>
      </c>
      <c r="AG534" s="94">
        <v>0.0</v>
      </c>
      <c r="AH534" s="94">
        <v>0.0</v>
      </c>
    </row>
    <row r="535" hidden="1">
      <c r="A535" s="83" t="s">
        <v>53</v>
      </c>
      <c r="B535" s="84" t="s">
        <v>193</v>
      </c>
      <c r="C535" s="85">
        <v>1.0</v>
      </c>
      <c r="D535" s="85">
        <v>1.0</v>
      </c>
      <c r="E535" s="86">
        <v>42.0</v>
      </c>
      <c r="F535" s="94">
        <v>0.0</v>
      </c>
      <c r="G535" s="85">
        <v>178.0</v>
      </c>
      <c r="H535" s="85">
        <v>1.0</v>
      </c>
      <c r="I535" s="85">
        <v>140.0</v>
      </c>
      <c r="J535" s="95">
        <f t="shared" si="399"/>
        <v>38</v>
      </c>
      <c r="K535" s="87">
        <f t="shared" si="400"/>
        <v>1.271428571</v>
      </c>
      <c r="L535" s="85">
        <v>15.0</v>
      </c>
      <c r="M535" s="85">
        <v>240.0</v>
      </c>
      <c r="N535" s="85">
        <v>1.0</v>
      </c>
      <c r="O535" s="110">
        <f t="shared" si="406"/>
        <v>42</v>
      </c>
      <c r="P535" s="85">
        <v>2.0</v>
      </c>
      <c r="Q535" s="85">
        <v>2.0</v>
      </c>
      <c r="R535" s="85">
        <v>18.0</v>
      </c>
      <c r="S535" s="85">
        <v>1.0</v>
      </c>
      <c r="T535" s="85">
        <v>28.0</v>
      </c>
      <c r="U535" s="85">
        <v>6.0</v>
      </c>
      <c r="V535" s="85">
        <v>3.0</v>
      </c>
      <c r="W535" s="85">
        <v>1.0</v>
      </c>
      <c r="X535" s="94">
        <v>0.0</v>
      </c>
      <c r="Y535" s="94">
        <v>0.0</v>
      </c>
      <c r="Z535" s="94">
        <v>0.0</v>
      </c>
      <c r="AA535" s="94">
        <v>0.0</v>
      </c>
      <c r="AB535" s="94">
        <v>0.0</v>
      </c>
      <c r="AC535" s="85">
        <v>7.0</v>
      </c>
      <c r="AD535" s="94">
        <v>0.0</v>
      </c>
      <c r="AE535" s="94">
        <v>0.0</v>
      </c>
      <c r="AF535" s="94">
        <v>0.0</v>
      </c>
      <c r="AG535" s="94">
        <v>0.0</v>
      </c>
      <c r="AH535" s="94">
        <v>0.0</v>
      </c>
    </row>
    <row r="536" hidden="1">
      <c r="A536" s="83" t="s">
        <v>53</v>
      </c>
      <c r="B536" s="84" t="s">
        <v>194</v>
      </c>
      <c r="C536" s="85">
        <v>1.0</v>
      </c>
      <c r="D536" s="85">
        <v>1.0</v>
      </c>
      <c r="E536" s="86">
        <v>42.0</v>
      </c>
      <c r="F536" s="94">
        <v>0.0</v>
      </c>
      <c r="G536" s="85">
        <v>188.0</v>
      </c>
      <c r="H536" s="94">
        <v>0.0</v>
      </c>
      <c r="I536" s="85">
        <v>143.0</v>
      </c>
      <c r="J536" s="95">
        <f t="shared" si="399"/>
        <v>45</v>
      </c>
      <c r="K536" s="87">
        <f t="shared" si="400"/>
        <v>1.314685315</v>
      </c>
      <c r="L536" s="85">
        <v>14.0</v>
      </c>
      <c r="M536" s="85">
        <v>249.0</v>
      </c>
      <c r="N536" s="85">
        <v>1.0</v>
      </c>
      <c r="O536" s="110">
        <f t="shared" si="406"/>
        <v>42</v>
      </c>
      <c r="P536" s="85">
        <v>8.0</v>
      </c>
      <c r="Q536" s="85">
        <v>6.0</v>
      </c>
      <c r="R536" s="85">
        <v>10.0</v>
      </c>
      <c r="S536" s="85">
        <v>1.0</v>
      </c>
      <c r="T536" s="85">
        <v>30.0</v>
      </c>
      <c r="U536" s="85">
        <v>8.0</v>
      </c>
      <c r="V536" s="85">
        <v>1.0</v>
      </c>
      <c r="W536" s="85">
        <v>1.0</v>
      </c>
      <c r="X536" s="94">
        <v>0.0</v>
      </c>
      <c r="Y536" s="94">
        <v>0.0</v>
      </c>
      <c r="Z536" s="94">
        <v>0.0</v>
      </c>
      <c r="AA536" s="94">
        <v>0.0</v>
      </c>
      <c r="AB536" s="94">
        <v>0.0</v>
      </c>
      <c r="AC536" s="85">
        <v>5.0</v>
      </c>
      <c r="AD536" s="94">
        <v>0.0</v>
      </c>
      <c r="AE536" s="94">
        <v>0.0</v>
      </c>
      <c r="AF536" s="94">
        <v>0.0</v>
      </c>
      <c r="AG536" s="85">
        <v>1.0</v>
      </c>
      <c r="AH536" s="94">
        <v>0.0</v>
      </c>
    </row>
    <row r="537" hidden="1">
      <c r="A537" s="83" t="s">
        <v>53</v>
      </c>
      <c r="B537" s="84" t="s">
        <v>195</v>
      </c>
      <c r="C537" s="85">
        <v>1.0</v>
      </c>
      <c r="D537" s="85">
        <v>1.0</v>
      </c>
      <c r="E537" s="86">
        <v>42.0</v>
      </c>
      <c r="F537" s="94">
        <v>0.0</v>
      </c>
      <c r="G537" s="85">
        <v>150.0</v>
      </c>
      <c r="H537" s="85">
        <v>2.0</v>
      </c>
      <c r="I537" s="85">
        <v>129.0</v>
      </c>
      <c r="J537" s="95">
        <f t="shared" si="399"/>
        <v>21</v>
      </c>
      <c r="K537" s="87">
        <f t="shared" si="400"/>
        <v>1.162790698</v>
      </c>
      <c r="L537" s="85">
        <v>16.0</v>
      </c>
      <c r="M537" s="85">
        <v>186.0</v>
      </c>
      <c r="N537" s="85">
        <v>1.0</v>
      </c>
      <c r="O537" s="110">
        <f t="shared" si="406"/>
        <v>42</v>
      </c>
      <c r="P537" s="85">
        <v>2.0</v>
      </c>
      <c r="Q537" s="85">
        <v>3.0</v>
      </c>
      <c r="R537" s="85">
        <v>16.0</v>
      </c>
      <c r="S537" s="85">
        <v>2.0</v>
      </c>
      <c r="T537" s="85">
        <v>19.0</v>
      </c>
      <c r="U537" s="85">
        <v>2.0</v>
      </c>
      <c r="V537" s="94">
        <v>0.0</v>
      </c>
      <c r="W537" s="94">
        <v>0.0</v>
      </c>
      <c r="X537" s="94">
        <v>0.0</v>
      </c>
      <c r="Y537" s="94">
        <v>0.0</v>
      </c>
      <c r="Z537" s="94">
        <v>0.0</v>
      </c>
      <c r="AA537" s="94">
        <v>0.0</v>
      </c>
      <c r="AB537" s="94">
        <v>0.0</v>
      </c>
      <c r="AC537" s="85">
        <v>2.0</v>
      </c>
      <c r="AD537" s="94">
        <v>0.0</v>
      </c>
      <c r="AE537" s="94">
        <v>0.0</v>
      </c>
      <c r="AF537" s="94">
        <v>0.0</v>
      </c>
      <c r="AG537" s="94">
        <v>0.0</v>
      </c>
      <c r="AH537" s="94">
        <v>0.0</v>
      </c>
    </row>
    <row r="538" hidden="1">
      <c r="A538" s="83" t="s">
        <v>53</v>
      </c>
      <c r="B538" s="84" t="s">
        <v>196</v>
      </c>
      <c r="C538" s="94">
        <v>0.0</v>
      </c>
      <c r="D538" s="94">
        <v>0.0</v>
      </c>
      <c r="E538" s="86">
        <v>0.0</v>
      </c>
      <c r="F538" s="94">
        <v>0.0</v>
      </c>
      <c r="G538" s="94">
        <v>0.0</v>
      </c>
      <c r="H538" s="94">
        <v>0.0</v>
      </c>
      <c r="I538" s="94">
        <v>0.0</v>
      </c>
      <c r="J538" s="95">
        <f t="shared" si="399"/>
        <v>0</v>
      </c>
      <c r="K538" s="87" t="str">
        <f t="shared" si="400"/>
        <v>#DIV/0!</v>
      </c>
      <c r="L538" s="94">
        <v>0.0</v>
      </c>
      <c r="M538" s="94">
        <v>0.0</v>
      </c>
      <c r="N538" s="85">
        <v>0.0</v>
      </c>
      <c r="O538" s="110">
        <f t="shared" si="406"/>
        <v>0</v>
      </c>
      <c r="P538" s="94">
        <v>0.0</v>
      </c>
      <c r="Q538" s="94">
        <v>0.0</v>
      </c>
      <c r="R538" s="94">
        <v>0.0</v>
      </c>
      <c r="S538" s="94">
        <v>0.0</v>
      </c>
      <c r="T538" s="94">
        <v>0.0</v>
      </c>
      <c r="U538" s="94">
        <v>0.0</v>
      </c>
      <c r="V538" s="94">
        <v>0.0</v>
      </c>
      <c r="W538" s="94">
        <v>0.0</v>
      </c>
      <c r="X538" s="94">
        <v>0.0</v>
      </c>
      <c r="Y538" s="94">
        <v>0.0</v>
      </c>
      <c r="Z538" s="94">
        <v>0.0</v>
      </c>
      <c r="AA538" s="94">
        <v>0.0</v>
      </c>
      <c r="AB538" s="94">
        <v>0.0</v>
      </c>
      <c r="AC538" s="94">
        <v>0.0</v>
      </c>
      <c r="AD538" s="94">
        <v>0.0</v>
      </c>
      <c r="AE538" s="94">
        <v>0.0</v>
      </c>
      <c r="AF538" s="94">
        <v>0.0</v>
      </c>
      <c r="AG538" s="94">
        <v>0.0</v>
      </c>
      <c r="AH538" s="94">
        <v>0.0</v>
      </c>
    </row>
    <row r="539" hidden="1">
      <c r="A539" s="83" t="s">
        <v>53</v>
      </c>
      <c r="B539" s="93"/>
      <c r="C539" s="94">
        <v>0.0</v>
      </c>
      <c r="D539" s="94">
        <v>0.0</v>
      </c>
      <c r="E539" s="96">
        <f>SUM(L539*I539)/60</f>
        <v>0</v>
      </c>
      <c r="F539" s="94">
        <v>0.0</v>
      </c>
      <c r="G539" s="94">
        <v>0.0</v>
      </c>
      <c r="H539" s="94">
        <v>0.0</v>
      </c>
      <c r="I539" s="94">
        <v>0.0</v>
      </c>
      <c r="J539" s="95">
        <f t="shared" si="399"/>
        <v>0</v>
      </c>
      <c r="K539" s="87" t="str">
        <f t="shared" si="400"/>
        <v>#DIV/0!</v>
      </c>
      <c r="L539" s="94">
        <v>0.0</v>
      </c>
      <c r="M539" s="94">
        <v>0.0</v>
      </c>
      <c r="N539" s="85">
        <v>0.0</v>
      </c>
      <c r="O539" s="110">
        <f t="shared" si="406"/>
        <v>0</v>
      </c>
      <c r="P539" s="94">
        <v>0.0</v>
      </c>
      <c r="Q539" s="94">
        <v>0.0</v>
      </c>
      <c r="R539" s="94">
        <v>0.0</v>
      </c>
      <c r="S539" s="94">
        <v>0.0</v>
      </c>
      <c r="T539" s="94">
        <v>0.0</v>
      </c>
      <c r="U539" s="94">
        <v>0.0</v>
      </c>
      <c r="V539" s="94">
        <v>0.0</v>
      </c>
      <c r="W539" s="94">
        <v>0.0</v>
      </c>
      <c r="X539" s="94">
        <v>0.0</v>
      </c>
      <c r="Y539" s="94">
        <v>0.0</v>
      </c>
      <c r="Z539" s="94">
        <v>0.0</v>
      </c>
      <c r="AA539" s="94">
        <v>0.0</v>
      </c>
      <c r="AB539" s="94">
        <v>0.0</v>
      </c>
      <c r="AC539" s="94">
        <v>0.0</v>
      </c>
      <c r="AD539" s="94">
        <v>0.0</v>
      </c>
      <c r="AE539" s="94">
        <v>0.0</v>
      </c>
      <c r="AF539" s="94">
        <v>0.0</v>
      </c>
      <c r="AG539" s="94">
        <v>0.0</v>
      </c>
      <c r="AH539" s="94">
        <v>0.0</v>
      </c>
    </row>
    <row r="540" hidden="1">
      <c r="A540" s="89" t="s">
        <v>185</v>
      </c>
      <c r="B540" s="111"/>
      <c r="C540" s="111">
        <f>SUM(C534:C539)</f>
        <v>4</v>
      </c>
      <c r="D540" s="111">
        <f t="shared" ref="D540:E540" si="407">SUM(D534:D539)/4</f>
        <v>1</v>
      </c>
      <c r="E540" s="91">
        <f t="shared" si="407"/>
        <v>42</v>
      </c>
      <c r="F540" s="111">
        <f t="shared" ref="F540:G540" si="408">SUM(F534:F539)</f>
        <v>5</v>
      </c>
      <c r="G540" s="111">
        <f t="shared" si="408"/>
        <v>584</v>
      </c>
      <c r="H540" s="111"/>
      <c r="I540" s="111">
        <f>SUM(I534:I539)</f>
        <v>507</v>
      </c>
      <c r="J540" s="111">
        <f t="shared" si="399"/>
        <v>77</v>
      </c>
      <c r="K540" s="92">
        <f t="shared" si="400"/>
        <v>1.151873767</v>
      </c>
      <c r="L540" s="111">
        <f t="shared" ref="L540:M540" si="409">SUM(L534:L539)</f>
        <v>68</v>
      </c>
      <c r="M540" s="111">
        <f t="shared" si="409"/>
        <v>764</v>
      </c>
      <c r="N540" s="111"/>
      <c r="O540" s="112"/>
      <c r="P540" s="111">
        <f t="shared" ref="P540:AH540" si="410">SUM(P534:P539)</f>
        <v>18</v>
      </c>
      <c r="Q540" s="111">
        <f t="shared" si="410"/>
        <v>11</v>
      </c>
      <c r="R540" s="111">
        <f t="shared" si="410"/>
        <v>47</v>
      </c>
      <c r="S540" s="111">
        <f t="shared" si="410"/>
        <v>4</v>
      </c>
      <c r="T540" s="111">
        <f t="shared" si="410"/>
        <v>82</v>
      </c>
      <c r="U540" s="111">
        <f t="shared" si="410"/>
        <v>16</v>
      </c>
      <c r="V540" s="111">
        <f t="shared" si="410"/>
        <v>4</v>
      </c>
      <c r="W540" s="111">
        <f t="shared" si="410"/>
        <v>2</v>
      </c>
      <c r="X540" s="111">
        <f t="shared" si="410"/>
        <v>0</v>
      </c>
      <c r="Y540" s="111">
        <f t="shared" si="410"/>
        <v>0</v>
      </c>
      <c r="Z540" s="111">
        <f t="shared" si="410"/>
        <v>0</v>
      </c>
      <c r="AA540" s="111">
        <f t="shared" si="410"/>
        <v>0</v>
      </c>
      <c r="AB540" s="111">
        <f t="shared" si="410"/>
        <v>0</v>
      </c>
      <c r="AC540" s="111">
        <f t="shared" si="410"/>
        <v>16</v>
      </c>
      <c r="AD540" s="111">
        <f t="shared" si="410"/>
        <v>0</v>
      </c>
      <c r="AE540" s="111">
        <f t="shared" si="410"/>
        <v>0</v>
      </c>
      <c r="AF540" s="111">
        <f t="shared" si="410"/>
        <v>0</v>
      </c>
      <c r="AG540" s="111">
        <f t="shared" si="410"/>
        <v>1</v>
      </c>
      <c r="AH540" s="111">
        <f t="shared" si="410"/>
        <v>0</v>
      </c>
    </row>
    <row r="541">
      <c r="A541" s="104" t="s">
        <v>286</v>
      </c>
    </row>
    <row r="543" hidden="1">
      <c r="A543" s="105"/>
      <c r="F543" s="106" t="s">
        <v>251</v>
      </c>
      <c r="L543" s="107" t="s">
        <v>252</v>
      </c>
      <c r="N543" s="108" t="s">
        <v>253</v>
      </c>
    </row>
    <row r="544" hidden="1">
      <c r="A544" s="76" t="s">
        <v>148</v>
      </c>
      <c r="B544" s="76" t="s">
        <v>149</v>
      </c>
      <c r="C544" s="76" t="s">
        <v>150</v>
      </c>
      <c r="D544" s="76" t="s">
        <v>13</v>
      </c>
      <c r="E544" s="77" t="s">
        <v>151</v>
      </c>
      <c r="F544" s="78" t="s">
        <v>15</v>
      </c>
      <c r="G544" s="78" t="s">
        <v>152</v>
      </c>
      <c r="H544" s="78" t="s">
        <v>153</v>
      </c>
      <c r="I544" s="78" t="s">
        <v>154</v>
      </c>
      <c r="J544" s="78" t="s">
        <v>155</v>
      </c>
      <c r="K544" s="79" t="s">
        <v>156</v>
      </c>
      <c r="L544" s="80" t="s">
        <v>157</v>
      </c>
      <c r="M544" s="80" t="s">
        <v>158</v>
      </c>
      <c r="N544" s="81" t="s">
        <v>254</v>
      </c>
      <c r="O544" s="81" t="s">
        <v>151</v>
      </c>
      <c r="P544" s="81" t="s">
        <v>160</v>
      </c>
      <c r="Q544" s="81" t="s">
        <v>161</v>
      </c>
      <c r="R544" s="81" t="s">
        <v>162</v>
      </c>
      <c r="S544" s="81" t="s">
        <v>163</v>
      </c>
      <c r="T544" s="81" t="s">
        <v>164</v>
      </c>
      <c r="U544" s="81" t="s">
        <v>165</v>
      </c>
      <c r="V544" s="81" t="s">
        <v>166</v>
      </c>
      <c r="W544" s="81" t="s">
        <v>167</v>
      </c>
      <c r="X544" s="81" t="s">
        <v>168</v>
      </c>
      <c r="Y544" s="81" t="s">
        <v>169</v>
      </c>
      <c r="Z544" s="81" t="s">
        <v>170</v>
      </c>
      <c r="AA544" s="81" t="s">
        <v>171</v>
      </c>
      <c r="AB544" s="81" t="s">
        <v>172</v>
      </c>
      <c r="AC544" s="81" t="s">
        <v>173</v>
      </c>
      <c r="AD544" s="81" t="s">
        <v>174</v>
      </c>
      <c r="AE544" s="81" t="s">
        <v>175</v>
      </c>
      <c r="AF544" s="81" t="s">
        <v>176</v>
      </c>
      <c r="AG544" s="81" t="s">
        <v>177</v>
      </c>
      <c r="AH544" s="81" t="s">
        <v>178</v>
      </c>
    </row>
    <row r="545" hidden="1">
      <c r="A545" s="83" t="s">
        <v>44</v>
      </c>
      <c r="B545" s="84" t="s">
        <v>186</v>
      </c>
      <c r="C545" s="85">
        <v>1.0</v>
      </c>
      <c r="D545" s="85">
        <v>1.0</v>
      </c>
      <c r="E545" s="86">
        <v>25.0</v>
      </c>
      <c r="F545" s="94">
        <v>0.0</v>
      </c>
      <c r="G545" s="85">
        <v>68.0</v>
      </c>
      <c r="H545" s="94">
        <v>0.0</v>
      </c>
      <c r="I545" s="85">
        <v>113.0</v>
      </c>
      <c r="J545" s="95">
        <f t="shared" ref="J545:J558" si="411">SUM(G545-I545)</f>
        <v>-45</v>
      </c>
      <c r="K545" s="87">
        <f t="shared" ref="K545:K558" si="412">SUM(G545/I545)</f>
        <v>0.6017699115</v>
      </c>
      <c r="L545" s="85">
        <v>10.0</v>
      </c>
      <c r="M545" s="85">
        <v>92.0</v>
      </c>
      <c r="N545" s="85">
        <v>1.0</v>
      </c>
      <c r="O545" s="110">
        <f t="shared" ref="O545:O550" si="413">(E545*N545)</f>
        <v>25</v>
      </c>
      <c r="P545" s="85">
        <v>6.0</v>
      </c>
      <c r="Q545" s="85">
        <v>2.0</v>
      </c>
      <c r="R545" s="85">
        <v>6.0</v>
      </c>
      <c r="S545" s="85">
        <v>3.0</v>
      </c>
      <c r="T545" s="85">
        <v>8.0</v>
      </c>
      <c r="U545" s="85">
        <v>3.0</v>
      </c>
      <c r="V545" s="94">
        <v>0.0</v>
      </c>
      <c r="W545" s="94">
        <v>0.0</v>
      </c>
      <c r="X545" s="94">
        <v>0.0</v>
      </c>
      <c r="Y545" s="94">
        <v>0.0</v>
      </c>
      <c r="Z545" s="94">
        <v>0.0</v>
      </c>
      <c r="AA545" s="94">
        <v>0.0</v>
      </c>
      <c r="AB545" s="94">
        <v>0.0</v>
      </c>
      <c r="AC545" s="94">
        <v>0.0</v>
      </c>
      <c r="AD545" s="94">
        <v>0.0</v>
      </c>
      <c r="AE545" s="94">
        <v>0.0</v>
      </c>
      <c r="AF545" s="94">
        <v>0.0</v>
      </c>
      <c r="AG545" s="94">
        <v>0.0</v>
      </c>
      <c r="AH545" s="94">
        <v>0.0</v>
      </c>
    </row>
    <row r="546" hidden="1">
      <c r="A546" s="83" t="s">
        <v>44</v>
      </c>
      <c r="B546" s="84" t="s">
        <v>187</v>
      </c>
      <c r="C546" s="85">
        <v>1.0</v>
      </c>
      <c r="D546" s="85">
        <v>1.0</v>
      </c>
      <c r="E546" s="86">
        <v>25.0</v>
      </c>
      <c r="F546" s="94">
        <v>0.0</v>
      </c>
      <c r="G546" s="85">
        <v>108.0</v>
      </c>
      <c r="H546" s="94">
        <v>0.0</v>
      </c>
      <c r="I546" s="85">
        <v>85.0</v>
      </c>
      <c r="J546" s="95">
        <f t="shared" si="411"/>
        <v>23</v>
      </c>
      <c r="K546" s="87">
        <f t="shared" si="412"/>
        <v>1.270588235</v>
      </c>
      <c r="L546" s="85">
        <v>14.0</v>
      </c>
      <c r="M546" s="85">
        <v>152.0</v>
      </c>
      <c r="N546" s="85">
        <v>1.0</v>
      </c>
      <c r="O546" s="110">
        <f t="shared" si="413"/>
        <v>25</v>
      </c>
      <c r="P546" s="85">
        <v>2.0</v>
      </c>
      <c r="Q546" s="85">
        <v>2.0</v>
      </c>
      <c r="R546" s="85">
        <v>17.0</v>
      </c>
      <c r="S546" s="85">
        <v>4.0</v>
      </c>
      <c r="T546" s="85">
        <v>18.0</v>
      </c>
      <c r="U546" s="85">
        <v>7.0</v>
      </c>
      <c r="V546" s="85">
        <v>2.0</v>
      </c>
      <c r="W546" s="85">
        <v>1.0</v>
      </c>
      <c r="X546" s="94">
        <v>0.0</v>
      </c>
      <c r="Y546" s="94">
        <v>0.0</v>
      </c>
      <c r="Z546" s="94">
        <v>0.0</v>
      </c>
      <c r="AA546" s="94">
        <v>0.0</v>
      </c>
      <c r="AB546" s="94">
        <v>0.0</v>
      </c>
      <c r="AC546" s="85">
        <v>3.0</v>
      </c>
      <c r="AD546" s="94">
        <v>0.0</v>
      </c>
      <c r="AE546" s="94">
        <v>0.0</v>
      </c>
      <c r="AF546" s="94">
        <v>0.0</v>
      </c>
      <c r="AG546" s="94">
        <v>0.0</v>
      </c>
      <c r="AH546" s="94">
        <v>0.0</v>
      </c>
    </row>
    <row r="547" hidden="1">
      <c r="A547" s="83" t="s">
        <v>44</v>
      </c>
      <c r="B547" s="84" t="s">
        <v>188</v>
      </c>
      <c r="C547" s="85">
        <v>1.0</v>
      </c>
      <c r="D547" s="85">
        <v>1.0</v>
      </c>
      <c r="E547" s="86">
        <v>25.0</v>
      </c>
      <c r="F547" s="85">
        <v>5.0</v>
      </c>
      <c r="G547" s="85">
        <v>50.0</v>
      </c>
      <c r="H547" s="94">
        <v>0.0</v>
      </c>
      <c r="I547" s="85">
        <v>71.0</v>
      </c>
      <c r="J547" s="95">
        <f t="shared" si="411"/>
        <v>-21</v>
      </c>
      <c r="K547" s="87">
        <f t="shared" si="412"/>
        <v>0.7042253521</v>
      </c>
      <c r="L547" s="85">
        <v>18.0</v>
      </c>
      <c r="M547" s="85">
        <v>70.0</v>
      </c>
      <c r="N547" s="85">
        <v>1.0</v>
      </c>
      <c r="O547" s="110">
        <f t="shared" si="413"/>
        <v>25</v>
      </c>
      <c r="P547" s="85">
        <v>4.0</v>
      </c>
      <c r="Q547" s="94">
        <v>0.0</v>
      </c>
      <c r="R547" s="85">
        <v>5.0</v>
      </c>
      <c r="S547" s="85">
        <v>3.0</v>
      </c>
      <c r="T547" s="85">
        <v>5.0</v>
      </c>
      <c r="U547" s="85">
        <v>1.0</v>
      </c>
      <c r="V547" s="94">
        <v>0.0</v>
      </c>
      <c r="W547" s="94">
        <v>0.0</v>
      </c>
      <c r="X547" s="94">
        <v>0.0</v>
      </c>
      <c r="Y547" s="94">
        <v>0.0</v>
      </c>
      <c r="Z547" s="94">
        <v>0.0</v>
      </c>
      <c r="AA547" s="94">
        <v>0.0</v>
      </c>
      <c r="AB547" s="94">
        <v>0.0</v>
      </c>
      <c r="AC547" s="94">
        <v>0.0</v>
      </c>
      <c r="AD547" s="94">
        <v>0.0</v>
      </c>
      <c r="AE547" s="94">
        <v>0.0</v>
      </c>
      <c r="AF547" s="94">
        <v>0.0</v>
      </c>
      <c r="AG547" s="94">
        <v>0.0</v>
      </c>
      <c r="AH547" s="94">
        <v>0.0</v>
      </c>
    </row>
    <row r="548" hidden="1">
      <c r="A548" s="83" t="s">
        <v>44</v>
      </c>
      <c r="B548" s="84" t="s">
        <v>189</v>
      </c>
      <c r="C548" s="85">
        <v>1.0</v>
      </c>
      <c r="D548" s="85">
        <v>1.0</v>
      </c>
      <c r="E548" s="86">
        <v>25.0</v>
      </c>
      <c r="F548" s="94">
        <v>0.0</v>
      </c>
      <c r="G548" s="85">
        <v>74.0</v>
      </c>
      <c r="H548" s="85">
        <v>1.0</v>
      </c>
      <c r="I548" s="85">
        <v>96.0</v>
      </c>
      <c r="J548" s="95">
        <f t="shared" si="411"/>
        <v>-22</v>
      </c>
      <c r="K548" s="87">
        <f t="shared" si="412"/>
        <v>0.7708333333</v>
      </c>
      <c r="L548" s="85">
        <v>12.0</v>
      </c>
      <c r="M548" s="85">
        <v>91.0</v>
      </c>
      <c r="N548" s="85">
        <v>1.0</v>
      </c>
      <c r="O548" s="110">
        <f t="shared" si="413"/>
        <v>25</v>
      </c>
      <c r="P548" s="85">
        <v>1.0</v>
      </c>
      <c r="Q548" s="85">
        <v>1.0</v>
      </c>
      <c r="R548" s="85">
        <v>7.0</v>
      </c>
      <c r="S548" s="85">
        <v>2.0</v>
      </c>
      <c r="T548" s="85">
        <v>8.0</v>
      </c>
      <c r="U548" s="85">
        <v>1.0</v>
      </c>
      <c r="V548" s="94">
        <v>0.0</v>
      </c>
      <c r="W548" s="94">
        <v>0.0</v>
      </c>
      <c r="X548" s="94">
        <v>0.0</v>
      </c>
      <c r="Y548" s="94">
        <v>0.0</v>
      </c>
      <c r="Z548" s="94">
        <v>0.0</v>
      </c>
      <c r="AA548" s="94">
        <v>0.0</v>
      </c>
      <c r="AB548" s="94">
        <v>0.0</v>
      </c>
      <c r="AC548" s="85">
        <v>1.0</v>
      </c>
      <c r="AD548" s="94">
        <v>0.0</v>
      </c>
      <c r="AE548" s="94">
        <v>0.0</v>
      </c>
      <c r="AF548" s="94">
        <v>0.0</v>
      </c>
      <c r="AG548" s="94">
        <v>0.0</v>
      </c>
      <c r="AH548" s="94">
        <v>0.0</v>
      </c>
    </row>
    <row r="549" hidden="1">
      <c r="A549" s="83" t="s">
        <v>44</v>
      </c>
      <c r="B549" s="84" t="s">
        <v>190</v>
      </c>
      <c r="C549" s="94">
        <v>0.0</v>
      </c>
      <c r="D549" s="94">
        <v>0.0</v>
      </c>
      <c r="E549" s="96">
        <f t="shared" ref="E549:E550" si="414">SUM(L549*I549)/60</f>
        <v>0</v>
      </c>
      <c r="F549" s="94">
        <v>0.0</v>
      </c>
      <c r="G549" s="94">
        <v>0.0</v>
      </c>
      <c r="H549" s="94">
        <v>0.0</v>
      </c>
      <c r="I549" s="94">
        <v>0.0</v>
      </c>
      <c r="J549" s="95">
        <f t="shared" si="411"/>
        <v>0</v>
      </c>
      <c r="K549" s="87" t="str">
        <f t="shared" si="412"/>
        <v>#DIV/0!</v>
      </c>
      <c r="L549" s="94">
        <v>0.0</v>
      </c>
      <c r="M549" s="94">
        <v>0.0</v>
      </c>
      <c r="N549" s="85">
        <v>0.0</v>
      </c>
      <c r="O549" s="110">
        <f t="shared" si="413"/>
        <v>0</v>
      </c>
      <c r="P549" s="94">
        <v>0.0</v>
      </c>
      <c r="Q549" s="94">
        <v>0.0</v>
      </c>
      <c r="R549" s="94">
        <v>0.0</v>
      </c>
      <c r="S549" s="94">
        <v>0.0</v>
      </c>
      <c r="T549" s="94">
        <v>0.0</v>
      </c>
      <c r="U549" s="94">
        <v>0.0</v>
      </c>
      <c r="V549" s="94">
        <v>0.0</v>
      </c>
      <c r="W549" s="94">
        <v>0.0</v>
      </c>
      <c r="X549" s="94">
        <v>0.0</v>
      </c>
      <c r="Y549" s="94">
        <v>0.0</v>
      </c>
      <c r="Z549" s="94">
        <v>0.0</v>
      </c>
      <c r="AA549" s="94">
        <v>0.0</v>
      </c>
      <c r="AB549" s="94">
        <v>0.0</v>
      </c>
      <c r="AC549" s="94">
        <v>0.0</v>
      </c>
      <c r="AD549" s="94">
        <v>0.0</v>
      </c>
      <c r="AE549" s="94">
        <v>0.0</v>
      </c>
      <c r="AF549" s="94">
        <v>0.0</v>
      </c>
      <c r="AG549" s="94">
        <v>0.0</v>
      </c>
      <c r="AH549" s="94">
        <v>0.0</v>
      </c>
    </row>
    <row r="550" hidden="1">
      <c r="A550" s="83" t="s">
        <v>44</v>
      </c>
      <c r="B550" s="93"/>
      <c r="C550" s="94">
        <v>0.0</v>
      </c>
      <c r="D550" s="94">
        <v>0.0</v>
      </c>
      <c r="E550" s="96">
        <f t="shared" si="414"/>
        <v>0</v>
      </c>
      <c r="F550" s="94">
        <v>0.0</v>
      </c>
      <c r="G550" s="94">
        <v>0.0</v>
      </c>
      <c r="H550" s="94">
        <v>0.0</v>
      </c>
      <c r="I550" s="94">
        <v>0.0</v>
      </c>
      <c r="J550" s="95">
        <f t="shared" si="411"/>
        <v>0</v>
      </c>
      <c r="K550" s="87" t="str">
        <f t="shared" si="412"/>
        <v>#DIV/0!</v>
      </c>
      <c r="L550" s="94">
        <v>0.0</v>
      </c>
      <c r="M550" s="94">
        <v>0.0</v>
      </c>
      <c r="N550" s="85">
        <v>0.0</v>
      </c>
      <c r="O550" s="110">
        <f t="shared" si="413"/>
        <v>0</v>
      </c>
      <c r="P550" s="94">
        <v>0.0</v>
      </c>
      <c r="Q550" s="94">
        <v>0.0</v>
      </c>
      <c r="R550" s="94">
        <v>0.0</v>
      </c>
      <c r="S550" s="94">
        <v>0.0</v>
      </c>
      <c r="T550" s="94">
        <v>0.0</v>
      </c>
      <c r="U550" s="94">
        <v>0.0</v>
      </c>
      <c r="V550" s="94">
        <v>0.0</v>
      </c>
      <c r="W550" s="94">
        <v>0.0</v>
      </c>
      <c r="X550" s="94">
        <v>0.0</v>
      </c>
      <c r="Y550" s="94">
        <v>0.0</v>
      </c>
      <c r="Z550" s="94">
        <v>0.0</v>
      </c>
      <c r="AA550" s="94">
        <v>0.0</v>
      </c>
      <c r="AB550" s="94">
        <v>0.0</v>
      </c>
      <c r="AC550" s="94">
        <v>0.0</v>
      </c>
      <c r="AD550" s="94">
        <v>0.0</v>
      </c>
      <c r="AE550" s="94">
        <v>0.0</v>
      </c>
      <c r="AF550" s="94">
        <v>0.0</v>
      </c>
      <c r="AG550" s="94">
        <v>0.0</v>
      </c>
      <c r="AH550" s="94">
        <v>0.0</v>
      </c>
    </row>
    <row r="551" hidden="1">
      <c r="A551" s="89"/>
      <c r="B551" s="111"/>
      <c r="C551" s="111">
        <f t="shared" ref="C551:D551" si="415">SUM(C545:C550)/4</f>
        <v>1</v>
      </c>
      <c r="D551" s="111">
        <f t="shared" si="415"/>
        <v>1</v>
      </c>
      <c r="E551" s="91">
        <f t="shared" ref="E551:G551" si="416">SUM(E545:E550)</f>
        <v>100</v>
      </c>
      <c r="F551" s="111">
        <f t="shared" si="416"/>
        <v>5</v>
      </c>
      <c r="G551" s="111">
        <f t="shared" si="416"/>
        <v>300</v>
      </c>
      <c r="H551" s="111"/>
      <c r="I551" s="111">
        <f>SUM(I545:I550)</f>
        <v>365</v>
      </c>
      <c r="J551" s="111">
        <f t="shared" si="411"/>
        <v>-65</v>
      </c>
      <c r="K551" s="92">
        <f t="shared" si="412"/>
        <v>0.8219178082</v>
      </c>
      <c r="L551" s="111">
        <f t="shared" ref="L551:M551" si="417">SUM(L545:L550)</f>
        <v>54</v>
      </c>
      <c r="M551" s="111">
        <f t="shared" si="417"/>
        <v>405</v>
      </c>
      <c r="N551" s="111"/>
      <c r="O551" s="112"/>
      <c r="P551" s="111">
        <f t="shared" ref="P551:AH551" si="418">SUM(P545:P550)</f>
        <v>13</v>
      </c>
      <c r="Q551" s="111">
        <f t="shared" si="418"/>
        <v>5</v>
      </c>
      <c r="R551" s="111">
        <f t="shared" si="418"/>
        <v>35</v>
      </c>
      <c r="S551" s="111">
        <f t="shared" si="418"/>
        <v>12</v>
      </c>
      <c r="T551" s="111">
        <f t="shared" si="418"/>
        <v>39</v>
      </c>
      <c r="U551" s="111">
        <f t="shared" si="418"/>
        <v>12</v>
      </c>
      <c r="V551" s="111">
        <f t="shared" si="418"/>
        <v>2</v>
      </c>
      <c r="W551" s="111">
        <f t="shared" si="418"/>
        <v>1</v>
      </c>
      <c r="X551" s="111">
        <f t="shared" si="418"/>
        <v>0</v>
      </c>
      <c r="Y551" s="111">
        <f t="shared" si="418"/>
        <v>0</v>
      </c>
      <c r="Z551" s="111">
        <f t="shared" si="418"/>
        <v>0</v>
      </c>
      <c r="AA551" s="111">
        <f t="shared" si="418"/>
        <v>0</v>
      </c>
      <c r="AB551" s="111">
        <f t="shared" si="418"/>
        <v>0</v>
      </c>
      <c r="AC551" s="111">
        <f t="shared" si="418"/>
        <v>4</v>
      </c>
      <c r="AD551" s="111">
        <f t="shared" si="418"/>
        <v>0</v>
      </c>
      <c r="AE551" s="111">
        <f t="shared" si="418"/>
        <v>0</v>
      </c>
      <c r="AF551" s="111">
        <f t="shared" si="418"/>
        <v>0</v>
      </c>
      <c r="AG551" s="111">
        <f t="shared" si="418"/>
        <v>0</v>
      </c>
      <c r="AH551" s="111">
        <f t="shared" si="418"/>
        <v>0</v>
      </c>
    </row>
    <row r="552" hidden="1">
      <c r="A552" s="83" t="s">
        <v>53</v>
      </c>
      <c r="B552" s="84" t="s">
        <v>192</v>
      </c>
      <c r="C552" s="85">
        <v>1.0</v>
      </c>
      <c r="D552" s="94">
        <v>0.0</v>
      </c>
      <c r="E552" s="86">
        <v>25.0</v>
      </c>
      <c r="F552" s="85">
        <v>2.0</v>
      </c>
      <c r="G552" s="85">
        <v>51.0</v>
      </c>
      <c r="H552" s="94">
        <v>0.0</v>
      </c>
      <c r="I552" s="85">
        <v>65.0</v>
      </c>
      <c r="J552" s="95">
        <f t="shared" si="411"/>
        <v>-14</v>
      </c>
      <c r="K552" s="87">
        <f t="shared" si="412"/>
        <v>0.7846153846</v>
      </c>
      <c r="L552" s="85">
        <v>20.0</v>
      </c>
      <c r="M552" s="85">
        <v>69.0</v>
      </c>
      <c r="N552" s="85">
        <v>1.0</v>
      </c>
      <c r="O552" s="110">
        <f t="shared" ref="O552:O557" si="419">(E552*N552)</f>
        <v>25</v>
      </c>
      <c r="P552" s="85">
        <v>3.0</v>
      </c>
      <c r="Q552" s="85">
        <v>1.0</v>
      </c>
      <c r="R552" s="85">
        <v>4.0</v>
      </c>
      <c r="S552" s="85">
        <v>1.0</v>
      </c>
      <c r="T552" s="85">
        <v>7.0</v>
      </c>
      <c r="U552" s="85">
        <v>2.0</v>
      </c>
      <c r="V552" s="94">
        <v>0.0</v>
      </c>
      <c r="W552" s="94">
        <v>0.0</v>
      </c>
      <c r="X552" s="94">
        <v>0.0</v>
      </c>
      <c r="Y552" s="94">
        <v>0.0</v>
      </c>
      <c r="Z552" s="94">
        <v>0.0</v>
      </c>
      <c r="AA552" s="94">
        <v>0.0</v>
      </c>
      <c r="AB552" s="94">
        <v>0.0</v>
      </c>
      <c r="AC552" s="85">
        <v>2.0</v>
      </c>
      <c r="AD552" s="94">
        <v>0.0</v>
      </c>
      <c r="AE552" s="94">
        <v>0.0</v>
      </c>
      <c r="AF552" s="94">
        <v>0.0</v>
      </c>
      <c r="AG552" s="94">
        <v>0.0</v>
      </c>
      <c r="AH552" s="94">
        <v>0.0</v>
      </c>
    </row>
    <row r="553" hidden="1">
      <c r="A553" s="83" t="s">
        <v>53</v>
      </c>
      <c r="B553" s="84" t="s">
        <v>193</v>
      </c>
      <c r="C553" s="85">
        <v>1.0</v>
      </c>
      <c r="D553" s="94">
        <v>0.0</v>
      </c>
      <c r="E553" s="86">
        <v>25.0</v>
      </c>
      <c r="F553" s="94">
        <v>0.0</v>
      </c>
      <c r="G553" s="85">
        <v>120.0</v>
      </c>
      <c r="H553" s="85">
        <v>1.0</v>
      </c>
      <c r="I553" s="85">
        <v>85.0</v>
      </c>
      <c r="J553" s="95">
        <f t="shared" si="411"/>
        <v>35</v>
      </c>
      <c r="K553" s="87">
        <f t="shared" si="412"/>
        <v>1.411764706</v>
      </c>
      <c r="L553" s="85">
        <v>14.0</v>
      </c>
      <c r="M553" s="85">
        <v>170.0</v>
      </c>
      <c r="N553" s="85">
        <v>1.0</v>
      </c>
      <c r="O553" s="110">
        <f t="shared" si="419"/>
        <v>25</v>
      </c>
      <c r="P553" s="85">
        <v>4.0</v>
      </c>
      <c r="Q553" s="94">
        <v>0.0</v>
      </c>
      <c r="R553" s="85">
        <v>11.0</v>
      </c>
      <c r="S553" s="94">
        <v>0.0</v>
      </c>
      <c r="T553" s="85">
        <v>21.0</v>
      </c>
      <c r="U553" s="85">
        <v>10.0</v>
      </c>
      <c r="V553" s="85">
        <v>3.0</v>
      </c>
      <c r="W553" s="94">
        <v>0.0</v>
      </c>
      <c r="X553" s="94">
        <v>0.0</v>
      </c>
      <c r="Y553" s="94">
        <v>0.0</v>
      </c>
      <c r="Z553" s="94">
        <v>0.0</v>
      </c>
      <c r="AA553" s="94">
        <v>0.0</v>
      </c>
      <c r="AB553" s="94">
        <v>0.0</v>
      </c>
      <c r="AC553" s="85">
        <v>3.0</v>
      </c>
      <c r="AD553" s="85">
        <v>1.0</v>
      </c>
      <c r="AE553" s="94">
        <v>0.0</v>
      </c>
      <c r="AF553" s="94">
        <v>0.0</v>
      </c>
      <c r="AG553" s="94">
        <v>0.0</v>
      </c>
      <c r="AH553" s="94">
        <v>0.0</v>
      </c>
    </row>
    <row r="554" hidden="1">
      <c r="A554" s="83" t="s">
        <v>53</v>
      </c>
      <c r="B554" s="84" t="s">
        <v>194</v>
      </c>
      <c r="C554" s="85">
        <v>1.0</v>
      </c>
      <c r="D554" s="94">
        <v>0.0</v>
      </c>
      <c r="E554" s="86">
        <v>25.0</v>
      </c>
      <c r="F554" s="94">
        <v>0.0</v>
      </c>
      <c r="G554" s="85">
        <v>115.0</v>
      </c>
      <c r="H554" s="94">
        <v>0.0</v>
      </c>
      <c r="I554" s="85">
        <v>90.0</v>
      </c>
      <c r="J554" s="95">
        <f t="shared" si="411"/>
        <v>25</v>
      </c>
      <c r="K554" s="87">
        <f t="shared" si="412"/>
        <v>1.277777778</v>
      </c>
      <c r="L554" s="85">
        <v>14.0</v>
      </c>
      <c r="M554" s="85">
        <v>149.0</v>
      </c>
      <c r="N554" s="85">
        <v>1.0</v>
      </c>
      <c r="O554" s="110">
        <f t="shared" si="419"/>
        <v>25</v>
      </c>
      <c r="P554" s="85">
        <v>2.0</v>
      </c>
      <c r="Q554" s="85">
        <v>4.0</v>
      </c>
      <c r="R554" s="85">
        <v>1.0</v>
      </c>
      <c r="S554" s="85">
        <v>3.0</v>
      </c>
      <c r="T554" s="85">
        <v>23.0</v>
      </c>
      <c r="U554" s="85">
        <v>8.0</v>
      </c>
      <c r="V554" s="85">
        <v>3.0</v>
      </c>
      <c r="W554" s="94">
        <v>0.0</v>
      </c>
      <c r="X554" s="94">
        <v>0.0</v>
      </c>
      <c r="Y554" s="94">
        <v>0.0</v>
      </c>
      <c r="Z554" s="94">
        <v>0.0</v>
      </c>
      <c r="AA554" s="94">
        <v>0.0</v>
      </c>
      <c r="AB554" s="94">
        <v>0.0</v>
      </c>
      <c r="AC554" s="85">
        <v>5.0</v>
      </c>
      <c r="AD554" s="94">
        <v>0.0</v>
      </c>
      <c r="AE554" s="94">
        <v>0.0</v>
      </c>
      <c r="AF554" s="94">
        <v>0.0</v>
      </c>
      <c r="AG554" s="85">
        <v>1.0</v>
      </c>
      <c r="AH554" s="94">
        <v>0.0</v>
      </c>
    </row>
    <row r="555" hidden="1">
      <c r="A555" s="83" t="s">
        <v>53</v>
      </c>
      <c r="B555" s="84" t="s">
        <v>195</v>
      </c>
      <c r="C555" s="85">
        <v>1.0</v>
      </c>
      <c r="D555" s="94">
        <v>0.0</v>
      </c>
      <c r="E555" s="86">
        <v>25.0</v>
      </c>
      <c r="F555" s="94">
        <v>0.0</v>
      </c>
      <c r="G555" s="85">
        <v>65.0</v>
      </c>
      <c r="H555" s="85">
        <v>1.0</v>
      </c>
      <c r="I555" s="85">
        <v>73.0</v>
      </c>
      <c r="J555" s="95">
        <f t="shared" si="411"/>
        <v>-8</v>
      </c>
      <c r="K555" s="87">
        <f t="shared" si="412"/>
        <v>0.8904109589</v>
      </c>
      <c r="L555" s="85">
        <v>17.0</v>
      </c>
      <c r="M555" s="85">
        <v>79.0</v>
      </c>
      <c r="N555" s="85">
        <v>1.0</v>
      </c>
      <c r="O555" s="110">
        <f t="shared" si="419"/>
        <v>25</v>
      </c>
      <c r="P555" s="85">
        <v>2.0</v>
      </c>
      <c r="Q555" s="85">
        <v>4.0</v>
      </c>
      <c r="R555" s="85">
        <v>3.0</v>
      </c>
      <c r="S555" s="94">
        <v>0.0</v>
      </c>
      <c r="T555" s="85">
        <v>6.0</v>
      </c>
      <c r="U555" s="94">
        <v>0.0</v>
      </c>
      <c r="V555" s="94">
        <v>0.0</v>
      </c>
      <c r="W555" s="94">
        <v>0.0</v>
      </c>
      <c r="X555" s="94">
        <v>0.0</v>
      </c>
      <c r="Y555" s="94">
        <v>0.0</v>
      </c>
      <c r="Z555" s="94">
        <v>0.0</v>
      </c>
      <c r="AA555" s="94">
        <v>0.0</v>
      </c>
      <c r="AB555" s="94">
        <v>0.0</v>
      </c>
      <c r="AC555" s="85">
        <v>2.0</v>
      </c>
      <c r="AD555" s="94">
        <v>0.0</v>
      </c>
      <c r="AE555" s="94">
        <v>0.0</v>
      </c>
      <c r="AF555" s="94">
        <v>0.0</v>
      </c>
      <c r="AG555" s="94">
        <v>0.0</v>
      </c>
      <c r="AH555" s="85">
        <v>1.0</v>
      </c>
    </row>
    <row r="556" hidden="1">
      <c r="A556" s="83" t="s">
        <v>53</v>
      </c>
      <c r="B556" s="84" t="s">
        <v>196</v>
      </c>
      <c r="C556" s="94">
        <v>0.0</v>
      </c>
      <c r="D556" s="94">
        <v>0.0</v>
      </c>
      <c r="E556" s="96">
        <f t="shared" ref="E556:E557" si="420">SUM(L556*I556)/60</f>
        <v>0</v>
      </c>
      <c r="F556" s="94">
        <v>0.0</v>
      </c>
      <c r="G556" s="94">
        <v>0.0</v>
      </c>
      <c r="H556" s="94">
        <v>0.0</v>
      </c>
      <c r="I556" s="94">
        <v>0.0</v>
      </c>
      <c r="J556" s="95">
        <f t="shared" si="411"/>
        <v>0</v>
      </c>
      <c r="K556" s="87" t="str">
        <f t="shared" si="412"/>
        <v>#DIV/0!</v>
      </c>
      <c r="L556" s="94">
        <v>0.0</v>
      </c>
      <c r="M556" s="94">
        <v>0.0</v>
      </c>
      <c r="N556" s="85">
        <v>0.0</v>
      </c>
      <c r="O556" s="110">
        <f t="shared" si="419"/>
        <v>0</v>
      </c>
      <c r="P556" s="94">
        <v>0.0</v>
      </c>
      <c r="Q556" s="94">
        <v>0.0</v>
      </c>
      <c r="R556" s="94">
        <v>0.0</v>
      </c>
      <c r="S556" s="94">
        <v>0.0</v>
      </c>
      <c r="T556" s="94">
        <v>0.0</v>
      </c>
      <c r="U556" s="94">
        <v>0.0</v>
      </c>
      <c r="V556" s="94">
        <v>0.0</v>
      </c>
      <c r="W556" s="94">
        <v>0.0</v>
      </c>
      <c r="X556" s="94">
        <v>0.0</v>
      </c>
      <c r="Y556" s="94">
        <v>0.0</v>
      </c>
      <c r="Z556" s="94">
        <v>0.0</v>
      </c>
      <c r="AA556" s="94">
        <v>0.0</v>
      </c>
      <c r="AB556" s="94">
        <v>0.0</v>
      </c>
      <c r="AC556" s="94">
        <v>0.0</v>
      </c>
      <c r="AD556" s="94">
        <v>0.0</v>
      </c>
      <c r="AE556" s="94">
        <v>0.0</v>
      </c>
      <c r="AF556" s="94">
        <v>0.0</v>
      </c>
      <c r="AG556" s="94">
        <v>0.0</v>
      </c>
      <c r="AH556" s="94">
        <v>0.0</v>
      </c>
    </row>
    <row r="557" hidden="1">
      <c r="A557" s="83" t="s">
        <v>53</v>
      </c>
      <c r="B557" s="93"/>
      <c r="C557" s="94">
        <v>0.0</v>
      </c>
      <c r="D557" s="94">
        <v>0.0</v>
      </c>
      <c r="E557" s="96">
        <f t="shared" si="420"/>
        <v>0</v>
      </c>
      <c r="F557" s="94">
        <v>0.0</v>
      </c>
      <c r="G557" s="94">
        <v>0.0</v>
      </c>
      <c r="H557" s="94">
        <v>0.0</v>
      </c>
      <c r="I557" s="94">
        <v>0.0</v>
      </c>
      <c r="J557" s="95">
        <f t="shared" si="411"/>
        <v>0</v>
      </c>
      <c r="K557" s="87" t="str">
        <f t="shared" si="412"/>
        <v>#DIV/0!</v>
      </c>
      <c r="L557" s="94">
        <v>0.0</v>
      </c>
      <c r="M557" s="94">
        <v>0.0</v>
      </c>
      <c r="N557" s="85">
        <v>0.0</v>
      </c>
      <c r="O557" s="110">
        <f t="shared" si="419"/>
        <v>0</v>
      </c>
      <c r="P557" s="94">
        <v>0.0</v>
      </c>
      <c r="Q557" s="94">
        <v>0.0</v>
      </c>
      <c r="R557" s="94">
        <v>0.0</v>
      </c>
      <c r="S557" s="94">
        <v>0.0</v>
      </c>
      <c r="T557" s="94">
        <v>0.0</v>
      </c>
      <c r="U557" s="94">
        <v>0.0</v>
      </c>
      <c r="V557" s="94">
        <v>0.0</v>
      </c>
      <c r="W557" s="94">
        <v>0.0</v>
      </c>
      <c r="X557" s="94">
        <v>0.0</v>
      </c>
      <c r="Y557" s="94">
        <v>0.0</v>
      </c>
      <c r="Z557" s="94">
        <v>0.0</v>
      </c>
      <c r="AA557" s="94">
        <v>0.0</v>
      </c>
      <c r="AB557" s="94">
        <v>0.0</v>
      </c>
      <c r="AC557" s="94">
        <v>0.0</v>
      </c>
      <c r="AD557" s="94">
        <v>0.0</v>
      </c>
      <c r="AE557" s="94">
        <v>0.0</v>
      </c>
      <c r="AF557" s="94">
        <v>0.0</v>
      </c>
      <c r="AG557" s="94">
        <v>0.0</v>
      </c>
      <c r="AH557" s="94">
        <v>0.0</v>
      </c>
    </row>
    <row r="558" hidden="1">
      <c r="A558" s="89" t="s">
        <v>185</v>
      </c>
      <c r="B558" s="111"/>
      <c r="C558" s="111">
        <f>SUM(C552:C557)</f>
        <v>4</v>
      </c>
      <c r="D558" s="111">
        <f t="shared" ref="D558:E558" si="421">SUM(D552:D557)/4</f>
        <v>0</v>
      </c>
      <c r="E558" s="91">
        <f t="shared" si="421"/>
        <v>25</v>
      </c>
      <c r="F558" s="111">
        <f t="shared" ref="F558:G558" si="422">SUM(F552:F557)</f>
        <v>2</v>
      </c>
      <c r="G558" s="111">
        <f t="shared" si="422"/>
        <v>351</v>
      </c>
      <c r="H558" s="111"/>
      <c r="I558" s="111">
        <f>SUM(I552:I557)</f>
        <v>313</v>
      </c>
      <c r="J558" s="111">
        <f t="shared" si="411"/>
        <v>38</v>
      </c>
      <c r="K558" s="92">
        <f t="shared" si="412"/>
        <v>1.121405751</v>
      </c>
      <c r="L558" s="111">
        <f t="shared" ref="L558:M558" si="423">SUM(L552:L557)</f>
        <v>65</v>
      </c>
      <c r="M558" s="111">
        <f t="shared" si="423"/>
        <v>467</v>
      </c>
      <c r="N558" s="111"/>
      <c r="O558" s="112"/>
      <c r="P558" s="111">
        <f t="shared" ref="P558:AH558" si="424">SUM(P552:P557)</f>
        <v>11</v>
      </c>
      <c r="Q558" s="111">
        <f t="shared" si="424"/>
        <v>9</v>
      </c>
      <c r="R558" s="111">
        <f t="shared" si="424"/>
        <v>19</v>
      </c>
      <c r="S558" s="111">
        <f t="shared" si="424"/>
        <v>4</v>
      </c>
      <c r="T558" s="111">
        <f t="shared" si="424"/>
        <v>57</v>
      </c>
      <c r="U558" s="111">
        <f t="shared" si="424"/>
        <v>20</v>
      </c>
      <c r="V558" s="111">
        <f t="shared" si="424"/>
        <v>6</v>
      </c>
      <c r="W558" s="111">
        <f t="shared" si="424"/>
        <v>0</v>
      </c>
      <c r="X558" s="111">
        <f t="shared" si="424"/>
        <v>0</v>
      </c>
      <c r="Y558" s="111">
        <f t="shared" si="424"/>
        <v>0</v>
      </c>
      <c r="Z558" s="111">
        <f t="shared" si="424"/>
        <v>0</v>
      </c>
      <c r="AA558" s="111">
        <f t="shared" si="424"/>
        <v>0</v>
      </c>
      <c r="AB558" s="111">
        <f t="shared" si="424"/>
        <v>0</v>
      </c>
      <c r="AC558" s="111">
        <f t="shared" si="424"/>
        <v>12</v>
      </c>
      <c r="AD558" s="111">
        <f t="shared" si="424"/>
        <v>1</v>
      </c>
      <c r="AE558" s="111">
        <f t="shared" si="424"/>
        <v>0</v>
      </c>
      <c r="AF558" s="111">
        <f t="shared" si="424"/>
        <v>0</v>
      </c>
      <c r="AG558" s="111">
        <f t="shared" si="424"/>
        <v>1</v>
      </c>
      <c r="AH558" s="111">
        <f t="shared" si="424"/>
        <v>1</v>
      </c>
    </row>
    <row r="559">
      <c r="A559" s="104" t="s">
        <v>287</v>
      </c>
    </row>
    <row r="561" hidden="1">
      <c r="A561" s="105"/>
      <c r="F561" s="106" t="s">
        <v>251</v>
      </c>
      <c r="L561" s="107" t="s">
        <v>252</v>
      </c>
      <c r="N561" s="108" t="s">
        <v>253</v>
      </c>
    </row>
    <row r="562" hidden="1">
      <c r="A562" s="76" t="s">
        <v>148</v>
      </c>
      <c r="B562" s="76" t="s">
        <v>149</v>
      </c>
      <c r="C562" s="76" t="s">
        <v>150</v>
      </c>
      <c r="D562" s="76" t="s">
        <v>13</v>
      </c>
      <c r="E562" s="77" t="s">
        <v>151</v>
      </c>
      <c r="F562" s="78" t="s">
        <v>15</v>
      </c>
      <c r="G562" s="78" t="s">
        <v>152</v>
      </c>
      <c r="H562" s="78" t="s">
        <v>153</v>
      </c>
      <c r="I562" s="78" t="s">
        <v>154</v>
      </c>
      <c r="J562" s="78" t="s">
        <v>155</v>
      </c>
      <c r="K562" s="79" t="s">
        <v>156</v>
      </c>
      <c r="L562" s="80" t="s">
        <v>157</v>
      </c>
      <c r="M562" s="80" t="s">
        <v>158</v>
      </c>
      <c r="N562" s="81" t="s">
        <v>254</v>
      </c>
      <c r="O562" s="81" t="s">
        <v>151</v>
      </c>
      <c r="P562" s="81" t="s">
        <v>160</v>
      </c>
      <c r="Q562" s="81" t="s">
        <v>161</v>
      </c>
      <c r="R562" s="81" t="s">
        <v>162</v>
      </c>
      <c r="S562" s="81" t="s">
        <v>163</v>
      </c>
      <c r="T562" s="81" t="s">
        <v>164</v>
      </c>
      <c r="U562" s="81" t="s">
        <v>165</v>
      </c>
      <c r="V562" s="81" t="s">
        <v>166</v>
      </c>
      <c r="W562" s="81" t="s">
        <v>167</v>
      </c>
      <c r="X562" s="81" t="s">
        <v>168</v>
      </c>
      <c r="Y562" s="81" t="s">
        <v>169</v>
      </c>
      <c r="Z562" s="81" t="s">
        <v>170</v>
      </c>
      <c r="AA562" s="81" t="s">
        <v>171</v>
      </c>
      <c r="AB562" s="81" t="s">
        <v>172</v>
      </c>
      <c r="AC562" s="81" t="s">
        <v>173</v>
      </c>
      <c r="AD562" s="81" t="s">
        <v>174</v>
      </c>
      <c r="AE562" s="81" t="s">
        <v>175</v>
      </c>
      <c r="AF562" s="81" t="s">
        <v>176</v>
      </c>
      <c r="AG562" s="81" t="s">
        <v>177</v>
      </c>
      <c r="AH562" s="81" t="s">
        <v>178</v>
      </c>
    </row>
    <row r="563" hidden="1">
      <c r="A563" s="83" t="s">
        <v>34</v>
      </c>
      <c r="B563" s="84" t="s">
        <v>227</v>
      </c>
      <c r="C563" s="85">
        <v>1.0</v>
      </c>
      <c r="D563" s="85">
        <v>1.0</v>
      </c>
      <c r="E563" s="86">
        <v>27.0</v>
      </c>
      <c r="F563" s="85">
        <v>1.0</v>
      </c>
      <c r="G563" s="85">
        <v>121.0</v>
      </c>
      <c r="H563" s="85">
        <v>2.0</v>
      </c>
      <c r="I563" s="85">
        <v>87.0</v>
      </c>
      <c r="J563" s="95">
        <f t="shared" ref="J563:J576" si="425">SUM(G563-I563)</f>
        <v>34</v>
      </c>
      <c r="K563" s="87">
        <f t="shared" ref="K563:K576" si="426">SUM(G563/I563)</f>
        <v>1.390804598</v>
      </c>
      <c r="L563" s="85">
        <v>15.0</v>
      </c>
      <c r="M563" s="85">
        <v>184.0</v>
      </c>
      <c r="N563" s="85">
        <v>1.0</v>
      </c>
      <c r="O563" s="110">
        <f t="shared" ref="O563:O568" si="427">(E563*N563)</f>
        <v>27</v>
      </c>
      <c r="P563" s="85">
        <v>4.0</v>
      </c>
      <c r="Q563" s="85">
        <v>3.0</v>
      </c>
      <c r="R563" s="85">
        <v>9.0</v>
      </c>
      <c r="S563" s="94">
        <v>0.0</v>
      </c>
      <c r="T563" s="85">
        <v>27.0</v>
      </c>
      <c r="U563" s="85">
        <v>11.0</v>
      </c>
      <c r="V563" s="85">
        <v>3.0</v>
      </c>
      <c r="W563" s="85">
        <v>1.0</v>
      </c>
      <c r="X563" s="85">
        <v>1.0</v>
      </c>
      <c r="Y563" s="94">
        <v>0.0</v>
      </c>
      <c r="Z563" s="94">
        <v>0.0</v>
      </c>
      <c r="AA563" s="94">
        <v>0.0</v>
      </c>
      <c r="AB563" s="94">
        <v>0.0</v>
      </c>
      <c r="AC563" s="85">
        <v>5.0</v>
      </c>
      <c r="AD563" s="85">
        <v>1.0</v>
      </c>
      <c r="AE563" s="94">
        <v>0.0</v>
      </c>
      <c r="AF563" s="94">
        <v>0.0</v>
      </c>
      <c r="AG563" s="85">
        <v>1.0</v>
      </c>
      <c r="AH563" s="94">
        <v>0.0</v>
      </c>
    </row>
    <row r="564" hidden="1">
      <c r="A564" s="83" t="s">
        <v>34</v>
      </c>
      <c r="B564" s="84" t="s">
        <v>228</v>
      </c>
      <c r="C564" s="85">
        <v>1.0</v>
      </c>
      <c r="D564" s="85">
        <v>1.0</v>
      </c>
      <c r="E564" s="86">
        <v>27.0</v>
      </c>
      <c r="F564" s="94">
        <v>0.0</v>
      </c>
      <c r="G564" s="85">
        <v>79.0</v>
      </c>
      <c r="H564" s="94">
        <v>0.0</v>
      </c>
      <c r="I564" s="85">
        <v>95.0</v>
      </c>
      <c r="J564" s="95">
        <f t="shared" si="425"/>
        <v>-16</v>
      </c>
      <c r="K564" s="87">
        <f t="shared" si="426"/>
        <v>0.8315789474</v>
      </c>
      <c r="L564" s="85">
        <v>14.0</v>
      </c>
      <c r="M564" s="85">
        <v>100.0</v>
      </c>
      <c r="N564" s="85">
        <v>1.0</v>
      </c>
      <c r="O564" s="110">
        <f t="shared" si="427"/>
        <v>27</v>
      </c>
      <c r="P564" s="85">
        <v>3.0</v>
      </c>
      <c r="Q564" s="85">
        <v>1.0</v>
      </c>
      <c r="R564" s="85">
        <v>7.0</v>
      </c>
      <c r="S564" s="94">
        <v>0.0</v>
      </c>
      <c r="T564" s="85">
        <v>9.0</v>
      </c>
      <c r="U564" s="85">
        <v>1.0</v>
      </c>
      <c r="V564" s="85">
        <v>1.0</v>
      </c>
      <c r="W564" s="85">
        <v>1.0</v>
      </c>
      <c r="X564" s="85">
        <v>1.0</v>
      </c>
      <c r="Y564" s="85">
        <v>1.0</v>
      </c>
      <c r="Z564" s="94">
        <v>0.0</v>
      </c>
      <c r="AA564" s="94">
        <v>0.0</v>
      </c>
      <c r="AB564" s="94">
        <v>0.0</v>
      </c>
      <c r="AC564" s="85">
        <v>1.0</v>
      </c>
      <c r="AD564" s="94">
        <v>0.0</v>
      </c>
      <c r="AE564" s="94">
        <v>0.0</v>
      </c>
      <c r="AF564" s="94">
        <v>0.0</v>
      </c>
      <c r="AG564" s="94">
        <v>0.0</v>
      </c>
      <c r="AH564" s="94">
        <v>0.0</v>
      </c>
    </row>
    <row r="565" hidden="1">
      <c r="A565" s="83" t="s">
        <v>34</v>
      </c>
      <c r="B565" s="84" t="s">
        <v>229</v>
      </c>
      <c r="C565" s="85">
        <v>1.0</v>
      </c>
      <c r="D565" s="85">
        <v>1.0</v>
      </c>
      <c r="E565" s="86">
        <v>27.0</v>
      </c>
      <c r="F565" s="85">
        <v>1.0</v>
      </c>
      <c r="G565" s="85">
        <v>77.0</v>
      </c>
      <c r="H565" s="85">
        <v>0.0</v>
      </c>
      <c r="I565" s="85">
        <v>64.0</v>
      </c>
      <c r="J565" s="95">
        <f t="shared" si="425"/>
        <v>13</v>
      </c>
      <c r="K565" s="87">
        <f t="shared" si="426"/>
        <v>1.203125</v>
      </c>
      <c r="L565" s="85">
        <v>22.0</v>
      </c>
      <c r="M565" s="85">
        <v>97.0</v>
      </c>
      <c r="N565" s="85">
        <v>1.0</v>
      </c>
      <c r="O565" s="110">
        <f t="shared" si="427"/>
        <v>27</v>
      </c>
      <c r="P565" s="85">
        <v>2.0</v>
      </c>
      <c r="Q565" s="85">
        <v>2.0</v>
      </c>
      <c r="R565" s="85">
        <v>6.0</v>
      </c>
      <c r="S565" s="85">
        <v>1.0</v>
      </c>
      <c r="T565" s="85">
        <v>9.0</v>
      </c>
      <c r="U565" s="85">
        <v>2.0</v>
      </c>
      <c r="V565" s="85">
        <v>1.0</v>
      </c>
      <c r="W565" s="94">
        <v>0.0</v>
      </c>
      <c r="X565" s="94">
        <v>0.0</v>
      </c>
      <c r="Y565" s="94">
        <v>0.0</v>
      </c>
      <c r="Z565" s="94">
        <v>0.0</v>
      </c>
      <c r="AA565" s="94">
        <v>0.0</v>
      </c>
      <c r="AB565" s="94">
        <v>0.0</v>
      </c>
      <c r="AC565" s="85">
        <v>1.0</v>
      </c>
      <c r="AD565" s="94">
        <v>0.0</v>
      </c>
      <c r="AE565" s="94">
        <v>0.0</v>
      </c>
      <c r="AF565" s="94">
        <v>0.0</v>
      </c>
      <c r="AG565" s="94">
        <v>0.0</v>
      </c>
      <c r="AH565" s="94">
        <v>0.0</v>
      </c>
    </row>
    <row r="566" hidden="1">
      <c r="A566" s="83" t="s">
        <v>34</v>
      </c>
      <c r="B566" s="84" t="s">
        <v>230</v>
      </c>
      <c r="C566" s="85">
        <v>1.0</v>
      </c>
      <c r="D566" s="85">
        <v>1.0</v>
      </c>
      <c r="E566" s="86">
        <v>27.0</v>
      </c>
      <c r="F566" s="85">
        <v>3.0</v>
      </c>
      <c r="G566" s="85">
        <v>92.0</v>
      </c>
      <c r="H566" s="94">
        <v>0.0</v>
      </c>
      <c r="I566" s="85">
        <v>103.0</v>
      </c>
      <c r="J566" s="95">
        <f t="shared" si="425"/>
        <v>-11</v>
      </c>
      <c r="K566" s="87">
        <f t="shared" si="426"/>
        <v>0.8932038835</v>
      </c>
      <c r="L566" s="85">
        <v>12.0</v>
      </c>
      <c r="M566" s="85">
        <v>123.0</v>
      </c>
      <c r="N566" s="85">
        <v>1.0</v>
      </c>
      <c r="O566" s="110">
        <f t="shared" si="427"/>
        <v>27</v>
      </c>
      <c r="P566" s="85">
        <v>3.0</v>
      </c>
      <c r="Q566" s="85">
        <v>5.0</v>
      </c>
      <c r="R566" s="85">
        <v>6.0</v>
      </c>
      <c r="S566" s="85">
        <v>2.0</v>
      </c>
      <c r="T566" s="85">
        <v>18.0</v>
      </c>
      <c r="U566" s="85">
        <v>1.0</v>
      </c>
      <c r="V566" s="85">
        <v>1.0</v>
      </c>
      <c r="W566" s="94">
        <v>0.0</v>
      </c>
      <c r="X566" s="94">
        <v>0.0</v>
      </c>
      <c r="Y566" s="94">
        <v>0.0</v>
      </c>
      <c r="Z566" s="94">
        <v>0.0</v>
      </c>
      <c r="AA566" s="94">
        <v>0.0</v>
      </c>
      <c r="AB566" s="94">
        <v>0.0</v>
      </c>
      <c r="AC566" s="94">
        <v>0.0</v>
      </c>
      <c r="AD566" s="94">
        <v>0.0</v>
      </c>
      <c r="AE566" s="94">
        <v>0.0</v>
      </c>
      <c r="AF566" s="94">
        <v>0.0</v>
      </c>
      <c r="AG566" s="94">
        <v>0.0</v>
      </c>
      <c r="AH566" s="94">
        <v>0.0</v>
      </c>
    </row>
    <row r="567" hidden="1">
      <c r="A567" s="83" t="s">
        <v>34</v>
      </c>
      <c r="B567" s="84" t="s">
        <v>231</v>
      </c>
      <c r="C567" s="94">
        <v>0.0</v>
      </c>
      <c r="D567" s="94">
        <v>0.0</v>
      </c>
      <c r="E567" s="96">
        <f t="shared" ref="E567:E568" si="428">SUM(L567*I567)/60</f>
        <v>0</v>
      </c>
      <c r="F567" s="94">
        <v>0.0</v>
      </c>
      <c r="G567" s="94">
        <v>0.0</v>
      </c>
      <c r="H567" s="94">
        <v>0.0</v>
      </c>
      <c r="I567" s="94">
        <v>0.0</v>
      </c>
      <c r="J567" s="95">
        <f t="shared" si="425"/>
        <v>0</v>
      </c>
      <c r="K567" s="87" t="str">
        <f t="shared" si="426"/>
        <v>#DIV/0!</v>
      </c>
      <c r="L567" s="94">
        <v>0.0</v>
      </c>
      <c r="M567" s="94">
        <v>0.0</v>
      </c>
      <c r="N567" s="85">
        <v>0.0</v>
      </c>
      <c r="O567" s="110">
        <f t="shared" si="427"/>
        <v>0</v>
      </c>
      <c r="P567" s="94">
        <v>0.0</v>
      </c>
      <c r="Q567" s="94">
        <v>0.0</v>
      </c>
      <c r="R567" s="94">
        <v>0.0</v>
      </c>
      <c r="S567" s="94">
        <v>0.0</v>
      </c>
      <c r="T567" s="94">
        <v>0.0</v>
      </c>
      <c r="U567" s="94">
        <v>0.0</v>
      </c>
      <c r="V567" s="94">
        <v>0.0</v>
      </c>
      <c r="W567" s="94">
        <v>0.0</v>
      </c>
      <c r="X567" s="94">
        <v>0.0</v>
      </c>
      <c r="Y567" s="94">
        <v>0.0</v>
      </c>
      <c r="Z567" s="94">
        <v>0.0</v>
      </c>
      <c r="AA567" s="94">
        <v>0.0</v>
      </c>
      <c r="AB567" s="94">
        <v>0.0</v>
      </c>
      <c r="AC567" s="94">
        <v>0.0</v>
      </c>
      <c r="AD567" s="94">
        <v>0.0</v>
      </c>
      <c r="AE567" s="94">
        <v>0.0</v>
      </c>
      <c r="AF567" s="94">
        <v>0.0</v>
      </c>
      <c r="AG567" s="94">
        <v>0.0</v>
      </c>
      <c r="AH567" s="94">
        <v>0.0</v>
      </c>
    </row>
    <row r="568" hidden="1">
      <c r="A568" s="83" t="s">
        <v>34</v>
      </c>
      <c r="B568" s="93"/>
      <c r="C568" s="94">
        <v>0.0</v>
      </c>
      <c r="D568" s="94">
        <v>0.0</v>
      </c>
      <c r="E568" s="96">
        <f t="shared" si="428"/>
        <v>0</v>
      </c>
      <c r="F568" s="94">
        <v>0.0</v>
      </c>
      <c r="G568" s="94">
        <v>0.0</v>
      </c>
      <c r="H568" s="94">
        <v>0.0</v>
      </c>
      <c r="I568" s="94">
        <v>0.0</v>
      </c>
      <c r="J568" s="95">
        <f t="shared" si="425"/>
        <v>0</v>
      </c>
      <c r="K568" s="87" t="str">
        <f t="shared" si="426"/>
        <v>#DIV/0!</v>
      </c>
      <c r="L568" s="94">
        <v>0.0</v>
      </c>
      <c r="M568" s="94">
        <v>0.0</v>
      </c>
      <c r="N568" s="85">
        <v>0.0</v>
      </c>
      <c r="O568" s="110">
        <f t="shared" si="427"/>
        <v>0</v>
      </c>
      <c r="P568" s="94">
        <v>0.0</v>
      </c>
      <c r="Q568" s="94">
        <v>0.0</v>
      </c>
      <c r="R568" s="94">
        <v>0.0</v>
      </c>
      <c r="S568" s="94">
        <v>0.0</v>
      </c>
      <c r="T568" s="94">
        <v>0.0</v>
      </c>
      <c r="U568" s="94">
        <v>0.0</v>
      </c>
      <c r="V568" s="94">
        <v>0.0</v>
      </c>
      <c r="W568" s="94">
        <v>0.0</v>
      </c>
      <c r="X568" s="94">
        <v>0.0</v>
      </c>
      <c r="Y568" s="94">
        <v>0.0</v>
      </c>
      <c r="Z568" s="94">
        <v>0.0</v>
      </c>
      <c r="AA568" s="94">
        <v>0.0</v>
      </c>
      <c r="AB568" s="94">
        <v>0.0</v>
      </c>
      <c r="AC568" s="94">
        <v>0.0</v>
      </c>
      <c r="AD568" s="94">
        <v>0.0</v>
      </c>
      <c r="AE568" s="94">
        <v>0.0</v>
      </c>
      <c r="AF568" s="94">
        <v>0.0</v>
      </c>
      <c r="AG568" s="94">
        <v>0.0</v>
      </c>
      <c r="AH568" s="94">
        <v>0.0</v>
      </c>
    </row>
    <row r="569" hidden="1">
      <c r="A569" s="89"/>
      <c r="B569" s="111"/>
      <c r="C569" s="111">
        <f t="shared" ref="C569:D569" si="429">SUM(C563:C568)/4</f>
        <v>1</v>
      </c>
      <c r="D569" s="111">
        <f t="shared" si="429"/>
        <v>1</v>
      </c>
      <c r="E569" s="91">
        <f t="shared" ref="E569:G569" si="430">SUM(E563:E568)</f>
        <v>108</v>
      </c>
      <c r="F569" s="111">
        <f t="shared" si="430"/>
        <v>5</v>
      </c>
      <c r="G569" s="111">
        <f t="shared" si="430"/>
        <v>369</v>
      </c>
      <c r="H569" s="111"/>
      <c r="I569" s="111">
        <f>SUM(I563:I568)</f>
        <v>349</v>
      </c>
      <c r="J569" s="111">
        <f t="shared" si="425"/>
        <v>20</v>
      </c>
      <c r="K569" s="92">
        <f t="shared" si="426"/>
        <v>1.05730659</v>
      </c>
      <c r="L569" s="111">
        <f t="shared" ref="L569:M569" si="431">SUM(L563:L568)</f>
        <v>63</v>
      </c>
      <c r="M569" s="111">
        <f t="shared" si="431"/>
        <v>504</v>
      </c>
      <c r="N569" s="111"/>
      <c r="O569" s="112"/>
      <c r="P569" s="111">
        <f t="shared" ref="P569:AH569" si="432">SUM(P563:P568)</f>
        <v>12</v>
      </c>
      <c r="Q569" s="111">
        <f t="shared" si="432"/>
        <v>11</v>
      </c>
      <c r="R569" s="111">
        <f t="shared" si="432"/>
        <v>28</v>
      </c>
      <c r="S569" s="111">
        <f t="shared" si="432"/>
        <v>3</v>
      </c>
      <c r="T569" s="111">
        <f t="shared" si="432"/>
        <v>63</v>
      </c>
      <c r="U569" s="111">
        <f t="shared" si="432"/>
        <v>15</v>
      </c>
      <c r="V569" s="111">
        <f t="shared" si="432"/>
        <v>6</v>
      </c>
      <c r="W569" s="111">
        <f t="shared" si="432"/>
        <v>2</v>
      </c>
      <c r="X569" s="111">
        <f t="shared" si="432"/>
        <v>2</v>
      </c>
      <c r="Y569" s="111">
        <f t="shared" si="432"/>
        <v>1</v>
      </c>
      <c r="Z569" s="111">
        <f t="shared" si="432"/>
        <v>0</v>
      </c>
      <c r="AA569" s="111">
        <f t="shared" si="432"/>
        <v>0</v>
      </c>
      <c r="AB569" s="111">
        <f t="shared" si="432"/>
        <v>0</v>
      </c>
      <c r="AC569" s="111">
        <f t="shared" si="432"/>
        <v>7</v>
      </c>
      <c r="AD569" s="111">
        <f t="shared" si="432"/>
        <v>1</v>
      </c>
      <c r="AE569" s="111">
        <f t="shared" si="432"/>
        <v>0</v>
      </c>
      <c r="AF569" s="111">
        <f t="shared" si="432"/>
        <v>0</v>
      </c>
      <c r="AG569" s="111">
        <f t="shared" si="432"/>
        <v>1</v>
      </c>
      <c r="AH569" s="111">
        <f t="shared" si="432"/>
        <v>0</v>
      </c>
    </row>
    <row r="570" hidden="1">
      <c r="A570" s="83" t="s">
        <v>49</v>
      </c>
      <c r="B570" s="84" t="s">
        <v>198</v>
      </c>
      <c r="C570" s="85">
        <v>1.0</v>
      </c>
      <c r="D570" s="94">
        <v>0.0</v>
      </c>
      <c r="E570" s="86">
        <v>27.0</v>
      </c>
      <c r="F570" s="85">
        <v>0.0</v>
      </c>
      <c r="G570" s="85">
        <v>92.0</v>
      </c>
      <c r="H570" s="85">
        <v>2.0</v>
      </c>
      <c r="I570" s="85">
        <v>101.0</v>
      </c>
      <c r="J570" s="95">
        <f t="shared" si="425"/>
        <v>-9</v>
      </c>
      <c r="K570" s="87">
        <f t="shared" si="426"/>
        <v>0.9108910891</v>
      </c>
      <c r="L570" s="85">
        <v>13.0</v>
      </c>
      <c r="M570" s="85">
        <v>115.0</v>
      </c>
      <c r="N570" s="85">
        <v>1.0</v>
      </c>
      <c r="O570" s="110">
        <f t="shared" ref="O570:O575" si="433">(E570*N570)</f>
        <v>27</v>
      </c>
      <c r="P570" s="85">
        <v>2.0</v>
      </c>
      <c r="Q570" s="85">
        <v>2.0</v>
      </c>
      <c r="R570" s="85">
        <v>4.0</v>
      </c>
      <c r="S570" s="85">
        <v>3.0</v>
      </c>
      <c r="T570" s="85">
        <v>14.0</v>
      </c>
      <c r="U570" s="85">
        <v>2.0</v>
      </c>
      <c r="V570" s="94">
        <v>0.0</v>
      </c>
      <c r="W570" s="94">
        <v>0.0</v>
      </c>
      <c r="X570" s="94">
        <v>0.0</v>
      </c>
      <c r="Y570" s="94">
        <v>0.0</v>
      </c>
      <c r="Z570" s="94">
        <v>0.0</v>
      </c>
      <c r="AA570" s="94">
        <v>0.0</v>
      </c>
      <c r="AB570" s="94">
        <v>0.0</v>
      </c>
      <c r="AC570" s="85">
        <v>1.0</v>
      </c>
      <c r="AD570" s="94">
        <v>0.0</v>
      </c>
      <c r="AE570" s="94">
        <v>0.0</v>
      </c>
      <c r="AF570" s="94">
        <v>0.0</v>
      </c>
      <c r="AG570" s="94">
        <v>0.0</v>
      </c>
      <c r="AH570" s="94">
        <v>0.0</v>
      </c>
    </row>
    <row r="571" hidden="1">
      <c r="A571" s="83" t="s">
        <v>49</v>
      </c>
      <c r="B571" s="84" t="s">
        <v>199</v>
      </c>
      <c r="C571" s="85">
        <v>1.0</v>
      </c>
      <c r="D571" s="94">
        <v>0.0</v>
      </c>
      <c r="E571" s="86">
        <v>27.0</v>
      </c>
      <c r="F571" s="94">
        <v>0.0</v>
      </c>
      <c r="G571" s="85">
        <v>109.0</v>
      </c>
      <c r="H571" s="85">
        <v>1.0</v>
      </c>
      <c r="I571" s="85">
        <v>90.0</v>
      </c>
      <c r="J571" s="95">
        <f t="shared" si="425"/>
        <v>19</v>
      </c>
      <c r="K571" s="87">
        <f t="shared" si="426"/>
        <v>1.211111111</v>
      </c>
      <c r="L571" s="85">
        <v>15.0</v>
      </c>
      <c r="M571" s="85">
        <v>141.0</v>
      </c>
      <c r="N571" s="85">
        <v>1.0</v>
      </c>
      <c r="O571" s="110">
        <f t="shared" si="433"/>
        <v>27</v>
      </c>
      <c r="P571" s="85">
        <v>4.0</v>
      </c>
      <c r="Q571" s="85">
        <v>4.0</v>
      </c>
      <c r="R571" s="85">
        <v>10.0</v>
      </c>
      <c r="S571" s="85">
        <v>1.0</v>
      </c>
      <c r="T571" s="85">
        <v>17.0</v>
      </c>
      <c r="U571" s="85">
        <v>1.0</v>
      </c>
      <c r="V571" s="85">
        <v>1.0</v>
      </c>
      <c r="W571" s="85">
        <v>1.0</v>
      </c>
      <c r="X571" s="85">
        <v>1.0</v>
      </c>
      <c r="Y571" s="94">
        <v>0.0</v>
      </c>
      <c r="Z571" s="94">
        <v>0.0</v>
      </c>
      <c r="AA571" s="94">
        <v>0.0</v>
      </c>
      <c r="AB571" s="94">
        <v>0.0</v>
      </c>
      <c r="AC571" s="85">
        <v>2.0</v>
      </c>
      <c r="AD571" s="94">
        <v>0.0</v>
      </c>
      <c r="AE571" s="94">
        <v>0.0</v>
      </c>
      <c r="AF571" s="94">
        <v>0.0</v>
      </c>
      <c r="AG571" s="94">
        <v>0.0</v>
      </c>
      <c r="AH571" s="94">
        <v>0.0</v>
      </c>
    </row>
    <row r="572" hidden="1">
      <c r="A572" s="83" t="s">
        <v>49</v>
      </c>
      <c r="B572" s="84" t="s">
        <v>200</v>
      </c>
      <c r="C572" s="85">
        <v>1.0</v>
      </c>
      <c r="D572" s="94">
        <v>0.0</v>
      </c>
      <c r="E572" s="86">
        <v>27.0</v>
      </c>
      <c r="F572" s="85">
        <v>1.0</v>
      </c>
      <c r="G572" s="85">
        <v>54.0</v>
      </c>
      <c r="H572" s="94">
        <v>0.0</v>
      </c>
      <c r="I572" s="85">
        <v>72.0</v>
      </c>
      <c r="J572" s="95">
        <f t="shared" si="425"/>
        <v>-18</v>
      </c>
      <c r="K572" s="87">
        <f t="shared" si="426"/>
        <v>0.75</v>
      </c>
      <c r="L572" s="85">
        <v>19.0</v>
      </c>
      <c r="M572" s="85">
        <v>73.0</v>
      </c>
      <c r="N572" s="85">
        <v>1.0</v>
      </c>
      <c r="O572" s="110">
        <f t="shared" si="433"/>
        <v>27</v>
      </c>
      <c r="P572" s="85">
        <v>4.0</v>
      </c>
      <c r="Q572" s="85">
        <v>1.0</v>
      </c>
      <c r="R572" s="85">
        <v>6.0</v>
      </c>
      <c r="S572" s="85">
        <v>2.0</v>
      </c>
      <c r="T572" s="85">
        <v>7.0</v>
      </c>
      <c r="U572" s="94">
        <v>0.0</v>
      </c>
      <c r="V572" s="94">
        <v>0.0</v>
      </c>
      <c r="W572" s="94">
        <v>0.0</v>
      </c>
      <c r="X572" s="94">
        <v>0.0</v>
      </c>
      <c r="Y572" s="94">
        <v>0.0</v>
      </c>
      <c r="Z572" s="94">
        <v>0.0</v>
      </c>
      <c r="AA572" s="94">
        <v>0.0</v>
      </c>
      <c r="AB572" s="94">
        <v>0.0</v>
      </c>
      <c r="AC572" s="94">
        <v>0.0</v>
      </c>
      <c r="AD572" s="94">
        <v>0.0</v>
      </c>
      <c r="AE572" s="94">
        <v>0.0</v>
      </c>
      <c r="AF572" s="94">
        <v>0.0</v>
      </c>
      <c r="AG572" s="94">
        <v>0.0</v>
      </c>
      <c r="AH572" s="94">
        <v>0.0</v>
      </c>
    </row>
    <row r="573" hidden="1">
      <c r="A573" s="83" t="s">
        <v>49</v>
      </c>
      <c r="B573" s="84" t="s">
        <v>201</v>
      </c>
      <c r="C573" s="94">
        <v>0.0</v>
      </c>
      <c r="D573" s="94">
        <v>0.0</v>
      </c>
      <c r="E573" s="96">
        <f>SUM(L573*I573)/60</f>
        <v>0</v>
      </c>
      <c r="F573" s="94">
        <v>0.0</v>
      </c>
      <c r="G573" s="85">
        <v>0.0</v>
      </c>
      <c r="H573" s="85">
        <v>0.0</v>
      </c>
      <c r="I573" s="85">
        <v>0.0</v>
      </c>
      <c r="J573" s="95">
        <f t="shared" si="425"/>
        <v>0</v>
      </c>
      <c r="K573" s="87" t="str">
        <f t="shared" si="426"/>
        <v>#DIV/0!</v>
      </c>
      <c r="L573" s="94">
        <v>0.0</v>
      </c>
      <c r="M573" s="94">
        <v>0.0</v>
      </c>
      <c r="N573" s="85">
        <v>0.0</v>
      </c>
      <c r="O573" s="110">
        <f t="shared" si="433"/>
        <v>0</v>
      </c>
      <c r="P573" s="94">
        <v>0.0</v>
      </c>
      <c r="Q573" s="94">
        <v>0.0</v>
      </c>
      <c r="R573" s="94">
        <v>0.0</v>
      </c>
      <c r="S573" s="94">
        <v>0.0</v>
      </c>
      <c r="T573" s="94">
        <v>0.0</v>
      </c>
      <c r="U573" s="94">
        <v>0.0</v>
      </c>
      <c r="V573" s="94">
        <v>0.0</v>
      </c>
      <c r="W573" s="94">
        <v>0.0</v>
      </c>
      <c r="X573" s="94">
        <v>0.0</v>
      </c>
      <c r="Y573" s="94">
        <v>0.0</v>
      </c>
      <c r="Z573" s="94">
        <v>0.0</v>
      </c>
      <c r="AA573" s="94">
        <v>0.0</v>
      </c>
      <c r="AB573" s="94">
        <v>0.0</v>
      </c>
      <c r="AC573" s="94">
        <v>0.0</v>
      </c>
      <c r="AD573" s="94">
        <v>0.0</v>
      </c>
      <c r="AE573" s="94">
        <v>0.0</v>
      </c>
      <c r="AF573" s="94">
        <v>0.0</v>
      </c>
      <c r="AG573" s="94">
        <v>0.0</v>
      </c>
      <c r="AH573" s="94">
        <v>0.0</v>
      </c>
    </row>
    <row r="574" hidden="1">
      <c r="A574" s="83" t="s">
        <v>49</v>
      </c>
      <c r="B574" s="84" t="s">
        <v>202</v>
      </c>
      <c r="C574" s="85">
        <v>1.0</v>
      </c>
      <c r="D574" s="94">
        <v>0.0</v>
      </c>
      <c r="E574" s="86">
        <v>27.0</v>
      </c>
      <c r="F574" s="94">
        <v>0.0</v>
      </c>
      <c r="G574" s="85">
        <v>90.0</v>
      </c>
      <c r="H574" s="85">
        <v>1.0</v>
      </c>
      <c r="I574" s="85">
        <v>113.0</v>
      </c>
      <c r="J574" s="95">
        <f t="shared" si="425"/>
        <v>-23</v>
      </c>
      <c r="K574" s="87">
        <f t="shared" si="426"/>
        <v>0.796460177</v>
      </c>
      <c r="L574" s="85">
        <v>11.0</v>
      </c>
      <c r="M574" s="85">
        <v>114.0</v>
      </c>
      <c r="N574" s="85">
        <v>1.0</v>
      </c>
      <c r="O574" s="110">
        <f t="shared" si="433"/>
        <v>27</v>
      </c>
      <c r="P574" s="85">
        <v>6.0</v>
      </c>
      <c r="Q574" s="85">
        <v>2.0</v>
      </c>
      <c r="R574" s="85">
        <v>4.0</v>
      </c>
      <c r="S574" s="85">
        <v>1.0</v>
      </c>
      <c r="T574" s="85">
        <v>13.0</v>
      </c>
      <c r="U574" s="85">
        <v>1.0</v>
      </c>
      <c r="V574" s="94">
        <v>0.0</v>
      </c>
      <c r="W574" s="94">
        <v>0.0</v>
      </c>
      <c r="X574" s="94">
        <v>0.0</v>
      </c>
      <c r="Y574" s="94">
        <v>0.0</v>
      </c>
      <c r="Z574" s="94">
        <v>0.0</v>
      </c>
      <c r="AA574" s="94">
        <v>0.0</v>
      </c>
      <c r="AB574" s="94">
        <v>0.0</v>
      </c>
      <c r="AC574" s="94">
        <v>0.0</v>
      </c>
      <c r="AD574" s="94">
        <v>0.0</v>
      </c>
      <c r="AE574" s="94">
        <v>0.0</v>
      </c>
      <c r="AF574" s="94">
        <v>0.0</v>
      </c>
      <c r="AG574" s="94">
        <v>0.0</v>
      </c>
      <c r="AH574" s="94">
        <v>0.0</v>
      </c>
    </row>
    <row r="575" hidden="1">
      <c r="A575" s="83" t="s">
        <v>49</v>
      </c>
      <c r="B575" s="93"/>
      <c r="C575" s="94">
        <v>0.0</v>
      </c>
      <c r="D575" s="94">
        <v>0.0</v>
      </c>
      <c r="E575" s="96">
        <f>SUM(L575*I575)/60</f>
        <v>0</v>
      </c>
      <c r="F575" s="94">
        <v>0.0</v>
      </c>
      <c r="G575" s="94">
        <v>0.0</v>
      </c>
      <c r="H575" s="94">
        <v>0.0</v>
      </c>
      <c r="I575" s="94">
        <v>0.0</v>
      </c>
      <c r="J575" s="95">
        <f t="shared" si="425"/>
        <v>0</v>
      </c>
      <c r="K575" s="87" t="str">
        <f t="shared" si="426"/>
        <v>#DIV/0!</v>
      </c>
      <c r="L575" s="94">
        <v>0.0</v>
      </c>
      <c r="M575" s="94">
        <v>0.0</v>
      </c>
      <c r="N575" s="85">
        <v>0.0</v>
      </c>
      <c r="O575" s="110">
        <f t="shared" si="433"/>
        <v>0</v>
      </c>
      <c r="P575" s="94">
        <v>0.0</v>
      </c>
      <c r="Q575" s="94">
        <v>0.0</v>
      </c>
      <c r="R575" s="94">
        <v>0.0</v>
      </c>
      <c r="S575" s="94">
        <v>0.0</v>
      </c>
      <c r="T575" s="94">
        <v>0.0</v>
      </c>
      <c r="U575" s="94">
        <v>0.0</v>
      </c>
      <c r="V575" s="94">
        <v>0.0</v>
      </c>
      <c r="W575" s="94">
        <v>0.0</v>
      </c>
      <c r="X575" s="94">
        <v>0.0</v>
      </c>
      <c r="Y575" s="94">
        <v>0.0</v>
      </c>
      <c r="Z575" s="94">
        <v>0.0</v>
      </c>
      <c r="AA575" s="94">
        <v>0.0</v>
      </c>
      <c r="AB575" s="94">
        <v>0.0</v>
      </c>
      <c r="AC575" s="94">
        <v>0.0</v>
      </c>
      <c r="AD575" s="94">
        <v>0.0</v>
      </c>
      <c r="AE575" s="94">
        <v>0.0</v>
      </c>
      <c r="AF575" s="94">
        <v>0.0</v>
      </c>
      <c r="AG575" s="94">
        <v>0.0</v>
      </c>
      <c r="AH575" s="94">
        <v>0.0</v>
      </c>
    </row>
    <row r="576" hidden="1">
      <c r="A576" s="89" t="s">
        <v>185</v>
      </c>
      <c r="B576" s="111"/>
      <c r="C576" s="111">
        <f>SUM(C570:C575)</f>
        <v>4</v>
      </c>
      <c r="D576" s="111">
        <f t="shared" ref="D576:E576" si="434">SUM(D570:D575)/4</f>
        <v>0</v>
      </c>
      <c r="E576" s="91">
        <f t="shared" si="434"/>
        <v>27</v>
      </c>
      <c r="F576" s="111">
        <f t="shared" ref="F576:G576" si="435">SUM(F570:F575)</f>
        <v>1</v>
      </c>
      <c r="G576" s="111">
        <f t="shared" si="435"/>
        <v>345</v>
      </c>
      <c r="H576" s="111"/>
      <c r="I576" s="111">
        <f>SUM(I570:I575)</f>
        <v>376</v>
      </c>
      <c r="J576" s="111">
        <f t="shared" si="425"/>
        <v>-31</v>
      </c>
      <c r="K576" s="92">
        <f t="shared" si="426"/>
        <v>0.9175531915</v>
      </c>
      <c r="L576" s="111">
        <f t="shared" ref="L576:M576" si="436">SUM(L570:L575)</f>
        <v>58</v>
      </c>
      <c r="M576" s="111">
        <f t="shared" si="436"/>
        <v>443</v>
      </c>
      <c r="N576" s="111"/>
      <c r="O576" s="112"/>
      <c r="P576" s="111">
        <f t="shared" ref="P576:AH576" si="437">SUM(P570:P575)</f>
        <v>16</v>
      </c>
      <c r="Q576" s="111">
        <f t="shared" si="437"/>
        <v>9</v>
      </c>
      <c r="R576" s="111">
        <f t="shared" si="437"/>
        <v>24</v>
      </c>
      <c r="S576" s="111">
        <f t="shared" si="437"/>
        <v>7</v>
      </c>
      <c r="T576" s="111">
        <f t="shared" si="437"/>
        <v>51</v>
      </c>
      <c r="U576" s="111">
        <f t="shared" si="437"/>
        <v>4</v>
      </c>
      <c r="V576" s="111">
        <f t="shared" si="437"/>
        <v>1</v>
      </c>
      <c r="W576" s="111">
        <f t="shared" si="437"/>
        <v>1</v>
      </c>
      <c r="X576" s="111">
        <f t="shared" si="437"/>
        <v>1</v>
      </c>
      <c r="Y576" s="111">
        <f t="shared" si="437"/>
        <v>0</v>
      </c>
      <c r="Z576" s="111">
        <f t="shared" si="437"/>
        <v>0</v>
      </c>
      <c r="AA576" s="111">
        <f t="shared" si="437"/>
        <v>0</v>
      </c>
      <c r="AB576" s="111">
        <f t="shared" si="437"/>
        <v>0</v>
      </c>
      <c r="AC576" s="111">
        <f t="shared" si="437"/>
        <v>3</v>
      </c>
      <c r="AD576" s="111">
        <f t="shared" si="437"/>
        <v>0</v>
      </c>
      <c r="AE576" s="111">
        <f t="shared" si="437"/>
        <v>0</v>
      </c>
      <c r="AF576" s="111">
        <f t="shared" si="437"/>
        <v>0</v>
      </c>
      <c r="AG576" s="111">
        <f t="shared" si="437"/>
        <v>0</v>
      </c>
      <c r="AH576" s="111">
        <f t="shared" si="437"/>
        <v>0</v>
      </c>
    </row>
    <row r="577">
      <c r="A577" s="104" t="s">
        <v>288</v>
      </c>
    </row>
    <row r="579" hidden="1">
      <c r="A579" s="105"/>
      <c r="F579" s="106" t="s">
        <v>251</v>
      </c>
      <c r="L579" s="107" t="s">
        <v>252</v>
      </c>
      <c r="N579" s="108" t="s">
        <v>253</v>
      </c>
    </row>
    <row r="580" hidden="1">
      <c r="A580" s="76" t="s">
        <v>148</v>
      </c>
      <c r="B580" s="76" t="s">
        <v>149</v>
      </c>
      <c r="C580" s="76" t="s">
        <v>150</v>
      </c>
      <c r="D580" s="76" t="s">
        <v>13</v>
      </c>
      <c r="E580" s="77" t="s">
        <v>151</v>
      </c>
      <c r="F580" s="78" t="s">
        <v>15</v>
      </c>
      <c r="G580" s="78" t="s">
        <v>152</v>
      </c>
      <c r="H580" s="78" t="s">
        <v>153</v>
      </c>
      <c r="I580" s="78" t="s">
        <v>154</v>
      </c>
      <c r="J580" s="78" t="s">
        <v>155</v>
      </c>
      <c r="K580" s="79" t="s">
        <v>156</v>
      </c>
      <c r="L580" s="80" t="s">
        <v>157</v>
      </c>
      <c r="M580" s="80" t="s">
        <v>158</v>
      </c>
      <c r="N580" s="81" t="s">
        <v>254</v>
      </c>
      <c r="O580" s="81" t="s">
        <v>151</v>
      </c>
      <c r="P580" s="81" t="s">
        <v>160</v>
      </c>
      <c r="Q580" s="81" t="s">
        <v>161</v>
      </c>
      <c r="R580" s="81" t="s">
        <v>162</v>
      </c>
      <c r="S580" s="81" t="s">
        <v>163</v>
      </c>
      <c r="T580" s="81" t="s">
        <v>164</v>
      </c>
      <c r="U580" s="81" t="s">
        <v>165</v>
      </c>
      <c r="V580" s="81" t="s">
        <v>166</v>
      </c>
      <c r="W580" s="81" t="s">
        <v>167</v>
      </c>
      <c r="X580" s="81" t="s">
        <v>168</v>
      </c>
      <c r="Y580" s="81" t="s">
        <v>169</v>
      </c>
      <c r="Z580" s="81" t="s">
        <v>170</v>
      </c>
      <c r="AA580" s="81" t="s">
        <v>171</v>
      </c>
      <c r="AB580" s="81" t="s">
        <v>172</v>
      </c>
      <c r="AC580" s="81" t="s">
        <v>173</v>
      </c>
      <c r="AD580" s="81" t="s">
        <v>174</v>
      </c>
      <c r="AE580" s="81" t="s">
        <v>175</v>
      </c>
      <c r="AF580" s="81" t="s">
        <v>176</v>
      </c>
      <c r="AG580" s="81" t="s">
        <v>177</v>
      </c>
      <c r="AH580" s="81" t="s">
        <v>178</v>
      </c>
    </row>
    <row r="581" hidden="1">
      <c r="A581" s="83" t="s">
        <v>34</v>
      </c>
      <c r="B581" s="84" t="s">
        <v>227</v>
      </c>
      <c r="C581" s="85">
        <v>1.0</v>
      </c>
      <c r="D581" s="85">
        <v>1.0</v>
      </c>
      <c r="E581" s="86">
        <v>27.0</v>
      </c>
      <c r="F581" s="85">
        <v>2.0</v>
      </c>
      <c r="G581" s="85">
        <v>102.0</v>
      </c>
      <c r="H581" s="85">
        <v>1.0</v>
      </c>
      <c r="I581" s="85">
        <v>90.0</v>
      </c>
      <c r="J581" s="95">
        <f t="shared" ref="J581:J594" si="438">SUM(G581-I581)</f>
        <v>12</v>
      </c>
      <c r="K581" s="87">
        <f t="shared" ref="K581:K594" si="439">SUM(G581/I581)</f>
        <v>1.133333333</v>
      </c>
      <c r="L581" s="94">
        <v>0.0</v>
      </c>
      <c r="M581" s="94">
        <v>0.0</v>
      </c>
      <c r="N581" s="85">
        <v>1.0</v>
      </c>
      <c r="O581" s="110">
        <f t="shared" ref="O581:O586" si="440">(E581*N581)</f>
        <v>27</v>
      </c>
      <c r="P581" s="85">
        <v>1.0</v>
      </c>
      <c r="Q581" s="85">
        <v>1.0</v>
      </c>
      <c r="R581" s="85">
        <v>10.0</v>
      </c>
      <c r="S581" s="94">
        <v>0.0</v>
      </c>
      <c r="T581" s="85">
        <v>15.0</v>
      </c>
      <c r="U581" s="85">
        <v>3.0</v>
      </c>
      <c r="V581" s="94">
        <v>0.0</v>
      </c>
      <c r="W581" s="94">
        <v>0.0</v>
      </c>
      <c r="X581" s="94">
        <v>0.0</v>
      </c>
      <c r="Y581" s="94">
        <v>0.0</v>
      </c>
      <c r="Z581" s="94">
        <v>0.0</v>
      </c>
      <c r="AA581" s="94">
        <v>0.0</v>
      </c>
      <c r="AB581" s="94">
        <v>0.0</v>
      </c>
      <c r="AC581" s="85">
        <v>2.0</v>
      </c>
      <c r="AD581" s="94">
        <v>0.0</v>
      </c>
      <c r="AE581" s="94">
        <v>0.0</v>
      </c>
      <c r="AF581" s="94">
        <v>0.0</v>
      </c>
      <c r="AG581" s="94">
        <v>0.0</v>
      </c>
      <c r="AH581" s="94">
        <v>0.0</v>
      </c>
    </row>
    <row r="582" hidden="1">
      <c r="A582" s="83" t="s">
        <v>34</v>
      </c>
      <c r="B582" s="84" t="s">
        <v>228</v>
      </c>
      <c r="C582" s="85">
        <v>1.0</v>
      </c>
      <c r="D582" s="85">
        <v>1.0</v>
      </c>
      <c r="E582" s="86">
        <v>27.0</v>
      </c>
      <c r="F582" s="94">
        <v>0.0</v>
      </c>
      <c r="G582" s="85">
        <v>91.0</v>
      </c>
      <c r="H582" s="85">
        <v>1.0</v>
      </c>
      <c r="I582" s="85">
        <v>90.0</v>
      </c>
      <c r="J582" s="95">
        <f t="shared" si="438"/>
        <v>1</v>
      </c>
      <c r="K582" s="87">
        <f t="shared" si="439"/>
        <v>1.011111111</v>
      </c>
      <c r="L582" s="94">
        <v>0.0</v>
      </c>
      <c r="M582" s="94">
        <v>0.0</v>
      </c>
      <c r="N582" s="85">
        <v>1.0</v>
      </c>
      <c r="O582" s="110">
        <f t="shared" si="440"/>
        <v>27</v>
      </c>
      <c r="P582" s="85">
        <v>5.0</v>
      </c>
      <c r="Q582" s="85">
        <v>1.0</v>
      </c>
      <c r="R582" s="85">
        <v>8.0</v>
      </c>
      <c r="S582" s="85">
        <v>2.0</v>
      </c>
      <c r="T582" s="85">
        <v>15.0</v>
      </c>
      <c r="U582" s="85">
        <v>3.0</v>
      </c>
      <c r="V582" s="94">
        <v>0.0</v>
      </c>
      <c r="W582" s="94">
        <v>0.0</v>
      </c>
      <c r="X582" s="94">
        <v>0.0</v>
      </c>
      <c r="Y582" s="94">
        <v>0.0</v>
      </c>
      <c r="Z582" s="94">
        <v>0.0</v>
      </c>
      <c r="AA582" s="94">
        <v>0.0</v>
      </c>
      <c r="AB582" s="94">
        <v>0.0</v>
      </c>
      <c r="AC582" s="85">
        <v>2.0</v>
      </c>
      <c r="AD582" s="94">
        <v>0.0</v>
      </c>
      <c r="AE582" s="94">
        <v>0.0</v>
      </c>
      <c r="AF582" s="94">
        <v>0.0</v>
      </c>
      <c r="AG582" s="94">
        <v>0.0</v>
      </c>
      <c r="AH582" s="94">
        <v>0.0</v>
      </c>
    </row>
    <row r="583" hidden="1">
      <c r="A583" s="83" t="s">
        <v>34</v>
      </c>
      <c r="B583" s="84" t="s">
        <v>229</v>
      </c>
      <c r="C583" s="85">
        <v>1.0</v>
      </c>
      <c r="D583" s="85">
        <v>1.0</v>
      </c>
      <c r="E583" s="86">
        <v>27.0</v>
      </c>
      <c r="F583" s="85">
        <v>3.0</v>
      </c>
      <c r="G583" s="85">
        <v>77.0</v>
      </c>
      <c r="H583" s="85">
        <v>1.0</v>
      </c>
      <c r="I583" s="85">
        <v>54.0</v>
      </c>
      <c r="J583" s="95">
        <f t="shared" si="438"/>
        <v>23</v>
      </c>
      <c r="K583" s="87">
        <f t="shared" si="439"/>
        <v>1.425925926</v>
      </c>
      <c r="L583" s="94">
        <v>0.0</v>
      </c>
      <c r="M583" s="94">
        <v>0.0</v>
      </c>
      <c r="N583" s="85">
        <v>1.0</v>
      </c>
      <c r="O583" s="110">
        <f t="shared" si="440"/>
        <v>27</v>
      </c>
      <c r="P583" s="85">
        <v>4.0</v>
      </c>
      <c r="Q583" s="85">
        <v>2.0</v>
      </c>
      <c r="R583" s="85">
        <v>8.0</v>
      </c>
      <c r="S583" s="85">
        <v>2.0</v>
      </c>
      <c r="T583" s="85">
        <v>11.0</v>
      </c>
      <c r="U583" s="85">
        <v>5.0</v>
      </c>
      <c r="V583" s="85">
        <v>1.0</v>
      </c>
      <c r="W583" s="94">
        <v>0.0</v>
      </c>
      <c r="X583" s="94">
        <v>0.0</v>
      </c>
      <c r="Y583" s="94">
        <v>0.0</v>
      </c>
      <c r="Z583" s="94">
        <v>0.0</v>
      </c>
      <c r="AA583" s="94">
        <v>0.0</v>
      </c>
      <c r="AB583" s="94">
        <v>0.0</v>
      </c>
      <c r="AC583" s="85">
        <v>5.0</v>
      </c>
      <c r="AD583" s="94">
        <v>0.0</v>
      </c>
      <c r="AE583" s="94">
        <v>0.0</v>
      </c>
      <c r="AF583" s="94">
        <v>0.0</v>
      </c>
      <c r="AG583" s="94">
        <v>0.0</v>
      </c>
      <c r="AH583" s="94">
        <v>0.0</v>
      </c>
    </row>
    <row r="584" hidden="1">
      <c r="A584" s="83" t="s">
        <v>34</v>
      </c>
      <c r="B584" s="84" t="s">
        <v>230</v>
      </c>
      <c r="C584" s="85">
        <v>1.0</v>
      </c>
      <c r="D584" s="85">
        <v>1.0</v>
      </c>
      <c r="E584" s="86">
        <v>27.0</v>
      </c>
      <c r="F584" s="94">
        <v>0.0</v>
      </c>
      <c r="G584" s="85">
        <v>94.0</v>
      </c>
      <c r="H584" s="85">
        <v>0.0</v>
      </c>
      <c r="I584" s="85">
        <v>89.0</v>
      </c>
      <c r="J584" s="95">
        <f t="shared" si="438"/>
        <v>5</v>
      </c>
      <c r="K584" s="87">
        <f t="shared" si="439"/>
        <v>1.056179775</v>
      </c>
      <c r="L584" s="94">
        <v>0.0</v>
      </c>
      <c r="M584" s="94">
        <v>0.0</v>
      </c>
      <c r="N584" s="85">
        <v>1.0</v>
      </c>
      <c r="O584" s="110">
        <f t="shared" si="440"/>
        <v>27</v>
      </c>
      <c r="P584" s="85">
        <v>1.0</v>
      </c>
      <c r="Q584" s="85">
        <v>2.0</v>
      </c>
      <c r="R584" s="85">
        <v>4.0</v>
      </c>
      <c r="S584" s="85">
        <v>1.0</v>
      </c>
      <c r="T584" s="85">
        <v>17.0</v>
      </c>
      <c r="U584" s="85">
        <v>3.0</v>
      </c>
      <c r="V584" s="94">
        <v>0.0</v>
      </c>
      <c r="W584" s="94">
        <v>0.0</v>
      </c>
      <c r="X584" s="94">
        <v>0.0</v>
      </c>
      <c r="Y584" s="94">
        <v>0.0</v>
      </c>
      <c r="Z584" s="94">
        <v>0.0</v>
      </c>
      <c r="AA584" s="94">
        <v>0.0</v>
      </c>
      <c r="AB584" s="94">
        <v>0.0</v>
      </c>
      <c r="AC584" s="85">
        <v>3.0</v>
      </c>
      <c r="AD584" s="94">
        <v>0.0</v>
      </c>
      <c r="AE584" s="94">
        <v>0.0</v>
      </c>
      <c r="AF584" s="94">
        <v>0.0</v>
      </c>
      <c r="AG584" s="94">
        <v>0.0</v>
      </c>
      <c r="AH584" s="94">
        <v>0.0</v>
      </c>
    </row>
    <row r="585" hidden="1">
      <c r="A585" s="83" t="s">
        <v>34</v>
      </c>
      <c r="B585" s="84" t="s">
        <v>231</v>
      </c>
      <c r="C585" s="94">
        <v>0.0</v>
      </c>
      <c r="D585" s="94">
        <v>0.0</v>
      </c>
      <c r="E585" s="96">
        <f t="shared" ref="E585:E586" si="441">SUM(L585*I585)/60</f>
        <v>0</v>
      </c>
      <c r="F585" s="94">
        <v>0.0</v>
      </c>
      <c r="G585" s="94">
        <v>0.0</v>
      </c>
      <c r="H585" s="94">
        <v>0.0</v>
      </c>
      <c r="I585" s="94">
        <v>0.0</v>
      </c>
      <c r="J585" s="95">
        <f t="shared" si="438"/>
        <v>0</v>
      </c>
      <c r="K585" s="87" t="str">
        <f t="shared" si="439"/>
        <v>#DIV/0!</v>
      </c>
      <c r="L585" s="94">
        <v>0.0</v>
      </c>
      <c r="M585" s="94">
        <v>0.0</v>
      </c>
      <c r="N585" s="85">
        <v>0.0</v>
      </c>
      <c r="O585" s="110">
        <f t="shared" si="440"/>
        <v>0</v>
      </c>
      <c r="P585" s="94">
        <v>0.0</v>
      </c>
      <c r="Q585" s="94">
        <v>0.0</v>
      </c>
      <c r="R585" s="94">
        <v>0.0</v>
      </c>
      <c r="S585" s="94">
        <v>0.0</v>
      </c>
      <c r="T585" s="94">
        <v>0.0</v>
      </c>
      <c r="U585" s="94">
        <v>0.0</v>
      </c>
      <c r="V585" s="94">
        <v>0.0</v>
      </c>
      <c r="W585" s="94">
        <v>0.0</v>
      </c>
      <c r="X585" s="94">
        <v>0.0</v>
      </c>
      <c r="Y585" s="94">
        <v>0.0</v>
      </c>
      <c r="Z585" s="94">
        <v>0.0</v>
      </c>
      <c r="AA585" s="94">
        <v>0.0</v>
      </c>
      <c r="AB585" s="94">
        <v>0.0</v>
      </c>
      <c r="AC585" s="94">
        <v>0.0</v>
      </c>
      <c r="AD585" s="94">
        <v>0.0</v>
      </c>
      <c r="AE585" s="94">
        <v>0.0</v>
      </c>
      <c r="AF585" s="94">
        <v>0.0</v>
      </c>
      <c r="AG585" s="94">
        <v>0.0</v>
      </c>
      <c r="AH585" s="94">
        <v>0.0</v>
      </c>
    </row>
    <row r="586" hidden="1">
      <c r="A586" s="83" t="s">
        <v>34</v>
      </c>
      <c r="B586" s="93"/>
      <c r="C586" s="94">
        <v>0.0</v>
      </c>
      <c r="D586" s="94">
        <v>0.0</v>
      </c>
      <c r="E586" s="96">
        <f t="shared" si="441"/>
        <v>0</v>
      </c>
      <c r="F586" s="94">
        <v>0.0</v>
      </c>
      <c r="G586" s="94">
        <v>0.0</v>
      </c>
      <c r="H586" s="94">
        <v>0.0</v>
      </c>
      <c r="I586" s="94">
        <v>0.0</v>
      </c>
      <c r="J586" s="95">
        <f t="shared" si="438"/>
        <v>0</v>
      </c>
      <c r="K586" s="87" t="str">
        <f t="shared" si="439"/>
        <v>#DIV/0!</v>
      </c>
      <c r="L586" s="94">
        <v>0.0</v>
      </c>
      <c r="M586" s="94">
        <v>0.0</v>
      </c>
      <c r="N586" s="85">
        <v>0.0</v>
      </c>
      <c r="O586" s="110">
        <f t="shared" si="440"/>
        <v>0</v>
      </c>
      <c r="P586" s="94">
        <v>0.0</v>
      </c>
      <c r="Q586" s="94">
        <v>0.0</v>
      </c>
      <c r="R586" s="94">
        <v>0.0</v>
      </c>
      <c r="S586" s="94">
        <v>0.0</v>
      </c>
      <c r="T586" s="94">
        <v>0.0</v>
      </c>
      <c r="U586" s="94">
        <v>0.0</v>
      </c>
      <c r="V586" s="94">
        <v>0.0</v>
      </c>
      <c r="W586" s="94">
        <v>0.0</v>
      </c>
      <c r="X586" s="94">
        <v>0.0</v>
      </c>
      <c r="Y586" s="94">
        <v>0.0</v>
      </c>
      <c r="Z586" s="94">
        <v>0.0</v>
      </c>
      <c r="AA586" s="94">
        <v>0.0</v>
      </c>
      <c r="AB586" s="94">
        <v>0.0</v>
      </c>
      <c r="AC586" s="94">
        <v>0.0</v>
      </c>
      <c r="AD586" s="94">
        <v>0.0</v>
      </c>
      <c r="AE586" s="94">
        <v>0.0</v>
      </c>
      <c r="AF586" s="94">
        <v>0.0</v>
      </c>
      <c r="AG586" s="94">
        <v>0.0</v>
      </c>
      <c r="AH586" s="94">
        <v>0.0</v>
      </c>
    </row>
    <row r="587" hidden="1">
      <c r="A587" s="89"/>
      <c r="B587" s="111"/>
      <c r="C587" s="111">
        <f t="shared" ref="C587:D587" si="442">SUM(C581:C586)/4</f>
        <v>1</v>
      </c>
      <c r="D587" s="111">
        <f t="shared" si="442"/>
        <v>1</v>
      </c>
      <c r="E587" s="91">
        <f t="shared" ref="E587:G587" si="443">SUM(E581:E586)</f>
        <v>108</v>
      </c>
      <c r="F587" s="111">
        <f t="shared" si="443"/>
        <v>5</v>
      </c>
      <c r="G587" s="111">
        <f t="shared" si="443"/>
        <v>364</v>
      </c>
      <c r="H587" s="111"/>
      <c r="I587" s="111">
        <f>SUM(I581:I586)</f>
        <v>323</v>
      </c>
      <c r="J587" s="111">
        <f t="shared" si="438"/>
        <v>41</v>
      </c>
      <c r="K587" s="92">
        <f t="shared" si="439"/>
        <v>1.126934985</v>
      </c>
      <c r="L587" s="111">
        <f t="shared" ref="L587:M587" si="444">SUM(L581:L586)</f>
        <v>0</v>
      </c>
      <c r="M587" s="111">
        <f t="shared" si="444"/>
        <v>0</v>
      </c>
      <c r="N587" s="111"/>
      <c r="O587" s="112"/>
      <c r="P587" s="111">
        <f t="shared" ref="P587:AH587" si="445">SUM(P581:P586)</f>
        <v>11</v>
      </c>
      <c r="Q587" s="111">
        <f t="shared" si="445"/>
        <v>6</v>
      </c>
      <c r="R587" s="111">
        <f t="shared" si="445"/>
        <v>30</v>
      </c>
      <c r="S587" s="111">
        <f t="shared" si="445"/>
        <v>5</v>
      </c>
      <c r="T587" s="111">
        <f t="shared" si="445"/>
        <v>58</v>
      </c>
      <c r="U587" s="111">
        <f t="shared" si="445"/>
        <v>14</v>
      </c>
      <c r="V587" s="111">
        <f t="shared" si="445"/>
        <v>1</v>
      </c>
      <c r="W587" s="111">
        <f t="shared" si="445"/>
        <v>0</v>
      </c>
      <c r="X587" s="111">
        <f t="shared" si="445"/>
        <v>0</v>
      </c>
      <c r="Y587" s="111">
        <f t="shared" si="445"/>
        <v>0</v>
      </c>
      <c r="Z587" s="111">
        <f t="shared" si="445"/>
        <v>0</v>
      </c>
      <c r="AA587" s="111">
        <f t="shared" si="445"/>
        <v>0</v>
      </c>
      <c r="AB587" s="111">
        <f t="shared" si="445"/>
        <v>0</v>
      </c>
      <c r="AC587" s="111">
        <f t="shared" si="445"/>
        <v>12</v>
      </c>
      <c r="AD587" s="111">
        <f t="shared" si="445"/>
        <v>0</v>
      </c>
      <c r="AE587" s="111">
        <f t="shared" si="445"/>
        <v>0</v>
      </c>
      <c r="AF587" s="111">
        <f t="shared" si="445"/>
        <v>0</v>
      </c>
      <c r="AG587" s="111">
        <f t="shared" si="445"/>
        <v>0</v>
      </c>
      <c r="AH587" s="111">
        <f t="shared" si="445"/>
        <v>0</v>
      </c>
    </row>
    <row r="588" hidden="1">
      <c r="A588" s="83" t="s">
        <v>49</v>
      </c>
      <c r="B588" s="84" t="s">
        <v>198</v>
      </c>
      <c r="C588" s="85">
        <v>1.0</v>
      </c>
      <c r="D588" s="94">
        <v>0.0</v>
      </c>
      <c r="E588" s="86">
        <v>27.0</v>
      </c>
      <c r="F588" s="85">
        <v>1.0</v>
      </c>
      <c r="G588" s="85">
        <v>92.0</v>
      </c>
      <c r="H588" s="85">
        <v>1.0</v>
      </c>
      <c r="I588" s="85">
        <v>115.0</v>
      </c>
      <c r="J588" s="95">
        <f t="shared" si="438"/>
        <v>-23</v>
      </c>
      <c r="K588" s="87">
        <f t="shared" si="439"/>
        <v>0.8</v>
      </c>
      <c r="L588" s="94">
        <v>0.0</v>
      </c>
      <c r="M588" s="94">
        <v>0.0</v>
      </c>
      <c r="N588" s="85">
        <v>1.0</v>
      </c>
      <c r="O588" s="110">
        <f t="shared" ref="O588:O593" si="446">(E588*N588)</f>
        <v>27</v>
      </c>
      <c r="P588" s="85">
        <v>4.0</v>
      </c>
      <c r="Q588" s="85">
        <v>2.0</v>
      </c>
      <c r="R588" s="85">
        <v>4.0</v>
      </c>
      <c r="S588" s="85">
        <v>3.0</v>
      </c>
      <c r="T588" s="85">
        <v>10.0</v>
      </c>
      <c r="U588" s="85">
        <v>3.0</v>
      </c>
      <c r="V588" s="85">
        <v>1.0</v>
      </c>
      <c r="W588" s="94">
        <v>0.0</v>
      </c>
      <c r="X588" s="94">
        <v>0.0</v>
      </c>
      <c r="Y588" s="94">
        <v>0.0</v>
      </c>
      <c r="Z588" s="94">
        <v>0.0</v>
      </c>
      <c r="AA588" s="94">
        <v>0.0</v>
      </c>
      <c r="AB588" s="94">
        <v>0.0</v>
      </c>
      <c r="AC588" s="94">
        <v>0.0</v>
      </c>
      <c r="AD588" s="94">
        <v>0.0</v>
      </c>
      <c r="AE588" s="94">
        <v>0.0</v>
      </c>
      <c r="AF588" s="94">
        <v>0.0</v>
      </c>
      <c r="AG588" s="94">
        <v>0.0</v>
      </c>
      <c r="AH588" s="94">
        <v>0.0</v>
      </c>
    </row>
    <row r="589" hidden="1">
      <c r="A589" s="83" t="s">
        <v>49</v>
      </c>
      <c r="B589" s="84" t="s">
        <v>199</v>
      </c>
      <c r="C589" s="85">
        <v>1.0</v>
      </c>
      <c r="D589" s="94">
        <v>0.0</v>
      </c>
      <c r="E589" s="86">
        <v>27.0</v>
      </c>
      <c r="F589" s="94">
        <v>0.0</v>
      </c>
      <c r="G589" s="85">
        <v>84.0</v>
      </c>
      <c r="H589" s="94">
        <v>0.0</v>
      </c>
      <c r="I589" s="85">
        <v>84.0</v>
      </c>
      <c r="J589" s="95">
        <f t="shared" si="438"/>
        <v>0</v>
      </c>
      <c r="K589" s="87">
        <f t="shared" si="439"/>
        <v>1</v>
      </c>
      <c r="L589" s="94">
        <v>0.0</v>
      </c>
      <c r="M589" s="94">
        <v>0.0</v>
      </c>
      <c r="N589" s="85">
        <v>1.0</v>
      </c>
      <c r="O589" s="110">
        <f t="shared" si="446"/>
        <v>27</v>
      </c>
      <c r="P589" s="85">
        <v>6.0</v>
      </c>
      <c r="Q589" s="85">
        <v>3.0</v>
      </c>
      <c r="R589" s="85">
        <v>1.0</v>
      </c>
      <c r="S589" s="85">
        <v>2.0</v>
      </c>
      <c r="T589" s="85">
        <v>8.0</v>
      </c>
      <c r="U589" s="85">
        <v>2.0</v>
      </c>
      <c r="V589" s="85">
        <v>1.0</v>
      </c>
      <c r="W589" s="94">
        <v>0.0</v>
      </c>
      <c r="X589" s="94">
        <v>0.0</v>
      </c>
      <c r="Y589" s="94">
        <v>0.0</v>
      </c>
      <c r="Z589" s="94">
        <v>0.0</v>
      </c>
      <c r="AA589" s="94">
        <v>0.0</v>
      </c>
      <c r="AB589" s="94">
        <v>0.0</v>
      </c>
      <c r="AC589" s="85">
        <v>4.0</v>
      </c>
      <c r="AD589" s="94">
        <v>0.0</v>
      </c>
      <c r="AE589" s="94">
        <v>0.0</v>
      </c>
      <c r="AF589" s="94">
        <v>0.0</v>
      </c>
      <c r="AG589" s="94">
        <v>0.0</v>
      </c>
      <c r="AH589" s="94">
        <v>0.0</v>
      </c>
    </row>
    <row r="590" hidden="1">
      <c r="A590" s="83" t="s">
        <v>49</v>
      </c>
      <c r="B590" s="84" t="s">
        <v>200</v>
      </c>
      <c r="C590" s="85">
        <v>1.0</v>
      </c>
      <c r="D590" s="94">
        <v>0.0</v>
      </c>
      <c r="E590" s="86">
        <v>27.0</v>
      </c>
      <c r="F590" s="94">
        <v>0.0</v>
      </c>
      <c r="G590" s="85">
        <v>55.0</v>
      </c>
      <c r="H590" s="85">
        <v>1.0</v>
      </c>
      <c r="I590" s="85">
        <v>70.0</v>
      </c>
      <c r="J590" s="95">
        <f t="shared" si="438"/>
        <v>-15</v>
      </c>
      <c r="K590" s="87">
        <f t="shared" si="439"/>
        <v>0.7857142857</v>
      </c>
      <c r="L590" s="94">
        <v>0.0</v>
      </c>
      <c r="M590" s="94">
        <v>0.0</v>
      </c>
      <c r="N590" s="85">
        <v>1.0</v>
      </c>
      <c r="O590" s="110">
        <f t="shared" si="446"/>
        <v>27</v>
      </c>
      <c r="P590" s="85">
        <v>1.0</v>
      </c>
      <c r="Q590" s="85">
        <v>1.0</v>
      </c>
      <c r="R590" s="85">
        <v>1.0</v>
      </c>
      <c r="S590" s="85">
        <v>5.0</v>
      </c>
      <c r="T590" s="85">
        <v>3.0</v>
      </c>
      <c r="U590" s="94">
        <v>0.0</v>
      </c>
      <c r="V590" s="94">
        <v>0.0</v>
      </c>
      <c r="W590" s="94">
        <v>0.0</v>
      </c>
      <c r="X590" s="94">
        <v>0.0</v>
      </c>
      <c r="Y590" s="94">
        <v>0.0</v>
      </c>
      <c r="Z590" s="94">
        <v>0.0</v>
      </c>
      <c r="AA590" s="94">
        <v>0.0</v>
      </c>
      <c r="AB590" s="94">
        <v>0.0</v>
      </c>
      <c r="AC590" s="94">
        <v>0.0</v>
      </c>
      <c r="AD590" s="94">
        <v>0.0</v>
      </c>
      <c r="AE590" s="94">
        <v>0.0</v>
      </c>
      <c r="AF590" s="94">
        <v>0.0</v>
      </c>
      <c r="AG590" s="94">
        <v>0.0</v>
      </c>
      <c r="AH590" s="94">
        <v>0.0</v>
      </c>
    </row>
    <row r="591" hidden="1">
      <c r="A591" s="83" t="s">
        <v>49</v>
      </c>
      <c r="B591" s="84" t="s">
        <v>201</v>
      </c>
      <c r="C591" s="85">
        <v>1.0</v>
      </c>
      <c r="D591" s="94">
        <v>0.0</v>
      </c>
      <c r="E591" s="86">
        <v>27.0</v>
      </c>
      <c r="F591" s="94">
        <v>0.0</v>
      </c>
      <c r="G591" s="85">
        <v>85.0</v>
      </c>
      <c r="H591" s="94">
        <v>0.0</v>
      </c>
      <c r="I591" s="85">
        <v>102.0</v>
      </c>
      <c r="J591" s="95">
        <f t="shared" si="438"/>
        <v>-17</v>
      </c>
      <c r="K591" s="87">
        <f t="shared" si="439"/>
        <v>0.8333333333</v>
      </c>
      <c r="L591" s="94">
        <v>0.0</v>
      </c>
      <c r="M591" s="94">
        <v>0.0</v>
      </c>
      <c r="N591" s="85">
        <v>1.0</v>
      </c>
      <c r="O591" s="110">
        <f t="shared" si="446"/>
        <v>27</v>
      </c>
      <c r="P591" s="85">
        <v>5.0</v>
      </c>
      <c r="Q591" s="85">
        <v>1.0</v>
      </c>
      <c r="R591" s="85">
        <v>2.0</v>
      </c>
      <c r="S591" s="85">
        <v>2.0</v>
      </c>
      <c r="T591" s="85">
        <v>14.0</v>
      </c>
      <c r="U591" s="85">
        <v>2.0</v>
      </c>
      <c r="V591" s="94">
        <v>0.0</v>
      </c>
      <c r="W591" s="94">
        <v>0.0</v>
      </c>
      <c r="X591" s="94">
        <v>0.0</v>
      </c>
      <c r="Y591" s="94">
        <v>0.0</v>
      </c>
      <c r="Z591" s="94">
        <v>0.0</v>
      </c>
      <c r="AA591" s="94">
        <v>0.0</v>
      </c>
      <c r="AB591" s="94">
        <v>0.0</v>
      </c>
      <c r="AC591" s="85">
        <v>2.0</v>
      </c>
      <c r="AD591" s="94">
        <v>0.0</v>
      </c>
      <c r="AE591" s="94">
        <v>0.0</v>
      </c>
      <c r="AF591" s="94">
        <v>0.0</v>
      </c>
      <c r="AG591" s="94">
        <v>0.0</v>
      </c>
      <c r="AH591" s="94">
        <v>0.0</v>
      </c>
    </row>
    <row r="592" hidden="1">
      <c r="A592" s="83" t="s">
        <v>49</v>
      </c>
      <c r="B592" s="84" t="s">
        <v>202</v>
      </c>
      <c r="C592" s="94">
        <v>0.0</v>
      </c>
      <c r="D592" s="94">
        <v>0.0</v>
      </c>
      <c r="E592" s="96">
        <f t="shared" ref="E592:E593" si="447">SUM(L592*I592)/60</f>
        <v>0</v>
      </c>
      <c r="F592" s="94">
        <v>0.0</v>
      </c>
      <c r="G592" s="94">
        <v>0.0</v>
      </c>
      <c r="H592" s="94">
        <v>0.0</v>
      </c>
      <c r="I592" s="94">
        <v>0.0</v>
      </c>
      <c r="J592" s="95">
        <f t="shared" si="438"/>
        <v>0</v>
      </c>
      <c r="K592" s="87" t="str">
        <f t="shared" si="439"/>
        <v>#DIV/0!</v>
      </c>
      <c r="L592" s="94">
        <v>0.0</v>
      </c>
      <c r="M592" s="94">
        <v>0.0</v>
      </c>
      <c r="N592" s="85">
        <v>0.0</v>
      </c>
      <c r="O592" s="110">
        <f t="shared" si="446"/>
        <v>0</v>
      </c>
      <c r="P592" s="94">
        <v>0.0</v>
      </c>
      <c r="Q592" s="94">
        <v>0.0</v>
      </c>
      <c r="R592" s="94">
        <v>0.0</v>
      </c>
      <c r="S592" s="94">
        <v>0.0</v>
      </c>
      <c r="T592" s="94">
        <v>0.0</v>
      </c>
      <c r="U592" s="94">
        <v>0.0</v>
      </c>
      <c r="V592" s="94">
        <v>0.0</v>
      </c>
      <c r="W592" s="94">
        <v>0.0</v>
      </c>
      <c r="X592" s="94">
        <v>0.0</v>
      </c>
      <c r="Y592" s="94">
        <v>0.0</v>
      </c>
      <c r="Z592" s="94">
        <v>0.0</v>
      </c>
      <c r="AA592" s="94">
        <v>0.0</v>
      </c>
      <c r="AB592" s="94">
        <v>0.0</v>
      </c>
      <c r="AC592" s="94">
        <v>0.0</v>
      </c>
      <c r="AD592" s="94">
        <v>0.0</v>
      </c>
      <c r="AE592" s="94">
        <v>0.0</v>
      </c>
      <c r="AF592" s="94">
        <v>0.0</v>
      </c>
      <c r="AG592" s="94">
        <v>0.0</v>
      </c>
      <c r="AH592" s="94">
        <v>0.0</v>
      </c>
    </row>
    <row r="593" hidden="1">
      <c r="A593" s="83" t="s">
        <v>49</v>
      </c>
      <c r="B593" s="93"/>
      <c r="C593" s="94">
        <v>0.0</v>
      </c>
      <c r="D593" s="94">
        <v>0.0</v>
      </c>
      <c r="E593" s="96">
        <f t="shared" si="447"/>
        <v>0</v>
      </c>
      <c r="F593" s="94">
        <v>0.0</v>
      </c>
      <c r="G593" s="94">
        <v>0.0</v>
      </c>
      <c r="H593" s="94">
        <v>0.0</v>
      </c>
      <c r="I593" s="94">
        <v>0.0</v>
      </c>
      <c r="J593" s="95">
        <f t="shared" si="438"/>
        <v>0</v>
      </c>
      <c r="K593" s="87" t="str">
        <f t="shared" si="439"/>
        <v>#DIV/0!</v>
      </c>
      <c r="L593" s="94">
        <v>0.0</v>
      </c>
      <c r="M593" s="94">
        <v>0.0</v>
      </c>
      <c r="N593" s="85">
        <v>0.0</v>
      </c>
      <c r="O593" s="110">
        <f t="shared" si="446"/>
        <v>0</v>
      </c>
      <c r="P593" s="94">
        <v>0.0</v>
      </c>
      <c r="Q593" s="94">
        <v>0.0</v>
      </c>
      <c r="R593" s="94">
        <v>0.0</v>
      </c>
      <c r="S593" s="94">
        <v>0.0</v>
      </c>
      <c r="T593" s="94">
        <v>0.0</v>
      </c>
      <c r="U593" s="94">
        <v>0.0</v>
      </c>
      <c r="V593" s="94">
        <v>0.0</v>
      </c>
      <c r="W593" s="94">
        <v>0.0</v>
      </c>
      <c r="X593" s="94">
        <v>0.0</v>
      </c>
      <c r="Y593" s="94">
        <v>0.0</v>
      </c>
      <c r="Z593" s="94">
        <v>0.0</v>
      </c>
      <c r="AA593" s="94">
        <v>0.0</v>
      </c>
      <c r="AB593" s="94">
        <v>0.0</v>
      </c>
      <c r="AC593" s="94">
        <v>0.0</v>
      </c>
      <c r="AD593" s="94">
        <v>0.0</v>
      </c>
      <c r="AE593" s="94">
        <v>0.0</v>
      </c>
      <c r="AF593" s="94">
        <v>0.0</v>
      </c>
      <c r="AG593" s="94">
        <v>0.0</v>
      </c>
      <c r="AH593" s="94">
        <v>0.0</v>
      </c>
    </row>
    <row r="594" hidden="1">
      <c r="A594" s="89" t="s">
        <v>185</v>
      </c>
      <c r="B594" s="111"/>
      <c r="C594" s="111">
        <f>SUM(C588:C593)</f>
        <v>4</v>
      </c>
      <c r="D594" s="111">
        <f t="shared" ref="D594:E594" si="448">SUM(D588:D593)/4</f>
        <v>0</v>
      </c>
      <c r="E594" s="91">
        <f t="shared" si="448"/>
        <v>27</v>
      </c>
      <c r="F594" s="111">
        <f t="shared" ref="F594:G594" si="449">SUM(F588:F593)</f>
        <v>1</v>
      </c>
      <c r="G594" s="111">
        <f t="shared" si="449"/>
        <v>316</v>
      </c>
      <c r="H594" s="111"/>
      <c r="I594" s="111">
        <f>SUM(I588:I593)</f>
        <v>371</v>
      </c>
      <c r="J594" s="111">
        <f t="shared" si="438"/>
        <v>-55</v>
      </c>
      <c r="K594" s="92">
        <f t="shared" si="439"/>
        <v>0.8517520216</v>
      </c>
      <c r="L594" s="111">
        <f t="shared" ref="L594:M594" si="450">SUM(L588:L593)</f>
        <v>0</v>
      </c>
      <c r="M594" s="111">
        <f t="shared" si="450"/>
        <v>0</v>
      </c>
      <c r="N594" s="111"/>
      <c r="O594" s="112"/>
      <c r="P594" s="111">
        <f t="shared" ref="P594:AH594" si="451">SUM(P588:P593)</f>
        <v>16</v>
      </c>
      <c r="Q594" s="111">
        <f t="shared" si="451"/>
        <v>7</v>
      </c>
      <c r="R594" s="111">
        <f t="shared" si="451"/>
        <v>8</v>
      </c>
      <c r="S594" s="111">
        <f t="shared" si="451"/>
        <v>12</v>
      </c>
      <c r="T594" s="111">
        <f t="shared" si="451"/>
        <v>35</v>
      </c>
      <c r="U594" s="111">
        <f t="shared" si="451"/>
        <v>7</v>
      </c>
      <c r="V594" s="111">
        <f t="shared" si="451"/>
        <v>2</v>
      </c>
      <c r="W594" s="111">
        <f t="shared" si="451"/>
        <v>0</v>
      </c>
      <c r="X594" s="111">
        <f t="shared" si="451"/>
        <v>0</v>
      </c>
      <c r="Y594" s="111">
        <f t="shared" si="451"/>
        <v>0</v>
      </c>
      <c r="Z594" s="111">
        <f t="shared" si="451"/>
        <v>0</v>
      </c>
      <c r="AA594" s="111">
        <f t="shared" si="451"/>
        <v>0</v>
      </c>
      <c r="AB594" s="111">
        <f t="shared" si="451"/>
        <v>0</v>
      </c>
      <c r="AC594" s="111">
        <f t="shared" si="451"/>
        <v>6</v>
      </c>
      <c r="AD594" s="111">
        <f t="shared" si="451"/>
        <v>0</v>
      </c>
      <c r="AE594" s="111">
        <f t="shared" si="451"/>
        <v>0</v>
      </c>
      <c r="AF594" s="111">
        <f t="shared" si="451"/>
        <v>0</v>
      </c>
      <c r="AG594" s="111">
        <f t="shared" si="451"/>
        <v>0</v>
      </c>
      <c r="AH594" s="111">
        <f t="shared" si="451"/>
        <v>0</v>
      </c>
    </row>
    <row r="595">
      <c r="A595" s="104" t="s">
        <v>289</v>
      </c>
    </row>
    <row r="597" hidden="1">
      <c r="A597" s="105"/>
      <c r="F597" s="106" t="s">
        <v>251</v>
      </c>
      <c r="L597" s="107" t="s">
        <v>252</v>
      </c>
      <c r="N597" s="108" t="s">
        <v>253</v>
      </c>
    </row>
    <row r="598" hidden="1">
      <c r="A598" s="76" t="s">
        <v>148</v>
      </c>
      <c r="B598" s="76" t="s">
        <v>149</v>
      </c>
      <c r="C598" s="76" t="s">
        <v>150</v>
      </c>
      <c r="D598" s="76" t="s">
        <v>13</v>
      </c>
      <c r="E598" s="77" t="s">
        <v>151</v>
      </c>
      <c r="F598" s="78" t="s">
        <v>15</v>
      </c>
      <c r="G598" s="78" t="s">
        <v>152</v>
      </c>
      <c r="H598" s="78" t="s">
        <v>153</v>
      </c>
      <c r="I598" s="78" t="s">
        <v>154</v>
      </c>
      <c r="J598" s="78" t="s">
        <v>155</v>
      </c>
      <c r="K598" s="79" t="s">
        <v>156</v>
      </c>
      <c r="L598" s="80" t="s">
        <v>157</v>
      </c>
      <c r="M598" s="80" t="s">
        <v>158</v>
      </c>
      <c r="N598" s="81" t="s">
        <v>254</v>
      </c>
      <c r="O598" s="81" t="s">
        <v>151</v>
      </c>
      <c r="P598" s="81" t="s">
        <v>160</v>
      </c>
      <c r="Q598" s="81" t="s">
        <v>161</v>
      </c>
      <c r="R598" s="81" t="s">
        <v>162</v>
      </c>
      <c r="S598" s="81" t="s">
        <v>163</v>
      </c>
      <c r="T598" s="81" t="s">
        <v>164</v>
      </c>
      <c r="U598" s="81" t="s">
        <v>165</v>
      </c>
      <c r="V598" s="81" t="s">
        <v>166</v>
      </c>
      <c r="W598" s="81" t="s">
        <v>167</v>
      </c>
      <c r="X598" s="81" t="s">
        <v>168</v>
      </c>
      <c r="Y598" s="81" t="s">
        <v>169</v>
      </c>
      <c r="Z598" s="81" t="s">
        <v>170</v>
      </c>
      <c r="AA598" s="81" t="s">
        <v>171</v>
      </c>
      <c r="AB598" s="81" t="s">
        <v>172</v>
      </c>
      <c r="AC598" s="81" t="s">
        <v>173</v>
      </c>
      <c r="AD598" s="81" t="s">
        <v>174</v>
      </c>
      <c r="AE598" s="81" t="s">
        <v>175</v>
      </c>
      <c r="AF598" s="81" t="s">
        <v>176</v>
      </c>
      <c r="AG598" s="81" t="s">
        <v>177</v>
      </c>
      <c r="AH598" s="81" t="s">
        <v>178</v>
      </c>
    </row>
    <row r="599" hidden="1">
      <c r="A599" s="83" t="s">
        <v>56</v>
      </c>
      <c r="B599" s="84" t="s">
        <v>203</v>
      </c>
      <c r="C599" s="85">
        <v>1.0</v>
      </c>
      <c r="D599" s="94">
        <v>0.0</v>
      </c>
      <c r="E599" s="86">
        <v>30.0</v>
      </c>
      <c r="F599" s="94">
        <v>0.0</v>
      </c>
      <c r="G599" s="85">
        <v>117.0</v>
      </c>
      <c r="H599" s="94">
        <v>0.0</v>
      </c>
      <c r="I599" s="85">
        <v>110.0</v>
      </c>
      <c r="J599" s="95">
        <f t="shared" ref="J599:J612" si="452">SUM(G599-I599)</f>
        <v>7</v>
      </c>
      <c r="K599" s="87">
        <f t="shared" ref="K599:K612" si="453">SUM(G599/I599)</f>
        <v>1.063636364</v>
      </c>
      <c r="L599" s="85">
        <v>13.0</v>
      </c>
      <c r="M599" s="85">
        <v>150.0</v>
      </c>
      <c r="N599" s="85">
        <v>1.0</v>
      </c>
      <c r="O599" s="110">
        <f t="shared" ref="O599:O604" si="454">(E599*N599)</f>
        <v>30</v>
      </c>
      <c r="P599" s="85">
        <v>5.0</v>
      </c>
      <c r="Q599" s="85">
        <v>1.0</v>
      </c>
      <c r="R599" s="85">
        <v>3.0</v>
      </c>
      <c r="S599" s="85">
        <v>2.0</v>
      </c>
      <c r="T599" s="85">
        <v>16.0</v>
      </c>
      <c r="U599" s="85">
        <v>7.0</v>
      </c>
      <c r="V599" s="85">
        <v>4.0</v>
      </c>
      <c r="W599" s="94">
        <v>0.0</v>
      </c>
      <c r="X599" s="94">
        <v>0.0</v>
      </c>
      <c r="Y599" s="94">
        <v>0.0</v>
      </c>
      <c r="Z599" s="94">
        <v>0.0</v>
      </c>
      <c r="AA599" s="94">
        <v>0.0</v>
      </c>
      <c r="AB599" s="94">
        <v>0.0</v>
      </c>
      <c r="AC599" s="85">
        <v>4.0</v>
      </c>
      <c r="AD599" s="94">
        <v>0.0</v>
      </c>
      <c r="AE599" s="94">
        <v>0.0</v>
      </c>
      <c r="AF599" s="94">
        <v>0.0</v>
      </c>
      <c r="AG599" s="94">
        <v>0.0</v>
      </c>
      <c r="AH599" s="94">
        <v>0.0</v>
      </c>
    </row>
    <row r="600" hidden="1">
      <c r="A600" s="83" t="s">
        <v>56</v>
      </c>
      <c r="B600" s="84" t="s">
        <v>204</v>
      </c>
      <c r="C600" s="85">
        <v>1.0</v>
      </c>
      <c r="D600" s="94">
        <v>0.0</v>
      </c>
      <c r="E600" s="86">
        <v>30.0</v>
      </c>
      <c r="F600" s="85">
        <v>1.0</v>
      </c>
      <c r="G600" s="85">
        <v>113.0</v>
      </c>
      <c r="H600" s="85">
        <v>1.0</v>
      </c>
      <c r="I600" s="85">
        <v>118.0</v>
      </c>
      <c r="J600" s="95">
        <f t="shared" si="452"/>
        <v>-5</v>
      </c>
      <c r="K600" s="87">
        <f t="shared" si="453"/>
        <v>0.9576271186</v>
      </c>
      <c r="L600" s="85">
        <v>12.0</v>
      </c>
      <c r="M600" s="85">
        <v>142.0</v>
      </c>
      <c r="N600" s="85">
        <v>1.0</v>
      </c>
      <c r="O600" s="110">
        <f t="shared" si="454"/>
        <v>30</v>
      </c>
      <c r="P600" s="85">
        <v>3.0</v>
      </c>
      <c r="Q600" s="85">
        <v>4.0</v>
      </c>
      <c r="R600" s="85">
        <v>5.0</v>
      </c>
      <c r="S600" s="85">
        <v>2.0</v>
      </c>
      <c r="T600" s="85">
        <v>10.0</v>
      </c>
      <c r="U600" s="85">
        <v>5.0</v>
      </c>
      <c r="V600" s="85">
        <v>3.0</v>
      </c>
      <c r="W600" s="85">
        <v>1.0</v>
      </c>
      <c r="X600" s="94">
        <v>0.0</v>
      </c>
      <c r="Y600" s="94">
        <v>0.0</v>
      </c>
      <c r="Z600" s="94">
        <v>0.0</v>
      </c>
      <c r="AA600" s="94">
        <v>0.0</v>
      </c>
      <c r="AB600" s="94">
        <v>0.0</v>
      </c>
      <c r="AC600" s="85">
        <v>2.0</v>
      </c>
      <c r="AD600" s="94">
        <v>0.0</v>
      </c>
      <c r="AE600" s="94">
        <v>0.0</v>
      </c>
      <c r="AF600" s="94">
        <v>0.0</v>
      </c>
      <c r="AG600" s="94">
        <v>0.0</v>
      </c>
      <c r="AH600" s="94">
        <v>0.0</v>
      </c>
    </row>
    <row r="601" hidden="1">
      <c r="A601" s="83" t="s">
        <v>56</v>
      </c>
      <c r="B601" s="84" t="s">
        <v>205</v>
      </c>
      <c r="C601" s="94">
        <v>0.0</v>
      </c>
      <c r="D601" s="94">
        <v>0.0</v>
      </c>
      <c r="E601" s="96">
        <f>SUM(L601*I601)/60</f>
        <v>0</v>
      </c>
      <c r="F601" s="94">
        <v>0.0</v>
      </c>
      <c r="G601" s="94">
        <v>0.0</v>
      </c>
      <c r="H601" s="94">
        <v>0.0</v>
      </c>
      <c r="I601" s="94">
        <v>0.0</v>
      </c>
      <c r="J601" s="95">
        <f t="shared" si="452"/>
        <v>0</v>
      </c>
      <c r="K601" s="87" t="str">
        <f t="shared" si="453"/>
        <v>#DIV/0!</v>
      </c>
      <c r="L601" s="94">
        <v>0.0</v>
      </c>
      <c r="M601" s="94">
        <v>0.0</v>
      </c>
      <c r="N601" s="85">
        <v>0.0</v>
      </c>
      <c r="O601" s="110">
        <f t="shared" si="454"/>
        <v>0</v>
      </c>
      <c r="P601" s="94">
        <v>0.0</v>
      </c>
      <c r="Q601" s="94">
        <v>0.0</v>
      </c>
      <c r="R601" s="94">
        <v>0.0</v>
      </c>
      <c r="S601" s="94">
        <v>0.0</v>
      </c>
      <c r="T601" s="94">
        <v>0.0</v>
      </c>
      <c r="U601" s="94">
        <v>0.0</v>
      </c>
      <c r="V601" s="94">
        <v>0.0</v>
      </c>
      <c r="W601" s="94">
        <v>0.0</v>
      </c>
      <c r="X601" s="94">
        <v>0.0</v>
      </c>
      <c r="Y601" s="94">
        <v>0.0</v>
      </c>
      <c r="Z601" s="94">
        <v>0.0</v>
      </c>
      <c r="AA601" s="94">
        <v>0.0</v>
      </c>
      <c r="AB601" s="94">
        <v>0.0</v>
      </c>
      <c r="AC601" s="94">
        <v>0.0</v>
      </c>
      <c r="AD601" s="94">
        <v>0.0</v>
      </c>
      <c r="AE601" s="94">
        <v>0.0</v>
      </c>
      <c r="AF601" s="94">
        <v>0.0</v>
      </c>
      <c r="AG601" s="94">
        <v>0.0</v>
      </c>
      <c r="AH601" s="94">
        <v>0.0</v>
      </c>
    </row>
    <row r="602" hidden="1">
      <c r="A602" s="83" t="s">
        <v>56</v>
      </c>
      <c r="B602" s="84" t="s">
        <v>206</v>
      </c>
      <c r="C602" s="85">
        <v>1.0</v>
      </c>
      <c r="D602" s="94">
        <v>0.0</v>
      </c>
      <c r="E602" s="86">
        <v>30.0</v>
      </c>
      <c r="F602" s="94">
        <v>0.0</v>
      </c>
      <c r="G602" s="85">
        <v>92.0</v>
      </c>
      <c r="H602" s="85">
        <v>1.0</v>
      </c>
      <c r="I602" s="85">
        <v>108.0</v>
      </c>
      <c r="J602" s="95">
        <f t="shared" si="452"/>
        <v>-16</v>
      </c>
      <c r="K602" s="87">
        <f t="shared" si="453"/>
        <v>0.8518518519</v>
      </c>
      <c r="L602" s="85">
        <v>13.0</v>
      </c>
      <c r="M602" s="85">
        <v>108.0</v>
      </c>
      <c r="N602" s="85">
        <v>1.0</v>
      </c>
      <c r="O602" s="110">
        <f t="shared" si="454"/>
        <v>30</v>
      </c>
      <c r="P602" s="85">
        <v>3.0</v>
      </c>
      <c r="Q602" s="85">
        <v>1.0</v>
      </c>
      <c r="R602" s="85">
        <v>5.0</v>
      </c>
      <c r="S602" s="85">
        <v>1.0</v>
      </c>
      <c r="T602" s="85">
        <v>10.0</v>
      </c>
      <c r="U602" s="85">
        <v>1.0</v>
      </c>
      <c r="V602" s="94">
        <v>0.0</v>
      </c>
      <c r="W602" s="94">
        <v>0.0</v>
      </c>
      <c r="X602" s="94">
        <v>0.0</v>
      </c>
      <c r="Y602" s="94">
        <v>0.0</v>
      </c>
      <c r="Z602" s="94">
        <v>0.0</v>
      </c>
      <c r="AA602" s="94">
        <v>0.0</v>
      </c>
      <c r="AB602" s="94">
        <v>0.0</v>
      </c>
      <c r="AC602" s="94">
        <v>0.0</v>
      </c>
      <c r="AD602" s="94">
        <v>0.0</v>
      </c>
      <c r="AE602" s="94">
        <v>0.0</v>
      </c>
      <c r="AF602" s="94">
        <v>0.0</v>
      </c>
      <c r="AG602" s="94">
        <v>0.0</v>
      </c>
      <c r="AH602" s="94">
        <v>0.0</v>
      </c>
    </row>
    <row r="603" hidden="1">
      <c r="A603" s="83" t="s">
        <v>56</v>
      </c>
      <c r="B603" s="84" t="s">
        <v>207</v>
      </c>
      <c r="C603" s="85">
        <v>1.0</v>
      </c>
      <c r="D603" s="94">
        <v>0.0</v>
      </c>
      <c r="E603" s="86">
        <v>30.0</v>
      </c>
      <c r="F603" s="85">
        <v>1.0</v>
      </c>
      <c r="G603" s="85">
        <v>46.0</v>
      </c>
      <c r="H603" s="94">
        <v>0.0</v>
      </c>
      <c r="I603" s="85">
        <v>71.0</v>
      </c>
      <c r="J603" s="95">
        <f t="shared" si="452"/>
        <v>-25</v>
      </c>
      <c r="K603" s="87">
        <f t="shared" si="453"/>
        <v>0.6478873239</v>
      </c>
      <c r="L603" s="85">
        <v>22.0</v>
      </c>
      <c r="M603" s="85">
        <v>52.0</v>
      </c>
      <c r="N603" s="85">
        <v>1.0</v>
      </c>
      <c r="O603" s="110">
        <f t="shared" si="454"/>
        <v>30</v>
      </c>
      <c r="P603" s="85">
        <v>2.0</v>
      </c>
      <c r="Q603" s="85">
        <v>3.0</v>
      </c>
      <c r="R603" s="85">
        <v>1.0</v>
      </c>
      <c r="S603" s="94">
        <v>0.0</v>
      </c>
      <c r="T603" s="85">
        <v>3.0</v>
      </c>
      <c r="U603" s="94">
        <v>0.0</v>
      </c>
      <c r="V603" s="94">
        <v>0.0</v>
      </c>
      <c r="W603" s="94">
        <v>0.0</v>
      </c>
      <c r="X603" s="94">
        <v>0.0</v>
      </c>
      <c r="Y603" s="94">
        <v>0.0</v>
      </c>
      <c r="Z603" s="94">
        <v>0.0</v>
      </c>
      <c r="AA603" s="94">
        <v>0.0</v>
      </c>
      <c r="AB603" s="94">
        <v>0.0</v>
      </c>
      <c r="AC603" s="94">
        <v>0.0</v>
      </c>
      <c r="AD603" s="94">
        <v>0.0</v>
      </c>
      <c r="AE603" s="94">
        <v>0.0</v>
      </c>
      <c r="AF603" s="94">
        <v>0.0</v>
      </c>
      <c r="AG603" s="94">
        <v>0.0</v>
      </c>
      <c r="AH603" s="94">
        <v>0.0</v>
      </c>
    </row>
    <row r="604" hidden="1">
      <c r="A604" s="83" t="s">
        <v>56</v>
      </c>
      <c r="B604" s="93"/>
      <c r="C604" s="94">
        <v>0.0</v>
      </c>
      <c r="D604" s="94">
        <v>0.0</v>
      </c>
      <c r="E604" s="96">
        <f>SUM(L604*I604)/60</f>
        <v>0</v>
      </c>
      <c r="F604" s="94">
        <v>0.0</v>
      </c>
      <c r="G604" s="94">
        <v>0.0</v>
      </c>
      <c r="H604" s="94">
        <v>0.0</v>
      </c>
      <c r="I604" s="94">
        <v>0.0</v>
      </c>
      <c r="J604" s="95">
        <f t="shared" si="452"/>
        <v>0</v>
      </c>
      <c r="K604" s="87" t="str">
        <f t="shared" si="453"/>
        <v>#DIV/0!</v>
      </c>
      <c r="L604" s="94">
        <v>0.0</v>
      </c>
      <c r="M604" s="94">
        <v>0.0</v>
      </c>
      <c r="N604" s="85">
        <v>0.0</v>
      </c>
      <c r="O604" s="110">
        <f t="shared" si="454"/>
        <v>0</v>
      </c>
      <c r="P604" s="94">
        <v>0.0</v>
      </c>
      <c r="Q604" s="94">
        <v>0.0</v>
      </c>
      <c r="R604" s="94">
        <v>0.0</v>
      </c>
      <c r="S604" s="94">
        <v>0.0</v>
      </c>
      <c r="T604" s="94">
        <v>0.0</v>
      </c>
      <c r="U604" s="94">
        <v>0.0</v>
      </c>
      <c r="V604" s="94">
        <v>0.0</v>
      </c>
      <c r="W604" s="94">
        <v>0.0</v>
      </c>
      <c r="X604" s="94">
        <v>0.0</v>
      </c>
      <c r="Y604" s="94">
        <v>0.0</v>
      </c>
      <c r="Z604" s="94">
        <v>0.0</v>
      </c>
      <c r="AA604" s="94">
        <v>0.0</v>
      </c>
      <c r="AB604" s="94">
        <v>0.0</v>
      </c>
      <c r="AC604" s="94">
        <v>0.0</v>
      </c>
      <c r="AD604" s="94">
        <v>0.0</v>
      </c>
      <c r="AE604" s="94">
        <v>0.0</v>
      </c>
      <c r="AF604" s="94">
        <v>0.0</v>
      </c>
      <c r="AG604" s="94">
        <v>0.0</v>
      </c>
      <c r="AH604" s="94">
        <v>0.0</v>
      </c>
    </row>
    <row r="605" hidden="1">
      <c r="A605" s="89"/>
      <c r="B605" s="111"/>
      <c r="C605" s="111">
        <f t="shared" ref="C605:D605" si="455">SUM(C599:C604)/4</f>
        <v>1</v>
      </c>
      <c r="D605" s="111">
        <f t="shared" si="455"/>
        <v>0</v>
      </c>
      <c r="E605" s="91">
        <f t="shared" ref="E605:G605" si="456">SUM(E599:E604)</f>
        <v>120</v>
      </c>
      <c r="F605" s="111">
        <f t="shared" si="456"/>
        <v>2</v>
      </c>
      <c r="G605" s="111">
        <f t="shared" si="456"/>
        <v>368</v>
      </c>
      <c r="H605" s="111"/>
      <c r="I605" s="111">
        <f>SUM(I599:I604)</f>
        <v>407</v>
      </c>
      <c r="J605" s="111">
        <f t="shared" si="452"/>
        <v>-39</v>
      </c>
      <c r="K605" s="92">
        <f t="shared" si="453"/>
        <v>0.9041769042</v>
      </c>
      <c r="L605" s="111">
        <f t="shared" ref="L605:M605" si="457">SUM(L599:L604)</f>
        <v>60</v>
      </c>
      <c r="M605" s="111">
        <f t="shared" si="457"/>
        <v>452</v>
      </c>
      <c r="N605" s="111"/>
      <c r="O605" s="112"/>
      <c r="P605" s="111">
        <f t="shared" ref="P605:AH605" si="458">SUM(P599:P604)</f>
        <v>13</v>
      </c>
      <c r="Q605" s="111">
        <f t="shared" si="458"/>
        <v>9</v>
      </c>
      <c r="R605" s="111">
        <f t="shared" si="458"/>
        <v>14</v>
      </c>
      <c r="S605" s="111">
        <f t="shared" si="458"/>
        <v>5</v>
      </c>
      <c r="T605" s="111">
        <f t="shared" si="458"/>
        <v>39</v>
      </c>
      <c r="U605" s="111">
        <f t="shared" si="458"/>
        <v>13</v>
      </c>
      <c r="V605" s="111">
        <f t="shared" si="458"/>
        <v>7</v>
      </c>
      <c r="W605" s="111">
        <f t="shared" si="458"/>
        <v>1</v>
      </c>
      <c r="X605" s="111">
        <f t="shared" si="458"/>
        <v>0</v>
      </c>
      <c r="Y605" s="111">
        <f t="shared" si="458"/>
        <v>0</v>
      </c>
      <c r="Z605" s="111">
        <f t="shared" si="458"/>
        <v>0</v>
      </c>
      <c r="AA605" s="111">
        <f t="shared" si="458"/>
        <v>0</v>
      </c>
      <c r="AB605" s="111">
        <f t="shared" si="458"/>
        <v>0</v>
      </c>
      <c r="AC605" s="111">
        <f t="shared" si="458"/>
        <v>6</v>
      </c>
      <c r="AD605" s="111">
        <f t="shared" si="458"/>
        <v>0</v>
      </c>
      <c r="AE605" s="111">
        <f t="shared" si="458"/>
        <v>0</v>
      </c>
      <c r="AF605" s="111">
        <f t="shared" si="458"/>
        <v>0</v>
      </c>
      <c r="AG605" s="111">
        <f t="shared" si="458"/>
        <v>0</v>
      </c>
      <c r="AH605" s="111">
        <f t="shared" si="458"/>
        <v>0</v>
      </c>
    </row>
    <row r="606" hidden="1">
      <c r="A606" s="83" t="s">
        <v>40</v>
      </c>
      <c r="B606" s="84" t="s">
        <v>216</v>
      </c>
      <c r="C606" s="85">
        <v>1.0</v>
      </c>
      <c r="D606" s="85">
        <v>1.0</v>
      </c>
      <c r="E606" s="86">
        <v>30.0</v>
      </c>
      <c r="F606" s="85">
        <v>3.0</v>
      </c>
      <c r="G606" s="85">
        <v>117.0</v>
      </c>
      <c r="H606" s="85">
        <v>1.0</v>
      </c>
      <c r="I606" s="85">
        <v>96.0</v>
      </c>
      <c r="J606" s="95">
        <f t="shared" si="452"/>
        <v>21</v>
      </c>
      <c r="K606" s="87">
        <f t="shared" si="453"/>
        <v>1.21875</v>
      </c>
      <c r="L606" s="85">
        <v>15.0</v>
      </c>
      <c r="M606" s="85">
        <v>155.0</v>
      </c>
      <c r="N606" s="85">
        <v>1.0</v>
      </c>
      <c r="O606" s="110">
        <f t="shared" ref="O606:O611" si="459">(E606*N606)</f>
        <v>30</v>
      </c>
      <c r="P606" s="85">
        <v>3.0</v>
      </c>
      <c r="Q606" s="85">
        <v>3.0</v>
      </c>
      <c r="R606" s="85">
        <v>17.0</v>
      </c>
      <c r="S606" s="85">
        <v>1.0</v>
      </c>
      <c r="T606" s="85">
        <v>17.0</v>
      </c>
      <c r="U606" s="85">
        <v>1.0</v>
      </c>
      <c r="V606" s="94">
        <v>0.0</v>
      </c>
      <c r="W606" s="94">
        <v>0.0</v>
      </c>
      <c r="X606" s="94">
        <v>0.0</v>
      </c>
      <c r="Y606" s="94">
        <v>0.0</v>
      </c>
      <c r="Z606" s="94">
        <v>0.0</v>
      </c>
      <c r="AA606" s="94">
        <v>0.0</v>
      </c>
      <c r="AB606" s="94">
        <v>0.0</v>
      </c>
      <c r="AC606" s="85">
        <v>1.0</v>
      </c>
      <c r="AD606" s="94">
        <v>0.0</v>
      </c>
      <c r="AE606" s="94">
        <v>0.0</v>
      </c>
      <c r="AF606" s="94">
        <v>0.0</v>
      </c>
      <c r="AG606" s="94">
        <v>0.0</v>
      </c>
      <c r="AH606" s="94">
        <v>0.0</v>
      </c>
    </row>
    <row r="607" hidden="1">
      <c r="A607" s="83" t="s">
        <v>40</v>
      </c>
      <c r="B607" s="84" t="s">
        <v>217</v>
      </c>
      <c r="C607" s="85">
        <v>1.0</v>
      </c>
      <c r="D607" s="85">
        <v>1.0</v>
      </c>
      <c r="E607" s="86">
        <v>30.0</v>
      </c>
      <c r="F607" s="85">
        <v>2.0</v>
      </c>
      <c r="G607" s="85">
        <v>107.0</v>
      </c>
      <c r="H607" s="94">
        <v>0.0</v>
      </c>
      <c r="I607" s="85">
        <v>122.0</v>
      </c>
      <c r="J607" s="95">
        <f t="shared" si="452"/>
        <v>-15</v>
      </c>
      <c r="K607" s="87">
        <f t="shared" si="453"/>
        <v>0.8770491803</v>
      </c>
      <c r="L607" s="85">
        <v>11.0</v>
      </c>
      <c r="M607" s="85">
        <v>139.0</v>
      </c>
      <c r="N607" s="85">
        <v>1.0</v>
      </c>
      <c r="O607" s="110">
        <f t="shared" si="459"/>
        <v>30</v>
      </c>
      <c r="P607" s="85">
        <v>4.0</v>
      </c>
      <c r="Q607" s="85">
        <v>2.0</v>
      </c>
      <c r="R607" s="85">
        <v>10.0</v>
      </c>
      <c r="S607" s="85">
        <v>1.0</v>
      </c>
      <c r="T607" s="85">
        <v>13.0</v>
      </c>
      <c r="U607" s="85">
        <v>3.0</v>
      </c>
      <c r="V607" s="94">
        <v>0.0</v>
      </c>
      <c r="W607" s="94">
        <v>0.0</v>
      </c>
      <c r="X607" s="94">
        <v>0.0</v>
      </c>
      <c r="Y607" s="94">
        <v>0.0</v>
      </c>
      <c r="Z607" s="94">
        <v>0.0</v>
      </c>
      <c r="AA607" s="94">
        <v>0.0</v>
      </c>
      <c r="AB607" s="94">
        <v>0.0</v>
      </c>
      <c r="AC607" s="94">
        <v>0.0</v>
      </c>
      <c r="AD607" s="94">
        <v>0.0</v>
      </c>
      <c r="AE607" s="94">
        <v>0.0</v>
      </c>
      <c r="AF607" s="94">
        <v>0.0</v>
      </c>
      <c r="AG607" s="94">
        <v>0.0</v>
      </c>
      <c r="AH607" s="94">
        <v>0.0</v>
      </c>
    </row>
    <row r="608" hidden="1">
      <c r="A608" s="83" t="s">
        <v>40</v>
      </c>
      <c r="B608" s="84" t="s">
        <v>218</v>
      </c>
      <c r="C608" s="85">
        <v>1.0</v>
      </c>
      <c r="D608" s="85">
        <v>1.0</v>
      </c>
      <c r="E608" s="86">
        <v>30.0</v>
      </c>
      <c r="F608" s="94">
        <v>0.0</v>
      </c>
      <c r="G608" s="85">
        <v>97.0</v>
      </c>
      <c r="H608" s="85">
        <v>1.0</v>
      </c>
      <c r="I608" s="85">
        <v>83.0</v>
      </c>
      <c r="J608" s="95">
        <f t="shared" si="452"/>
        <v>14</v>
      </c>
      <c r="K608" s="87">
        <f t="shared" si="453"/>
        <v>1.168674699</v>
      </c>
      <c r="L608" s="85">
        <v>18.0</v>
      </c>
      <c r="M608" s="85">
        <v>125.0</v>
      </c>
      <c r="N608" s="85">
        <v>1.0</v>
      </c>
      <c r="O608" s="110">
        <f t="shared" si="459"/>
        <v>30</v>
      </c>
      <c r="P608" s="85">
        <v>5.0</v>
      </c>
      <c r="Q608" s="85">
        <v>3.0</v>
      </c>
      <c r="R608" s="85">
        <v>14.0</v>
      </c>
      <c r="S608" s="85">
        <v>3.0</v>
      </c>
      <c r="T608" s="85">
        <v>9.0</v>
      </c>
      <c r="U608" s="85">
        <v>1.0</v>
      </c>
      <c r="V608" s="94">
        <v>0.0</v>
      </c>
      <c r="W608" s="94">
        <v>0.0</v>
      </c>
      <c r="X608" s="94">
        <v>0.0</v>
      </c>
      <c r="Y608" s="94">
        <v>0.0</v>
      </c>
      <c r="Z608" s="94">
        <v>0.0</v>
      </c>
      <c r="AA608" s="94">
        <v>0.0</v>
      </c>
      <c r="AB608" s="94">
        <v>0.0</v>
      </c>
      <c r="AC608" s="94">
        <v>0.0</v>
      </c>
      <c r="AD608" s="94">
        <v>0.0</v>
      </c>
      <c r="AE608" s="94">
        <v>0.0</v>
      </c>
      <c r="AF608" s="94">
        <v>0.0</v>
      </c>
      <c r="AG608" s="94">
        <v>0.0</v>
      </c>
      <c r="AH608" s="94">
        <v>0.0</v>
      </c>
    </row>
    <row r="609" hidden="1">
      <c r="A609" s="83" t="s">
        <v>40</v>
      </c>
      <c r="B609" s="84" t="s">
        <v>219</v>
      </c>
      <c r="C609" s="94">
        <v>0.0</v>
      </c>
      <c r="D609" s="94">
        <v>0.0</v>
      </c>
      <c r="E609" s="96">
        <f>SUM(L609*I609)/60</f>
        <v>0</v>
      </c>
      <c r="F609" s="94">
        <v>0.0</v>
      </c>
      <c r="G609" s="94">
        <v>0.0</v>
      </c>
      <c r="H609" s="94">
        <v>0.0</v>
      </c>
      <c r="I609" s="94">
        <v>0.0</v>
      </c>
      <c r="J609" s="95">
        <f t="shared" si="452"/>
        <v>0</v>
      </c>
      <c r="K609" s="87" t="str">
        <f t="shared" si="453"/>
        <v>#DIV/0!</v>
      </c>
      <c r="L609" s="94">
        <v>0.0</v>
      </c>
      <c r="M609" s="94">
        <v>0.0</v>
      </c>
      <c r="N609" s="85">
        <v>0.0</v>
      </c>
      <c r="O609" s="110">
        <f t="shared" si="459"/>
        <v>0</v>
      </c>
      <c r="P609" s="94">
        <v>0.0</v>
      </c>
      <c r="Q609" s="94">
        <v>0.0</v>
      </c>
      <c r="R609" s="94">
        <v>0.0</v>
      </c>
      <c r="S609" s="94">
        <v>0.0</v>
      </c>
      <c r="T609" s="94">
        <v>0.0</v>
      </c>
      <c r="U609" s="94">
        <v>0.0</v>
      </c>
      <c r="V609" s="94">
        <v>0.0</v>
      </c>
      <c r="W609" s="94">
        <v>0.0</v>
      </c>
      <c r="X609" s="94">
        <v>0.0</v>
      </c>
      <c r="Y609" s="94">
        <v>0.0</v>
      </c>
      <c r="Z609" s="94">
        <v>0.0</v>
      </c>
      <c r="AA609" s="94">
        <v>0.0</v>
      </c>
      <c r="AB609" s="94">
        <v>0.0</v>
      </c>
      <c r="AC609" s="94">
        <v>0.0</v>
      </c>
      <c r="AD609" s="94">
        <v>0.0</v>
      </c>
      <c r="AE609" s="94">
        <v>0.0</v>
      </c>
      <c r="AF609" s="94">
        <v>0.0</v>
      </c>
      <c r="AG609" s="94">
        <v>0.0</v>
      </c>
      <c r="AH609" s="94">
        <v>0.0</v>
      </c>
    </row>
    <row r="610" hidden="1">
      <c r="A610" s="83" t="s">
        <v>40</v>
      </c>
      <c r="B610" s="84" t="s">
        <v>220</v>
      </c>
      <c r="C610" s="85">
        <v>1.0</v>
      </c>
      <c r="D610" s="85">
        <v>1.0</v>
      </c>
      <c r="E610" s="86">
        <v>30.0</v>
      </c>
      <c r="F610" s="94">
        <v>0.0</v>
      </c>
      <c r="G610" s="85">
        <v>75.0</v>
      </c>
      <c r="H610" s="85">
        <v>1.0</v>
      </c>
      <c r="I610" s="85">
        <v>75.0</v>
      </c>
      <c r="J610" s="95">
        <f t="shared" si="452"/>
        <v>0</v>
      </c>
      <c r="K610" s="87">
        <f t="shared" si="453"/>
        <v>1</v>
      </c>
      <c r="L610" s="85">
        <v>21.0</v>
      </c>
      <c r="M610" s="85">
        <v>104.0</v>
      </c>
      <c r="N610" s="85">
        <v>1.0</v>
      </c>
      <c r="O610" s="110">
        <f t="shared" si="459"/>
        <v>30</v>
      </c>
      <c r="P610" s="85">
        <v>4.0</v>
      </c>
      <c r="Q610" s="85">
        <v>5.0</v>
      </c>
      <c r="R610" s="85">
        <v>1.0</v>
      </c>
      <c r="S610" s="85">
        <v>1.0</v>
      </c>
      <c r="T610" s="85">
        <v>11.0</v>
      </c>
      <c r="U610" s="85">
        <v>2.0</v>
      </c>
      <c r="V610" s="85">
        <v>2.0</v>
      </c>
      <c r="W610" s="85">
        <v>1.0</v>
      </c>
      <c r="X610" s="85">
        <v>1.0</v>
      </c>
      <c r="Y610" s="85">
        <v>1.0</v>
      </c>
      <c r="Z610" s="85">
        <v>1.0</v>
      </c>
      <c r="AA610" s="85">
        <v>1.0</v>
      </c>
      <c r="AB610" s="94">
        <v>0.0</v>
      </c>
      <c r="AC610" s="85">
        <v>4.0</v>
      </c>
      <c r="AD610" s="85">
        <v>1.0</v>
      </c>
      <c r="AE610" s="94">
        <v>0.0</v>
      </c>
      <c r="AF610" s="94">
        <v>0.0</v>
      </c>
      <c r="AG610" s="85">
        <v>1.0</v>
      </c>
      <c r="AH610" s="94">
        <v>0.0</v>
      </c>
    </row>
    <row r="611" hidden="1">
      <c r="A611" s="83" t="s">
        <v>40</v>
      </c>
      <c r="B611" s="93"/>
      <c r="C611" s="94">
        <v>0.0</v>
      </c>
      <c r="D611" s="94">
        <v>0.0</v>
      </c>
      <c r="E611" s="96">
        <f>SUM(L611*I611)/60</f>
        <v>0</v>
      </c>
      <c r="F611" s="94">
        <v>0.0</v>
      </c>
      <c r="G611" s="94">
        <v>0.0</v>
      </c>
      <c r="H611" s="94">
        <v>0.0</v>
      </c>
      <c r="I611" s="94">
        <v>0.0</v>
      </c>
      <c r="J611" s="95">
        <f t="shared" si="452"/>
        <v>0</v>
      </c>
      <c r="K611" s="87" t="str">
        <f t="shared" si="453"/>
        <v>#DIV/0!</v>
      </c>
      <c r="L611" s="94">
        <v>0.0</v>
      </c>
      <c r="M611" s="94">
        <v>0.0</v>
      </c>
      <c r="N611" s="85">
        <v>0.0</v>
      </c>
      <c r="O611" s="110">
        <f t="shared" si="459"/>
        <v>0</v>
      </c>
      <c r="P611" s="94">
        <v>0.0</v>
      </c>
      <c r="Q611" s="94">
        <v>0.0</v>
      </c>
      <c r="R611" s="94">
        <v>0.0</v>
      </c>
      <c r="S611" s="94">
        <v>0.0</v>
      </c>
      <c r="T611" s="94">
        <v>0.0</v>
      </c>
      <c r="U611" s="94">
        <v>0.0</v>
      </c>
      <c r="V611" s="94">
        <v>0.0</v>
      </c>
      <c r="W611" s="94">
        <v>0.0</v>
      </c>
      <c r="X611" s="94">
        <v>0.0</v>
      </c>
      <c r="Y611" s="94">
        <v>0.0</v>
      </c>
      <c r="Z611" s="94">
        <v>0.0</v>
      </c>
      <c r="AA611" s="94">
        <v>0.0</v>
      </c>
      <c r="AB611" s="94">
        <v>0.0</v>
      </c>
      <c r="AC611" s="94">
        <v>0.0</v>
      </c>
      <c r="AD611" s="94">
        <v>0.0</v>
      </c>
      <c r="AE611" s="94">
        <v>0.0</v>
      </c>
      <c r="AF611" s="94">
        <v>0.0</v>
      </c>
      <c r="AG611" s="94">
        <v>0.0</v>
      </c>
      <c r="AH611" s="94">
        <v>0.0</v>
      </c>
    </row>
    <row r="612" hidden="1">
      <c r="A612" s="89" t="s">
        <v>185</v>
      </c>
      <c r="B612" s="111"/>
      <c r="C612" s="111">
        <f>SUM(C606:C611)</f>
        <v>4</v>
      </c>
      <c r="D612" s="111">
        <f t="shared" ref="D612:E612" si="460">SUM(D606:D611)/4</f>
        <v>1</v>
      </c>
      <c r="E612" s="91">
        <f t="shared" si="460"/>
        <v>30</v>
      </c>
      <c r="F612" s="111">
        <f t="shared" ref="F612:G612" si="461">SUM(F606:F611)</f>
        <v>5</v>
      </c>
      <c r="G612" s="111">
        <f t="shared" si="461"/>
        <v>396</v>
      </c>
      <c r="H612" s="111"/>
      <c r="I612" s="111">
        <f>SUM(I606:I611)</f>
        <v>376</v>
      </c>
      <c r="J612" s="111">
        <f t="shared" si="452"/>
        <v>20</v>
      </c>
      <c r="K612" s="92">
        <f t="shared" si="453"/>
        <v>1.053191489</v>
      </c>
      <c r="L612" s="111">
        <f t="shared" ref="L612:M612" si="462">SUM(L606:L611)</f>
        <v>65</v>
      </c>
      <c r="M612" s="111">
        <f t="shared" si="462"/>
        <v>523</v>
      </c>
      <c r="N612" s="111"/>
      <c r="O612" s="112"/>
      <c r="P612" s="111">
        <f t="shared" ref="P612:AH612" si="463">SUM(P606:P611)</f>
        <v>16</v>
      </c>
      <c r="Q612" s="111">
        <f t="shared" si="463"/>
        <v>13</v>
      </c>
      <c r="R612" s="111">
        <f t="shared" si="463"/>
        <v>42</v>
      </c>
      <c r="S612" s="111">
        <f t="shared" si="463"/>
        <v>6</v>
      </c>
      <c r="T612" s="111">
        <f t="shared" si="463"/>
        <v>50</v>
      </c>
      <c r="U612" s="111">
        <f t="shared" si="463"/>
        <v>7</v>
      </c>
      <c r="V612" s="111">
        <f t="shared" si="463"/>
        <v>2</v>
      </c>
      <c r="W612" s="111">
        <f t="shared" si="463"/>
        <v>1</v>
      </c>
      <c r="X612" s="111">
        <f t="shared" si="463"/>
        <v>1</v>
      </c>
      <c r="Y612" s="111">
        <f t="shared" si="463"/>
        <v>1</v>
      </c>
      <c r="Z612" s="111">
        <f t="shared" si="463"/>
        <v>1</v>
      </c>
      <c r="AA612" s="111">
        <f t="shared" si="463"/>
        <v>1</v>
      </c>
      <c r="AB612" s="111">
        <f t="shared" si="463"/>
        <v>0</v>
      </c>
      <c r="AC612" s="111">
        <f t="shared" si="463"/>
        <v>5</v>
      </c>
      <c r="AD612" s="111">
        <f t="shared" si="463"/>
        <v>1</v>
      </c>
      <c r="AE612" s="111">
        <f t="shared" si="463"/>
        <v>0</v>
      </c>
      <c r="AF612" s="111">
        <f t="shared" si="463"/>
        <v>0</v>
      </c>
      <c r="AG612" s="111">
        <f t="shared" si="463"/>
        <v>1</v>
      </c>
      <c r="AH612" s="111">
        <f t="shared" si="463"/>
        <v>0</v>
      </c>
    </row>
    <row r="613">
      <c r="A613" s="104" t="s">
        <v>290</v>
      </c>
    </row>
    <row r="615" hidden="1">
      <c r="A615" s="105"/>
      <c r="F615" s="106" t="s">
        <v>251</v>
      </c>
      <c r="L615" s="107" t="s">
        <v>252</v>
      </c>
      <c r="N615" s="108" t="s">
        <v>253</v>
      </c>
    </row>
    <row r="616" hidden="1">
      <c r="A616" s="76" t="s">
        <v>148</v>
      </c>
      <c r="B616" s="76" t="s">
        <v>149</v>
      </c>
      <c r="C616" s="76" t="s">
        <v>150</v>
      </c>
      <c r="D616" s="76" t="s">
        <v>13</v>
      </c>
      <c r="E616" s="77" t="s">
        <v>151</v>
      </c>
      <c r="F616" s="78" t="s">
        <v>15</v>
      </c>
      <c r="G616" s="78" t="s">
        <v>152</v>
      </c>
      <c r="H616" s="78" t="s">
        <v>153</v>
      </c>
      <c r="I616" s="78" t="s">
        <v>154</v>
      </c>
      <c r="J616" s="78" t="s">
        <v>155</v>
      </c>
      <c r="K616" s="79" t="s">
        <v>156</v>
      </c>
      <c r="L616" s="80" t="s">
        <v>157</v>
      </c>
      <c r="M616" s="80" t="s">
        <v>158</v>
      </c>
      <c r="N616" s="81" t="s">
        <v>254</v>
      </c>
      <c r="O616" s="81" t="s">
        <v>151</v>
      </c>
      <c r="P616" s="81" t="s">
        <v>160</v>
      </c>
      <c r="Q616" s="81" t="s">
        <v>161</v>
      </c>
      <c r="R616" s="81" t="s">
        <v>162</v>
      </c>
      <c r="S616" s="81" t="s">
        <v>163</v>
      </c>
      <c r="T616" s="81" t="s">
        <v>164</v>
      </c>
      <c r="U616" s="81" t="s">
        <v>165</v>
      </c>
      <c r="V616" s="81" t="s">
        <v>166</v>
      </c>
      <c r="W616" s="81" t="s">
        <v>167</v>
      </c>
      <c r="X616" s="81" t="s">
        <v>168</v>
      </c>
      <c r="Y616" s="81" t="s">
        <v>169</v>
      </c>
      <c r="Z616" s="81" t="s">
        <v>170</v>
      </c>
      <c r="AA616" s="81" t="s">
        <v>171</v>
      </c>
      <c r="AB616" s="81" t="s">
        <v>172</v>
      </c>
      <c r="AC616" s="81" t="s">
        <v>173</v>
      </c>
      <c r="AD616" s="81" t="s">
        <v>174</v>
      </c>
      <c r="AE616" s="81" t="s">
        <v>175</v>
      </c>
      <c r="AF616" s="81" t="s">
        <v>176</v>
      </c>
      <c r="AG616" s="81" t="s">
        <v>177</v>
      </c>
      <c r="AH616" s="81" t="s">
        <v>178</v>
      </c>
    </row>
    <row r="617" hidden="1">
      <c r="A617" s="83" t="s">
        <v>56</v>
      </c>
      <c r="B617" s="84" t="s">
        <v>203</v>
      </c>
      <c r="C617" s="85">
        <v>1.0</v>
      </c>
      <c r="D617" s="85">
        <v>1.0</v>
      </c>
      <c r="E617" s="86">
        <v>46.0</v>
      </c>
      <c r="F617" s="94">
        <v>0.0</v>
      </c>
      <c r="G617" s="85">
        <v>172.0</v>
      </c>
      <c r="H617" s="85">
        <v>2.0</v>
      </c>
      <c r="I617" s="85">
        <v>183.0</v>
      </c>
      <c r="J617" s="95">
        <f t="shared" ref="J617:J630" si="464">SUM(G617-I617)</f>
        <v>-11</v>
      </c>
      <c r="K617" s="87">
        <f t="shared" ref="K617:K630" si="465">SUM(G617/I617)</f>
        <v>0.9398907104</v>
      </c>
      <c r="L617" s="85">
        <v>11.0</v>
      </c>
      <c r="M617" s="85">
        <v>229.0</v>
      </c>
      <c r="N617" s="85">
        <v>1.0</v>
      </c>
      <c r="O617" s="110">
        <f t="shared" ref="O617:O622" si="466">(E617*N617)</f>
        <v>46</v>
      </c>
      <c r="P617" s="85">
        <v>7.0</v>
      </c>
      <c r="Q617" s="85">
        <v>5.0</v>
      </c>
      <c r="R617" s="85">
        <v>10.0</v>
      </c>
      <c r="S617" s="85">
        <v>4.0</v>
      </c>
      <c r="T617" s="85">
        <v>26.0</v>
      </c>
      <c r="U617" s="85">
        <v>4.0</v>
      </c>
      <c r="V617" s="85">
        <v>2.0</v>
      </c>
      <c r="W617" s="94">
        <v>0.0</v>
      </c>
      <c r="X617" s="94">
        <v>0.0</v>
      </c>
      <c r="Y617" s="94">
        <v>0.0</v>
      </c>
      <c r="Z617" s="94">
        <v>0.0</v>
      </c>
      <c r="AA617" s="94">
        <v>0.0</v>
      </c>
      <c r="AB617" s="94">
        <v>0.0</v>
      </c>
      <c r="AC617" s="85">
        <v>6.0</v>
      </c>
      <c r="AD617" s="94">
        <v>0.0</v>
      </c>
      <c r="AE617" s="94">
        <v>0.0</v>
      </c>
      <c r="AF617" s="94">
        <v>0.0</v>
      </c>
      <c r="AG617" s="94">
        <v>0.0</v>
      </c>
      <c r="AH617" s="85">
        <v>1.0</v>
      </c>
    </row>
    <row r="618" hidden="1">
      <c r="A618" s="83" t="s">
        <v>56</v>
      </c>
      <c r="B618" s="84" t="s">
        <v>204</v>
      </c>
      <c r="C618" s="85">
        <v>1.0</v>
      </c>
      <c r="D618" s="85">
        <v>1.0</v>
      </c>
      <c r="E618" s="86">
        <v>46.0</v>
      </c>
      <c r="F618" s="85">
        <v>1.0</v>
      </c>
      <c r="G618" s="85">
        <v>176.0</v>
      </c>
      <c r="H618" s="85">
        <v>2.0</v>
      </c>
      <c r="I618" s="85">
        <v>168.0</v>
      </c>
      <c r="J618" s="95">
        <f t="shared" si="464"/>
        <v>8</v>
      </c>
      <c r="K618" s="87">
        <f t="shared" si="465"/>
        <v>1.047619048</v>
      </c>
      <c r="L618" s="85">
        <v>13.0</v>
      </c>
      <c r="M618" s="85">
        <v>220.0</v>
      </c>
      <c r="N618" s="85">
        <v>1.0</v>
      </c>
      <c r="O618" s="110">
        <f t="shared" si="466"/>
        <v>46</v>
      </c>
      <c r="P618" s="85">
        <v>5.0</v>
      </c>
      <c r="Q618" s="85">
        <v>4.0</v>
      </c>
      <c r="R618" s="85">
        <v>13.0</v>
      </c>
      <c r="S618" s="94">
        <v>0.0</v>
      </c>
      <c r="T618" s="85">
        <v>21.0</v>
      </c>
      <c r="U618" s="85">
        <v>6.0</v>
      </c>
      <c r="V618" s="85">
        <v>2.0</v>
      </c>
      <c r="W618" s="85">
        <v>1.0</v>
      </c>
      <c r="X618" s="85">
        <v>1.0</v>
      </c>
      <c r="Y618" s="94">
        <v>0.0</v>
      </c>
      <c r="Z618" s="94">
        <v>0.0</v>
      </c>
      <c r="AA618" s="94">
        <v>0.0</v>
      </c>
      <c r="AB618" s="94">
        <v>0.0</v>
      </c>
      <c r="AC618" s="85">
        <v>7.0</v>
      </c>
      <c r="AD618" s="94">
        <v>0.0</v>
      </c>
      <c r="AE618" s="94">
        <v>0.0</v>
      </c>
      <c r="AF618" s="94">
        <v>0.0</v>
      </c>
      <c r="AG618" s="94">
        <v>0.0</v>
      </c>
      <c r="AH618" s="94">
        <v>0.0</v>
      </c>
    </row>
    <row r="619" hidden="1">
      <c r="A619" s="83" t="s">
        <v>56</v>
      </c>
      <c r="B619" s="84" t="s">
        <v>205</v>
      </c>
      <c r="C619" s="94">
        <v>0.0</v>
      </c>
      <c r="D619" s="94">
        <v>0.0</v>
      </c>
      <c r="E619" s="86">
        <v>0.0</v>
      </c>
      <c r="F619" s="94">
        <v>0.0</v>
      </c>
      <c r="G619" s="94">
        <v>0.0</v>
      </c>
      <c r="H619" s="94">
        <v>0.0</v>
      </c>
      <c r="I619" s="94">
        <v>0.0</v>
      </c>
      <c r="J619" s="95">
        <f t="shared" si="464"/>
        <v>0</v>
      </c>
      <c r="K619" s="87" t="str">
        <f t="shared" si="465"/>
        <v>#DIV/0!</v>
      </c>
      <c r="L619" s="94">
        <v>0.0</v>
      </c>
      <c r="M619" s="94">
        <v>0.0</v>
      </c>
      <c r="N619" s="85">
        <v>0.0</v>
      </c>
      <c r="O619" s="110">
        <f t="shared" si="466"/>
        <v>0</v>
      </c>
      <c r="P619" s="94">
        <v>0.0</v>
      </c>
      <c r="Q619" s="94">
        <v>0.0</v>
      </c>
      <c r="R619" s="94">
        <v>0.0</v>
      </c>
      <c r="S619" s="94">
        <v>0.0</v>
      </c>
      <c r="T619" s="94">
        <v>0.0</v>
      </c>
      <c r="U619" s="94">
        <v>0.0</v>
      </c>
      <c r="V619" s="94">
        <v>0.0</v>
      </c>
      <c r="W619" s="94">
        <v>0.0</v>
      </c>
      <c r="X619" s="94">
        <v>0.0</v>
      </c>
      <c r="Y619" s="94">
        <v>0.0</v>
      </c>
      <c r="Z619" s="94">
        <v>0.0</v>
      </c>
      <c r="AA619" s="94">
        <v>0.0</v>
      </c>
      <c r="AB619" s="94">
        <v>0.0</v>
      </c>
      <c r="AC619" s="94">
        <v>0.0</v>
      </c>
      <c r="AD619" s="94">
        <v>0.0</v>
      </c>
      <c r="AE619" s="94">
        <v>0.0</v>
      </c>
      <c r="AF619" s="94">
        <v>0.0</v>
      </c>
      <c r="AG619" s="94">
        <v>0.0</v>
      </c>
      <c r="AH619" s="94">
        <v>0.0</v>
      </c>
    </row>
    <row r="620" hidden="1">
      <c r="A620" s="83" t="s">
        <v>56</v>
      </c>
      <c r="B620" s="84" t="s">
        <v>206</v>
      </c>
      <c r="C620" s="85">
        <v>1.0</v>
      </c>
      <c r="D620" s="85">
        <v>1.0</v>
      </c>
      <c r="E620" s="86">
        <v>46.0</v>
      </c>
      <c r="F620" s="94">
        <v>0.0</v>
      </c>
      <c r="G620" s="85">
        <v>174.0</v>
      </c>
      <c r="H620" s="85">
        <v>1.0</v>
      </c>
      <c r="I620" s="85">
        <v>158.0</v>
      </c>
      <c r="J620" s="95">
        <f t="shared" si="464"/>
        <v>16</v>
      </c>
      <c r="K620" s="87">
        <f t="shared" si="465"/>
        <v>1.101265823</v>
      </c>
      <c r="L620" s="85">
        <v>14.0</v>
      </c>
      <c r="M620" s="85">
        <v>214.0</v>
      </c>
      <c r="N620" s="85">
        <v>1.0</v>
      </c>
      <c r="O620" s="110">
        <f t="shared" si="466"/>
        <v>46</v>
      </c>
      <c r="P620" s="85">
        <v>5.0</v>
      </c>
      <c r="Q620" s="85">
        <v>7.0</v>
      </c>
      <c r="R620" s="85">
        <v>7.0</v>
      </c>
      <c r="S620" s="85">
        <v>3.0</v>
      </c>
      <c r="T620" s="85">
        <v>21.0</v>
      </c>
      <c r="U620" s="85">
        <v>3.0</v>
      </c>
      <c r="V620" s="94">
        <v>0.0</v>
      </c>
      <c r="W620" s="94">
        <v>0.0</v>
      </c>
      <c r="X620" s="94">
        <v>0.0</v>
      </c>
      <c r="Y620" s="94">
        <v>0.0</v>
      </c>
      <c r="Z620" s="94">
        <v>0.0</v>
      </c>
      <c r="AA620" s="94">
        <v>0.0</v>
      </c>
      <c r="AB620" s="94">
        <v>0.0</v>
      </c>
      <c r="AC620" s="85">
        <v>3.0</v>
      </c>
      <c r="AD620" s="94">
        <v>0.0</v>
      </c>
      <c r="AE620" s="94">
        <v>0.0</v>
      </c>
      <c r="AF620" s="94">
        <v>0.0</v>
      </c>
      <c r="AG620" s="94">
        <v>0.0</v>
      </c>
      <c r="AH620" s="94">
        <v>0.0</v>
      </c>
    </row>
    <row r="621" hidden="1">
      <c r="A621" s="83" t="s">
        <v>56</v>
      </c>
      <c r="B621" s="84" t="s">
        <v>207</v>
      </c>
      <c r="C621" s="85">
        <v>1.0</v>
      </c>
      <c r="D621" s="85">
        <v>1.0</v>
      </c>
      <c r="E621" s="86">
        <v>46.0</v>
      </c>
      <c r="F621" s="85">
        <v>4.0</v>
      </c>
      <c r="G621" s="85">
        <v>77.0</v>
      </c>
      <c r="H621" s="85">
        <v>1.0</v>
      </c>
      <c r="I621" s="85">
        <v>109.0</v>
      </c>
      <c r="J621" s="95">
        <f t="shared" si="464"/>
        <v>-32</v>
      </c>
      <c r="K621" s="87">
        <f t="shared" si="465"/>
        <v>0.7064220183</v>
      </c>
      <c r="L621" s="85">
        <v>22.0</v>
      </c>
      <c r="M621" s="85">
        <v>99.0</v>
      </c>
      <c r="N621" s="85">
        <v>1.0</v>
      </c>
      <c r="O621" s="110">
        <f t="shared" si="466"/>
        <v>46</v>
      </c>
      <c r="P621" s="85">
        <v>7.0</v>
      </c>
      <c r="Q621" s="85">
        <v>4.0</v>
      </c>
      <c r="R621" s="85">
        <v>2.0</v>
      </c>
      <c r="S621" s="85">
        <v>1.0</v>
      </c>
      <c r="T621" s="85">
        <v>9.0</v>
      </c>
      <c r="U621" s="85">
        <v>1.0</v>
      </c>
      <c r="V621" s="94">
        <v>0.0</v>
      </c>
      <c r="W621" s="94">
        <v>0.0</v>
      </c>
      <c r="X621" s="94">
        <v>0.0</v>
      </c>
      <c r="Y621" s="94">
        <v>0.0</v>
      </c>
      <c r="Z621" s="94">
        <v>0.0</v>
      </c>
      <c r="AA621" s="94">
        <v>0.0</v>
      </c>
      <c r="AB621" s="94">
        <v>0.0</v>
      </c>
      <c r="AC621" s="85">
        <v>1.0</v>
      </c>
      <c r="AD621" s="94">
        <v>0.0</v>
      </c>
      <c r="AE621" s="94">
        <v>0.0</v>
      </c>
      <c r="AF621" s="94">
        <v>0.0</v>
      </c>
      <c r="AG621" s="94">
        <v>0.0</v>
      </c>
      <c r="AH621" s="94">
        <v>0.0</v>
      </c>
    </row>
    <row r="622" hidden="1">
      <c r="A622" s="83" t="s">
        <v>56</v>
      </c>
      <c r="B622" s="93"/>
      <c r="C622" s="94">
        <v>0.0</v>
      </c>
      <c r="D622" s="94">
        <v>0.0</v>
      </c>
      <c r="E622" s="96">
        <f>SUM(L622*I622)/60</f>
        <v>0</v>
      </c>
      <c r="F622" s="94">
        <v>0.0</v>
      </c>
      <c r="G622" s="94">
        <v>0.0</v>
      </c>
      <c r="H622" s="94">
        <v>0.0</v>
      </c>
      <c r="I622" s="94">
        <v>0.0</v>
      </c>
      <c r="J622" s="95">
        <f t="shared" si="464"/>
        <v>0</v>
      </c>
      <c r="K622" s="87" t="str">
        <f t="shared" si="465"/>
        <v>#DIV/0!</v>
      </c>
      <c r="L622" s="94">
        <v>0.0</v>
      </c>
      <c r="M622" s="94">
        <v>0.0</v>
      </c>
      <c r="N622" s="85">
        <v>0.0</v>
      </c>
      <c r="O622" s="110">
        <f t="shared" si="466"/>
        <v>0</v>
      </c>
      <c r="P622" s="94">
        <v>0.0</v>
      </c>
      <c r="Q622" s="94">
        <v>0.0</v>
      </c>
      <c r="R622" s="94">
        <v>0.0</v>
      </c>
      <c r="S622" s="94">
        <v>0.0</v>
      </c>
      <c r="T622" s="94">
        <v>0.0</v>
      </c>
      <c r="U622" s="94">
        <v>0.0</v>
      </c>
      <c r="V622" s="94">
        <v>0.0</v>
      </c>
      <c r="W622" s="94">
        <v>0.0</v>
      </c>
      <c r="X622" s="94">
        <v>0.0</v>
      </c>
      <c r="Y622" s="94">
        <v>0.0</v>
      </c>
      <c r="Z622" s="94">
        <v>0.0</v>
      </c>
      <c r="AA622" s="94">
        <v>0.0</v>
      </c>
      <c r="AB622" s="94">
        <v>0.0</v>
      </c>
      <c r="AC622" s="94">
        <v>0.0</v>
      </c>
      <c r="AD622" s="94">
        <v>0.0</v>
      </c>
      <c r="AE622" s="94">
        <v>0.0</v>
      </c>
      <c r="AF622" s="94">
        <v>0.0</v>
      </c>
      <c r="AG622" s="94">
        <v>0.0</v>
      </c>
      <c r="AH622" s="94">
        <v>0.0</v>
      </c>
    </row>
    <row r="623" hidden="1">
      <c r="A623" s="89"/>
      <c r="B623" s="111"/>
      <c r="C623" s="111">
        <f t="shared" ref="C623:D623" si="467">SUM(C617:C622)/4</f>
        <v>1</v>
      </c>
      <c r="D623" s="111">
        <f t="shared" si="467"/>
        <v>1</v>
      </c>
      <c r="E623" s="91">
        <f t="shared" ref="E623:G623" si="468">SUM(E617:E622)</f>
        <v>184</v>
      </c>
      <c r="F623" s="111">
        <f t="shared" si="468"/>
        <v>5</v>
      </c>
      <c r="G623" s="111">
        <f t="shared" si="468"/>
        <v>599</v>
      </c>
      <c r="H623" s="111"/>
      <c r="I623" s="111">
        <f>SUM(I617:I622)</f>
        <v>618</v>
      </c>
      <c r="J623" s="111">
        <f t="shared" si="464"/>
        <v>-19</v>
      </c>
      <c r="K623" s="92">
        <f t="shared" si="465"/>
        <v>0.9692556634</v>
      </c>
      <c r="L623" s="111">
        <f t="shared" ref="L623:M623" si="469">SUM(L617:L622)</f>
        <v>60</v>
      </c>
      <c r="M623" s="111">
        <f t="shared" si="469"/>
        <v>762</v>
      </c>
      <c r="N623" s="111"/>
      <c r="O623" s="112"/>
      <c r="P623" s="111">
        <f t="shared" ref="P623:AH623" si="470">SUM(P617:P622)</f>
        <v>24</v>
      </c>
      <c r="Q623" s="111">
        <f t="shared" si="470"/>
        <v>20</v>
      </c>
      <c r="R623" s="111">
        <f t="shared" si="470"/>
        <v>32</v>
      </c>
      <c r="S623" s="111">
        <f t="shared" si="470"/>
        <v>8</v>
      </c>
      <c r="T623" s="111">
        <f t="shared" si="470"/>
        <v>77</v>
      </c>
      <c r="U623" s="111">
        <f t="shared" si="470"/>
        <v>14</v>
      </c>
      <c r="V623" s="111">
        <f t="shared" si="470"/>
        <v>4</v>
      </c>
      <c r="W623" s="111">
        <f t="shared" si="470"/>
        <v>1</v>
      </c>
      <c r="X623" s="111">
        <f t="shared" si="470"/>
        <v>1</v>
      </c>
      <c r="Y623" s="111">
        <f t="shared" si="470"/>
        <v>0</v>
      </c>
      <c r="Z623" s="111">
        <f t="shared" si="470"/>
        <v>0</v>
      </c>
      <c r="AA623" s="111">
        <f t="shared" si="470"/>
        <v>0</v>
      </c>
      <c r="AB623" s="111">
        <f t="shared" si="470"/>
        <v>0</v>
      </c>
      <c r="AC623" s="111">
        <f t="shared" si="470"/>
        <v>17</v>
      </c>
      <c r="AD623" s="111">
        <f t="shared" si="470"/>
        <v>0</v>
      </c>
      <c r="AE623" s="111">
        <f t="shared" si="470"/>
        <v>0</v>
      </c>
      <c r="AF623" s="111">
        <f t="shared" si="470"/>
        <v>0</v>
      </c>
      <c r="AG623" s="111">
        <f t="shared" si="470"/>
        <v>0</v>
      </c>
      <c r="AH623" s="111">
        <f t="shared" si="470"/>
        <v>1</v>
      </c>
    </row>
    <row r="624" hidden="1">
      <c r="A624" s="83" t="s">
        <v>40</v>
      </c>
      <c r="B624" s="84" t="s">
        <v>216</v>
      </c>
      <c r="C624" s="85">
        <v>1.0</v>
      </c>
      <c r="D624" s="94">
        <v>0.0</v>
      </c>
      <c r="E624" s="86">
        <v>46.0</v>
      </c>
      <c r="F624" s="85">
        <v>2.0</v>
      </c>
      <c r="G624" s="85">
        <v>120.0</v>
      </c>
      <c r="H624" s="85">
        <v>1.0</v>
      </c>
      <c r="I624" s="85">
        <v>112.0</v>
      </c>
      <c r="J624" s="95">
        <f t="shared" si="464"/>
        <v>8</v>
      </c>
      <c r="K624" s="87">
        <f t="shared" si="465"/>
        <v>1.071428571</v>
      </c>
      <c r="L624" s="85">
        <v>21.0</v>
      </c>
      <c r="M624" s="85">
        <v>158.0</v>
      </c>
      <c r="N624" s="85">
        <v>1.0</v>
      </c>
      <c r="O624" s="110">
        <f t="shared" ref="O624:O629" si="471">(E624*N624)</f>
        <v>46</v>
      </c>
      <c r="P624" s="85">
        <v>7.0</v>
      </c>
      <c r="Q624" s="85">
        <v>1.0</v>
      </c>
      <c r="R624" s="85">
        <v>10.0</v>
      </c>
      <c r="S624" s="85">
        <v>2.0</v>
      </c>
      <c r="T624" s="85">
        <v>18.0</v>
      </c>
      <c r="U624" s="85">
        <v>1.0</v>
      </c>
      <c r="V624" s="94">
        <v>0.0</v>
      </c>
      <c r="W624" s="94">
        <v>0.0</v>
      </c>
      <c r="X624" s="94">
        <v>0.0</v>
      </c>
      <c r="Y624" s="94">
        <v>0.0</v>
      </c>
      <c r="Z624" s="94">
        <v>0.0</v>
      </c>
      <c r="AA624" s="94">
        <v>0.0</v>
      </c>
      <c r="AB624" s="94">
        <v>0.0</v>
      </c>
      <c r="AC624" s="85">
        <v>1.0</v>
      </c>
      <c r="AD624" s="94">
        <v>0.0</v>
      </c>
      <c r="AE624" s="94">
        <v>0.0</v>
      </c>
      <c r="AF624" s="94">
        <v>0.0</v>
      </c>
      <c r="AG624" s="94">
        <v>0.0</v>
      </c>
      <c r="AH624" s="94">
        <v>0.0</v>
      </c>
    </row>
    <row r="625" hidden="1">
      <c r="A625" s="83" t="s">
        <v>40</v>
      </c>
      <c r="B625" s="84" t="s">
        <v>217</v>
      </c>
      <c r="C625" s="85">
        <v>1.0</v>
      </c>
      <c r="D625" s="94">
        <v>0.0</v>
      </c>
      <c r="E625" s="86">
        <v>46.0</v>
      </c>
      <c r="F625" s="94">
        <v>0.0</v>
      </c>
      <c r="G625" s="85">
        <v>177.0</v>
      </c>
      <c r="H625" s="94">
        <v>0.0</v>
      </c>
      <c r="I625" s="85">
        <v>179.0</v>
      </c>
      <c r="J625" s="95">
        <f t="shared" si="464"/>
        <v>-2</v>
      </c>
      <c r="K625" s="87">
        <f t="shared" si="465"/>
        <v>0.9888268156</v>
      </c>
      <c r="L625" s="85">
        <v>12.0</v>
      </c>
      <c r="M625" s="85">
        <v>229.0</v>
      </c>
      <c r="N625" s="85">
        <v>1.0</v>
      </c>
      <c r="O625" s="110">
        <f t="shared" si="471"/>
        <v>46</v>
      </c>
      <c r="P625" s="85">
        <v>10.0</v>
      </c>
      <c r="Q625" s="85">
        <v>3.0</v>
      </c>
      <c r="R625" s="85">
        <v>17.0</v>
      </c>
      <c r="S625" s="85">
        <v>4.0</v>
      </c>
      <c r="T625" s="85">
        <v>23.0</v>
      </c>
      <c r="U625" s="85">
        <v>7.0</v>
      </c>
      <c r="V625" s="85">
        <v>2.0</v>
      </c>
      <c r="W625" s="94">
        <v>0.0</v>
      </c>
      <c r="X625" s="94">
        <v>0.0</v>
      </c>
      <c r="Y625" s="94">
        <v>0.0</v>
      </c>
      <c r="Z625" s="94">
        <v>0.0</v>
      </c>
      <c r="AA625" s="94">
        <v>0.0</v>
      </c>
      <c r="AB625" s="94">
        <v>0.0</v>
      </c>
      <c r="AC625" s="85">
        <v>3.0</v>
      </c>
      <c r="AD625" s="94">
        <v>0.0</v>
      </c>
      <c r="AE625" s="94">
        <v>0.0</v>
      </c>
      <c r="AF625" s="94">
        <v>0.0</v>
      </c>
      <c r="AG625" s="94">
        <v>0.0</v>
      </c>
      <c r="AH625" s="94">
        <v>0.0</v>
      </c>
    </row>
    <row r="626" hidden="1">
      <c r="A626" s="83" t="s">
        <v>40</v>
      </c>
      <c r="B626" s="84" t="s">
        <v>218</v>
      </c>
      <c r="C626" s="85">
        <v>1.0</v>
      </c>
      <c r="D626" s="94">
        <v>0.0</v>
      </c>
      <c r="E626" s="86">
        <v>46.0</v>
      </c>
      <c r="F626" s="94">
        <v>0.0</v>
      </c>
      <c r="G626" s="85">
        <v>142.0</v>
      </c>
      <c r="H626" s="94">
        <v>0.0</v>
      </c>
      <c r="I626" s="85">
        <v>147.0</v>
      </c>
      <c r="J626" s="95">
        <f t="shared" si="464"/>
        <v>-5</v>
      </c>
      <c r="K626" s="87">
        <f t="shared" si="465"/>
        <v>0.9659863946</v>
      </c>
      <c r="L626" s="85">
        <v>15.0</v>
      </c>
      <c r="M626" s="85">
        <v>184.0</v>
      </c>
      <c r="N626" s="85">
        <v>1.0</v>
      </c>
      <c r="O626" s="110">
        <f t="shared" si="471"/>
        <v>46</v>
      </c>
      <c r="P626" s="85">
        <v>7.0</v>
      </c>
      <c r="Q626" s="85">
        <v>1.0</v>
      </c>
      <c r="R626" s="85">
        <v>21.0</v>
      </c>
      <c r="S626" s="85">
        <v>1.0</v>
      </c>
      <c r="T626" s="85">
        <v>17.0</v>
      </c>
      <c r="U626" s="85">
        <v>1.0</v>
      </c>
      <c r="V626" s="94">
        <v>0.0</v>
      </c>
      <c r="W626" s="94">
        <v>0.0</v>
      </c>
      <c r="X626" s="94">
        <v>0.0</v>
      </c>
      <c r="Y626" s="94">
        <v>0.0</v>
      </c>
      <c r="Z626" s="94">
        <v>0.0</v>
      </c>
      <c r="AA626" s="94">
        <v>0.0</v>
      </c>
      <c r="AB626" s="94">
        <v>0.0</v>
      </c>
      <c r="AC626" s="94">
        <v>0.0</v>
      </c>
      <c r="AD626" s="94">
        <v>0.0</v>
      </c>
      <c r="AE626" s="94">
        <v>0.0</v>
      </c>
      <c r="AF626" s="94">
        <v>0.0</v>
      </c>
      <c r="AG626" s="94">
        <v>0.0</v>
      </c>
      <c r="AH626" s="94">
        <v>0.0</v>
      </c>
    </row>
    <row r="627" hidden="1">
      <c r="A627" s="83" t="s">
        <v>40</v>
      </c>
      <c r="B627" s="84" t="s">
        <v>219</v>
      </c>
      <c r="C627" s="94">
        <v>0.0</v>
      </c>
      <c r="D627" s="94">
        <v>0.0</v>
      </c>
      <c r="E627" s="96">
        <f>SUM(L627*I627)/60</f>
        <v>0</v>
      </c>
      <c r="F627" s="94">
        <v>0.0</v>
      </c>
      <c r="G627" s="94">
        <v>0.0</v>
      </c>
      <c r="H627" s="94">
        <v>0.0</v>
      </c>
      <c r="I627" s="94">
        <v>0.0</v>
      </c>
      <c r="J627" s="95">
        <f t="shared" si="464"/>
        <v>0</v>
      </c>
      <c r="K627" s="87" t="str">
        <f t="shared" si="465"/>
        <v>#DIV/0!</v>
      </c>
      <c r="L627" s="94">
        <v>0.0</v>
      </c>
      <c r="M627" s="94">
        <v>0.0</v>
      </c>
      <c r="N627" s="85">
        <v>0.0</v>
      </c>
      <c r="O627" s="110">
        <f t="shared" si="471"/>
        <v>0</v>
      </c>
      <c r="P627" s="94">
        <v>0.0</v>
      </c>
      <c r="Q627" s="94">
        <v>0.0</v>
      </c>
      <c r="R627" s="94">
        <v>0.0</v>
      </c>
      <c r="S627" s="94">
        <v>0.0</v>
      </c>
      <c r="T627" s="94">
        <v>0.0</v>
      </c>
      <c r="U627" s="94">
        <v>0.0</v>
      </c>
      <c r="V627" s="94">
        <v>0.0</v>
      </c>
      <c r="W627" s="94">
        <v>0.0</v>
      </c>
      <c r="X627" s="94">
        <v>0.0</v>
      </c>
      <c r="Y627" s="94">
        <v>0.0</v>
      </c>
      <c r="Z627" s="94">
        <v>0.0</v>
      </c>
      <c r="AA627" s="94">
        <v>0.0</v>
      </c>
      <c r="AB627" s="94">
        <v>0.0</v>
      </c>
      <c r="AC627" s="94">
        <v>0.0</v>
      </c>
      <c r="AD627" s="94">
        <v>0.0</v>
      </c>
      <c r="AE627" s="94">
        <v>0.0</v>
      </c>
      <c r="AF627" s="94">
        <v>0.0</v>
      </c>
      <c r="AG627" s="94">
        <v>0.0</v>
      </c>
      <c r="AH627" s="94">
        <v>0.0</v>
      </c>
    </row>
    <row r="628" hidden="1">
      <c r="A628" s="83" t="s">
        <v>40</v>
      </c>
      <c r="B628" s="84" t="s">
        <v>220</v>
      </c>
      <c r="C628" s="85">
        <v>1.0</v>
      </c>
      <c r="D628" s="94">
        <v>0.0</v>
      </c>
      <c r="E628" s="86">
        <v>46.0</v>
      </c>
      <c r="F628" s="94">
        <v>0.0</v>
      </c>
      <c r="G628" s="85">
        <v>165.0</v>
      </c>
      <c r="H628" s="94">
        <v>0.0</v>
      </c>
      <c r="I628" s="85">
        <v>172.0</v>
      </c>
      <c r="J628" s="95">
        <f t="shared" si="464"/>
        <v>-7</v>
      </c>
      <c r="K628" s="87">
        <f t="shared" si="465"/>
        <v>0.9593023256</v>
      </c>
      <c r="L628" s="85">
        <v>12.0</v>
      </c>
      <c r="M628" s="85">
        <v>228.0</v>
      </c>
      <c r="N628" s="85">
        <v>1.0</v>
      </c>
      <c r="O628" s="110">
        <f t="shared" si="471"/>
        <v>46</v>
      </c>
      <c r="P628" s="85">
        <v>6.0</v>
      </c>
      <c r="Q628" s="85">
        <v>2.0</v>
      </c>
      <c r="R628" s="85">
        <v>14.0</v>
      </c>
      <c r="S628" s="85">
        <v>9.0</v>
      </c>
      <c r="T628" s="85">
        <v>22.0</v>
      </c>
      <c r="U628" s="85">
        <v>9.0</v>
      </c>
      <c r="V628" s="85">
        <v>3.0</v>
      </c>
      <c r="W628" s="85">
        <v>2.0</v>
      </c>
      <c r="X628" s="94">
        <v>0.0</v>
      </c>
      <c r="Y628" s="94">
        <v>0.0</v>
      </c>
      <c r="Z628" s="94">
        <v>0.0</v>
      </c>
      <c r="AA628" s="94">
        <v>0.0</v>
      </c>
      <c r="AB628" s="94">
        <v>0.0</v>
      </c>
      <c r="AC628" s="85">
        <v>4.0</v>
      </c>
      <c r="AD628" s="94">
        <v>0.0</v>
      </c>
      <c r="AE628" s="94">
        <v>0.0</v>
      </c>
      <c r="AF628" s="94">
        <v>0.0</v>
      </c>
      <c r="AG628" s="94">
        <v>0.0</v>
      </c>
      <c r="AH628" s="94">
        <v>0.0</v>
      </c>
    </row>
    <row r="629" hidden="1">
      <c r="A629" s="83" t="s">
        <v>40</v>
      </c>
      <c r="B629" s="93"/>
      <c r="C629" s="94">
        <v>0.0</v>
      </c>
      <c r="D629" s="94">
        <v>0.0</v>
      </c>
      <c r="E629" s="96">
        <f>SUM(L629*I629)/60</f>
        <v>0</v>
      </c>
      <c r="F629" s="94">
        <v>0.0</v>
      </c>
      <c r="G629" s="94">
        <v>0.0</v>
      </c>
      <c r="H629" s="94">
        <v>0.0</v>
      </c>
      <c r="I629" s="94">
        <v>0.0</v>
      </c>
      <c r="J629" s="95">
        <f t="shared" si="464"/>
        <v>0</v>
      </c>
      <c r="K629" s="87" t="str">
        <f t="shared" si="465"/>
        <v>#DIV/0!</v>
      </c>
      <c r="L629" s="94">
        <v>0.0</v>
      </c>
      <c r="M629" s="94">
        <v>0.0</v>
      </c>
      <c r="N629" s="85">
        <v>0.0</v>
      </c>
      <c r="O629" s="110">
        <f t="shared" si="471"/>
        <v>0</v>
      </c>
      <c r="P629" s="94">
        <v>0.0</v>
      </c>
      <c r="Q629" s="94">
        <v>0.0</v>
      </c>
      <c r="R629" s="94">
        <v>0.0</v>
      </c>
      <c r="S629" s="94">
        <v>0.0</v>
      </c>
      <c r="T629" s="94">
        <v>0.0</v>
      </c>
      <c r="U629" s="94">
        <v>0.0</v>
      </c>
      <c r="V629" s="94">
        <v>0.0</v>
      </c>
      <c r="W629" s="94">
        <v>0.0</v>
      </c>
      <c r="X629" s="94">
        <v>0.0</v>
      </c>
      <c r="Y629" s="94">
        <v>0.0</v>
      </c>
      <c r="Z629" s="94">
        <v>0.0</v>
      </c>
      <c r="AA629" s="94">
        <v>0.0</v>
      </c>
      <c r="AB629" s="94">
        <v>0.0</v>
      </c>
      <c r="AC629" s="94">
        <v>0.0</v>
      </c>
      <c r="AD629" s="94">
        <v>0.0</v>
      </c>
      <c r="AE629" s="94">
        <v>0.0</v>
      </c>
      <c r="AF629" s="94">
        <v>0.0</v>
      </c>
      <c r="AG629" s="94">
        <v>0.0</v>
      </c>
      <c r="AH629" s="94">
        <v>0.0</v>
      </c>
    </row>
    <row r="630" hidden="1">
      <c r="A630" s="89" t="s">
        <v>185</v>
      </c>
      <c r="B630" s="111"/>
      <c r="C630" s="111">
        <f>SUM(C624:C629)</f>
        <v>4</v>
      </c>
      <c r="D630" s="111">
        <f t="shared" ref="D630:E630" si="472">SUM(D624:D629)/4</f>
        <v>0</v>
      </c>
      <c r="E630" s="91">
        <f t="shared" si="472"/>
        <v>46</v>
      </c>
      <c r="F630" s="111">
        <f t="shared" ref="F630:G630" si="473">SUM(F624:F629)</f>
        <v>2</v>
      </c>
      <c r="G630" s="111">
        <f t="shared" si="473"/>
        <v>604</v>
      </c>
      <c r="H630" s="111"/>
      <c r="I630" s="111">
        <f>SUM(I624:I629)</f>
        <v>610</v>
      </c>
      <c r="J630" s="111">
        <f t="shared" si="464"/>
        <v>-6</v>
      </c>
      <c r="K630" s="92">
        <f t="shared" si="465"/>
        <v>0.9901639344</v>
      </c>
      <c r="L630" s="111">
        <f t="shared" ref="L630:M630" si="474">SUM(L624:L629)</f>
        <v>60</v>
      </c>
      <c r="M630" s="111">
        <f t="shared" si="474"/>
        <v>799</v>
      </c>
      <c r="N630" s="111"/>
      <c r="O630" s="112"/>
      <c r="P630" s="111">
        <f t="shared" ref="P630:AH630" si="475">SUM(P624:P629)</f>
        <v>30</v>
      </c>
      <c r="Q630" s="111">
        <f t="shared" si="475"/>
        <v>7</v>
      </c>
      <c r="R630" s="111">
        <f t="shared" si="475"/>
        <v>62</v>
      </c>
      <c r="S630" s="111">
        <f t="shared" si="475"/>
        <v>16</v>
      </c>
      <c r="T630" s="111">
        <f t="shared" si="475"/>
        <v>80</v>
      </c>
      <c r="U630" s="111">
        <f t="shared" si="475"/>
        <v>18</v>
      </c>
      <c r="V630" s="111">
        <f t="shared" si="475"/>
        <v>5</v>
      </c>
      <c r="W630" s="111">
        <f t="shared" si="475"/>
        <v>2</v>
      </c>
      <c r="X630" s="111">
        <f t="shared" si="475"/>
        <v>0</v>
      </c>
      <c r="Y630" s="111">
        <f t="shared" si="475"/>
        <v>0</v>
      </c>
      <c r="Z630" s="111">
        <f t="shared" si="475"/>
        <v>0</v>
      </c>
      <c r="AA630" s="111">
        <f t="shared" si="475"/>
        <v>0</v>
      </c>
      <c r="AB630" s="111">
        <f t="shared" si="475"/>
        <v>0</v>
      </c>
      <c r="AC630" s="111">
        <f t="shared" si="475"/>
        <v>8</v>
      </c>
      <c r="AD630" s="111">
        <f t="shared" si="475"/>
        <v>0</v>
      </c>
      <c r="AE630" s="111">
        <f t="shared" si="475"/>
        <v>0</v>
      </c>
      <c r="AF630" s="111">
        <f t="shared" si="475"/>
        <v>0</v>
      </c>
      <c r="AG630" s="111">
        <f t="shared" si="475"/>
        <v>0</v>
      </c>
      <c r="AH630" s="111">
        <f t="shared" si="475"/>
        <v>0</v>
      </c>
    </row>
    <row r="631">
      <c r="A631" s="104" t="s">
        <v>291</v>
      </c>
    </row>
    <row r="633" hidden="1">
      <c r="A633" s="105"/>
      <c r="F633" s="106" t="s">
        <v>251</v>
      </c>
      <c r="L633" s="107" t="s">
        <v>252</v>
      </c>
      <c r="N633" s="108" t="s">
        <v>253</v>
      </c>
    </row>
    <row r="634" hidden="1">
      <c r="A634" s="76" t="s">
        <v>148</v>
      </c>
      <c r="B634" s="76" t="s">
        <v>149</v>
      </c>
      <c r="C634" s="76" t="s">
        <v>150</v>
      </c>
      <c r="D634" s="76" t="s">
        <v>13</v>
      </c>
      <c r="E634" s="77" t="s">
        <v>151</v>
      </c>
      <c r="F634" s="78" t="s">
        <v>15</v>
      </c>
      <c r="G634" s="78" t="s">
        <v>152</v>
      </c>
      <c r="H634" s="78" t="s">
        <v>153</v>
      </c>
      <c r="I634" s="78" t="s">
        <v>154</v>
      </c>
      <c r="J634" s="78" t="s">
        <v>155</v>
      </c>
      <c r="K634" s="79" t="s">
        <v>156</v>
      </c>
      <c r="L634" s="80" t="s">
        <v>157</v>
      </c>
      <c r="M634" s="80" t="s">
        <v>158</v>
      </c>
      <c r="N634" s="81" t="s">
        <v>254</v>
      </c>
      <c r="O634" s="81" t="s">
        <v>151</v>
      </c>
      <c r="P634" s="81" t="s">
        <v>160</v>
      </c>
      <c r="Q634" s="81" t="s">
        <v>161</v>
      </c>
      <c r="R634" s="81" t="s">
        <v>162</v>
      </c>
      <c r="S634" s="81" t="s">
        <v>163</v>
      </c>
      <c r="T634" s="81" t="s">
        <v>164</v>
      </c>
      <c r="U634" s="81" t="s">
        <v>165</v>
      </c>
      <c r="V634" s="81" t="s">
        <v>166</v>
      </c>
      <c r="W634" s="81" t="s">
        <v>167</v>
      </c>
      <c r="X634" s="81" t="s">
        <v>168</v>
      </c>
      <c r="Y634" s="81" t="s">
        <v>169</v>
      </c>
      <c r="Z634" s="81" t="s">
        <v>170</v>
      </c>
      <c r="AA634" s="81" t="s">
        <v>171</v>
      </c>
      <c r="AB634" s="81" t="s">
        <v>172</v>
      </c>
      <c r="AC634" s="81" t="s">
        <v>173</v>
      </c>
      <c r="AD634" s="81" t="s">
        <v>174</v>
      </c>
      <c r="AE634" s="81" t="s">
        <v>175</v>
      </c>
      <c r="AF634" s="81" t="s">
        <v>176</v>
      </c>
      <c r="AG634" s="81" t="s">
        <v>177</v>
      </c>
      <c r="AH634" s="81" t="s">
        <v>178</v>
      </c>
    </row>
    <row r="635" hidden="1">
      <c r="A635" s="83" t="s">
        <v>47</v>
      </c>
      <c r="B635" s="84" t="s">
        <v>237</v>
      </c>
      <c r="C635" s="85">
        <v>1.0</v>
      </c>
      <c r="D635" s="85">
        <v>1.0</v>
      </c>
      <c r="E635" s="86">
        <v>18.0</v>
      </c>
      <c r="F635" s="94">
        <v>0.0</v>
      </c>
      <c r="G635" s="85">
        <v>74.0</v>
      </c>
      <c r="H635" s="94">
        <v>0.0</v>
      </c>
      <c r="I635" s="85">
        <v>53.0</v>
      </c>
      <c r="J635" s="95">
        <f t="shared" ref="J635:J648" si="476">SUM(G635-I635)</f>
        <v>21</v>
      </c>
      <c r="K635" s="87">
        <f t="shared" ref="K635:K648" si="477">SUM(G635/I635)</f>
        <v>1.396226415</v>
      </c>
      <c r="L635" s="85">
        <v>17.0</v>
      </c>
      <c r="M635" s="85">
        <v>96.0</v>
      </c>
      <c r="N635" s="85">
        <v>1.0</v>
      </c>
      <c r="O635" s="110">
        <f t="shared" ref="O635:O640" si="478">(E635*N635)</f>
        <v>18</v>
      </c>
      <c r="P635" s="94">
        <v>0.0</v>
      </c>
      <c r="Q635" s="85">
        <v>0.0</v>
      </c>
      <c r="R635" s="85">
        <v>8.0</v>
      </c>
      <c r="S635" s="85">
        <v>2.0</v>
      </c>
      <c r="T635" s="85">
        <v>12.0</v>
      </c>
      <c r="U635" s="85">
        <v>1.0</v>
      </c>
      <c r="V635" s="85">
        <v>1.0</v>
      </c>
      <c r="W635" s="85">
        <v>1.0</v>
      </c>
      <c r="X635" s="94">
        <v>0.0</v>
      </c>
      <c r="Y635" s="94">
        <v>0.0</v>
      </c>
      <c r="Z635" s="94">
        <v>0.0</v>
      </c>
      <c r="AA635" s="94">
        <v>0.0</v>
      </c>
      <c r="AB635" s="94">
        <v>0.0</v>
      </c>
      <c r="AC635" s="85">
        <v>4.0</v>
      </c>
      <c r="AD635" s="94">
        <v>0.0</v>
      </c>
      <c r="AE635" s="94">
        <v>0.0</v>
      </c>
      <c r="AF635" s="94">
        <v>0.0</v>
      </c>
      <c r="AG635" s="85">
        <v>1.0</v>
      </c>
      <c r="AH635" s="94">
        <v>0.0</v>
      </c>
    </row>
    <row r="636" hidden="1">
      <c r="A636" s="83" t="s">
        <v>47</v>
      </c>
      <c r="B636" s="84" t="s">
        <v>238</v>
      </c>
      <c r="C636" s="85">
        <v>1.0</v>
      </c>
      <c r="D636" s="85">
        <v>1.0</v>
      </c>
      <c r="E636" s="86">
        <v>18.0</v>
      </c>
      <c r="F636" s="85">
        <v>4.0</v>
      </c>
      <c r="G636" s="85">
        <v>36.0</v>
      </c>
      <c r="H636" s="94">
        <v>0.0</v>
      </c>
      <c r="I636" s="85">
        <v>40.0</v>
      </c>
      <c r="J636" s="95">
        <f t="shared" si="476"/>
        <v>-4</v>
      </c>
      <c r="K636" s="87">
        <f t="shared" si="477"/>
        <v>0.9</v>
      </c>
      <c r="L636" s="85">
        <v>23.0</v>
      </c>
      <c r="M636" s="85">
        <v>48.0</v>
      </c>
      <c r="N636" s="85">
        <v>1.0</v>
      </c>
      <c r="O636" s="110">
        <f t="shared" si="478"/>
        <v>18</v>
      </c>
      <c r="P636" s="85">
        <v>2.0</v>
      </c>
      <c r="Q636" s="94">
        <v>0.0</v>
      </c>
      <c r="R636" s="94">
        <v>0.0</v>
      </c>
      <c r="S636" s="94">
        <v>0.0</v>
      </c>
      <c r="T636" s="85">
        <v>3.0</v>
      </c>
      <c r="U636" s="85">
        <v>2.0</v>
      </c>
      <c r="V636" s="94">
        <v>0.0</v>
      </c>
      <c r="W636" s="94">
        <v>0.0</v>
      </c>
      <c r="X636" s="94">
        <v>0.0</v>
      </c>
      <c r="Y636" s="94">
        <v>0.0</v>
      </c>
      <c r="Z636" s="94">
        <v>0.0</v>
      </c>
      <c r="AA636" s="94">
        <v>0.0</v>
      </c>
      <c r="AB636" s="94">
        <v>0.0</v>
      </c>
      <c r="AC636" s="85">
        <v>1.0</v>
      </c>
      <c r="AD636" s="94">
        <v>0.0</v>
      </c>
      <c r="AE636" s="94">
        <v>0.0</v>
      </c>
      <c r="AF636" s="94">
        <v>0.0</v>
      </c>
      <c r="AG636" s="94">
        <v>0.0</v>
      </c>
      <c r="AH636" s="94">
        <v>0.0</v>
      </c>
    </row>
    <row r="637" hidden="1">
      <c r="A637" s="83" t="s">
        <v>47</v>
      </c>
      <c r="B637" s="84" t="s">
        <v>239</v>
      </c>
      <c r="C637" s="85">
        <v>1.0</v>
      </c>
      <c r="D637" s="85">
        <v>1.0</v>
      </c>
      <c r="E637" s="86">
        <v>18.0</v>
      </c>
      <c r="F637" s="85">
        <v>1.0</v>
      </c>
      <c r="G637" s="85">
        <v>56.0</v>
      </c>
      <c r="H637" s="94">
        <v>0.0</v>
      </c>
      <c r="I637" s="85">
        <v>67.0</v>
      </c>
      <c r="J637" s="95">
        <f t="shared" si="476"/>
        <v>-11</v>
      </c>
      <c r="K637" s="87">
        <f t="shared" si="477"/>
        <v>0.8358208955</v>
      </c>
      <c r="L637" s="85">
        <v>13.0</v>
      </c>
      <c r="M637" s="85">
        <v>70.0</v>
      </c>
      <c r="N637" s="85">
        <v>1.0</v>
      </c>
      <c r="O637" s="110">
        <f t="shared" si="478"/>
        <v>18</v>
      </c>
      <c r="P637" s="85">
        <v>3.0</v>
      </c>
      <c r="Q637" s="85">
        <v>1.0</v>
      </c>
      <c r="R637" s="85">
        <v>7.0</v>
      </c>
      <c r="S637" s="85">
        <v>2.0</v>
      </c>
      <c r="T637" s="85">
        <v>7.0</v>
      </c>
      <c r="U637" s="94">
        <v>0.0</v>
      </c>
      <c r="V637" s="94">
        <v>0.0</v>
      </c>
      <c r="W637" s="94">
        <v>0.0</v>
      </c>
      <c r="X637" s="94">
        <v>0.0</v>
      </c>
      <c r="Y637" s="94">
        <v>0.0</v>
      </c>
      <c r="Z637" s="94">
        <v>0.0</v>
      </c>
      <c r="AA637" s="94">
        <v>0.0</v>
      </c>
      <c r="AB637" s="94">
        <v>0.0</v>
      </c>
      <c r="AC637" s="94">
        <v>0.0</v>
      </c>
      <c r="AD637" s="94">
        <v>0.0</v>
      </c>
      <c r="AE637" s="94">
        <v>0.0</v>
      </c>
      <c r="AF637" s="94">
        <v>0.0</v>
      </c>
      <c r="AG637" s="94">
        <v>0.0</v>
      </c>
      <c r="AH637" s="94">
        <v>0.0</v>
      </c>
    </row>
    <row r="638" hidden="1">
      <c r="A638" s="83" t="s">
        <v>47</v>
      </c>
      <c r="B638" s="84" t="s">
        <v>240</v>
      </c>
      <c r="C638" s="85">
        <v>1.0</v>
      </c>
      <c r="D638" s="85">
        <v>1.0</v>
      </c>
      <c r="E638" s="86">
        <v>18.0</v>
      </c>
      <c r="F638" s="94">
        <v>0.0</v>
      </c>
      <c r="G638" s="85">
        <v>51.0</v>
      </c>
      <c r="H638" s="94">
        <v>0.0</v>
      </c>
      <c r="I638" s="85">
        <v>49.0</v>
      </c>
      <c r="J638" s="95">
        <f t="shared" si="476"/>
        <v>2</v>
      </c>
      <c r="K638" s="87">
        <f t="shared" si="477"/>
        <v>1.040816327</v>
      </c>
      <c r="L638" s="85">
        <v>18.0</v>
      </c>
      <c r="M638" s="85">
        <v>68.0</v>
      </c>
      <c r="N638" s="85">
        <v>1.0</v>
      </c>
      <c r="O638" s="110">
        <f t="shared" si="478"/>
        <v>18</v>
      </c>
      <c r="P638" s="85">
        <v>2.0</v>
      </c>
      <c r="Q638" s="85">
        <v>1.0</v>
      </c>
      <c r="R638" s="85">
        <v>7.0</v>
      </c>
      <c r="S638" s="85">
        <v>2.0</v>
      </c>
      <c r="T638" s="85">
        <v>5.0</v>
      </c>
      <c r="U638" s="85">
        <v>1.0</v>
      </c>
      <c r="V638" s="94">
        <v>0.0</v>
      </c>
      <c r="W638" s="94">
        <v>0.0</v>
      </c>
      <c r="X638" s="94">
        <v>0.0</v>
      </c>
      <c r="Y638" s="94">
        <v>0.0</v>
      </c>
      <c r="Z638" s="94">
        <v>0.0</v>
      </c>
      <c r="AA638" s="94">
        <v>0.0</v>
      </c>
      <c r="AB638" s="94">
        <v>0.0</v>
      </c>
      <c r="AC638" s="85">
        <v>2.0</v>
      </c>
      <c r="AD638" s="94">
        <v>0.0</v>
      </c>
      <c r="AE638" s="94">
        <v>0.0</v>
      </c>
      <c r="AF638" s="94">
        <v>0.0</v>
      </c>
      <c r="AG638" s="94">
        <v>0.0</v>
      </c>
      <c r="AH638" s="94">
        <v>0.0</v>
      </c>
    </row>
    <row r="639" hidden="1">
      <c r="A639" s="83" t="s">
        <v>47</v>
      </c>
      <c r="B639" s="84" t="s">
        <v>241</v>
      </c>
      <c r="C639" s="94">
        <v>0.0</v>
      </c>
      <c r="D639" s="94">
        <v>0.0</v>
      </c>
      <c r="E639" s="96">
        <f t="shared" ref="E639:E640" si="479">SUM(L639*I639)/60</f>
        <v>0</v>
      </c>
      <c r="F639" s="94">
        <v>0.0</v>
      </c>
      <c r="G639" s="94">
        <v>0.0</v>
      </c>
      <c r="H639" s="94">
        <v>0.0</v>
      </c>
      <c r="I639" s="94">
        <v>0.0</v>
      </c>
      <c r="J639" s="95">
        <f t="shared" si="476"/>
        <v>0</v>
      </c>
      <c r="K639" s="87" t="str">
        <f t="shared" si="477"/>
        <v>#DIV/0!</v>
      </c>
      <c r="L639" s="94">
        <v>0.0</v>
      </c>
      <c r="M639" s="94">
        <v>0.0</v>
      </c>
      <c r="N639" s="85">
        <v>0.0</v>
      </c>
      <c r="O639" s="110">
        <f t="shared" si="478"/>
        <v>0</v>
      </c>
      <c r="P639" s="94">
        <v>0.0</v>
      </c>
      <c r="Q639" s="94">
        <v>0.0</v>
      </c>
      <c r="R639" s="94">
        <v>0.0</v>
      </c>
      <c r="S639" s="94">
        <v>0.0</v>
      </c>
      <c r="T639" s="94">
        <v>0.0</v>
      </c>
      <c r="U639" s="94">
        <v>0.0</v>
      </c>
      <c r="V639" s="94">
        <v>0.0</v>
      </c>
      <c r="W639" s="94">
        <v>0.0</v>
      </c>
      <c r="X639" s="94">
        <v>0.0</v>
      </c>
      <c r="Y639" s="94">
        <v>0.0</v>
      </c>
      <c r="Z639" s="94">
        <v>0.0</v>
      </c>
      <c r="AA639" s="94">
        <v>0.0</v>
      </c>
      <c r="AB639" s="94">
        <v>0.0</v>
      </c>
      <c r="AC639" s="94">
        <v>0.0</v>
      </c>
      <c r="AD639" s="94">
        <v>0.0</v>
      </c>
      <c r="AE639" s="94">
        <v>0.0</v>
      </c>
      <c r="AF639" s="94">
        <v>0.0</v>
      </c>
      <c r="AG639" s="94">
        <v>0.0</v>
      </c>
      <c r="AH639" s="94">
        <v>0.0</v>
      </c>
    </row>
    <row r="640" hidden="1">
      <c r="A640" s="83" t="s">
        <v>47</v>
      </c>
      <c r="B640" s="114"/>
      <c r="C640" s="94">
        <v>0.0</v>
      </c>
      <c r="D640" s="94">
        <v>0.0</v>
      </c>
      <c r="E640" s="96">
        <f t="shared" si="479"/>
        <v>0</v>
      </c>
      <c r="F640" s="94">
        <v>0.0</v>
      </c>
      <c r="G640" s="94">
        <v>0.0</v>
      </c>
      <c r="H640" s="94">
        <v>0.0</v>
      </c>
      <c r="I640" s="94">
        <v>0.0</v>
      </c>
      <c r="J640" s="95">
        <f t="shared" si="476"/>
        <v>0</v>
      </c>
      <c r="K640" s="87" t="str">
        <f t="shared" si="477"/>
        <v>#DIV/0!</v>
      </c>
      <c r="L640" s="94">
        <v>0.0</v>
      </c>
      <c r="M640" s="94">
        <v>0.0</v>
      </c>
      <c r="N640" s="85">
        <v>0.0</v>
      </c>
      <c r="O640" s="110">
        <f t="shared" si="478"/>
        <v>0</v>
      </c>
      <c r="P640" s="94">
        <v>0.0</v>
      </c>
      <c r="Q640" s="94">
        <v>0.0</v>
      </c>
      <c r="R640" s="94">
        <v>0.0</v>
      </c>
      <c r="S640" s="94">
        <v>0.0</v>
      </c>
      <c r="T640" s="94">
        <v>0.0</v>
      </c>
      <c r="U640" s="94">
        <v>0.0</v>
      </c>
      <c r="V640" s="94">
        <v>0.0</v>
      </c>
      <c r="W640" s="94">
        <v>0.0</v>
      </c>
      <c r="X640" s="94">
        <v>0.0</v>
      </c>
      <c r="Y640" s="94">
        <v>0.0</v>
      </c>
      <c r="Z640" s="94">
        <v>0.0</v>
      </c>
      <c r="AA640" s="94">
        <v>0.0</v>
      </c>
      <c r="AB640" s="94">
        <v>0.0</v>
      </c>
      <c r="AC640" s="94">
        <v>0.0</v>
      </c>
      <c r="AD640" s="94">
        <v>0.0</v>
      </c>
      <c r="AE640" s="94">
        <v>0.0</v>
      </c>
      <c r="AF640" s="94">
        <v>0.0</v>
      </c>
      <c r="AG640" s="94">
        <v>0.0</v>
      </c>
      <c r="AH640" s="94">
        <v>0.0</v>
      </c>
    </row>
    <row r="641" hidden="1">
      <c r="A641" s="89"/>
      <c r="B641" s="111"/>
      <c r="C641" s="111">
        <f t="shared" ref="C641:D641" si="480">SUM(C635:C640)/4</f>
        <v>1</v>
      </c>
      <c r="D641" s="111">
        <f t="shared" si="480"/>
        <v>1</v>
      </c>
      <c r="E641" s="91">
        <f t="shared" ref="E641:G641" si="481">SUM(E635:E640)</f>
        <v>72</v>
      </c>
      <c r="F641" s="111">
        <f t="shared" si="481"/>
        <v>5</v>
      </c>
      <c r="G641" s="111">
        <f t="shared" si="481"/>
        <v>217</v>
      </c>
      <c r="H641" s="111"/>
      <c r="I641" s="111">
        <f>SUM(I635:I640)</f>
        <v>209</v>
      </c>
      <c r="J641" s="111">
        <f t="shared" si="476"/>
        <v>8</v>
      </c>
      <c r="K641" s="92">
        <f t="shared" si="477"/>
        <v>1.038277512</v>
      </c>
      <c r="L641" s="111">
        <f t="shared" ref="L641:M641" si="482">SUM(L635:L640)</f>
        <v>71</v>
      </c>
      <c r="M641" s="111">
        <f t="shared" si="482"/>
        <v>282</v>
      </c>
      <c r="N641" s="111"/>
      <c r="O641" s="112"/>
      <c r="P641" s="111">
        <f t="shared" ref="P641:AH641" si="483">SUM(P635:P640)</f>
        <v>7</v>
      </c>
      <c r="Q641" s="111">
        <f t="shared" si="483"/>
        <v>2</v>
      </c>
      <c r="R641" s="111">
        <f t="shared" si="483"/>
        <v>22</v>
      </c>
      <c r="S641" s="111">
        <f t="shared" si="483"/>
        <v>6</v>
      </c>
      <c r="T641" s="111">
        <f t="shared" si="483"/>
        <v>27</v>
      </c>
      <c r="U641" s="111">
        <f t="shared" si="483"/>
        <v>4</v>
      </c>
      <c r="V641" s="111">
        <f t="shared" si="483"/>
        <v>1</v>
      </c>
      <c r="W641" s="111">
        <f t="shared" si="483"/>
        <v>1</v>
      </c>
      <c r="X641" s="111">
        <f t="shared" si="483"/>
        <v>0</v>
      </c>
      <c r="Y641" s="111">
        <f t="shared" si="483"/>
        <v>0</v>
      </c>
      <c r="Z641" s="111">
        <f t="shared" si="483"/>
        <v>0</v>
      </c>
      <c r="AA641" s="111">
        <f t="shared" si="483"/>
        <v>0</v>
      </c>
      <c r="AB641" s="111">
        <f t="shared" si="483"/>
        <v>0</v>
      </c>
      <c r="AC641" s="111">
        <f t="shared" si="483"/>
        <v>7</v>
      </c>
      <c r="AD641" s="111">
        <f t="shared" si="483"/>
        <v>0</v>
      </c>
      <c r="AE641" s="111">
        <f t="shared" si="483"/>
        <v>0</v>
      </c>
      <c r="AF641" s="111">
        <f t="shared" si="483"/>
        <v>0</v>
      </c>
      <c r="AG641" s="111">
        <f t="shared" si="483"/>
        <v>1</v>
      </c>
      <c r="AH641" s="111">
        <f t="shared" si="483"/>
        <v>0</v>
      </c>
    </row>
    <row r="642" hidden="1">
      <c r="A642" s="83" t="s">
        <v>56</v>
      </c>
      <c r="B642" s="84" t="s">
        <v>203</v>
      </c>
      <c r="C642" s="85">
        <v>1.0</v>
      </c>
      <c r="D642" s="85">
        <v>0.0</v>
      </c>
      <c r="E642" s="86">
        <v>18.0</v>
      </c>
      <c r="F642" s="85">
        <v>0.0</v>
      </c>
      <c r="G642" s="85">
        <v>67.0</v>
      </c>
      <c r="H642" s="85">
        <v>1.0</v>
      </c>
      <c r="I642" s="85">
        <v>60.0</v>
      </c>
      <c r="J642" s="95">
        <f t="shared" si="476"/>
        <v>7</v>
      </c>
      <c r="K642" s="87">
        <f t="shared" si="477"/>
        <v>1.116666667</v>
      </c>
      <c r="L642" s="85">
        <v>14.0</v>
      </c>
      <c r="M642" s="85">
        <v>91.0</v>
      </c>
      <c r="N642" s="85">
        <v>1.0</v>
      </c>
      <c r="O642" s="110">
        <f t="shared" ref="O642:O647" si="484">(E642*N642)</f>
        <v>18</v>
      </c>
      <c r="P642" s="85">
        <v>1.0</v>
      </c>
      <c r="Q642" s="94">
        <v>0.0</v>
      </c>
      <c r="R642" s="85">
        <v>5.0</v>
      </c>
      <c r="S642" s="85">
        <v>4.0</v>
      </c>
      <c r="T642" s="85">
        <v>10.0</v>
      </c>
      <c r="U642" s="85">
        <v>4.0</v>
      </c>
      <c r="V642" s="85">
        <v>1.0</v>
      </c>
      <c r="W642" s="94">
        <v>0.0</v>
      </c>
      <c r="X642" s="94">
        <v>0.0</v>
      </c>
      <c r="Y642" s="94">
        <v>0.0</v>
      </c>
      <c r="Z642" s="94">
        <v>0.0</v>
      </c>
      <c r="AA642" s="94">
        <v>0.0</v>
      </c>
      <c r="AB642" s="94">
        <v>0.0</v>
      </c>
      <c r="AC642" s="85">
        <v>3.0</v>
      </c>
      <c r="AD642" s="94">
        <v>0.0</v>
      </c>
      <c r="AE642" s="94">
        <v>0.0</v>
      </c>
      <c r="AF642" s="94">
        <v>0.0</v>
      </c>
      <c r="AG642" s="94">
        <v>0.0</v>
      </c>
      <c r="AH642" s="94">
        <v>0.0</v>
      </c>
    </row>
    <row r="643" hidden="1">
      <c r="A643" s="83" t="s">
        <v>56</v>
      </c>
      <c r="B643" s="84" t="s">
        <v>204</v>
      </c>
      <c r="C643" s="85">
        <v>1.0</v>
      </c>
      <c r="D643" s="85">
        <v>0.0</v>
      </c>
      <c r="E643" s="86">
        <v>18.0</v>
      </c>
      <c r="F643" s="94">
        <v>0.0</v>
      </c>
      <c r="G643" s="85">
        <v>44.0</v>
      </c>
      <c r="H643" s="94">
        <v>0.0</v>
      </c>
      <c r="I643" s="85">
        <v>62.0</v>
      </c>
      <c r="J643" s="95">
        <f t="shared" si="476"/>
        <v>-18</v>
      </c>
      <c r="K643" s="87">
        <f t="shared" si="477"/>
        <v>0.7096774194</v>
      </c>
      <c r="L643" s="85">
        <v>14.0</v>
      </c>
      <c r="M643" s="85">
        <v>61.0</v>
      </c>
      <c r="N643" s="85">
        <v>1.0</v>
      </c>
      <c r="O643" s="110">
        <f t="shared" si="484"/>
        <v>18</v>
      </c>
      <c r="P643" s="85">
        <v>2.0</v>
      </c>
      <c r="Q643" s="85">
        <v>2.0</v>
      </c>
      <c r="R643" s="85">
        <v>6.0</v>
      </c>
      <c r="S643" s="85">
        <v>1.0</v>
      </c>
      <c r="T643" s="85">
        <v>6.0</v>
      </c>
      <c r="U643" s="85">
        <v>2.0</v>
      </c>
      <c r="V643" s="85">
        <v>1.0</v>
      </c>
      <c r="W643" s="94">
        <v>0.0</v>
      </c>
      <c r="X643" s="94">
        <v>0.0</v>
      </c>
      <c r="Y643" s="94">
        <v>0.0</v>
      </c>
      <c r="Z643" s="94">
        <v>0.0</v>
      </c>
      <c r="AA643" s="94">
        <v>0.0</v>
      </c>
      <c r="AB643" s="94">
        <v>0.0</v>
      </c>
      <c r="AC643" s="94">
        <v>0.0</v>
      </c>
      <c r="AD643" s="94">
        <v>0.0</v>
      </c>
      <c r="AE643" s="94">
        <v>0.0</v>
      </c>
      <c r="AF643" s="94">
        <v>0.0</v>
      </c>
      <c r="AG643" s="94">
        <v>0.0</v>
      </c>
      <c r="AH643" s="94">
        <v>0.0</v>
      </c>
    </row>
    <row r="644" hidden="1">
      <c r="A644" s="83" t="s">
        <v>56</v>
      </c>
      <c r="B644" s="84" t="s">
        <v>205</v>
      </c>
      <c r="C644" s="85">
        <v>1.0</v>
      </c>
      <c r="D644" s="85">
        <v>0.0</v>
      </c>
      <c r="E644" s="86">
        <v>18.0</v>
      </c>
      <c r="F644" s="94">
        <v>0.0</v>
      </c>
      <c r="G644" s="85">
        <v>72.0</v>
      </c>
      <c r="H644" s="94">
        <v>0.0</v>
      </c>
      <c r="I644" s="85">
        <v>59.0</v>
      </c>
      <c r="J644" s="95">
        <f t="shared" si="476"/>
        <v>13</v>
      </c>
      <c r="K644" s="87">
        <f t="shared" si="477"/>
        <v>1.220338983</v>
      </c>
      <c r="L644" s="85">
        <v>15.0</v>
      </c>
      <c r="M644" s="85">
        <v>94.0</v>
      </c>
      <c r="N644" s="85">
        <v>1.0</v>
      </c>
      <c r="O644" s="110">
        <f t="shared" si="484"/>
        <v>18</v>
      </c>
      <c r="P644" s="85">
        <v>2.0</v>
      </c>
      <c r="Q644" s="94">
        <v>0.0</v>
      </c>
      <c r="R644" s="85">
        <v>4.0</v>
      </c>
      <c r="S644" s="94">
        <v>0.0</v>
      </c>
      <c r="T644" s="85">
        <v>12.0</v>
      </c>
      <c r="U644" s="85">
        <v>5.0</v>
      </c>
      <c r="V644" s="94">
        <v>0.0</v>
      </c>
      <c r="W644" s="94">
        <v>0.0</v>
      </c>
      <c r="X644" s="94">
        <v>0.0</v>
      </c>
      <c r="Y644" s="94">
        <v>0.0</v>
      </c>
      <c r="Z644" s="94">
        <v>0.0</v>
      </c>
      <c r="AA644" s="94">
        <v>0.0</v>
      </c>
      <c r="AB644" s="94">
        <v>0.0</v>
      </c>
      <c r="AC644" s="85">
        <v>3.0</v>
      </c>
      <c r="AD644" s="94">
        <v>0.0</v>
      </c>
      <c r="AE644" s="94">
        <v>0.0</v>
      </c>
      <c r="AF644" s="94">
        <v>0.0</v>
      </c>
      <c r="AG644" s="94">
        <v>0.0</v>
      </c>
      <c r="AH644" s="94">
        <v>0.0</v>
      </c>
    </row>
    <row r="645" hidden="1">
      <c r="A645" s="83" t="s">
        <v>56</v>
      </c>
      <c r="B645" s="84" t="s">
        <v>206</v>
      </c>
      <c r="C645" s="94">
        <v>0.0</v>
      </c>
      <c r="D645" s="94">
        <v>0.0</v>
      </c>
      <c r="E645" s="96">
        <f>SUM(L645*I645)/60</f>
        <v>0</v>
      </c>
      <c r="F645" s="94">
        <v>0.0</v>
      </c>
      <c r="G645" s="94">
        <v>0.0</v>
      </c>
      <c r="H645" s="94">
        <v>0.0</v>
      </c>
      <c r="I645" s="94">
        <v>0.0</v>
      </c>
      <c r="J645" s="95">
        <f t="shared" si="476"/>
        <v>0</v>
      </c>
      <c r="K645" s="87" t="str">
        <f t="shared" si="477"/>
        <v>#DIV/0!</v>
      </c>
      <c r="L645" s="94">
        <v>0.0</v>
      </c>
      <c r="M645" s="94">
        <v>0.0</v>
      </c>
      <c r="N645" s="85">
        <v>0.0</v>
      </c>
      <c r="O645" s="110">
        <f t="shared" si="484"/>
        <v>0</v>
      </c>
      <c r="P645" s="94">
        <v>0.0</v>
      </c>
      <c r="Q645" s="94">
        <v>0.0</v>
      </c>
      <c r="R645" s="94">
        <v>0.0</v>
      </c>
      <c r="S645" s="94">
        <v>0.0</v>
      </c>
      <c r="T645" s="94">
        <v>0.0</v>
      </c>
      <c r="U645" s="94">
        <v>0.0</v>
      </c>
      <c r="V645" s="94">
        <v>0.0</v>
      </c>
      <c r="W645" s="94">
        <v>0.0</v>
      </c>
      <c r="X645" s="94">
        <v>0.0</v>
      </c>
      <c r="Y645" s="94">
        <v>0.0</v>
      </c>
      <c r="Z645" s="94">
        <v>0.0</v>
      </c>
      <c r="AA645" s="94">
        <v>0.0</v>
      </c>
      <c r="AB645" s="94">
        <v>0.0</v>
      </c>
      <c r="AC645" s="94">
        <v>0.0</v>
      </c>
      <c r="AD645" s="94">
        <v>0.0</v>
      </c>
      <c r="AE645" s="94">
        <v>0.0</v>
      </c>
      <c r="AF645" s="94">
        <v>0.0</v>
      </c>
      <c r="AG645" s="94">
        <v>0.0</v>
      </c>
      <c r="AH645" s="94">
        <v>0.0</v>
      </c>
    </row>
    <row r="646" hidden="1">
      <c r="A646" s="83" t="s">
        <v>56</v>
      </c>
      <c r="B646" s="84" t="s">
        <v>207</v>
      </c>
      <c r="C646" s="85">
        <v>1.0</v>
      </c>
      <c r="D646" s="85">
        <v>0.0</v>
      </c>
      <c r="E646" s="86">
        <v>18.0</v>
      </c>
      <c r="F646" s="85">
        <v>1.0</v>
      </c>
      <c r="G646" s="85">
        <v>21.0</v>
      </c>
      <c r="H646" s="94">
        <v>0.0</v>
      </c>
      <c r="I646" s="85">
        <v>42.0</v>
      </c>
      <c r="J646" s="95">
        <f t="shared" si="476"/>
        <v>-21</v>
      </c>
      <c r="K646" s="87">
        <f t="shared" si="477"/>
        <v>0.5</v>
      </c>
      <c r="L646" s="85">
        <v>22.0</v>
      </c>
      <c r="M646" s="85">
        <v>25.0</v>
      </c>
      <c r="N646" s="85">
        <v>1.0</v>
      </c>
      <c r="O646" s="110">
        <f t="shared" si="484"/>
        <v>18</v>
      </c>
      <c r="P646" s="85">
        <v>1.0</v>
      </c>
      <c r="Q646" s="85">
        <v>2.0</v>
      </c>
      <c r="R646" s="94">
        <v>0.0</v>
      </c>
      <c r="S646" s="85">
        <v>1.0</v>
      </c>
      <c r="T646" s="85">
        <v>1.0</v>
      </c>
      <c r="U646" s="94">
        <v>0.0</v>
      </c>
      <c r="V646" s="94">
        <v>0.0</v>
      </c>
      <c r="W646" s="94">
        <v>0.0</v>
      </c>
      <c r="X646" s="94">
        <v>0.0</v>
      </c>
      <c r="Y646" s="94">
        <v>0.0</v>
      </c>
      <c r="Z646" s="94">
        <v>0.0</v>
      </c>
      <c r="AA646" s="94">
        <v>0.0</v>
      </c>
      <c r="AB646" s="94">
        <v>0.0</v>
      </c>
      <c r="AC646" s="94">
        <v>0.0</v>
      </c>
      <c r="AD646" s="94">
        <v>0.0</v>
      </c>
      <c r="AE646" s="94">
        <v>0.0</v>
      </c>
      <c r="AF646" s="94">
        <v>0.0</v>
      </c>
      <c r="AG646" s="94">
        <v>0.0</v>
      </c>
      <c r="AH646" s="94">
        <v>0.0</v>
      </c>
    </row>
    <row r="647" hidden="1">
      <c r="A647" s="83" t="s">
        <v>56</v>
      </c>
      <c r="B647" s="93"/>
      <c r="C647" s="94">
        <v>0.0</v>
      </c>
      <c r="D647" s="94">
        <v>0.0</v>
      </c>
      <c r="E647" s="96">
        <f>SUM(L647*I647)/60</f>
        <v>0</v>
      </c>
      <c r="F647" s="94">
        <v>0.0</v>
      </c>
      <c r="G647" s="94">
        <v>0.0</v>
      </c>
      <c r="H647" s="94">
        <v>0.0</v>
      </c>
      <c r="I647" s="94">
        <v>0.0</v>
      </c>
      <c r="J647" s="95">
        <f t="shared" si="476"/>
        <v>0</v>
      </c>
      <c r="K647" s="87" t="str">
        <f t="shared" si="477"/>
        <v>#DIV/0!</v>
      </c>
      <c r="L647" s="94">
        <v>0.0</v>
      </c>
      <c r="M647" s="94">
        <v>0.0</v>
      </c>
      <c r="N647" s="85">
        <v>0.0</v>
      </c>
      <c r="O647" s="110">
        <f t="shared" si="484"/>
        <v>0</v>
      </c>
      <c r="P647" s="94">
        <v>0.0</v>
      </c>
      <c r="Q647" s="94">
        <v>0.0</v>
      </c>
      <c r="R647" s="94">
        <v>0.0</v>
      </c>
      <c r="S647" s="94">
        <v>0.0</v>
      </c>
      <c r="T647" s="94">
        <v>0.0</v>
      </c>
      <c r="U647" s="94">
        <v>0.0</v>
      </c>
      <c r="V647" s="94">
        <v>0.0</v>
      </c>
      <c r="W647" s="94">
        <v>0.0</v>
      </c>
      <c r="X647" s="94">
        <v>0.0</v>
      </c>
      <c r="Y647" s="94">
        <v>0.0</v>
      </c>
      <c r="Z647" s="94">
        <v>0.0</v>
      </c>
      <c r="AA647" s="94">
        <v>0.0</v>
      </c>
      <c r="AB647" s="94">
        <v>0.0</v>
      </c>
      <c r="AC647" s="94">
        <v>0.0</v>
      </c>
      <c r="AD647" s="94">
        <v>0.0</v>
      </c>
      <c r="AE647" s="94">
        <v>0.0</v>
      </c>
      <c r="AF647" s="94">
        <v>0.0</v>
      </c>
      <c r="AG647" s="94">
        <v>0.0</v>
      </c>
      <c r="AH647" s="94">
        <v>0.0</v>
      </c>
    </row>
    <row r="648" hidden="1">
      <c r="A648" s="89" t="s">
        <v>185</v>
      </c>
      <c r="B648" s="111"/>
      <c r="C648" s="111">
        <f>SUM(C642:C647)</f>
        <v>4</v>
      </c>
      <c r="D648" s="111">
        <f t="shared" ref="D648:E648" si="485">SUM(D642:D647)/4</f>
        <v>0</v>
      </c>
      <c r="E648" s="91">
        <f t="shared" si="485"/>
        <v>18</v>
      </c>
      <c r="F648" s="111">
        <f t="shared" ref="F648:G648" si="486">SUM(F642:F647)</f>
        <v>1</v>
      </c>
      <c r="G648" s="111">
        <f t="shared" si="486"/>
        <v>204</v>
      </c>
      <c r="H648" s="111"/>
      <c r="I648" s="111">
        <f>SUM(I642:I647)</f>
        <v>223</v>
      </c>
      <c r="J648" s="111">
        <f t="shared" si="476"/>
        <v>-19</v>
      </c>
      <c r="K648" s="92">
        <f t="shared" si="477"/>
        <v>0.9147982063</v>
      </c>
      <c r="L648" s="111">
        <f t="shared" ref="L648:M648" si="487">SUM(L642:L647)</f>
        <v>65</v>
      </c>
      <c r="M648" s="111">
        <f t="shared" si="487"/>
        <v>271</v>
      </c>
      <c r="N648" s="111"/>
      <c r="O648" s="112"/>
      <c r="P648" s="111">
        <f t="shared" ref="P648:AH648" si="488">SUM(P642:P647)</f>
        <v>6</v>
      </c>
      <c r="Q648" s="111">
        <f t="shared" si="488"/>
        <v>4</v>
      </c>
      <c r="R648" s="111">
        <f t="shared" si="488"/>
        <v>15</v>
      </c>
      <c r="S648" s="111">
        <f t="shared" si="488"/>
        <v>6</v>
      </c>
      <c r="T648" s="111">
        <f t="shared" si="488"/>
        <v>29</v>
      </c>
      <c r="U648" s="111">
        <f t="shared" si="488"/>
        <v>11</v>
      </c>
      <c r="V648" s="111">
        <f t="shared" si="488"/>
        <v>2</v>
      </c>
      <c r="W648" s="111">
        <f t="shared" si="488"/>
        <v>0</v>
      </c>
      <c r="X648" s="111">
        <f t="shared" si="488"/>
        <v>0</v>
      </c>
      <c r="Y648" s="111">
        <f t="shared" si="488"/>
        <v>0</v>
      </c>
      <c r="Z648" s="111">
        <f t="shared" si="488"/>
        <v>0</v>
      </c>
      <c r="AA648" s="111">
        <f t="shared" si="488"/>
        <v>0</v>
      </c>
      <c r="AB648" s="111">
        <f t="shared" si="488"/>
        <v>0</v>
      </c>
      <c r="AC648" s="111">
        <f t="shared" si="488"/>
        <v>6</v>
      </c>
      <c r="AD648" s="111">
        <f t="shared" si="488"/>
        <v>0</v>
      </c>
      <c r="AE648" s="111">
        <f t="shared" si="488"/>
        <v>0</v>
      </c>
      <c r="AF648" s="111">
        <f t="shared" si="488"/>
        <v>0</v>
      </c>
      <c r="AG648" s="111">
        <f t="shared" si="488"/>
        <v>0</v>
      </c>
      <c r="AH648" s="111">
        <f t="shared" si="488"/>
        <v>0</v>
      </c>
    </row>
    <row r="649">
      <c r="A649" s="104" t="s">
        <v>292</v>
      </c>
    </row>
    <row r="651" hidden="1">
      <c r="A651" s="105"/>
      <c r="F651" s="106" t="s">
        <v>251</v>
      </c>
      <c r="L651" s="107" t="s">
        <v>252</v>
      </c>
      <c r="N651" s="108" t="s">
        <v>253</v>
      </c>
    </row>
    <row r="652" hidden="1">
      <c r="A652" s="76" t="s">
        <v>148</v>
      </c>
      <c r="B652" s="76" t="s">
        <v>149</v>
      </c>
      <c r="C652" s="76" t="s">
        <v>150</v>
      </c>
      <c r="D652" s="76" t="s">
        <v>13</v>
      </c>
      <c r="E652" s="77" t="s">
        <v>151</v>
      </c>
      <c r="F652" s="78" t="s">
        <v>15</v>
      </c>
      <c r="G652" s="78" t="s">
        <v>152</v>
      </c>
      <c r="H652" s="78" t="s">
        <v>153</v>
      </c>
      <c r="I652" s="78" t="s">
        <v>154</v>
      </c>
      <c r="J652" s="78" t="s">
        <v>155</v>
      </c>
      <c r="K652" s="79" t="s">
        <v>156</v>
      </c>
      <c r="L652" s="80" t="s">
        <v>157</v>
      </c>
      <c r="M652" s="80" t="s">
        <v>158</v>
      </c>
      <c r="N652" s="81" t="s">
        <v>254</v>
      </c>
      <c r="O652" s="81" t="s">
        <v>151</v>
      </c>
      <c r="P652" s="81" t="s">
        <v>160</v>
      </c>
      <c r="Q652" s="81" t="s">
        <v>161</v>
      </c>
      <c r="R652" s="81" t="s">
        <v>162</v>
      </c>
      <c r="S652" s="81" t="s">
        <v>163</v>
      </c>
      <c r="T652" s="81" t="s">
        <v>164</v>
      </c>
      <c r="U652" s="81" t="s">
        <v>165</v>
      </c>
      <c r="V652" s="81" t="s">
        <v>166</v>
      </c>
      <c r="W652" s="81" t="s">
        <v>167</v>
      </c>
      <c r="X652" s="81" t="s">
        <v>168</v>
      </c>
      <c r="Y652" s="81" t="s">
        <v>169</v>
      </c>
      <c r="Z652" s="81" t="s">
        <v>170</v>
      </c>
      <c r="AA652" s="81" t="s">
        <v>171</v>
      </c>
      <c r="AB652" s="81" t="s">
        <v>172</v>
      </c>
      <c r="AC652" s="81" t="s">
        <v>173</v>
      </c>
      <c r="AD652" s="81" t="s">
        <v>174</v>
      </c>
      <c r="AE652" s="81" t="s">
        <v>175</v>
      </c>
      <c r="AF652" s="81" t="s">
        <v>176</v>
      </c>
      <c r="AG652" s="81" t="s">
        <v>177</v>
      </c>
      <c r="AH652" s="81" t="s">
        <v>178</v>
      </c>
    </row>
    <row r="653" hidden="1">
      <c r="A653" s="83" t="s">
        <v>47</v>
      </c>
      <c r="B653" s="84" t="s">
        <v>237</v>
      </c>
      <c r="C653" s="85">
        <v>1.0</v>
      </c>
      <c r="D653" s="85">
        <v>1.0</v>
      </c>
      <c r="E653" s="86">
        <v>15.0</v>
      </c>
      <c r="F653" s="94">
        <v>0.0</v>
      </c>
      <c r="G653" s="85">
        <v>83.0</v>
      </c>
      <c r="H653" s="94">
        <v>0.0</v>
      </c>
      <c r="I653" s="85">
        <v>57.0</v>
      </c>
      <c r="J653" s="95">
        <f t="shared" ref="J653:J666" si="489">SUM(G653-I653)</f>
        <v>26</v>
      </c>
      <c r="K653" s="87">
        <f t="shared" ref="K653:K666" si="490">SUM(G653/I653)</f>
        <v>1.456140351</v>
      </c>
      <c r="L653" s="85">
        <v>13.0</v>
      </c>
      <c r="M653" s="85">
        <v>119.0</v>
      </c>
      <c r="N653" s="85">
        <v>1.0</v>
      </c>
      <c r="O653" s="110">
        <f t="shared" ref="O653:O658" si="491">(E653*N653)</f>
        <v>15</v>
      </c>
      <c r="P653" s="85">
        <v>2.0</v>
      </c>
      <c r="Q653" s="85">
        <v>1.0</v>
      </c>
      <c r="R653" s="85">
        <v>11.0</v>
      </c>
      <c r="S653" s="85">
        <v>1.0</v>
      </c>
      <c r="T653" s="85">
        <v>12.0</v>
      </c>
      <c r="U653" s="85">
        <v>5.0</v>
      </c>
      <c r="V653" s="85">
        <v>3.0</v>
      </c>
      <c r="W653" s="85">
        <v>2.0</v>
      </c>
      <c r="X653" s="94">
        <v>0.0</v>
      </c>
      <c r="Y653" s="94">
        <v>0.0</v>
      </c>
      <c r="Z653" s="94">
        <v>0.0</v>
      </c>
      <c r="AA653" s="94">
        <v>0.0</v>
      </c>
      <c r="AB653" s="94">
        <v>0.0</v>
      </c>
      <c r="AC653" s="85">
        <v>3.0</v>
      </c>
      <c r="AD653" s="94">
        <v>0.0</v>
      </c>
      <c r="AE653" s="94">
        <v>0.0</v>
      </c>
      <c r="AF653" s="94">
        <v>0.0</v>
      </c>
      <c r="AG653" s="85">
        <v>1.0</v>
      </c>
      <c r="AH653" s="94">
        <v>0.0</v>
      </c>
    </row>
    <row r="654" hidden="1">
      <c r="A654" s="83" t="s">
        <v>47</v>
      </c>
      <c r="B654" s="84" t="s">
        <v>238</v>
      </c>
      <c r="C654" s="85">
        <v>1.0</v>
      </c>
      <c r="D654" s="85">
        <v>1.0</v>
      </c>
      <c r="E654" s="86">
        <v>15.0</v>
      </c>
      <c r="F654" s="85">
        <v>2.0</v>
      </c>
      <c r="G654" s="85">
        <v>30.0</v>
      </c>
      <c r="H654" s="94">
        <v>0.0</v>
      </c>
      <c r="I654" s="85">
        <v>23.0</v>
      </c>
      <c r="J654" s="95">
        <f t="shared" si="489"/>
        <v>7</v>
      </c>
      <c r="K654" s="87">
        <f t="shared" si="490"/>
        <v>1.304347826</v>
      </c>
      <c r="L654" s="85">
        <v>36.0</v>
      </c>
      <c r="M654" s="85">
        <v>47.0</v>
      </c>
      <c r="N654" s="85">
        <v>1.0</v>
      </c>
      <c r="O654" s="110">
        <f t="shared" si="491"/>
        <v>15</v>
      </c>
      <c r="P654" s="85">
        <v>2.0</v>
      </c>
      <c r="Q654" s="94">
        <v>0.0</v>
      </c>
      <c r="R654" s="85">
        <v>4.0</v>
      </c>
      <c r="S654" s="94">
        <v>0.0</v>
      </c>
      <c r="T654" s="85">
        <v>5.0</v>
      </c>
      <c r="U654" s="85">
        <v>1.0</v>
      </c>
      <c r="V654" s="85">
        <v>1.0</v>
      </c>
      <c r="W654" s="85">
        <v>1.0</v>
      </c>
      <c r="X654" s="94">
        <v>0.0</v>
      </c>
      <c r="Y654" s="94">
        <v>0.0</v>
      </c>
      <c r="Z654" s="94">
        <v>0.0</v>
      </c>
      <c r="AA654" s="94">
        <v>0.0</v>
      </c>
      <c r="AB654" s="94">
        <v>0.0</v>
      </c>
      <c r="AC654" s="85">
        <v>2.0</v>
      </c>
      <c r="AD654" s="94">
        <v>0.0</v>
      </c>
      <c r="AE654" s="94">
        <v>0.0</v>
      </c>
      <c r="AF654" s="94">
        <v>0.0</v>
      </c>
      <c r="AG654" s="94">
        <v>0.0</v>
      </c>
      <c r="AH654" s="94">
        <v>0.0</v>
      </c>
    </row>
    <row r="655" hidden="1">
      <c r="A655" s="83" t="s">
        <v>47</v>
      </c>
      <c r="B655" s="84" t="s">
        <v>239</v>
      </c>
      <c r="C655" s="85">
        <v>1.0</v>
      </c>
      <c r="D655" s="85">
        <v>1.0</v>
      </c>
      <c r="E655" s="86">
        <v>15.0</v>
      </c>
      <c r="F655" s="85">
        <v>2.0</v>
      </c>
      <c r="G655" s="85">
        <v>51.0</v>
      </c>
      <c r="H655" s="94">
        <v>0.0</v>
      </c>
      <c r="I655" s="85">
        <v>58.0</v>
      </c>
      <c r="J655" s="95">
        <f t="shared" si="489"/>
        <v>-7</v>
      </c>
      <c r="K655" s="87">
        <f t="shared" si="490"/>
        <v>0.8793103448</v>
      </c>
      <c r="L655" s="85">
        <v>13.0</v>
      </c>
      <c r="M655" s="85">
        <v>67.0</v>
      </c>
      <c r="N655" s="85">
        <v>1.0</v>
      </c>
      <c r="O655" s="110">
        <f t="shared" si="491"/>
        <v>15</v>
      </c>
      <c r="P655" s="85">
        <v>5.0</v>
      </c>
      <c r="Q655" s="85">
        <v>1.0</v>
      </c>
      <c r="R655" s="85">
        <v>6.0</v>
      </c>
      <c r="S655" s="94">
        <v>0.0</v>
      </c>
      <c r="T655" s="85">
        <v>5.0</v>
      </c>
      <c r="U655" s="85">
        <v>1.0</v>
      </c>
      <c r="V655" s="94">
        <v>0.0</v>
      </c>
      <c r="W655" s="94">
        <v>0.0</v>
      </c>
      <c r="X655" s="94">
        <v>0.0</v>
      </c>
      <c r="Y655" s="94">
        <v>0.0</v>
      </c>
      <c r="Z655" s="94">
        <v>0.0</v>
      </c>
      <c r="AA655" s="94">
        <v>0.0</v>
      </c>
      <c r="AB655" s="94">
        <v>0.0</v>
      </c>
      <c r="AC655" s="85">
        <v>1.0</v>
      </c>
      <c r="AD655" s="94">
        <v>0.0</v>
      </c>
      <c r="AE655" s="94">
        <v>0.0</v>
      </c>
      <c r="AF655" s="94">
        <v>0.0</v>
      </c>
      <c r="AG655" s="94">
        <v>0.0</v>
      </c>
      <c r="AH655" s="94">
        <v>0.0</v>
      </c>
    </row>
    <row r="656" hidden="1">
      <c r="A656" s="83" t="s">
        <v>47</v>
      </c>
      <c r="B656" s="84" t="s">
        <v>240</v>
      </c>
      <c r="C656" s="85">
        <v>1.0</v>
      </c>
      <c r="D656" s="85">
        <v>1.0</v>
      </c>
      <c r="E656" s="86">
        <v>15.0</v>
      </c>
      <c r="F656" s="85">
        <v>1.0</v>
      </c>
      <c r="G656" s="85">
        <v>43.0</v>
      </c>
      <c r="H656" s="94">
        <v>0.0</v>
      </c>
      <c r="I656" s="85">
        <v>51.0</v>
      </c>
      <c r="J656" s="95">
        <f t="shared" si="489"/>
        <v>-8</v>
      </c>
      <c r="K656" s="87">
        <f t="shared" si="490"/>
        <v>0.8431372549</v>
      </c>
      <c r="L656" s="85">
        <v>15.0</v>
      </c>
      <c r="M656" s="85">
        <v>62.0</v>
      </c>
      <c r="N656" s="85">
        <v>1.0</v>
      </c>
      <c r="O656" s="110">
        <f t="shared" si="491"/>
        <v>15</v>
      </c>
      <c r="P656" s="85">
        <v>3.0</v>
      </c>
      <c r="Q656" s="85">
        <v>1.0</v>
      </c>
      <c r="R656" s="85">
        <v>3.0</v>
      </c>
      <c r="S656" s="85">
        <v>1.0</v>
      </c>
      <c r="T656" s="85">
        <v>9.0</v>
      </c>
      <c r="U656" s="85">
        <v>3.0</v>
      </c>
      <c r="V656" s="94">
        <v>0.0</v>
      </c>
      <c r="W656" s="94">
        <v>0.0</v>
      </c>
      <c r="X656" s="94">
        <v>0.0</v>
      </c>
      <c r="Y656" s="94">
        <v>0.0</v>
      </c>
      <c r="Z656" s="94">
        <v>0.0</v>
      </c>
      <c r="AA656" s="94">
        <v>0.0</v>
      </c>
      <c r="AB656" s="94">
        <v>0.0</v>
      </c>
      <c r="AC656" s="94">
        <v>0.0</v>
      </c>
      <c r="AD656" s="94">
        <v>0.0</v>
      </c>
      <c r="AE656" s="94">
        <v>0.0</v>
      </c>
      <c r="AF656" s="94">
        <v>0.0</v>
      </c>
      <c r="AG656" s="94">
        <v>0.0</v>
      </c>
      <c r="AH656" s="94">
        <v>0.0</v>
      </c>
    </row>
    <row r="657" hidden="1">
      <c r="A657" s="83" t="s">
        <v>47</v>
      </c>
      <c r="B657" s="84" t="s">
        <v>241</v>
      </c>
      <c r="C657" s="94">
        <v>0.0</v>
      </c>
      <c r="D657" s="94">
        <v>0.0</v>
      </c>
      <c r="E657" s="96">
        <f t="shared" ref="E657:E658" si="492">SUM(L657*I657)/60</f>
        <v>0</v>
      </c>
      <c r="F657" s="94">
        <v>0.0</v>
      </c>
      <c r="G657" s="94">
        <v>0.0</v>
      </c>
      <c r="H657" s="94">
        <v>0.0</v>
      </c>
      <c r="I657" s="94">
        <v>0.0</v>
      </c>
      <c r="J657" s="95">
        <f t="shared" si="489"/>
        <v>0</v>
      </c>
      <c r="K657" s="87" t="str">
        <f t="shared" si="490"/>
        <v>#DIV/0!</v>
      </c>
      <c r="L657" s="94">
        <v>0.0</v>
      </c>
      <c r="M657" s="94">
        <v>0.0</v>
      </c>
      <c r="N657" s="85">
        <v>0.0</v>
      </c>
      <c r="O657" s="110">
        <f t="shared" si="491"/>
        <v>0</v>
      </c>
      <c r="P657" s="94">
        <v>0.0</v>
      </c>
      <c r="Q657" s="94">
        <v>0.0</v>
      </c>
      <c r="R657" s="94">
        <v>0.0</v>
      </c>
      <c r="S657" s="94">
        <v>0.0</v>
      </c>
      <c r="T657" s="94">
        <v>0.0</v>
      </c>
      <c r="U657" s="94">
        <v>0.0</v>
      </c>
      <c r="V657" s="94">
        <v>0.0</v>
      </c>
      <c r="W657" s="94">
        <v>0.0</v>
      </c>
      <c r="X657" s="94">
        <v>0.0</v>
      </c>
      <c r="Y657" s="94">
        <v>0.0</v>
      </c>
      <c r="Z657" s="94">
        <v>0.0</v>
      </c>
      <c r="AA657" s="94">
        <v>0.0</v>
      </c>
      <c r="AB657" s="94">
        <v>0.0</v>
      </c>
      <c r="AC657" s="94">
        <v>0.0</v>
      </c>
      <c r="AD657" s="94">
        <v>0.0</v>
      </c>
      <c r="AE657" s="94">
        <v>0.0</v>
      </c>
      <c r="AF657" s="94">
        <v>0.0</v>
      </c>
      <c r="AG657" s="94">
        <v>0.0</v>
      </c>
      <c r="AH657" s="94">
        <v>0.0</v>
      </c>
    </row>
    <row r="658" hidden="1">
      <c r="A658" s="83" t="s">
        <v>47</v>
      </c>
      <c r="B658" s="114"/>
      <c r="C658" s="94">
        <v>0.0</v>
      </c>
      <c r="D658" s="94">
        <v>0.0</v>
      </c>
      <c r="E658" s="96">
        <f t="shared" si="492"/>
        <v>0</v>
      </c>
      <c r="F658" s="94">
        <v>0.0</v>
      </c>
      <c r="G658" s="94">
        <v>0.0</v>
      </c>
      <c r="H658" s="94">
        <v>0.0</v>
      </c>
      <c r="I658" s="94">
        <v>0.0</v>
      </c>
      <c r="J658" s="95">
        <f t="shared" si="489"/>
        <v>0</v>
      </c>
      <c r="K658" s="87" t="str">
        <f t="shared" si="490"/>
        <v>#DIV/0!</v>
      </c>
      <c r="L658" s="94">
        <v>0.0</v>
      </c>
      <c r="M658" s="94">
        <v>0.0</v>
      </c>
      <c r="N658" s="85">
        <v>0.0</v>
      </c>
      <c r="O658" s="110">
        <f t="shared" si="491"/>
        <v>0</v>
      </c>
      <c r="P658" s="94">
        <v>0.0</v>
      </c>
      <c r="Q658" s="94">
        <v>0.0</v>
      </c>
      <c r="R658" s="94">
        <v>0.0</v>
      </c>
      <c r="S658" s="94">
        <v>0.0</v>
      </c>
      <c r="T658" s="94">
        <v>0.0</v>
      </c>
      <c r="U658" s="94">
        <v>0.0</v>
      </c>
      <c r="V658" s="94">
        <v>0.0</v>
      </c>
      <c r="W658" s="94">
        <v>0.0</v>
      </c>
      <c r="X658" s="94">
        <v>0.0</v>
      </c>
      <c r="Y658" s="94">
        <v>0.0</v>
      </c>
      <c r="Z658" s="94">
        <v>0.0</v>
      </c>
      <c r="AA658" s="94">
        <v>0.0</v>
      </c>
      <c r="AB658" s="94">
        <v>0.0</v>
      </c>
      <c r="AC658" s="94">
        <v>0.0</v>
      </c>
      <c r="AD658" s="94">
        <v>0.0</v>
      </c>
      <c r="AE658" s="94">
        <v>0.0</v>
      </c>
      <c r="AF658" s="94">
        <v>0.0</v>
      </c>
      <c r="AG658" s="94">
        <v>0.0</v>
      </c>
      <c r="AH658" s="94">
        <v>0.0</v>
      </c>
    </row>
    <row r="659" hidden="1">
      <c r="A659" s="89"/>
      <c r="B659" s="111"/>
      <c r="C659" s="111">
        <f t="shared" ref="C659:D659" si="493">SUM(C653:C658)/4</f>
        <v>1</v>
      </c>
      <c r="D659" s="111">
        <f t="shared" si="493"/>
        <v>1</v>
      </c>
      <c r="E659" s="91">
        <f t="shared" ref="E659:G659" si="494">SUM(E653:E658)</f>
        <v>60</v>
      </c>
      <c r="F659" s="111">
        <f t="shared" si="494"/>
        <v>5</v>
      </c>
      <c r="G659" s="111">
        <f t="shared" si="494"/>
        <v>207</v>
      </c>
      <c r="H659" s="111"/>
      <c r="I659" s="111">
        <f>SUM(I653:I658)</f>
        <v>189</v>
      </c>
      <c r="J659" s="111">
        <f t="shared" si="489"/>
        <v>18</v>
      </c>
      <c r="K659" s="92">
        <f t="shared" si="490"/>
        <v>1.095238095</v>
      </c>
      <c r="L659" s="111">
        <f t="shared" ref="L659:M659" si="495">SUM(L653:L658)</f>
        <v>77</v>
      </c>
      <c r="M659" s="111">
        <f t="shared" si="495"/>
        <v>295</v>
      </c>
      <c r="N659" s="111"/>
      <c r="O659" s="112"/>
      <c r="P659" s="111">
        <f t="shared" ref="P659:AH659" si="496">SUM(P653:P658)</f>
        <v>12</v>
      </c>
      <c r="Q659" s="111">
        <f t="shared" si="496"/>
        <v>3</v>
      </c>
      <c r="R659" s="111">
        <f t="shared" si="496"/>
        <v>24</v>
      </c>
      <c r="S659" s="111">
        <f t="shared" si="496"/>
        <v>2</v>
      </c>
      <c r="T659" s="111">
        <f t="shared" si="496"/>
        <v>31</v>
      </c>
      <c r="U659" s="111">
        <f t="shared" si="496"/>
        <v>10</v>
      </c>
      <c r="V659" s="111">
        <f t="shared" si="496"/>
        <v>4</v>
      </c>
      <c r="W659" s="111">
        <f t="shared" si="496"/>
        <v>3</v>
      </c>
      <c r="X659" s="111">
        <f t="shared" si="496"/>
        <v>0</v>
      </c>
      <c r="Y659" s="111">
        <f t="shared" si="496"/>
        <v>0</v>
      </c>
      <c r="Z659" s="111">
        <f t="shared" si="496"/>
        <v>0</v>
      </c>
      <c r="AA659" s="111">
        <f t="shared" si="496"/>
        <v>0</v>
      </c>
      <c r="AB659" s="111">
        <f t="shared" si="496"/>
        <v>0</v>
      </c>
      <c r="AC659" s="111">
        <f t="shared" si="496"/>
        <v>6</v>
      </c>
      <c r="AD659" s="111">
        <f t="shared" si="496"/>
        <v>0</v>
      </c>
      <c r="AE659" s="111">
        <f t="shared" si="496"/>
        <v>0</v>
      </c>
      <c r="AF659" s="111">
        <f t="shared" si="496"/>
        <v>0</v>
      </c>
      <c r="AG659" s="111">
        <f t="shared" si="496"/>
        <v>1</v>
      </c>
      <c r="AH659" s="111">
        <f t="shared" si="496"/>
        <v>0</v>
      </c>
    </row>
    <row r="660" hidden="1">
      <c r="A660" s="83" t="s">
        <v>56</v>
      </c>
      <c r="B660" s="84" t="s">
        <v>203</v>
      </c>
      <c r="C660" s="85">
        <v>1.0</v>
      </c>
      <c r="D660" s="94">
        <v>0.0</v>
      </c>
      <c r="E660" s="86">
        <v>15.0</v>
      </c>
      <c r="F660" s="94">
        <v>0.0</v>
      </c>
      <c r="G660" s="85">
        <v>57.0</v>
      </c>
      <c r="H660" s="94">
        <v>0.0</v>
      </c>
      <c r="I660" s="85">
        <v>49.0</v>
      </c>
      <c r="J660" s="95">
        <f t="shared" si="489"/>
        <v>8</v>
      </c>
      <c r="K660" s="87">
        <f t="shared" si="490"/>
        <v>1.163265306</v>
      </c>
      <c r="L660" s="85">
        <v>15.0</v>
      </c>
      <c r="M660" s="85">
        <v>76.0</v>
      </c>
      <c r="N660" s="85">
        <v>1.0</v>
      </c>
      <c r="O660" s="110">
        <f t="shared" ref="O660:O665" si="497">(E660*N660)</f>
        <v>15</v>
      </c>
      <c r="P660" s="85">
        <v>5.0</v>
      </c>
      <c r="Q660" s="85">
        <v>3.0</v>
      </c>
      <c r="R660" s="85">
        <v>1.0</v>
      </c>
      <c r="S660" s="85">
        <v>3.0</v>
      </c>
      <c r="T660" s="85">
        <v>7.0</v>
      </c>
      <c r="U660" s="85">
        <v>2.0</v>
      </c>
      <c r="V660" s="85">
        <v>1.0</v>
      </c>
      <c r="W660" s="85">
        <v>1.0</v>
      </c>
      <c r="X660" s="94">
        <v>0.0</v>
      </c>
      <c r="Y660" s="94">
        <v>0.0</v>
      </c>
      <c r="Z660" s="94">
        <v>0.0</v>
      </c>
      <c r="AA660" s="94">
        <v>0.0</v>
      </c>
      <c r="AB660" s="94">
        <v>0.0</v>
      </c>
      <c r="AC660" s="85">
        <v>1.0</v>
      </c>
      <c r="AD660" s="94">
        <v>0.0</v>
      </c>
      <c r="AE660" s="94">
        <v>0.0</v>
      </c>
      <c r="AF660" s="94">
        <v>0.0</v>
      </c>
      <c r="AG660" s="94">
        <v>0.0</v>
      </c>
      <c r="AH660" s="94">
        <v>0.0</v>
      </c>
    </row>
    <row r="661" hidden="1">
      <c r="A661" s="83" t="s">
        <v>56</v>
      </c>
      <c r="B661" s="84" t="s">
        <v>204</v>
      </c>
      <c r="C661" s="85">
        <v>1.0</v>
      </c>
      <c r="D661" s="94">
        <v>0.0</v>
      </c>
      <c r="E661" s="86">
        <v>15.0</v>
      </c>
      <c r="F661" s="94">
        <v>0.0</v>
      </c>
      <c r="G661" s="85">
        <v>49.0</v>
      </c>
      <c r="H661" s="85">
        <v>1.0</v>
      </c>
      <c r="I661" s="85">
        <v>59.0</v>
      </c>
      <c r="J661" s="95">
        <f t="shared" si="489"/>
        <v>-10</v>
      </c>
      <c r="K661" s="87">
        <f t="shared" si="490"/>
        <v>0.8305084746</v>
      </c>
      <c r="L661" s="85">
        <v>12.0</v>
      </c>
      <c r="M661" s="85">
        <v>54.0</v>
      </c>
      <c r="N661" s="85">
        <v>1.0</v>
      </c>
      <c r="O661" s="110">
        <f t="shared" si="497"/>
        <v>15</v>
      </c>
      <c r="P661" s="85">
        <v>2.0</v>
      </c>
      <c r="Q661" s="85">
        <v>1.0</v>
      </c>
      <c r="R661" s="94">
        <v>0.0</v>
      </c>
      <c r="S661" s="94">
        <v>0.0</v>
      </c>
      <c r="T661" s="85">
        <v>5.0</v>
      </c>
      <c r="U661" s="94">
        <v>0.0</v>
      </c>
      <c r="V661" s="94">
        <v>0.0</v>
      </c>
      <c r="W661" s="94">
        <v>0.0</v>
      </c>
      <c r="X661" s="94">
        <v>0.0</v>
      </c>
      <c r="Y661" s="94">
        <v>0.0</v>
      </c>
      <c r="Z661" s="94">
        <v>0.0</v>
      </c>
      <c r="AA661" s="94">
        <v>0.0</v>
      </c>
      <c r="AB661" s="94">
        <v>0.0</v>
      </c>
      <c r="AC661" s="94">
        <v>0.0</v>
      </c>
      <c r="AD661" s="94">
        <v>0.0</v>
      </c>
      <c r="AE661" s="94">
        <v>0.0</v>
      </c>
      <c r="AF661" s="94">
        <v>0.0</v>
      </c>
      <c r="AG661" s="94">
        <v>0.0</v>
      </c>
      <c r="AH661" s="94">
        <v>0.0</v>
      </c>
    </row>
    <row r="662" hidden="1">
      <c r="A662" s="83" t="s">
        <v>56</v>
      </c>
      <c r="B662" s="84" t="s">
        <v>205</v>
      </c>
      <c r="C662" s="85">
        <v>1.0</v>
      </c>
      <c r="D662" s="94">
        <v>0.0</v>
      </c>
      <c r="E662" s="86">
        <v>15.0</v>
      </c>
      <c r="F662" s="94">
        <v>0.0</v>
      </c>
      <c r="G662" s="85">
        <v>45.0</v>
      </c>
      <c r="H662" s="94">
        <v>0.0</v>
      </c>
      <c r="I662" s="85">
        <v>52.0</v>
      </c>
      <c r="J662" s="95">
        <f t="shared" si="489"/>
        <v>-7</v>
      </c>
      <c r="K662" s="87">
        <f t="shared" si="490"/>
        <v>0.8653846154</v>
      </c>
      <c r="L662" s="85">
        <v>14.0</v>
      </c>
      <c r="M662" s="85">
        <v>59.0</v>
      </c>
      <c r="N662" s="85">
        <v>1.0</v>
      </c>
      <c r="O662" s="110">
        <f t="shared" si="497"/>
        <v>15</v>
      </c>
      <c r="P662" s="85">
        <v>3.0</v>
      </c>
      <c r="Q662" s="94">
        <v>0.0</v>
      </c>
      <c r="R662" s="85">
        <v>3.0</v>
      </c>
      <c r="S662" s="85">
        <v>1.0</v>
      </c>
      <c r="T662" s="85">
        <v>6.0</v>
      </c>
      <c r="U662" s="94">
        <v>0.0</v>
      </c>
      <c r="V662" s="94">
        <v>0.0</v>
      </c>
      <c r="W662" s="94">
        <v>0.0</v>
      </c>
      <c r="X662" s="94">
        <v>0.0</v>
      </c>
      <c r="Y662" s="94">
        <v>0.0</v>
      </c>
      <c r="Z662" s="94">
        <v>0.0</v>
      </c>
      <c r="AA662" s="94">
        <v>0.0</v>
      </c>
      <c r="AB662" s="94">
        <v>0.0</v>
      </c>
      <c r="AC662" s="85">
        <v>1.0</v>
      </c>
      <c r="AD662" s="94">
        <v>0.0</v>
      </c>
      <c r="AE662" s="94">
        <v>0.0</v>
      </c>
      <c r="AF662" s="94">
        <v>0.0</v>
      </c>
      <c r="AG662" s="94">
        <v>0.0</v>
      </c>
      <c r="AH662" s="94">
        <v>0.0</v>
      </c>
    </row>
    <row r="663" hidden="1">
      <c r="A663" s="83" t="s">
        <v>56</v>
      </c>
      <c r="B663" s="84" t="s">
        <v>206</v>
      </c>
      <c r="C663" s="85">
        <v>1.0</v>
      </c>
      <c r="D663" s="94">
        <v>0.0</v>
      </c>
      <c r="E663" s="86">
        <v>15.0</v>
      </c>
      <c r="F663" s="94">
        <v>0.0</v>
      </c>
      <c r="G663" s="85">
        <v>37.0</v>
      </c>
      <c r="H663" s="94">
        <v>0.0</v>
      </c>
      <c r="I663" s="85">
        <v>59.0</v>
      </c>
      <c r="J663" s="95">
        <f t="shared" si="489"/>
        <v>-22</v>
      </c>
      <c r="K663" s="87">
        <f t="shared" si="490"/>
        <v>0.6271186441</v>
      </c>
      <c r="L663" s="85">
        <v>12.0</v>
      </c>
      <c r="M663" s="85">
        <v>42.0</v>
      </c>
      <c r="N663" s="85">
        <v>1.0</v>
      </c>
      <c r="O663" s="110">
        <f t="shared" si="497"/>
        <v>15</v>
      </c>
      <c r="P663" s="85">
        <v>2.0</v>
      </c>
      <c r="Q663" s="94">
        <v>0.0</v>
      </c>
      <c r="R663" s="85">
        <v>2.0</v>
      </c>
      <c r="S663" s="85">
        <v>1.0</v>
      </c>
      <c r="T663" s="85">
        <v>2.0</v>
      </c>
      <c r="U663" s="94">
        <v>0.0</v>
      </c>
      <c r="V663" s="94">
        <v>0.0</v>
      </c>
      <c r="W663" s="94">
        <v>0.0</v>
      </c>
      <c r="X663" s="94">
        <v>0.0</v>
      </c>
      <c r="Y663" s="94">
        <v>0.0</v>
      </c>
      <c r="Z663" s="94">
        <v>0.0</v>
      </c>
      <c r="AA663" s="94">
        <v>0.0</v>
      </c>
      <c r="AB663" s="94">
        <v>0.0</v>
      </c>
      <c r="AC663" s="94">
        <v>0.0</v>
      </c>
      <c r="AD663" s="94">
        <v>0.0</v>
      </c>
      <c r="AE663" s="94">
        <v>0.0</v>
      </c>
      <c r="AF663" s="94">
        <v>0.0</v>
      </c>
      <c r="AG663" s="94">
        <v>0.0</v>
      </c>
      <c r="AH663" s="94">
        <v>0.0</v>
      </c>
    </row>
    <row r="664" hidden="1">
      <c r="A664" s="83" t="s">
        <v>56</v>
      </c>
      <c r="B664" s="84" t="s">
        <v>207</v>
      </c>
      <c r="C664" s="94">
        <v>0.0</v>
      </c>
      <c r="D664" s="94">
        <v>0.0</v>
      </c>
      <c r="E664" s="96">
        <f t="shared" ref="E664:E665" si="498">SUM(L664*I664)/60</f>
        <v>0</v>
      </c>
      <c r="F664" s="94">
        <v>0.0</v>
      </c>
      <c r="G664" s="94">
        <v>0.0</v>
      </c>
      <c r="H664" s="94">
        <v>0.0</v>
      </c>
      <c r="I664" s="94">
        <v>0.0</v>
      </c>
      <c r="J664" s="95">
        <f t="shared" si="489"/>
        <v>0</v>
      </c>
      <c r="K664" s="87" t="str">
        <f t="shared" si="490"/>
        <v>#DIV/0!</v>
      </c>
      <c r="L664" s="94">
        <v>0.0</v>
      </c>
      <c r="M664" s="94">
        <v>0.0</v>
      </c>
      <c r="N664" s="85">
        <v>0.0</v>
      </c>
      <c r="O664" s="110">
        <f t="shared" si="497"/>
        <v>0</v>
      </c>
      <c r="P664" s="94">
        <v>0.0</v>
      </c>
      <c r="Q664" s="94">
        <v>0.0</v>
      </c>
      <c r="R664" s="94">
        <v>0.0</v>
      </c>
      <c r="S664" s="94">
        <v>0.0</v>
      </c>
      <c r="T664" s="94">
        <v>0.0</v>
      </c>
      <c r="U664" s="94">
        <v>0.0</v>
      </c>
      <c r="V664" s="94">
        <v>0.0</v>
      </c>
      <c r="W664" s="94">
        <v>0.0</v>
      </c>
      <c r="X664" s="94">
        <v>0.0</v>
      </c>
      <c r="Y664" s="94">
        <v>0.0</v>
      </c>
      <c r="Z664" s="94">
        <v>0.0</v>
      </c>
      <c r="AA664" s="94">
        <v>0.0</v>
      </c>
      <c r="AB664" s="94">
        <v>0.0</v>
      </c>
      <c r="AC664" s="94">
        <v>0.0</v>
      </c>
      <c r="AD664" s="94">
        <v>0.0</v>
      </c>
      <c r="AE664" s="94">
        <v>0.0</v>
      </c>
      <c r="AF664" s="94">
        <v>0.0</v>
      </c>
      <c r="AG664" s="94">
        <v>0.0</v>
      </c>
      <c r="AH664" s="94">
        <v>0.0</v>
      </c>
    </row>
    <row r="665" hidden="1">
      <c r="A665" s="83" t="s">
        <v>56</v>
      </c>
      <c r="B665" s="93"/>
      <c r="C665" s="94">
        <v>0.0</v>
      </c>
      <c r="D665" s="94">
        <v>0.0</v>
      </c>
      <c r="E665" s="96">
        <f t="shared" si="498"/>
        <v>0</v>
      </c>
      <c r="F665" s="94">
        <v>0.0</v>
      </c>
      <c r="G665" s="94">
        <v>0.0</v>
      </c>
      <c r="H665" s="94">
        <v>0.0</v>
      </c>
      <c r="I665" s="94">
        <v>0.0</v>
      </c>
      <c r="J665" s="95">
        <f t="shared" si="489"/>
        <v>0</v>
      </c>
      <c r="K665" s="87" t="str">
        <f t="shared" si="490"/>
        <v>#DIV/0!</v>
      </c>
      <c r="L665" s="94">
        <v>0.0</v>
      </c>
      <c r="M665" s="94">
        <v>0.0</v>
      </c>
      <c r="N665" s="85">
        <v>0.0</v>
      </c>
      <c r="O665" s="110">
        <f t="shared" si="497"/>
        <v>0</v>
      </c>
      <c r="P665" s="94">
        <v>0.0</v>
      </c>
      <c r="Q665" s="94">
        <v>0.0</v>
      </c>
      <c r="R665" s="94">
        <v>0.0</v>
      </c>
      <c r="S665" s="94">
        <v>0.0</v>
      </c>
      <c r="T665" s="94">
        <v>0.0</v>
      </c>
      <c r="U665" s="94">
        <v>0.0</v>
      </c>
      <c r="V665" s="94">
        <v>0.0</v>
      </c>
      <c r="W665" s="94">
        <v>0.0</v>
      </c>
      <c r="X665" s="94">
        <v>0.0</v>
      </c>
      <c r="Y665" s="94">
        <v>0.0</v>
      </c>
      <c r="Z665" s="94">
        <v>0.0</v>
      </c>
      <c r="AA665" s="94">
        <v>0.0</v>
      </c>
      <c r="AB665" s="94">
        <v>0.0</v>
      </c>
      <c r="AC665" s="94">
        <v>0.0</v>
      </c>
      <c r="AD665" s="94">
        <v>0.0</v>
      </c>
      <c r="AE665" s="94">
        <v>0.0</v>
      </c>
      <c r="AF665" s="94">
        <v>0.0</v>
      </c>
      <c r="AG665" s="94">
        <v>0.0</v>
      </c>
      <c r="AH665" s="94">
        <v>0.0</v>
      </c>
    </row>
    <row r="666" hidden="1">
      <c r="A666" s="89" t="s">
        <v>185</v>
      </c>
      <c r="B666" s="111"/>
      <c r="C666" s="111">
        <f>SUM(C660:C665)</f>
        <v>4</v>
      </c>
      <c r="D666" s="111">
        <f t="shared" ref="D666:E666" si="499">SUM(D660:D665)/4</f>
        <v>0</v>
      </c>
      <c r="E666" s="91">
        <f t="shared" si="499"/>
        <v>15</v>
      </c>
      <c r="F666" s="111">
        <f t="shared" ref="F666:G666" si="500">SUM(F660:F665)</f>
        <v>0</v>
      </c>
      <c r="G666" s="111">
        <f t="shared" si="500"/>
        <v>188</v>
      </c>
      <c r="H666" s="111"/>
      <c r="I666" s="111">
        <f>SUM(I660:I665)</f>
        <v>219</v>
      </c>
      <c r="J666" s="111">
        <f t="shared" si="489"/>
        <v>-31</v>
      </c>
      <c r="K666" s="92">
        <f t="shared" si="490"/>
        <v>0.8584474886</v>
      </c>
      <c r="L666" s="111">
        <f t="shared" ref="L666:M666" si="501">SUM(L660:L665)</f>
        <v>53</v>
      </c>
      <c r="M666" s="111">
        <f t="shared" si="501"/>
        <v>231</v>
      </c>
      <c r="N666" s="111"/>
      <c r="O666" s="112"/>
      <c r="P666" s="111">
        <f t="shared" ref="P666:AH666" si="502">SUM(P660:P665)</f>
        <v>12</v>
      </c>
      <c r="Q666" s="111">
        <f t="shared" si="502"/>
        <v>4</v>
      </c>
      <c r="R666" s="111">
        <f t="shared" si="502"/>
        <v>6</v>
      </c>
      <c r="S666" s="111">
        <f t="shared" si="502"/>
        <v>5</v>
      </c>
      <c r="T666" s="111">
        <f t="shared" si="502"/>
        <v>20</v>
      </c>
      <c r="U666" s="111">
        <f t="shared" si="502"/>
        <v>2</v>
      </c>
      <c r="V666" s="111">
        <f t="shared" si="502"/>
        <v>1</v>
      </c>
      <c r="W666" s="111">
        <f t="shared" si="502"/>
        <v>1</v>
      </c>
      <c r="X666" s="111">
        <f t="shared" si="502"/>
        <v>0</v>
      </c>
      <c r="Y666" s="111">
        <f t="shared" si="502"/>
        <v>0</v>
      </c>
      <c r="Z666" s="111">
        <f t="shared" si="502"/>
        <v>0</v>
      </c>
      <c r="AA666" s="111">
        <f t="shared" si="502"/>
        <v>0</v>
      </c>
      <c r="AB666" s="111">
        <f t="shared" si="502"/>
        <v>0</v>
      </c>
      <c r="AC666" s="111">
        <f t="shared" si="502"/>
        <v>2</v>
      </c>
      <c r="AD666" s="111">
        <f t="shared" si="502"/>
        <v>0</v>
      </c>
      <c r="AE666" s="111">
        <f t="shared" si="502"/>
        <v>0</v>
      </c>
      <c r="AF666" s="111">
        <f t="shared" si="502"/>
        <v>0</v>
      </c>
      <c r="AG666" s="111">
        <f t="shared" si="502"/>
        <v>0</v>
      </c>
      <c r="AH666" s="111">
        <f t="shared" si="502"/>
        <v>0</v>
      </c>
    </row>
    <row r="667">
      <c r="A667" s="104" t="s">
        <v>293</v>
      </c>
    </row>
    <row r="669" hidden="1">
      <c r="A669" s="105"/>
      <c r="F669" s="106" t="s">
        <v>251</v>
      </c>
      <c r="L669" s="107" t="s">
        <v>252</v>
      </c>
      <c r="N669" s="108" t="s">
        <v>253</v>
      </c>
    </row>
    <row r="670" hidden="1">
      <c r="A670" s="76" t="s">
        <v>148</v>
      </c>
      <c r="B670" s="76" t="s">
        <v>149</v>
      </c>
      <c r="C670" s="76" t="s">
        <v>150</v>
      </c>
      <c r="D670" s="76" t="s">
        <v>13</v>
      </c>
      <c r="E670" s="77" t="s">
        <v>151</v>
      </c>
      <c r="F670" s="78" t="s">
        <v>15</v>
      </c>
      <c r="G670" s="78" t="s">
        <v>152</v>
      </c>
      <c r="H670" s="78" t="s">
        <v>153</v>
      </c>
      <c r="I670" s="78" t="s">
        <v>154</v>
      </c>
      <c r="J670" s="78" t="s">
        <v>155</v>
      </c>
      <c r="K670" s="79" t="s">
        <v>156</v>
      </c>
      <c r="L670" s="80" t="s">
        <v>157</v>
      </c>
      <c r="M670" s="80" t="s">
        <v>158</v>
      </c>
      <c r="N670" s="81" t="s">
        <v>254</v>
      </c>
      <c r="O670" s="81" t="s">
        <v>151</v>
      </c>
      <c r="P670" s="81" t="s">
        <v>160</v>
      </c>
      <c r="Q670" s="81" t="s">
        <v>161</v>
      </c>
      <c r="R670" s="81" t="s">
        <v>162</v>
      </c>
      <c r="S670" s="81" t="s">
        <v>163</v>
      </c>
      <c r="T670" s="81" t="s">
        <v>164</v>
      </c>
      <c r="U670" s="81" t="s">
        <v>165</v>
      </c>
      <c r="V670" s="81" t="s">
        <v>166</v>
      </c>
      <c r="W670" s="81" t="s">
        <v>167</v>
      </c>
      <c r="X670" s="81" t="s">
        <v>168</v>
      </c>
      <c r="Y670" s="81" t="s">
        <v>169</v>
      </c>
      <c r="Z670" s="81" t="s">
        <v>170</v>
      </c>
      <c r="AA670" s="81" t="s">
        <v>171</v>
      </c>
      <c r="AB670" s="81" t="s">
        <v>172</v>
      </c>
      <c r="AC670" s="81" t="s">
        <v>173</v>
      </c>
      <c r="AD670" s="81" t="s">
        <v>174</v>
      </c>
      <c r="AE670" s="81" t="s">
        <v>175</v>
      </c>
      <c r="AF670" s="81" t="s">
        <v>176</v>
      </c>
      <c r="AG670" s="81" t="s">
        <v>177</v>
      </c>
      <c r="AH670" s="81" t="s">
        <v>178</v>
      </c>
    </row>
    <row r="671" hidden="1">
      <c r="A671" s="83" t="s">
        <v>40</v>
      </c>
      <c r="B671" s="84" t="s">
        <v>216</v>
      </c>
      <c r="C671" s="85">
        <v>1.0</v>
      </c>
      <c r="D671" s="85">
        <v>1.0</v>
      </c>
      <c r="E671" s="86">
        <v>39.0</v>
      </c>
      <c r="F671" s="85">
        <v>5.0</v>
      </c>
      <c r="G671" s="85">
        <v>63.0</v>
      </c>
      <c r="H671" s="85">
        <v>1.0</v>
      </c>
      <c r="I671" s="85">
        <v>83.0</v>
      </c>
      <c r="J671" s="95">
        <f t="shared" ref="J671:J684" si="503">SUM(G671-I671)</f>
        <v>-20</v>
      </c>
      <c r="K671" s="87">
        <f t="shared" ref="K671:K684" si="504">SUM(G671/I671)</f>
        <v>0.7590361446</v>
      </c>
      <c r="L671" s="85">
        <v>24.0</v>
      </c>
      <c r="M671" s="85">
        <v>78.0</v>
      </c>
      <c r="N671" s="85">
        <v>1.0</v>
      </c>
      <c r="O671" s="110">
        <f t="shared" ref="O671:O676" si="505">(E671*N671)</f>
        <v>39</v>
      </c>
      <c r="P671" s="85">
        <v>2.0</v>
      </c>
      <c r="Q671" s="85">
        <v>1.0</v>
      </c>
      <c r="R671" s="85">
        <v>3.0</v>
      </c>
      <c r="S671" s="94">
        <v>0.0</v>
      </c>
      <c r="T671" s="85">
        <v>3.0</v>
      </c>
      <c r="U671" s="85">
        <v>1.0</v>
      </c>
      <c r="V671" s="85">
        <v>1.0</v>
      </c>
      <c r="W671" s="94">
        <v>0.0</v>
      </c>
      <c r="X671" s="94">
        <v>0.0</v>
      </c>
      <c r="Y671" s="94">
        <v>0.0</v>
      </c>
      <c r="Z671" s="94">
        <v>0.0</v>
      </c>
      <c r="AA671" s="94">
        <v>0.0</v>
      </c>
      <c r="AB671" s="94">
        <v>0.0</v>
      </c>
      <c r="AC671" s="85">
        <v>1.0</v>
      </c>
      <c r="AD671" s="94">
        <v>0.0</v>
      </c>
      <c r="AE671" s="94">
        <v>0.0</v>
      </c>
      <c r="AF671" s="94">
        <v>0.0</v>
      </c>
      <c r="AG671" s="94">
        <v>0.0</v>
      </c>
      <c r="AH671" s="94">
        <v>0.0</v>
      </c>
    </row>
    <row r="672" hidden="1">
      <c r="A672" s="83" t="s">
        <v>40</v>
      </c>
      <c r="B672" s="84" t="s">
        <v>217</v>
      </c>
      <c r="C672" s="85">
        <v>1.0</v>
      </c>
      <c r="D672" s="85">
        <v>1.0</v>
      </c>
      <c r="E672" s="86">
        <v>39.0</v>
      </c>
      <c r="F672" s="94">
        <v>0.0</v>
      </c>
      <c r="G672" s="85">
        <v>136.0</v>
      </c>
      <c r="H672" s="94">
        <v>0.0</v>
      </c>
      <c r="I672" s="85">
        <v>114.0</v>
      </c>
      <c r="J672" s="95">
        <f t="shared" si="503"/>
        <v>22</v>
      </c>
      <c r="K672" s="87">
        <f t="shared" si="504"/>
        <v>1.192982456</v>
      </c>
      <c r="L672" s="85">
        <v>17.0</v>
      </c>
      <c r="M672" s="85">
        <v>176.0</v>
      </c>
      <c r="N672" s="85">
        <v>1.0</v>
      </c>
      <c r="O672" s="110">
        <f t="shared" si="505"/>
        <v>39</v>
      </c>
      <c r="P672" s="85">
        <v>8.0</v>
      </c>
      <c r="Q672" s="85">
        <v>1.0</v>
      </c>
      <c r="R672" s="85">
        <v>12.0</v>
      </c>
      <c r="S672" s="85">
        <v>4.0</v>
      </c>
      <c r="T672" s="85">
        <v>15.0</v>
      </c>
      <c r="U672" s="85">
        <v>4.0</v>
      </c>
      <c r="V672" s="85">
        <v>1.0</v>
      </c>
      <c r="W672" s="94">
        <v>0.0</v>
      </c>
      <c r="X672" s="94">
        <v>0.0</v>
      </c>
      <c r="Y672" s="94">
        <v>0.0</v>
      </c>
      <c r="Z672" s="94">
        <v>0.0</v>
      </c>
      <c r="AA672" s="94">
        <v>0.0</v>
      </c>
      <c r="AB672" s="94">
        <v>0.0</v>
      </c>
      <c r="AC672" s="85">
        <v>5.0</v>
      </c>
      <c r="AD672" s="94">
        <v>0.0</v>
      </c>
      <c r="AE672" s="94">
        <v>0.0</v>
      </c>
      <c r="AF672" s="94">
        <v>0.0</v>
      </c>
      <c r="AG672" s="94">
        <v>0.0</v>
      </c>
      <c r="AH672" s="94">
        <v>0.0</v>
      </c>
    </row>
    <row r="673" hidden="1">
      <c r="A673" s="83" t="s">
        <v>40</v>
      </c>
      <c r="B673" s="84" t="s">
        <v>218</v>
      </c>
      <c r="C673" s="85">
        <v>1.0</v>
      </c>
      <c r="D673" s="85">
        <v>1.0</v>
      </c>
      <c r="E673" s="86">
        <v>39.0</v>
      </c>
      <c r="F673" s="94">
        <v>0.0</v>
      </c>
      <c r="G673" s="85">
        <v>87.0</v>
      </c>
      <c r="H673" s="94">
        <v>0.0</v>
      </c>
      <c r="I673" s="85">
        <v>95.0</v>
      </c>
      <c r="J673" s="95">
        <f t="shared" si="503"/>
        <v>-8</v>
      </c>
      <c r="K673" s="87">
        <f t="shared" si="504"/>
        <v>0.9157894737</v>
      </c>
      <c r="L673" s="85">
        <v>20.0</v>
      </c>
      <c r="M673" s="85">
        <v>101.0</v>
      </c>
      <c r="N673" s="85">
        <v>1.0</v>
      </c>
      <c r="O673" s="110">
        <f t="shared" si="505"/>
        <v>39</v>
      </c>
      <c r="P673" s="85">
        <v>4.0</v>
      </c>
      <c r="Q673" s="85">
        <v>1.0</v>
      </c>
      <c r="R673" s="85">
        <v>8.0</v>
      </c>
      <c r="S673" s="85">
        <v>2.0</v>
      </c>
      <c r="T673" s="85">
        <v>8.0</v>
      </c>
      <c r="U673" s="85">
        <v>1.0</v>
      </c>
      <c r="V673" s="94">
        <v>0.0</v>
      </c>
      <c r="W673" s="94">
        <v>0.0</v>
      </c>
      <c r="X673" s="94">
        <v>0.0</v>
      </c>
      <c r="Y673" s="94">
        <v>0.0</v>
      </c>
      <c r="Z673" s="94">
        <v>0.0</v>
      </c>
      <c r="AA673" s="94">
        <v>0.0</v>
      </c>
      <c r="AB673" s="94">
        <v>0.0</v>
      </c>
      <c r="AC673" s="85">
        <v>1.0</v>
      </c>
      <c r="AD673" s="94">
        <v>0.0</v>
      </c>
      <c r="AE673" s="94">
        <v>0.0</v>
      </c>
      <c r="AF673" s="94">
        <v>0.0</v>
      </c>
      <c r="AG673" s="94">
        <v>0.0</v>
      </c>
      <c r="AH673" s="94">
        <v>0.0</v>
      </c>
    </row>
    <row r="674" hidden="1">
      <c r="A674" s="83" t="s">
        <v>40</v>
      </c>
      <c r="B674" s="84" t="s">
        <v>219</v>
      </c>
      <c r="C674" s="94">
        <v>0.0</v>
      </c>
      <c r="D674" s="94">
        <v>0.0</v>
      </c>
      <c r="E674" s="96">
        <f t="shared" ref="E674:E675" si="506">SUM(L674*I674)/60</f>
        <v>0</v>
      </c>
      <c r="F674" s="94">
        <v>0.0</v>
      </c>
      <c r="G674" s="94">
        <v>0.0</v>
      </c>
      <c r="H674" s="94">
        <v>0.0</v>
      </c>
      <c r="I674" s="94">
        <v>0.0</v>
      </c>
      <c r="J674" s="95">
        <f t="shared" si="503"/>
        <v>0</v>
      </c>
      <c r="K674" s="87" t="str">
        <f t="shared" si="504"/>
        <v>#DIV/0!</v>
      </c>
      <c r="L674" s="94">
        <v>0.0</v>
      </c>
      <c r="M674" s="94">
        <v>0.0</v>
      </c>
      <c r="N674" s="85">
        <v>0.0</v>
      </c>
      <c r="O674" s="110">
        <f t="shared" si="505"/>
        <v>0</v>
      </c>
      <c r="P674" s="94">
        <v>0.0</v>
      </c>
      <c r="Q674" s="94">
        <v>0.0</v>
      </c>
      <c r="R674" s="94">
        <v>0.0</v>
      </c>
      <c r="S674" s="94">
        <v>0.0</v>
      </c>
      <c r="T674" s="94">
        <v>0.0</v>
      </c>
      <c r="U674" s="94">
        <v>0.0</v>
      </c>
      <c r="V674" s="94">
        <v>0.0</v>
      </c>
      <c r="W674" s="94">
        <v>0.0</v>
      </c>
      <c r="X674" s="94">
        <v>0.0</v>
      </c>
      <c r="Y674" s="94">
        <v>0.0</v>
      </c>
      <c r="Z674" s="94">
        <v>0.0</v>
      </c>
      <c r="AA674" s="94">
        <v>0.0</v>
      </c>
      <c r="AB674" s="94">
        <v>0.0</v>
      </c>
      <c r="AC674" s="94">
        <v>0.0</v>
      </c>
      <c r="AD674" s="94">
        <v>0.0</v>
      </c>
      <c r="AE674" s="94">
        <v>0.0</v>
      </c>
      <c r="AF674" s="94">
        <v>0.0</v>
      </c>
      <c r="AG674" s="94">
        <v>0.0</v>
      </c>
      <c r="AH674" s="94">
        <v>0.0</v>
      </c>
    </row>
    <row r="675" hidden="1">
      <c r="A675" s="83" t="s">
        <v>40</v>
      </c>
      <c r="B675" s="84" t="s">
        <v>220</v>
      </c>
      <c r="C675" s="94">
        <v>0.0</v>
      </c>
      <c r="D675" s="94">
        <v>0.0</v>
      </c>
      <c r="E675" s="96">
        <f t="shared" si="506"/>
        <v>0</v>
      </c>
      <c r="F675" s="94">
        <v>0.0</v>
      </c>
      <c r="G675" s="94">
        <v>0.0</v>
      </c>
      <c r="H675" s="94">
        <v>0.0</v>
      </c>
      <c r="I675" s="94">
        <v>0.0</v>
      </c>
      <c r="J675" s="95">
        <f t="shared" si="503"/>
        <v>0</v>
      </c>
      <c r="K675" s="87" t="str">
        <f t="shared" si="504"/>
        <v>#DIV/0!</v>
      </c>
      <c r="L675" s="94">
        <v>0.0</v>
      </c>
      <c r="M675" s="94">
        <v>0.0</v>
      </c>
      <c r="N675" s="85">
        <v>0.0</v>
      </c>
      <c r="O675" s="110">
        <f t="shared" si="505"/>
        <v>0</v>
      </c>
      <c r="P675" s="94">
        <v>0.0</v>
      </c>
      <c r="Q675" s="94">
        <v>0.0</v>
      </c>
      <c r="R675" s="94">
        <v>0.0</v>
      </c>
      <c r="S675" s="94">
        <v>0.0</v>
      </c>
      <c r="T675" s="94">
        <v>0.0</v>
      </c>
      <c r="U675" s="94">
        <v>0.0</v>
      </c>
      <c r="V675" s="94">
        <v>0.0</v>
      </c>
      <c r="W675" s="94">
        <v>0.0</v>
      </c>
      <c r="X675" s="94">
        <v>0.0</v>
      </c>
      <c r="Y675" s="94">
        <v>0.0</v>
      </c>
      <c r="Z675" s="94">
        <v>0.0</v>
      </c>
      <c r="AA675" s="94">
        <v>0.0</v>
      </c>
      <c r="AB675" s="94">
        <v>0.0</v>
      </c>
      <c r="AC675" s="94">
        <v>0.0</v>
      </c>
      <c r="AD675" s="94">
        <v>0.0</v>
      </c>
      <c r="AE675" s="94">
        <v>0.0</v>
      </c>
      <c r="AF675" s="94">
        <v>0.0</v>
      </c>
      <c r="AG675" s="94">
        <v>0.0</v>
      </c>
      <c r="AH675" s="94">
        <v>0.0</v>
      </c>
    </row>
    <row r="676" hidden="1">
      <c r="A676" s="83" t="s">
        <v>214</v>
      </c>
      <c r="B676" s="84" t="s">
        <v>189</v>
      </c>
      <c r="C676" s="85">
        <v>1.0</v>
      </c>
      <c r="D676" s="85">
        <v>1.0</v>
      </c>
      <c r="E676" s="86">
        <v>39.0</v>
      </c>
      <c r="F676" s="94">
        <v>0.0</v>
      </c>
      <c r="G676" s="85">
        <v>145.0</v>
      </c>
      <c r="H676" s="85">
        <v>2.0</v>
      </c>
      <c r="I676" s="85">
        <v>129.0</v>
      </c>
      <c r="J676" s="95">
        <f t="shared" si="503"/>
        <v>16</v>
      </c>
      <c r="K676" s="87">
        <f t="shared" si="504"/>
        <v>1.124031008</v>
      </c>
      <c r="L676" s="85">
        <v>14.0</v>
      </c>
      <c r="M676" s="85">
        <v>185.0</v>
      </c>
      <c r="N676" s="85">
        <v>1.0</v>
      </c>
      <c r="O676" s="110">
        <f t="shared" si="505"/>
        <v>39</v>
      </c>
      <c r="P676" s="85">
        <v>7.0</v>
      </c>
      <c r="Q676" s="85">
        <v>1.0</v>
      </c>
      <c r="R676" s="85">
        <v>7.0</v>
      </c>
      <c r="S676" s="85">
        <v>3.0</v>
      </c>
      <c r="T676" s="85">
        <v>21.0</v>
      </c>
      <c r="U676" s="85">
        <v>2.0</v>
      </c>
      <c r="V676" s="94">
        <v>0.0</v>
      </c>
      <c r="W676" s="94">
        <v>0.0</v>
      </c>
      <c r="X676" s="94">
        <v>0.0</v>
      </c>
      <c r="Y676" s="94">
        <v>0.0</v>
      </c>
      <c r="Z676" s="94">
        <v>0.0</v>
      </c>
      <c r="AA676" s="94">
        <v>0.0</v>
      </c>
      <c r="AB676" s="94">
        <v>0.0</v>
      </c>
      <c r="AC676" s="85">
        <v>3.0</v>
      </c>
      <c r="AD676" s="94">
        <v>0.0</v>
      </c>
      <c r="AE676" s="94">
        <v>0.0</v>
      </c>
      <c r="AF676" s="94">
        <v>0.0</v>
      </c>
      <c r="AG676" s="94">
        <v>0.0</v>
      </c>
      <c r="AH676" s="94">
        <v>0.0</v>
      </c>
    </row>
    <row r="677" hidden="1">
      <c r="A677" s="89"/>
      <c r="B677" s="111"/>
      <c r="C677" s="111">
        <f t="shared" ref="C677:D677" si="507">SUM(C671:C676)/4</f>
        <v>1</v>
      </c>
      <c r="D677" s="111">
        <f t="shared" si="507"/>
        <v>1</v>
      </c>
      <c r="E677" s="91">
        <f t="shared" ref="E677:G677" si="508">SUM(E671:E676)</f>
        <v>156</v>
      </c>
      <c r="F677" s="111">
        <f t="shared" si="508"/>
        <v>5</v>
      </c>
      <c r="G677" s="111">
        <f t="shared" si="508"/>
        <v>431</v>
      </c>
      <c r="H677" s="111"/>
      <c r="I677" s="111">
        <f>SUM(I671:I676)</f>
        <v>421</v>
      </c>
      <c r="J677" s="111">
        <f t="shared" si="503"/>
        <v>10</v>
      </c>
      <c r="K677" s="92">
        <f t="shared" si="504"/>
        <v>1.023752969</v>
      </c>
      <c r="L677" s="111">
        <f t="shared" ref="L677:M677" si="509">SUM(L671:L676)</f>
        <v>75</v>
      </c>
      <c r="M677" s="111">
        <f t="shared" si="509"/>
        <v>540</v>
      </c>
      <c r="N677" s="111"/>
      <c r="O677" s="112"/>
      <c r="P677" s="111">
        <f t="shared" ref="P677:AH677" si="510">SUM(P671:P676)</f>
        <v>21</v>
      </c>
      <c r="Q677" s="111">
        <f t="shared" si="510"/>
        <v>4</v>
      </c>
      <c r="R677" s="111">
        <f t="shared" si="510"/>
        <v>30</v>
      </c>
      <c r="S677" s="111">
        <f t="shared" si="510"/>
        <v>9</v>
      </c>
      <c r="T677" s="111">
        <f t="shared" si="510"/>
        <v>47</v>
      </c>
      <c r="U677" s="111">
        <f t="shared" si="510"/>
        <v>8</v>
      </c>
      <c r="V677" s="111">
        <f t="shared" si="510"/>
        <v>2</v>
      </c>
      <c r="W677" s="111">
        <f t="shared" si="510"/>
        <v>0</v>
      </c>
      <c r="X677" s="111">
        <f t="shared" si="510"/>
        <v>0</v>
      </c>
      <c r="Y677" s="111">
        <f t="shared" si="510"/>
        <v>0</v>
      </c>
      <c r="Z677" s="111">
        <f t="shared" si="510"/>
        <v>0</v>
      </c>
      <c r="AA677" s="111">
        <f t="shared" si="510"/>
        <v>0</v>
      </c>
      <c r="AB677" s="111">
        <f t="shared" si="510"/>
        <v>0</v>
      </c>
      <c r="AC677" s="111">
        <f t="shared" si="510"/>
        <v>10</v>
      </c>
      <c r="AD677" s="111">
        <f t="shared" si="510"/>
        <v>0</v>
      </c>
      <c r="AE677" s="111">
        <f t="shared" si="510"/>
        <v>0</v>
      </c>
      <c r="AF677" s="111">
        <f t="shared" si="510"/>
        <v>0</v>
      </c>
      <c r="AG677" s="111">
        <f t="shared" si="510"/>
        <v>0</v>
      </c>
      <c r="AH677" s="111">
        <f t="shared" si="510"/>
        <v>0</v>
      </c>
    </row>
    <row r="678" hidden="1">
      <c r="A678" s="83" t="s">
        <v>28</v>
      </c>
      <c r="B678" s="84" t="s">
        <v>179</v>
      </c>
      <c r="C678" s="85">
        <v>1.0</v>
      </c>
      <c r="D678" s="94">
        <v>0.0</v>
      </c>
      <c r="E678" s="86">
        <v>39.0</v>
      </c>
      <c r="F678" s="94">
        <v>0.0</v>
      </c>
      <c r="G678" s="85">
        <v>98.0</v>
      </c>
      <c r="H678" s="94">
        <v>0.0</v>
      </c>
      <c r="I678" s="85">
        <v>125.0</v>
      </c>
      <c r="J678" s="95">
        <f t="shared" si="503"/>
        <v>-27</v>
      </c>
      <c r="K678" s="87">
        <f t="shared" si="504"/>
        <v>0.784</v>
      </c>
      <c r="L678" s="85">
        <v>15.0</v>
      </c>
      <c r="M678" s="85">
        <v>112.0</v>
      </c>
      <c r="N678" s="85">
        <v>1.0</v>
      </c>
      <c r="O678" s="110">
        <f t="shared" ref="O678:O683" si="511">(E678*N678)</f>
        <v>39</v>
      </c>
      <c r="P678" s="85">
        <v>1.0</v>
      </c>
      <c r="Q678" s="94">
        <v>0.0</v>
      </c>
      <c r="R678" s="85">
        <v>2.0</v>
      </c>
      <c r="S678" s="85">
        <v>2.0</v>
      </c>
      <c r="T678" s="85">
        <v>9.0</v>
      </c>
      <c r="U678" s="85">
        <v>1.0</v>
      </c>
      <c r="V678" s="94">
        <v>0.0</v>
      </c>
      <c r="W678" s="94">
        <v>0.0</v>
      </c>
      <c r="X678" s="94">
        <v>0.0</v>
      </c>
      <c r="Y678" s="94">
        <v>0.0</v>
      </c>
      <c r="Z678" s="94">
        <v>0.0</v>
      </c>
      <c r="AA678" s="94">
        <v>0.0</v>
      </c>
      <c r="AB678" s="94">
        <v>0.0</v>
      </c>
      <c r="AC678" s="94">
        <v>0.0</v>
      </c>
      <c r="AD678" s="94">
        <v>0.0</v>
      </c>
      <c r="AE678" s="94">
        <v>0.0</v>
      </c>
      <c r="AF678" s="94">
        <v>0.0</v>
      </c>
      <c r="AG678" s="94">
        <v>0.0</v>
      </c>
      <c r="AH678" s="94">
        <v>0.0</v>
      </c>
    </row>
    <row r="679" hidden="1">
      <c r="A679" s="83" t="s">
        <v>28</v>
      </c>
      <c r="B679" s="84" t="s">
        <v>180</v>
      </c>
      <c r="C679" s="85">
        <v>1.0</v>
      </c>
      <c r="D679" s="94">
        <v>0.0</v>
      </c>
      <c r="E679" s="86">
        <v>39.0</v>
      </c>
      <c r="F679" s="94">
        <v>0.0</v>
      </c>
      <c r="G679" s="85">
        <v>108.0</v>
      </c>
      <c r="H679" s="94">
        <v>0.0</v>
      </c>
      <c r="I679" s="85">
        <v>104.0</v>
      </c>
      <c r="J679" s="95">
        <f t="shared" si="503"/>
        <v>4</v>
      </c>
      <c r="K679" s="87">
        <f t="shared" si="504"/>
        <v>1.038461538</v>
      </c>
      <c r="L679" s="85">
        <v>18.0</v>
      </c>
      <c r="M679" s="85">
        <v>132.0</v>
      </c>
      <c r="N679" s="85">
        <v>1.0</v>
      </c>
      <c r="O679" s="110">
        <f t="shared" si="511"/>
        <v>39</v>
      </c>
      <c r="P679" s="85">
        <v>3.0</v>
      </c>
      <c r="Q679" s="94">
        <v>0.0</v>
      </c>
      <c r="R679" s="85">
        <v>9.0</v>
      </c>
      <c r="S679" s="85">
        <v>3.0</v>
      </c>
      <c r="T679" s="85">
        <v>10.0</v>
      </c>
      <c r="U679" s="85">
        <v>1.0</v>
      </c>
      <c r="V679" s="94">
        <v>0.0</v>
      </c>
      <c r="W679" s="94">
        <v>0.0</v>
      </c>
      <c r="X679" s="94">
        <v>0.0</v>
      </c>
      <c r="Y679" s="94">
        <v>0.0</v>
      </c>
      <c r="Z679" s="94">
        <v>0.0</v>
      </c>
      <c r="AA679" s="94">
        <v>0.0</v>
      </c>
      <c r="AB679" s="94">
        <v>0.0</v>
      </c>
      <c r="AC679" s="85">
        <v>2.0</v>
      </c>
      <c r="AD679" s="94">
        <v>0.0</v>
      </c>
      <c r="AE679" s="94">
        <v>0.0</v>
      </c>
      <c r="AF679" s="94">
        <v>0.0</v>
      </c>
      <c r="AG679" s="94">
        <v>0.0</v>
      </c>
      <c r="AH679" s="94">
        <v>0.0</v>
      </c>
    </row>
    <row r="680" hidden="1">
      <c r="A680" s="83" t="s">
        <v>28</v>
      </c>
      <c r="B680" s="84" t="s">
        <v>181</v>
      </c>
      <c r="C680" s="85">
        <v>1.0</v>
      </c>
      <c r="D680" s="94">
        <v>0.0</v>
      </c>
      <c r="E680" s="86">
        <v>39.0</v>
      </c>
      <c r="F680" s="94">
        <v>0.0</v>
      </c>
      <c r="G680" s="85">
        <v>143.0</v>
      </c>
      <c r="H680" s="85">
        <v>2.0</v>
      </c>
      <c r="I680" s="85">
        <v>139.0</v>
      </c>
      <c r="J680" s="95">
        <f t="shared" si="503"/>
        <v>4</v>
      </c>
      <c r="K680" s="87">
        <f t="shared" si="504"/>
        <v>1.028776978</v>
      </c>
      <c r="L680" s="85">
        <v>13.0</v>
      </c>
      <c r="M680" s="85">
        <v>181.0</v>
      </c>
      <c r="N680" s="85">
        <v>1.0</v>
      </c>
      <c r="O680" s="110">
        <f t="shared" si="511"/>
        <v>39</v>
      </c>
      <c r="P680" s="85">
        <v>9.0</v>
      </c>
      <c r="Q680" s="85">
        <v>2.0</v>
      </c>
      <c r="R680" s="85">
        <v>6.0</v>
      </c>
      <c r="S680" s="85">
        <v>2.0</v>
      </c>
      <c r="T680" s="85">
        <v>20.0</v>
      </c>
      <c r="U680" s="85">
        <v>3.0</v>
      </c>
      <c r="V680" s="85">
        <v>1.0</v>
      </c>
      <c r="W680" s="94">
        <v>0.0</v>
      </c>
      <c r="X680" s="94">
        <v>0.0</v>
      </c>
      <c r="Y680" s="94">
        <v>0.0</v>
      </c>
      <c r="Z680" s="94">
        <v>0.0</v>
      </c>
      <c r="AA680" s="94">
        <v>0.0</v>
      </c>
      <c r="AB680" s="94">
        <v>0.0</v>
      </c>
      <c r="AC680" s="85">
        <v>3.0</v>
      </c>
      <c r="AD680" s="94">
        <v>0.0</v>
      </c>
      <c r="AE680" s="94">
        <v>0.0</v>
      </c>
      <c r="AF680" s="94">
        <v>0.0</v>
      </c>
      <c r="AG680" s="85">
        <v>1.0</v>
      </c>
      <c r="AH680" s="94">
        <v>0.0</v>
      </c>
    </row>
    <row r="681" hidden="1">
      <c r="A681" s="83" t="s">
        <v>28</v>
      </c>
      <c r="B681" s="84" t="s">
        <v>182</v>
      </c>
      <c r="C681" s="85">
        <v>1.0</v>
      </c>
      <c r="D681" s="94">
        <v>0.0</v>
      </c>
      <c r="E681" s="86">
        <v>39.0</v>
      </c>
      <c r="F681" s="85">
        <v>4.0</v>
      </c>
      <c r="G681" s="85">
        <v>69.0</v>
      </c>
      <c r="H681" s="85">
        <v>1.0</v>
      </c>
      <c r="I681" s="85">
        <v>76.0</v>
      </c>
      <c r="J681" s="95">
        <f t="shared" si="503"/>
        <v>-7</v>
      </c>
      <c r="K681" s="87">
        <f t="shared" si="504"/>
        <v>0.9078947368</v>
      </c>
      <c r="L681" s="85">
        <v>27.0</v>
      </c>
      <c r="M681" s="85">
        <v>94.0</v>
      </c>
      <c r="N681" s="85">
        <v>1.0</v>
      </c>
      <c r="O681" s="110">
        <f t="shared" si="511"/>
        <v>39</v>
      </c>
      <c r="P681" s="85">
        <v>4.0</v>
      </c>
      <c r="Q681" s="85">
        <v>2.0</v>
      </c>
      <c r="R681" s="85">
        <v>5.0</v>
      </c>
      <c r="S681" s="85">
        <v>2.0</v>
      </c>
      <c r="T681" s="85">
        <v>6.0</v>
      </c>
      <c r="U681" s="94">
        <v>0.0</v>
      </c>
      <c r="V681" s="94">
        <v>0.0</v>
      </c>
      <c r="W681" s="94">
        <v>0.0</v>
      </c>
      <c r="X681" s="94">
        <v>0.0</v>
      </c>
      <c r="Y681" s="94">
        <v>0.0</v>
      </c>
      <c r="Z681" s="94">
        <v>0.0</v>
      </c>
      <c r="AA681" s="94">
        <v>0.0</v>
      </c>
      <c r="AB681" s="94">
        <v>0.0</v>
      </c>
      <c r="AC681" s="85">
        <v>5.0</v>
      </c>
      <c r="AD681" s="94">
        <v>0.0</v>
      </c>
      <c r="AE681" s="94">
        <v>0.0</v>
      </c>
      <c r="AF681" s="94">
        <v>0.0</v>
      </c>
      <c r="AG681" s="94">
        <v>0.0</v>
      </c>
      <c r="AH681" s="94">
        <v>0.0</v>
      </c>
    </row>
    <row r="682" hidden="1">
      <c r="A682" s="83" t="s">
        <v>28</v>
      </c>
      <c r="B682" s="84" t="s">
        <v>183</v>
      </c>
      <c r="C682" s="94">
        <v>0.0</v>
      </c>
      <c r="D682" s="94">
        <v>0.0</v>
      </c>
      <c r="E682" s="96">
        <f t="shared" ref="E682:E683" si="512">SUM(L682*I682)/60</f>
        <v>0</v>
      </c>
      <c r="F682" s="94">
        <v>0.0</v>
      </c>
      <c r="G682" s="94">
        <v>0.0</v>
      </c>
      <c r="H682" s="94">
        <v>0.0</v>
      </c>
      <c r="I682" s="94">
        <v>0.0</v>
      </c>
      <c r="J682" s="95">
        <f t="shared" si="503"/>
        <v>0</v>
      </c>
      <c r="K682" s="87" t="str">
        <f t="shared" si="504"/>
        <v>#DIV/0!</v>
      </c>
      <c r="L682" s="94">
        <v>0.0</v>
      </c>
      <c r="M682" s="94">
        <v>0.0</v>
      </c>
      <c r="N682" s="85">
        <v>0.0</v>
      </c>
      <c r="O682" s="110">
        <f t="shared" si="511"/>
        <v>0</v>
      </c>
      <c r="P682" s="94">
        <v>0.0</v>
      </c>
      <c r="Q682" s="94">
        <v>0.0</v>
      </c>
      <c r="R682" s="94">
        <v>0.0</v>
      </c>
      <c r="S682" s="94">
        <v>0.0</v>
      </c>
      <c r="T682" s="94">
        <v>0.0</v>
      </c>
      <c r="U682" s="94">
        <v>0.0</v>
      </c>
      <c r="V682" s="94">
        <v>0.0</v>
      </c>
      <c r="W682" s="94">
        <v>0.0</v>
      </c>
      <c r="X682" s="94">
        <v>0.0</v>
      </c>
      <c r="Y682" s="94">
        <v>0.0</v>
      </c>
      <c r="Z682" s="94">
        <v>0.0</v>
      </c>
      <c r="AA682" s="94">
        <v>0.0</v>
      </c>
      <c r="AB682" s="94">
        <v>0.0</v>
      </c>
      <c r="AC682" s="94">
        <v>0.0</v>
      </c>
      <c r="AD682" s="94">
        <v>0.0</v>
      </c>
      <c r="AE682" s="94">
        <v>0.0</v>
      </c>
      <c r="AF682" s="94">
        <v>0.0</v>
      </c>
      <c r="AG682" s="94">
        <v>0.0</v>
      </c>
      <c r="AH682" s="94">
        <v>0.0</v>
      </c>
    </row>
    <row r="683" hidden="1">
      <c r="A683" s="83" t="s">
        <v>28</v>
      </c>
      <c r="B683" s="84" t="s">
        <v>184</v>
      </c>
      <c r="C683" s="94">
        <v>0.0</v>
      </c>
      <c r="D683" s="94">
        <v>0.0</v>
      </c>
      <c r="E683" s="96">
        <f t="shared" si="512"/>
        <v>0</v>
      </c>
      <c r="F683" s="94">
        <v>0.0</v>
      </c>
      <c r="G683" s="94">
        <v>0.0</v>
      </c>
      <c r="H683" s="94">
        <v>0.0</v>
      </c>
      <c r="I683" s="94">
        <v>0.0</v>
      </c>
      <c r="J683" s="95">
        <f t="shared" si="503"/>
        <v>0</v>
      </c>
      <c r="K683" s="87" t="str">
        <f t="shared" si="504"/>
        <v>#DIV/0!</v>
      </c>
      <c r="L683" s="94">
        <v>0.0</v>
      </c>
      <c r="M683" s="94">
        <v>0.0</v>
      </c>
      <c r="N683" s="85">
        <v>0.0</v>
      </c>
      <c r="O683" s="110">
        <f t="shared" si="511"/>
        <v>0</v>
      </c>
      <c r="P683" s="94">
        <v>0.0</v>
      </c>
      <c r="Q683" s="94">
        <v>0.0</v>
      </c>
      <c r="R683" s="94">
        <v>0.0</v>
      </c>
      <c r="S683" s="94">
        <v>0.0</v>
      </c>
      <c r="T683" s="94">
        <v>0.0</v>
      </c>
      <c r="U683" s="94">
        <v>0.0</v>
      </c>
      <c r="V683" s="94">
        <v>0.0</v>
      </c>
      <c r="W683" s="94">
        <v>0.0</v>
      </c>
      <c r="X683" s="94">
        <v>0.0</v>
      </c>
      <c r="Y683" s="94">
        <v>0.0</v>
      </c>
      <c r="Z683" s="94">
        <v>0.0</v>
      </c>
      <c r="AA683" s="94">
        <v>0.0</v>
      </c>
      <c r="AB683" s="94">
        <v>0.0</v>
      </c>
      <c r="AC683" s="94">
        <v>0.0</v>
      </c>
      <c r="AD683" s="94">
        <v>0.0</v>
      </c>
      <c r="AE683" s="94">
        <v>0.0</v>
      </c>
      <c r="AF683" s="94">
        <v>0.0</v>
      </c>
      <c r="AG683" s="94">
        <v>0.0</v>
      </c>
      <c r="AH683" s="94">
        <v>0.0</v>
      </c>
    </row>
    <row r="684" hidden="1">
      <c r="A684" s="89" t="s">
        <v>185</v>
      </c>
      <c r="B684" s="111"/>
      <c r="C684" s="111">
        <f>SUM(C678:C683)</f>
        <v>4</v>
      </c>
      <c r="D684" s="111">
        <f t="shared" ref="D684:E684" si="513">SUM(D678:D683)/4</f>
        <v>0</v>
      </c>
      <c r="E684" s="91">
        <f t="shared" si="513"/>
        <v>39</v>
      </c>
      <c r="F684" s="111">
        <f t="shared" ref="F684:G684" si="514">SUM(F678:F683)</f>
        <v>4</v>
      </c>
      <c r="G684" s="111">
        <f t="shared" si="514"/>
        <v>418</v>
      </c>
      <c r="H684" s="111"/>
      <c r="I684" s="111">
        <f>SUM(I678:I683)</f>
        <v>444</v>
      </c>
      <c r="J684" s="111">
        <f t="shared" si="503"/>
        <v>-26</v>
      </c>
      <c r="K684" s="92">
        <f t="shared" si="504"/>
        <v>0.9414414414</v>
      </c>
      <c r="L684" s="111">
        <f t="shared" ref="L684:M684" si="515">SUM(L678:L683)</f>
        <v>73</v>
      </c>
      <c r="M684" s="111">
        <f t="shared" si="515"/>
        <v>519</v>
      </c>
      <c r="N684" s="111"/>
      <c r="O684" s="112"/>
      <c r="P684" s="111">
        <f t="shared" ref="P684:AH684" si="516">SUM(P678:P683)</f>
        <v>17</v>
      </c>
      <c r="Q684" s="111">
        <f t="shared" si="516"/>
        <v>4</v>
      </c>
      <c r="R684" s="111">
        <f t="shared" si="516"/>
        <v>22</v>
      </c>
      <c r="S684" s="111">
        <f t="shared" si="516"/>
        <v>9</v>
      </c>
      <c r="T684" s="111">
        <f t="shared" si="516"/>
        <v>45</v>
      </c>
      <c r="U684" s="111">
        <f t="shared" si="516"/>
        <v>5</v>
      </c>
      <c r="V684" s="111">
        <f t="shared" si="516"/>
        <v>1</v>
      </c>
      <c r="W684" s="111">
        <f t="shared" si="516"/>
        <v>0</v>
      </c>
      <c r="X684" s="111">
        <f t="shared" si="516"/>
        <v>0</v>
      </c>
      <c r="Y684" s="111">
        <f t="shared" si="516"/>
        <v>0</v>
      </c>
      <c r="Z684" s="111">
        <f t="shared" si="516"/>
        <v>0</v>
      </c>
      <c r="AA684" s="111">
        <f t="shared" si="516"/>
        <v>0</v>
      </c>
      <c r="AB684" s="111">
        <f t="shared" si="516"/>
        <v>0</v>
      </c>
      <c r="AC684" s="111">
        <f t="shared" si="516"/>
        <v>10</v>
      </c>
      <c r="AD684" s="111">
        <f t="shared" si="516"/>
        <v>0</v>
      </c>
      <c r="AE684" s="111">
        <f t="shared" si="516"/>
        <v>0</v>
      </c>
      <c r="AF684" s="111">
        <f t="shared" si="516"/>
        <v>0</v>
      </c>
      <c r="AG684" s="111">
        <f t="shared" si="516"/>
        <v>1</v>
      </c>
      <c r="AH684" s="111">
        <f t="shared" si="516"/>
        <v>0</v>
      </c>
    </row>
    <row r="685">
      <c r="A685" s="104" t="s">
        <v>294</v>
      </c>
    </row>
    <row r="687" hidden="1">
      <c r="A687" s="105"/>
      <c r="F687" s="106" t="s">
        <v>251</v>
      </c>
      <c r="L687" s="107" t="s">
        <v>252</v>
      </c>
      <c r="N687" s="108" t="s">
        <v>253</v>
      </c>
    </row>
    <row r="688" hidden="1">
      <c r="A688" s="76" t="s">
        <v>148</v>
      </c>
      <c r="B688" s="76" t="s">
        <v>149</v>
      </c>
      <c r="C688" s="76" t="s">
        <v>150</v>
      </c>
      <c r="D688" s="76" t="s">
        <v>13</v>
      </c>
      <c r="E688" s="77" t="s">
        <v>151</v>
      </c>
      <c r="F688" s="78" t="s">
        <v>15</v>
      </c>
      <c r="G688" s="78" t="s">
        <v>152</v>
      </c>
      <c r="H688" s="78" t="s">
        <v>153</v>
      </c>
      <c r="I688" s="78" t="s">
        <v>154</v>
      </c>
      <c r="J688" s="78" t="s">
        <v>155</v>
      </c>
      <c r="K688" s="79" t="s">
        <v>156</v>
      </c>
      <c r="L688" s="80" t="s">
        <v>157</v>
      </c>
      <c r="M688" s="80" t="s">
        <v>158</v>
      </c>
      <c r="N688" s="81" t="s">
        <v>254</v>
      </c>
      <c r="O688" s="81" t="s">
        <v>151</v>
      </c>
      <c r="P688" s="81" t="s">
        <v>160</v>
      </c>
      <c r="Q688" s="81" t="s">
        <v>161</v>
      </c>
      <c r="R688" s="81" t="s">
        <v>162</v>
      </c>
      <c r="S688" s="81" t="s">
        <v>163</v>
      </c>
      <c r="T688" s="81" t="s">
        <v>164</v>
      </c>
      <c r="U688" s="81" t="s">
        <v>165</v>
      </c>
      <c r="V688" s="81" t="s">
        <v>166</v>
      </c>
      <c r="W688" s="81" t="s">
        <v>167</v>
      </c>
      <c r="X688" s="81" t="s">
        <v>168</v>
      </c>
      <c r="Y688" s="81" t="s">
        <v>169</v>
      </c>
      <c r="Z688" s="81" t="s">
        <v>170</v>
      </c>
      <c r="AA688" s="81" t="s">
        <v>171</v>
      </c>
      <c r="AB688" s="81" t="s">
        <v>172</v>
      </c>
      <c r="AC688" s="81" t="s">
        <v>173</v>
      </c>
      <c r="AD688" s="81" t="s">
        <v>174</v>
      </c>
      <c r="AE688" s="81" t="s">
        <v>175</v>
      </c>
      <c r="AF688" s="81" t="s">
        <v>176</v>
      </c>
      <c r="AG688" s="81" t="s">
        <v>177</v>
      </c>
      <c r="AH688" s="81" t="s">
        <v>178</v>
      </c>
    </row>
    <row r="689" hidden="1">
      <c r="A689" s="83" t="s">
        <v>40</v>
      </c>
      <c r="B689" s="84" t="s">
        <v>216</v>
      </c>
      <c r="C689" s="85">
        <v>1.0</v>
      </c>
      <c r="D689" s="94">
        <v>0.0</v>
      </c>
      <c r="E689" s="86">
        <v>29.0</v>
      </c>
      <c r="F689" s="85">
        <v>1.0</v>
      </c>
      <c r="G689" s="85">
        <v>46.0</v>
      </c>
      <c r="H689" s="85">
        <v>1.0</v>
      </c>
      <c r="I689" s="85">
        <v>55.0</v>
      </c>
      <c r="J689" s="95">
        <f t="shared" ref="J689:J702" si="517">SUM(G689-I689)</f>
        <v>-9</v>
      </c>
      <c r="K689" s="87">
        <f t="shared" ref="K689:K702" si="518">SUM(G689/I689)</f>
        <v>0.8363636364</v>
      </c>
      <c r="L689" s="85">
        <v>26.0</v>
      </c>
      <c r="M689" s="85">
        <v>60.0</v>
      </c>
      <c r="N689" s="85">
        <v>1.0</v>
      </c>
      <c r="O689" s="110">
        <f t="shared" ref="O689:O694" si="519">(E689*N689)</f>
        <v>29</v>
      </c>
      <c r="P689" s="85">
        <v>1.0</v>
      </c>
      <c r="Q689" s="85">
        <v>5.0</v>
      </c>
      <c r="R689" s="94">
        <v>0.0</v>
      </c>
      <c r="S689" s="85">
        <v>2.0</v>
      </c>
      <c r="T689" s="85">
        <v>5.0</v>
      </c>
      <c r="U689" s="85">
        <v>1.0</v>
      </c>
      <c r="V689" s="94">
        <v>0.0</v>
      </c>
      <c r="W689" s="94">
        <v>0.0</v>
      </c>
      <c r="X689" s="94">
        <v>0.0</v>
      </c>
      <c r="Y689" s="94">
        <v>0.0</v>
      </c>
      <c r="Z689" s="94">
        <v>0.0</v>
      </c>
      <c r="AA689" s="94">
        <v>0.0</v>
      </c>
      <c r="AB689" s="94">
        <v>0.0</v>
      </c>
      <c r="AC689" s="94">
        <v>0.0</v>
      </c>
      <c r="AD689" s="94">
        <v>0.0</v>
      </c>
      <c r="AE689" s="94">
        <v>0.0</v>
      </c>
      <c r="AF689" s="94">
        <v>0.0</v>
      </c>
      <c r="AG689" s="94">
        <v>0.0</v>
      </c>
      <c r="AH689" s="94">
        <v>0.0</v>
      </c>
    </row>
    <row r="690" hidden="1">
      <c r="A690" s="83" t="s">
        <v>40</v>
      </c>
      <c r="B690" s="84" t="s">
        <v>217</v>
      </c>
      <c r="C690" s="85">
        <v>1.0</v>
      </c>
      <c r="D690" s="94">
        <v>0.0</v>
      </c>
      <c r="E690" s="86">
        <v>29.0</v>
      </c>
      <c r="F690" s="94">
        <v>0.0</v>
      </c>
      <c r="G690" s="85">
        <v>49.0</v>
      </c>
      <c r="H690" s="94">
        <v>0.0</v>
      </c>
      <c r="I690" s="85">
        <v>72.0</v>
      </c>
      <c r="J690" s="95">
        <f t="shared" si="517"/>
        <v>-23</v>
      </c>
      <c r="K690" s="87">
        <f t="shared" si="518"/>
        <v>0.6805555556</v>
      </c>
      <c r="L690" s="85">
        <v>18.0</v>
      </c>
      <c r="M690" s="85">
        <v>58.0</v>
      </c>
      <c r="N690" s="85">
        <v>1.0</v>
      </c>
      <c r="O690" s="110">
        <f t="shared" si="519"/>
        <v>29</v>
      </c>
      <c r="P690" s="85">
        <v>6.0</v>
      </c>
      <c r="Q690" s="85">
        <v>2.0</v>
      </c>
      <c r="R690" s="85">
        <v>3.0</v>
      </c>
      <c r="S690" s="94">
        <v>0.0</v>
      </c>
      <c r="T690" s="85">
        <v>4.0</v>
      </c>
      <c r="U690" s="94">
        <v>0.0</v>
      </c>
      <c r="V690" s="94">
        <v>0.0</v>
      </c>
      <c r="W690" s="94">
        <v>0.0</v>
      </c>
      <c r="X690" s="94">
        <v>0.0</v>
      </c>
      <c r="Y690" s="94">
        <v>0.0</v>
      </c>
      <c r="Z690" s="94">
        <v>0.0</v>
      </c>
      <c r="AA690" s="94">
        <v>0.0</v>
      </c>
      <c r="AB690" s="94">
        <v>0.0</v>
      </c>
      <c r="AC690" s="94">
        <v>0.0</v>
      </c>
      <c r="AD690" s="94">
        <v>0.0</v>
      </c>
      <c r="AE690" s="94">
        <v>0.0</v>
      </c>
      <c r="AF690" s="94">
        <v>0.0</v>
      </c>
      <c r="AG690" s="94">
        <v>0.0</v>
      </c>
      <c r="AH690" s="94">
        <v>0.0</v>
      </c>
    </row>
    <row r="691" hidden="1">
      <c r="A691" s="83" t="s">
        <v>40</v>
      </c>
      <c r="B691" s="84" t="s">
        <v>218</v>
      </c>
      <c r="C691" s="85">
        <v>1.0</v>
      </c>
      <c r="D691" s="94">
        <v>0.0</v>
      </c>
      <c r="E691" s="86">
        <v>29.0</v>
      </c>
      <c r="F691" s="94">
        <v>0.0</v>
      </c>
      <c r="G691" s="85">
        <v>65.0</v>
      </c>
      <c r="H691" s="85">
        <v>1.0</v>
      </c>
      <c r="I691" s="85">
        <v>63.0</v>
      </c>
      <c r="J691" s="95">
        <f t="shared" si="517"/>
        <v>2</v>
      </c>
      <c r="K691" s="87">
        <f t="shared" si="518"/>
        <v>1.031746032</v>
      </c>
      <c r="L691" s="85">
        <v>23.0</v>
      </c>
      <c r="M691" s="85">
        <v>71.0</v>
      </c>
      <c r="N691" s="85">
        <v>1.0</v>
      </c>
      <c r="O691" s="110">
        <f t="shared" si="519"/>
        <v>29</v>
      </c>
      <c r="P691" s="85">
        <v>1.0</v>
      </c>
      <c r="Q691" s="85">
        <v>1.0</v>
      </c>
      <c r="R691" s="85">
        <v>3.0</v>
      </c>
      <c r="S691" s="85">
        <v>1.0</v>
      </c>
      <c r="T691" s="85">
        <v>7.0</v>
      </c>
      <c r="U691" s="85">
        <v>1.0</v>
      </c>
      <c r="V691" s="94">
        <v>0.0</v>
      </c>
      <c r="W691" s="94">
        <v>0.0</v>
      </c>
      <c r="X691" s="94">
        <v>0.0</v>
      </c>
      <c r="Y691" s="94">
        <v>0.0</v>
      </c>
      <c r="Z691" s="94">
        <v>0.0</v>
      </c>
      <c r="AA691" s="94">
        <v>0.0</v>
      </c>
      <c r="AB691" s="94">
        <v>0.0</v>
      </c>
      <c r="AC691" s="94">
        <v>0.0</v>
      </c>
      <c r="AD691" s="94">
        <v>0.0</v>
      </c>
      <c r="AE691" s="94">
        <v>0.0</v>
      </c>
      <c r="AF691" s="94">
        <v>0.0</v>
      </c>
      <c r="AG691" s="94">
        <v>0.0</v>
      </c>
      <c r="AH691" s="94">
        <v>0.0</v>
      </c>
    </row>
    <row r="692" hidden="1">
      <c r="A692" s="83" t="s">
        <v>40</v>
      </c>
      <c r="B692" s="84" t="s">
        <v>219</v>
      </c>
      <c r="C692" s="94">
        <v>0.0</v>
      </c>
      <c r="D692" s="94">
        <v>0.0</v>
      </c>
      <c r="E692" s="96">
        <f t="shared" ref="E692:E693" si="520">SUM(L692*I692)/60</f>
        <v>0</v>
      </c>
      <c r="F692" s="94">
        <v>0.0</v>
      </c>
      <c r="G692" s="94">
        <v>0.0</v>
      </c>
      <c r="H692" s="94">
        <v>0.0</v>
      </c>
      <c r="I692" s="94">
        <v>0.0</v>
      </c>
      <c r="J692" s="95">
        <f t="shared" si="517"/>
        <v>0</v>
      </c>
      <c r="K692" s="87" t="str">
        <f t="shared" si="518"/>
        <v>#DIV/0!</v>
      </c>
      <c r="L692" s="94">
        <v>0.0</v>
      </c>
      <c r="M692" s="94">
        <v>0.0</v>
      </c>
      <c r="N692" s="85">
        <v>0.0</v>
      </c>
      <c r="O692" s="110">
        <f t="shared" si="519"/>
        <v>0</v>
      </c>
      <c r="P692" s="94">
        <v>0.0</v>
      </c>
      <c r="Q692" s="94">
        <v>0.0</v>
      </c>
      <c r="R692" s="94">
        <v>0.0</v>
      </c>
      <c r="S692" s="94">
        <v>0.0</v>
      </c>
      <c r="T692" s="94">
        <v>0.0</v>
      </c>
      <c r="U692" s="94">
        <v>0.0</v>
      </c>
      <c r="V692" s="94">
        <v>0.0</v>
      </c>
      <c r="W692" s="94">
        <v>0.0</v>
      </c>
      <c r="X692" s="94">
        <v>0.0</v>
      </c>
      <c r="Y692" s="94">
        <v>0.0</v>
      </c>
      <c r="Z692" s="94">
        <v>0.0</v>
      </c>
      <c r="AA692" s="94">
        <v>0.0</v>
      </c>
      <c r="AB692" s="94">
        <v>0.0</v>
      </c>
      <c r="AC692" s="94">
        <v>0.0</v>
      </c>
      <c r="AD692" s="94">
        <v>0.0</v>
      </c>
      <c r="AE692" s="94">
        <v>0.0</v>
      </c>
      <c r="AF692" s="94">
        <v>0.0</v>
      </c>
      <c r="AG692" s="94">
        <v>0.0</v>
      </c>
      <c r="AH692" s="94">
        <v>0.0</v>
      </c>
    </row>
    <row r="693" hidden="1">
      <c r="A693" s="83" t="s">
        <v>40</v>
      </c>
      <c r="B693" s="84" t="s">
        <v>220</v>
      </c>
      <c r="C693" s="94">
        <v>0.0</v>
      </c>
      <c r="D693" s="94">
        <v>0.0</v>
      </c>
      <c r="E693" s="96">
        <f t="shared" si="520"/>
        <v>0</v>
      </c>
      <c r="F693" s="94">
        <v>0.0</v>
      </c>
      <c r="G693" s="94">
        <v>0.0</v>
      </c>
      <c r="H693" s="94">
        <v>0.0</v>
      </c>
      <c r="I693" s="94">
        <v>0.0</v>
      </c>
      <c r="J693" s="95">
        <f t="shared" si="517"/>
        <v>0</v>
      </c>
      <c r="K693" s="87" t="str">
        <f t="shared" si="518"/>
        <v>#DIV/0!</v>
      </c>
      <c r="L693" s="94">
        <v>0.0</v>
      </c>
      <c r="M693" s="94">
        <v>0.0</v>
      </c>
      <c r="N693" s="85">
        <v>0.0</v>
      </c>
      <c r="O693" s="110">
        <f t="shared" si="519"/>
        <v>0</v>
      </c>
      <c r="P693" s="94">
        <v>0.0</v>
      </c>
      <c r="Q693" s="94">
        <v>0.0</v>
      </c>
      <c r="R693" s="94">
        <v>0.0</v>
      </c>
      <c r="S693" s="94">
        <v>0.0</v>
      </c>
      <c r="T693" s="94">
        <v>0.0</v>
      </c>
      <c r="U693" s="94">
        <v>0.0</v>
      </c>
      <c r="V693" s="94">
        <v>0.0</v>
      </c>
      <c r="W693" s="94">
        <v>0.0</v>
      </c>
      <c r="X693" s="94">
        <v>0.0</v>
      </c>
      <c r="Y693" s="94">
        <v>0.0</v>
      </c>
      <c r="Z693" s="94">
        <v>0.0</v>
      </c>
      <c r="AA693" s="94">
        <v>0.0</v>
      </c>
      <c r="AB693" s="94">
        <v>0.0</v>
      </c>
      <c r="AC693" s="94">
        <v>0.0</v>
      </c>
      <c r="AD693" s="94">
        <v>0.0</v>
      </c>
      <c r="AE693" s="94">
        <v>0.0</v>
      </c>
      <c r="AF693" s="94">
        <v>0.0</v>
      </c>
      <c r="AG693" s="94">
        <v>0.0</v>
      </c>
      <c r="AH693" s="94">
        <v>0.0</v>
      </c>
    </row>
    <row r="694" hidden="1">
      <c r="A694" s="83" t="s">
        <v>214</v>
      </c>
      <c r="B694" s="84" t="s">
        <v>189</v>
      </c>
      <c r="C694" s="85">
        <v>1.0</v>
      </c>
      <c r="D694" s="94">
        <v>0.0</v>
      </c>
      <c r="E694" s="86">
        <v>29.0</v>
      </c>
      <c r="F694" s="85">
        <v>1.0</v>
      </c>
      <c r="G694" s="85">
        <v>102.0</v>
      </c>
      <c r="H694" s="85">
        <v>1.0</v>
      </c>
      <c r="I694" s="85">
        <v>86.0</v>
      </c>
      <c r="J694" s="95">
        <f t="shared" si="517"/>
        <v>16</v>
      </c>
      <c r="K694" s="87">
        <f t="shared" si="518"/>
        <v>1.186046512</v>
      </c>
      <c r="L694" s="85">
        <v>16.0</v>
      </c>
      <c r="M694" s="85">
        <v>139.0</v>
      </c>
      <c r="N694" s="85">
        <v>1.0</v>
      </c>
      <c r="O694" s="110">
        <f t="shared" si="519"/>
        <v>29</v>
      </c>
      <c r="P694" s="85">
        <v>4.0</v>
      </c>
      <c r="Q694" s="85">
        <v>3.0</v>
      </c>
      <c r="R694" s="85">
        <v>1.0</v>
      </c>
      <c r="S694" s="85">
        <v>2.0</v>
      </c>
      <c r="T694" s="85">
        <v>19.0</v>
      </c>
      <c r="U694" s="85">
        <v>3.0</v>
      </c>
      <c r="V694" s="85">
        <v>1.0</v>
      </c>
      <c r="W694" s="85">
        <v>1.0</v>
      </c>
      <c r="X694" s="85">
        <v>1.0</v>
      </c>
      <c r="Y694" s="85">
        <v>1.0</v>
      </c>
      <c r="Z694" s="94">
        <v>0.0</v>
      </c>
      <c r="AA694" s="94">
        <v>0.0</v>
      </c>
      <c r="AB694" s="94">
        <v>0.0</v>
      </c>
      <c r="AC694" s="85">
        <v>3.0</v>
      </c>
      <c r="AD694" s="94">
        <v>0.0</v>
      </c>
      <c r="AE694" s="94">
        <v>0.0</v>
      </c>
      <c r="AF694" s="94">
        <v>0.0</v>
      </c>
      <c r="AG694" s="94">
        <v>0.0</v>
      </c>
      <c r="AH694" s="94">
        <v>0.0</v>
      </c>
    </row>
    <row r="695" hidden="1">
      <c r="A695" s="89"/>
      <c r="B695" s="111"/>
      <c r="C695" s="111">
        <f t="shared" ref="C695:D695" si="521">SUM(C689:C694)/4</f>
        <v>1</v>
      </c>
      <c r="D695" s="111">
        <f t="shared" si="521"/>
        <v>0</v>
      </c>
      <c r="E695" s="91">
        <f t="shared" ref="E695:G695" si="522">SUM(E689:E694)</f>
        <v>116</v>
      </c>
      <c r="F695" s="111">
        <f t="shared" si="522"/>
        <v>2</v>
      </c>
      <c r="G695" s="111">
        <f t="shared" si="522"/>
        <v>262</v>
      </c>
      <c r="H695" s="111"/>
      <c r="I695" s="111">
        <f>SUM(I689:I694)</f>
        <v>276</v>
      </c>
      <c r="J695" s="111">
        <f t="shared" si="517"/>
        <v>-14</v>
      </c>
      <c r="K695" s="92">
        <f t="shared" si="518"/>
        <v>0.9492753623</v>
      </c>
      <c r="L695" s="111">
        <f t="shared" ref="L695:M695" si="523">SUM(L689:L694)</f>
        <v>83</v>
      </c>
      <c r="M695" s="111">
        <f t="shared" si="523"/>
        <v>328</v>
      </c>
      <c r="N695" s="111"/>
      <c r="O695" s="112"/>
      <c r="P695" s="111">
        <f t="shared" ref="P695:AH695" si="524">SUM(P689:P694)</f>
        <v>12</v>
      </c>
      <c r="Q695" s="111">
        <f t="shared" si="524"/>
        <v>11</v>
      </c>
      <c r="R695" s="111">
        <f t="shared" si="524"/>
        <v>7</v>
      </c>
      <c r="S695" s="111">
        <f t="shared" si="524"/>
        <v>5</v>
      </c>
      <c r="T695" s="111">
        <f t="shared" si="524"/>
        <v>35</v>
      </c>
      <c r="U695" s="111">
        <f t="shared" si="524"/>
        <v>5</v>
      </c>
      <c r="V695" s="111">
        <f t="shared" si="524"/>
        <v>1</v>
      </c>
      <c r="W695" s="111">
        <f t="shared" si="524"/>
        <v>1</v>
      </c>
      <c r="X695" s="111">
        <f t="shared" si="524"/>
        <v>1</v>
      </c>
      <c r="Y695" s="111">
        <f t="shared" si="524"/>
        <v>1</v>
      </c>
      <c r="Z695" s="111">
        <f t="shared" si="524"/>
        <v>0</v>
      </c>
      <c r="AA695" s="111">
        <f t="shared" si="524"/>
        <v>0</v>
      </c>
      <c r="AB695" s="111">
        <f t="shared" si="524"/>
        <v>0</v>
      </c>
      <c r="AC695" s="111">
        <f t="shared" si="524"/>
        <v>3</v>
      </c>
      <c r="AD695" s="111">
        <f t="shared" si="524"/>
        <v>0</v>
      </c>
      <c r="AE695" s="111">
        <f t="shared" si="524"/>
        <v>0</v>
      </c>
      <c r="AF695" s="111">
        <f t="shared" si="524"/>
        <v>0</v>
      </c>
      <c r="AG695" s="111">
        <f t="shared" si="524"/>
        <v>0</v>
      </c>
      <c r="AH695" s="111">
        <f t="shared" si="524"/>
        <v>0</v>
      </c>
    </row>
    <row r="696" hidden="1">
      <c r="A696" s="83" t="s">
        <v>28</v>
      </c>
      <c r="B696" s="84" t="s">
        <v>179</v>
      </c>
      <c r="C696" s="85">
        <v>1.0</v>
      </c>
      <c r="D696" s="85">
        <v>1.0</v>
      </c>
      <c r="E696" s="86">
        <v>29.0</v>
      </c>
      <c r="F696" s="85">
        <v>2.0</v>
      </c>
      <c r="G696" s="85">
        <v>68.0</v>
      </c>
      <c r="H696" s="94">
        <v>0.0</v>
      </c>
      <c r="I696" s="85">
        <v>81.0</v>
      </c>
      <c r="J696" s="95">
        <f t="shared" si="517"/>
        <v>-13</v>
      </c>
      <c r="K696" s="87">
        <f t="shared" si="518"/>
        <v>0.8395061728</v>
      </c>
      <c r="L696" s="85">
        <v>20.0</v>
      </c>
      <c r="M696" s="85">
        <v>80.0</v>
      </c>
      <c r="N696" s="85">
        <v>1.0</v>
      </c>
      <c r="O696" s="110">
        <f t="shared" ref="O696:O701" si="525">(E696*N696)</f>
        <v>29</v>
      </c>
      <c r="P696" s="85">
        <v>3.0</v>
      </c>
      <c r="Q696" s="94">
        <v>0.0</v>
      </c>
      <c r="R696" s="85">
        <v>2.0</v>
      </c>
      <c r="S696" s="94">
        <v>0.0</v>
      </c>
      <c r="T696" s="85">
        <v>6.0</v>
      </c>
      <c r="U696" s="85">
        <v>1.0</v>
      </c>
      <c r="V696" s="85">
        <v>1.0</v>
      </c>
      <c r="W696" s="94">
        <v>0.0</v>
      </c>
      <c r="X696" s="94">
        <v>0.0</v>
      </c>
      <c r="Y696" s="94">
        <v>0.0</v>
      </c>
      <c r="Z696" s="94">
        <v>0.0</v>
      </c>
      <c r="AA696" s="94">
        <v>0.0</v>
      </c>
      <c r="AB696" s="94">
        <v>0.0</v>
      </c>
      <c r="AC696" s="94">
        <v>0.0</v>
      </c>
      <c r="AD696" s="94">
        <v>0.0</v>
      </c>
      <c r="AE696" s="94">
        <v>0.0</v>
      </c>
      <c r="AF696" s="94">
        <v>0.0</v>
      </c>
      <c r="AG696" s="94">
        <v>0.0</v>
      </c>
      <c r="AH696" s="94">
        <v>0.0</v>
      </c>
    </row>
    <row r="697" hidden="1">
      <c r="A697" s="83" t="s">
        <v>28</v>
      </c>
      <c r="B697" s="84" t="s">
        <v>180</v>
      </c>
      <c r="C697" s="85">
        <v>1.0</v>
      </c>
      <c r="D697" s="85">
        <v>1.0</v>
      </c>
      <c r="E697" s="86">
        <v>29.0</v>
      </c>
      <c r="F697" s="94">
        <v>0.0</v>
      </c>
      <c r="G697" s="85">
        <v>65.0</v>
      </c>
      <c r="H697" s="94">
        <v>0.0</v>
      </c>
      <c r="I697" s="85">
        <v>64.0</v>
      </c>
      <c r="J697" s="95">
        <f t="shared" si="517"/>
        <v>1</v>
      </c>
      <c r="K697" s="87">
        <f t="shared" si="518"/>
        <v>1.015625</v>
      </c>
      <c r="L697" s="85">
        <v>24.0</v>
      </c>
      <c r="M697" s="85">
        <v>83.0</v>
      </c>
      <c r="N697" s="85">
        <v>1.0</v>
      </c>
      <c r="O697" s="110">
        <f t="shared" si="525"/>
        <v>29</v>
      </c>
      <c r="P697" s="85">
        <v>4.0</v>
      </c>
      <c r="Q697" s="85">
        <v>1.0</v>
      </c>
      <c r="R697" s="85">
        <v>5.0</v>
      </c>
      <c r="S697" s="94">
        <v>0.0</v>
      </c>
      <c r="T697" s="85">
        <v>7.0</v>
      </c>
      <c r="U697" s="85">
        <v>1.0</v>
      </c>
      <c r="V697" s="94">
        <v>0.0</v>
      </c>
      <c r="W697" s="94">
        <v>0.0</v>
      </c>
      <c r="X697" s="94">
        <v>0.0</v>
      </c>
      <c r="Y697" s="94">
        <v>0.0</v>
      </c>
      <c r="Z697" s="94">
        <v>0.0</v>
      </c>
      <c r="AA697" s="94">
        <v>0.0</v>
      </c>
      <c r="AB697" s="94">
        <v>0.0</v>
      </c>
      <c r="AC697" s="85">
        <v>2.0</v>
      </c>
      <c r="AD697" s="94">
        <v>0.0</v>
      </c>
      <c r="AE697" s="94">
        <v>0.0</v>
      </c>
      <c r="AF697" s="94">
        <v>0.0</v>
      </c>
      <c r="AG697" s="94">
        <v>0.0</v>
      </c>
      <c r="AH697" s="85">
        <v>1.0</v>
      </c>
    </row>
    <row r="698" hidden="1">
      <c r="A698" s="83" t="s">
        <v>28</v>
      </c>
      <c r="B698" s="84" t="s">
        <v>181</v>
      </c>
      <c r="C698" s="85">
        <v>1.0</v>
      </c>
      <c r="D698" s="85">
        <v>1.0</v>
      </c>
      <c r="E698" s="86">
        <v>29.0</v>
      </c>
      <c r="F698" s="94">
        <v>0.0</v>
      </c>
      <c r="G698" s="85">
        <v>87.0</v>
      </c>
      <c r="H698" s="94">
        <v>0.0</v>
      </c>
      <c r="I698" s="85">
        <v>87.0</v>
      </c>
      <c r="J698" s="95">
        <f t="shared" si="517"/>
        <v>0</v>
      </c>
      <c r="K698" s="87">
        <f t="shared" si="518"/>
        <v>1</v>
      </c>
      <c r="L698" s="85">
        <v>18.0</v>
      </c>
      <c r="M698" s="85">
        <v>103.0</v>
      </c>
      <c r="N698" s="85">
        <v>1.0</v>
      </c>
      <c r="O698" s="110">
        <f t="shared" si="525"/>
        <v>29</v>
      </c>
      <c r="P698" s="85">
        <v>2.0</v>
      </c>
      <c r="Q698" s="85">
        <v>1.0</v>
      </c>
      <c r="R698" s="85">
        <v>1.0</v>
      </c>
      <c r="S698" s="85">
        <v>1.0</v>
      </c>
      <c r="T698" s="85">
        <v>10.0</v>
      </c>
      <c r="U698" s="85">
        <v>7.0</v>
      </c>
      <c r="V698" s="85">
        <v>1.0</v>
      </c>
      <c r="W698" s="94">
        <v>0.0</v>
      </c>
      <c r="X698" s="94">
        <v>0.0</v>
      </c>
      <c r="Y698" s="94">
        <v>0.0</v>
      </c>
      <c r="Z698" s="94">
        <v>0.0</v>
      </c>
      <c r="AA698" s="94">
        <v>0.0</v>
      </c>
      <c r="AB698" s="94">
        <v>0.0</v>
      </c>
      <c r="AC698" s="85">
        <v>3.0</v>
      </c>
      <c r="AD698" s="94">
        <v>0.0</v>
      </c>
      <c r="AE698" s="94">
        <v>0.0</v>
      </c>
      <c r="AF698" s="94">
        <v>0.0</v>
      </c>
      <c r="AG698" s="94">
        <v>0.0</v>
      </c>
      <c r="AH698" s="94">
        <v>0.0</v>
      </c>
    </row>
    <row r="699" hidden="1">
      <c r="A699" s="83" t="s">
        <v>28</v>
      </c>
      <c r="B699" s="84" t="s">
        <v>182</v>
      </c>
      <c r="C699" s="85">
        <v>1.0</v>
      </c>
      <c r="D699" s="85">
        <v>1.0</v>
      </c>
      <c r="E699" s="86">
        <v>29.0</v>
      </c>
      <c r="F699" s="85">
        <v>3.0</v>
      </c>
      <c r="G699" s="85">
        <v>53.0</v>
      </c>
      <c r="H699" s="94">
        <v>0.0</v>
      </c>
      <c r="I699" s="85">
        <v>41.0</v>
      </c>
      <c r="J699" s="95">
        <f t="shared" si="517"/>
        <v>12</v>
      </c>
      <c r="K699" s="87">
        <f t="shared" si="518"/>
        <v>1.292682927</v>
      </c>
      <c r="L699" s="85">
        <v>40.0</v>
      </c>
      <c r="M699" s="85">
        <v>69.0</v>
      </c>
      <c r="N699" s="85">
        <v>1.0</v>
      </c>
      <c r="O699" s="110">
        <f t="shared" si="525"/>
        <v>29</v>
      </c>
      <c r="P699" s="85">
        <v>1.0</v>
      </c>
      <c r="Q699" s="85">
        <v>1.0</v>
      </c>
      <c r="R699" s="94">
        <v>0.0</v>
      </c>
      <c r="S699" s="85">
        <v>2.0</v>
      </c>
      <c r="T699" s="85">
        <v>8.0</v>
      </c>
      <c r="U699" s="85">
        <v>1.0</v>
      </c>
      <c r="V699" s="94">
        <v>0.0</v>
      </c>
      <c r="W699" s="94">
        <v>0.0</v>
      </c>
      <c r="X699" s="94">
        <v>0.0</v>
      </c>
      <c r="Y699" s="94">
        <v>0.0</v>
      </c>
      <c r="Z699" s="94">
        <v>0.0</v>
      </c>
      <c r="AA699" s="94">
        <v>0.0</v>
      </c>
      <c r="AB699" s="94">
        <v>0.0</v>
      </c>
      <c r="AC699" s="85">
        <v>1.0</v>
      </c>
      <c r="AD699" s="94">
        <v>0.0</v>
      </c>
      <c r="AE699" s="94">
        <v>0.0</v>
      </c>
      <c r="AF699" s="94">
        <v>0.0</v>
      </c>
      <c r="AG699" s="94">
        <v>0.0</v>
      </c>
      <c r="AH699" s="94">
        <v>0.0</v>
      </c>
    </row>
    <row r="700" hidden="1">
      <c r="A700" s="83" t="s">
        <v>28</v>
      </c>
      <c r="B700" s="84" t="s">
        <v>183</v>
      </c>
      <c r="C700" s="94">
        <v>0.0</v>
      </c>
      <c r="D700" s="94">
        <v>0.0</v>
      </c>
      <c r="E700" s="96">
        <f t="shared" ref="E700:E701" si="526">SUM(L700*I700)/60</f>
        <v>0</v>
      </c>
      <c r="F700" s="94">
        <v>0.0</v>
      </c>
      <c r="G700" s="94">
        <v>0.0</v>
      </c>
      <c r="H700" s="94">
        <v>0.0</v>
      </c>
      <c r="I700" s="94">
        <v>0.0</v>
      </c>
      <c r="J700" s="95">
        <f t="shared" si="517"/>
        <v>0</v>
      </c>
      <c r="K700" s="87" t="str">
        <f t="shared" si="518"/>
        <v>#DIV/0!</v>
      </c>
      <c r="L700" s="94">
        <v>0.0</v>
      </c>
      <c r="M700" s="94">
        <v>0.0</v>
      </c>
      <c r="N700" s="85">
        <v>0.0</v>
      </c>
      <c r="O700" s="110">
        <f t="shared" si="525"/>
        <v>0</v>
      </c>
      <c r="P700" s="94">
        <v>0.0</v>
      </c>
      <c r="Q700" s="94">
        <v>0.0</v>
      </c>
      <c r="R700" s="94">
        <v>0.0</v>
      </c>
      <c r="S700" s="94">
        <v>0.0</v>
      </c>
      <c r="T700" s="94">
        <v>0.0</v>
      </c>
      <c r="U700" s="94">
        <v>0.0</v>
      </c>
      <c r="V700" s="94">
        <v>0.0</v>
      </c>
      <c r="W700" s="94">
        <v>0.0</v>
      </c>
      <c r="X700" s="94">
        <v>0.0</v>
      </c>
      <c r="Y700" s="94">
        <v>0.0</v>
      </c>
      <c r="Z700" s="94">
        <v>0.0</v>
      </c>
      <c r="AA700" s="94">
        <v>0.0</v>
      </c>
      <c r="AB700" s="94">
        <v>0.0</v>
      </c>
      <c r="AC700" s="94">
        <v>0.0</v>
      </c>
      <c r="AD700" s="94">
        <v>0.0</v>
      </c>
      <c r="AE700" s="94">
        <v>0.0</v>
      </c>
      <c r="AF700" s="94">
        <v>0.0</v>
      </c>
      <c r="AG700" s="94">
        <v>0.0</v>
      </c>
      <c r="AH700" s="94">
        <v>0.0</v>
      </c>
    </row>
    <row r="701" hidden="1">
      <c r="A701" s="83" t="s">
        <v>28</v>
      </c>
      <c r="B701" s="84" t="s">
        <v>184</v>
      </c>
      <c r="C701" s="94">
        <v>0.0</v>
      </c>
      <c r="D701" s="94">
        <v>0.0</v>
      </c>
      <c r="E701" s="96">
        <f t="shared" si="526"/>
        <v>0</v>
      </c>
      <c r="F701" s="94">
        <v>0.0</v>
      </c>
      <c r="G701" s="94">
        <v>0.0</v>
      </c>
      <c r="H701" s="94">
        <v>0.0</v>
      </c>
      <c r="I701" s="94">
        <v>0.0</v>
      </c>
      <c r="J701" s="95">
        <f t="shared" si="517"/>
        <v>0</v>
      </c>
      <c r="K701" s="87" t="str">
        <f t="shared" si="518"/>
        <v>#DIV/0!</v>
      </c>
      <c r="L701" s="94">
        <v>0.0</v>
      </c>
      <c r="M701" s="94">
        <v>0.0</v>
      </c>
      <c r="N701" s="85">
        <v>0.0</v>
      </c>
      <c r="O701" s="110">
        <f t="shared" si="525"/>
        <v>0</v>
      </c>
      <c r="P701" s="94">
        <v>0.0</v>
      </c>
      <c r="Q701" s="94">
        <v>0.0</v>
      </c>
      <c r="R701" s="94">
        <v>0.0</v>
      </c>
      <c r="S701" s="94">
        <v>0.0</v>
      </c>
      <c r="T701" s="94">
        <v>0.0</v>
      </c>
      <c r="U701" s="94">
        <v>0.0</v>
      </c>
      <c r="V701" s="94">
        <v>0.0</v>
      </c>
      <c r="W701" s="94">
        <v>0.0</v>
      </c>
      <c r="X701" s="94">
        <v>0.0</v>
      </c>
      <c r="Y701" s="94">
        <v>0.0</v>
      </c>
      <c r="Z701" s="94">
        <v>0.0</v>
      </c>
      <c r="AA701" s="94">
        <v>0.0</v>
      </c>
      <c r="AB701" s="94">
        <v>0.0</v>
      </c>
      <c r="AC701" s="94">
        <v>0.0</v>
      </c>
      <c r="AD701" s="94">
        <v>0.0</v>
      </c>
      <c r="AE701" s="94">
        <v>0.0</v>
      </c>
      <c r="AF701" s="94">
        <v>0.0</v>
      </c>
      <c r="AG701" s="94">
        <v>0.0</v>
      </c>
      <c r="AH701" s="94">
        <v>0.0</v>
      </c>
    </row>
    <row r="702" hidden="1">
      <c r="A702" s="89" t="s">
        <v>185</v>
      </c>
      <c r="B702" s="111"/>
      <c r="C702" s="111">
        <f>SUM(C696:C701)</f>
        <v>4</v>
      </c>
      <c r="D702" s="111">
        <f t="shared" ref="D702:E702" si="527">SUM(D696:D701)/4</f>
        <v>1</v>
      </c>
      <c r="E702" s="91">
        <f t="shared" si="527"/>
        <v>29</v>
      </c>
      <c r="F702" s="111">
        <f t="shared" ref="F702:G702" si="528">SUM(F696:F701)</f>
        <v>5</v>
      </c>
      <c r="G702" s="111">
        <f t="shared" si="528"/>
        <v>273</v>
      </c>
      <c r="H702" s="111"/>
      <c r="I702" s="111">
        <f>SUM(I696:I701)</f>
        <v>273</v>
      </c>
      <c r="J702" s="111">
        <f t="shared" si="517"/>
        <v>0</v>
      </c>
      <c r="K702" s="92">
        <f t="shared" si="518"/>
        <v>1</v>
      </c>
      <c r="L702" s="111">
        <f t="shared" ref="L702:M702" si="529">SUM(L696:L701)</f>
        <v>102</v>
      </c>
      <c r="M702" s="111">
        <f t="shared" si="529"/>
        <v>335</v>
      </c>
      <c r="N702" s="111"/>
      <c r="O702" s="112"/>
      <c r="P702" s="111">
        <f t="shared" ref="P702:AH702" si="530">SUM(P696:P701)</f>
        <v>10</v>
      </c>
      <c r="Q702" s="111">
        <f t="shared" si="530"/>
        <v>3</v>
      </c>
      <c r="R702" s="111">
        <f t="shared" si="530"/>
        <v>8</v>
      </c>
      <c r="S702" s="111">
        <f t="shared" si="530"/>
        <v>3</v>
      </c>
      <c r="T702" s="111">
        <f t="shared" si="530"/>
        <v>31</v>
      </c>
      <c r="U702" s="111">
        <f t="shared" si="530"/>
        <v>10</v>
      </c>
      <c r="V702" s="111">
        <f t="shared" si="530"/>
        <v>2</v>
      </c>
      <c r="W702" s="111">
        <f t="shared" si="530"/>
        <v>0</v>
      </c>
      <c r="X702" s="111">
        <f t="shared" si="530"/>
        <v>0</v>
      </c>
      <c r="Y702" s="111">
        <f t="shared" si="530"/>
        <v>0</v>
      </c>
      <c r="Z702" s="111">
        <f t="shared" si="530"/>
        <v>0</v>
      </c>
      <c r="AA702" s="111">
        <f t="shared" si="530"/>
        <v>0</v>
      </c>
      <c r="AB702" s="111">
        <f t="shared" si="530"/>
        <v>0</v>
      </c>
      <c r="AC702" s="111">
        <f t="shared" si="530"/>
        <v>6</v>
      </c>
      <c r="AD702" s="111">
        <f t="shared" si="530"/>
        <v>0</v>
      </c>
      <c r="AE702" s="111">
        <f t="shared" si="530"/>
        <v>0</v>
      </c>
      <c r="AF702" s="111">
        <f t="shared" si="530"/>
        <v>0</v>
      </c>
      <c r="AG702" s="111">
        <f t="shared" si="530"/>
        <v>0</v>
      </c>
      <c r="AH702" s="111">
        <f t="shared" si="530"/>
        <v>1</v>
      </c>
    </row>
    <row r="703">
      <c r="A703" s="104" t="s">
        <v>295</v>
      </c>
    </row>
    <row r="705" hidden="1">
      <c r="A705" s="105"/>
      <c r="F705" s="106" t="s">
        <v>251</v>
      </c>
      <c r="L705" s="107" t="s">
        <v>252</v>
      </c>
      <c r="N705" s="108" t="s">
        <v>253</v>
      </c>
    </row>
    <row r="706" hidden="1">
      <c r="A706" s="76" t="s">
        <v>148</v>
      </c>
      <c r="B706" s="76" t="s">
        <v>149</v>
      </c>
      <c r="C706" s="76" t="s">
        <v>150</v>
      </c>
      <c r="D706" s="76" t="s">
        <v>13</v>
      </c>
      <c r="E706" s="77" t="s">
        <v>151</v>
      </c>
      <c r="F706" s="78" t="s">
        <v>15</v>
      </c>
      <c r="G706" s="78" t="s">
        <v>152</v>
      </c>
      <c r="H706" s="78" t="s">
        <v>153</v>
      </c>
      <c r="I706" s="78" t="s">
        <v>154</v>
      </c>
      <c r="J706" s="78" t="s">
        <v>155</v>
      </c>
      <c r="K706" s="79" t="s">
        <v>156</v>
      </c>
      <c r="L706" s="80" t="s">
        <v>157</v>
      </c>
      <c r="M706" s="80" t="s">
        <v>158</v>
      </c>
      <c r="N706" s="81" t="s">
        <v>254</v>
      </c>
      <c r="O706" s="81" t="s">
        <v>151</v>
      </c>
      <c r="P706" s="81" t="s">
        <v>160</v>
      </c>
      <c r="Q706" s="81" t="s">
        <v>161</v>
      </c>
      <c r="R706" s="81" t="s">
        <v>162</v>
      </c>
      <c r="S706" s="81" t="s">
        <v>163</v>
      </c>
      <c r="T706" s="81" t="s">
        <v>164</v>
      </c>
      <c r="U706" s="81" t="s">
        <v>165</v>
      </c>
      <c r="V706" s="81" t="s">
        <v>166</v>
      </c>
      <c r="W706" s="81" t="s">
        <v>167</v>
      </c>
      <c r="X706" s="81" t="s">
        <v>168</v>
      </c>
      <c r="Y706" s="81" t="s">
        <v>169</v>
      </c>
      <c r="Z706" s="81" t="s">
        <v>170</v>
      </c>
      <c r="AA706" s="81" t="s">
        <v>171</v>
      </c>
      <c r="AB706" s="81" t="s">
        <v>172</v>
      </c>
      <c r="AC706" s="81" t="s">
        <v>173</v>
      </c>
      <c r="AD706" s="81" t="s">
        <v>174</v>
      </c>
      <c r="AE706" s="81" t="s">
        <v>175</v>
      </c>
      <c r="AF706" s="81" t="s">
        <v>176</v>
      </c>
      <c r="AG706" s="81" t="s">
        <v>177</v>
      </c>
      <c r="AH706" s="81" t="s">
        <v>178</v>
      </c>
    </row>
    <row r="707" hidden="1">
      <c r="A707" s="109" t="s">
        <v>58</v>
      </c>
      <c r="B707" s="93" t="s">
        <v>209</v>
      </c>
      <c r="C707" s="85">
        <v>1.0</v>
      </c>
      <c r="D707" s="94">
        <v>0.0</v>
      </c>
      <c r="E707" s="86">
        <v>18.0</v>
      </c>
      <c r="F707" s="94">
        <v>0.0</v>
      </c>
      <c r="G707" s="85">
        <v>59.0</v>
      </c>
      <c r="H707" s="85">
        <v>1.0</v>
      </c>
      <c r="I707" s="85">
        <v>85.0</v>
      </c>
      <c r="J707" s="95">
        <f t="shared" ref="J707:J720" si="531">SUM(G707-I707)</f>
        <v>-26</v>
      </c>
      <c r="K707" s="87">
        <f t="shared" ref="K707:K720" si="532">SUM(G707/I707)</f>
        <v>0.6941176471</v>
      </c>
      <c r="L707" s="85">
        <v>10.0</v>
      </c>
      <c r="M707" s="85">
        <v>70.0</v>
      </c>
      <c r="N707" s="85">
        <v>1.0</v>
      </c>
      <c r="O707" s="110">
        <f t="shared" ref="O707:O712" si="533">(E707*N707)</f>
        <v>18</v>
      </c>
      <c r="P707" s="85">
        <v>2.0</v>
      </c>
      <c r="Q707" s="85">
        <v>0.0</v>
      </c>
      <c r="R707" s="85">
        <v>3.0</v>
      </c>
      <c r="S707" s="85">
        <v>1.0</v>
      </c>
      <c r="T707" s="85">
        <v>4.0</v>
      </c>
      <c r="U707" s="85">
        <v>2.0</v>
      </c>
      <c r="V707" s="94">
        <v>0.0</v>
      </c>
      <c r="W707" s="94">
        <v>0.0</v>
      </c>
      <c r="X707" s="94">
        <v>0.0</v>
      </c>
      <c r="Y707" s="94">
        <v>0.0</v>
      </c>
      <c r="Z707" s="94">
        <v>0.0</v>
      </c>
      <c r="AA707" s="94">
        <v>0.0</v>
      </c>
      <c r="AB707" s="94">
        <v>0.0</v>
      </c>
      <c r="AC707" s="85">
        <v>1.0</v>
      </c>
      <c r="AD707" s="94">
        <v>0.0</v>
      </c>
      <c r="AE707" s="94">
        <v>0.0</v>
      </c>
      <c r="AF707" s="94">
        <v>0.0</v>
      </c>
      <c r="AG707" s="94">
        <v>0.0</v>
      </c>
      <c r="AH707" s="94">
        <v>0.0</v>
      </c>
    </row>
    <row r="708" hidden="1">
      <c r="A708" s="109" t="s">
        <v>58</v>
      </c>
      <c r="B708" s="93" t="s">
        <v>210</v>
      </c>
      <c r="C708" s="85">
        <v>1.0</v>
      </c>
      <c r="D708" s="94">
        <v>0.0</v>
      </c>
      <c r="E708" s="86">
        <v>18.0</v>
      </c>
      <c r="F708" s="94">
        <v>0.0</v>
      </c>
      <c r="G708" s="85">
        <v>55.0</v>
      </c>
      <c r="H708" s="94">
        <v>0.0</v>
      </c>
      <c r="I708" s="85">
        <v>61.0</v>
      </c>
      <c r="J708" s="95">
        <f t="shared" si="531"/>
        <v>-6</v>
      </c>
      <c r="K708" s="87">
        <f t="shared" si="532"/>
        <v>0.9016393443</v>
      </c>
      <c r="L708" s="85">
        <v>15.0</v>
      </c>
      <c r="M708" s="85">
        <v>74.0</v>
      </c>
      <c r="N708" s="85">
        <v>1.0</v>
      </c>
      <c r="O708" s="110">
        <f t="shared" si="533"/>
        <v>18</v>
      </c>
      <c r="P708" s="85">
        <v>2.0</v>
      </c>
      <c r="Q708" s="85">
        <v>1.0</v>
      </c>
      <c r="R708" s="85">
        <v>3.0</v>
      </c>
      <c r="S708" s="85">
        <v>2.0</v>
      </c>
      <c r="T708" s="85">
        <v>7.0</v>
      </c>
      <c r="U708" s="85">
        <v>2.0</v>
      </c>
      <c r="V708" s="85">
        <v>2.0</v>
      </c>
      <c r="W708" s="85">
        <v>1.0</v>
      </c>
      <c r="X708" s="85">
        <v>1.0</v>
      </c>
      <c r="Y708" s="94">
        <v>0.0</v>
      </c>
      <c r="Z708" s="94">
        <v>0.0</v>
      </c>
      <c r="AA708" s="94">
        <v>0.0</v>
      </c>
      <c r="AB708" s="94">
        <v>0.0</v>
      </c>
      <c r="AC708" s="85">
        <v>2.0</v>
      </c>
      <c r="AD708" s="94">
        <v>0.0</v>
      </c>
      <c r="AE708" s="94">
        <v>0.0</v>
      </c>
      <c r="AF708" s="94">
        <v>0.0</v>
      </c>
      <c r="AG708" s="94">
        <v>0.0</v>
      </c>
      <c r="AH708" s="94">
        <v>0.0</v>
      </c>
    </row>
    <row r="709" hidden="1">
      <c r="A709" s="109" t="s">
        <v>58</v>
      </c>
      <c r="B709" s="93" t="s">
        <v>211</v>
      </c>
      <c r="C709" s="85">
        <v>1.0</v>
      </c>
      <c r="D709" s="94">
        <v>0.0</v>
      </c>
      <c r="E709" s="86">
        <v>18.0</v>
      </c>
      <c r="F709" s="94">
        <v>0.0</v>
      </c>
      <c r="G709" s="85">
        <v>42.0</v>
      </c>
      <c r="H709" s="94">
        <v>0.0</v>
      </c>
      <c r="I709" s="85">
        <v>44.0</v>
      </c>
      <c r="J709" s="95">
        <f t="shared" si="531"/>
        <v>-2</v>
      </c>
      <c r="K709" s="87">
        <f t="shared" si="532"/>
        <v>0.9545454545</v>
      </c>
      <c r="L709" s="85">
        <v>21.0</v>
      </c>
      <c r="M709" s="85">
        <v>48.0</v>
      </c>
      <c r="N709" s="85">
        <v>1.0</v>
      </c>
      <c r="O709" s="110">
        <f t="shared" si="533"/>
        <v>18</v>
      </c>
      <c r="P709" s="85">
        <v>2.0</v>
      </c>
      <c r="Q709" s="85">
        <v>1.0</v>
      </c>
      <c r="R709" s="85">
        <v>3.0</v>
      </c>
      <c r="S709" s="85">
        <v>1.0</v>
      </c>
      <c r="T709" s="94">
        <v>0.0</v>
      </c>
      <c r="U709" s="94">
        <v>0.0</v>
      </c>
      <c r="V709" s="94">
        <v>0.0</v>
      </c>
      <c r="W709" s="94">
        <v>0.0</v>
      </c>
      <c r="X709" s="94">
        <v>0.0</v>
      </c>
      <c r="Y709" s="94">
        <v>0.0</v>
      </c>
      <c r="Z709" s="94">
        <v>0.0</v>
      </c>
      <c r="AA709" s="94">
        <v>0.0</v>
      </c>
      <c r="AB709" s="94">
        <v>0.0</v>
      </c>
      <c r="AC709" s="94">
        <v>0.0</v>
      </c>
      <c r="AD709" s="94">
        <v>0.0</v>
      </c>
      <c r="AE709" s="94">
        <v>0.0</v>
      </c>
      <c r="AF709" s="94">
        <v>0.0</v>
      </c>
      <c r="AG709" s="94">
        <v>0.0</v>
      </c>
      <c r="AH709" s="94">
        <v>0.0</v>
      </c>
    </row>
    <row r="710" hidden="1">
      <c r="A710" s="109" t="s">
        <v>58</v>
      </c>
      <c r="B710" s="93" t="s">
        <v>212</v>
      </c>
      <c r="C710" s="85">
        <v>1.0</v>
      </c>
      <c r="D710" s="94">
        <v>0.0</v>
      </c>
      <c r="E710" s="86">
        <v>18.0</v>
      </c>
      <c r="F710" s="85">
        <v>1.0</v>
      </c>
      <c r="G710" s="85">
        <v>57.0</v>
      </c>
      <c r="H710" s="94">
        <v>0.0</v>
      </c>
      <c r="I710" s="85">
        <v>48.0</v>
      </c>
      <c r="J710" s="95">
        <f t="shared" si="531"/>
        <v>9</v>
      </c>
      <c r="K710" s="87">
        <f t="shared" si="532"/>
        <v>1.1875</v>
      </c>
      <c r="L710" s="85">
        <v>19.0</v>
      </c>
      <c r="M710" s="85">
        <v>74.0</v>
      </c>
      <c r="N710" s="85">
        <v>1.0</v>
      </c>
      <c r="O710" s="110">
        <f t="shared" si="533"/>
        <v>18</v>
      </c>
      <c r="P710" s="85">
        <v>1.0</v>
      </c>
      <c r="Q710" s="94">
        <v>0.0</v>
      </c>
      <c r="R710" s="85">
        <v>4.0</v>
      </c>
      <c r="S710" s="85">
        <v>1.0</v>
      </c>
      <c r="T710" s="85">
        <v>11.0</v>
      </c>
      <c r="U710" s="94">
        <v>0.0</v>
      </c>
      <c r="V710" s="94">
        <v>0.0</v>
      </c>
      <c r="W710" s="94">
        <v>0.0</v>
      </c>
      <c r="X710" s="94">
        <v>0.0</v>
      </c>
      <c r="Y710" s="94">
        <v>0.0</v>
      </c>
      <c r="Z710" s="94">
        <v>0.0</v>
      </c>
      <c r="AA710" s="94">
        <v>0.0</v>
      </c>
      <c r="AB710" s="94">
        <v>0.0</v>
      </c>
      <c r="AC710" s="85">
        <v>3.0</v>
      </c>
      <c r="AD710" s="94">
        <v>0.0</v>
      </c>
      <c r="AE710" s="94">
        <v>0.0</v>
      </c>
      <c r="AF710" s="94">
        <v>0.0</v>
      </c>
      <c r="AG710" s="94">
        <v>0.0</v>
      </c>
      <c r="AH710" s="94">
        <v>0.0</v>
      </c>
    </row>
    <row r="711" hidden="1">
      <c r="A711" s="109" t="s">
        <v>58</v>
      </c>
      <c r="B711" s="93" t="s">
        <v>213</v>
      </c>
      <c r="C711" s="94">
        <v>0.0</v>
      </c>
      <c r="D711" s="94">
        <v>0.0</v>
      </c>
      <c r="E711" s="96">
        <f t="shared" ref="E711:E712" si="534">SUM(L711*I711)/60</f>
        <v>0</v>
      </c>
      <c r="F711" s="94">
        <v>0.0</v>
      </c>
      <c r="G711" s="94">
        <v>0.0</v>
      </c>
      <c r="H711" s="94">
        <v>0.0</v>
      </c>
      <c r="I711" s="94">
        <v>0.0</v>
      </c>
      <c r="J711" s="95">
        <f t="shared" si="531"/>
        <v>0</v>
      </c>
      <c r="K711" s="87" t="str">
        <f t="shared" si="532"/>
        <v>#DIV/0!</v>
      </c>
      <c r="L711" s="94">
        <v>0.0</v>
      </c>
      <c r="M711" s="94">
        <v>0.0</v>
      </c>
      <c r="N711" s="85">
        <v>0.0</v>
      </c>
      <c r="O711" s="110">
        <f t="shared" si="533"/>
        <v>0</v>
      </c>
      <c r="P711" s="94">
        <v>0.0</v>
      </c>
      <c r="Q711" s="94">
        <v>0.0</v>
      </c>
      <c r="R711" s="94">
        <v>0.0</v>
      </c>
      <c r="S711" s="94">
        <v>0.0</v>
      </c>
      <c r="T711" s="94">
        <v>0.0</v>
      </c>
      <c r="U711" s="94">
        <v>0.0</v>
      </c>
      <c r="V711" s="94">
        <v>0.0</v>
      </c>
      <c r="W711" s="94">
        <v>0.0</v>
      </c>
      <c r="X711" s="94">
        <v>0.0</v>
      </c>
      <c r="Y711" s="94">
        <v>0.0</v>
      </c>
      <c r="Z711" s="94">
        <v>0.0</v>
      </c>
      <c r="AA711" s="94">
        <v>0.0</v>
      </c>
      <c r="AB711" s="94">
        <v>0.0</v>
      </c>
      <c r="AC711" s="94">
        <v>0.0</v>
      </c>
      <c r="AD711" s="94">
        <v>0.0</v>
      </c>
      <c r="AE711" s="94">
        <v>0.0</v>
      </c>
      <c r="AF711" s="94">
        <v>0.0</v>
      </c>
      <c r="AG711" s="94">
        <v>0.0</v>
      </c>
      <c r="AH711" s="94">
        <v>0.0</v>
      </c>
    </row>
    <row r="712" hidden="1">
      <c r="A712" s="109" t="s">
        <v>214</v>
      </c>
      <c r="B712" s="93" t="s">
        <v>189</v>
      </c>
      <c r="C712" s="94">
        <v>0.0</v>
      </c>
      <c r="D712" s="94">
        <v>0.0</v>
      </c>
      <c r="E712" s="96">
        <f t="shared" si="534"/>
        <v>0</v>
      </c>
      <c r="F712" s="94">
        <v>0.0</v>
      </c>
      <c r="G712" s="94">
        <v>0.0</v>
      </c>
      <c r="H712" s="94">
        <v>0.0</v>
      </c>
      <c r="I712" s="94">
        <v>0.0</v>
      </c>
      <c r="J712" s="95">
        <f t="shared" si="531"/>
        <v>0</v>
      </c>
      <c r="K712" s="87" t="str">
        <f t="shared" si="532"/>
        <v>#DIV/0!</v>
      </c>
      <c r="L712" s="94">
        <v>0.0</v>
      </c>
      <c r="M712" s="94">
        <v>0.0</v>
      </c>
      <c r="N712" s="85">
        <v>0.0</v>
      </c>
      <c r="O712" s="110">
        <f t="shared" si="533"/>
        <v>0</v>
      </c>
      <c r="P712" s="94">
        <v>0.0</v>
      </c>
      <c r="Q712" s="94">
        <v>0.0</v>
      </c>
      <c r="R712" s="94">
        <v>0.0</v>
      </c>
      <c r="S712" s="94">
        <v>0.0</v>
      </c>
      <c r="T712" s="94">
        <v>0.0</v>
      </c>
      <c r="U712" s="94">
        <v>0.0</v>
      </c>
      <c r="V712" s="94">
        <v>0.0</v>
      </c>
      <c r="W712" s="94">
        <v>0.0</v>
      </c>
      <c r="X712" s="94">
        <v>0.0</v>
      </c>
      <c r="Y712" s="94">
        <v>0.0</v>
      </c>
      <c r="Z712" s="94">
        <v>0.0</v>
      </c>
      <c r="AA712" s="94">
        <v>0.0</v>
      </c>
      <c r="AB712" s="94">
        <v>0.0</v>
      </c>
      <c r="AC712" s="94">
        <v>0.0</v>
      </c>
      <c r="AD712" s="94">
        <v>0.0</v>
      </c>
      <c r="AE712" s="94">
        <v>0.0</v>
      </c>
      <c r="AF712" s="94">
        <v>0.0</v>
      </c>
      <c r="AG712" s="94">
        <v>0.0</v>
      </c>
      <c r="AH712" s="94">
        <v>0.0</v>
      </c>
    </row>
    <row r="713" hidden="1">
      <c r="A713" s="89"/>
      <c r="B713" s="111"/>
      <c r="C713" s="111">
        <f t="shared" ref="C713:D713" si="535">SUM(C707:C712)/4</f>
        <v>1</v>
      </c>
      <c r="D713" s="111">
        <f t="shared" si="535"/>
        <v>0</v>
      </c>
      <c r="E713" s="91">
        <f t="shared" ref="E713:G713" si="536">SUM(E707:E712)</f>
        <v>72</v>
      </c>
      <c r="F713" s="111">
        <f t="shared" si="536"/>
        <v>1</v>
      </c>
      <c r="G713" s="111">
        <f t="shared" si="536"/>
        <v>213</v>
      </c>
      <c r="H713" s="111"/>
      <c r="I713" s="111">
        <f>SUM(I707:I712)</f>
        <v>238</v>
      </c>
      <c r="J713" s="111">
        <f t="shared" si="531"/>
        <v>-25</v>
      </c>
      <c r="K713" s="92">
        <f t="shared" si="532"/>
        <v>0.8949579832</v>
      </c>
      <c r="L713" s="111">
        <f t="shared" ref="L713:M713" si="537">SUM(L707:L712)</f>
        <v>65</v>
      </c>
      <c r="M713" s="111">
        <f t="shared" si="537"/>
        <v>266</v>
      </c>
      <c r="N713" s="111"/>
      <c r="O713" s="112"/>
      <c r="P713" s="111">
        <f t="shared" ref="P713:AH713" si="538">SUM(P707:P712)</f>
        <v>7</v>
      </c>
      <c r="Q713" s="111">
        <f t="shared" si="538"/>
        <v>2</v>
      </c>
      <c r="R713" s="111">
        <f t="shared" si="538"/>
        <v>13</v>
      </c>
      <c r="S713" s="111">
        <f t="shared" si="538"/>
        <v>5</v>
      </c>
      <c r="T713" s="111">
        <f t="shared" si="538"/>
        <v>22</v>
      </c>
      <c r="U713" s="111">
        <f t="shared" si="538"/>
        <v>4</v>
      </c>
      <c r="V713" s="111">
        <f t="shared" si="538"/>
        <v>2</v>
      </c>
      <c r="W713" s="111">
        <f t="shared" si="538"/>
        <v>1</v>
      </c>
      <c r="X713" s="111">
        <f t="shared" si="538"/>
        <v>1</v>
      </c>
      <c r="Y713" s="111">
        <f t="shared" si="538"/>
        <v>0</v>
      </c>
      <c r="Z713" s="111">
        <f t="shared" si="538"/>
        <v>0</v>
      </c>
      <c r="AA713" s="111">
        <f t="shared" si="538"/>
        <v>0</v>
      </c>
      <c r="AB713" s="111">
        <f t="shared" si="538"/>
        <v>0</v>
      </c>
      <c r="AC713" s="111">
        <f t="shared" si="538"/>
        <v>6</v>
      </c>
      <c r="AD713" s="111">
        <f t="shared" si="538"/>
        <v>0</v>
      </c>
      <c r="AE713" s="111">
        <f t="shared" si="538"/>
        <v>0</v>
      </c>
      <c r="AF713" s="111">
        <f t="shared" si="538"/>
        <v>0</v>
      </c>
      <c r="AG713" s="111">
        <f t="shared" si="538"/>
        <v>0</v>
      </c>
      <c r="AH713" s="111">
        <f t="shared" si="538"/>
        <v>0</v>
      </c>
    </row>
    <row r="714" hidden="1">
      <c r="A714" s="109" t="s">
        <v>40</v>
      </c>
      <c r="B714" s="93" t="s">
        <v>216</v>
      </c>
      <c r="C714" s="85">
        <v>1.0</v>
      </c>
      <c r="D714" s="85">
        <v>1.0</v>
      </c>
      <c r="E714" s="86">
        <v>18.0</v>
      </c>
      <c r="F714" s="85">
        <v>2.0</v>
      </c>
      <c r="G714" s="85">
        <v>29.0</v>
      </c>
      <c r="H714" s="94">
        <v>0.0</v>
      </c>
      <c r="I714" s="85">
        <v>38.0</v>
      </c>
      <c r="J714" s="95">
        <f t="shared" si="531"/>
        <v>-9</v>
      </c>
      <c r="K714" s="87">
        <f t="shared" si="532"/>
        <v>0.7631578947</v>
      </c>
      <c r="L714" s="85">
        <v>25.0</v>
      </c>
      <c r="M714" s="85">
        <v>39.0</v>
      </c>
      <c r="N714" s="85">
        <v>1.0</v>
      </c>
      <c r="O714" s="110">
        <f t="shared" ref="O714:O719" si="539">(E714*N714)</f>
        <v>18</v>
      </c>
      <c r="P714" s="85">
        <v>2.0</v>
      </c>
      <c r="Q714" s="85">
        <v>1.0</v>
      </c>
      <c r="R714" s="94">
        <v>0.0</v>
      </c>
      <c r="S714" s="85">
        <v>3.0</v>
      </c>
      <c r="T714" s="85">
        <v>2.0</v>
      </c>
      <c r="U714" s="85">
        <v>1.0</v>
      </c>
      <c r="V714" s="94">
        <v>0.0</v>
      </c>
      <c r="W714" s="94">
        <v>0.0</v>
      </c>
      <c r="X714" s="94">
        <v>0.0</v>
      </c>
      <c r="Y714" s="94">
        <v>0.0</v>
      </c>
      <c r="Z714" s="94">
        <v>0.0</v>
      </c>
      <c r="AA714" s="94">
        <v>0.0</v>
      </c>
      <c r="AB714" s="94">
        <v>0.0</v>
      </c>
      <c r="AC714" s="85">
        <v>2.0</v>
      </c>
      <c r="AD714" s="94">
        <v>0.0</v>
      </c>
      <c r="AE714" s="94">
        <v>0.0</v>
      </c>
      <c r="AF714" s="94">
        <v>0.0</v>
      </c>
      <c r="AG714" s="94">
        <v>0.0</v>
      </c>
      <c r="AH714" s="94">
        <v>0.0</v>
      </c>
    </row>
    <row r="715" hidden="1">
      <c r="A715" s="109" t="s">
        <v>40</v>
      </c>
      <c r="B715" s="93" t="s">
        <v>217</v>
      </c>
      <c r="C715" s="85">
        <v>1.0</v>
      </c>
      <c r="D715" s="85">
        <v>1.0</v>
      </c>
      <c r="E715" s="86">
        <v>18.0</v>
      </c>
      <c r="F715" s="85">
        <v>1.0</v>
      </c>
      <c r="G715" s="85">
        <v>62.0</v>
      </c>
      <c r="H715" s="94">
        <v>0.0</v>
      </c>
      <c r="I715" s="85">
        <v>57.0</v>
      </c>
      <c r="J715" s="95">
        <f t="shared" si="531"/>
        <v>5</v>
      </c>
      <c r="K715" s="87">
        <f t="shared" si="532"/>
        <v>1.087719298</v>
      </c>
      <c r="L715" s="85">
        <v>16.0</v>
      </c>
      <c r="M715" s="85">
        <v>79.0</v>
      </c>
      <c r="N715" s="85">
        <v>1.0</v>
      </c>
      <c r="O715" s="110">
        <f t="shared" si="539"/>
        <v>18</v>
      </c>
      <c r="P715" s="85">
        <v>3.0</v>
      </c>
      <c r="Q715" s="94">
        <v>0.0</v>
      </c>
      <c r="R715" s="85">
        <v>4.0</v>
      </c>
      <c r="S715" s="94">
        <v>0.0</v>
      </c>
      <c r="T715" s="85">
        <v>7.0</v>
      </c>
      <c r="U715" s="85">
        <v>4.0</v>
      </c>
      <c r="V715" s="85">
        <v>1.0</v>
      </c>
      <c r="W715" s="94">
        <v>0.0</v>
      </c>
      <c r="X715" s="94">
        <v>0.0</v>
      </c>
      <c r="Y715" s="94">
        <v>0.0</v>
      </c>
      <c r="Z715" s="94">
        <v>0.0</v>
      </c>
      <c r="AA715" s="94">
        <v>0.0</v>
      </c>
      <c r="AB715" s="94">
        <v>0.0</v>
      </c>
      <c r="AC715" s="85">
        <v>2.0</v>
      </c>
      <c r="AD715" s="94">
        <v>0.0</v>
      </c>
      <c r="AE715" s="94">
        <v>0.0</v>
      </c>
      <c r="AF715" s="94">
        <v>0.0</v>
      </c>
      <c r="AG715" s="94">
        <v>0.0</v>
      </c>
      <c r="AH715" s="94">
        <v>0.0</v>
      </c>
    </row>
    <row r="716" hidden="1">
      <c r="A716" s="109" t="s">
        <v>40</v>
      </c>
      <c r="B716" s="93" t="s">
        <v>218</v>
      </c>
      <c r="C716" s="85">
        <v>1.0</v>
      </c>
      <c r="D716" s="85">
        <v>1.0</v>
      </c>
      <c r="E716" s="86">
        <v>18.0</v>
      </c>
      <c r="F716" s="85">
        <v>2.0</v>
      </c>
      <c r="G716" s="85">
        <v>64.0</v>
      </c>
      <c r="H716" s="85">
        <v>1.0</v>
      </c>
      <c r="I716" s="85">
        <v>61.0</v>
      </c>
      <c r="J716" s="95">
        <f t="shared" si="531"/>
        <v>3</v>
      </c>
      <c r="K716" s="87">
        <f t="shared" si="532"/>
        <v>1.049180328</v>
      </c>
      <c r="L716" s="85">
        <v>15.0</v>
      </c>
      <c r="M716" s="85">
        <v>81.0</v>
      </c>
      <c r="N716" s="85">
        <v>1.0</v>
      </c>
      <c r="O716" s="110">
        <f t="shared" si="539"/>
        <v>18</v>
      </c>
      <c r="P716" s="85">
        <v>1.0</v>
      </c>
      <c r="Q716" s="85">
        <v>1.0</v>
      </c>
      <c r="R716" s="85">
        <v>4.0</v>
      </c>
      <c r="S716" s="85">
        <v>1.0</v>
      </c>
      <c r="T716" s="85">
        <v>7.0</v>
      </c>
      <c r="U716" s="85">
        <v>2.0</v>
      </c>
      <c r="V716" s="85">
        <v>1.0</v>
      </c>
      <c r="W716" s="94">
        <v>0.0</v>
      </c>
      <c r="X716" s="94">
        <v>0.0</v>
      </c>
      <c r="Y716" s="94">
        <v>0.0</v>
      </c>
      <c r="Z716" s="94">
        <v>0.0</v>
      </c>
      <c r="AA716" s="94">
        <v>0.0</v>
      </c>
      <c r="AB716" s="94">
        <v>0.0</v>
      </c>
      <c r="AC716" s="85">
        <v>2.0</v>
      </c>
      <c r="AD716" s="85">
        <v>0.0</v>
      </c>
      <c r="AE716" s="94">
        <v>0.0</v>
      </c>
      <c r="AF716" s="94">
        <v>0.0</v>
      </c>
      <c r="AG716" s="94">
        <v>0.0</v>
      </c>
      <c r="AH716" s="94">
        <v>0.0</v>
      </c>
    </row>
    <row r="717" hidden="1">
      <c r="A717" s="109" t="s">
        <v>40</v>
      </c>
      <c r="B717" s="93" t="s">
        <v>219</v>
      </c>
      <c r="C717" s="94">
        <v>0.0</v>
      </c>
      <c r="D717" s="94">
        <v>0.0</v>
      </c>
      <c r="E717" s="96">
        <f>SUM(L717*I717)/60</f>
        <v>0</v>
      </c>
      <c r="F717" s="94">
        <v>0.0</v>
      </c>
      <c r="G717" s="94">
        <v>0.0</v>
      </c>
      <c r="H717" s="94">
        <v>0.0</v>
      </c>
      <c r="I717" s="94">
        <v>0.0</v>
      </c>
      <c r="J717" s="95">
        <f t="shared" si="531"/>
        <v>0</v>
      </c>
      <c r="K717" s="87" t="str">
        <f t="shared" si="532"/>
        <v>#DIV/0!</v>
      </c>
      <c r="L717" s="94">
        <v>0.0</v>
      </c>
      <c r="M717" s="94">
        <v>0.0</v>
      </c>
      <c r="N717" s="85">
        <v>0.0</v>
      </c>
      <c r="O717" s="110">
        <f t="shared" si="539"/>
        <v>0</v>
      </c>
      <c r="P717" s="94">
        <v>0.0</v>
      </c>
      <c r="Q717" s="94">
        <v>0.0</v>
      </c>
      <c r="R717" s="94">
        <v>0.0</v>
      </c>
      <c r="S717" s="94">
        <v>0.0</v>
      </c>
      <c r="T717" s="94">
        <v>0.0</v>
      </c>
      <c r="U717" s="94">
        <v>0.0</v>
      </c>
      <c r="V717" s="94">
        <v>0.0</v>
      </c>
      <c r="W717" s="94">
        <v>0.0</v>
      </c>
      <c r="X717" s="94">
        <v>0.0</v>
      </c>
      <c r="Y717" s="94">
        <v>0.0</v>
      </c>
      <c r="Z717" s="94">
        <v>0.0</v>
      </c>
      <c r="AA717" s="94">
        <v>0.0</v>
      </c>
      <c r="AB717" s="94">
        <v>0.0</v>
      </c>
      <c r="AC717" s="94">
        <v>0.0</v>
      </c>
      <c r="AD717" s="94">
        <v>0.0</v>
      </c>
      <c r="AE717" s="94">
        <v>0.0</v>
      </c>
      <c r="AF717" s="94">
        <v>0.0</v>
      </c>
      <c r="AG717" s="94">
        <v>0.0</v>
      </c>
      <c r="AH717" s="94">
        <v>0.0</v>
      </c>
    </row>
    <row r="718" hidden="1">
      <c r="A718" s="109" t="s">
        <v>40</v>
      </c>
      <c r="B718" s="93" t="s">
        <v>220</v>
      </c>
      <c r="C718" s="85">
        <v>1.0</v>
      </c>
      <c r="D718" s="85">
        <v>1.0</v>
      </c>
      <c r="E718" s="86">
        <v>18.0</v>
      </c>
      <c r="F718" s="94">
        <v>0.0</v>
      </c>
      <c r="G718" s="85">
        <v>74.0</v>
      </c>
      <c r="H718" s="94">
        <v>0.0</v>
      </c>
      <c r="I718" s="85">
        <v>63.0</v>
      </c>
      <c r="J718" s="95">
        <f t="shared" si="531"/>
        <v>11</v>
      </c>
      <c r="K718" s="87">
        <f t="shared" si="532"/>
        <v>1.174603175</v>
      </c>
      <c r="L718" s="85">
        <v>14.0</v>
      </c>
      <c r="M718" s="85">
        <v>92.0</v>
      </c>
      <c r="N718" s="85">
        <v>1.0</v>
      </c>
      <c r="O718" s="110">
        <f t="shared" si="539"/>
        <v>18</v>
      </c>
      <c r="P718" s="85">
        <v>3.0</v>
      </c>
      <c r="Q718" s="85">
        <v>1.0</v>
      </c>
      <c r="R718" s="85">
        <v>4.0</v>
      </c>
      <c r="S718" s="85">
        <v>1.0</v>
      </c>
      <c r="T718" s="85">
        <v>12.0</v>
      </c>
      <c r="U718" s="85">
        <v>1.0</v>
      </c>
      <c r="V718" s="94">
        <v>0.0</v>
      </c>
      <c r="W718" s="94">
        <v>0.0</v>
      </c>
      <c r="X718" s="94">
        <v>0.0</v>
      </c>
      <c r="Y718" s="94">
        <v>0.0</v>
      </c>
      <c r="Z718" s="94">
        <v>0.0</v>
      </c>
      <c r="AA718" s="94">
        <v>0.0</v>
      </c>
      <c r="AB718" s="94">
        <v>0.0</v>
      </c>
      <c r="AC718" s="94">
        <v>0.0</v>
      </c>
      <c r="AD718" s="94">
        <v>0.0</v>
      </c>
      <c r="AE718" s="94">
        <v>0.0</v>
      </c>
      <c r="AF718" s="94">
        <v>0.0</v>
      </c>
      <c r="AG718" s="94">
        <v>0.0</v>
      </c>
      <c r="AH718" s="94">
        <v>0.0</v>
      </c>
    </row>
    <row r="719" hidden="1">
      <c r="A719" s="109" t="s">
        <v>214</v>
      </c>
      <c r="B719" s="93" t="s">
        <v>189</v>
      </c>
      <c r="C719" s="94">
        <v>0.0</v>
      </c>
      <c r="D719" s="94">
        <v>0.0</v>
      </c>
      <c r="E719" s="96">
        <f>SUM(L719*I719)/60</f>
        <v>0</v>
      </c>
      <c r="F719" s="94">
        <v>0.0</v>
      </c>
      <c r="G719" s="94">
        <v>0.0</v>
      </c>
      <c r="H719" s="94">
        <v>0.0</v>
      </c>
      <c r="I719" s="94">
        <v>0.0</v>
      </c>
      <c r="J719" s="95">
        <f t="shared" si="531"/>
        <v>0</v>
      </c>
      <c r="K719" s="87" t="str">
        <f t="shared" si="532"/>
        <v>#DIV/0!</v>
      </c>
      <c r="L719" s="94">
        <v>0.0</v>
      </c>
      <c r="M719" s="94">
        <v>0.0</v>
      </c>
      <c r="N719" s="85">
        <v>0.0</v>
      </c>
      <c r="O719" s="110">
        <f t="shared" si="539"/>
        <v>0</v>
      </c>
      <c r="P719" s="94">
        <v>0.0</v>
      </c>
      <c r="Q719" s="94">
        <v>0.0</v>
      </c>
      <c r="R719" s="94">
        <v>0.0</v>
      </c>
      <c r="S719" s="94">
        <v>0.0</v>
      </c>
      <c r="T719" s="94">
        <v>0.0</v>
      </c>
      <c r="U719" s="94">
        <v>0.0</v>
      </c>
      <c r="V719" s="94">
        <v>0.0</v>
      </c>
      <c r="W719" s="94">
        <v>0.0</v>
      </c>
      <c r="X719" s="94">
        <v>0.0</v>
      </c>
      <c r="Y719" s="94">
        <v>0.0</v>
      </c>
      <c r="Z719" s="94">
        <v>0.0</v>
      </c>
      <c r="AA719" s="94">
        <v>0.0</v>
      </c>
      <c r="AB719" s="94">
        <v>0.0</v>
      </c>
      <c r="AC719" s="94">
        <v>0.0</v>
      </c>
      <c r="AD719" s="94">
        <v>0.0</v>
      </c>
      <c r="AE719" s="94">
        <v>0.0</v>
      </c>
      <c r="AF719" s="94">
        <v>0.0</v>
      </c>
      <c r="AG719" s="94">
        <v>0.0</v>
      </c>
      <c r="AH719" s="94">
        <v>0.0</v>
      </c>
    </row>
    <row r="720" hidden="1">
      <c r="A720" s="89" t="s">
        <v>185</v>
      </c>
      <c r="B720" s="111"/>
      <c r="C720" s="111">
        <f>SUM(C714:C719)</f>
        <v>4</v>
      </c>
      <c r="D720" s="111">
        <f t="shared" ref="D720:E720" si="540">SUM(D714:D719)/4</f>
        <v>1</v>
      </c>
      <c r="E720" s="91">
        <f t="shared" si="540"/>
        <v>18</v>
      </c>
      <c r="F720" s="111">
        <f t="shared" ref="F720:G720" si="541">SUM(F714:F719)</f>
        <v>5</v>
      </c>
      <c r="G720" s="111">
        <f t="shared" si="541"/>
        <v>229</v>
      </c>
      <c r="H720" s="111"/>
      <c r="I720" s="111">
        <f>SUM(I714:I719)</f>
        <v>219</v>
      </c>
      <c r="J720" s="111">
        <f t="shared" si="531"/>
        <v>10</v>
      </c>
      <c r="K720" s="92">
        <f t="shared" si="532"/>
        <v>1.0456621</v>
      </c>
      <c r="L720" s="111">
        <f t="shared" ref="L720:M720" si="542">SUM(L714:L719)</f>
        <v>70</v>
      </c>
      <c r="M720" s="111">
        <f t="shared" si="542"/>
        <v>291</v>
      </c>
      <c r="N720" s="111"/>
      <c r="O720" s="112"/>
      <c r="P720" s="111">
        <f t="shared" ref="P720:AH720" si="543">SUM(P714:P719)</f>
        <v>9</v>
      </c>
      <c r="Q720" s="111">
        <f t="shared" si="543"/>
        <v>3</v>
      </c>
      <c r="R720" s="111">
        <f t="shared" si="543"/>
        <v>12</v>
      </c>
      <c r="S720" s="111">
        <f t="shared" si="543"/>
        <v>5</v>
      </c>
      <c r="T720" s="111">
        <f t="shared" si="543"/>
        <v>28</v>
      </c>
      <c r="U720" s="111">
        <f t="shared" si="543"/>
        <v>8</v>
      </c>
      <c r="V720" s="111">
        <f t="shared" si="543"/>
        <v>2</v>
      </c>
      <c r="W720" s="111">
        <f t="shared" si="543"/>
        <v>0</v>
      </c>
      <c r="X720" s="111">
        <f t="shared" si="543"/>
        <v>0</v>
      </c>
      <c r="Y720" s="111">
        <f t="shared" si="543"/>
        <v>0</v>
      </c>
      <c r="Z720" s="111">
        <f t="shared" si="543"/>
        <v>0</v>
      </c>
      <c r="AA720" s="111">
        <f t="shared" si="543"/>
        <v>0</v>
      </c>
      <c r="AB720" s="111">
        <f t="shared" si="543"/>
        <v>0</v>
      </c>
      <c r="AC720" s="111">
        <f t="shared" si="543"/>
        <v>6</v>
      </c>
      <c r="AD720" s="111">
        <f t="shared" si="543"/>
        <v>0</v>
      </c>
      <c r="AE720" s="111">
        <f t="shared" si="543"/>
        <v>0</v>
      </c>
      <c r="AF720" s="111">
        <f t="shared" si="543"/>
        <v>0</v>
      </c>
      <c r="AG720" s="111">
        <f t="shared" si="543"/>
        <v>0</v>
      </c>
      <c r="AH720" s="111">
        <f t="shared" si="543"/>
        <v>0</v>
      </c>
    </row>
    <row r="721">
      <c r="A721" s="104" t="s">
        <v>296</v>
      </c>
    </row>
    <row r="723" hidden="1">
      <c r="A723" s="105"/>
      <c r="F723" s="106" t="s">
        <v>251</v>
      </c>
      <c r="L723" s="107" t="s">
        <v>252</v>
      </c>
      <c r="N723" s="108" t="s">
        <v>253</v>
      </c>
    </row>
    <row r="724" hidden="1">
      <c r="A724" s="76" t="s">
        <v>148</v>
      </c>
      <c r="B724" s="76" t="s">
        <v>149</v>
      </c>
      <c r="C724" s="76" t="s">
        <v>150</v>
      </c>
      <c r="D724" s="76" t="s">
        <v>13</v>
      </c>
      <c r="E724" s="77" t="s">
        <v>151</v>
      </c>
      <c r="F724" s="78" t="s">
        <v>15</v>
      </c>
      <c r="G724" s="78" t="s">
        <v>152</v>
      </c>
      <c r="H724" s="78" t="s">
        <v>153</v>
      </c>
      <c r="I724" s="78" t="s">
        <v>154</v>
      </c>
      <c r="J724" s="78" t="s">
        <v>155</v>
      </c>
      <c r="K724" s="79" t="s">
        <v>156</v>
      </c>
      <c r="L724" s="80" t="s">
        <v>157</v>
      </c>
      <c r="M724" s="80" t="s">
        <v>158</v>
      </c>
      <c r="N724" s="81" t="s">
        <v>254</v>
      </c>
      <c r="O724" s="81" t="s">
        <v>151</v>
      </c>
      <c r="P724" s="81" t="s">
        <v>160</v>
      </c>
      <c r="Q724" s="81" t="s">
        <v>161</v>
      </c>
      <c r="R724" s="81" t="s">
        <v>162</v>
      </c>
      <c r="S724" s="81" t="s">
        <v>163</v>
      </c>
      <c r="T724" s="81" t="s">
        <v>164</v>
      </c>
      <c r="U724" s="81" t="s">
        <v>165</v>
      </c>
      <c r="V724" s="81" t="s">
        <v>166</v>
      </c>
      <c r="W724" s="81" t="s">
        <v>167</v>
      </c>
      <c r="X724" s="81" t="s">
        <v>168</v>
      </c>
      <c r="Y724" s="81" t="s">
        <v>169</v>
      </c>
      <c r="Z724" s="81" t="s">
        <v>170</v>
      </c>
      <c r="AA724" s="81" t="s">
        <v>171</v>
      </c>
      <c r="AB724" s="81" t="s">
        <v>172</v>
      </c>
      <c r="AC724" s="81" t="s">
        <v>173</v>
      </c>
      <c r="AD724" s="81" t="s">
        <v>174</v>
      </c>
      <c r="AE724" s="81" t="s">
        <v>175</v>
      </c>
      <c r="AF724" s="81" t="s">
        <v>176</v>
      </c>
      <c r="AG724" s="81" t="s">
        <v>177</v>
      </c>
      <c r="AH724" s="81" t="s">
        <v>178</v>
      </c>
    </row>
    <row r="725" hidden="1">
      <c r="A725" s="109" t="s">
        <v>58</v>
      </c>
      <c r="B725" s="93" t="s">
        <v>209</v>
      </c>
      <c r="C725" s="85">
        <v>1.0</v>
      </c>
      <c r="D725" s="94">
        <v>0.0</v>
      </c>
      <c r="E725" s="86">
        <v>50.0</v>
      </c>
      <c r="F725" s="85">
        <v>1.0</v>
      </c>
      <c r="G725" s="85">
        <v>109.0</v>
      </c>
      <c r="H725" s="85">
        <v>1.0</v>
      </c>
      <c r="I725" s="85">
        <v>166.0</v>
      </c>
      <c r="J725" s="95">
        <f t="shared" ref="J725:J738" si="544">SUM(G725-I725)</f>
        <v>-57</v>
      </c>
      <c r="K725" s="87">
        <f t="shared" ref="K725:K738" si="545">SUM(G725/I725)</f>
        <v>0.656626506</v>
      </c>
      <c r="L725" s="85">
        <v>12.0</v>
      </c>
      <c r="M725" s="85">
        <v>118.0</v>
      </c>
      <c r="N725" s="85">
        <v>1.0</v>
      </c>
      <c r="O725" s="110">
        <f t="shared" ref="O725:O730" si="546">(E725*N725)</f>
        <v>50</v>
      </c>
      <c r="P725" s="85">
        <v>4.0</v>
      </c>
      <c r="Q725" s="85">
        <v>5.0</v>
      </c>
      <c r="R725" s="85">
        <v>2.0</v>
      </c>
      <c r="S725" s="85">
        <v>2.0</v>
      </c>
      <c r="T725" s="85">
        <v>9.0</v>
      </c>
      <c r="U725" s="94">
        <v>0.0</v>
      </c>
      <c r="V725" s="94">
        <v>0.0</v>
      </c>
      <c r="W725" s="94">
        <v>0.0</v>
      </c>
      <c r="X725" s="94">
        <v>0.0</v>
      </c>
      <c r="Y725" s="94">
        <v>0.0</v>
      </c>
      <c r="Z725" s="94">
        <v>0.0</v>
      </c>
      <c r="AA725" s="94">
        <v>0.0</v>
      </c>
      <c r="AB725" s="94">
        <v>0.0</v>
      </c>
      <c r="AC725" s="94">
        <v>0.0</v>
      </c>
      <c r="AD725" s="94">
        <v>0.0</v>
      </c>
      <c r="AE725" s="94">
        <v>0.0</v>
      </c>
      <c r="AF725" s="94">
        <v>0.0</v>
      </c>
      <c r="AG725" s="94">
        <v>0.0</v>
      </c>
      <c r="AH725" s="94">
        <v>0.0</v>
      </c>
    </row>
    <row r="726" hidden="1">
      <c r="A726" s="109" t="s">
        <v>58</v>
      </c>
      <c r="B726" s="93" t="s">
        <v>210</v>
      </c>
      <c r="C726" s="85">
        <v>1.0</v>
      </c>
      <c r="D726" s="94">
        <v>0.0</v>
      </c>
      <c r="E726" s="86">
        <v>50.0</v>
      </c>
      <c r="F726" s="94">
        <v>0.0</v>
      </c>
      <c r="G726" s="85">
        <v>148.0</v>
      </c>
      <c r="H726" s="85">
        <v>2.0</v>
      </c>
      <c r="I726" s="85">
        <v>157.0</v>
      </c>
      <c r="J726" s="95">
        <f t="shared" si="544"/>
        <v>-9</v>
      </c>
      <c r="K726" s="87">
        <f t="shared" si="545"/>
        <v>0.9426751592</v>
      </c>
      <c r="L726" s="85">
        <v>16.0</v>
      </c>
      <c r="M726" s="85">
        <v>192.0</v>
      </c>
      <c r="N726" s="85">
        <v>1.0</v>
      </c>
      <c r="O726" s="110">
        <f t="shared" si="546"/>
        <v>50</v>
      </c>
      <c r="P726" s="85">
        <v>6.0</v>
      </c>
      <c r="Q726" s="85">
        <v>1.0</v>
      </c>
      <c r="R726" s="85">
        <v>15.0</v>
      </c>
      <c r="S726" s="85">
        <v>1.0</v>
      </c>
      <c r="T726" s="85">
        <v>19.0</v>
      </c>
      <c r="U726" s="85">
        <v>3.0</v>
      </c>
      <c r="V726" s="85">
        <v>1.0</v>
      </c>
      <c r="W726" s="85">
        <v>1.0</v>
      </c>
      <c r="X726" s="94">
        <v>0.0</v>
      </c>
      <c r="Y726" s="94">
        <v>0.0</v>
      </c>
      <c r="Z726" s="94">
        <v>0.0</v>
      </c>
      <c r="AA726" s="94">
        <v>0.0</v>
      </c>
      <c r="AB726" s="94">
        <v>0.0</v>
      </c>
      <c r="AC726" s="85">
        <v>3.0</v>
      </c>
      <c r="AD726" s="94">
        <v>0.0</v>
      </c>
      <c r="AE726" s="94">
        <v>0.0</v>
      </c>
      <c r="AF726" s="94">
        <v>0.0</v>
      </c>
      <c r="AG726" s="94">
        <v>0.0</v>
      </c>
      <c r="AH726" s="85">
        <v>1.0</v>
      </c>
    </row>
    <row r="727" hidden="1">
      <c r="A727" s="109" t="s">
        <v>58</v>
      </c>
      <c r="B727" s="93" t="s">
        <v>211</v>
      </c>
      <c r="C727" s="85">
        <v>1.0</v>
      </c>
      <c r="D727" s="94">
        <v>0.0</v>
      </c>
      <c r="E727" s="86">
        <v>50.0</v>
      </c>
      <c r="F727" s="85">
        <v>1.0</v>
      </c>
      <c r="G727" s="85">
        <v>115.0</v>
      </c>
      <c r="H727" s="94">
        <v>0.0</v>
      </c>
      <c r="I727" s="85">
        <v>125.0</v>
      </c>
      <c r="J727" s="95">
        <f t="shared" si="544"/>
        <v>-10</v>
      </c>
      <c r="K727" s="87">
        <f t="shared" si="545"/>
        <v>0.92</v>
      </c>
      <c r="L727" s="85">
        <v>20.0</v>
      </c>
      <c r="M727" s="85">
        <v>143.0</v>
      </c>
      <c r="N727" s="85">
        <v>1.0</v>
      </c>
      <c r="O727" s="110">
        <f t="shared" si="546"/>
        <v>50</v>
      </c>
      <c r="P727" s="85">
        <v>5.0</v>
      </c>
      <c r="Q727" s="85">
        <v>1.0</v>
      </c>
      <c r="R727" s="85">
        <v>7.0</v>
      </c>
      <c r="S727" s="85">
        <v>3.0</v>
      </c>
      <c r="T727" s="85">
        <v>11.0</v>
      </c>
      <c r="U727" s="85">
        <v>1.0</v>
      </c>
      <c r="V727" s="94">
        <v>0.0</v>
      </c>
      <c r="W727" s="94">
        <v>0.0</v>
      </c>
      <c r="X727" s="94">
        <v>0.0</v>
      </c>
      <c r="Y727" s="94">
        <v>0.0</v>
      </c>
      <c r="Z727" s="94">
        <v>0.0</v>
      </c>
      <c r="AA727" s="94">
        <v>0.0</v>
      </c>
      <c r="AB727" s="94">
        <v>0.0</v>
      </c>
      <c r="AC727" s="85">
        <v>2.0</v>
      </c>
      <c r="AD727" s="94">
        <v>0.0</v>
      </c>
      <c r="AE727" s="94">
        <v>0.0</v>
      </c>
      <c r="AF727" s="94">
        <v>0.0</v>
      </c>
      <c r="AG727" s="94">
        <v>0.0</v>
      </c>
      <c r="AH727" s="94">
        <v>0.0</v>
      </c>
    </row>
    <row r="728" hidden="1">
      <c r="A728" s="109" t="s">
        <v>58</v>
      </c>
      <c r="B728" s="93" t="s">
        <v>212</v>
      </c>
      <c r="C728" s="85">
        <v>1.0</v>
      </c>
      <c r="D728" s="94">
        <v>0.0</v>
      </c>
      <c r="E728" s="86">
        <v>50.0</v>
      </c>
      <c r="F728" s="85">
        <v>2.0</v>
      </c>
      <c r="G728" s="85">
        <v>119.0</v>
      </c>
      <c r="H728" s="94">
        <v>0.0</v>
      </c>
      <c r="I728" s="85">
        <v>116.0</v>
      </c>
      <c r="J728" s="95">
        <f t="shared" si="544"/>
        <v>3</v>
      </c>
      <c r="K728" s="87">
        <f t="shared" si="545"/>
        <v>1.025862069</v>
      </c>
      <c r="L728" s="85">
        <v>22.0</v>
      </c>
      <c r="M728" s="85">
        <v>152.0</v>
      </c>
      <c r="N728" s="85">
        <v>1.0</v>
      </c>
      <c r="O728" s="110">
        <f t="shared" si="546"/>
        <v>50</v>
      </c>
      <c r="P728" s="85">
        <v>7.0</v>
      </c>
      <c r="Q728" s="85">
        <v>2.0</v>
      </c>
      <c r="R728" s="85">
        <v>5.0</v>
      </c>
      <c r="S728" s="85">
        <v>4.0</v>
      </c>
      <c r="T728" s="85">
        <v>16.0</v>
      </c>
      <c r="U728" s="85">
        <v>3.0</v>
      </c>
      <c r="V728" s="94">
        <v>0.0</v>
      </c>
      <c r="W728" s="94">
        <v>0.0</v>
      </c>
      <c r="X728" s="94">
        <v>0.0</v>
      </c>
      <c r="Y728" s="94">
        <v>0.0</v>
      </c>
      <c r="Z728" s="94">
        <v>0.0</v>
      </c>
      <c r="AA728" s="94">
        <v>0.0</v>
      </c>
      <c r="AB728" s="94">
        <v>0.0</v>
      </c>
      <c r="AC728" s="85">
        <v>3.0</v>
      </c>
      <c r="AD728" s="94">
        <v>0.0</v>
      </c>
      <c r="AE728" s="94">
        <v>0.0</v>
      </c>
      <c r="AF728" s="94">
        <v>0.0</v>
      </c>
      <c r="AG728" s="94">
        <v>0.0</v>
      </c>
      <c r="AH728" s="94">
        <v>0.0</v>
      </c>
    </row>
    <row r="729" hidden="1">
      <c r="A729" s="109" t="s">
        <v>58</v>
      </c>
      <c r="B729" s="93" t="s">
        <v>213</v>
      </c>
      <c r="C729" s="94">
        <v>0.0</v>
      </c>
      <c r="D729" s="94">
        <v>0.0</v>
      </c>
      <c r="E729" s="96">
        <f t="shared" ref="E729:E730" si="547">SUM(L729*I729)/60</f>
        <v>0</v>
      </c>
      <c r="F729" s="94">
        <v>0.0</v>
      </c>
      <c r="G729" s="94">
        <v>0.0</v>
      </c>
      <c r="H729" s="94">
        <v>0.0</v>
      </c>
      <c r="I729" s="94">
        <v>0.0</v>
      </c>
      <c r="J729" s="95">
        <f t="shared" si="544"/>
        <v>0</v>
      </c>
      <c r="K729" s="87" t="str">
        <f t="shared" si="545"/>
        <v>#DIV/0!</v>
      </c>
      <c r="L729" s="94">
        <v>0.0</v>
      </c>
      <c r="M729" s="94">
        <v>0.0</v>
      </c>
      <c r="N729" s="85">
        <v>0.0</v>
      </c>
      <c r="O729" s="110">
        <f t="shared" si="546"/>
        <v>0</v>
      </c>
      <c r="P729" s="94">
        <v>0.0</v>
      </c>
      <c r="Q729" s="94">
        <v>0.0</v>
      </c>
      <c r="R729" s="94">
        <v>0.0</v>
      </c>
      <c r="S729" s="94">
        <v>0.0</v>
      </c>
      <c r="T729" s="94">
        <v>0.0</v>
      </c>
      <c r="U729" s="94">
        <v>0.0</v>
      </c>
      <c r="V729" s="94">
        <v>0.0</v>
      </c>
      <c r="W729" s="94">
        <v>0.0</v>
      </c>
      <c r="X729" s="94">
        <v>0.0</v>
      </c>
      <c r="Y729" s="94">
        <v>0.0</v>
      </c>
      <c r="Z729" s="94">
        <v>0.0</v>
      </c>
      <c r="AA729" s="94">
        <v>0.0</v>
      </c>
      <c r="AB729" s="94">
        <v>0.0</v>
      </c>
      <c r="AC729" s="94">
        <v>0.0</v>
      </c>
      <c r="AD729" s="94">
        <v>0.0</v>
      </c>
      <c r="AE729" s="94">
        <v>0.0</v>
      </c>
      <c r="AF729" s="94">
        <v>0.0</v>
      </c>
      <c r="AG729" s="94">
        <v>0.0</v>
      </c>
      <c r="AH729" s="94">
        <v>0.0</v>
      </c>
    </row>
    <row r="730" hidden="1">
      <c r="A730" s="109" t="s">
        <v>214</v>
      </c>
      <c r="B730" s="93" t="s">
        <v>189</v>
      </c>
      <c r="C730" s="94">
        <v>0.0</v>
      </c>
      <c r="D730" s="94">
        <v>0.0</v>
      </c>
      <c r="E730" s="96">
        <f t="shared" si="547"/>
        <v>0</v>
      </c>
      <c r="F730" s="94">
        <v>0.0</v>
      </c>
      <c r="G730" s="94">
        <v>0.0</v>
      </c>
      <c r="H730" s="94">
        <v>0.0</v>
      </c>
      <c r="I730" s="94">
        <v>0.0</v>
      </c>
      <c r="J730" s="95">
        <f t="shared" si="544"/>
        <v>0</v>
      </c>
      <c r="K730" s="87" t="str">
        <f t="shared" si="545"/>
        <v>#DIV/0!</v>
      </c>
      <c r="L730" s="94">
        <v>0.0</v>
      </c>
      <c r="M730" s="94">
        <v>0.0</v>
      </c>
      <c r="N730" s="85">
        <v>0.0</v>
      </c>
      <c r="O730" s="110">
        <f t="shared" si="546"/>
        <v>0</v>
      </c>
      <c r="P730" s="94">
        <v>0.0</v>
      </c>
      <c r="Q730" s="94">
        <v>0.0</v>
      </c>
      <c r="R730" s="94">
        <v>0.0</v>
      </c>
      <c r="S730" s="94">
        <v>0.0</v>
      </c>
      <c r="T730" s="94">
        <v>0.0</v>
      </c>
      <c r="U730" s="94">
        <v>0.0</v>
      </c>
      <c r="V730" s="94">
        <v>0.0</v>
      </c>
      <c r="W730" s="94">
        <v>0.0</v>
      </c>
      <c r="X730" s="94">
        <v>0.0</v>
      </c>
      <c r="Y730" s="94">
        <v>0.0</v>
      </c>
      <c r="Z730" s="94">
        <v>0.0</v>
      </c>
      <c r="AA730" s="94">
        <v>0.0</v>
      </c>
      <c r="AB730" s="94">
        <v>0.0</v>
      </c>
      <c r="AC730" s="94">
        <v>0.0</v>
      </c>
      <c r="AD730" s="94">
        <v>0.0</v>
      </c>
      <c r="AE730" s="94">
        <v>0.0</v>
      </c>
      <c r="AF730" s="94">
        <v>0.0</v>
      </c>
      <c r="AG730" s="94">
        <v>0.0</v>
      </c>
      <c r="AH730" s="94">
        <v>0.0</v>
      </c>
    </row>
    <row r="731" hidden="1">
      <c r="A731" s="89"/>
      <c r="B731" s="111"/>
      <c r="C731" s="111">
        <f t="shared" ref="C731:D731" si="548">SUM(C725:C730)/4</f>
        <v>1</v>
      </c>
      <c r="D731" s="111">
        <f t="shared" si="548"/>
        <v>0</v>
      </c>
      <c r="E731" s="91">
        <f t="shared" ref="E731:G731" si="549">SUM(E725:E730)</f>
        <v>200</v>
      </c>
      <c r="F731" s="111">
        <f t="shared" si="549"/>
        <v>4</v>
      </c>
      <c r="G731" s="111">
        <f t="shared" si="549"/>
        <v>491</v>
      </c>
      <c r="H731" s="111"/>
      <c r="I731" s="111">
        <f>SUM(I725:I730)</f>
        <v>564</v>
      </c>
      <c r="J731" s="111">
        <f t="shared" si="544"/>
        <v>-73</v>
      </c>
      <c r="K731" s="92">
        <f t="shared" si="545"/>
        <v>0.8705673759</v>
      </c>
      <c r="L731" s="111">
        <f t="shared" ref="L731:M731" si="550">SUM(L725:L730)</f>
        <v>70</v>
      </c>
      <c r="M731" s="111">
        <f t="shared" si="550"/>
        <v>605</v>
      </c>
      <c r="N731" s="111"/>
      <c r="O731" s="112"/>
      <c r="P731" s="111">
        <f t="shared" ref="P731:AH731" si="551">SUM(P725:P730)</f>
        <v>22</v>
      </c>
      <c r="Q731" s="111">
        <f t="shared" si="551"/>
        <v>9</v>
      </c>
      <c r="R731" s="111">
        <f t="shared" si="551"/>
        <v>29</v>
      </c>
      <c r="S731" s="111">
        <f t="shared" si="551"/>
        <v>10</v>
      </c>
      <c r="T731" s="111">
        <f t="shared" si="551"/>
        <v>55</v>
      </c>
      <c r="U731" s="111">
        <f t="shared" si="551"/>
        <v>7</v>
      </c>
      <c r="V731" s="111">
        <f t="shared" si="551"/>
        <v>1</v>
      </c>
      <c r="W731" s="111">
        <f t="shared" si="551"/>
        <v>1</v>
      </c>
      <c r="X731" s="111">
        <f t="shared" si="551"/>
        <v>0</v>
      </c>
      <c r="Y731" s="111">
        <f t="shared" si="551"/>
        <v>0</v>
      </c>
      <c r="Z731" s="111">
        <f t="shared" si="551"/>
        <v>0</v>
      </c>
      <c r="AA731" s="111">
        <f t="shared" si="551"/>
        <v>0</v>
      </c>
      <c r="AB731" s="111">
        <f t="shared" si="551"/>
        <v>0</v>
      </c>
      <c r="AC731" s="111">
        <f t="shared" si="551"/>
        <v>8</v>
      </c>
      <c r="AD731" s="111">
        <f t="shared" si="551"/>
        <v>0</v>
      </c>
      <c r="AE731" s="111">
        <f t="shared" si="551"/>
        <v>0</v>
      </c>
      <c r="AF731" s="111">
        <f t="shared" si="551"/>
        <v>0</v>
      </c>
      <c r="AG731" s="111">
        <f t="shared" si="551"/>
        <v>0</v>
      </c>
      <c r="AH731" s="111">
        <f t="shared" si="551"/>
        <v>1</v>
      </c>
    </row>
    <row r="732" hidden="1">
      <c r="A732" s="109" t="s">
        <v>40</v>
      </c>
      <c r="B732" s="93" t="s">
        <v>216</v>
      </c>
      <c r="C732" s="85">
        <v>1.0</v>
      </c>
      <c r="D732" s="85">
        <v>1.0</v>
      </c>
      <c r="E732" s="86">
        <v>50.0</v>
      </c>
      <c r="F732" s="85">
        <v>4.0</v>
      </c>
      <c r="G732" s="85">
        <v>63.0</v>
      </c>
      <c r="H732" s="94">
        <v>0.0</v>
      </c>
      <c r="I732" s="85">
        <v>72.0</v>
      </c>
      <c r="J732" s="95">
        <f t="shared" si="544"/>
        <v>-9</v>
      </c>
      <c r="K732" s="87">
        <f t="shared" si="545"/>
        <v>0.875</v>
      </c>
      <c r="L732" s="85">
        <v>38.0</v>
      </c>
      <c r="M732" s="85">
        <v>82.0</v>
      </c>
      <c r="N732" s="85">
        <v>1.0</v>
      </c>
      <c r="O732" s="110">
        <f t="shared" ref="O732:O737" si="552">(E732*N732)</f>
        <v>50</v>
      </c>
      <c r="P732" s="85">
        <v>3.0</v>
      </c>
      <c r="Q732" s="85">
        <v>3.0</v>
      </c>
      <c r="R732" s="85">
        <v>1.0</v>
      </c>
      <c r="S732" s="85">
        <v>2.0</v>
      </c>
      <c r="T732" s="85">
        <v>7.0</v>
      </c>
      <c r="U732" s="85">
        <v>1.0</v>
      </c>
      <c r="V732" s="94">
        <v>0.0</v>
      </c>
      <c r="W732" s="94">
        <v>0.0</v>
      </c>
      <c r="X732" s="94">
        <v>0.0</v>
      </c>
      <c r="Y732" s="94">
        <v>0.0</v>
      </c>
      <c r="Z732" s="94">
        <v>0.0</v>
      </c>
      <c r="AA732" s="94">
        <v>0.0</v>
      </c>
      <c r="AB732" s="94">
        <v>0.0</v>
      </c>
      <c r="AC732" s="85">
        <v>1.0</v>
      </c>
      <c r="AD732" s="85">
        <v>1.0</v>
      </c>
      <c r="AE732" s="94">
        <v>0.0</v>
      </c>
      <c r="AF732" s="94">
        <v>0.0</v>
      </c>
      <c r="AG732" s="94">
        <v>0.0</v>
      </c>
      <c r="AH732" s="94">
        <v>0.0</v>
      </c>
    </row>
    <row r="733" hidden="1">
      <c r="A733" s="109" t="s">
        <v>40</v>
      </c>
      <c r="B733" s="93" t="s">
        <v>217</v>
      </c>
      <c r="C733" s="85">
        <v>1.0</v>
      </c>
      <c r="D733" s="85">
        <v>1.0</v>
      </c>
      <c r="E733" s="86">
        <v>50.0</v>
      </c>
      <c r="F733" s="85">
        <v>1.0</v>
      </c>
      <c r="G733" s="85">
        <v>131.0</v>
      </c>
      <c r="H733" s="85">
        <v>1.0</v>
      </c>
      <c r="I733" s="85">
        <v>123.0</v>
      </c>
      <c r="J733" s="95">
        <f t="shared" si="544"/>
        <v>8</v>
      </c>
      <c r="K733" s="87">
        <f t="shared" si="545"/>
        <v>1.06504065</v>
      </c>
      <c r="L733" s="85">
        <v>21.0</v>
      </c>
      <c r="M733" s="85">
        <v>163.0</v>
      </c>
      <c r="N733" s="85">
        <v>1.0</v>
      </c>
      <c r="O733" s="110">
        <f t="shared" si="552"/>
        <v>50</v>
      </c>
      <c r="P733" s="85">
        <v>9.0</v>
      </c>
      <c r="Q733" s="85">
        <v>3.0</v>
      </c>
      <c r="R733" s="85">
        <v>7.0</v>
      </c>
      <c r="S733" s="85">
        <v>1.0</v>
      </c>
      <c r="T733" s="85">
        <v>18.0</v>
      </c>
      <c r="U733" s="85">
        <v>3.0</v>
      </c>
      <c r="V733" s="94">
        <v>0.0</v>
      </c>
      <c r="W733" s="94">
        <v>0.0</v>
      </c>
      <c r="X733" s="94">
        <v>0.0</v>
      </c>
      <c r="Y733" s="94">
        <v>0.0</v>
      </c>
      <c r="Z733" s="94">
        <v>0.0</v>
      </c>
      <c r="AA733" s="94">
        <v>0.0</v>
      </c>
      <c r="AB733" s="94">
        <v>0.0</v>
      </c>
      <c r="AC733" s="85">
        <v>2.0</v>
      </c>
      <c r="AD733" s="94">
        <v>0.0</v>
      </c>
      <c r="AE733" s="94">
        <v>0.0</v>
      </c>
      <c r="AF733" s="94">
        <v>0.0</v>
      </c>
      <c r="AG733" s="94">
        <v>0.0</v>
      </c>
      <c r="AH733" s="94">
        <v>0.0</v>
      </c>
    </row>
    <row r="734" hidden="1">
      <c r="A734" s="109" t="s">
        <v>40</v>
      </c>
      <c r="B734" s="93" t="s">
        <v>218</v>
      </c>
      <c r="C734" s="85">
        <v>1.0</v>
      </c>
      <c r="D734" s="85">
        <v>1.0</v>
      </c>
      <c r="E734" s="86">
        <v>50.0</v>
      </c>
      <c r="F734" s="94">
        <v>0.0</v>
      </c>
      <c r="G734" s="85">
        <v>162.0</v>
      </c>
      <c r="H734" s="85">
        <v>2.0</v>
      </c>
      <c r="I734" s="85">
        <v>138.0</v>
      </c>
      <c r="J734" s="95">
        <f t="shared" si="544"/>
        <v>24</v>
      </c>
      <c r="K734" s="87">
        <f t="shared" si="545"/>
        <v>1.173913043</v>
      </c>
      <c r="L734" s="85">
        <v>18.0</v>
      </c>
      <c r="M734" s="85">
        <v>214.0</v>
      </c>
      <c r="N734" s="85">
        <v>1.0</v>
      </c>
      <c r="O734" s="110">
        <f t="shared" si="552"/>
        <v>50</v>
      </c>
      <c r="P734" s="85">
        <v>8.0</v>
      </c>
      <c r="Q734" s="85">
        <v>3.0</v>
      </c>
      <c r="R734" s="85">
        <v>17.0</v>
      </c>
      <c r="S734" s="85">
        <v>5.0</v>
      </c>
      <c r="T734" s="85">
        <v>21.0</v>
      </c>
      <c r="U734" s="85">
        <v>3.0</v>
      </c>
      <c r="V734" s="94">
        <v>0.0</v>
      </c>
      <c r="W734" s="94">
        <v>0.0</v>
      </c>
      <c r="X734" s="94">
        <v>0.0</v>
      </c>
      <c r="Y734" s="94">
        <v>0.0</v>
      </c>
      <c r="Z734" s="94">
        <v>0.0</v>
      </c>
      <c r="AA734" s="94">
        <v>0.0</v>
      </c>
      <c r="AB734" s="94">
        <v>0.0</v>
      </c>
      <c r="AC734" s="85">
        <v>1.0</v>
      </c>
      <c r="AD734" s="94">
        <v>0.0</v>
      </c>
      <c r="AE734" s="94">
        <v>0.0</v>
      </c>
      <c r="AF734" s="94">
        <v>0.0</v>
      </c>
      <c r="AG734" s="94">
        <v>0.0</v>
      </c>
      <c r="AH734" s="94">
        <v>0.0</v>
      </c>
    </row>
    <row r="735" hidden="1">
      <c r="A735" s="109" t="s">
        <v>40</v>
      </c>
      <c r="B735" s="93" t="s">
        <v>219</v>
      </c>
      <c r="C735" s="85">
        <v>0.0</v>
      </c>
      <c r="D735" s="85">
        <v>0.0</v>
      </c>
      <c r="E735" s="96">
        <f>SUM(L735*I735)/60</f>
        <v>0</v>
      </c>
      <c r="F735" s="94">
        <v>0.0</v>
      </c>
      <c r="G735" s="94">
        <v>0.0</v>
      </c>
      <c r="H735" s="94">
        <v>0.0</v>
      </c>
      <c r="I735" s="94">
        <v>0.0</v>
      </c>
      <c r="J735" s="95">
        <f t="shared" si="544"/>
        <v>0</v>
      </c>
      <c r="K735" s="87" t="str">
        <f t="shared" si="545"/>
        <v>#DIV/0!</v>
      </c>
      <c r="L735" s="94">
        <v>0.0</v>
      </c>
      <c r="M735" s="94">
        <v>0.0</v>
      </c>
      <c r="N735" s="85">
        <v>0.0</v>
      </c>
      <c r="O735" s="110">
        <f t="shared" si="552"/>
        <v>0</v>
      </c>
      <c r="P735" s="94">
        <v>0.0</v>
      </c>
      <c r="Q735" s="94">
        <v>0.0</v>
      </c>
      <c r="R735" s="94">
        <v>0.0</v>
      </c>
      <c r="S735" s="94">
        <v>0.0</v>
      </c>
      <c r="T735" s="94">
        <v>0.0</v>
      </c>
      <c r="U735" s="94">
        <v>0.0</v>
      </c>
      <c r="V735" s="94">
        <v>0.0</v>
      </c>
      <c r="W735" s="94">
        <v>0.0</v>
      </c>
      <c r="X735" s="94">
        <v>0.0</v>
      </c>
      <c r="Y735" s="94">
        <v>0.0</v>
      </c>
      <c r="Z735" s="94">
        <v>0.0</v>
      </c>
      <c r="AA735" s="94">
        <v>0.0</v>
      </c>
      <c r="AB735" s="94">
        <v>0.0</v>
      </c>
      <c r="AC735" s="94">
        <v>0.0</v>
      </c>
      <c r="AD735" s="94">
        <v>0.0</v>
      </c>
      <c r="AE735" s="94">
        <v>0.0</v>
      </c>
      <c r="AF735" s="94">
        <v>0.0</v>
      </c>
      <c r="AG735" s="94">
        <v>0.0</v>
      </c>
      <c r="AH735" s="94">
        <v>0.0</v>
      </c>
    </row>
    <row r="736" hidden="1">
      <c r="A736" s="109" t="s">
        <v>40</v>
      </c>
      <c r="B736" s="93" t="s">
        <v>220</v>
      </c>
      <c r="C736" s="85">
        <v>1.0</v>
      </c>
      <c r="D736" s="85">
        <v>1.0</v>
      </c>
      <c r="E736" s="86">
        <v>50.0</v>
      </c>
      <c r="F736" s="94">
        <v>0.0</v>
      </c>
      <c r="G736" s="85">
        <v>198.0</v>
      </c>
      <c r="H736" s="94">
        <v>0.0</v>
      </c>
      <c r="I736" s="85">
        <v>169.0</v>
      </c>
      <c r="J736" s="95">
        <f t="shared" si="544"/>
        <v>29</v>
      </c>
      <c r="K736" s="87">
        <f t="shared" si="545"/>
        <v>1.171597633</v>
      </c>
      <c r="L736" s="85">
        <v>14.0</v>
      </c>
      <c r="M736" s="85">
        <v>268.0</v>
      </c>
      <c r="N736" s="85">
        <v>1.0</v>
      </c>
      <c r="O736" s="110">
        <f t="shared" si="552"/>
        <v>50</v>
      </c>
      <c r="P736" s="85">
        <v>2.0</v>
      </c>
      <c r="Q736" s="85">
        <v>3.0</v>
      </c>
      <c r="R736" s="85">
        <v>24.0</v>
      </c>
      <c r="S736" s="94">
        <v>0.0</v>
      </c>
      <c r="T736" s="85">
        <v>37.0</v>
      </c>
      <c r="U736" s="85">
        <v>7.0</v>
      </c>
      <c r="V736" s="85">
        <v>4.0</v>
      </c>
      <c r="W736" s="94">
        <v>0.0</v>
      </c>
      <c r="X736" s="94">
        <v>0.0</v>
      </c>
      <c r="Y736" s="94">
        <v>0.0</v>
      </c>
      <c r="Z736" s="94">
        <v>0.0</v>
      </c>
      <c r="AA736" s="94">
        <v>0.0</v>
      </c>
      <c r="AB736" s="94">
        <v>0.0</v>
      </c>
      <c r="AC736" s="85">
        <v>6.0</v>
      </c>
      <c r="AD736" s="94">
        <v>0.0</v>
      </c>
      <c r="AE736" s="94">
        <v>0.0</v>
      </c>
      <c r="AF736" s="94">
        <v>0.0</v>
      </c>
      <c r="AG736" s="94">
        <v>0.0</v>
      </c>
      <c r="AH736" s="94">
        <v>0.0</v>
      </c>
    </row>
    <row r="737" hidden="1">
      <c r="A737" s="109" t="s">
        <v>214</v>
      </c>
      <c r="B737" s="93" t="s">
        <v>189</v>
      </c>
      <c r="C737" s="94">
        <v>0.0</v>
      </c>
      <c r="D737" s="94">
        <v>0.0</v>
      </c>
      <c r="E737" s="96">
        <f>SUM(L737*I737)/60</f>
        <v>0</v>
      </c>
      <c r="F737" s="94">
        <v>0.0</v>
      </c>
      <c r="G737" s="94">
        <v>0.0</v>
      </c>
      <c r="H737" s="94">
        <v>0.0</v>
      </c>
      <c r="I737" s="94">
        <v>0.0</v>
      </c>
      <c r="J737" s="95">
        <f t="shared" si="544"/>
        <v>0</v>
      </c>
      <c r="K737" s="87" t="str">
        <f t="shared" si="545"/>
        <v>#DIV/0!</v>
      </c>
      <c r="L737" s="94">
        <v>0.0</v>
      </c>
      <c r="M737" s="94">
        <v>0.0</v>
      </c>
      <c r="N737" s="85">
        <v>0.0</v>
      </c>
      <c r="O737" s="110">
        <f t="shared" si="552"/>
        <v>0</v>
      </c>
      <c r="P737" s="94">
        <v>0.0</v>
      </c>
      <c r="Q737" s="94">
        <v>0.0</v>
      </c>
      <c r="R737" s="94">
        <v>0.0</v>
      </c>
      <c r="S737" s="94">
        <v>0.0</v>
      </c>
      <c r="T737" s="94">
        <v>0.0</v>
      </c>
      <c r="U737" s="94">
        <v>0.0</v>
      </c>
      <c r="V737" s="94">
        <v>0.0</v>
      </c>
      <c r="W737" s="94">
        <v>0.0</v>
      </c>
      <c r="X737" s="94">
        <v>0.0</v>
      </c>
      <c r="Y737" s="94">
        <v>0.0</v>
      </c>
      <c r="Z737" s="94">
        <v>0.0</v>
      </c>
      <c r="AA737" s="94">
        <v>0.0</v>
      </c>
      <c r="AB737" s="94">
        <v>0.0</v>
      </c>
      <c r="AC737" s="94">
        <v>0.0</v>
      </c>
      <c r="AD737" s="94">
        <v>0.0</v>
      </c>
      <c r="AE737" s="94">
        <v>0.0</v>
      </c>
      <c r="AF737" s="94">
        <v>0.0</v>
      </c>
      <c r="AG737" s="94">
        <v>0.0</v>
      </c>
      <c r="AH737" s="94">
        <v>0.0</v>
      </c>
    </row>
    <row r="738" hidden="1">
      <c r="A738" s="89" t="s">
        <v>185</v>
      </c>
      <c r="B738" s="111"/>
      <c r="C738" s="111">
        <f>SUM(C732:C737)</f>
        <v>4</v>
      </c>
      <c r="D738" s="111">
        <f t="shared" ref="D738:E738" si="553">SUM(D732:D737)/4</f>
        <v>1</v>
      </c>
      <c r="E738" s="91">
        <f t="shared" si="553"/>
        <v>50</v>
      </c>
      <c r="F738" s="111">
        <f t="shared" ref="F738:G738" si="554">SUM(F732:F737)</f>
        <v>5</v>
      </c>
      <c r="G738" s="111">
        <f t="shared" si="554"/>
        <v>554</v>
      </c>
      <c r="H738" s="111"/>
      <c r="I738" s="111">
        <f>SUM(I732:I737)</f>
        <v>502</v>
      </c>
      <c r="J738" s="111">
        <f t="shared" si="544"/>
        <v>52</v>
      </c>
      <c r="K738" s="92">
        <f t="shared" si="545"/>
        <v>1.103585657</v>
      </c>
      <c r="L738" s="111">
        <f t="shared" ref="L738:M738" si="555">SUM(L732:L737)</f>
        <v>91</v>
      </c>
      <c r="M738" s="111">
        <f t="shared" si="555"/>
        <v>727</v>
      </c>
      <c r="N738" s="111"/>
      <c r="O738" s="112"/>
      <c r="P738" s="111">
        <f t="shared" ref="P738:AH738" si="556">SUM(P732:P737)</f>
        <v>22</v>
      </c>
      <c r="Q738" s="111">
        <f t="shared" si="556"/>
        <v>12</v>
      </c>
      <c r="R738" s="111">
        <f t="shared" si="556"/>
        <v>49</v>
      </c>
      <c r="S738" s="111">
        <f t="shared" si="556"/>
        <v>8</v>
      </c>
      <c r="T738" s="111">
        <f t="shared" si="556"/>
        <v>83</v>
      </c>
      <c r="U738" s="111">
        <f t="shared" si="556"/>
        <v>14</v>
      </c>
      <c r="V738" s="111">
        <f t="shared" si="556"/>
        <v>4</v>
      </c>
      <c r="W738" s="111">
        <f t="shared" si="556"/>
        <v>0</v>
      </c>
      <c r="X738" s="111">
        <f t="shared" si="556"/>
        <v>0</v>
      </c>
      <c r="Y738" s="111">
        <f t="shared" si="556"/>
        <v>0</v>
      </c>
      <c r="Z738" s="111">
        <f t="shared" si="556"/>
        <v>0</v>
      </c>
      <c r="AA738" s="111">
        <f t="shared" si="556"/>
        <v>0</v>
      </c>
      <c r="AB738" s="111">
        <f t="shared" si="556"/>
        <v>0</v>
      </c>
      <c r="AC738" s="111">
        <f t="shared" si="556"/>
        <v>10</v>
      </c>
      <c r="AD738" s="111">
        <f t="shared" si="556"/>
        <v>1</v>
      </c>
      <c r="AE738" s="111">
        <f t="shared" si="556"/>
        <v>0</v>
      </c>
      <c r="AF738" s="111">
        <f t="shared" si="556"/>
        <v>0</v>
      </c>
      <c r="AG738" s="111">
        <f t="shared" si="556"/>
        <v>0</v>
      </c>
      <c r="AH738" s="111">
        <f t="shared" si="556"/>
        <v>0</v>
      </c>
    </row>
    <row r="739">
      <c r="A739" s="115" t="s">
        <v>297</v>
      </c>
    </row>
    <row r="741" hidden="1">
      <c r="A741" s="105"/>
      <c r="F741" s="106" t="s">
        <v>251</v>
      </c>
      <c r="L741" s="107" t="s">
        <v>252</v>
      </c>
      <c r="N741" s="108" t="s">
        <v>253</v>
      </c>
    </row>
    <row r="742" hidden="1">
      <c r="A742" s="76" t="s">
        <v>148</v>
      </c>
      <c r="B742" s="76" t="s">
        <v>149</v>
      </c>
      <c r="C742" s="76" t="s">
        <v>150</v>
      </c>
      <c r="D742" s="76" t="s">
        <v>13</v>
      </c>
      <c r="E742" s="77" t="s">
        <v>151</v>
      </c>
      <c r="F742" s="78" t="s">
        <v>15</v>
      </c>
      <c r="G742" s="78" t="s">
        <v>152</v>
      </c>
      <c r="H742" s="78" t="s">
        <v>153</v>
      </c>
      <c r="I742" s="78" t="s">
        <v>154</v>
      </c>
      <c r="J742" s="78" t="s">
        <v>155</v>
      </c>
      <c r="K742" s="79" t="s">
        <v>156</v>
      </c>
      <c r="L742" s="80" t="s">
        <v>157</v>
      </c>
      <c r="M742" s="80" t="s">
        <v>158</v>
      </c>
      <c r="N742" s="81" t="s">
        <v>254</v>
      </c>
      <c r="O742" s="81" t="s">
        <v>151</v>
      </c>
      <c r="P742" s="81" t="s">
        <v>160</v>
      </c>
      <c r="Q742" s="81" t="s">
        <v>161</v>
      </c>
      <c r="R742" s="81" t="s">
        <v>162</v>
      </c>
      <c r="S742" s="81" t="s">
        <v>163</v>
      </c>
      <c r="T742" s="81" t="s">
        <v>164</v>
      </c>
      <c r="U742" s="81" t="s">
        <v>165</v>
      </c>
      <c r="V742" s="81" t="s">
        <v>166</v>
      </c>
      <c r="W742" s="81" t="s">
        <v>167</v>
      </c>
      <c r="X742" s="81" t="s">
        <v>168</v>
      </c>
      <c r="Y742" s="81" t="s">
        <v>169</v>
      </c>
      <c r="Z742" s="81" t="s">
        <v>170</v>
      </c>
      <c r="AA742" s="81" t="s">
        <v>171</v>
      </c>
      <c r="AB742" s="81" t="s">
        <v>172</v>
      </c>
      <c r="AC742" s="81" t="s">
        <v>173</v>
      </c>
      <c r="AD742" s="81" t="s">
        <v>174</v>
      </c>
      <c r="AE742" s="81" t="s">
        <v>175</v>
      </c>
      <c r="AF742" s="81" t="s">
        <v>176</v>
      </c>
      <c r="AG742" s="81" t="s">
        <v>177</v>
      </c>
      <c r="AH742" s="81" t="s">
        <v>178</v>
      </c>
    </row>
    <row r="743" hidden="1">
      <c r="A743" s="109" t="s">
        <v>53</v>
      </c>
      <c r="B743" s="93" t="s">
        <v>192</v>
      </c>
      <c r="C743" s="85">
        <v>1.0</v>
      </c>
      <c r="D743" s="85">
        <v>1.0</v>
      </c>
      <c r="E743" s="96">
        <f t="shared" ref="E743:E748" si="557">SUM(L743*I743)/60</f>
        <v>28.05</v>
      </c>
      <c r="F743" s="85">
        <v>5.0</v>
      </c>
      <c r="G743" s="85">
        <v>29.0</v>
      </c>
      <c r="H743" s="94">
        <v>0.0</v>
      </c>
      <c r="I743" s="85">
        <v>51.0</v>
      </c>
      <c r="J743" s="95">
        <f t="shared" ref="J743:J756" si="558">SUM(G743-I743)</f>
        <v>-22</v>
      </c>
      <c r="K743" s="87">
        <f t="shared" ref="K743:K756" si="559">SUM(G743/I743)</f>
        <v>0.568627451</v>
      </c>
      <c r="L743" s="85">
        <v>33.0</v>
      </c>
      <c r="M743" s="85">
        <v>46.0</v>
      </c>
      <c r="N743" s="85">
        <v>1.0</v>
      </c>
      <c r="O743" s="110">
        <f t="shared" ref="O743:O748" si="560">(E743*N743)</f>
        <v>28.05</v>
      </c>
      <c r="P743" s="85">
        <v>5.0</v>
      </c>
      <c r="Q743" s="94">
        <v>0.0</v>
      </c>
      <c r="R743" s="94">
        <v>0.0</v>
      </c>
      <c r="S743" s="85">
        <v>1.0</v>
      </c>
      <c r="T743" s="85">
        <v>4.0</v>
      </c>
      <c r="U743" s="85">
        <v>1.0</v>
      </c>
      <c r="V743" s="85">
        <v>1.0</v>
      </c>
      <c r="W743" s="94">
        <v>0.0</v>
      </c>
      <c r="X743" s="94">
        <v>0.0</v>
      </c>
      <c r="Y743" s="94">
        <v>0.0</v>
      </c>
      <c r="Z743" s="94">
        <v>0.0</v>
      </c>
      <c r="AA743" s="94">
        <v>0.0</v>
      </c>
      <c r="AB743" s="94">
        <v>0.0</v>
      </c>
      <c r="AC743" s="94">
        <v>0.0</v>
      </c>
      <c r="AD743" s="94">
        <v>0.0</v>
      </c>
      <c r="AE743" s="94">
        <v>0.0</v>
      </c>
      <c r="AF743" s="94">
        <v>0.0</v>
      </c>
      <c r="AG743" s="94">
        <v>0.0</v>
      </c>
      <c r="AH743" s="94">
        <v>0.0</v>
      </c>
    </row>
    <row r="744" hidden="1">
      <c r="A744" s="109" t="s">
        <v>53</v>
      </c>
      <c r="B744" s="93" t="s">
        <v>193</v>
      </c>
      <c r="C744" s="85">
        <v>1.0</v>
      </c>
      <c r="D744" s="85">
        <v>1.0</v>
      </c>
      <c r="E744" s="96">
        <f t="shared" si="557"/>
        <v>25.78333333</v>
      </c>
      <c r="F744" s="94">
        <v>0.0</v>
      </c>
      <c r="G744" s="85">
        <v>174.0</v>
      </c>
      <c r="H744" s="94">
        <v>0.0</v>
      </c>
      <c r="I744" s="85">
        <v>119.0</v>
      </c>
      <c r="J744" s="95">
        <f t="shared" si="558"/>
        <v>55</v>
      </c>
      <c r="K744" s="87">
        <f t="shared" si="559"/>
        <v>1.462184874</v>
      </c>
      <c r="L744" s="85">
        <v>13.0</v>
      </c>
      <c r="M744" s="85">
        <v>246.0</v>
      </c>
      <c r="N744" s="85">
        <v>1.0</v>
      </c>
      <c r="O744" s="110">
        <f t="shared" si="560"/>
        <v>25.78333333</v>
      </c>
      <c r="P744" s="85">
        <v>7.0</v>
      </c>
      <c r="Q744" s="85">
        <v>2.0</v>
      </c>
      <c r="R744" s="85">
        <v>17.0</v>
      </c>
      <c r="S744" s="94">
        <v>0.0</v>
      </c>
      <c r="T744" s="85">
        <v>36.0</v>
      </c>
      <c r="U744" s="85">
        <v>8.0</v>
      </c>
      <c r="V744" s="85">
        <v>4.0</v>
      </c>
      <c r="W744" s="94">
        <v>0.0</v>
      </c>
      <c r="X744" s="94">
        <v>0.0</v>
      </c>
      <c r="Y744" s="94">
        <v>0.0</v>
      </c>
      <c r="Z744" s="94">
        <v>0.0</v>
      </c>
      <c r="AA744" s="94">
        <v>0.0</v>
      </c>
      <c r="AB744" s="94">
        <v>0.0</v>
      </c>
      <c r="AC744" s="85">
        <v>6.0</v>
      </c>
      <c r="AD744" s="94">
        <v>0.0</v>
      </c>
      <c r="AE744" s="94">
        <v>0.0</v>
      </c>
      <c r="AF744" s="94">
        <v>0.0</v>
      </c>
      <c r="AG744" s="94">
        <v>0.0</v>
      </c>
      <c r="AH744" s="94">
        <v>0.0</v>
      </c>
    </row>
    <row r="745" hidden="1">
      <c r="A745" s="109" t="s">
        <v>53</v>
      </c>
      <c r="B745" s="93" t="s">
        <v>194</v>
      </c>
      <c r="C745" s="85">
        <v>1.0</v>
      </c>
      <c r="D745" s="85">
        <v>1.0</v>
      </c>
      <c r="E745" s="96">
        <f t="shared" si="557"/>
        <v>25.13333333</v>
      </c>
      <c r="F745" s="94">
        <v>0.0</v>
      </c>
      <c r="G745" s="85">
        <v>159.0</v>
      </c>
      <c r="H745" s="85">
        <v>0.0</v>
      </c>
      <c r="I745" s="85">
        <v>116.0</v>
      </c>
      <c r="J745" s="95">
        <f t="shared" si="558"/>
        <v>43</v>
      </c>
      <c r="K745" s="87">
        <f t="shared" si="559"/>
        <v>1.370689655</v>
      </c>
      <c r="L745" s="85">
        <v>13.0</v>
      </c>
      <c r="M745" s="85">
        <v>212.0</v>
      </c>
      <c r="N745" s="85">
        <v>1.0</v>
      </c>
      <c r="O745" s="110">
        <f t="shared" si="560"/>
        <v>25.13333333</v>
      </c>
      <c r="P745" s="85">
        <v>4.0</v>
      </c>
      <c r="Q745" s="85">
        <v>8.0</v>
      </c>
      <c r="R745" s="85">
        <v>5.0</v>
      </c>
      <c r="S745" s="85">
        <v>1.0</v>
      </c>
      <c r="T745" s="85">
        <v>26.0</v>
      </c>
      <c r="U745" s="85">
        <v>6.0</v>
      </c>
      <c r="V745" s="85">
        <v>2.0</v>
      </c>
      <c r="W745" s="94">
        <v>0.0</v>
      </c>
      <c r="X745" s="94">
        <v>0.0</v>
      </c>
      <c r="Y745" s="94">
        <v>0.0</v>
      </c>
      <c r="Z745" s="94">
        <v>0.0</v>
      </c>
      <c r="AA745" s="94">
        <v>0.0</v>
      </c>
      <c r="AB745" s="94">
        <v>0.0</v>
      </c>
      <c r="AC745" s="85">
        <v>6.0</v>
      </c>
      <c r="AD745" s="94">
        <v>0.0</v>
      </c>
      <c r="AE745" s="94">
        <v>0.0</v>
      </c>
      <c r="AF745" s="94">
        <v>0.0</v>
      </c>
      <c r="AG745" s="94">
        <v>0.0</v>
      </c>
      <c r="AH745" s="85">
        <v>4.0</v>
      </c>
    </row>
    <row r="746" hidden="1">
      <c r="A746" s="109" t="s">
        <v>53</v>
      </c>
      <c r="B746" s="93" t="s">
        <v>195</v>
      </c>
      <c r="C746" s="85">
        <v>1.0</v>
      </c>
      <c r="D746" s="85">
        <v>1.0</v>
      </c>
      <c r="E746" s="96">
        <f t="shared" si="557"/>
        <v>26.1</v>
      </c>
      <c r="F746" s="94">
        <v>0.0</v>
      </c>
      <c r="G746" s="85">
        <v>88.0</v>
      </c>
      <c r="H746" s="94">
        <v>0.0</v>
      </c>
      <c r="I746" s="85">
        <v>87.0</v>
      </c>
      <c r="J746" s="95">
        <f t="shared" si="558"/>
        <v>1</v>
      </c>
      <c r="K746" s="87">
        <f t="shared" si="559"/>
        <v>1.011494253</v>
      </c>
      <c r="L746" s="85">
        <v>18.0</v>
      </c>
      <c r="M746" s="85">
        <v>108.0</v>
      </c>
      <c r="N746" s="85">
        <v>1.0</v>
      </c>
      <c r="O746" s="110">
        <f t="shared" si="560"/>
        <v>26.1</v>
      </c>
      <c r="P746" s="85">
        <v>2.0</v>
      </c>
      <c r="Q746" s="85">
        <v>1.0</v>
      </c>
      <c r="R746" s="85">
        <v>11.0</v>
      </c>
      <c r="S746" s="85">
        <v>1.0</v>
      </c>
      <c r="T746" s="85">
        <v>7.0</v>
      </c>
      <c r="U746" s="85">
        <v>1.0</v>
      </c>
      <c r="V746" s="94">
        <v>0.0</v>
      </c>
      <c r="W746" s="94">
        <v>0.0</v>
      </c>
      <c r="X746" s="94">
        <v>0.0</v>
      </c>
      <c r="Y746" s="94">
        <v>0.0</v>
      </c>
      <c r="Z746" s="94">
        <v>0.0</v>
      </c>
      <c r="AA746" s="94">
        <v>0.0</v>
      </c>
      <c r="AB746" s="94">
        <v>0.0</v>
      </c>
      <c r="AC746" s="85">
        <v>3.0</v>
      </c>
      <c r="AD746" s="94">
        <v>0.0</v>
      </c>
      <c r="AE746" s="94">
        <v>0.0</v>
      </c>
      <c r="AF746" s="94">
        <v>0.0</v>
      </c>
      <c r="AG746" s="94">
        <v>0.0</v>
      </c>
      <c r="AH746" s="94">
        <v>0.0</v>
      </c>
    </row>
    <row r="747" hidden="1">
      <c r="A747" s="109" t="s">
        <v>53</v>
      </c>
      <c r="B747" s="93" t="s">
        <v>196</v>
      </c>
      <c r="C747" s="94">
        <v>0.0</v>
      </c>
      <c r="D747" s="94">
        <v>0.0</v>
      </c>
      <c r="E747" s="96">
        <f t="shared" si="557"/>
        <v>0</v>
      </c>
      <c r="F747" s="94">
        <v>0.0</v>
      </c>
      <c r="G747" s="94">
        <v>0.0</v>
      </c>
      <c r="H747" s="94">
        <v>0.0</v>
      </c>
      <c r="I747" s="94">
        <v>0.0</v>
      </c>
      <c r="J747" s="95">
        <f t="shared" si="558"/>
        <v>0</v>
      </c>
      <c r="K747" s="87" t="str">
        <f t="shared" si="559"/>
        <v>#DIV/0!</v>
      </c>
      <c r="L747" s="94">
        <v>0.0</v>
      </c>
      <c r="M747" s="94">
        <v>0.0</v>
      </c>
      <c r="N747" s="85">
        <v>0.0</v>
      </c>
      <c r="O747" s="110">
        <f t="shared" si="560"/>
        <v>0</v>
      </c>
      <c r="P747" s="94">
        <v>0.0</v>
      </c>
      <c r="Q747" s="94">
        <v>0.0</v>
      </c>
      <c r="R747" s="94">
        <v>0.0</v>
      </c>
      <c r="S747" s="94">
        <v>0.0</v>
      </c>
      <c r="T747" s="94">
        <v>0.0</v>
      </c>
      <c r="U747" s="94">
        <v>0.0</v>
      </c>
      <c r="V747" s="94">
        <v>0.0</v>
      </c>
      <c r="W747" s="94">
        <v>0.0</v>
      </c>
      <c r="X747" s="94">
        <v>0.0</v>
      </c>
      <c r="Y747" s="94">
        <v>0.0</v>
      </c>
      <c r="Z747" s="94">
        <v>0.0</v>
      </c>
      <c r="AA747" s="94">
        <v>0.0</v>
      </c>
      <c r="AB747" s="94">
        <v>0.0</v>
      </c>
      <c r="AC747" s="94">
        <v>0.0</v>
      </c>
      <c r="AD747" s="94">
        <v>0.0</v>
      </c>
      <c r="AE747" s="94">
        <v>0.0</v>
      </c>
      <c r="AF747" s="94">
        <v>0.0</v>
      </c>
      <c r="AG747" s="94">
        <v>0.0</v>
      </c>
      <c r="AH747" s="94">
        <v>0.0</v>
      </c>
    </row>
    <row r="748" hidden="1">
      <c r="A748" s="109" t="s">
        <v>53</v>
      </c>
      <c r="B748" s="116"/>
      <c r="C748" s="94">
        <v>0.0</v>
      </c>
      <c r="D748" s="94">
        <v>0.0</v>
      </c>
      <c r="E748" s="96">
        <f t="shared" si="557"/>
        <v>0</v>
      </c>
      <c r="F748" s="94">
        <v>0.0</v>
      </c>
      <c r="G748" s="94">
        <v>0.0</v>
      </c>
      <c r="H748" s="94">
        <v>0.0</v>
      </c>
      <c r="I748" s="94">
        <v>0.0</v>
      </c>
      <c r="J748" s="95">
        <f t="shared" si="558"/>
        <v>0</v>
      </c>
      <c r="K748" s="87" t="str">
        <f t="shared" si="559"/>
        <v>#DIV/0!</v>
      </c>
      <c r="L748" s="94">
        <v>0.0</v>
      </c>
      <c r="M748" s="94">
        <v>0.0</v>
      </c>
      <c r="N748" s="85">
        <v>0.0</v>
      </c>
      <c r="O748" s="110">
        <f t="shared" si="560"/>
        <v>0</v>
      </c>
      <c r="P748" s="94">
        <v>0.0</v>
      </c>
      <c r="Q748" s="94">
        <v>0.0</v>
      </c>
      <c r="R748" s="94">
        <v>0.0</v>
      </c>
      <c r="S748" s="94">
        <v>0.0</v>
      </c>
      <c r="T748" s="94">
        <v>0.0</v>
      </c>
      <c r="U748" s="94">
        <v>0.0</v>
      </c>
      <c r="V748" s="94">
        <v>0.0</v>
      </c>
      <c r="W748" s="94">
        <v>0.0</v>
      </c>
      <c r="X748" s="94">
        <v>0.0</v>
      </c>
      <c r="Y748" s="94">
        <v>0.0</v>
      </c>
      <c r="Z748" s="94">
        <v>0.0</v>
      </c>
      <c r="AA748" s="94">
        <v>0.0</v>
      </c>
      <c r="AB748" s="94">
        <v>0.0</v>
      </c>
      <c r="AC748" s="94">
        <v>0.0</v>
      </c>
      <c r="AD748" s="94">
        <v>0.0</v>
      </c>
      <c r="AE748" s="94">
        <v>0.0</v>
      </c>
      <c r="AF748" s="94">
        <v>0.0</v>
      </c>
      <c r="AG748" s="94">
        <v>0.0</v>
      </c>
      <c r="AH748" s="94">
        <v>0.0</v>
      </c>
    </row>
    <row r="749" hidden="1">
      <c r="A749" s="89"/>
      <c r="B749" s="111"/>
      <c r="C749" s="111">
        <f t="shared" ref="C749:D749" si="561">SUM(C743:C748)/4</f>
        <v>1</v>
      </c>
      <c r="D749" s="111">
        <f t="shared" si="561"/>
        <v>1</v>
      </c>
      <c r="E749" s="91">
        <f t="shared" ref="E749:G749" si="562">SUM(E743:E748)</f>
        <v>105.0666667</v>
      </c>
      <c r="F749" s="111">
        <f t="shared" si="562"/>
        <v>5</v>
      </c>
      <c r="G749" s="111">
        <f t="shared" si="562"/>
        <v>450</v>
      </c>
      <c r="H749" s="111"/>
      <c r="I749" s="111">
        <f>SUM(I743:I748)</f>
        <v>373</v>
      </c>
      <c r="J749" s="111">
        <f t="shared" si="558"/>
        <v>77</v>
      </c>
      <c r="K749" s="92">
        <f t="shared" si="559"/>
        <v>1.206434316</v>
      </c>
      <c r="L749" s="111">
        <f t="shared" ref="L749:M749" si="563">SUM(L743:L748)</f>
        <v>77</v>
      </c>
      <c r="M749" s="111">
        <f t="shared" si="563"/>
        <v>612</v>
      </c>
      <c r="N749" s="111"/>
      <c r="O749" s="112"/>
      <c r="P749" s="111">
        <f t="shared" ref="P749:AH749" si="564">SUM(P743:P748)</f>
        <v>18</v>
      </c>
      <c r="Q749" s="111">
        <f t="shared" si="564"/>
        <v>11</v>
      </c>
      <c r="R749" s="111">
        <f t="shared" si="564"/>
        <v>33</v>
      </c>
      <c r="S749" s="111">
        <f t="shared" si="564"/>
        <v>3</v>
      </c>
      <c r="T749" s="111">
        <f t="shared" si="564"/>
        <v>73</v>
      </c>
      <c r="U749" s="111">
        <f t="shared" si="564"/>
        <v>16</v>
      </c>
      <c r="V749" s="111">
        <f t="shared" si="564"/>
        <v>7</v>
      </c>
      <c r="W749" s="111">
        <f t="shared" si="564"/>
        <v>0</v>
      </c>
      <c r="X749" s="111">
        <f t="shared" si="564"/>
        <v>0</v>
      </c>
      <c r="Y749" s="111">
        <f t="shared" si="564"/>
        <v>0</v>
      </c>
      <c r="Z749" s="111">
        <f t="shared" si="564"/>
        <v>0</v>
      </c>
      <c r="AA749" s="111">
        <f t="shared" si="564"/>
        <v>0</v>
      </c>
      <c r="AB749" s="111">
        <f t="shared" si="564"/>
        <v>0</v>
      </c>
      <c r="AC749" s="111">
        <f t="shared" si="564"/>
        <v>15</v>
      </c>
      <c r="AD749" s="111">
        <f t="shared" si="564"/>
        <v>0</v>
      </c>
      <c r="AE749" s="111">
        <f t="shared" si="564"/>
        <v>0</v>
      </c>
      <c r="AF749" s="111">
        <f t="shared" si="564"/>
        <v>0</v>
      </c>
      <c r="AG749" s="111">
        <f t="shared" si="564"/>
        <v>0</v>
      </c>
      <c r="AH749" s="111">
        <f t="shared" si="564"/>
        <v>4</v>
      </c>
    </row>
    <row r="750" hidden="1">
      <c r="A750" s="109" t="s">
        <v>47</v>
      </c>
      <c r="B750" s="93" t="s">
        <v>237</v>
      </c>
      <c r="C750" s="85">
        <v>1.0</v>
      </c>
      <c r="D750" s="85">
        <v>1.0</v>
      </c>
      <c r="E750" s="96">
        <f t="shared" ref="E750:E755" si="565">SUM(L750*I750)/60</f>
        <v>25.66666667</v>
      </c>
      <c r="F750" s="94">
        <v>0.0</v>
      </c>
      <c r="G750" s="85">
        <v>125.0</v>
      </c>
      <c r="H750" s="85">
        <v>2.0</v>
      </c>
      <c r="I750" s="85">
        <v>110.0</v>
      </c>
      <c r="J750" s="95">
        <f t="shared" si="558"/>
        <v>15</v>
      </c>
      <c r="K750" s="87">
        <f t="shared" si="559"/>
        <v>1.136363636</v>
      </c>
      <c r="L750" s="85">
        <v>14.0</v>
      </c>
      <c r="M750" s="85">
        <v>164.0</v>
      </c>
      <c r="N750" s="85">
        <v>1.0</v>
      </c>
      <c r="O750" s="110">
        <f t="shared" ref="O750:O755" si="566">(E750*N750)</f>
        <v>25.66666667</v>
      </c>
      <c r="P750" s="85">
        <v>4.0</v>
      </c>
      <c r="Q750" s="85">
        <v>2.0</v>
      </c>
      <c r="R750" s="85">
        <v>9.0</v>
      </c>
      <c r="S750" s="85">
        <v>5.0</v>
      </c>
      <c r="T750" s="85">
        <v>25.0</v>
      </c>
      <c r="U750" s="85">
        <v>4.0</v>
      </c>
      <c r="V750" s="85">
        <v>1.0</v>
      </c>
      <c r="W750" s="85">
        <v>1.0</v>
      </c>
      <c r="X750" s="94">
        <v>0.0</v>
      </c>
      <c r="Y750" s="94">
        <v>0.0</v>
      </c>
      <c r="Z750" s="94">
        <v>0.0</v>
      </c>
      <c r="AA750" s="94">
        <v>0.0</v>
      </c>
      <c r="AB750" s="94">
        <v>0.0</v>
      </c>
      <c r="AC750" s="85">
        <v>2.0</v>
      </c>
      <c r="AD750" s="94">
        <v>0.0</v>
      </c>
      <c r="AE750" s="94">
        <v>0.0</v>
      </c>
      <c r="AF750" s="94">
        <v>0.0</v>
      </c>
      <c r="AG750" s="94">
        <v>0.0</v>
      </c>
      <c r="AH750" s="94">
        <v>0.0</v>
      </c>
    </row>
    <row r="751" hidden="1">
      <c r="A751" s="109" t="s">
        <v>47</v>
      </c>
      <c r="B751" s="93" t="s">
        <v>238</v>
      </c>
      <c r="C751" s="85">
        <v>1.0</v>
      </c>
      <c r="D751" s="85">
        <v>1.0</v>
      </c>
      <c r="E751" s="96">
        <f t="shared" si="565"/>
        <v>25.78333333</v>
      </c>
      <c r="F751" s="85">
        <v>3.0</v>
      </c>
      <c r="G751" s="85">
        <v>63.0</v>
      </c>
      <c r="H751" s="94">
        <v>0.0</v>
      </c>
      <c r="I751" s="85">
        <v>119.0</v>
      </c>
      <c r="J751" s="95">
        <f t="shared" si="558"/>
        <v>-56</v>
      </c>
      <c r="K751" s="87">
        <f t="shared" si="559"/>
        <v>0.5294117647</v>
      </c>
      <c r="L751" s="85">
        <v>13.0</v>
      </c>
      <c r="M751" s="85">
        <v>76.0</v>
      </c>
      <c r="N751" s="85">
        <v>1.0</v>
      </c>
      <c r="O751" s="110">
        <f t="shared" si="566"/>
        <v>25.78333333</v>
      </c>
      <c r="P751" s="85">
        <v>2.0</v>
      </c>
      <c r="Q751" s="94">
        <v>0.0</v>
      </c>
      <c r="R751" s="85">
        <v>5.0</v>
      </c>
      <c r="S751" s="85">
        <v>3.0</v>
      </c>
      <c r="T751" s="85">
        <v>3.0</v>
      </c>
      <c r="U751" s="94">
        <v>0.0</v>
      </c>
      <c r="V751" s="94">
        <v>0.0</v>
      </c>
      <c r="W751" s="94">
        <v>0.0</v>
      </c>
      <c r="X751" s="94">
        <v>0.0</v>
      </c>
      <c r="Y751" s="94">
        <v>0.0</v>
      </c>
      <c r="Z751" s="94">
        <v>0.0</v>
      </c>
      <c r="AA751" s="94">
        <v>0.0</v>
      </c>
      <c r="AB751" s="94">
        <v>0.0</v>
      </c>
      <c r="AC751" s="94">
        <v>0.0</v>
      </c>
      <c r="AD751" s="94">
        <v>0.0</v>
      </c>
      <c r="AE751" s="94">
        <v>0.0</v>
      </c>
      <c r="AF751" s="94">
        <v>0.0</v>
      </c>
      <c r="AG751" s="94">
        <v>0.0</v>
      </c>
      <c r="AH751" s="94">
        <v>0.0</v>
      </c>
    </row>
    <row r="752" hidden="1">
      <c r="A752" s="109" t="s">
        <v>47</v>
      </c>
      <c r="B752" s="93" t="s">
        <v>239</v>
      </c>
      <c r="C752" s="85">
        <v>1.0</v>
      </c>
      <c r="D752" s="85">
        <v>1.0</v>
      </c>
      <c r="E752" s="96">
        <f t="shared" si="565"/>
        <v>24.4</v>
      </c>
      <c r="F752" s="94">
        <v>0.0</v>
      </c>
      <c r="G752" s="85">
        <v>92.0</v>
      </c>
      <c r="H752" s="94">
        <v>0.0</v>
      </c>
      <c r="I752" s="85">
        <v>122.0</v>
      </c>
      <c r="J752" s="95">
        <f t="shared" si="558"/>
        <v>-30</v>
      </c>
      <c r="K752" s="87">
        <f t="shared" si="559"/>
        <v>0.7540983607</v>
      </c>
      <c r="L752" s="85">
        <v>12.0</v>
      </c>
      <c r="M752" s="85">
        <v>116.0</v>
      </c>
      <c r="N752" s="85">
        <v>1.0</v>
      </c>
      <c r="O752" s="110">
        <f t="shared" si="566"/>
        <v>24.4</v>
      </c>
      <c r="P752" s="85">
        <v>3.0</v>
      </c>
      <c r="Q752" s="85">
        <v>1.0</v>
      </c>
      <c r="R752" s="85">
        <v>8.0</v>
      </c>
      <c r="S752" s="85">
        <v>1.0</v>
      </c>
      <c r="T752" s="85">
        <v>12.0</v>
      </c>
      <c r="U752" s="85">
        <v>3.0</v>
      </c>
      <c r="V752" s="94">
        <v>0.0</v>
      </c>
      <c r="W752" s="94">
        <v>0.0</v>
      </c>
      <c r="X752" s="94">
        <v>0.0</v>
      </c>
      <c r="Y752" s="94">
        <v>0.0</v>
      </c>
      <c r="Z752" s="94">
        <v>0.0</v>
      </c>
      <c r="AA752" s="94">
        <v>0.0</v>
      </c>
      <c r="AB752" s="94">
        <v>0.0</v>
      </c>
      <c r="AC752" s="94">
        <v>0.0</v>
      </c>
      <c r="AD752" s="94">
        <v>0.0</v>
      </c>
      <c r="AE752" s="94">
        <v>0.0</v>
      </c>
      <c r="AF752" s="94">
        <v>0.0</v>
      </c>
      <c r="AG752" s="94">
        <v>0.0</v>
      </c>
      <c r="AH752" s="94">
        <v>0.0</v>
      </c>
    </row>
    <row r="753" hidden="1">
      <c r="A753" s="109" t="s">
        <v>47</v>
      </c>
      <c r="B753" s="93" t="s">
        <v>240</v>
      </c>
      <c r="C753" s="85">
        <v>1.0</v>
      </c>
      <c r="D753" s="85">
        <v>1.0</v>
      </c>
      <c r="E753" s="96">
        <f t="shared" si="565"/>
        <v>24.26666667</v>
      </c>
      <c r="F753" s="94">
        <v>0.0</v>
      </c>
      <c r="G753" s="85">
        <v>88.0</v>
      </c>
      <c r="H753" s="94">
        <v>0.0</v>
      </c>
      <c r="I753" s="85">
        <v>112.0</v>
      </c>
      <c r="J753" s="95">
        <f t="shared" si="558"/>
        <v>-24</v>
      </c>
      <c r="K753" s="87">
        <f t="shared" si="559"/>
        <v>0.7857142857</v>
      </c>
      <c r="L753" s="85">
        <v>13.0</v>
      </c>
      <c r="M753" s="85">
        <v>112.0</v>
      </c>
      <c r="N753" s="85">
        <v>1.0</v>
      </c>
      <c r="O753" s="110">
        <f t="shared" si="566"/>
        <v>24.26666667</v>
      </c>
      <c r="P753" s="85">
        <v>1.0</v>
      </c>
      <c r="Q753" s="85">
        <v>4.0</v>
      </c>
      <c r="R753" s="85">
        <v>8.0</v>
      </c>
      <c r="S753" s="85">
        <v>5.0</v>
      </c>
      <c r="T753" s="85">
        <v>10.0</v>
      </c>
      <c r="U753" s="85">
        <v>3.0</v>
      </c>
      <c r="V753" s="94">
        <v>0.0</v>
      </c>
      <c r="W753" s="94">
        <v>0.0</v>
      </c>
      <c r="X753" s="94">
        <v>0.0</v>
      </c>
      <c r="Y753" s="94">
        <v>0.0</v>
      </c>
      <c r="Z753" s="94">
        <v>0.0</v>
      </c>
      <c r="AA753" s="94">
        <v>0.0</v>
      </c>
      <c r="AB753" s="94">
        <v>0.0</v>
      </c>
      <c r="AC753" s="85">
        <v>1.0</v>
      </c>
      <c r="AD753" s="94">
        <v>0.0</v>
      </c>
      <c r="AE753" s="94">
        <v>0.0</v>
      </c>
      <c r="AF753" s="94">
        <v>0.0</v>
      </c>
      <c r="AG753" s="94">
        <v>0.0</v>
      </c>
      <c r="AH753" s="94">
        <v>0.0</v>
      </c>
    </row>
    <row r="754" hidden="1">
      <c r="A754" s="109" t="s">
        <v>47</v>
      </c>
      <c r="B754" s="93" t="s">
        <v>241</v>
      </c>
      <c r="C754" s="94">
        <v>0.0</v>
      </c>
      <c r="D754" s="94">
        <v>0.0</v>
      </c>
      <c r="E754" s="96">
        <f t="shared" si="565"/>
        <v>0</v>
      </c>
      <c r="F754" s="94">
        <v>0.0</v>
      </c>
      <c r="G754" s="94">
        <v>0.0</v>
      </c>
      <c r="H754" s="94">
        <v>0.0</v>
      </c>
      <c r="I754" s="94">
        <v>0.0</v>
      </c>
      <c r="J754" s="95">
        <f t="shared" si="558"/>
        <v>0</v>
      </c>
      <c r="K754" s="87" t="str">
        <f t="shared" si="559"/>
        <v>#DIV/0!</v>
      </c>
      <c r="L754" s="94">
        <v>0.0</v>
      </c>
      <c r="M754" s="94">
        <v>0.0</v>
      </c>
      <c r="N754" s="85">
        <v>0.0</v>
      </c>
      <c r="O754" s="110">
        <f t="shared" si="566"/>
        <v>0</v>
      </c>
      <c r="P754" s="94">
        <v>0.0</v>
      </c>
      <c r="Q754" s="94">
        <v>0.0</v>
      </c>
      <c r="R754" s="94">
        <v>0.0</v>
      </c>
      <c r="S754" s="94">
        <v>0.0</v>
      </c>
      <c r="T754" s="94">
        <v>0.0</v>
      </c>
      <c r="U754" s="94">
        <v>0.0</v>
      </c>
      <c r="V754" s="94">
        <v>0.0</v>
      </c>
      <c r="W754" s="94">
        <v>0.0</v>
      </c>
      <c r="X754" s="94">
        <v>0.0</v>
      </c>
      <c r="Y754" s="94">
        <v>0.0</v>
      </c>
      <c r="Z754" s="94">
        <v>0.0</v>
      </c>
      <c r="AA754" s="94">
        <v>0.0</v>
      </c>
      <c r="AB754" s="94">
        <v>0.0</v>
      </c>
      <c r="AC754" s="94">
        <v>0.0</v>
      </c>
      <c r="AD754" s="94">
        <v>0.0</v>
      </c>
      <c r="AE754" s="94">
        <v>0.0</v>
      </c>
      <c r="AF754" s="94">
        <v>0.0</v>
      </c>
      <c r="AG754" s="94">
        <v>0.0</v>
      </c>
      <c r="AH754" s="94">
        <v>0.0</v>
      </c>
    </row>
    <row r="755" hidden="1">
      <c r="A755" s="109" t="s">
        <v>47</v>
      </c>
      <c r="B755" s="116"/>
      <c r="C755" s="94">
        <v>0.0</v>
      </c>
      <c r="D755" s="94">
        <v>0.0</v>
      </c>
      <c r="E755" s="96">
        <f t="shared" si="565"/>
        <v>0</v>
      </c>
      <c r="F755" s="94">
        <v>0.0</v>
      </c>
      <c r="G755" s="94">
        <v>0.0</v>
      </c>
      <c r="H755" s="94">
        <v>0.0</v>
      </c>
      <c r="I755" s="94">
        <v>0.0</v>
      </c>
      <c r="J755" s="95">
        <f t="shared" si="558"/>
        <v>0</v>
      </c>
      <c r="K755" s="87" t="str">
        <f t="shared" si="559"/>
        <v>#DIV/0!</v>
      </c>
      <c r="L755" s="94">
        <v>0.0</v>
      </c>
      <c r="M755" s="94">
        <v>0.0</v>
      </c>
      <c r="N755" s="85">
        <v>0.0</v>
      </c>
      <c r="O755" s="110">
        <f t="shared" si="566"/>
        <v>0</v>
      </c>
      <c r="P755" s="94">
        <v>0.0</v>
      </c>
      <c r="Q755" s="94">
        <v>0.0</v>
      </c>
      <c r="R755" s="94">
        <v>0.0</v>
      </c>
      <c r="S755" s="94">
        <v>0.0</v>
      </c>
      <c r="T755" s="94">
        <v>0.0</v>
      </c>
      <c r="U755" s="94">
        <v>0.0</v>
      </c>
      <c r="V755" s="94">
        <v>0.0</v>
      </c>
      <c r="W755" s="94">
        <v>0.0</v>
      </c>
      <c r="X755" s="94">
        <v>0.0</v>
      </c>
      <c r="Y755" s="94">
        <v>0.0</v>
      </c>
      <c r="Z755" s="94">
        <v>0.0</v>
      </c>
      <c r="AA755" s="94">
        <v>0.0</v>
      </c>
      <c r="AB755" s="94">
        <v>0.0</v>
      </c>
      <c r="AC755" s="94">
        <v>0.0</v>
      </c>
      <c r="AD755" s="94">
        <v>0.0</v>
      </c>
      <c r="AE755" s="94">
        <v>0.0</v>
      </c>
      <c r="AF755" s="94">
        <v>0.0</v>
      </c>
      <c r="AG755" s="94">
        <v>0.0</v>
      </c>
      <c r="AH755" s="94">
        <v>0.0</v>
      </c>
    </row>
    <row r="756" hidden="1">
      <c r="A756" s="89" t="s">
        <v>185</v>
      </c>
      <c r="B756" s="111"/>
      <c r="C756" s="111">
        <f>SUM(C750:C755)</f>
        <v>4</v>
      </c>
      <c r="D756" s="111">
        <f t="shared" ref="D756:E756" si="567">SUM(D750:D755)/4</f>
        <v>1</v>
      </c>
      <c r="E756" s="91">
        <f t="shared" si="567"/>
        <v>25.02916667</v>
      </c>
      <c r="F756" s="111">
        <f t="shared" ref="F756:G756" si="568">SUM(F750:F755)</f>
        <v>3</v>
      </c>
      <c r="G756" s="111">
        <f t="shared" si="568"/>
        <v>368</v>
      </c>
      <c r="H756" s="111"/>
      <c r="I756" s="111">
        <f>SUM(I750:I755)</f>
        <v>463</v>
      </c>
      <c r="J756" s="111">
        <f t="shared" si="558"/>
        <v>-95</v>
      </c>
      <c r="K756" s="92">
        <f t="shared" si="559"/>
        <v>0.7948164147</v>
      </c>
      <c r="L756" s="111">
        <f t="shared" ref="L756:M756" si="569">SUM(L750:L755)</f>
        <v>52</v>
      </c>
      <c r="M756" s="111">
        <f t="shared" si="569"/>
        <v>468</v>
      </c>
      <c r="N756" s="111"/>
      <c r="O756" s="112"/>
      <c r="P756" s="111">
        <f t="shared" ref="P756:AH756" si="570">SUM(P750:P755)</f>
        <v>10</v>
      </c>
      <c r="Q756" s="111">
        <f t="shared" si="570"/>
        <v>7</v>
      </c>
      <c r="R756" s="111">
        <f t="shared" si="570"/>
        <v>30</v>
      </c>
      <c r="S756" s="111">
        <f t="shared" si="570"/>
        <v>14</v>
      </c>
      <c r="T756" s="111">
        <f t="shared" si="570"/>
        <v>50</v>
      </c>
      <c r="U756" s="111">
        <f t="shared" si="570"/>
        <v>10</v>
      </c>
      <c r="V756" s="111">
        <f t="shared" si="570"/>
        <v>1</v>
      </c>
      <c r="W756" s="111">
        <f t="shared" si="570"/>
        <v>1</v>
      </c>
      <c r="X756" s="111">
        <f t="shared" si="570"/>
        <v>0</v>
      </c>
      <c r="Y756" s="111">
        <f t="shared" si="570"/>
        <v>0</v>
      </c>
      <c r="Z756" s="111">
        <f t="shared" si="570"/>
        <v>0</v>
      </c>
      <c r="AA756" s="111">
        <f t="shared" si="570"/>
        <v>0</v>
      </c>
      <c r="AB756" s="111">
        <f t="shared" si="570"/>
        <v>0</v>
      </c>
      <c r="AC756" s="111">
        <f t="shared" si="570"/>
        <v>3</v>
      </c>
      <c r="AD756" s="111">
        <f t="shared" si="570"/>
        <v>0</v>
      </c>
      <c r="AE756" s="111">
        <f t="shared" si="570"/>
        <v>0</v>
      </c>
      <c r="AF756" s="111">
        <f t="shared" si="570"/>
        <v>0</v>
      </c>
      <c r="AG756" s="111">
        <f t="shared" si="570"/>
        <v>0</v>
      </c>
      <c r="AH756" s="111">
        <f t="shared" si="570"/>
        <v>0</v>
      </c>
    </row>
    <row r="757">
      <c r="A757" s="115" t="s">
        <v>298</v>
      </c>
    </row>
    <row r="759" hidden="1">
      <c r="A759" s="105"/>
      <c r="F759" s="106" t="s">
        <v>251</v>
      </c>
      <c r="L759" s="107" t="s">
        <v>252</v>
      </c>
      <c r="N759" s="108" t="s">
        <v>253</v>
      </c>
    </row>
    <row r="760" hidden="1">
      <c r="A760" s="76" t="s">
        <v>148</v>
      </c>
      <c r="B760" s="76" t="s">
        <v>149</v>
      </c>
      <c r="C760" s="76" t="s">
        <v>150</v>
      </c>
      <c r="D760" s="76" t="s">
        <v>13</v>
      </c>
      <c r="E760" s="77" t="s">
        <v>151</v>
      </c>
      <c r="F760" s="78" t="s">
        <v>15</v>
      </c>
      <c r="G760" s="78" t="s">
        <v>152</v>
      </c>
      <c r="H760" s="78" t="s">
        <v>153</v>
      </c>
      <c r="I760" s="78" t="s">
        <v>154</v>
      </c>
      <c r="J760" s="78" t="s">
        <v>155</v>
      </c>
      <c r="K760" s="79" t="s">
        <v>156</v>
      </c>
      <c r="L760" s="80" t="s">
        <v>157</v>
      </c>
      <c r="M760" s="80" t="s">
        <v>158</v>
      </c>
      <c r="N760" s="81" t="s">
        <v>254</v>
      </c>
      <c r="O760" s="81" t="s">
        <v>151</v>
      </c>
      <c r="P760" s="81" t="s">
        <v>160</v>
      </c>
      <c r="Q760" s="81" t="s">
        <v>161</v>
      </c>
      <c r="R760" s="81" t="s">
        <v>162</v>
      </c>
      <c r="S760" s="81" t="s">
        <v>163</v>
      </c>
      <c r="T760" s="81" t="s">
        <v>164</v>
      </c>
      <c r="U760" s="81" t="s">
        <v>165</v>
      </c>
      <c r="V760" s="81" t="s">
        <v>166</v>
      </c>
      <c r="W760" s="81" t="s">
        <v>167</v>
      </c>
      <c r="X760" s="81" t="s">
        <v>168</v>
      </c>
      <c r="Y760" s="81" t="s">
        <v>169</v>
      </c>
      <c r="Z760" s="81" t="s">
        <v>170</v>
      </c>
      <c r="AA760" s="81" t="s">
        <v>171</v>
      </c>
      <c r="AB760" s="81" t="s">
        <v>172</v>
      </c>
      <c r="AC760" s="81" t="s">
        <v>173</v>
      </c>
      <c r="AD760" s="81" t="s">
        <v>174</v>
      </c>
      <c r="AE760" s="81" t="s">
        <v>175</v>
      </c>
      <c r="AF760" s="81" t="s">
        <v>176</v>
      </c>
      <c r="AG760" s="81" t="s">
        <v>177</v>
      </c>
      <c r="AH760" s="81" t="s">
        <v>178</v>
      </c>
    </row>
    <row r="761" hidden="1">
      <c r="A761" s="109" t="s">
        <v>53</v>
      </c>
      <c r="B761" s="93" t="s">
        <v>192</v>
      </c>
      <c r="C761" s="85">
        <v>1.0</v>
      </c>
      <c r="D761" s="85">
        <v>0.0</v>
      </c>
      <c r="E761" s="86">
        <v>17.0</v>
      </c>
      <c r="F761" s="85">
        <v>4.0</v>
      </c>
      <c r="G761" s="85">
        <v>75.0</v>
      </c>
      <c r="H761" s="85">
        <v>2.0</v>
      </c>
      <c r="I761" s="85">
        <v>84.0</v>
      </c>
      <c r="J761" s="95">
        <f t="shared" ref="J761:J774" si="571">SUM(G761-I761)</f>
        <v>-9</v>
      </c>
      <c r="K761" s="87">
        <f t="shared" ref="K761:K774" si="572">SUM(G761/I761)</f>
        <v>0.8928571429</v>
      </c>
      <c r="L761" s="85">
        <v>22.0</v>
      </c>
      <c r="M761" s="85">
        <v>96.0</v>
      </c>
      <c r="N761" s="85">
        <v>1.0</v>
      </c>
      <c r="O761" s="110">
        <f t="shared" ref="O761:O766" si="573">(E761*N761)</f>
        <v>17</v>
      </c>
      <c r="P761" s="85">
        <v>3.0</v>
      </c>
      <c r="Q761" s="85">
        <v>1.0</v>
      </c>
      <c r="R761" s="85">
        <v>3.0</v>
      </c>
      <c r="S761" s="85">
        <v>2.0</v>
      </c>
      <c r="T761" s="85">
        <v>8.0</v>
      </c>
      <c r="U761" s="85">
        <v>1.0</v>
      </c>
      <c r="V761" s="94">
        <v>0.0</v>
      </c>
      <c r="W761" s="94">
        <v>0.0</v>
      </c>
      <c r="X761" s="94">
        <v>0.0</v>
      </c>
      <c r="Y761" s="94">
        <v>0.0</v>
      </c>
      <c r="Z761" s="94">
        <v>0.0</v>
      </c>
      <c r="AA761" s="94">
        <v>0.0</v>
      </c>
      <c r="AB761" s="94">
        <v>0.0</v>
      </c>
      <c r="AC761" s="85">
        <v>1.0</v>
      </c>
      <c r="AD761" s="94">
        <v>0.0</v>
      </c>
      <c r="AE761" s="94">
        <v>0.0</v>
      </c>
      <c r="AF761" s="94">
        <v>0.0</v>
      </c>
      <c r="AG761" s="94">
        <v>0.0</v>
      </c>
      <c r="AH761" s="94">
        <v>0.0</v>
      </c>
    </row>
    <row r="762" hidden="1">
      <c r="A762" s="109" t="s">
        <v>53</v>
      </c>
      <c r="B762" s="93" t="s">
        <v>193</v>
      </c>
      <c r="C762" s="85">
        <v>1.0</v>
      </c>
      <c r="D762" s="94">
        <v>0.0</v>
      </c>
      <c r="E762" s="86">
        <v>17.0</v>
      </c>
      <c r="F762" s="94">
        <v>0.0</v>
      </c>
      <c r="G762" s="85">
        <v>172.0</v>
      </c>
      <c r="H762" s="94">
        <v>0.0</v>
      </c>
      <c r="I762" s="85">
        <v>136.0</v>
      </c>
      <c r="J762" s="95">
        <f t="shared" si="571"/>
        <v>36</v>
      </c>
      <c r="K762" s="87">
        <f t="shared" si="572"/>
        <v>1.264705882</v>
      </c>
      <c r="L762" s="85">
        <v>12.0</v>
      </c>
      <c r="M762" s="85">
        <v>236.0</v>
      </c>
      <c r="N762" s="85">
        <v>1.0</v>
      </c>
      <c r="O762" s="110">
        <f t="shared" si="573"/>
        <v>17</v>
      </c>
      <c r="P762" s="85">
        <v>7.0</v>
      </c>
      <c r="Q762" s="85">
        <v>2.0</v>
      </c>
      <c r="R762" s="85">
        <v>7.0</v>
      </c>
      <c r="S762" s="94">
        <v>0.0</v>
      </c>
      <c r="T762" s="85">
        <v>34.0</v>
      </c>
      <c r="U762" s="85">
        <v>8.0</v>
      </c>
      <c r="V762" s="85">
        <v>3.0</v>
      </c>
      <c r="W762" s="85">
        <v>1.0</v>
      </c>
      <c r="X762" s="94">
        <v>0.0</v>
      </c>
      <c r="Y762" s="94">
        <v>0.0</v>
      </c>
      <c r="Z762" s="94">
        <v>0.0</v>
      </c>
      <c r="AA762" s="94">
        <v>0.0</v>
      </c>
      <c r="AB762" s="94">
        <v>0.0</v>
      </c>
      <c r="AC762" s="85">
        <v>6.0</v>
      </c>
      <c r="AD762" s="85">
        <v>1.0</v>
      </c>
      <c r="AE762" s="94">
        <v>0.0</v>
      </c>
      <c r="AF762" s="94">
        <v>0.0</v>
      </c>
      <c r="AG762" s="94">
        <v>0.0</v>
      </c>
      <c r="AH762" s="94">
        <v>0.0</v>
      </c>
    </row>
    <row r="763" hidden="1">
      <c r="A763" s="109" t="s">
        <v>53</v>
      </c>
      <c r="B763" s="93" t="s">
        <v>194</v>
      </c>
      <c r="C763" s="85">
        <v>1.0</v>
      </c>
      <c r="D763" s="94">
        <v>0.0</v>
      </c>
      <c r="E763" s="86">
        <v>17.0</v>
      </c>
      <c r="F763" s="94">
        <v>0.0</v>
      </c>
      <c r="G763" s="85">
        <v>136.0</v>
      </c>
      <c r="H763" s="94">
        <v>0.0</v>
      </c>
      <c r="I763" s="85">
        <v>138.0</v>
      </c>
      <c r="J763" s="95">
        <f t="shared" si="571"/>
        <v>-2</v>
      </c>
      <c r="K763" s="87">
        <f t="shared" si="572"/>
        <v>0.9855072464</v>
      </c>
      <c r="L763" s="85">
        <v>12.0</v>
      </c>
      <c r="M763" s="85">
        <v>168.0</v>
      </c>
      <c r="N763" s="85">
        <v>1.0</v>
      </c>
      <c r="O763" s="110">
        <f t="shared" si="573"/>
        <v>17</v>
      </c>
      <c r="P763" s="85">
        <v>6.0</v>
      </c>
      <c r="Q763" s="85">
        <v>11.0</v>
      </c>
      <c r="R763" s="85">
        <v>3.0</v>
      </c>
      <c r="S763" s="85">
        <v>3.0</v>
      </c>
      <c r="T763" s="85">
        <v>18.0</v>
      </c>
      <c r="U763" s="85">
        <v>1.0</v>
      </c>
      <c r="V763" s="94">
        <v>0.0</v>
      </c>
      <c r="W763" s="94">
        <v>0.0</v>
      </c>
      <c r="X763" s="94">
        <v>0.0</v>
      </c>
      <c r="Y763" s="94">
        <v>0.0</v>
      </c>
      <c r="Z763" s="94">
        <v>0.0</v>
      </c>
      <c r="AA763" s="94">
        <v>0.0</v>
      </c>
      <c r="AB763" s="94">
        <v>0.0</v>
      </c>
      <c r="AC763" s="85">
        <v>2.0</v>
      </c>
      <c r="AD763" s="94">
        <v>0.0</v>
      </c>
      <c r="AE763" s="94">
        <v>0.0</v>
      </c>
      <c r="AF763" s="94">
        <v>0.0</v>
      </c>
      <c r="AG763" s="94">
        <v>0.0</v>
      </c>
      <c r="AH763" s="94">
        <v>0.0</v>
      </c>
    </row>
    <row r="764" hidden="1">
      <c r="A764" s="109" t="s">
        <v>53</v>
      </c>
      <c r="B764" s="93" t="s">
        <v>195</v>
      </c>
      <c r="C764" s="85">
        <v>1.0</v>
      </c>
      <c r="D764" s="94">
        <v>0.0</v>
      </c>
      <c r="E764" s="86">
        <v>17.0</v>
      </c>
      <c r="F764" s="94">
        <v>0.0</v>
      </c>
      <c r="G764" s="85">
        <v>102.0</v>
      </c>
      <c r="H764" s="94">
        <v>0.0</v>
      </c>
      <c r="I764" s="85">
        <v>120.0</v>
      </c>
      <c r="J764" s="95">
        <f t="shared" si="571"/>
        <v>-18</v>
      </c>
      <c r="K764" s="87">
        <f t="shared" si="572"/>
        <v>0.85</v>
      </c>
      <c r="L764" s="85">
        <v>14.0</v>
      </c>
      <c r="M764" s="85">
        <v>125.0</v>
      </c>
      <c r="N764" s="85">
        <v>1.0</v>
      </c>
      <c r="O764" s="110">
        <f t="shared" si="573"/>
        <v>17</v>
      </c>
      <c r="P764" s="85">
        <v>6.0</v>
      </c>
      <c r="Q764" s="85">
        <v>3.0</v>
      </c>
      <c r="R764" s="85">
        <v>5.0</v>
      </c>
      <c r="S764" s="85">
        <v>1.0</v>
      </c>
      <c r="T764" s="85">
        <v>12.0</v>
      </c>
      <c r="U764" s="85">
        <v>1.0</v>
      </c>
      <c r="V764" s="94">
        <v>0.0</v>
      </c>
      <c r="W764" s="94">
        <v>0.0</v>
      </c>
      <c r="X764" s="94">
        <v>0.0</v>
      </c>
      <c r="Y764" s="94">
        <v>0.0</v>
      </c>
      <c r="Z764" s="94">
        <v>0.0</v>
      </c>
      <c r="AA764" s="94">
        <v>0.0</v>
      </c>
      <c r="AB764" s="94">
        <v>0.0</v>
      </c>
      <c r="AC764" s="85">
        <v>2.0</v>
      </c>
      <c r="AD764" s="94">
        <v>0.0</v>
      </c>
      <c r="AE764" s="94">
        <v>0.0</v>
      </c>
      <c r="AF764" s="94">
        <v>0.0</v>
      </c>
      <c r="AG764" s="94">
        <v>0.0</v>
      </c>
      <c r="AH764" s="94">
        <v>0.0</v>
      </c>
    </row>
    <row r="765" hidden="1">
      <c r="A765" s="109" t="s">
        <v>53</v>
      </c>
      <c r="B765" s="93" t="s">
        <v>196</v>
      </c>
      <c r="C765" s="94">
        <v>0.0</v>
      </c>
      <c r="D765" s="94">
        <v>0.0</v>
      </c>
      <c r="E765" s="96">
        <f t="shared" ref="E765:E766" si="574">SUM(L765*I765)/60</f>
        <v>0</v>
      </c>
      <c r="F765" s="94">
        <v>0.0</v>
      </c>
      <c r="G765" s="94">
        <v>0.0</v>
      </c>
      <c r="H765" s="94">
        <v>0.0</v>
      </c>
      <c r="I765" s="94">
        <v>0.0</v>
      </c>
      <c r="J765" s="95">
        <f t="shared" si="571"/>
        <v>0</v>
      </c>
      <c r="K765" s="87" t="str">
        <f t="shared" si="572"/>
        <v>#DIV/0!</v>
      </c>
      <c r="L765" s="94">
        <v>0.0</v>
      </c>
      <c r="M765" s="94">
        <v>0.0</v>
      </c>
      <c r="N765" s="85">
        <v>0.0</v>
      </c>
      <c r="O765" s="110">
        <f t="shared" si="573"/>
        <v>0</v>
      </c>
      <c r="P765" s="94">
        <v>0.0</v>
      </c>
      <c r="Q765" s="94">
        <v>0.0</v>
      </c>
      <c r="R765" s="94">
        <v>0.0</v>
      </c>
      <c r="S765" s="94">
        <v>0.0</v>
      </c>
      <c r="T765" s="94">
        <v>0.0</v>
      </c>
      <c r="U765" s="94">
        <v>0.0</v>
      </c>
      <c r="V765" s="94">
        <v>0.0</v>
      </c>
      <c r="W765" s="94">
        <v>0.0</v>
      </c>
      <c r="X765" s="94">
        <v>0.0</v>
      </c>
      <c r="Y765" s="94">
        <v>0.0</v>
      </c>
      <c r="Z765" s="94">
        <v>0.0</v>
      </c>
      <c r="AA765" s="94">
        <v>0.0</v>
      </c>
      <c r="AB765" s="94">
        <v>0.0</v>
      </c>
      <c r="AC765" s="94">
        <v>0.0</v>
      </c>
      <c r="AD765" s="94">
        <v>0.0</v>
      </c>
      <c r="AE765" s="94">
        <v>0.0</v>
      </c>
      <c r="AF765" s="94">
        <v>0.0</v>
      </c>
      <c r="AG765" s="94">
        <v>0.0</v>
      </c>
      <c r="AH765" s="94">
        <v>0.0</v>
      </c>
    </row>
    <row r="766" hidden="1">
      <c r="A766" s="109" t="s">
        <v>53</v>
      </c>
      <c r="B766" s="116"/>
      <c r="C766" s="94">
        <v>0.0</v>
      </c>
      <c r="D766" s="94">
        <v>0.0</v>
      </c>
      <c r="E766" s="96">
        <f t="shared" si="574"/>
        <v>0</v>
      </c>
      <c r="F766" s="94">
        <v>0.0</v>
      </c>
      <c r="G766" s="94">
        <v>0.0</v>
      </c>
      <c r="H766" s="94">
        <v>0.0</v>
      </c>
      <c r="I766" s="94">
        <v>0.0</v>
      </c>
      <c r="J766" s="95">
        <f t="shared" si="571"/>
        <v>0</v>
      </c>
      <c r="K766" s="87" t="str">
        <f t="shared" si="572"/>
        <v>#DIV/0!</v>
      </c>
      <c r="L766" s="94">
        <v>0.0</v>
      </c>
      <c r="M766" s="94">
        <v>0.0</v>
      </c>
      <c r="N766" s="85">
        <v>0.0</v>
      </c>
      <c r="O766" s="110">
        <f t="shared" si="573"/>
        <v>0</v>
      </c>
      <c r="P766" s="94">
        <v>0.0</v>
      </c>
      <c r="Q766" s="94">
        <v>0.0</v>
      </c>
      <c r="R766" s="94">
        <v>0.0</v>
      </c>
      <c r="S766" s="94">
        <v>0.0</v>
      </c>
      <c r="T766" s="94">
        <v>0.0</v>
      </c>
      <c r="U766" s="94">
        <v>0.0</v>
      </c>
      <c r="V766" s="94">
        <v>0.0</v>
      </c>
      <c r="W766" s="94">
        <v>0.0</v>
      </c>
      <c r="X766" s="94">
        <v>0.0</v>
      </c>
      <c r="Y766" s="94">
        <v>0.0</v>
      </c>
      <c r="Z766" s="94">
        <v>0.0</v>
      </c>
      <c r="AA766" s="94">
        <v>0.0</v>
      </c>
      <c r="AB766" s="94">
        <v>0.0</v>
      </c>
      <c r="AC766" s="94">
        <v>0.0</v>
      </c>
      <c r="AD766" s="94">
        <v>0.0</v>
      </c>
      <c r="AE766" s="94">
        <v>0.0</v>
      </c>
      <c r="AF766" s="94">
        <v>0.0</v>
      </c>
      <c r="AG766" s="94">
        <v>0.0</v>
      </c>
      <c r="AH766" s="94">
        <v>0.0</v>
      </c>
    </row>
    <row r="767" hidden="1">
      <c r="A767" s="89"/>
      <c r="B767" s="111"/>
      <c r="C767" s="111">
        <f t="shared" ref="C767:D767" si="575">SUM(C761:C766)/4</f>
        <v>1</v>
      </c>
      <c r="D767" s="111">
        <f t="shared" si="575"/>
        <v>0</v>
      </c>
      <c r="E767" s="91">
        <f t="shared" ref="E767:G767" si="576">SUM(E761:E766)</f>
        <v>68</v>
      </c>
      <c r="F767" s="111">
        <f t="shared" si="576"/>
        <v>4</v>
      </c>
      <c r="G767" s="111">
        <f t="shared" si="576"/>
        <v>485</v>
      </c>
      <c r="H767" s="111"/>
      <c r="I767" s="111">
        <f>SUM(I761:I766)</f>
        <v>478</v>
      </c>
      <c r="J767" s="111">
        <f t="shared" si="571"/>
        <v>7</v>
      </c>
      <c r="K767" s="92">
        <f t="shared" si="572"/>
        <v>1.014644351</v>
      </c>
      <c r="L767" s="111">
        <f t="shared" ref="L767:M767" si="577">SUM(L761:L766)</f>
        <v>60</v>
      </c>
      <c r="M767" s="111">
        <f t="shared" si="577"/>
        <v>625</v>
      </c>
      <c r="N767" s="111"/>
      <c r="O767" s="112"/>
      <c r="P767" s="111">
        <f t="shared" ref="P767:AH767" si="578">SUM(P761:P766)</f>
        <v>22</v>
      </c>
      <c r="Q767" s="111">
        <f t="shared" si="578"/>
        <v>17</v>
      </c>
      <c r="R767" s="111">
        <f t="shared" si="578"/>
        <v>18</v>
      </c>
      <c r="S767" s="111">
        <f t="shared" si="578"/>
        <v>6</v>
      </c>
      <c r="T767" s="111">
        <f t="shared" si="578"/>
        <v>72</v>
      </c>
      <c r="U767" s="111">
        <f t="shared" si="578"/>
        <v>11</v>
      </c>
      <c r="V767" s="111">
        <f t="shared" si="578"/>
        <v>3</v>
      </c>
      <c r="W767" s="111">
        <f t="shared" si="578"/>
        <v>1</v>
      </c>
      <c r="X767" s="111">
        <f t="shared" si="578"/>
        <v>0</v>
      </c>
      <c r="Y767" s="111">
        <f t="shared" si="578"/>
        <v>0</v>
      </c>
      <c r="Z767" s="111">
        <f t="shared" si="578"/>
        <v>0</v>
      </c>
      <c r="AA767" s="111">
        <f t="shared" si="578"/>
        <v>0</v>
      </c>
      <c r="AB767" s="111">
        <f t="shared" si="578"/>
        <v>0</v>
      </c>
      <c r="AC767" s="111">
        <f t="shared" si="578"/>
        <v>11</v>
      </c>
      <c r="AD767" s="111">
        <f t="shared" si="578"/>
        <v>1</v>
      </c>
      <c r="AE767" s="111">
        <f t="shared" si="578"/>
        <v>0</v>
      </c>
      <c r="AF767" s="111">
        <f t="shared" si="578"/>
        <v>0</v>
      </c>
      <c r="AG767" s="111">
        <f t="shared" si="578"/>
        <v>0</v>
      </c>
      <c r="AH767" s="111">
        <f t="shared" si="578"/>
        <v>0</v>
      </c>
    </row>
    <row r="768" hidden="1">
      <c r="A768" s="109" t="s">
        <v>47</v>
      </c>
      <c r="B768" s="93" t="s">
        <v>237</v>
      </c>
      <c r="C768" s="85">
        <v>1.0</v>
      </c>
      <c r="D768" s="85">
        <v>1.0</v>
      </c>
      <c r="E768" s="86">
        <v>17.0</v>
      </c>
      <c r="F768" s="85">
        <v>3.0</v>
      </c>
      <c r="G768" s="85">
        <v>140.0</v>
      </c>
      <c r="H768" s="85">
        <v>1.0</v>
      </c>
      <c r="I768" s="85">
        <v>131.0</v>
      </c>
      <c r="J768" s="95">
        <f t="shared" si="571"/>
        <v>9</v>
      </c>
      <c r="K768" s="87">
        <f t="shared" si="572"/>
        <v>1.06870229</v>
      </c>
      <c r="L768" s="85">
        <v>13.0</v>
      </c>
      <c r="M768" s="85">
        <v>187.0</v>
      </c>
      <c r="N768" s="85">
        <v>1.0</v>
      </c>
      <c r="O768" s="110">
        <f t="shared" ref="O768:O773" si="579">(E768*N768)</f>
        <v>17</v>
      </c>
      <c r="P768" s="85">
        <v>8.0</v>
      </c>
      <c r="Q768" s="85">
        <v>1.0</v>
      </c>
      <c r="R768" s="85">
        <v>9.0</v>
      </c>
      <c r="S768" s="85">
        <v>1.0</v>
      </c>
      <c r="T768" s="85">
        <v>21.0</v>
      </c>
      <c r="U768" s="85">
        <v>6.0</v>
      </c>
      <c r="V768" s="85">
        <v>1.0</v>
      </c>
      <c r="W768" s="94">
        <v>0.0</v>
      </c>
      <c r="X768" s="94">
        <v>0.0</v>
      </c>
      <c r="Y768" s="94">
        <v>0.0</v>
      </c>
      <c r="Z768" s="94">
        <v>0.0</v>
      </c>
      <c r="AA768" s="94">
        <v>0.0</v>
      </c>
      <c r="AB768" s="94">
        <v>0.0</v>
      </c>
      <c r="AC768" s="85">
        <v>3.0</v>
      </c>
      <c r="AD768" s="94">
        <v>0.0</v>
      </c>
      <c r="AE768" s="94">
        <v>0.0</v>
      </c>
      <c r="AF768" s="94">
        <v>0.0</v>
      </c>
      <c r="AG768" s="94">
        <v>0.0</v>
      </c>
      <c r="AH768" s="94">
        <v>0.0</v>
      </c>
    </row>
    <row r="769" hidden="1">
      <c r="A769" s="109" t="s">
        <v>47</v>
      </c>
      <c r="B769" s="93" t="s">
        <v>238</v>
      </c>
      <c r="C769" s="85">
        <v>1.0</v>
      </c>
      <c r="D769" s="85">
        <v>1.0</v>
      </c>
      <c r="E769" s="86">
        <v>17.0</v>
      </c>
      <c r="F769" s="85">
        <v>2.0</v>
      </c>
      <c r="G769" s="85">
        <v>104.0</v>
      </c>
      <c r="H769" s="94">
        <v>0.0</v>
      </c>
      <c r="I769" s="85">
        <v>119.0</v>
      </c>
      <c r="J769" s="95">
        <f t="shared" si="571"/>
        <v>-15</v>
      </c>
      <c r="K769" s="87">
        <f t="shared" si="572"/>
        <v>0.8739495798</v>
      </c>
      <c r="L769" s="85">
        <v>14.0</v>
      </c>
      <c r="M769" s="85">
        <v>134.0</v>
      </c>
      <c r="N769" s="85">
        <v>1.0</v>
      </c>
      <c r="O769" s="110">
        <f t="shared" si="579"/>
        <v>17</v>
      </c>
      <c r="P769" s="85">
        <v>6.0</v>
      </c>
      <c r="Q769" s="85">
        <v>3.0</v>
      </c>
      <c r="R769" s="94">
        <v>0.0</v>
      </c>
      <c r="S769" s="85">
        <v>3.0</v>
      </c>
      <c r="T769" s="85">
        <v>16.0</v>
      </c>
      <c r="U769" s="85">
        <v>5.0</v>
      </c>
      <c r="V769" s="85">
        <v>2.0</v>
      </c>
      <c r="W769" s="94">
        <v>0.0</v>
      </c>
      <c r="X769" s="94">
        <v>0.0</v>
      </c>
      <c r="Y769" s="94">
        <v>0.0</v>
      </c>
      <c r="Z769" s="94">
        <v>0.0</v>
      </c>
      <c r="AA769" s="94">
        <v>0.0</v>
      </c>
      <c r="AB769" s="94">
        <v>0.0</v>
      </c>
      <c r="AC769" s="85">
        <v>2.0</v>
      </c>
      <c r="AD769" s="94">
        <v>0.0</v>
      </c>
      <c r="AE769" s="94">
        <v>0.0</v>
      </c>
      <c r="AF769" s="94">
        <v>0.0</v>
      </c>
      <c r="AG769" s="94">
        <v>0.0</v>
      </c>
      <c r="AH769" s="94">
        <v>0.0</v>
      </c>
    </row>
    <row r="770" hidden="1">
      <c r="A770" s="109" t="s">
        <v>47</v>
      </c>
      <c r="B770" s="93" t="s">
        <v>239</v>
      </c>
      <c r="C770" s="85">
        <v>1.0</v>
      </c>
      <c r="D770" s="85">
        <v>1.0</v>
      </c>
      <c r="E770" s="86">
        <v>17.0</v>
      </c>
      <c r="F770" s="94">
        <v>0.0</v>
      </c>
      <c r="G770" s="85">
        <v>109.0</v>
      </c>
      <c r="H770" s="94">
        <v>0.0</v>
      </c>
      <c r="I770" s="85">
        <v>122.0</v>
      </c>
      <c r="J770" s="95">
        <f t="shared" si="571"/>
        <v>-13</v>
      </c>
      <c r="K770" s="87">
        <f t="shared" si="572"/>
        <v>0.893442623</v>
      </c>
      <c r="L770" s="85">
        <v>14.0</v>
      </c>
      <c r="M770" s="85">
        <v>144.0</v>
      </c>
      <c r="N770" s="85">
        <v>1.0</v>
      </c>
      <c r="O770" s="110">
        <f t="shared" si="579"/>
        <v>17</v>
      </c>
      <c r="P770" s="85">
        <v>7.0</v>
      </c>
      <c r="Q770" s="85">
        <v>4.0</v>
      </c>
      <c r="R770" s="85">
        <v>10.0</v>
      </c>
      <c r="S770" s="85">
        <v>3.0</v>
      </c>
      <c r="T770" s="85">
        <v>17.0</v>
      </c>
      <c r="U770" s="85">
        <v>4.0</v>
      </c>
      <c r="V770" s="85">
        <v>2.0</v>
      </c>
      <c r="W770" s="85">
        <v>1.0</v>
      </c>
      <c r="X770" s="94">
        <v>0.0</v>
      </c>
      <c r="Y770" s="94">
        <v>0.0</v>
      </c>
      <c r="Z770" s="94">
        <v>0.0</v>
      </c>
      <c r="AA770" s="94">
        <v>0.0</v>
      </c>
      <c r="AB770" s="94">
        <v>0.0</v>
      </c>
      <c r="AC770" s="85">
        <v>3.0</v>
      </c>
      <c r="AD770" s="94">
        <v>0.0</v>
      </c>
      <c r="AE770" s="94">
        <v>0.0</v>
      </c>
      <c r="AF770" s="94">
        <v>0.0</v>
      </c>
      <c r="AG770" s="94">
        <v>0.0</v>
      </c>
      <c r="AH770" s="94">
        <v>0.0</v>
      </c>
    </row>
    <row r="771" hidden="1">
      <c r="A771" s="109" t="s">
        <v>47</v>
      </c>
      <c r="B771" s="93" t="s">
        <v>240</v>
      </c>
      <c r="C771" s="85">
        <v>1.0</v>
      </c>
      <c r="D771" s="85">
        <v>1.0</v>
      </c>
      <c r="E771" s="86">
        <v>17.0</v>
      </c>
      <c r="F771" s="94">
        <v>0.0</v>
      </c>
      <c r="G771" s="85">
        <v>104.0</v>
      </c>
      <c r="H771" s="94">
        <v>0.0</v>
      </c>
      <c r="I771" s="85">
        <v>126.0</v>
      </c>
      <c r="J771" s="95">
        <f t="shared" si="571"/>
        <v>-22</v>
      </c>
      <c r="K771" s="87">
        <f t="shared" si="572"/>
        <v>0.8253968254</v>
      </c>
      <c r="L771" s="85">
        <v>13.0</v>
      </c>
      <c r="M771" s="85">
        <v>133.0</v>
      </c>
      <c r="N771" s="85">
        <v>1.0</v>
      </c>
      <c r="O771" s="110">
        <f t="shared" si="579"/>
        <v>17</v>
      </c>
      <c r="P771" s="85">
        <v>1.0</v>
      </c>
      <c r="Q771" s="85">
        <v>1.0</v>
      </c>
      <c r="R771" s="85">
        <v>8.0</v>
      </c>
      <c r="S771" s="85">
        <v>2.0</v>
      </c>
      <c r="T771" s="85">
        <v>14.0</v>
      </c>
      <c r="U771" s="85">
        <v>4.0</v>
      </c>
      <c r="V771" s="85">
        <v>1.0</v>
      </c>
      <c r="W771" s="85">
        <v>1.0</v>
      </c>
      <c r="X771" s="94">
        <v>0.0</v>
      </c>
      <c r="Y771" s="94">
        <v>0.0</v>
      </c>
      <c r="Z771" s="94">
        <v>0.0</v>
      </c>
      <c r="AA771" s="94">
        <v>0.0</v>
      </c>
      <c r="AB771" s="94">
        <v>0.0</v>
      </c>
      <c r="AC771" s="85">
        <v>2.0</v>
      </c>
      <c r="AD771" s="94">
        <v>0.0</v>
      </c>
      <c r="AE771" s="94">
        <v>0.0</v>
      </c>
      <c r="AF771" s="94">
        <v>0.0</v>
      </c>
      <c r="AG771" s="94">
        <v>0.0</v>
      </c>
      <c r="AH771" s="94">
        <v>0.0</v>
      </c>
    </row>
    <row r="772" hidden="1">
      <c r="A772" s="109" t="s">
        <v>47</v>
      </c>
      <c r="B772" s="93" t="s">
        <v>241</v>
      </c>
      <c r="C772" s="94">
        <v>0.0</v>
      </c>
      <c r="D772" s="94">
        <v>0.0</v>
      </c>
      <c r="E772" s="96">
        <f t="shared" ref="E772:E773" si="580">SUM(L772*I772)/60</f>
        <v>0</v>
      </c>
      <c r="F772" s="94">
        <v>0.0</v>
      </c>
      <c r="G772" s="94">
        <v>0.0</v>
      </c>
      <c r="H772" s="94">
        <v>0.0</v>
      </c>
      <c r="I772" s="94">
        <v>0.0</v>
      </c>
      <c r="J772" s="95">
        <f t="shared" si="571"/>
        <v>0</v>
      </c>
      <c r="K772" s="87" t="str">
        <f t="shared" si="572"/>
        <v>#DIV/0!</v>
      </c>
      <c r="L772" s="94">
        <v>0.0</v>
      </c>
      <c r="M772" s="94">
        <v>0.0</v>
      </c>
      <c r="N772" s="85">
        <v>0.0</v>
      </c>
      <c r="O772" s="110">
        <f t="shared" si="579"/>
        <v>0</v>
      </c>
      <c r="P772" s="94">
        <v>0.0</v>
      </c>
      <c r="Q772" s="94">
        <v>0.0</v>
      </c>
      <c r="R772" s="94">
        <v>0.0</v>
      </c>
      <c r="S772" s="94">
        <v>0.0</v>
      </c>
      <c r="T772" s="94">
        <v>0.0</v>
      </c>
      <c r="U772" s="94">
        <v>0.0</v>
      </c>
      <c r="V772" s="94">
        <v>0.0</v>
      </c>
      <c r="W772" s="94">
        <v>0.0</v>
      </c>
      <c r="X772" s="94">
        <v>0.0</v>
      </c>
      <c r="Y772" s="94">
        <v>0.0</v>
      </c>
      <c r="Z772" s="94">
        <v>0.0</v>
      </c>
      <c r="AA772" s="94">
        <v>0.0</v>
      </c>
      <c r="AB772" s="94">
        <v>0.0</v>
      </c>
      <c r="AC772" s="94">
        <v>0.0</v>
      </c>
      <c r="AD772" s="94">
        <v>0.0</v>
      </c>
      <c r="AE772" s="94">
        <v>0.0</v>
      </c>
      <c r="AF772" s="94">
        <v>0.0</v>
      </c>
      <c r="AG772" s="94">
        <v>0.0</v>
      </c>
      <c r="AH772" s="94">
        <v>0.0</v>
      </c>
    </row>
    <row r="773" hidden="1">
      <c r="A773" s="109" t="s">
        <v>47</v>
      </c>
      <c r="B773" s="116"/>
      <c r="C773" s="94">
        <v>0.0</v>
      </c>
      <c r="D773" s="94">
        <v>0.0</v>
      </c>
      <c r="E773" s="96">
        <f t="shared" si="580"/>
        <v>0</v>
      </c>
      <c r="F773" s="94">
        <v>0.0</v>
      </c>
      <c r="G773" s="94">
        <v>0.0</v>
      </c>
      <c r="H773" s="94">
        <v>0.0</v>
      </c>
      <c r="I773" s="94">
        <v>0.0</v>
      </c>
      <c r="J773" s="95">
        <f t="shared" si="571"/>
        <v>0</v>
      </c>
      <c r="K773" s="87" t="str">
        <f t="shared" si="572"/>
        <v>#DIV/0!</v>
      </c>
      <c r="L773" s="94">
        <v>0.0</v>
      </c>
      <c r="M773" s="94">
        <v>0.0</v>
      </c>
      <c r="N773" s="85">
        <v>0.0</v>
      </c>
      <c r="O773" s="110">
        <f t="shared" si="579"/>
        <v>0</v>
      </c>
      <c r="P773" s="94">
        <v>0.0</v>
      </c>
      <c r="Q773" s="94">
        <v>0.0</v>
      </c>
      <c r="R773" s="94">
        <v>0.0</v>
      </c>
      <c r="S773" s="94">
        <v>0.0</v>
      </c>
      <c r="T773" s="94">
        <v>0.0</v>
      </c>
      <c r="U773" s="94">
        <v>0.0</v>
      </c>
      <c r="V773" s="94">
        <v>0.0</v>
      </c>
      <c r="W773" s="94">
        <v>0.0</v>
      </c>
      <c r="X773" s="94">
        <v>0.0</v>
      </c>
      <c r="Y773" s="94">
        <v>0.0</v>
      </c>
      <c r="Z773" s="94">
        <v>0.0</v>
      </c>
      <c r="AA773" s="94">
        <v>0.0</v>
      </c>
      <c r="AB773" s="94">
        <v>0.0</v>
      </c>
      <c r="AC773" s="94">
        <v>0.0</v>
      </c>
      <c r="AD773" s="94">
        <v>0.0</v>
      </c>
      <c r="AE773" s="94">
        <v>0.0</v>
      </c>
      <c r="AF773" s="94">
        <v>0.0</v>
      </c>
      <c r="AG773" s="94">
        <v>0.0</v>
      </c>
      <c r="AH773" s="94">
        <v>0.0</v>
      </c>
    </row>
    <row r="774" hidden="1">
      <c r="A774" s="89" t="s">
        <v>185</v>
      </c>
      <c r="B774" s="111"/>
      <c r="C774" s="111">
        <f>SUM(C768:C773)</f>
        <v>4</v>
      </c>
      <c r="D774" s="111">
        <f t="shared" ref="D774:E774" si="581">SUM(D768:D773)/4</f>
        <v>1</v>
      </c>
      <c r="E774" s="91">
        <f t="shared" si="581"/>
        <v>17</v>
      </c>
      <c r="F774" s="111">
        <f t="shared" ref="F774:G774" si="582">SUM(F768:F773)</f>
        <v>5</v>
      </c>
      <c r="G774" s="111">
        <f t="shared" si="582"/>
        <v>457</v>
      </c>
      <c r="H774" s="111"/>
      <c r="I774" s="111">
        <f>SUM(I768:I773)</f>
        <v>498</v>
      </c>
      <c r="J774" s="111">
        <f t="shared" si="571"/>
        <v>-41</v>
      </c>
      <c r="K774" s="92">
        <f t="shared" si="572"/>
        <v>0.9176706827</v>
      </c>
      <c r="L774" s="111">
        <f t="shared" ref="L774:M774" si="583">SUM(L768:L773)</f>
        <v>54</v>
      </c>
      <c r="M774" s="111">
        <f t="shared" si="583"/>
        <v>598</v>
      </c>
      <c r="N774" s="111"/>
      <c r="O774" s="112"/>
      <c r="P774" s="111">
        <f t="shared" ref="P774:AH774" si="584">SUM(P768:P773)</f>
        <v>22</v>
      </c>
      <c r="Q774" s="111">
        <f t="shared" si="584"/>
        <v>9</v>
      </c>
      <c r="R774" s="111">
        <f t="shared" si="584"/>
        <v>27</v>
      </c>
      <c r="S774" s="111">
        <f t="shared" si="584"/>
        <v>9</v>
      </c>
      <c r="T774" s="111">
        <f t="shared" si="584"/>
        <v>68</v>
      </c>
      <c r="U774" s="111">
        <f t="shared" si="584"/>
        <v>19</v>
      </c>
      <c r="V774" s="111">
        <f t="shared" si="584"/>
        <v>6</v>
      </c>
      <c r="W774" s="111">
        <f t="shared" si="584"/>
        <v>2</v>
      </c>
      <c r="X774" s="111">
        <f t="shared" si="584"/>
        <v>0</v>
      </c>
      <c r="Y774" s="111">
        <f t="shared" si="584"/>
        <v>0</v>
      </c>
      <c r="Z774" s="111">
        <f t="shared" si="584"/>
        <v>0</v>
      </c>
      <c r="AA774" s="111">
        <f t="shared" si="584"/>
        <v>0</v>
      </c>
      <c r="AB774" s="111">
        <f t="shared" si="584"/>
        <v>0</v>
      </c>
      <c r="AC774" s="111">
        <f t="shared" si="584"/>
        <v>10</v>
      </c>
      <c r="AD774" s="111">
        <f t="shared" si="584"/>
        <v>0</v>
      </c>
      <c r="AE774" s="111">
        <f t="shared" si="584"/>
        <v>0</v>
      </c>
      <c r="AF774" s="111">
        <f t="shared" si="584"/>
        <v>0</v>
      </c>
      <c r="AG774" s="111">
        <f t="shared" si="584"/>
        <v>0</v>
      </c>
      <c r="AH774" s="111">
        <f t="shared" si="584"/>
        <v>0</v>
      </c>
    </row>
    <row r="775">
      <c r="A775" s="104" t="s">
        <v>299</v>
      </c>
    </row>
    <row r="777" hidden="1">
      <c r="A777" s="105"/>
      <c r="F777" s="106" t="s">
        <v>251</v>
      </c>
      <c r="L777" s="107" t="s">
        <v>252</v>
      </c>
      <c r="N777" s="108" t="s">
        <v>253</v>
      </c>
    </row>
    <row r="778" hidden="1">
      <c r="A778" s="76" t="s">
        <v>148</v>
      </c>
      <c r="B778" s="76" t="s">
        <v>149</v>
      </c>
      <c r="C778" s="76" t="s">
        <v>150</v>
      </c>
      <c r="D778" s="76" t="s">
        <v>13</v>
      </c>
      <c r="E778" s="77" t="s">
        <v>151</v>
      </c>
      <c r="F778" s="78" t="s">
        <v>15</v>
      </c>
      <c r="G778" s="78" t="s">
        <v>152</v>
      </c>
      <c r="H778" s="78" t="s">
        <v>153</v>
      </c>
      <c r="I778" s="78" t="s">
        <v>154</v>
      </c>
      <c r="J778" s="78" t="s">
        <v>155</v>
      </c>
      <c r="K778" s="79" t="s">
        <v>156</v>
      </c>
      <c r="L778" s="80" t="s">
        <v>157</v>
      </c>
      <c r="M778" s="80" t="s">
        <v>158</v>
      </c>
      <c r="N778" s="81" t="s">
        <v>254</v>
      </c>
      <c r="O778" s="81" t="s">
        <v>151</v>
      </c>
      <c r="P778" s="81" t="s">
        <v>160</v>
      </c>
      <c r="Q778" s="81" t="s">
        <v>161</v>
      </c>
      <c r="R778" s="81" t="s">
        <v>162</v>
      </c>
      <c r="S778" s="81" t="s">
        <v>163</v>
      </c>
      <c r="T778" s="81" t="s">
        <v>164</v>
      </c>
      <c r="U778" s="81" t="s">
        <v>165</v>
      </c>
      <c r="V778" s="81" t="s">
        <v>166</v>
      </c>
      <c r="W778" s="81" t="s">
        <v>167</v>
      </c>
      <c r="X778" s="81" t="s">
        <v>168</v>
      </c>
      <c r="Y778" s="81" t="s">
        <v>169</v>
      </c>
      <c r="Z778" s="81" t="s">
        <v>170</v>
      </c>
      <c r="AA778" s="81" t="s">
        <v>171</v>
      </c>
      <c r="AB778" s="81" t="s">
        <v>172</v>
      </c>
      <c r="AC778" s="81" t="s">
        <v>173</v>
      </c>
      <c r="AD778" s="81" t="s">
        <v>174</v>
      </c>
      <c r="AE778" s="81" t="s">
        <v>175</v>
      </c>
      <c r="AF778" s="81" t="s">
        <v>176</v>
      </c>
      <c r="AG778" s="81" t="s">
        <v>177</v>
      </c>
      <c r="AH778" s="81" t="s">
        <v>178</v>
      </c>
    </row>
    <row r="779" hidden="1">
      <c r="A779" s="83" t="s">
        <v>28</v>
      </c>
      <c r="B779" s="84" t="s">
        <v>179</v>
      </c>
      <c r="C779" s="85">
        <v>1.0</v>
      </c>
      <c r="D779" s="85">
        <v>1.0</v>
      </c>
      <c r="E779" s="86">
        <v>54.0</v>
      </c>
      <c r="F779" s="85">
        <v>1.0</v>
      </c>
      <c r="G779" s="85">
        <v>155.0</v>
      </c>
      <c r="H779" s="94">
        <v>0.0</v>
      </c>
      <c r="I779" s="85">
        <v>162.0</v>
      </c>
      <c r="J779" s="95">
        <f t="shared" ref="J779:J792" si="585">SUM(G779-I779)</f>
        <v>-7</v>
      </c>
      <c r="K779" s="87">
        <f t="shared" ref="K779:K792" si="586">SUM(G779/I779)</f>
        <v>0.9567901235</v>
      </c>
      <c r="L779" s="85">
        <v>16.0</v>
      </c>
      <c r="M779" s="85">
        <v>198.0</v>
      </c>
      <c r="N779" s="85">
        <v>1.0</v>
      </c>
      <c r="O779" s="110">
        <f t="shared" ref="O779:O784" si="587">(E779*N779)</f>
        <v>54</v>
      </c>
      <c r="P779" s="85">
        <v>5.0</v>
      </c>
      <c r="Q779" s="85">
        <v>1.0</v>
      </c>
      <c r="R779" s="85">
        <v>6.0</v>
      </c>
      <c r="S779" s="85">
        <v>6.0</v>
      </c>
      <c r="T779" s="85">
        <v>24.0</v>
      </c>
      <c r="U779" s="85">
        <v>3.0</v>
      </c>
      <c r="V779" s="85">
        <v>1.0</v>
      </c>
      <c r="W779" s="94">
        <v>0.0</v>
      </c>
      <c r="X779" s="94">
        <v>0.0</v>
      </c>
      <c r="Y779" s="94">
        <v>0.0</v>
      </c>
      <c r="Z779" s="94">
        <v>0.0</v>
      </c>
      <c r="AA779" s="94">
        <v>0.0</v>
      </c>
      <c r="AB779" s="94">
        <v>0.0</v>
      </c>
      <c r="AC779" s="85">
        <v>2.0</v>
      </c>
      <c r="AD779" s="94">
        <v>0.0</v>
      </c>
      <c r="AE779" s="94">
        <v>0.0</v>
      </c>
      <c r="AF779" s="94">
        <v>0.0</v>
      </c>
      <c r="AG779" s="94">
        <v>0.0</v>
      </c>
      <c r="AH779" s="94">
        <v>0.0</v>
      </c>
    </row>
    <row r="780" hidden="1">
      <c r="A780" s="83" t="s">
        <v>28</v>
      </c>
      <c r="B780" s="84" t="s">
        <v>180</v>
      </c>
      <c r="C780" s="85">
        <v>1.0</v>
      </c>
      <c r="D780" s="85">
        <v>1.0</v>
      </c>
      <c r="E780" s="86">
        <v>54.0</v>
      </c>
      <c r="F780" s="85">
        <v>2.0</v>
      </c>
      <c r="G780" s="85">
        <v>198.0</v>
      </c>
      <c r="H780" s="85">
        <v>2.0</v>
      </c>
      <c r="I780" s="85">
        <v>173.0</v>
      </c>
      <c r="J780" s="95">
        <f t="shared" si="585"/>
        <v>25</v>
      </c>
      <c r="K780" s="87">
        <f t="shared" si="586"/>
        <v>1.144508671</v>
      </c>
      <c r="L780" s="85">
        <v>15.0</v>
      </c>
      <c r="M780" s="85">
        <v>255.0</v>
      </c>
      <c r="N780" s="85">
        <v>1.0</v>
      </c>
      <c r="O780" s="110">
        <f t="shared" si="587"/>
        <v>54</v>
      </c>
      <c r="P780" s="85">
        <v>10.0</v>
      </c>
      <c r="Q780" s="85">
        <v>5.0</v>
      </c>
      <c r="R780" s="85">
        <v>11.0</v>
      </c>
      <c r="S780" s="85">
        <v>4.0</v>
      </c>
      <c r="T780" s="85">
        <v>31.0</v>
      </c>
      <c r="U780" s="85">
        <v>1.0</v>
      </c>
      <c r="V780" s="94">
        <v>0.0</v>
      </c>
      <c r="W780" s="94">
        <v>0.0</v>
      </c>
      <c r="X780" s="94">
        <v>0.0</v>
      </c>
      <c r="Y780" s="94">
        <v>0.0</v>
      </c>
      <c r="Z780" s="94">
        <v>0.0</v>
      </c>
      <c r="AA780" s="94">
        <v>0.0</v>
      </c>
      <c r="AB780" s="94">
        <v>0.0</v>
      </c>
      <c r="AC780" s="85">
        <v>5.0</v>
      </c>
      <c r="AD780" s="94">
        <v>0.0</v>
      </c>
      <c r="AE780" s="94">
        <v>0.0</v>
      </c>
      <c r="AF780" s="94">
        <v>0.0</v>
      </c>
      <c r="AG780" s="94">
        <v>0.0</v>
      </c>
      <c r="AH780" s="85">
        <v>1.0</v>
      </c>
    </row>
    <row r="781" hidden="1">
      <c r="A781" s="83" t="s">
        <v>28</v>
      </c>
      <c r="B781" s="84" t="s">
        <v>181</v>
      </c>
      <c r="C781" s="85">
        <v>1.0</v>
      </c>
      <c r="D781" s="85">
        <v>1.0</v>
      </c>
      <c r="E781" s="86">
        <v>54.0</v>
      </c>
      <c r="F781" s="85">
        <v>1.0</v>
      </c>
      <c r="G781" s="85">
        <v>169.0</v>
      </c>
      <c r="H781" s="85">
        <v>1.0</v>
      </c>
      <c r="I781" s="85">
        <v>199.0</v>
      </c>
      <c r="J781" s="95">
        <f t="shared" si="585"/>
        <v>-30</v>
      </c>
      <c r="K781" s="87">
        <f t="shared" si="586"/>
        <v>0.8492462312</v>
      </c>
      <c r="L781" s="85">
        <v>13.0</v>
      </c>
      <c r="M781" s="85">
        <v>219.0</v>
      </c>
      <c r="N781" s="85">
        <v>1.0</v>
      </c>
      <c r="O781" s="110">
        <f t="shared" si="587"/>
        <v>54</v>
      </c>
      <c r="P781" s="85">
        <v>15.0</v>
      </c>
      <c r="Q781" s="85">
        <v>4.0</v>
      </c>
      <c r="R781" s="85">
        <v>9.0</v>
      </c>
      <c r="S781" s="85">
        <v>2.0</v>
      </c>
      <c r="T781" s="85">
        <v>26.0</v>
      </c>
      <c r="U781" s="85">
        <v>8.0</v>
      </c>
      <c r="V781" s="94">
        <v>0.0</v>
      </c>
      <c r="W781" s="94">
        <v>0.0</v>
      </c>
      <c r="X781" s="94">
        <v>0.0</v>
      </c>
      <c r="Y781" s="94">
        <v>0.0</v>
      </c>
      <c r="Z781" s="94">
        <v>0.0</v>
      </c>
      <c r="AA781" s="94">
        <v>0.0</v>
      </c>
      <c r="AB781" s="94">
        <v>0.0</v>
      </c>
      <c r="AC781" s="85">
        <v>1.0</v>
      </c>
      <c r="AD781" s="94">
        <v>0.0</v>
      </c>
      <c r="AE781" s="94">
        <v>0.0</v>
      </c>
      <c r="AF781" s="94">
        <v>0.0</v>
      </c>
      <c r="AG781" s="94">
        <v>0.0</v>
      </c>
      <c r="AH781" s="94">
        <v>0.0</v>
      </c>
    </row>
    <row r="782" hidden="1">
      <c r="A782" s="83" t="s">
        <v>28</v>
      </c>
      <c r="B782" s="84" t="s">
        <v>182</v>
      </c>
      <c r="C782" s="85">
        <v>1.0</v>
      </c>
      <c r="D782" s="85">
        <v>1.0</v>
      </c>
      <c r="E782" s="86">
        <v>54.0</v>
      </c>
      <c r="F782" s="85">
        <v>1.0</v>
      </c>
      <c r="G782" s="85">
        <v>139.0</v>
      </c>
      <c r="H782" s="85">
        <v>1.0</v>
      </c>
      <c r="I782" s="85">
        <v>128.0</v>
      </c>
      <c r="J782" s="95">
        <f t="shared" si="585"/>
        <v>11</v>
      </c>
      <c r="K782" s="87">
        <f t="shared" si="586"/>
        <v>1.0859375</v>
      </c>
      <c r="L782" s="85">
        <v>22.0</v>
      </c>
      <c r="M782" s="85">
        <v>186.0</v>
      </c>
      <c r="N782" s="85">
        <v>1.0</v>
      </c>
      <c r="O782" s="110">
        <f t="shared" si="587"/>
        <v>54</v>
      </c>
      <c r="P782" s="85">
        <v>7.0</v>
      </c>
      <c r="Q782" s="85">
        <v>4.0</v>
      </c>
      <c r="R782" s="85">
        <v>6.0</v>
      </c>
      <c r="S782" s="85">
        <v>3.0</v>
      </c>
      <c r="T782" s="85">
        <v>21.0</v>
      </c>
      <c r="U782" s="85">
        <v>4.0</v>
      </c>
      <c r="V782" s="85">
        <v>1.0</v>
      </c>
      <c r="W782" s="94">
        <v>0.0</v>
      </c>
      <c r="X782" s="94">
        <v>0.0</v>
      </c>
      <c r="Y782" s="94">
        <v>0.0</v>
      </c>
      <c r="Z782" s="94">
        <v>0.0</v>
      </c>
      <c r="AA782" s="94">
        <v>0.0</v>
      </c>
      <c r="AB782" s="94">
        <v>0.0</v>
      </c>
      <c r="AC782" s="85">
        <v>5.0</v>
      </c>
      <c r="AD782" s="85">
        <v>1.0</v>
      </c>
      <c r="AE782" s="94">
        <v>0.0</v>
      </c>
      <c r="AF782" s="94">
        <v>0.0</v>
      </c>
      <c r="AG782" s="94">
        <v>0.0</v>
      </c>
      <c r="AH782" s="94">
        <v>0.0</v>
      </c>
    </row>
    <row r="783" hidden="1">
      <c r="A783" s="83" t="s">
        <v>28</v>
      </c>
      <c r="B783" s="84" t="s">
        <v>183</v>
      </c>
      <c r="C783" s="94">
        <v>0.0</v>
      </c>
      <c r="D783" s="94">
        <v>0.0</v>
      </c>
      <c r="E783" s="96">
        <f t="shared" ref="E783:E784" si="588">SUM(L783*I783)/60</f>
        <v>0</v>
      </c>
      <c r="F783" s="94">
        <v>0.0</v>
      </c>
      <c r="G783" s="94">
        <v>0.0</v>
      </c>
      <c r="H783" s="94">
        <v>0.0</v>
      </c>
      <c r="I783" s="94">
        <v>0.0</v>
      </c>
      <c r="J783" s="95">
        <f t="shared" si="585"/>
        <v>0</v>
      </c>
      <c r="K783" s="87" t="str">
        <f t="shared" si="586"/>
        <v>#DIV/0!</v>
      </c>
      <c r="L783" s="94">
        <v>0.0</v>
      </c>
      <c r="M783" s="94">
        <v>0.0</v>
      </c>
      <c r="N783" s="85">
        <v>0.0</v>
      </c>
      <c r="O783" s="110">
        <f t="shared" si="587"/>
        <v>0</v>
      </c>
      <c r="P783" s="94">
        <v>0.0</v>
      </c>
      <c r="Q783" s="94">
        <v>0.0</v>
      </c>
      <c r="R783" s="94">
        <v>0.0</v>
      </c>
      <c r="S783" s="94">
        <v>0.0</v>
      </c>
      <c r="T783" s="94">
        <v>0.0</v>
      </c>
      <c r="U783" s="94">
        <v>0.0</v>
      </c>
      <c r="V783" s="94">
        <v>0.0</v>
      </c>
      <c r="W783" s="94">
        <v>0.0</v>
      </c>
      <c r="X783" s="94">
        <v>0.0</v>
      </c>
      <c r="Y783" s="94">
        <v>0.0</v>
      </c>
      <c r="Z783" s="94">
        <v>0.0</v>
      </c>
      <c r="AA783" s="94">
        <v>0.0</v>
      </c>
      <c r="AB783" s="94">
        <v>0.0</v>
      </c>
      <c r="AC783" s="94">
        <v>0.0</v>
      </c>
      <c r="AD783" s="94">
        <v>0.0</v>
      </c>
      <c r="AE783" s="94">
        <v>0.0</v>
      </c>
      <c r="AF783" s="94">
        <v>0.0</v>
      </c>
      <c r="AG783" s="94">
        <v>0.0</v>
      </c>
      <c r="AH783" s="94">
        <v>0.0</v>
      </c>
    </row>
    <row r="784" hidden="1">
      <c r="A784" s="83" t="s">
        <v>28</v>
      </c>
      <c r="B784" s="84" t="s">
        <v>184</v>
      </c>
      <c r="C784" s="94">
        <v>0.0</v>
      </c>
      <c r="D784" s="94">
        <v>0.0</v>
      </c>
      <c r="E784" s="96">
        <f t="shared" si="588"/>
        <v>0</v>
      </c>
      <c r="F784" s="94">
        <v>0.0</v>
      </c>
      <c r="G784" s="94">
        <v>0.0</v>
      </c>
      <c r="H784" s="94">
        <v>0.0</v>
      </c>
      <c r="I784" s="94">
        <v>0.0</v>
      </c>
      <c r="J784" s="95">
        <f t="shared" si="585"/>
        <v>0</v>
      </c>
      <c r="K784" s="87" t="str">
        <f t="shared" si="586"/>
        <v>#DIV/0!</v>
      </c>
      <c r="L784" s="94">
        <v>0.0</v>
      </c>
      <c r="M784" s="94">
        <v>0.0</v>
      </c>
      <c r="N784" s="85">
        <v>0.0</v>
      </c>
      <c r="O784" s="110">
        <f t="shared" si="587"/>
        <v>0</v>
      </c>
      <c r="P784" s="94">
        <v>0.0</v>
      </c>
      <c r="Q784" s="94">
        <v>0.0</v>
      </c>
      <c r="R784" s="94">
        <v>0.0</v>
      </c>
      <c r="S784" s="94">
        <v>0.0</v>
      </c>
      <c r="T784" s="94">
        <v>0.0</v>
      </c>
      <c r="U784" s="94">
        <v>0.0</v>
      </c>
      <c r="V784" s="94">
        <v>0.0</v>
      </c>
      <c r="W784" s="94">
        <v>0.0</v>
      </c>
      <c r="X784" s="94">
        <v>0.0</v>
      </c>
      <c r="Y784" s="94">
        <v>0.0</v>
      </c>
      <c r="Z784" s="94">
        <v>0.0</v>
      </c>
      <c r="AA784" s="94">
        <v>0.0</v>
      </c>
      <c r="AB784" s="94">
        <v>0.0</v>
      </c>
      <c r="AC784" s="94">
        <v>0.0</v>
      </c>
      <c r="AD784" s="94">
        <v>0.0</v>
      </c>
      <c r="AE784" s="94">
        <v>0.0</v>
      </c>
      <c r="AF784" s="94">
        <v>0.0</v>
      </c>
      <c r="AG784" s="94">
        <v>0.0</v>
      </c>
      <c r="AH784" s="94">
        <v>0.0</v>
      </c>
    </row>
    <row r="785" hidden="1">
      <c r="A785" s="89"/>
      <c r="B785" s="111"/>
      <c r="C785" s="111">
        <f t="shared" ref="C785:D785" si="589">SUM(C779:C784)/4</f>
        <v>1</v>
      </c>
      <c r="D785" s="111">
        <f t="shared" si="589"/>
        <v>1</v>
      </c>
      <c r="E785" s="91">
        <f t="shared" ref="E785:G785" si="590">SUM(E779:E784)</f>
        <v>216</v>
      </c>
      <c r="F785" s="111">
        <f t="shared" si="590"/>
        <v>5</v>
      </c>
      <c r="G785" s="111">
        <f t="shared" si="590"/>
        <v>661</v>
      </c>
      <c r="H785" s="111"/>
      <c r="I785" s="111">
        <f>SUM(I779:I784)</f>
        <v>662</v>
      </c>
      <c r="J785" s="111">
        <f t="shared" si="585"/>
        <v>-1</v>
      </c>
      <c r="K785" s="92">
        <f t="shared" si="586"/>
        <v>0.998489426</v>
      </c>
      <c r="L785" s="111">
        <f t="shared" ref="L785:M785" si="591">SUM(L779:L784)</f>
        <v>66</v>
      </c>
      <c r="M785" s="111">
        <f t="shared" si="591"/>
        <v>858</v>
      </c>
      <c r="N785" s="111"/>
      <c r="O785" s="112"/>
      <c r="P785" s="111">
        <f t="shared" ref="P785:AH785" si="592">SUM(P779:P784)</f>
        <v>37</v>
      </c>
      <c r="Q785" s="111">
        <f t="shared" si="592"/>
        <v>14</v>
      </c>
      <c r="R785" s="111">
        <f t="shared" si="592"/>
        <v>32</v>
      </c>
      <c r="S785" s="111">
        <f t="shared" si="592"/>
        <v>15</v>
      </c>
      <c r="T785" s="111">
        <f t="shared" si="592"/>
        <v>102</v>
      </c>
      <c r="U785" s="111">
        <f t="shared" si="592"/>
        <v>16</v>
      </c>
      <c r="V785" s="111">
        <f t="shared" si="592"/>
        <v>2</v>
      </c>
      <c r="W785" s="111">
        <f t="shared" si="592"/>
        <v>0</v>
      </c>
      <c r="X785" s="111">
        <f t="shared" si="592"/>
        <v>0</v>
      </c>
      <c r="Y785" s="111">
        <f t="shared" si="592"/>
        <v>0</v>
      </c>
      <c r="Z785" s="111">
        <f t="shared" si="592"/>
        <v>0</v>
      </c>
      <c r="AA785" s="111">
        <f t="shared" si="592"/>
        <v>0</v>
      </c>
      <c r="AB785" s="111">
        <f t="shared" si="592"/>
        <v>0</v>
      </c>
      <c r="AC785" s="111">
        <f t="shared" si="592"/>
        <v>13</v>
      </c>
      <c r="AD785" s="111">
        <f t="shared" si="592"/>
        <v>1</v>
      </c>
      <c r="AE785" s="111">
        <f t="shared" si="592"/>
        <v>0</v>
      </c>
      <c r="AF785" s="111">
        <f t="shared" si="592"/>
        <v>0</v>
      </c>
      <c r="AG785" s="111">
        <f t="shared" si="592"/>
        <v>0</v>
      </c>
      <c r="AH785" s="111">
        <f t="shared" si="592"/>
        <v>1</v>
      </c>
    </row>
    <row r="786" hidden="1">
      <c r="A786" s="83" t="s">
        <v>34</v>
      </c>
      <c r="B786" s="84" t="s">
        <v>227</v>
      </c>
      <c r="C786" s="85">
        <v>1.0</v>
      </c>
      <c r="D786" s="94">
        <v>0.0</v>
      </c>
      <c r="E786" s="86">
        <v>54.0</v>
      </c>
      <c r="F786" s="85">
        <v>1.0</v>
      </c>
      <c r="G786" s="85">
        <v>230.0</v>
      </c>
      <c r="H786" s="85">
        <v>1.0</v>
      </c>
      <c r="I786" s="85">
        <v>170.0</v>
      </c>
      <c r="J786" s="95">
        <f t="shared" si="585"/>
        <v>60</v>
      </c>
      <c r="K786" s="87">
        <f t="shared" si="586"/>
        <v>1.352941176</v>
      </c>
      <c r="L786" s="85">
        <v>15.0</v>
      </c>
      <c r="M786" s="85">
        <v>323.0</v>
      </c>
      <c r="N786" s="85">
        <v>1.0</v>
      </c>
      <c r="O786" s="110">
        <f t="shared" ref="O786:O791" si="593">(E786*N786)</f>
        <v>54</v>
      </c>
      <c r="P786" s="85">
        <v>12.0</v>
      </c>
      <c r="Q786" s="85">
        <v>4.0</v>
      </c>
      <c r="R786" s="85">
        <v>17.0</v>
      </c>
      <c r="S786" s="85">
        <v>4.0</v>
      </c>
      <c r="T786" s="85">
        <v>42.0</v>
      </c>
      <c r="U786" s="85">
        <v>15.0</v>
      </c>
      <c r="V786" s="85">
        <v>5.0</v>
      </c>
      <c r="W786" s="94">
        <v>0.0</v>
      </c>
      <c r="X786" s="94">
        <v>0.0</v>
      </c>
      <c r="Y786" s="94">
        <v>0.0</v>
      </c>
      <c r="Z786" s="94">
        <v>0.0</v>
      </c>
      <c r="AA786" s="94">
        <v>0.0</v>
      </c>
      <c r="AB786" s="94">
        <v>0.0</v>
      </c>
      <c r="AC786" s="85">
        <v>8.0</v>
      </c>
      <c r="AD786" s="85">
        <v>1.0</v>
      </c>
      <c r="AE786" s="94">
        <v>0.0</v>
      </c>
      <c r="AF786" s="94">
        <v>0.0</v>
      </c>
      <c r="AG786" s="85">
        <v>1.0</v>
      </c>
      <c r="AH786" s="94">
        <v>0.0</v>
      </c>
    </row>
    <row r="787" hidden="1">
      <c r="A787" s="83" t="s">
        <v>34</v>
      </c>
      <c r="B787" s="84" t="s">
        <v>228</v>
      </c>
      <c r="C787" s="85">
        <v>1.0</v>
      </c>
      <c r="D787" s="94">
        <v>0.0</v>
      </c>
      <c r="E787" s="86">
        <v>54.0</v>
      </c>
      <c r="F787" s="94">
        <v>0.0</v>
      </c>
      <c r="G787" s="85">
        <v>138.0</v>
      </c>
      <c r="H787" s="85">
        <v>2.0</v>
      </c>
      <c r="I787" s="85">
        <v>186.0</v>
      </c>
      <c r="J787" s="95">
        <f t="shared" si="585"/>
        <v>-48</v>
      </c>
      <c r="K787" s="87">
        <f t="shared" si="586"/>
        <v>0.7419354839</v>
      </c>
      <c r="L787" s="85">
        <v>14.0</v>
      </c>
      <c r="M787" s="85">
        <v>165.0</v>
      </c>
      <c r="N787" s="85">
        <v>1.0</v>
      </c>
      <c r="O787" s="110">
        <f t="shared" si="593"/>
        <v>54</v>
      </c>
      <c r="P787" s="85">
        <v>5.0</v>
      </c>
      <c r="Q787" s="85">
        <v>4.0</v>
      </c>
      <c r="R787" s="85">
        <v>7.0</v>
      </c>
      <c r="S787" s="85">
        <v>2.0</v>
      </c>
      <c r="T787" s="85">
        <v>16.0</v>
      </c>
      <c r="U787" s="85">
        <v>2.0</v>
      </c>
      <c r="V787" s="85">
        <v>1.0</v>
      </c>
      <c r="W787" s="94">
        <v>0.0</v>
      </c>
      <c r="X787" s="94">
        <v>0.0</v>
      </c>
      <c r="Y787" s="94">
        <v>0.0</v>
      </c>
      <c r="Z787" s="94">
        <v>0.0</v>
      </c>
      <c r="AA787" s="94">
        <v>0.0</v>
      </c>
      <c r="AB787" s="94">
        <v>0.0</v>
      </c>
      <c r="AC787" s="85">
        <v>1.0</v>
      </c>
      <c r="AD787" s="94">
        <v>0.0</v>
      </c>
      <c r="AE787" s="94">
        <v>0.0</v>
      </c>
      <c r="AF787" s="94">
        <v>0.0</v>
      </c>
      <c r="AG787" s="94">
        <v>0.0</v>
      </c>
      <c r="AH787" s="94">
        <v>0.0</v>
      </c>
    </row>
    <row r="788" hidden="1">
      <c r="A788" s="83" t="s">
        <v>34</v>
      </c>
      <c r="B788" s="84" t="s">
        <v>229</v>
      </c>
      <c r="C788" s="85">
        <v>1.0</v>
      </c>
      <c r="D788" s="94">
        <v>0.0</v>
      </c>
      <c r="E788" s="86">
        <v>54.0</v>
      </c>
      <c r="F788" s="94">
        <v>0.0</v>
      </c>
      <c r="G788" s="85">
        <v>118.0</v>
      </c>
      <c r="H788" s="94">
        <v>0.0</v>
      </c>
      <c r="I788" s="85">
        <v>138.0</v>
      </c>
      <c r="J788" s="95">
        <f t="shared" si="585"/>
        <v>-20</v>
      </c>
      <c r="K788" s="87">
        <f t="shared" si="586"/>
        <v>0.8550724638</v>
      </c>
      <c r="L788" s="85">
        <v>20.0</v>
      </c>
      <c r="M788" s="85">
        <v>145.0</v>
      </c>
      <c r="N788" s="85">
        <v>1.0</v>
      </c>
      <c r="O788" s="110">
        <f t="shared" si="593"/>
        <v>54</v>
      </c>
      <c r="P788" s="85">
        <v>8.0</v>
      </c>
      <c r="Q788" s="85">
        <v>2.0</v>
      </c>
      <c r="R788" s="85">
        <v>2.0</v>
      </c>
      <c r="S788" s="85">
        <v>4.0</v>
      </c>
      <c r="T788" s="85">
        <v>12.0</v>
      </c>
      <c r="U788" s="85">
        <v>4.0</v>
      </c>
      <c r="V788" s="85">
        <v>1.0</v>
      </c>
      <c r="W788" s="94">
        <v>0.0</v>
      </c>
      <c r="X788" s="94">
        <v>0.0</v>
      </c>
      <c r="Y788" s="94">
        <v>0.0</v>
      </c>
      <c r="Z788" s="94">
        <v>0.0</v>
      </c>
      <c r="AA788" s="94">
        <v>0.0</v>
      </c>
      <c r="AB788" s="94">
        <v>0.0</v>
      </c>
      <c r="AC788" s="85">
        <v>1.0</v>
      </c>
      <c r="AD788" s="94">
        <v>0.0</v>
      </c>
      <c r="AE788" s="94">
        <v>0.0</v>
      </c>
      <c r="AF788" s="94">
        <v>0.0</v>
      </c>
      <c r="AG788" s="85">
        <v>1.0</v>
      </c>
      <c r="AH788" s="94">
        <v>0.0</v>
      </c>
    </row>
    <row r="789" hidden="1">
      <c r="A789" s="83" t="s">
        <v>34</v>
      </c>
      <c r="B789" s="84" t="s">
        <v>230</v>
      </c>
      <c r="C789" s="85">
        <v>1.0</v>
      </c>
      <c r="D789" s="94">
        <v>0.0</v>
      </c>
      <c r="E789" s="86">
        <v>54.0</v>
      </c>
      <c r="F789" s="85">
        <v>2.0</v>
      </c>
      <c r="G789" s="85">
        <v>161.0</v>
      </c>
      <c r="H789" s="85">
        <v>1.0</v>
      </c>
      <c r="I789" s="85">
        <v>173.0</v>
      </c>
      <c r="J789" s="95">
        <f t="shared" si="585"/>
        <v>-12</v>
      </c>
      <c r="K789" s="87">
        <f t="shared" si="586"/>
        <v>0.9306358382</v>
      </c>
      <c r="L789" s="85">
        <v>15.0</v>
      </c>
      <c r="M789" s="85">
        <v>208.0</v>
      </c>
      <c r="N789" s="85">
        <v>1.0</v>
      </c>
      <c r="O789" s="110">
        <f t="shared" si="593"/>
        <v>54</v>
      </c>
      <c r="P789" s="85">
        <v>9.0</v>
      </c>
      <c r="Q789" s="85">
        <v>3.0</v>
      </c>
      <c r="R789" s="85">
        <v>15.0</v>
      </c>
      <c r="S789" s="85">
        <v>2.0</v>
      </c>
      <c r="T789" s="85">
        <v>20.0</v>
      </c>
      <c r="U789" s="85">
        <v>4.0</v>
      </c>
      <c r="V789" s="94">
        <v>0.0</v>
      </c>
      <c r="W789" s="94">
        <v>0.0</v>
      </c>
      <c r="X789" s="94">
        <v>0.0</v>
      </c>
      <c r="Y789" s="94">
        <v>0.0</v>
      </c>
      <c r="Z789" s="94">
        <v>0.0</v>
      </c>
      <c r="AA789" s="94">
        <v>0.0</v>
      </c>
      <c r="AB789" s="94">
        <v>0.0</v>
      </c>
      <c r="AC789" s="85">
        <v>4.0</v>
      </c>
      <c r="AD789" s="94">
        <v>0.0</v>
      </c>
      <c r="AE789" s="94">
        <v>0.0</v>
      </c>
      <c r="AF789" s="94">
        <v>0.0</v>
      </c>
      <c r="AG789" s="94">
        <v>0.0</v>
      </c>
      <c r="AH789" s="94">
        <v>0.0</v>
      </c>
    </row>
    <row r="790" hidden="1">
      <c r="A790" s="83" t="s">
        <v>34</v>
      </c>
      <c r="B790" s="84" t="s">
        <v>231</v>
      </c>
      <c r="C790" s="94">
        <v>0.0</v>
      </c>
      <c r="D790" s="94">
        <v>0.0</v>
      </c>
      <c r="E790" s="96">
        <f t="shared" ref="E790:E791" si="594">SUM(L790*I790)/60</f>
        <v>0</v>
      </c>
      <c r="F790" s="94">
        <v>0.0</v>
      </c>
      <c r="G790" s="94">
        <v>0.0</v>
      </c>
      <c r="H790" s="94">
        <v>0.0</v>
      </c>
      <c r="I790" s="94">
        <v>0.0</v>
      </c>
      <c r="J790" s="95">
        <f t="shared" si="585"/>
        <v>0</v>
      </c>
      <c r="K790" s="87" t="str">
        <f t="shared" si="586"/>
        <v>#DIV/0!</v>
      </c>
      <c r="L790" s="94">
        <v>0.0</v>
      </c>
      <c r="M790" s="94">
        <v>0.0</v>
      </c>
      <c r="N790" s="85">
        <v>0.0</v>
      </c>
      <c r="O790" s="110">
        <f t="shared" si="593"/>
        <v>0</v>
      </c>
      <c r="P790" s="94">
        <v>0.0</v>
      </c>
      <c r="Q790" s="94">
        <v>0.0</v>
      </c>
      <c r="R790" s="94">
        <v>0.0</v>
      </c>
      <c r="S790" s="94">
        <v>0.0</v>
      </c>
      <c r="T790" s="94">
        <v>0.0</v>
      </c>
      <c r="U790" s="94">
        <v>0.0</v>
      </c>
      <c r="V790" s="94">
        <v>0.0</v>
      </c>
      <c r="W790" s="94">
        <v>0.0</v>
      </c>
      <c r="X790" s="94">
        <v>0.0</v>
      </c>
      <c r="Y790" s="94">
        <v>0.0</v>
      </c>
      <c r="Z790" s="94">
        <v>0.0</v>
      </c>
      <c r="AA790" s="94">
        <v>0.0</v>
      </c>
      <c r="AB790" s="94">
        <v>0.0</v>
      </c>
      <c r="AC790" s="94">
        <v>0.0</v>
      </c>
      <c r="AD790" s="94">
        <v>0.0</v>
      </c>
      <c r="AE790" s="94">
        <v>0.0</v>
      </c>
      <c r="AF790" s="94">
        <v>0.0</v>
      </c>
      <c r="AG790" s="94">
        <v>0.0</v>
      </c>
      <c r="AH790" s="94">
        <v>0.0</v>
      </c>
    </row>
    <row r="791" hidden="1">
      <c r="A791" s="83" t="s">
        <v>34</v>
      </c>
      <c r="B791" s="93"/>
      <c r="C791" s="94">
        <v>0.0</v>
      </c>
      <c r="D791" s="94">
        <v>0.0</v>
      </c>
      <c r="E791" s="96">
        <f t="shared" si="594"/>
        <v>0</v>
      </c>
      <c r="F791" s="94">
        <v>0.0</v>
      </c>
      <c r="G791" s="94">
        <v>0.0</v>
      </c>
      <c r="H791" s="94">
        <v>0.0</v>
      </c>
      <c r="I791" s="94">
        <v>0.0</v>
      </c>
      <c r="J791" s="95">
        <f t="shared" si="585"/>
        <v>0</v>
      </c>
      <c r="K791" s="87" t="str">
        <f t="shared" si="586"/>
        <v>#DIV/0!</v>
      </c>
      <c r="L791" s="94">
        <v>0.0</v>
      </c>
      <c r="M791" s="94">
        <v>0.0</v>
      </c>
      <c r="N791" s="85">
        <v>0.0</v>
      </c>
      <c r="O791" s="110">
        <f t="shared" si="593"/>
        <v>0</v>
      </c>
      <c r="P791" s="94">
        <v>0.0</v>
      </c>
      <c r="Q791" s="94">
        <v>0.0</v>
      </c>
      <c r="R791" s="94">
        <v>0.0</v>
      </c>
      <c r="S791" s="94">
        <v>0.0</v>
      </c>
      <c r="T791" s="94">
        <v>0.0</v>
      </c>
      <c r="U791" s="94">
        <v>0.0</v>
      </c>
      <c r="V791" s="94">
        <v>0.0</v>
      </c>
      <c r="W791" s="94">
        <v>0.0</v>
      </c>
      <c r="X791" s="94">
        <v>0.0</v>
      </c>
      <c r="Y791" s="94">
        <v>0.0</v>
      </c>
      <c r="Z791" s="94">
        <v>0.0</v>
      </c>
      <c r="AA791" s="94">
        <v>0.0</v>
      </c>
      <c r="AB791" s="94">
        <v>0.0</v>
      </c>
      <c r="AC791" s="94">
        <v>0.0</v>
      </c>
      <c r="AD791" s="94">
        <v>0.0</v>
      </c>
      <c r="AE791" s="94">
        <v>0.0</v>
      </c>
      <c r="AF791" s="94">
        <v>0.0</v>
      </c>
      <c r="AG791" s="94">
        <v>0.0</v>
      </c>
      <c r="AH791" s="94">
        <v>0.0</v>
      </c>
    </row>
    <row r="792" hidden="1">
      <c r="A792" s="89" t="s">
        <v>185</v>
      </c>
      <c r="B792" s="111"/>
      <c r="C792" s="111">
        <f>SUM(C786:C791)</f>
        <v>4</v>
      </c>
      <c r="D792" s="111">
        <f t="shared" ref="D792:E792" si="595">SUM(D786:D791)/4</f>
        <v>0</v>
      </c>
      <c r="E792" s="91">
        <f t="shared" si="595"/>
        <v>54</v>
      </c>
      <c r="F792" s="111">
        <f t="shared" ref="F792:G792" si="596">SUM(F786:F791)</f>
        <v>3</v>
      </c>
      <c r="G792" s="111">
        <f t="shared" si="596"/>
        <v>647</v>
      </c>
      <c r="H792" s="111"/>
      <c r="I792" s="111">
        <f>SUM(I786:I791)</f>
        <v>667</v>
      </c>
      <c r="J792" s="111">
        <f t="shared" si="585"/>
        <v>-20</v>
      </c>
      <c r="K792" s="92">
        <f t="shared" si="586"/>
        <v>0.9700149925</v>
      </c>
      <c r="L792" s="111">
        <f t="shared" ref="L792:M792" si="597">SUM(L786:L791)</f>
        <v>64</v>
      </c>
      <c r="M792" s="111">
        <f t="shared" si="597"/>
        <v>841</v>
      </c>
      <c r="N792" s="111"/>
      <c r="O792" s="112"/>
      <c r="P792" s="111">
        <f t="shared" ref="P792:AH792" si="598">SUM(P786:P791)</f>
        <v>34</v>
      </c>
      <c r="Q792" s="111">
        <f t="shared" si="598"/>
        <v>13</v>
      </c>
      <c r="R792" s="111">
        <f t="shared" si="598"/>
        <v>41</v>
      </c>
      <c r="S792" s="111">
        <f t="shared" si="598"/>
        <v>12</v>
      </c>
      <c r="T792" s="111">
        <f t="shared" si="598"/>
        <v>90</v>
      </c>
      <c r="U792" s="111">
        <f t="shared" si="598"/>
        <v>25</v>
      </c>
      <c r="V792" s="111">
        <f t="shared" si="598"/>
        <v>7</v>
      </c>
      <c r="W792" s="111">
        <f t="shared" si="598"/>
        <v>0</v>
      </c>
      <c r="X792" s="111">
        <f t="shared" si="598"/>
        <v>0</v>
      </c>
      <c r="Y792" s="111">
        <f t="shared" si="598"/>
        <v>0</v>
      </c>
      <c r="Z792" s="111">
        <f t="shared" si="598"/>
        <v>0</v>
      </c>
      <c r="AA792" s="111">
        <f t="shared" si="598"/>
        <v>0</v>
      </c>
      <c r="AB792" s="111">
        <f t="shared" si="598"/>
        <v>0</v>
      </c>
      <c r="AC792" s="111">
        <f t="shared" si="598"/>
        <v>14</v>
      </c>
      <c r="AD792" s="111">
        <f t="shared" si="598"/>
        <v>1</v>
      </c>
      <c r="AE792" s="111">
        <f t="shared" si="598"/>
        <v>0</v>
      </c>
      <c r="AF792" s="111">
        <f t="shared" si="598"/>
        <v>0</v>
      </c>
      <c r="AG792" s="111">
        <f t="shared" si="598"/>
        <v>2</v>
      </c>
      <c r="AH792" s="111">
        <f t="shared" si="598"/>
        <v>0</v>
      </c>
    </row>
    <row r="793">
      <c r="A793" s="104" t="s">
        <v>300</v>
      </c>
    </row>
    <row r="795" hidden="1">
      <c r="A795" s="105"/>
      <c r="F795" s="106" t="s">
        <v>251</v>
      </c>
      <c r="L795" s="107" t="s">
        <v>252</v>
      </c>
      <c r="N795" s="108" t="s">
        <v>253</v>
      </c>
    </row>
    <row r="796" hidden="1">
      <c r="A796" s="76" t="s">
        <v>148</v>
      </c>
      <c r="B796" s="76" t="s">
        <v>149</v>
      </c>
      <c r="C796" s="76" t="s">
        <v>150</v>
      </c>
      <c r="D796" s="76" t="s">
        <v>13</v>
      </c>
      <c r="E796" s="77" t="s">
        <v>151</v>
      </c>
      <c r="F796" s="78" t="s">
        <v>15</v>
      </c>
      <c r="G796" s="78" t="s">
        <v>152</v>
      </c>
      <c r="H796" s="78" t="s">
        <v>153</v>
      </c>
      <c r="I796" s="78" t="s">
        <v>154</v>
      </c>
      <c r="J796" s="78" t="s">
        <v>155</v>
      </c>
      <c r="K796" s="79" t="s">
        <v>156</v>
      </c>
      <c r="L796" s="80" t="s">
        <v>157</v>
      </c>
      <c r="M796" s="80" t="s">
        <v>158</v>
      </c>
      <c r="N796" s="81" t="s">
        <v>254</v>
      </c>
      <c r="O796" s="81" t="s">
        <v>151</v>
      </c>
      <c r="P796" s="81" t="s">
        <v>160</v>
      </c>
      <c r="Q796" s="81" t="s">
        <v>161</v>
      </c>
      <c r="R796" s="81" t="s">
        <v>162</v>
      </c>
      <c r="S796" s="81" t="s">
        <v>163</v>
      </c>
      <c r="T796" s="81" t="s">
        <v>164</v>
      </c>
      <c r="U796" s="81" t="s">
        <v>165</v>
      </c>
      <c r="V796" s="81" t="s">
        <v>166</v>
      </c>
      <c r="W796" s="81" t="s">
        <v>167</v>
      </c>
      <c r="X796" s="81" t="s">
        <v>168</v>
      </c>
      <c r="Y796" s="81" t="s">
        <v>169</v>
      </c>
      <c r="Z796" s="81" t="s">
        <v>170</v>
      </c>
      <c r="AA796" s="81" t="s">
        <v>171</v>
      </c>
      <c r="AB796" s="81" t="s">
        <v>172</v>
      </c>
      <c r="AC796" s="81" t="s">
        <v>173</v>
      </c>
      <c r="AD796" s="81" t="s">
        <v>174</v>
      </c>
      <c r="AE796" s="81" t="s">
        <v>175</v>
      </c>
      <c r="AF796" s="81" t="s">
        <v>176</v>
      </c>
      <c r="AG796" s="81" t="s">
        <v>177</v>
      </c>
      <c r="AH796" s="81" t="s">
        <v>178</v>
      </c>
    </row>
    <row r="797" hidden="1">
      <c r="A797" s="83" t="s">
        <v>34</v>
      </c>
      <c r="B797" s="84" t="s">
        <v>227</v>
      </c>
      <c r="C797" s="85">
        <v>1.0</v>
      </c>
      <c r="D797" s="85">
        <v>1.0</v>
      </c>
      <c r="E797" s="86">
        <v>9.0</v>
      </c>
      <c r="F797" s="85">
        <v>2.0</v>
      </c>
      <c r="G797" s="85">
        <v>35.0</v>
      </c>
      <c r="H797" s="94">
        <v>0.0</v>
      </c>
      <c r="I797" s="85">
        <v>27.0</v>
      </c>
      <c r="J797" s="95">
        <f t="shared" ref="J797:J810" si="599">SUM(G797-I797)</f>
        <v>8</v>
      </c>
      <c r="K797" s="87">
        <f t="shared" ref="K797:K810" si="600">SUM(G797/I797)</f>
        <v>1.296296296</v>
      </c>
      <c r="L797" s="85">
        <v>16.0</v>
      </c>
      <c r="M797" s="85">
        <v>48.0</v>
      </c>
      <c r="N797" s="85">
        <v>1.0</v>
      </c>
      <c r="O797" s="110">
        <f t="shared" ref="O797:O802" si="601">(E797*N797)</f>
        <v>9</v>
      </c>
      <c r="P797" s="85">
        <v>2.0</v>
      </c>
      <c r="Q797" s="85">
        <v>1.0</v>
      </c>
      <c r="R797" s="85">
        <v>1.0</v>
      </c>
      <c r="S797" s="85">
        <v>1.0</v>
      </c>
      <c r="T797" s="85">
        <v>9.0</v>
      </c>
      <c r="U797" s="85">
        <v>1.0</v>
      </c>
      <c r="V797" s="94">
        <v>0.0</v>
      </c>
      <c r="W797" s="94">
        <v>0.0</v>
      </c>
      <c r="X797" s="94">
        <v>0.0</v>
      </c>
      <c r="Y797" s="94">
        <v>0.0</v>
      </c>
      <c r="Z797" s="94">
        <v>0.0</v>
      </c>
      <c r="AA797" s="94">
        <v>0.0</v>
      </c>
      <c r="AB797" s="94">
        <v>0.0</v>
      </c>
      <c r="AC797" s="94">
        <v>0.0</v>
      </c>
      <c r="AD797" s="94">
        <v>0.0</v>
      </c>
      <c r="AE797" s="94">
        <v>0.0</v>
      </c>
      <c r="AF797" s="94">
        <v>0.0</v>
      </c>
      <c r="AG797" s="94">
        <v>0.0</v>
      </c>
      <c r="AH797" s="94">
        <v>0.0</v>
      </c>
    </row>
    <row r="798" hidden="1">
      <c r="A798" s="83" t="s">
        <v>34</v>
      </c>
      <c r="B798" s="84" t="s">
        <v>228</v>
      </c>
      <c r="C798" s="85">
        <v>1.0</v>
      </c>
      <c r="D798" s="85">
        <v>1.0</v>
      </c>
      <c r="E798" s="86">
        <v>9.0</v>
      </c>
      <c r="F798" s="85">
        <v>1.0</v>
      </c>
      <c r="G798" s="85">
        <v>23.0</v>
      </c>
      <c r="H798" s="85">
        <v>1.0</v>
      </c>
      <c r="I798" s="85">
        <v>35.0</v>
      </c>
      <c r="J798" s="95">
        <f t="shared" si="599"/>
        <v>-12</v>
      </c>
      <c r="K798" s="87">
        <f t="shared" si="600"/>
        <v>0.6571428571</v>
      </c>
      <c r="L798" s="85">
        <v>11.0</v>
      </c>
      <c r="M798" s="85">
        <v>32.0</v>
      </c>
      <c r="N798" s="85">
        <v>1.0</v>
      </c>
      <c r="O798" s="110">
        <f t="shared" si="601"/>
        <v>9</v>
      </c>
      <c r="P798" s="85">
        <v>2.0</v>
      </c>
      <c r="Q798" s="85">
        <v>3.0</v>
      </c>
      <c r="R798" s="85">
        <v>2.0</v>
      </c>
      <c r="S798" s="85">
        <v>1.0</v>
      </c>
      <c r="T798" s="85">
        <v>2.0</v>
      </c>
      <c r="U798" s="85">
        <v>1.0</v>
      </c>
      <c r="V798" s="85">
        <v>1.0</v>
      </c>
      <c r="W798" s="85">
        <v>1.0</v>
      </c>
      <c r="X798" s="85">
        <v>1.0</v>
      </c>
      <c r="Y798" s="85">
        <v>1.0</v>
      </c>
      <c r="Z798" s="94">
        <v>0.0</v>
      </c>
      <c r="AA798" s="94">
        <v>0.0</v>
      </c>
      <c r="AB798" s="94">
        <v>0.0</v>
      </c>
      <c r="AC798" s="85">
        <v>1.0</v>
      </c>
      <c r="AD798" s="94">
        <v>0.0</v>
      </c>
      <c r="AE798" s="94">
        <v>0.0</v>
      </c>
      <c r="AF798" s="94">
        <v>0.0</v>
      </c>
      <c r="AG798" s="94">
        <v>0.0</v>
      </c>
      <c r="AH798" s="94">
        <v>0.0</v>
      </c>
    </row>
    <row r="799" hidden="1">
      <c r="A799" s="83" t="s">
        <v>34</v>
      </c>
      <c r="B799" s="84" t="s">
        <v>229</v>
      </c>
      <c r="C799" s="85">
        <v>1.0</v>
      </c>
      <c r="D799" s="85">
        <v>1.0</v>
      </c>
      <c r="E799" s="86">
        <v>9.0</v>
      </c>
      <c r="F799" s="94">
        <v>0.0</v>
      </c>
      <c r="G799" s="85">
        <v>21.0</v>
      </c>
      <c r="H799" s="94">
        <v>0.0</v>
      </c>
      <c r="I799" s="85">
        <v>24.0</v>
      </c>
      <c r="J799" s="95">
        <f t="shared" si="599"/>
        <v>-3</v>
      </c>
      <c r="K799" s="87">
        <f t="shared" si="600"/>
        <v>0.875</v>
      </c>
      <c r="L799" s="85">
        <v>18.0</v>
      </c>
      <c r="M799" s="85">
        <v>28.0</v>
      </c>
      <c r="N799" s="85">
        <v>1.0</v>
      </c>
      <c r="O799" s="110">
        <f t="shared" si="601"/>
        <v>9</v>
      </c>
      <c r="P799" s="85">
        <v>1.0</v>
      </c>
      <c r="Q799" s="94">
        <v>0.0</v>
      </c>
      <c r="R799" s="85">
        <v>2.0</v>
      </c>
      <c r="S799" s="85">
        <v>1.0</v>
      </c>
      <c r="T799" s="85">
        <v>2.0</v>
      </c>
      <c r="U799" s="85">
        <v>1.0</v>
      </c>
      <c r="V799" s="94">
        <v>0.0</v>
      </c>
      <c r="W799" s="94">
        <v>0.0</v>
      </c>
      <c r="X799" s="94">
        <v>0.0</v>
      </c>
      <c r="Y799" s="94">
        <v>0.0</v>
      </c>
      <c r="Z799" s="94">
        <v>0.0</v>
      </c>
      <c r="AA799" s="94">
        <v>0.0</v>
      </c>
      <c r="AB799" s="94">
        <v>0.0</v>
      </c>
      <c r="AC799" s="94">
        <v>0.0</v>
      </c>
      <c r="AD799" s="94">
        <v>0.0</v>
      </c>
      <c r="AE799" s="94">
        <v>0.0</v>
      </c>
      <c r="AF799" s="94">
        <v>0.0</v>
      </c>
      <c r="AG799" s="94">
        <v>0.0</v>
      </c>
      <c r="AH799" s="94">
        <v>0.0</v>
      </c>
    </row>
    <row r="800" hidden="1">
      <c r="A800" s="83" t="s">
        <v>34</v>
      </c>
      <c r="B800" s="84" t="s">
        <v>230</v>
      </c>
      <c r="C800" s="85">
        <v>1.0</v>
      </c>
      <c r="D800" s="85">
        <v>1.0</v>
      </c>
      <c r="E800" s="86">
        <v>9.0</v>
      </c>
      <c r="F800" s="85">
        <v>2.0</v>
      </c>
      <c r="G800" s="85">
        <v>30.0</v>
      </c>
      <c r="H800" s="94">
        <v>0.0</v>
      </c>
      <c r="I800" s="85">
        <v>25.0</v>
      </c>
      <c r="J800" s="95">
        <f t="shared" si="599"/>
        <v>5</v>
      </c>
      <c r="K800" s="87">
        <f t="shared" si="600"/>
        <v>1.2</v>
      </c>
      <c r="L800" s="85">
        <v>17.0</v>
      </c>
      <c r="M800" s="85">
        <v>46.0</v>
      </c>
      <c r="N800" s="85">
        <v>1.0</v>
      </c>
      <c r="O800" s="110">
        <f t="shared" si="601"/>
        <v>9</v>
      </c>
      <c r="P800" s="85">
        <v>4.0</v>
      </c>
      <c r="Q800" s="85">
        <v>1.0</v>
      </c>
      <c r="R800" s="85">
        <v>2.0</v>
      </c>
      <c r="S800" s="85">
        <v>1.0</v>
      </c>
      <c r="T800" s="85">
        <v>5.0</v>
      </c>
      <c r="U800" s="85">
        <v>3.0</v>
      </c>
      <c r="V800" s="94">
        <v>0.0</v>
      </c>
      <c r="W800" s="94">
        <v>0.0</v>
      </c>
      <c r="X800" s="94">
        <v>0.0</v>
      </c>
      <c r="Y800" s="94">
        <v>0.0</v>
      </c>
      <c r="Z800" s="94">
        <v>0.0</v>
      </c>
      <c r="AA800" s="94">
        <v>0.0</v>
      </c>
      <c r="AB800" s="94">
        <v>0.0</v>
      </c>
      <c r="AC800" s="94">
        <v>0.0</v>
      </c>
      <c r="AD800" s="94">
        <v>0.0</v>
      </c>
      <c r="AE800" s="94">
        <v>0.0</v>
      </c>
      <c r="AF800" s="94">
        <v>0.0</v>
      </c>
      <c r="AG800" s="94">
        <v>0.0</v>
      </c>
      <c r="AH800" s="94">
        <v>0.0</v>
      </c>
    </row>
    <row r="801" hidden="1">
      <c r="A801" s="83" t="s">
        <v>34</v>
      </c>
      <c r="B801" s="84" t="s">
        <v>231</v>
      </c>
      <c r="C801" s="94">
        <v>0.0</v>
      </c>
      <c r="D801" s="94">
        <v>0.0</v>
      </c>
      <c r="E801" s="96">
        <f t="shared" ref="E801:E802" si="602">SUM(L801*I801)/60</f>
        <v>0</v>
      </c>
      <c r="F801" s="94">
        <v>0.0</v>
      </c>
      <c r="G801" s="94">
        <v>0.0</v>
      </c>
      <c r="H801" s="94">
        <v>0.0</v>
      </c>
      <c r="I801" s="94">
        <v>0.0</v>
      </c>
      <c r="J801" s="95">
        <f t="shared" si="599"/>
        <v>0</v>
      </c>
      <c r="K801" s="87" t="str">
        <f t="shared" si="600"/>
        <v>#DIV/0!</v>
      </c>
      <c r="L801" s="94">
        <v>0.0</v>
      </c>
      <c r="M801" s="94">
        <v>0.0</v>
      </c>
      <c r="N801" s="85">
        <v>0.0</v>
      </c>
      <c r="O801" s="110">
        <f t="shared" si="601"/>
        <v>0</v>
      </c>
      <c r="P801" s="94">
        <v>0.0</v>
      </c>
      <c r="Q801" s="94">
        <v>0.0</v>
      </c>
      <c r="R801" s="94">
        <v>0.0</v>
      </c>
      <c r="S801" s="94">
        <v>0.0</v>
      </c>
      <c r="T801" s="94">
        <v>0.0</v>
      </c>
      <c r="U801" s="94">
        <v>0.0</v>
      </c>
      <c r="V801" s="94">
        <v>0.0</v>
      </c>
      <c r="W801" s="94">
        <v>0.0</v>
      </c>
      <c r="X801" s="94">
        <v>0.0</v>
      </c>
      <c r="Y801" s="94">
        <v>0.0</v>
      </c>
      <c r="Z801" s="94">
        <v>0.0</v>
      </c>
      <c r="AA801" s="94">
        <v>0.0</v>
      </c>
      <c r="AB801" s="94">
        <v>0.0</v>
      </c>
      <c r="AC801" s="94">
        <v>0.0</v>
      </c>
      <c r="AD801" s="94">
        <v>0.0</v>
      </c>
      <c r="AE801" s="94">
        <v>0.0</v>
      </c>
      <c r="AF801" s="94">
        <v>0.0</v>
      </c>
      <c r="AG801" s="94">
        <v>0.0</v>
      </c>
      <c r="AH801" s="94">
        <v>0.0</v>
      </c>
    </row>
    <row r="802" hidden="1">
      <c r="A802" s="83" t="s">
        <v>34</v>
      </c>
      <c r="B802" s="93"/>
      <c r="C802" s="94">
        <v>0.0</v>
      </c>
      <c r="D802" s="94">
        <v>0.0</v>
      </c>
      <c r="E802" s="96">
        <f t="shared" si="602"/>
        <v>0</v>
      </c>
      <c r="F802" s="94">
        <v>0.0</v>
      </c>
      <c r="G802" s="94">
        <v>0.0</v>
      </c>
      <c r="H802" s="94">
        <v>0.0</v>
      </c>
      <c r="I802" s="94">
        <v>0.0</v>
      </c>
      <c r="J802" s="95">
        <f t="shared" si="599"/>
        <v>0</v>
      </c>
      <c r="K802" s="87" t="str">
        <f t="shared" si="600"/>
        <v>#DIV/0!</v>
      </c>
      <c r="L802" s="94">
        <v>0.0</v>
      </c>
      <c r="M802" s="94">
        <v>0.0</v>
      </c>
      <c r="N802" s="85">
        <v>0.0</v>
      </c>
      <c r="O802" s="110">
        <f t="shared" si="601"/>
        <v>0</v>
      </c>
      <c r="P802" s="94">
        <v>0.0</v>
      </c>
      <c r="Q802" s="94">
        <v>0.0</v>
      </c>
      <c r="R802" s="94">
        <v>0.0</v>
      </c>
      <c r="S802" s="94">
        <v>0.0</v>
      </c>
      <c r="T802" s="94">
        <v>0.0</v>
      </c>
      <c r="U802" s="94">
        <v>0.0</v>
      </c>
      <c r="V802" s="94">
        <v>0.0</v>
      </c>
      <c r="W802" s="94">
        <v>0.0</v>
      </c>
      <c r="X802" s="94">
        <v>0.0</v>
      </c>
      <c r="Y802" s="94">
        <v>0.0</v>
      </c>
      <c r="Z802" s="94">
        <v>0.0</v>
      </c>
      <c r="AA802" s="94">
        <v>0.0</v>
      </c>
      <c r="AB802" s="94">
        <v>0.0</v>
      </c>
      <c r="AC802" s="94">
        <v>0.0</v>
      </c>
      <c r="AD802" s="94">
        <v>0.0</v>
      </c>
      <c r="AE802" s="94">
        <v>0.0</v>
      </c>
      <c r="AF802" s="94">
        <v>0.0</v>
      </c>
      <c r="AG802" s="94">
        <v>0.0</v>
      </c>
      <c r="AH802" s="94">
        <v>0.0</v>
      </c>
    </row>
    <row r="803" hidden="1">
      <c r="A803" s="89"/>
      <c r="B803" s="111"/>
      <c r="C803" s="111">
        <f t="shared" ref="C803:D803" si="603">SUM(C797:C802)/4</f>
        <v>1</v>
      </c>
      <c r="D803" s="111">
        <f t="shared" si="603"/>
        <v>1</v>
      </c>
      <c r="E803" s="91">
        <f t="shared" ref="E803:G803" si="604">SUM(E797:E802)</f>
        <v>36</v>
      </c>
      <c r="F803" s="111">
        <f t="shared" si="604"/>
        <v>5</v>
      </c>
      <c r="G803" s="111">
        <f t="shared" si="604"/>
        <v>109</v>
      </c>
      <c r="H803" s="111"/>
      <c r="I803" s="111">
        <f>SUM(I797:I802)</f>
        <v>111</v>
      </c>
      <c r="J803" s="111">
        <f t="shared" si="599"/>
        <v>-2</v>
      </c>
      <c r="K803" s="92">
        <f t="shared" si="600"/>
        <v>0.981981982</v>
      </c>
      <c r="L803" s="111">
        <f t="shared" ref="L803:M803" si="605">SUM(L797:L802)</f>
        <v>62</v>
      </c>
      <c r="M803" s="111">
        <f t="shared" si="605"/>
        <v>154</v>
      </c>
      <c r="N803" s="111"/>
      <c r="O803" s="112"/>
      <c r="P803" s="111">
        <f t="shared" ref="P803:AH803" si="606">SUM(P797:P802)</f>
        <v>9</v>
      </c>
      <c r="Q803" s="111">
        <f t="shared" si="606"/>
        <v>5</v>
      </c>
      <c r="R803" s="111">
        <f t="shared" si="606"/>
        <v>7</v>
      </c>
      <c r="S803" s="111">
        <f t="shared" si="606"/>
        <v>4</v>
      </c>
      <c r="T803" s="111">
        <f t="shared" si="606"/>
        <v>18</v>
      </c>
      <c r="U803" s="111">
        <f t="shared" si="606"/>
        <v>6</v>
      </c>
      <c r="V803" s="111">
        <f t="shared" si="606"/>
        <v>1</v>
      </c>
      <c r="W803" s="111">
        <f t="shared" si="606"/>
        <v>1</v>
      </c>
      <c r="X803" s="111">
        <f t="shared" si="606"/>
        <v>1</v>
      </c>
      <c r="Y803" s="111">
        <f t="shared" si="606"/>
        <v>1</v>
      </c>
      <c r="Z803" s="111">
        <f t="shared" si="606"/>
        <v>0</v>
      </c>
      <c r="AA803" s="111">
        <f t="shared" si="606"/>
        <v>0</v>
      </c>
      <c r="AB803" s="111">
        <f t="shared" si="606"/>
        <v>0</v>
      </c>
      <c r="AC803" s="111">
        <f t="shared" si="606"/>
        <v>1</v>
      </c>
      <c r="AD803" s="111">
        <f t="shared" si="606"/>
        <v>0</v>
      </c>
      <c r="AE803" s="111">
        <f t="shared" si="606"/>
        <v>0</v>
      </c>
      <c r="AF803" s="111">
        <f t="shared" si="606"/>
        <v>0</v>
      </c>
      <c r="AG803" s="111">
        <f t="shared" si="606"/>
        <v>0</v>
      </c>
      <c r="AH803" s="111">
        <f t="shared" si="606"/>
        <v>0</v>
      </c>
    </row>
    <row r="804" hidden="1">
      <c r="A804" s="83" t="s">
        <v>28</v>
      </c>
      <c r="B804" s="84" t="s">
        <v>179</v>
      </c>
      <c r="C804" s="85">
        <v>1.0</v>
      </c>
      <c r="D804" s="94">
        <v>0.0</v>
      </c>
      <c r="E804" s="86">
        <v>9.0</v>
      </c>
      <c r="F804" s="94">
        <v>0.0</v>
      </c>
      <c r="G804" s="85">
        <v>24.0</v>
      </c>
      <c r="H804" s="94">
        <v>0.0</v>
      </c>
      <c r="I804" s="85">
        <v>37.0</v>
      </c>
      <c r="J804" s="95">
        <f t="shared" si="599"/>
        <v>-13</v>
      </c>
      <c r="K804" s="87">
        <f t="shared" si="600"/>
        <v>0.6486486486</v>
      </c>
      <c r="L804" s="85">
        <v>11.0</v>
      </c>
      <c r="M804" s="85">
        <v>24.0</v>
      </c>
      <c r="N804" s="85">
        <v>1.0</v>
      </c>
      <c r="O804" s="110">
        <f t="shared" ref="O804:O809" si="607">(E804*N804)</f>
        <v>9</v>
      </c>
      <c r="P804" s="85">
        <v>1.0</v>
      </c>
      <c r="Q804" s="85">
        <v>1.0</v>
      </c>
      <c r="R804" s="85">
        <v>1.0</v>
      </c>
      <c r="S804" s="94">
        <v>0.0</v>
      </c>
      <c r="T804" s="85">
        <v>2.0</v>
      </c>
      <c r="U804" s="94">
        <v>0.0</v>
      </c>
      <c r="V804" s="94">
        <v>0.0</v>
      </c>
      <c r="W804" s="94">
        <v>0.0</v>
      </c>
      <c r="X804" s="94">
        <v>0.0</v>
      </c>
      <c r="Y804" s="94">
        <v>0.0</v>
      </c>
      <c r="Z804" s="94">
        <v>0.0</v>
      </c>
      <c r="AA804" s="94">
        <v>0.0</v>
      </c>
      <c r="AB804" s="94">
        <v>0.0</v>
      </c>
      <c r="AC804" s="94">
        <v>0.0</v>
      </c>
      <c r="AD804" s="94">
        <v>0.0</v>
      </c>
      <c r="AE804" s="94">
        <v>0.0</v>
      </c>
      <c r="AF804" s="94">
        <v>0.0</v>
      </c>
      <c r="AG804" s="94">
        <v>0.0</v>
      </c>
      <c r="AH804" s="94">
        <v>0.0</v>
      </c>
    </row>
    <row r="805" hidden="1">
      <c r="A805" s="83" t="s">
        <v>28</v>
      </c>
      <c r="B805" s="84" t="s">
        <v>180</v>
      </c>
      <c r="C805" s="85">
        <v>1.0</v>
      </c>
      <c r="D805" s="94">
        <v>0.0</v>
      </c>
      <c r="E805" s="86">
        <v>9.0</v>
      </c>
      <c r="F805" s="94">
        <v>0.0</v>
      </c>
      <c r="G805" s="85">
        <v>42.0</v>
      </c>
      <c r="H805" s="94">
        <v>0.0</v>
      </c>
      <c r="I805" s="85">
        <v>26.0</v>
      </c>
      <c r="J805" s="95">
        <f t="shared" si="599"/>
        <v>16</v>
      </c>
      <c r="K805" s="87">
        <f t="shared" si="600"/>
        <v>1.615384615</v>
      </c>
      <c r="L805" s="85">
        <v>16.0</v>
      </c>
      <c r="M805" s="85">
        <v>53.0</v>
      </c>
      <c r="N805" s="85">
        <v>1.0</v>
      </c>
      <c r="O805" s="110">
        <f t="shared" si="607"/>
        <v>9</v>
      </c>
      <c r="P805" s="85">
        <v>3.0</v>
      </c>
      <c r="Q805" s="85">
        <v>1.0</v>
      </c>
      <c r="R805" s="94">
        <v>0.0</v>
      </c>
      <c r="S805" s="94">
        <v>0.0</v>
      </c>
      <c r="T805" s="85">
        <v>5.0</v>
      </c>
      <c r="U805" s="85">
        <v>1.0</v>
      </c>
      <c r="V805" s="94">
        <v>0.0</v>
      </c>
      <c r="W805" s="94">
        <v>0.0</v>
      </c>
      <c r="X805" s="94">
        <v>0.0</v>
      </c>
      <c r="Y805" s="94">
        <v>0.0</v>
      </c>
      <c r="Z805" s="94">
        <v>0.0</v>
      </c>
      <c r="AA805" s="94">
        <v>0.0</v>
      </c>
      <c r="AB805" s="94">
        <v>0.0</v>
      </c>
      <c r="AC805" s="85">
        <v>2.0</v>
      </c>
      <c r="AD805" s="94">
        <v>0.0</v>
      </c>
      <c r="AE805" s="94">
        <v>0.0</v>
      </c>
      <c r="AF805" s="94">
        <v>0.0</v>
      </c>
      <c r="AG805" s="94">
        <v>0.0</v>
      </c>
      <c r="AH805" s="94">
        <v>0.0</v>
      </c>
    </row>
    <row r="806" hidden="1">
      <c r="A806" s="83" t="s">
        <v>28</v>
      </c>
      <c r="B806" s="84" t="s">
        <v>181</v>
      </c>
      <c r="C806" s="85">
        <v>1.0</v>
      </c>
      <c r="D806" s="94">
        <v>0.0</v>
      </c>
      <c r="E806" s="86">
        <v>9.0</v>
      </c>
      <c r="F806" s="94">
        <v>0.0</v>
      </c>
      <c r="G806" s="85">
        <v>26.0</v>
      </c>
      <c r="H806" s="94">
        <v>0.0</v>
      </c>
      <c r="I806" s="85">
        <v>31.0</v>
      </c>
      <c r="J806" s="95">
        <f t="shared" si="599"/>
        <v>-5</v>
      </c>
      <c r="K806" s="87">
        <f t="shared" si="600"/>
        <v>0.8387096774</v>
      </c>
      <c r="L806" s="85">
        <v>13.0</v>
      </c>
      <c r="M806" s="85">
        <v>33.0</v>
      </c>
      <c r="N806" s="85">
        <v>1.0</v>
      </c>
      <c r="O806" s="110">
        <f t="shared" si="607"/>
        <v>9</v>
      </c>
      <c r="P806" s="85">
        <v>2.0</v>
      </c>
      <c r="Q806" s="85">
        <v>3.0</v>
      </c>
      <c r="R806" s="94">
        <v>0.0</v>
      </c>
      <c r="S806" s="85">
        <v>1.0</v>
      </c>
      <c r="T806" s="85">
        <v>5.0</v>
      </c>
      <c r="U806" s="94">
        <v>0.0</v>
      </c>
      <c r="V806" s="94">
        <v>0.0</v>
      </c>
      <c r="W806" s="94">
        <v>0.0</v>
      </c>
      <c r="X806" s="94">
        <v>0.0</v>
      </c>
      <c r="Y806" s="94">
        <v>0.0</v>
      </c>
      <c r="Z806" s="94">
        <v>0.0</v>
      </c>
      <c r="AA806" s="94">
        <v>0.0</v>
      </c>
      <c r="AB806" s="94">
        <v>0.0</v>
      </c>
      <c r="AC806" s="94">
        <v>0.0</v>
      </c>
      <c r="AD806" s="94">
        <v>0.0</v>
      </c>
      <c r="AE806" s="94">
        <v>0.0</v>
      </c>
      <c r="AF806" s="94">
        <v>0.0</v>
      </c>
      <c r="AG806" s="94">
        <v>0.0</v>
      </c>
      <c r="AH806" s="94">
        <v>0.0</v>
      </c>
    </row>
    <row r="807" hidden="1">
      <c r="A807" s="83" t="s">
        <v>28</v>
      </c>
      <c r="B807" s="84" t="s">
        <v>182</v>
      </c>
      <c r="C807" s="85">
        <v>1.0</v>
      </c>
      <c r="D807" s="94">
        <v>0.0</v>
      </c>
      <c r="E807" s="86">
        <v>9.0</v>
      </c>
      <c r="F807" s="94">
        <v>0.0</v>
      </c>
      <c r="G807" s="85">
        <v>14.0</v>
      </c>
      <c r="H807" s="94">
        <v>0.0</v>
      </c>
      <c r="I807" s="85">
        <v>22.0</v>
      </c>
      <c r="J807" s="95">
        <f t="shared" si="599"/>
        <v>-8</v>
      </c>
      <c r="K807" s="87">
        <f t="shared" si="600"/>
        <v>0.6363636364</v>
      </c>
      <c r="L807" s="85">
        <v>20.0</v>
      </c>
      <c r="M807" s="85">
        <v>18.0</v>
      </c>
      <c r="N807" s="85">
        <v>1.0</v>
      </c>
      <c r="O807" s="110">
        <f t="shared" si="607"/>
        <v>9</v>
      </c>
      <c r="P807" s="85">
        <v>2.0</v>
      </c>
      <c r="Q807" s="94">
        <v>0.0</v>
      </c>
      <c r="R807" s="94">
        <v>0.0</v>
      </c>
      <c r="S807" s="94">
        <v>0.0</v>
      </c>
      <c r="T807" s="85">
        <v>1.0</v>
      </c>
      <c r="U807" s="94">
        <v>0.0</v>
      </c>
      <c r="V807" s="94">
        <v>0.0</v>
      </c>
      <c r="W807" s="94">
        <v>0.0</v>
      </c>
      <c r="X807" s="94">
        <v>0.0</v>
      </c>
      <c r="Y807" s="94">
        <v>0.0</v>
      </c>
      <c r="Z807" s="94">
        <v>0.0</v>
      </c>
      <c r="AA807" s="94">
        <v>0.0</v>
      </c>
      <c r="AB807" s="94">
        <v>0.0</v>
      </c>
      <c r="AC807" s="85">
        <v>1.0</v>
      </c>
      <c r="AD807" s="94">
        <v>0.0</v>
      </c>
      <c r="AE807" s="94">
        <v>0.0</v>
      </c>
      <c r="AF807" s="94">
        <v>0.0</v>
      </c>
      <c r="AG807" s="94">
        <v>0.0</v>
      </c>
      <c r="AH807" s="94">
        <v>0.0</v>
      </c>
    </row>
    <row r="808" hidden="1">
      <c r="A808" s="83" t="s">
        <v>28</v>
      </c>
      <c r="B808" s="84" t="s">
        <v>183</v>
      </c>
      <c r="C808" s="94">
        <v>0.0</v>
      </c>
      <c r="D808" s="94">
        <v>0.0</v>
      </c>
      <c r="E808" s="96">
        <f t="shared" ref="E808:E809" si="608">SUM(L808*I808)/60</f>
        <v>0</v>
      </c>
      <c r="F808" s="94">
        <v>0.0</v>
      </c>
      <c r="G808" s="94">
        <v>0.0</v>
      </c>
      <c r="H808" s="94">
        <v>0.0</v>
      </c>
      <c r="I808" s="94">
        <v>0.0</v>
      </c>
      <c r="J808" s="95">
        <f t="shared" si="599"/>
        <v>0</v>
      </c>
      <c r="K808" s="87" t="str">
        <f t="shared" si="600"/>
        <v>#DIV/0!</v>
      </c>
      <c r="L808" s="94">
        <v>0.0</v>
      </c>
      <c r="M808" s="94">
        <v>0.0</v>
      </c>
      <c r="N808" s="85">
        <v>0.0</v>
      </c>
      <c r="O808" s="110">
        <f t="shared" si="607"/>
        <v>0</v>
      </c>
      <c r="P808" s="94">
        <v>0.0</v>
      </c>
      <c r="Q808" s="94">
        <v>0.0</v>
      </c>
      <c r="R808" s="94">
        <v>0.0</v>
      </c>
      <c r="S808" s="94">
        <v>0.0</v>
      </c>
      <c r="T808" s="94">
        <v>0.0</v>
      </c>
      <c r="U808" s="94">
        <v>0.0</v>
      </c>
      <c r="V808" s="94">
        <v>0.0</v>
      </c>
      <c r="W808" s="94">
        <v>0.0</v>
      </c>
      <c r="X808" s="94">
        <v>0.0</v>
      </c>
      <c r="Y808" s="94">
        <v>0.0</v>
      </c>
      <c r="Z808" s="94">
        <v>0.0</v>
      </c>
      <c r="AA808" s="94">
        <v>0.0</v>
      </c>
      <c r="AB808" s="94">
        <v>0.0</v>
      </c>
      <c r="AC808" s="94">
        <v>0.0</v>
      </c>
      <c r="AD808" s="94">
        <v>0.0</v>
      </c>
      <c r="AE808" s="94">
        <v>0.0</v>
      </c>
      <c r="AF808" s="94">
        <v>0.0</v>
      </c>
      <c r="AG808" s="94">
        <v>0.0</v>
      </c>
      <c r="AH808" s="94">
        <v>0.0</v>
      </c>
    </row>
    <row r="809" hidden="1">
      <c r="A809" s="83" t="s">
        <v>28</v>
      </c>
      <c r="B809" s="84" t="s">
        <v>184</v>
      </c>
      <c r="C809" s="94">
        <v>0.0</v>
      </c>
      <c r="D809" s="94">
        <v>0.0</v>
      </c>
      <c r="E809" s="96">
        <f t="shared" si="608"/>
        <v>0</v>
      </c>
      <c r="F809" s="94">
        <v>0.0</v>
      </c>
      <c r="G809" s="94">
        <v>0.0</v>
      </c>
      <c r="H809" s="94">
        <v>0.0</v>
      </c>
      <c r="I809" s="94">
        <v>0.0</v>
      </c>
      <c r="J809" s="95">
        <f t="shared" si="599"/>
        <v>0</v>
      </c>
      <c r="K809" s="87" t="str">
        <f t="shared" si="600"/>
        <v>#DIV/0!</v>
      </c>
      <c r="L809" s="94">
        <v>0.0</v>
      </c>
      <c r="M809" s="94">
        <v>0.0</v>
      </c>
      <c r="N809" s="85">
        <v>0.0</v>
      </c>
      <c r="O809" s="110">
        <f t="shared" si="607"/>
        <v>0</v>
      </c>
      <c r="P809" s="94">
        <v>0.0</v>
      </c>
      <c r="Q809" s="94">
        <v>0.0</v>
      </c>
      <c r="R809" s="94">
        <v>0.0</v>
      </c>
      <c r="S809" s="94">
        <v>0.0</v>
      </c>
      <c r="T809" s="94">
        <v>0.0</v>
      </c>
      <c r="U809" s="94">
        <v>0.0</v>
      </c>
      <c r="V809" s="94">
        <v>0.0</v>
      </c>
      <c r="W809" s="94">
        <v>0.0</v>
      </c>
      <c r="X809" s="94">
        <v>0.0</v>
      </c>
      <c r="Y809" s="94">
        <v>0.0</v>
      </c>
      <c r="Z809" s="94">
        <v>0.0</v>
      </c>
      <c r="AA809" s="94">
        <v>0.0</v>
      </c>
      <c r="AB809" s="94">
        <v>0.0</v>
      </c>
      <c r="AC809" s="94">
        <v>0.0</v>
      </c>
      <c r="AD809" s="94">
        <v>0.0</v>
      </c>
      <c r="AE809" s="94">
        <v>0.0</v>
      </c>
      <c r="AF809" s="94">
        <v>0.0</v>
      </c>
      <c r="AG809" s="94">
        <v>0.0</v>
      </c>
      <c r="AH809" s="94">
        <v>0.0</v>
      </c>
    </row>
    <row r="810" hidden="1">
      <c r="A810" s="89" t="s">
        <v>185</v>
      </c>
      <c r="B810" s="111"/>
      <c r="C810" s="111">
        <f>SUM(C804:C809)</f>
        <v>4</v>
      </c>
      <c r="D810" s="111">
        <f t="shared" ref="D810:E810" si="609">SUM(D804:D809)/4</f>
        <v>0</v>
      </c>
      <c r="E810" s="91">
        <f t="shared" si="609"/>
        <v>9</v>
      </c>
      <c r="F810" s="111">
        <f t="shared" ref="F810:G810" si="610">SUM(F804:F809)</f>
        <v>0</v>
      </c>
      <c r="G810" s="111">
        <f t="shared" si="610"/>
        <v>106</v>
      </c>
      <c r="H810" s="111"/>
      <c r="I810" s="111">
        <f>SUM(I804:I809)</f>
        <v>116</v>
      </c>
      <c r="J810" s="111">
        <f t="shared" si="599"/>
        <v>-10</v>
      </c>
      <c r="K810" s="92">
        <f t="shared" si="600"/>
        <v>0.9137931034</v>
      </c>
      <c r="L810" s="111">
        <f t="shared" ref="L810:M810" si="611">SUM(L804:L809)</f>
        <v>60</v>
      </c>
      <c r="M810" s="111">
        <f t="shared" si="611"/>
        <v>128</v>
      </c>
      <c r="N810" s="111"/>
      <c r="O810" s="112"/>
      <c r="P810" s="111">
        <f t="shared" ref="P810:AH810" si="612">SUM(P804:P809)</f>
        <v>8</v>
      </c>
      <c r="Q810" s="111">
        <f t="shared" si="612"/>
        <v>5</v>
      </c>
      <c r="R810" s="111">
        <f t="shared" si="612"/>
        <v>1</v>
      </c>
      <c r="S810" s="111">
        <f t="shared" si="612"/>
        <v>1</v>
      </c>
      <c r="T810" s="111">
        <f t="shared" si="612"/>
        <v>13</v>
      </c>
      <c r="U810" s="111">
        <f t="shared" si="612"/>
        <v>1</v>
      </c>
      <c r="V810" s="111">
        <f t="shared" si="612"/>
        <v>0</v>
      </c>
      <c r="W810" s="111">
        <f t="shared" si="612"/>
        <v>0</v>
      </c>
      <c r="X810" s="111">
        <f t="shared" si="612"/>
        <v>0</v>
      </c>
      <c r="Y810" s="111">
        <f t="shared" si="612"/>
        <v>0</v>
      </c>
      <c r="Z810" s="111">
        <f t="shared" si="612"/>
        <v>0</v>
      </c>
      <c r="AA810" s="111">
        <f t="shared" si="612"/>
        <v>0</v>
      </c>
      <c r="AB810" s="111">
        <f t="shared" si="612"/>
        <v>0</v>
      </c>
      <c r="AC810" s="111">
        <f t="shared" si="612"/>
        <v>3</v>
      </c>
      <c r="AD810" s="111">
        <f t="shared" si="612"/>
        <v>0</v>
      </c>
      <c r="AE810" s="111">
        <f t="shared" si="612"/>
        <v>0</v>
      </c>
      <c r="AF810" s="111">
        <f t="shared" si="612"/>
        <v>0</v>
      </c>
      <c r="AG810" s="111">
        <f t="shared" si="612"/>
        <v>0</v>
      </c>
      <c r="AH810" s="111">
        <f t="shared" si="612"/>
        <v>0</v>
      </c>
    </row>
    <row r="811">
      <c r="A811" s="104" t="s">
        <v>301</v>
      </c>
    </row>
    <row r="813" hidden="1">
      <c r="A813" s="105"/>
      <c r="F813" s="106" t="s">
        <v>251</v>
      </c>
      <c r="L813" s="107" t="s">
        <v>252</v>
      </c>
      <c r="N813" s="108" t="s">
        <v>253</v>
      </c>
    </row>
    <row r="814" hidden="1">
      <c r="A814" s="76" t="s">
        <v>148</v>
      </c>
      <c r="B814" s="76" t="s">
        <v>149</v>
      </c>
      <c r="C814" s="76" t="s">
        <v>150</v>
      </c>
      <c r="D814" s="76" t="s">
        <v>13</v>
      </c>
      <c r="E814" s="77" t="s">
        <v>151</v>
      </c>
      <c r="F814" s="78" t="s">
        <v>15</v>
      </c>
      <c r="G814" s="78" t="s">
        <v>152</v>
      </c>
      <c r="H814" s="78" t="s">
        <v>153</v>
      </c>
      <c r="I814" s="78" t="s">
        <v>154</v>
      </c>
      <c r="J814" s="78" t="s">
        <v>155</v>
      </c>
      <c r="K814" s="79" t="s">
        <v>156</v>
      </c>
      <c r="L814" s="80" t="s">
        <v>157</v>
      </c>
      <c r="M814" s="80" t="s">
        <v>158</v>
      </c>
      <c r="N814" s="81" t="s">
        <v>254</v>
      </c>
      <c r="O814" s="81" t="s">
        <v>151</v>
      </c>
      <c r="P814" s="81" t="s">
        <v>160</v>
      </c>
      <c r="Q814" s="81" t="s">
        <v>161</v>
      </c>
      <c r="R814" s="81" t="s">
        <v>162</v>
      </c>
      <c r="S814" s="81" t="s">
        <v>163</v>
      </c>
      <c r="T814" s="81" t="s">
        <v>164</v>
      </c>
      <c r="U814" s="81" t="s">
        <v>165</v>
      </c>
      <c r="V814" s="81" t="s">
        <v>166</v>
      </c>
      <c r="W814" s="81" t="s">
        <v>167</v>
      </c>
      <c r="X814" s="81" t="s">
        <v>168</v>
      </c>
      <c r="Y814" s="81" t="s">
        <v>169</v>
      </c>
      <c r="Z814" s="81" t="s">
        <v>170</v>
      </c>
      <c r="AA814" s="81" t="s">
        <v>171</v>
      </c>
      <c r="AB814" s="81" t="s">
        <v>172</v>
      </c>
      <c r="AC814" s="81" t="s">
        <v>173</v>
      </c>
      <c r="AD814" s="81" t="s">
        <v>174</v>
      </c>
      <c r="AE814" s="81" t="s">
        <v>175</v>
      </c>
      <c r="AF814" s="81" t="s">
        <v>176</v>
      </c>
      <c r="AG814" s="81" t="s">
        <v>177</v>
      </c>
      <c r="AH814" s="81" t="s">
        <v>178</v>
      </c>
    </row>
    <row r="815" hidden="1">
      <c r="A815" s="109" t="s">
        <v>49</v>
      </c>
      <c r="B815" s="93" t="s">
        <v>198</v>
      </c>
      <c r="C815" s="85">
        <v>1.0</v>
      </c>
      <c r="D815" s="94">
        <v>0.0</v>
      </c>
      <c r="E815" s="86">
        <v>26.0</v>
      </c>
      <c r="F815" s="85">
        <v>0.0</v>
      </c>
      <c r="G815" s="85">
        <v>72.0</v>
      </c>
      <c r="H815" s="94">
        <v>0.0</v>
      </c>
      <c r="I815" s="85">
        <v>91.0</v>
      </c>
      <c r="J815" s="95">
        <f t="shared" ref="J815:J828" si="613">SUM(G815-I815)</f>
        <v>-19</v>
      </c>
      <c r="K815" s="87">
        <f t="shared" ref="K815:K828" si="614">SUM(G815/I815)</f>
        <v>0.7912087912</v>
      </c>
      <c r="L815" s="85">
        <v>13.0</v>
      </c>
      <c r="M815" s="85">
        <v>92.0</v>
      </c>
      <c r="N815" s="85">
        <v>1.0</v>
      </c>
      <c r="O815" s="110">
        <f t="shared" ref="O815:O820" si="615">(E815*N815)</f>
        <v>26</v>
      </c>
      <c r="P815" s="85">
        <v>2.0</v>
      </c>
      <c r="Q815" s="85">
        <v>3.0</v>
      </c>
      <c r="R815" s="85">
        <v>4.0</v>
      </c>
      <c r="S815" s="85">
        <v>1.0</v>
      </c>
      <c r="T815" s="85">
        <v>14.0</v>
      </c>
      <c r="U815" s="85">
        <v>1.0</v>
      </c>
      <c r="V815" s="94">
        <v>0.0</v>
      </c>
      <c r="W815" s="94">
        <v>0.0</v>
      </c>
      <c r="X815" s="94">
        <v>0.0</v>
      </c>
      <c r="Y815" s="94">
        <v>0.0</v>
      </c>
      <c r="Z815" s="94">
        <v>0.0</v>
      </c>
      <c r="AA815" s="94">
        <v>0.0</v>
      </c>
      <c r="AB815" s="94">
        <v>0.0</v>
      </c>
      <c r="AC815" s="85">
        <v>2.0</v>
      </c>
      <c r="AD815" s="94">
        <v>0.0</v>
      </c>
      <c r="AE815" s="94">
        <v>0.0</v>
      </c>
      <c r="AF815" s="94">
        <v>0.0</v>
      </c>
      <c r="AG815" s="94">
        <v>0.0</v>
      </c>
      <c r="AH815" s="94">
        <v>0.0</v>
      </c>
    </row>
    <row r="816" hidden="1">
      <c r="A816" s="109" t="s">
        <v>49</v>
      </c>
      <c r="B816" s="93" t="s">
        <v>199</v>
      </c>
      <c r="C816" s="85">
        <v>1.0</v>
      </c>
      <c r="D816" s="94">
        <v>0.0</v>
      </c>
      <c r="E816" s="86">
        <v>26.0</v>
      </c>
      <c r="F816" s="94">
        <v>0.0</v>
      </c>
      <c r="G816" s="85">
        <v>80.0</v>
      </c>
      <c r="H816" s="85">
        <v>1.0</v>
      </c>
      <c r="I816" s="85">
        <v>70.0</v>
      </c>
      <c r="J816" s="95">
        <f t="shared" si="613"/>
        <v>10</v>
      </c>
      <c r="K816" s="87">
        <f t="shared" si="614"/>
        <v>1.142857143</v>
      </c>
      <c r="L816" s="85">
        <v>18.0</v>
      </c>
      <c r="M816" s="85">
        <v>107.0</v>
      </c>
      <c r="N816" s="85">
        <v>1.0</v>
      </c>
      <c r="O816" s="110">
        <f t="shared" si="615"/>
        <v>26</v>
      </c>
      <c r="P816" s="85">
        <v>4.0</v>
      </c>
      <c r="Q816" s="85">
        <v>1.0</v>
      </c>
      <c r="R816" s="85">
        <v>5.0</v>
      </c>
      <c r="S816" s="85">
        <v>1.0</v>
      </c>
      <c r="T816" s="85">
        <v>13.0</v>
      </c>
      <c r="U816" s="85">
        <v>2.0</v>
      </c>
      <c r="V816" s="94">
        <v>0.0</v>
      </c>
      <c r="W816" s="94">
        <v>0.0</v>
      </c>
      <c r="X816" s="94">
        <v>0.0</v>
      </c>
      <c r="Y816" s="94">
        <v>0.0</v>
      </c>
      <c r="Z816" s="94">
        <v>0.0</v>
      </c>
      <c r="AA816" s="94">
        <v>0.0</v>
      </c>
      <c r="AB816" s="94">
        <v>0.0</v>
      </c>
      <c r="AC816" s="85">
        <v>4.0</v>
      </c>
      <c r="AD816" s="94">
        <v>0.0</v>
      </c>
      <c r="AE816" s="94">
        <v>0.0</v>
      </c>
      <c r="AF816" s="94">
        <v>0.0</v>
      </c>
      <c r="AG816" s="94">
        <v>0.0</v>
      </c>
      <c r="AH816" s="94">
        <v>0.0</v>
      </c>
    </row>
    <row r="817" hidden="1">
      <c r="A817" s="109" t="s">
        <v>49</v>
      </c>
      <c r="B817" s="93" t="s">
        <v>200</v>
      </c>
      <c r="C817" s="85">
        <v>1.0</v>
      </c>
      <c r="D817" s="94">
        <v>0.0</v>
      </c>
      <c r="E817" s="86">
        <v>26.0</v>
      </c>
      <c r="F817" s="85">
        <v>1.0</v>
      </c>
      <c r="G817" s="85">
        <v>49.0</v>
      </c>
      <c r="H817" s="94">
        <v>0.0</v>
      </c>
      <c r="I817" s="85">
        <v>55.0</v>
      </c>
      <c r="J817" s="95">
        <f t="shared" si="613"/>
        <v>-6</v>
      </c>
      <c r="K817" s="87">
        <f t="shared" si="614"/>
        <v>0.8909090909</v>
      </c>
      <c r="L817" s="85">
        <v>24.0</v>
      </c>
      <c r="M817" s="85">
        <v>65.0</v>
      </c>
      <c r="N817" s="85">
        <v>1.0</v>
      </c>
      <c r="O817" s="110">
        <f t="shared" si="615"/>
        <v>26</v>
      </c>
      <c r="P817" s="85">
        <v>4.0</v>
      </c>
      <c r="Q817" s="85">
        <v>1.0</v>
      </c>
      <c r="R817" s="85">
        <v>6.0</v>
      </c>
      <c r="S817" s="85">
        <v>2.0</v>
      </c>
      <c r="T817" s="85">
        <v>4.0</v>
      </c>
      <c r="U817" s="85">
        <v>1.0</v>
      </c>
      <c r="V817" s="94">
        <v>0.0</v>
      </c>
      <c r="W817" s="94">
        <v>0.0</v>
      </c>
      <c r="X817" s="94">
        <v>0.0</v>
      </c>
      <c r="Y817" s="94">
        <v>0.0</v>
      </c>
      <c r="Z817" s="94">
        <v>0.0</v>
      </c>
      <c r="AA817" s="94">
        <v>0.0</v>
      </c>
      <c r="AB817" s="94">
        <v>0.0</v>
      </c>
      <c r="AC817" s="94">
        <v>0.0</v>
      </c>
      <c r="AD817" s="94">
        <v>0.0</v>
      </c>
      <c r="AE817" s="94">
        <v>0.0</v>
      </c>
      <c r="AF817" s="94">
        <v>0.0</v>
      </c>
      <c r="AG817" s="94">
        <v>0.0</v>
      </c>
      <c r="AH817" s="94">
        <v>0.0</v>
      </c>
    </row>
    <row r="818" hidden="1">
      <c r="A818" s="109" t="s">
        <v>49</v>
      </c>
      <c r="B818" s="93" t="s">
        <v>201</v>
      </c>
      <c r="C818" s="85">
        <v>1.0</v>
      </c>
      <c r="D818" s="94">
        <v>0.0</v>
      </c>
      <c r="E818" s="86">
        <v>26.0</v>
      </c>
      <c r="F818" s="94">
        <v>0.0</v>
      </c>
      <c r="G818" s="85">
        <v>83.0</v>
      </c>
      <c r="H818" s="85">
        <v>2.0</v>
      </c>
      <c r="I818" s="85">
        <v>96.0</v>
      </c>
      <c r="J818" s="95">
        <f t="shared" si="613"/>
        <v>-13</v>
      </c>
      <c r="K818" s="87">
        <f t="shared" si="614"/>
        <v>0.8645833333</v>
      </c>
      <c r="L818" s="85">
        <v>12.0</v>
      </c>
      <c r="M818" s="85">
        <v>103.0</v>
      </c>
      <c r="N818" s="85">
        <v>1.0</v>
      </c>
      <c r="O818" s="110">
        <f t="shared" si="615"/>
        <v>26</v>
      </c>
      <c r="P818" s="85">
        <v>2.0</v>
      </c>
      <c r="Q818" s="85">
        <v>3.0</v>
      </c>
      <c r="R818" s="85">
        <v>4.0</v>
      </c>
      <c r="S818" s="85">
        <v>1.0</v>
      </c>
      <c r="T818" s="85">
        <v>11.0</v>
      </c>
      <c r="U818" s="85">
        <v>2.0</v>
      </c>
      <c r="V818" s="94">
        <v>0.0</v>
      </c>
      <c r="W818" s="94">
        <v>0.0</v>
      </c>
      <c r="X818" s="94">
        <v>0.0</v>
      </c>
      <c r="Y818" s="94">
        <v>0.0</v>
      </c>
      <c r="Z818" s="94">
        <v>0.0</v>
      </c>
      <c r="AA818" s="94">
        <v>0.0</v>
      </c>
      <c r="AB818" s="94">
        <v>0.0</v>
      </c>
      <c r="AC818" s="85">
        <v>1.0</v>
      </c>
      <c r="AD818" s="94">
        <v>0.0</v>
      </c>
      <c r="AE818" s="94">
        <v>0.0</v>
      </c>
      <c r="AF818" s="94">
        <v>0.0</v>
      </c>
      <c r="AG818" s="94">
        <v>0.0</v>
      </c>
      <c r="AH818" s="94">
        <v>0.0</v>
      </c>
    </row>
    <row r="819" hidden="1">
      <c r="A819" s="109" t="s">
        <v>49</v>
      </c>
      <c r="B819" s="93" t="s">
        <v>202</v>
      </c>
      <c r="C819" s="94">
        <v>0.0</v>
      </c>
      <c r="D819" s="94">
        <v>0.0</v>
      </c>
      <c r="E819" s="96">
        <f t="shared" ref="E819:E820" si="616">SUM(L819*I819)/60</f>
        <v>0</v>
      </c>
      <c r="F819" s="94">
        <v>0.0</v>
      </c>
      <c r="G819" s="94">
        <v>0.0</v>
      </c>
      <c r="H819" s="94">
        <v>0.0</v>
      </c>
      <c r="I819" s="94">
        <v>0.0</v>
      </c>
      <c r="J819" s="95">
        <f t="shared" si="613"/>
        <v>0</v>
      </c>
      <c r="K819" s="87" t="str">
        <f t="shared" si="614"/>
        <v>#DIV/0!</v>
      </c>
      <c r="L819" s="94">
        <v>0.0</v>
      </c>
      <c r="M819" s="94">
        <v>0.0</v>
      </c>
      <c r="N819" s="85">
        <v>0.0</v>
      </c>
      <c r="O819" s="110">
        <f t="shared" si="615"/>
        <v>0</v>
      </c>
      <c r="P819" s="94">
        <v>0.0</v>
      </c>
      <c r="Q819" s="94">
        <v>0.0</v>
      </c>
      <c r="R819" s="94">
        <v>0.0</v>
      </c>
      <c r="S819" s="94">
        <v>0.0</v>
      </c>
      <c r="T819" s="94">
        <v>0.0</v>
      </c>
      <c r="U819" s="94">
        <v>0.0</v>
      </c>
      <c r="V819" s="94">
        <v>0.0</v>
      </c>
      <c r="W819" s="94">
        <v>0.0</v>
      </c>
      <c r="X819" s="94">
        <v>0.0</v>
      </c>
      <c r="Y819" s="94">
        <v>0.0</v>
      </c>
      <c r="Z819" s="94">
        <v>0.0</v>
      </c>
      <c r="AA819" s="94">
        <v>0.0</v>
      </c>
      <c r="AB819" s="94">
        <v>0.0</v>
      </c>
      <c r="AC819" s="94">
        <v>0.0</v>
      </c>
      <c r="AD819" s="94">
        <v>0.0</v>
      </c>
      <c r="AE819" s="94">
        <v>0.0</v>
      </c>
      <c r="AF819" s="94">
        <v>0.0</v>
      </c>
      <c r="AG819" s="94">
        <v>0.0</v>
      </c>
      <c r="AH819" s="94">
        <v>0.0</v>
      </c>
    </row>
    <row r="820" hidden="1">
      <c r="A820" s="109" t="s">
        <v>49</v>
      </c>
      <c r="B820" s="116"/>
      <c r="C820" s="94">
        <v>0.0</v>
      </c>
      <c r="D820" s="94">
        <v>0.0</v>
      </c>
      <c r="E820" s="96">
        <f t="shared" si="616"/>
        <v>0</v>
      </c>
      <c r="F820" s="94">
        <v>0.0</v>
      </c>
      <c r="G820" s="94">
        <v>0.0</v>
      </c>
      <c r="H820" s="94">
        <v>0.0</v>
      </c>
      <c r="I820" s="94">
        <v>0.0</v>
      </c>
      <c r="J820" s="95">
        <f t="shared" si="613"/>
        <v>0</v>
      </c>
      <c r="K820" s="87" t="str">
        <f t="shared" si="614"/>
        <v>#DIV/0!</v>
      </c>
      <c r="L820" s="94">
        <v>0.0</v>
      </c>
      <c r="M820" s="94">
        <v>0.0</v>
      </c>
      <c r="N820" s="85">
        <v>0.0</v>
      </c>
      <c r="O820" s="110">
        <f t="shared" si="615"/>
        <v>0</v>
      </c>
      <c r="P820" s="94">
        <v>0.0</v>
      </c>
      <c r="Q820" s="94">
        <v>0.0</v>
      </c>
      <c r="R820" s="94">
        <v>0.0</v>
      </c>
      <c r="S820" s="94">
        <v>0.0</v>
      </c>
      <c r="T820" s="94">
        <v>0.0</v>
      </c>
      <c r="U820" s="94">
        <v>0.0</v>
      </c>
      <c r="V820" s="94">
        <v>0.0</v>
      </c>
      <c r="W820" s="94">
        <v>0.0</v>
      </c>
      <c r="X820" s="94">
        <v>0.0</v>
      </c>
      <c r="Y820" s="94">
        <v>0.0</v>
      </c>
      <c r="Z820" s="94">
        <v>0.0</v>
      </c>
      <c r="AA820" s="94">
        <v>0.0</v>
      </c>
      <c r="AB820" s="94">
        <v>0.0</v>
      </c>
      <c r="AC820" s="94">
        <v>0.0</v>
      </c>
      <c r="AD820" s="94">
        <v>0.0</v>
      </c>
      <c r="AE820" s="94">
        <v>0.0</v>
      </c>
      <c r="AF820" s="94">
        <v>0.0</v>
      </c>
      <c r="AG820" s="94">
        <v>0.0</v>
      </c>
      <c r="AH820" s="94">
        <v>0.0</v>
      </c>
    </row>
    <row r="821" hidden="1">
      <c r="A821" s="89"/>
      <c r="B821" s="111"/>
      <c r="C821" s="111">
        <f t="shared" ref="C821:D821" si="617">SUM(C815:C820)/4</f>
        <v>1</v>
      </c>
      <c r="D821" s="111">
        <f t="shared" si="617"/>
        <v>0</v>
      </c>
      <c r="E821" s="91">
        <f t="shared" ref="E821:G821" si="618">SUM(E815:E820)</f>
        <v>104</v>
      </c>
      <c r="F821" s="111">
        <f t="shared" si="618"/>
        <v>1</v>
      </c>
      <c r="G821" s="111">
        <f t="shared" si="618"/>
        <v>284</v>
      </c>
      <c r="H821" s="111"/>
      <c r="I821" s="111">
        <f>SUM(I815:I820)</f>
        <v>312</v>
      </c>
      <c r="J821" s="111">
        <f t="shared" si="613"/>
        <v>-28</v>
      </c>
      <c r="K821" s="92">
        <f t="shared" si="614"/>
        <v>0.9102564103</v>
      </c>
      <c r="L821" s="111">
        <f t="shared" ref="L821:M821" si="619">SUM(L815:L820)</f>
        <v>67</v>
      </c>
      <c r="M821" s="111">
        <f t="shared" si="619"/>
        <v>367</v>
      </c>
      <c r="N821" s="111"/>
      <c r="O821" s="112"/>
      <c r="P821" s="111">
        <f t="shared" ref="P821:AH821" si="620">SUM(P815:P820)</f>
        <v>12</v>
      </c>
      <c r="Q821" s="111">
        <f t="shared" si="620"/>
        <v>8</v>
      </c>
      <c r="R821" s="111">
        <f t="shared" si="620"/>
        <v>19</v>
      </c>
      <c r="S821" s="111">
        <f t="shared" si="620"/>
        <v>5</v>
      </c>
      <c r="T821" s="111">
        <f t="shared" si="620"/>
        <v>42</v>
      </c>
      <c r="U821" s="111">
        <f t="shared" si="620"/>
        <v>6</v>
      </c>
      <c r="V821" s="111">
        <f t="shared" si="620"/>
        <v>0</v>
      </c>
      <c r="W821" s="111">
        <f t="shared" si="620"/>
        <v>0</v>
      </c>
      <c r="X821" s="111">
        <f t="shared" si="620"/>
        <v>0</v>
      </c>
      <c r="Y821" s="111">
        <f t="shared" si="620"/>
        <v>0</v>
      </c>
      <c r="Z821" s="111">
        <f t="shared" si="620"/>
        <v>0</v>
      </c>
      <c r="AA821" s="111">
        <f t="shared" si="620"/>
        <v>0</v>
      </c>
      <c r="AB821" s="111">
        <f t="shared" si="620"/>
        <v>0</v>
      </c>
      <c r="AC821" s="111">
        <f t="shared" si="620"/>
        <v>7</v>
      </c>
      <c r="AD821" s="111">
        <f t="shared" si="620"/>
        <v>0</v>
      </c>
      <c r="AE821" s="111">
        <f t="shared" si="620"/>
        <v>0</v>
      </c>
      <c r="AF821" s="111">
        <f t="shared" si="620"/>
        <v>0</v>
      </c>
      <c r="AG821" s="111">
        <f t="shared" si="620"/>
        <v>0</v>
      </c>
      <c r="AH821" s="111">
        <f t="shared" si="620"/>
        <v>0</v>
      </c>
    </row>
    <row r="822" hidden="1">
      <c r="A822" s="109" t="s">
        <v>20</v>
      </c>
      <c r="B822" s="93" t="s">
        <v>232</v>
      </c>
      <c r="C822" s="85">
        <v>1.0</v>
      </c>
      <c r="D822" s="85">
        <v>1.0</v>
      </c>
      <c r="E822" s="86">
        <v>26.0</v>
      </c>
      <c r="F822" s="94">
        <v>0.0</v>
      </c>
      <c r="G822" s="85">
        <v>86.0</v>
      </c>
      <c r="H822" s="94">
        <v>0.0</v>
      </c>
      <c r="I822" s="85">
        <v>57.0</v>
      </c>
      <c r="J822" s="95">
        <f t="shared" si="613"/>
        <v>29</v>
      </c>
      <c r="K822" s="87">
        <f t="shared" si="614"/>
        <v>1.50877193</v>
      </c>
      <c r="L822" s="85">
        <v>23.0</v>
      </c>
      <c r="M822" s="85">
        <v>106.0</v>
      </c>
      <c r="N822" s="85">
        <v>1.0</v>
      </c>
      <c r="O822" s="110">
        <f t="shared" ref="O822:O827" si="621">(E822*N822)</f>
        <v>26</v>
      </c>
      <c r="P822" s="85">
        <v>2.0</v>
      </c>
      <c r="Q822" s="94">
        <v>0.0</v>
      </c>
      <c r="R822" s="85">
        <v>9.0</v>
      </c>
      <c r="S822" s="85">
        <v>4.0</v>
      </c>
      <c r="T822" s="85">
        <v>11.0</v>
      </c>
      <c r="U822" s="85">
        <v>1.0</v>
      </c>
      <c r="V822" s="94">
        <v>0.0</v>
      </c>
      <c r="W822" s="94">
        <v>0.0</v>
      </c>
      <c r="X822" s="94">
        <v>0.0</v>
      </c>
      <c r="Y822" s="94">
        <v>0.0</v>
      </c>
      <c r="Z822" s="94">
        <v>0.0</v>
      </c>
      <c r="AA822" s="94">
        <v>0.0</v>
      </c>
      <c r="AB822" s="94">
        <v>0.0</v>
      </c>
      <c r="AC822" s="85">
        <v>1.0</v>
      </c>
      <c r="AD822" s="94">
        <v>0.0</v>
      </c>
      <c r="AE822" s="94">
        <v>0.0</v>
      </c>
      <c r="AF822" s="94">
        <v>0.0</v>
      </c>
      <c r="AG822" s="94">
        <v>0.0</v>
      </c>
      <c r="AH822" s="94">
        <v>0.0</v>
      </c>
    </row>
    <row r="823" hidden="1">
      <c r="A823" s="109" t="s">
        <v>20</v>
      </c>
      <c r="B823" s="93" t="s">
        <v>233</v>
      </c>
      <c r="C823" s="85">
        <v>1.0</v>
      </c>
      <c r="D823" s="85">
        <v>1.0</v>
      </c>
      <c r="E823" s="86">
        <v>26.0</v>
      </c>
      <c r="F823" s="94">
        <v>0.0</v>
      </c>
      <c r="G823" s="85">
        <v>93.0</v>
      </c>
      <c r="H823" s="94">
        <v>0.0</v>
      </c>
      <c r="I823" s="85">
        <v>86.0</v>
      </c>
      <c r="J823" s="95">
        <f t="shared" si="613"/>
        <v>7</v>
      </c>
      <c r="K823" s="87">
        <f t="shared" si="614"/>
        <v>1.081395349</v>
      </c>
      <c r="L823" s="85">
        <v>14.0</v>
      </c>
      <c r="M823" s="85">
        <v>115.0</v>
      </c>
      <c r="N823" s="85">
        <v>1.0</v>
      </c>
      <c r="O823" s="110">
        <f t="shared" si="621"/>
        <v>26</v>
      </c>
      <c r="P823" s="85">
        <v>3.0</v>
      </c>
      <c r="Q823" s="85">
        <v>1.0</v>
      </c>
      <c r="R823" s="85">
        <v>6.0</v>
      </c>
      <c r="S823" s="85">
        <v>2.0</v>
      </c>
      <c r="T823" s="85">
        <v>11.0</v>
      </c>
      <c r="U823" s="85">
        <v>2.0</v>
      </c>
      <c r="V823" s="94">
        <v>0.0</v>
      </c>
      <c r="W823" s="94">
        <v>0.0</v>
      </c>
      <c r="X823" s="94">
        <v>0.0</v>
      </c>
      <c r="Y823" s="94">
        <v>0.0</v>
      </c>
      <c r="Z823" s="94">
        <v>0.0</v>
      </c>
      <c r="AA823" s="94">
        <v>0.0</v>
      </c>
      <c r="AB823" s="94">
        <v>0.0</v>
      </c>
      <c r="AC823" s="85">
        <v>2.0</v>
      </c>
      <c r="AD823" s="94">
        <v>0.0</v>
      </c>
      <c r="AE823" s="94">
        <v>0.0</v>
      </c>
      <c r="AF823" s="94">
        <v>0.0</v>
      </c>
      <c r="AG823" s="94">
        <v>0.0</v>
      </c>
      <c r="AH823" s="94">
        <v>0.0</v>
      </c>
    </row>
    <row r="824" hidden="1">
      <c r="A824" s="109" t="s">
        <v>20</v>
      </c>
      <c r="B824" s="93" t="s">
        <v>234</v>
      </c>
      <c r="C824" s="85">
        <v>1.0</v>
      </c>
      <c r="D824" s="85">
        <v>1.0</v>
      </c>
      <c r="E824" s="86">
        <v>26.0</v>
      </c>
      <c r="F824" s="94">
        <v>0.0</v>
      </c>
      <c r="G824" s="85">
        <v>79.0</v>
      </c>
      <c r="H824" s="94">
        <v>0.0</v>
      </c>
      <c r="I824" s="85">
        <v>70.0</v>
      </c>
      <c r="J824" s="95">
        <f t="shared" si="613"/>
        <v>9</v>
      </c>
      <c r="K824" s="87">
        <f t="shared" si="614"/>
        <v>1.128571429</v>
      </c>
      <c r="L824" s="85">
        <v>18.0</v>
      </c>
      <c r="M824" s="85">
        <v>97.0</v>
      </c>
      <c r="N824" s="85">
        <v>1.0</v>
      </c>
      <c r="O824" s="110">
        <f t="shared" si="621"/>
        <v>26</v>
      </c>
      <c r="P824" s="85">
        <v>5.0</v>
      </c>
      <c r="Q824" s="85">
        <v>1.0</v>
      </c>
      <c r="R824" s="85">
        <v>1.0</v>
      </c>
      <c r="S824" s="94">
        <v>0.0</v>
      </c>
      <c r="T824" s="85">
        <v>10.0</v>
      </c>
      <c r="U824" s="85">
        <v>2.0</v>
      </c>
      <c r="V824" s="85">
        <v>1.0</v>
      </c>
      <c r="W824" s="85">
        <v>1.0</v>
      </c>
      <c r="X824" s="94">
        <v>0.0</v>
      </c>
      <c r="Y824" s="94">
        <v>0.0</v>
      </c>
      <c r="Z824" s="94">
        <v>0.0</v>
      </c>
      <c r="AA824" s="94">
        <v>0.0</v>
      </c>
      <c r="AB824" s="94">
        <v>0.0</v>
      </c>
      <c r="AC824" s="85">
        <v>1.0</v>
      </c>
      <c r="AD824" s="94">
        <v>0.0</v>
      </c>
      <c r="AE824" s="94">
        <v>0.0</v>
      </c>
      <c r="AF824" s="94">
        <v>0.0</v>
      </c>
      <c r="AG824" s="94">
        <v>0.0</v>
      </c>
      <c r="AH824" s="94">
        <v>0.0</v>
      </c>
    </row>
    <row r="825" hidden="1">
      <c r="A825" s="109" t="s">
        <v>20</v>
      </c>
      <c r="B825" s="93" t="s">
        <v>235</v>
      </c>
      <c r="C825" s="85">
        <v>1.0</v>
      </c>
      <c r="D825" s="85">
        <v>1.0</v>
      </c>
      <c r="E825" s="86">
        <v>26.0</v>
      </c>
      <c r="F825" s="85">
        <v>5.0</v>
      </c>
      <c r="G825" s="85">
        <v>49.0</v>
      </c>
      <c r="H825" s="85">
        <v>2.0</v>
      </c>
      <c r="I825" s="85">
        <v>74.0</v>
      </c>
      <c r="J825" s="95">
        <f t="shared" si="613"/>
        <v>-25</v>
      </c>
      <c r="K825" s="87">
        <f t="shared" si="614"/>
        <v>0.6621621622</v>
      </c>
      <c r="L825" s="85">
        <v>17.0</v>
      </c>
      <c r="M825" s="85">
        <v>67.0</v>
      </c>
      <c r="N825" s="85">
        <v>1.0</v>
      </c>
      <c r="O825" s="110">
        <f t="shared" si="621"/>
        <v>26</v>
      </c>
      <c r="P825" s="94">
        <v>0.0</v>
      </c>
      <c r="Q825" s="94">
        <v>0.0</v>
      </c>
      <c r="R825" s="85">
        <v>1.0</v>
      </c>
      <c r="S825" s="85">
        <v>1.0</v>
      </c>
      <c r="T825" s="85">
        <v>7.0</v>
      </c>
      <c r="U825" s="85">
        <v>2.0</v>
      </c>
      <c r="V825" s="85">
        <v>1.0</v>
      </c>
      <c r="W825" s="94">
        <v>0.0</v>
      </c>
      <c r="X825" s="94">
        <v>0.0</v>
      </c>
      <c r="Y825" s="94">
        <v>0.0</v>
      </c>
      <c r="Z825" s="94">
        <v>0.0</v>
      </c>
      <c r="AA825" s="94">
        <v>0.0</v>
      </c>
      <c r="AB825" s="94">
        <v>0.0</v>
      </c>
      <c r="AC825" s="85">
        <v>1.0</v>
      </c>
      <c r="AD825" s="94">
        <v>0.0</v>
      </c>
      <c r="AE825" s="94">
        <v>0.0</v>
      </c>
      <c r="AF825" s="94">
        <v>0.0</v>
      </c>
      <c r="AG825" s="94">
        <v>0.0</v>
      </c>
      <c r="AH825" s="94">
        <v>0.0</v>
      </c>
    </row>
    <row r="826" hidden="1">
      <c r="A826" s="109" t="s">
        <v>20</v>
      </c>
      <c r="B826" s="93" t="s">
        <v>236</v>
      </c>
      <c r="C826" s="94">
        <v>0.0</v>
      </c>
      <c r="D826" s="94">
        <v>0.0</v>
      </c>
      <c r="E826" s="96">
        <f t="shared" ref="E826:E827" si="622">SUM(L826*I826)/60</f>
        <v>0</v>
      </c>
      <c r="F826" s="94">
        <v>0.0</v>
      </c>
      <c r="G826" s="94">
        <v>0.0</v>
      </c>
      <c r="H826" s="94">
        <v>0.0</v>
      </c>
      <c r="I826" s="94">
        <v>0.0</v>
      </c>
      <c r="J826" s="95">
        <f t="shared" si="613"/>
        <v>0</v>
      </c>
      <c r="K826" s="87" t="str">
        <f t="shared" si="614"/>
        <v>#DIV/0!</v>
      </c>
      <c r="L826" s="94">
        <v>0.0</v>
      </c>
      <c r="M826" s="94">
        <v>0.0</v>
      </c>
      <c r="N826" s="85">
        <v>0.0</v>
      </c>
      <c r="O826" s="110">
        <f t="shared" si="621"/>
        <v>0</v>
      </c>
      <c r="P826" s="94">
        <v>0.0</v>
      </c>
      <c r="Q826" s="94">
        <v>0.0</v>
      </c>
      <c r="R826" s="94">
        <v>0.0</v>
      </c>
      <c r="S826" s="94">
        <v>0.0</v>
      </c>
      <c r="T826" s="94">
        <v>0.0</v>
      </c>
      <c r="U826" s="94">
        <v>0.0</v>
      </c>
      <c r="V826" s="94">
        <v>0.0</v>
      </c>
      <c r="W826" s="94">
        <v>0.0</v>
      </c>
      <c r="X826" s="94">
        <v>0.0</v>
      </c>
      <c r="Y826" s="94">
        <v>0.0</v>
      </c>
      <c r="Z826" s="94">
        <v>0.0</v>
      </c>
      <c r="AA826" s="94">
        <v>0.0</v>
      </c>
      <c r="AB826" s="94">
        <v>0.0</v>
      </c>
      <c r="AC826" s="94">
        <v>0.0</v>
      </c>
      <c r="AD826" s="94">
        <v>0.0</v>
      </c>
      <c r="AE826" s="94">
        <v>0.0</v>
      </c>
      <c r="AF826" s="94">
        <v>0.0</v>
      </c>
      <c r="AG826" s="94">
        <v>0.0</v>
      </c>
      <c r="AH826" s="94">
        <v>0.0</v>
      </c>
    </row>
    <row r="827" hidden="1">
      <c r="A827" s="109" t="s">
        <v>20</v>
      </c>
      <c r="B827" s="116"/>
      <c r="C827" s="94">
        <v>0.0</v>
      </c>
      <c r="D827" s="94">
        <v>0.0</v>
      </c>
      <c r="E827" s="96">
        <f t="shared" si="622"/>
        <v>0</v>
      </c>
      <c r="F827" s="94">
        <v>0.0</v>
      </c>
      <c r="G827" s="94">
        <v>0.0</v>
      </c>
      <c r="H827" s="94">
        <v>0.0</v>
      </c>
      <c r="I827" s="94">
        <v>0.0</v>
      </c>
      <c r="J827" s="95">
        <f t="shared" si="613"/>
        <v>0</v>
      </c>
      <c r="K827" s="87" t="str">
        <f t="shared" si="614"/>
        <v>#DIV/0!</v>
      </c>
      <c r="L827" s="94">
        <v>0.0</v>
      </c>
      <c r="M827" s="94">
        <v>0.0</v>
      </c>
      <c r="N827" s="85">
        <v>0.0</v>
      </c>
      <c r="O827" s="110">
        <f t="shared" si="621"/>
        <v>0</v>
      </c>
      <c r="P827" s="94">
        <v>0.0</v>
      </c>
      <c r="Q827" s="94">
        <v>0.0</v>
      </c>
      <c r="R827" s="94">
        <v>0.0</v>
      </c>
      <c r="S827" s="94">
        <v>0.0</v>
      </c>
      <c r="T827" s="94">
        <v>0.0</v>
      </c>
      <c r="U827" s="94">
        <v>0.0</v>
      </c>
      <c r="V827" s="94">
        <v>0.0</v>
      </c>
      <c r="W827" s="94">
        <v>0.0</v>
      </c>
      <c r="X827" s="94">
        <v>0.0</v>
      </c>
      <c r="Y827" s="94">
        <v>0.0</v>
      </c>
      <c r="Z827" s="94">
        <v>0.0</v>
      </c>
      <c r="AA827" s="94">
        <v>0.0</v>
      </c>
      <c r="AB827" s="94">
        <v>0.0</v>
      </c>
      <c r="AC827" s="94">
        <v>0.0</v>
      </c>
      <c r="AD827" s="94">
        <v>0.0</v>
      </c>
      <c r="AE827" s="94">
        <v>0.0</v>
      </c>
      <c r="AF827" s="94">
        <v>0.0</v>
      </c>
      <c r="AG827" s="94">
        <v>0.0</v>
      </c>
      <c r="AH827" s="94">
        <v>0.0</v>
      </c>
    </row>
    <row r="828" hidden="1">
      <c r="A828" s="89" t="s">
        <v>185</v>
      </c>
      <c r="B828" s="111"/>
      <c r="C828" s="111">
        <f>SUM(C822:C827)</f>
        <v>4</v>
      </c>
      <c r="D828" s="111">
        <f t="shared" ref="D828:E828" si="623">SUM(D822:D827)/4</f>
        <v>1</v>
      </c>
      <c r="E828" s="91">
        <f t="shared" si="623"/>
        <v>26</v>
      </c>
      <c r="F828" s="111">
        <f t="shared" ref="F828:G828" si="624">SUM(F822:F827)</f>
        <v>5</v>
      </c>
      <c r="G828" s="111">
        <f t="shared" si="624"/>
        <v>307</v>
      </c>
      <c r="H828" s="111"/>
      <c r="I828" s="111">
        <f>SUM(I822:I827)</f>
        <v>287</v>
      </c>
      <c r="J828" s="111">
        <f t="shared" si="613"/>
        <v>20</v>
      </c>
      <c r="K828" s="92">
        <f t="shared" si="614"/>
        <v>1.069686411</v>
      </c>
      <c r="L828" s="111">
        <f t="shared" ref="L828:M828" si="625">SUM(L822:L827)</f>
        <v>72</v>
      </c>
      <c r="M828" s="111">
        <f t="shared" si="625"/>
        <v>385</v>
      </c>
      <c r="N828" s="111"/>
      <c r="O828" s="112"/>
      <c r="P828" s="111">
        <f t="shared" ref="P828:AH828" si="626">SUM(P822:P827)</f>
        <v>10</v>
      </c>
      <c r="Q828" s="111">
        <f t="shared" si="626"/>
        <v>2</v>
      </c>
      <c r="R828" s="111">
        <f t="shared" si="626"/>
        <v>17</v>
      </c>
      <c r="S828" s="111">
        <f t="shared" si="626"/>
        <v>7</v>
      </c>
      <c r="T828" s="111">
        <f t="shared" si="626"/>
        <v>39</v>
      </c>
      <c r="U828" s="111">
        <f t="shared" si="626"/>
        <v>7</v>
      </c>
      <c r="V828" s="111">
        <f t="shared" si="626"/>
        <v>2</v>
      </c>
      <c r="W828" s="111">
        <f t="shared" si="626"/>
        <v>1</v>
      </c>
      <c r="X828" s="111">
        <f t="shared" si="626"/>
        <v>0</v>
      </c>
      <c r="Y828" s="111">
        <f t="shared" si="626"/>
        <v>0</v>
      </c>
      <c r="Z828" s="111">
        <f t="shared" si="626"/>
        <v>0</v>
      </c>
      <c r="AA828" s="111">
        <f t="shared" si="626"/>
        <v>0</v>
      </c>
      <c r="AB828" s="111">
        <f t="shared" si="626"/>
        <v>0</v>
      </c>
      <c r="AC828" s="111">
        <f t="shared" si="626"/>
        <v>5</v>
      </c>
      <c r="AD828" s="111">
        <f t="shared" si="626"/>
        <v>0</v>
      </c>
      <c r="AE828" s="111">
        <f t="shared" si="626"/>
        <v>0</v>
      </c>
      <c r="AF828" s="111">
        <f t="shared" si="626"/>
        <v>0</v>
      </c>
      <c r="AG828" s="111">
        <f t="shared" si="626"/>
        <v>0</v>
      </c>
      <c r="AH828" s="111">
        <f t="shared" si="626"/>
        <v>0</v>
      </c>
    </row>
    <row r="829">
      <c r="A829" s="104" t="s">
        <v>302</v>
      </c>
    </row>
    <row r="831" hidden="1">
      <c r="A831" s="105"/>
      <c r="F831" s="106" t="s">
        <v>251</v>
      </c>
      <c r="L831" s="107" t="s">
        <v>252</v>
      </c>
      <c r="N831" s="108" t="s">
        <v>253</v>
      </c>
    </row>
    <row r="832" hidden="1">
      <c r="A832" s="76" t="s">
        <v>148</v>
      </c>
      <c r="B832" s="76" t="s">
        <v>149</v>
      </c>
      <c r="C832" s="76" t="s">
        <v>150</v>
      </c>
      <c r="D832" s="76" t="s">
        <v>13</v>
      </c>
      <c r="E832" s="77" t="s">
        <v>151</v>
      </c>
      <c r="F832" s="78" t="s">
        <v>15</v>
      </c>
      <c r="G832" s="78" t="s">
        <v>152</v>
      </c>
      <c r="H832" s="78" t="s">
        <v>153</v>
      </c>
      <c r="I832" s="78" t="s">
        <v>154</v>
      </c>
      <c r="J832" s="78" t="s">
        <v>155</v>
      </c>
      <c r="K832" s="79" t="s">
        <v>156</v>
      </c>
      <c r="L832" s="80" t="s">
        <v>157</v>
      </c>
      <c r="M832" s="80" t="s">
        <v>158</v>
      </c>
      <c r="N832" s="81" t="s">
        <v>254</v>
      </c>
      <c r="O832" s="81" t="s">
        <v>151</v>
      </c>
      <c r="P832" s="81" t="s">
        <v>160</v>
      </c>
      <c r="Q832" s="81" t="s">
        <v>161</v>
      </c>
      <c r="R832" s="81" t="s">
        <v>162</v>
      </c>
      <c r="S832" s="81" t="s">
        <v>163</v>
      </c>
      <c r="T832" s="81" t="s">
        <v>164</v>
      </c>
      <c r="U832" s="81" t="s">
        <v>165</v>
      </c>
      <c r="V832" s="81" t="s">
        <v>166</v>
      </c>
      <c r="W832" s="81" t="s">
        <v>167</v>
      </c>
      <c r="X832" s="81" t="s">
        <v>168</v>
      </c>
      <c r="Y832" s="81" t="s">
        <v>169</v>
      </c>
      <c r="Z832" s="81" t="s">
        <v>170</v>
      </c>
      <c r="AA832" s="81" t="s">
        <v>171</v>
      </c>
      <c r="AB832" s="81" t="s">
        <v>172</v>
      </c>
      <c r="AC832" s="81" t="s">
        <v>173</v>
      </c>
      <c r="AD832" s="81" t="s">
        <v>174</v>
      </c>
      <c r="AE832" s="81" t="s">
        <v>175</v>
      </c>
      <c r="AF832" s="81" t="s">
        <v>176</v>
      </c>
      <c r="AG832" s="81" t="s">
        <v>177</v>
      </c>
      <c r="AH832" s="81" t="s">
        <v>178</v>
      </c>
    </row>
    <row r="833" hidden="1">
      <c r="A833" s="109" t="s">
        <v>49</v>
      </c>
      <c r="B833" s="93" t="s">
        <v>198</v>
      </c>
      <c r="C833" s="85">
        <v>1.0</v>
      </c>
      <c r="D833" s="94">
        <v>0.0</v>
      </c>
      <c r="E833" s="96">
        <f t="shared" ref="E833:E838" si="627">SUM(L833*I833)/60</f>
        <v>18.41666667</v>
      </c>
      <c r="F833" s="94">
        <v>0.0</v>
      </c>
      <c r="G833" s="85">
        <v>76.0</v>
      </c>
      <c r="H833" s="94">
        <v>0.0</v>
      </c>
      <c r="I833" s="85">
        <v>85.0</v>
      </c>
      <c r="J833" s="95">
        <f t="shared" ref="J833:J846" si="628">SUM(G833-I833)</f>
        <v>-9</v>
      </c>
      <c r="K833" s="87">
        <f t="shared" ref="K833:K846" si="629">SUM(G833/I833)</f>
        <v>0.8941176471</v>
      </c>
      <c r="L833" s="85">
        <v>13.0</v>
      </c>
      <c r="M833" s="85">
        <v>85.0</v>
      </c>
      <c r="N833" s="85">
        <v>1.0</v>
      </c>
      <c r="O833" s="110">
        <f t="shared" ref="O833:O838" si="630">(E833*N833)</f>
        <v>18.41666667</v>
      </c>
      <c r="P833" s="85">
        <v>2.0</v>
      </c>
      <c r="Q833" s="94">
        <v>0.0</v>
      </c>
      <c r="R833" s="85">
        <v>5.0</v>
      </c>
      <c r="S833" s="85">
        <v>3.0</v>
      </c>
      <c r="T833" s="85">
        <v>6.0</v>
      </c>
      <c r="U833" s="94">
        <v>0.0</v>
      </c>
      <c r="V833" s="94">
        <v>0.0</v>
      </c>
      <c r="W833" s="94">
        <v>0.0</v>
      </c>
      <c r="X833" s="94">
        <v>0.0</v>
      </c>
      <c r="Y833" s="94">
        <v>0.0</v>
      </c>
      <c r="Z833" s="94">
        <v>0.0</v>
      </c>
      <c r="AA833" s="94">
        <v>0.0</v>
      </c>
      <c r="AB833" s="94">
        <v>0.0</v>
      </c>
      <c r="AC833" s="94">
        <v>0.0</v>
      </c>
      <c r="AD833" s="94">
        <v>0.0</v>
      </c>
      <c r="AE833" s="94">
        <v>0.0</v>
      </c>
      <c r="AF833" s="94">
        <v>0.0</v>
      </c>
      <c r="AG833" s="94">
        <v>0.0</v>
      </c>
      <c r="AH833" s="94">
        <v>0.0</v>
      </c>
    </row>
    <row r="834" hidden="1">
      <c r="A834" s="109" t="s">
        <v>49</v>
      </c>
      <c r="B834" s="93" t="s">
        <v>199</v>
      </c>
      <c r="C834" s="85">
        <v>1.0</v>
      </c>
      <c r="D834" s="94">
        <v>0.0</v>
      </c>
      <c r="E834" s="96">
        <f t="shared" si="627"/>
        <v>19.26666667</v>
      </c>
      <c r="F834" s="94">
        <v>0.0</v>
      </c>
      <c r="G834" s="85">
        <v>68.0</v>
      </c>
      <c r="H834" s="85">
        <v>1.0</v>
      </c>
      <c r="I834" s="85">
        <v>68.0</v>
      </c>
      <c r="J834" s="95">
        <f t="shared" si="628"/>
        <v>0</v>
      </c>
      <c r="K834" s="87">
        <f t="shared" si="629"/>
        <v>1</v>
      </c>
      <c r="L834" s="85">
        <v>17.0</v>
      </c>
      <c r="M834" s="85">
        <v>84.0</v>
      </c>
      <c r="N834" s="85">
        <v>1.0</v>
      </c>
      <c r="O834" s="110">
        <f t="shared" si="630"/>
        <v>19.26666667</v>
      </c>
      <c r="P834" s="85">
        <v>2.0</v>
      </c>
      <c r="Q834" s="85">
        <v>3.0</v>
      </c>
      <c r="R834" s="85">
        <v>7.0</v>
      </c>
      <c r="S834" s="85">
        <v>1.0</v>
      </c>
      <c r="T834" s="85">
        <v>6.0</v>
      </c>
      <c r="U834" s="85">
        <v>1.0</v>
      </c>
      <c r="V834" s="94">
        <v>0.0</v>
      </c>
      <c r="W834" s="94">
        <v>0.0</v>
      </c>
      <c r="X834" s="94">
        <v>0.0</v>
      </c>
      <c r="Y834" s="94">
        <v>0.0</v>
      </c>
      <c r="Z834" s="94">
        <v>0.0</v>
      </c>
      <c r="AA834" s="94">
        <v>0.0</v>
      </c>
      <c r="AB834" s="94">
        <v>0.0</v>
      </c>
      <c r="AC834" s="85">
        <v>2.0</v>
      </c>
      <c r="AD834" s="94">
        <v>0.0</v>
      </c>
      <c r="AE834" s="94">
        <v>0.0</v>
      </c>
      <c r="AF834" s="94">
        <v>0.0</v>
      </c>
      <c r="AG834" s="94">
        <v>0.0</v>
      </c>
      <c r="AH834" s="94">
        <v>0.0</v>
      </c>
    </row>
    <row r="835" hidden="1">
      <c r="A835" s="109" t="s">
        <v>49</v>
      </c>
      <c r="B835" s="93" t="s">
        <v>200</v>
      </c>
      <c r="C835" s="85">
        <v>1.0</v>
      </c>
      <c r="D835" s="94">
        <v>0.0</v>
      </c>
      <c r="E835" s="96">
        <f t="shared" si="627"/>
        <v>20.4</v>
      </c>
      <c r="F835" s="85">
        <v>1.0</v>
      </c>
      <c r="G835" s="85">
        <v>43.0</v>
      </c>
      <c r="H835" s="94">
        <v>0.0</v>
      </c>
      <c r="I835" s="85">
        <v>51.0</v>
      </c>
      <c r="J835" s="95">
        <f t="shared" si="628"/>
        <v>-8</v>
      </c>
      <c r="K835" s="87">
        <f t="shared" si="629"/>
        <v>0.8431372549</v>
      </c>
      <c r="L835" s="85">
        <v>24.0</v>
      </c>
      <c r="M835" s="85">
        <v>55.0</v>
      </c>
      <c r="N835" s="85">
        <v>1.0</v>
      </c>
      <c r="O835" s="110">
        <f t="shared" si="630"/>
        <v>20.4</v>
      </c>
      <c r="P835" s="85">
        <v>2.0</v>
      </c>
      <c r="Q835" s="94">
        <v>0.0</v>
      </c>
      <c r="R835" s="85">
        <v>1.0</v>
      </c>
      <c r="S835" s="85">
        <v>2.0</v>
      </c>
      <c r="T835" s="85">
        <v>5.0</v>
      </c>
      <c r="U835" s="85">
        <v>1.0</v>
      </c>
      <c r="V835" s="94">
        <v>0.0</v>
      </c>
      <c r="W835" s="94">
        <v>0.0</v>
      </c>
      <c r="X835" s="94">
        <v>0.0</v>
      </c>
      <c r="Y835" s="94">
        <v>0.0</v>
      </c>
      <c r="Z835" s="94">
        <v>0.0</v>
      </c>
      <c r="AA835" s="94">
        <v>0.0</v>
      </c>
      <c r="AB835" s="94">
        <v>0.0</v>
      </c>
      <c r="AC835" s="94">
        <v>0.0</v>
      </c>
      <c r="AD835" s="94">
        <v>0.0</v>
      </c>
      <c r="AE835" s="94">
        <v>0.0</v>
      </c>
      <c r="AF835" s="94">
        <v>0.0</v>
      </c>
      <c r="AG835" s="94">
        <v>0.0</v>
      </c>
      <c r="AH835" s="94">
        <v>0.0</v>
      </c>
    </row>
    <row r="836" hidden="1">
      <c r="A836" s="109" t="s">
        <v>49</v>
      </c>
      <c r="B836" s="93" t="s">
        <v>201</v>
      </c>
      <c r="C836" s="85">
        <v>1.0</v>
      </c>
      <c r="D836" s="94">
        <v>0.0</v>
      </c>
      <c r="E836" s="96">
        <f t="shared" si="627"/>
        <v>17.98333333</v>
      </c>
      <c r="F836" s="94">
        <v>0.0</v>
      </c>
      <c r="G836" s="85">
        <v>75.0</v>
      </c>
      <c r="H836" s="94">
        <v>0.0</v>
      </c>
      <c r="I836" s="85">
        <v>83.0</v>
      </c>
      <c r="J836" s="95">
        <f t="shared" si="628"/>
        <v>-8</v>
      </c>
      <c r="K836" s="87">
        <f t="shared" si="629"/>
        <v>0.9036144578</v>
      </c>
      <c r="L836" s="85">
        <v>13.0</v>
      </c>
      <c r="M836" s="85">
        <v>93.0</v>
      </c>
      <c r="N836" s="85">
        <v>1.0</v>
      </c>
      <c r="O836" s="110">
        <f t="shared" si="630"/>
        <v>17.98333333</v>
      </c>
      <c r="P836" s="85">
        <v>2.0</v>
      </c>
      <c r="Q836" s="85">
        <v>4.0</v>
      </c>
      <c r="R836" s="85">
        <v>6.0</v>
      </c>
      <c r="S836" s="85">
        <v>3.0</v>
      </c>
      <c r="T836" s="85">
        <v>11.0</v>
      </c>
      <c r="U836" s="94">
        <v>0.0</v>
      </c>
      <c r="V836" s="94">
        <v>0.0</v>
      </c>
      <c r="W836" s="94">
        <v>0.0</v>
      </c>
      <c r="X836" s="94">
        <v>0.0</v>
      </c>
      <c r="Y836" s="94">
        <v>0.0</v>
      </c>
      <c r="Z836" s="94">
        <v>0.0</v>
      </c>
      <c r="AA836" s="94">
        <v>0.0</v>
      </c>
      <c r="AB836" s="94">
        <v>0.0</v>
      </c>
      <c r="AC836" s="94">
        <v>0.0</v>
      </c>
      <c r="AD836" s="94">
        <v>0.0</v>
      </c>
      <c r="AE836" s="94">
        <v>0.0</v>
      </c>
      <c r="AF836" s="94">
        <v>0.0</v>
      </c>
      <c r="AG836" s="94">
        <v>0.0</v>
      </c>
      <c r="AH836" s="94">
        <v>0.0</v>
      </c>
    </row>
    <row r="837" hidden="1">
      <c r="A837" s="109" t="s">
        <v>49</v>
      </c>
      <c r="B837" s="93" t="s">
        <v>202</v>
      </c>
      <c r="C837" s="94">
        <v>0.0</v>
      </c>
      <c r="D837" s="94">
        <v>0.0</v>
      </c>
      <c r="E837" s="96">
        <f t="shared" si="627"/>
        <v>0</v>
      </c>
      <c r="F837" s="94">
        <v>0.0</v>
      </c>
      <c r="G837" s="94">
        <v>0.0</v>
      </c>
      <c r="H837" s="94">
        <v>0.0</v>
      </c>
      <c r="I837" s="94">
        <v>0.0</v>
      </c>
      <c r="J837" s="95">
        <f t="shared" si="628"/>
        <v>0</v>
      </c>
      <c r="K837" s="87" t="str">
        <f t="shared" si="629"/>
        <v>#DIV/0!</v>
      </c>
      <c r="L837" s="94">
        <v>0.0</v>
      </c>
      <c r="M837" s="94">
        <v>0.0</v>
      </c>
      <c r="N837" s="85">
        <v>0.0</v>
      </c>
      <c r="O837" s="110">
        <f t="shared" si="630"/>
        <v>0</v>
      </c>
      <c r="P837" s="94">
        <v>0.0</v>
      </c>
      <c r="Q837" s="94">
        <v>0.0</v>
      </c>
      <c r="R837" s="94">
        <v>0.0</v>
      </c>
      <c r="S837" s="94">
        <v>0.0</v>
      </c>
      <c r="T837" s="94">
        <v>0.0</v>
      </c>
      <c r="U837" s="94">
        <v>0.0</v>
      </c>
      <c r="V837" s="94">
        <v>0.0</v>
      </c>
      <c r="W837" s="94">
        <v>0.0</v>
      </c>
      <c r="X837" s="94">
        <v>0.0</v>
      </c>
      <c r="Y837" s="94">
        <v>0.0</v>
      </c>
      <c r="Z837" s="94">
        <v>0.0</v>
      </c>
      <c r="AA837" s="94">
        <v>0.0</v>
      </c>
      <c r="AB837" s="94">
        <v>0.0</v>
      </c>
      <c r="AC837" s="94">
        <v>0.0</v>
      </c>
      <c r="AD837" s="94">
        <v>0.0</v>
      </c>
      <c r="AE837" s="94">
        <v>0.0</v>
      </c>
      <c r="AF837" s="94">
        <v>0.0</v>
      </c>
      <c r="AG837" s="94">
        <v>0.0</v>
      </c>
      <c r="AH837" s="94">
        <v>0.0</v>
      </c>
    </row>
    <row r="838" hidden="1">
      <c r="A838" s="109" t="s">
        <v>49</v>
      </c>
      <c r="B838" s="116"/>
      <c r="C838" s="94">
        <v>0.0</v>
      </c>
      <c r="D838" s="94">
        <v>0.0</v>
      </c>
      <c r="E838" s="96">
        <f t="shared" si="627"/>
        <v>0</v>
      </c>
      <c r="F838" s="94">
        <v>0.0</v>
      </c>
      <c r="G838" s="94">
        <v>0.0</v>
      </c>
      <c r="H838" s="94">
        <v>0.0</v>
      </c>
      <c r="I838" s="94">
        <v>0.0</v>
      </c>
      <c r="J838" s="95">
        <f t="shared" si="628"/>
        <v>0</v>
      </c>
      <c r="K838" s="87" t="str">
        <f t="shared" si="629"/>
        <v>#DIV/0!</v>
      </c>
      <c r="L838" s="94">
        <v>0.0</v>
      </c>
      <c r="M838" s="94">
        <v>0.0</v>
      </c>
      <c r="N838" s="85">
        <v>0.0</v>
      </c>
      <c r="O838" s="110">
        <f t="shared" si="630"/>
        <v>0</v>
      </c>
      <c r="P838" s="94">
        <v>0.0</v>
      </c>
      <c r="Q838" s="94">
        <v>0.0</v>
      </c>
      <c r="R838" s="94">
        <v>0.0</v>
      </c>
      <c r="S838" s="94">
        <v>0.0</v>
      </c>
      <c r="T838" s="94">
        <v>0.0</v>
      </c>
      <c r="U838" s="94">
        <v>0.0</v>
      </c>
      <c r="V838" s="94">
        <v>0.0</v>
      </c>
      <c r="W838" s="94">
        <v>0.0</v>
      </c>
      <c r="X838" s="94">
        <v>0.0</v>
      </c>
      <c r="Y838" s="94">
        <v>0.0</v>
      </c>
      <c r="Z838" s="94">
        <v>0.0</v>
      </c>
      <c r="AA838" s="94">
        <v>0.0</v>
      </c>
      <c r="AB838" s="94">
        <v>0.0</v>
      </c>
      <c r="AC838" s="94">
        <v>0.0</v>
      </c>
      <c r="AD838" s="94">
        <v>0.0</v>
      </c>
      <c r="AE838" s="94">
        <v>0.0</v>
      </c>
      <c r="AF838" s="94">
        <v>0.0</v>
      </c>
      <c r="AG838" s="94">
        <v>0.0</v>
      </c>
      <c r="AH838" s="94">
        <v>0.0</v>
      </c>
    </row>
    <row r="839" hidden="1">
      <c r="A839" s="89"/>
      <c r="B839" s="111"/>
      <c r="C839" s="111">
        <f t="shared" ref="C839:D839" si="631">SUM(C833:C838)/4</f>
        <v>1</v>
      </c>
      <c r="D839" s="111">
        <f t="shared" si="631"/>
        <v>0</v>
      </c>
      <c r="E839" s="91">
        <f t="shared" ref="E839:G839" si="632">SUM(E833:E838)</f>
        <v>76.06666667</v>
      </c>
      <c r="F839" s="111">
        <f t="shared" si="632"/>
        <v>1</v>
      </c>
      <c r="G839" s="111">
        <f t="shared" si="632"/>
        <v>262</v>
      </c>
      <c r="H839" s="111"/>
      <c r="I839" s="111">
        <f>SUM(I833:I838)</f>
        <v>287</v>
      </c>
      <c r="J839" s="111">
        <f t="shared" si="628"/>
        <v>-25</v>
      </c>
      <c r="K839" s="92">
        <f t="shared" si="629"/>
        <v>0.9128919861</v>
      </c>
      <c r="L839" s="111">
        <f t="shared" ref="L839:M839" si="633">SUM(L833:L838)</f>
        <v>67</v>
      </c>
      <c r="M839" s="111">
        <f t="shared" si="633"/>
        <v>317</v>
      </c>
      <c r="N839" s="111"/>
      <c r="O839" s="112"/>
      <c r="P839" s="111">
        <f t="shared" ref="P839:AH839" si="634">SUM(P833:P838)</f>
        <v>8</v>
      </c>
      <c r="Q839" s="111">
        <f t="shared" si="634"/>
        <v>7</v>
      </c>
      <c r="R839" s="111">
        <f t="shared" si="634"/>
        <v>19</v>
      </c>
      <c r="S839" s="111">
        <f t="shared" si="634"/>
        <v>9</v>
      </c>
      <c r="T839" s="111">
        <f t="shared" si="634"/>
        <v>28</v>
      </c>
      <c r="U839" s="111">
        <f t="shared" si="634"/>
        <v>2</v>
      </c>
      <c r="V839" s="111">
        <f t="shared" si="634"/>
        <v>0</v>
      </c>
      <c r="W839" s="111">
        <f t="shared" si="634"/>
        <v>0</v>
      </c>
      <c r="X839" s="111">
        <f t="shared" si="634"/>
        <v>0</v>
      </c>
      <c r="Y839" s="111">
        <f t="shared" si="634"/>
        <v>0</v>
      </c>
      <c r="Z839" s="111">
        <f t="shared" si="634"/>
        <v>0</v>
      </c>
      <c r="AA839" s="111">
        <f t="shared" si="634"/>
        <v>0</v>
      </c>
      <c r="AB839" s="111">
        <f t="shared" si="634"/>
        <v>0</v>
      </c>
      <c r="AC839" s="111">
        <f t="shared" si="634"/>
        <v>2</v>
      </c>
      <c r="AD839" s="111">
        <f t="shared" si="634"/>
        <v>0</v>
      </c>
      <c r="AE839" s="111">
        <f t="shared" si="634"/>
        <v>0</v>
      </c>
      <c r="AF839" s="111">
        <f t="shared" si="634"/>
        <v>0</v>
      </c>
      <c r="AG839" s="111">
        <f t="shared" si="634"/>
        <v>0</v>
      </c>
      <c r="AH839" s="111">
        <f t="shared" si="634"/>
        <v>0</v>
      </c>
    </row>
    <row r="840" hidden="1">
      <c r="A840" s="109" t="s">
        <v>20</v>
      </c>
      <c r="B840" s="93" t="s">
        <v>232</v>
      </c>
      <c r="C840" s="85">
        <v>1.0</v>
      </c>
      <c r="D840" s="85">
        <v>1.0</v>
      </c>
      <c r="E840" s="96">
        <f t="shared" ref="E840:E845" si="635">SUM(L840*I840)/60</f>
        <v>20</v>
      </c>
      <c r="F840" s="94">
        <v>0.0</v>
      </c>
      <c r="G840" s="85">
        <v>86.0</v>
      </c>
      <c r="H840" s="94">
        <v>0.0</v>
      </c>
      <c r="I840" s="85">
        <v>50.0</v>
      </c>
      <c r="J840" s="95">
        <f t="shared" si="628"/>
        <v>36</v>
      </c>
      <c r="K840" s="87">
        <f t="shared" si="629"/>
        <v>1.72</v>
      </c>
      <c r="L840" s="85">
        <v>24.0</v>
      </c>
      <c r="M840" s="85">
        <v>116.0</v>
      </c>
      <c r="N840" s="85">
        <v>1.0</v>
      </c>
      <c r="O840" s="110">
        <f t="shared" ref="O840:O845" si="636">(E840*N840)</f>
        <v>20</v>
      </c>
      <c r="P840" s="85">
        <v>2.0</v>
      </c>
      <c r="Q840" s="85">
        <v>1.0</v>
      </c>
      <c r="R840" s="85">
        <v>11.0</v>
      </c>
      <c r="S840" s="94">
        <v>0.0</v>
      </c>
      <c r="T840" s="85">
        <v>11.0</v>
      </c>
      <c r="U840" s="85">
        <v>2.0</v>
      </c>
      <c r="V840" s="85">
        <v>1.0</v>
      </c>
      <c r="W840" s="85">
        <v>1.0</v>
      </c>
      <c r="X840" s="94">
        <v>0.0</v>
      </c>
      <c r="Y840" s="94">
        <v>0.0</v>
      </c>
      <c r="Z840" s="94">
        <v>0.0</v>
      </c>
      <c r="AA840" s="94">
        <v>0.0</v>
      </c>
      <c r="AB840" s="94">
        <v>0.0</v>
      </c>
      <c r="AC840" s="85">
        <v>5.0</v>
      </c>
      <c r="AD840" s="94">
        <v>0.0</v>
      </c>
      <c r="AE840" s="94">
        <v>0.0</v>
      </c>
      <c r="AF840" s="94">
        <v>0.0</v>
      </c>
      <c r="AG840" s="94">
        <v>0.0</v>
      </c>
      <c r="AH840" s="94">
        <v>0.0</v>
      </c>
    </row>
    <row r="841" hidden="1">
      <c r="A841" s="109" t="s">
        <v>20</v>
      </c>
      <c r="B841" s="93" t="s">
        <v>233</v>
      </c>
      <c r="C841" s="85">
        <v>1.0</v>
      </c>
      <c r="D841" s="85">
        <v>1.0</v>
      </c>
      <c r="E841" s="96">
        <f t="shared" si="635"/>
        <v>18.41666667</v>
      </c>
      <c r="F841" s="94">
        <v>0.0</v>
      </c>
      <c r="G841" s="85">
        <v>92.0</v>
      </c>
      <c r="H841" s="85">
        <v>1.0</v>
      </c>
      <c r="I841" s="85">
        <v>85.0</v>
      </c>
      <c r="J841" s="95">
        <f t="shared" si="628"/>
        <v>7</v>
      </c>
      <c r="K841" s="87">
        <f t="shared" si="629"/>
        <v>1.082352941</v>
      </c>
      <c r="L841" s="85">
        <v>13.0</v>
      </c>
      <c r="M841" s="85">
        <v>124.0</v>
      </c>
      <c r="N841" s="85">
        <v>1.0</v>
      </c>
      <c r="O841" s="110">
        <f t="shared" si="636"/>
        <v>18.41666667</v>
      </c>
      <c r="P841" s="85">
        <v>2.0</v>
      </c>
      <c r="Q841" s="85">
        <v>1.0</v>
      </c>
      <c r="R841" s="85">
        <v>10.0</v>
      </c>
      <c r="S841" s="85">
        <v>1.0</v>
      </c>
      <c r="T841" s="85">
        <v>14.0</v>
      </c>
      <c r="U841" s="85">
        <v>3.0</v>
      </c>
      <c r="V841" s="85">
        <v>1.0</v>
      </c>
      <c r="W841" s="85">
        <v>1.0</v>
      </c>
      <c r="X841" s="94">
        <v>0.0</v>
      </c>
      <c r="Y841" s="94">
        <v>0.0</v>
      </c>
      <c r="Z841" s="94">
        <v>0.0</v>
      </c>
      <c r="AA841" s="94">
        <v>0.0</v>
      </c>
      <c r="AB841" s="94">
        <v>0.0</v>
      </c>
      <c r="AC841" s="85">
        <v>3.0</v>
      </c>
      <c r="AD841" s="94">
        <v>0.0</v>
      </c>
      <c r="AE841" s="94">
        <v>0.0</v>
      </c>
      <c r="AF841" s="94">
        <v>0.0</v>
      </c>
      <c r="AG841" s="94">
        <v>0.0</v>
      </c>
      <c r="AH841" s="94">
        <v>0.0</v>
      </c>
    </row>
    <row r="842" hidden="1">
      <c r="A842" s="109" t="s">
        <v>20</v>
      </c>
      <c r="B842" s="93" t="s">
        <v>234</v>
      </c>
      <c r="C842" s="85">
        <v>1.0</v>
      </c>
      <c r="D842" s="85">
        <v>1.0</v>
      </c>
      <c r="E842" s="96">
        <f t="shared" si="635"/>
        <v>19</v>
      </c>
      <c r="F842" s="94">
        <v>0.0</v>
      </c>
      <c r="G842" s="85">
        <v>57.0</v>
      </c>
      <c r="H842" s="94">
        <v>0.0</v>
      </c>
      <c r="I842" s="85">
        <v>76.0</v>
      </c>
      <c r="J842" s="95">
        <f t="shared" si="628"/>
        <v>-19</v>
      </c>
      <c r="K842" s="87">
        <f t="shared" si="629"/>
        <v>0.75</v>
      </c>
      <c r="L842" s="85">
        <v>15.0</v>
      </c>
      <c r="M842" s="85">
        <v>64.0</v>
      </c>
      <c r="N842" s="85">
        <v>1.0</v>
      </c>
      <c r="O842" s="110">
        <f t="shared" si="636"/>
        <v>19</v>
      </c>
      <c r="P842" s="85">
        <v>2.0</v>
      </c>
      <c r="Q842" s="85">
        <v>2.0</v>
      </c>
      <c r="R842" s="85">
        <v>1.0</v>
      </c>
      <c r="S842" s="85">
        <v>1.0</v>
      </c>
      <c r="T842" s="85">
        <v>7.0</v>
      </c>
      <c r="U842" s="85">
        <v>2.0</v>
      </c>
      <c r="V842" s="94">
        <v>0.0</v>
      </c>
      <c r="W842" s="94">
        <v>0.0</v>
      </c>
      <c r="X842" s="94">
        <v>0.0</v>
      </c>
      <c r="Y842" s="94">
        <v>0.0</v>
      </c>
      <c r="Z842" s="94">
        <v>0.0</v>
      </c>
      <c r="AA842" s="94">
        <v>0.0</v>
      </c>
      <c r="AB842" s="94">
        <v>0.0</v>
      </c>
      <c r="AC842" s="85">
        <v>1.0</v>
      </c>
      <c r="AD842" s="94">
        <v>0.0</v>
      </c>
      <c r="AE842" s="94">
        <v>0.0</v>
      </c>
      <c r="AF842" s="94">
        <v>0.0</v>
      </c>
      <c r="AG842" s="94">
        <v>0.0</v>
      </c>
      <c r="AH842" s="94">
        <v>0.0</v>
      </c>
    </row>
    <row r="843" hidden="1">
      <c r="A843" s="109" t="s">
        <v>20</v>
      </c>
      <c r="B843" s="93" t="s">
        <v>235</v>
      </c>
      <c r="C843" s="85">
        <v>1.0</v>
      </c>
      <c r="D843" s="85">
        <v>1.0</v>
      </c>
      <c r="E843" s="96">
        <f t="shared" si="635"/>
        <v>20</v>
      </c>
      <c r="F843" s="85">
        <v>5.0</v>
      </c>
      <c r="G843" s="85">
        <v>45.0</v>
      </c>
      <c r="H843" s="85">
        <v>1.0</v>
      </c>
      <c r="I843" s="85">
        <v>60.0</v>
      </c>
      <c r="J843" s="95">
        <f t="shared" si="628"/>
        <v>-15</v>
      </c>
      <c r="K843" s="87">
        <f t="shared" si="629"/>
        <v>0.75</v>
      </c>
      <c r="L843" s="85">
        <v>20.0</v>
      </c>
      <c r="M843" s="85">
        <v>58.0</v>
      </c>
      <c r="N843" s="85">
        <v>1.0</v>
      </c>
      <c r="O843" s="110">
        <f t="shared" si="636"/>
        <v>20</v>
      </c>
      <c r="P843" s="85">
        <v>2.0</v>
      </c>
      <c r="Q843" s="94">
        <v>0.0</v>
      </c>
      <c r="R843" s="85">
        <v>0.0</v>
      </c>
      <c r="S843" s="85">
        <v>0.0</v>
      </c>
      <c r="T843" s="85">
        <v>7.0</v>
      </c>
      <c r="U843" s="94">
        <v>0.0</v>
      </c>
      <c r="V843" s="94">
        <v>0.0</v>
      </c>
      <c r="W843" s="94">
        <v>0.0</v>
      </c>
      <c r="X843" s="94">
        <v>0.0</v>
      </c>
      <c r="Y843" s="94">
        <v>0.0</v>
      </c>
      <c r="Z843" s="94">
        <v>0.0</v>
      </c>
      <c r="AA843" s="94">
        <v>0.0</v>
      </c>
      <c r="AB843" s="94">
        <v>0.0</v>
      </c>
      <c r="AC843" s="94">
        <v>0.0</v>
      </c>
      <c r="AD843" s="94">
        <v>0.0</v>
      </c>
      <c r="AE843" s="94">
        <v>0.0</v>
      </c>
      <c r="AF843" s="94">
        <v>0.0</v>
      </c>
      <c r="AG843" s="94">
        <v>0.0</v>
      </c>
      <c r="AH843" s="94">
        <v>0.0</v>
      </c>
    </row>
    <row r="844" hidden="1">
      <c r="A844" s="109" t="s">
        <v>20</v>
      </c>
      <c r="B844" s="93" t="s">
        <v>236</v>
      </c>
      <c r="C844" s="94">
        <v>0.0</v>
      </c>
      <c r="D844" s="94">
        <v>0.0</v>
      </c>
      <c r="E844" s="96">
        <f t="shared" si="635"/>
        <v>0</v>
      </c>
      <c r="F844" s="94">
        <v>0.0</v>
      </c>
      <c r="G844" s="94">
        <v>0.0</v>
      </c>
      <c r="H844" s="94">
        <v>0.0</v>
      </c>
      <c r="I844" s="94">
        <v>0.0</v>
      </c>
      <c r="J844" s="95">
        <f t="shared" si="628"/>
        <v>0</v>
      </c>
      <c r="K844" s="87" t="str">
        <f t="shared" si="629"/>
        <v>#DIV/0!</v>
      </c>
      <c r="L844" s="94">
        <v>0.0</v>
      </c>
      <c r="M844" s="94">
        <v>0.0</v>
      </c>
      <c r="N844" s="85">
        <v>0.0</v>
      </c>
      <c r="O844" s="110">
        <f t="shared" si="636"/>
        <v>0</v>
      </c>
      <c r="P844" s="94">
        <v>0.0</v>
      </c>
      <c r="Q844" s="94">
        <v>0.0</v>
      </c>
      <c r="R844" s="94">
        <v>0.0</v>
      </c>
      <c r="S844" s="94">
        <v>0.0</v>
      </c>
      <c r="T844" s="94">
        <v>0.0</v>
      </c>
      <c r="U844" s="94">
        <v>0.0</v>
      </c>
      <c r="V844" s="94">
        <v>0.0</v>
      </c>
      <c r="W844" s="94">
        <v>0.0</v>
      </c>
      <c r="X844" s="94">
        <v>0.0</v>
      </c>
      <c r="Y844" s="94">
        <v>0.0</v>
      </c>
      <c r="Z844" s="94">
        <v>0.0</v>
      </c>
      <c r="AA844" s="94">
        <v>0.0</v>
      </c>
      <c r="AB844" s="94">
        <v>0.0</v>
      </c>
      <c r="AC844" s="94">
        <v>0.0</v>
      </c>
      <c r="AD844" s="94">
        <v>0.0</v>
      </c>
      <c r="AE844" s="94">
        <v>0.0</v>
      </c>
      <c r="AF844" s="94">
        <v>0.0</v>
      </c>
      <c r="AG844" s="94">
        <v>0.0</v>
      </c>
      <c r="AH844" s="94">
        <v>0.0</v>
      </c>
    </row>
    <row r="845" hidden="1">
      <c r="A845" s="109" t="s">
        <v>20</v>
      </c>
      <c r="B845" s="116"/>
      <c r="C845" s="94">
        <v>0.0</v>
      </c>
      <c r="D845" s="94">
        <v>0.0</v>
      </c>
      <c r="E845" s="96">
        <f t="shared" si="635"/>
        <v>0</v>
      </c>
      <c r="F845" s="94">
        <v>0.0</v>
      </c>
      <c r="G845" s="94">
        <v>0.0</v>
      </c>
      <c r="H845" s="94">
        <v>0.0</v>
      </c>
      <c r="I845" s="94">
        <v>0.0</v>
      </c>
      <c r="J845" s="95">
        <f t="shared" si="628"/>
        <v>0</v>
      </c>
      <c r="K845" s="87" t="str">
        <f t="shared" si="629"/>
        <v>#DIV/0!</v>
      </c>
      <c r="L845" s="94">
        <v>0.0</v>
      </c>
      <c r="M845" s="94">
        <v>0.0</v>
      </c>
      <c r="N845" s="85">
        <v>0.0</v>
      </c>
      <c r="O845" s="110">
        <f t="shared" si="636"/>
        <v>0</v>
      </c>
      <c r="P845" s="94">
        <v>0.0</v>
      </c>
      <c r="Q845" s="94">
        <v>0.0</v>
      </c>
      <c r="R845" s="94">
        <v>0.0</v>
      </c>
      <c r="S845" s="94">
        <v>0.0</v>
      </c>
      <c r="T845" s="94">
        <v>0.0</v>
      </c>
      <c r="U845" s="94">
        <v>0.0</v>
      </c>
      <c r="V845" s="94">
        <v>0.0</v>
      </c>
      <c r="W845" s="94">
        <v>0.0</v>
      </c>
      <c r="X845" s="94">
        <v>0.0</v>
      </c>
      <c r="Y845" s="94">
        <v>0.0</v>
      </c>
      <c r="Z845" s="94">
        <v>0.0</v>
      </c>
      <c r="AA845" s="94">
        <v>0.0</v>
      </c>
      <c r="AB845" s="94">
        <v>0.0</v>
      </c>
      <c r="AC845" s="94">
        <v>0.0</v>
      </c>
      <c r="AD845" s="94">
        <v>0.0</v>
      </c>
      <c r="AE845" s="94">
        <v>0.0</v>
      </c>
      <c r="AF845" s="94">
        <v>0.0</v>
      </c>
      <c r="AG845" s="94">
        <v>0.0</v>
      </c>
      <c r="AH845" s="94">
        <v>0.0</v>
      </c>
    </row>
    <row r="846" hidden="1">
      <c r="A846" s="89" t="s">
        <v>185</v>
      </c>
      <c r="B846" s="111"/>
      <c r="C846" s="111">
        <f>SUM(C840:C845)</f>
        <v>4</v>
      </c>
      <c r="D846" s="111">
        <f t="shared" ref="D846:E846" si="637">SUM(D840:D845)/4</f>
        <v>1</v>
      </c>
      <c r="E846" s="91">
        <f t="shared" si="637"/>
        <v>19.35416667</v>
      </c>
      <c r="F846" s="111">
        <f t="shared" ref="F846:G846" si="638">SUM(F840:F845)</f>
        <v>5</v>
      </c>
      <c r="G846" s="111">
        <f t="shared" si="638"/>
        <v>280</v>
      </c>
      <c r="H846" s="111"/>
      <c r="I846" s="111">
        <f>SUM(I840:I845)</f>
        <v>271</v>
      </c>
      <c r="J846" s="111">
        <f t="shared" si="628"/>
        <v>9</v>
      </c>
      <c r="K846" s="92">
        <f t="shared" si="629"/>
        <v>1.033210332</v>
      </c>
      <c r="L846" s="111">
        <f t="shared" ref="L846:M846" si="639">SUM(L840:L845)</f>
        <v>72</v>
      </c>
      <c r="M846" s="111">
        <f t="shared" si="639"/>
        <v>362</v>
      </c>
      <c r="N846" s="111"/>
      <c r="O846" s="112"/>
      <c r="P846" s="111">
        <f t="shared" ref="P846:AH846" si="640">SUM(P840:P845)</f>
        <v>8</v>
      </c>
      <c r="Q846" s="111">
        <f t="shared" si="640"/>
        <v>4</v>
      </c>
      <c r="R846" s="111">
        <f t="shared" si="640"/>
        <v>22</v>
      </c>
      <c r="S846" s="111">
        <f t="shared" si="640"/>
        <v>2</v>
      </c>
      <c r="T846" s="111">
        <f t="shared" si="640"/>
        <v>39</v>
      </c>
      <c r="U846" s="111">
        <f t="shared" si="640"/>
        <v>7</v>
      </c>
      <c r="V846" s="111">
        <f t="shared" si="640"/>
        <v>2</v>
      </c>
      <c r="W846" s="111">
        <f t="shared" si="640"/>
        <v>2</v>
      </c>
      <c r="X846" s="111">
        <f t="shared" si="640"/>
        <v>0</v>
      </c>
      <c r="Y846" s="111">
        <f t="shared" si="640"/>
        <v>0</v>
      </c>
      <c r="Z846" s="111">
        <f t="shared" si="640"/>
        <v>0</v>
      </c>
      <c r="AA846" s="111">
        <f t="shared" si="640"/>
        <v>0</v>
      </c>
      <c r="AB846" s="111">
        <f t="shared" si="640"/>
        <v>0</v>
      </c>
      <c r="AC846" s="111">
        <f t="shared" si="640"/>
        <v>9</v>
      </c>
      <c r="AD846" s="111">
        <f t="shared" si="640"/>
        <v>0</v>
      </c>
      <c r="AE846" s="111">
        <f t="shared" si="640"/>
        <v>0</v>
      </c>
      <c r="AF846" s="111">
        <f t="shared" si="640"/>
        <v>0</v>
      </c>
      <c r="AG846" s="111">
        <f t="shared" si="640"/>
        <v>0</v>
      </c>
      <c r="AH846" s="111">
        <f t="shared" si="640"/>
        <v>0</v>
      </c>
    </row>
    <row r="847">
      <c r="A847" s="104" t="s">
        <v>303</v>
      </c>
    </row>
    <row r="849" hidden="1">
      <c r="A849" s="105"/>
      <c r="F849" s="106" t="s">
        <v>251</v>
      </c>
      <c r="L849" s="107" t="s">
        <v>252</v>
      </c>
      <c r="N849" s="108" t="s">
        <v>253</v>
      </c>
    </row>
    <row r="850" hidden="1">
      <c r="A850" s="76" t="s">
        <v>148</v>
      </c>
      <c r="B850" s="76" t="s">
        <v>149</v>
      </c>
      <c r="C850" s="76" t="s">
        <v>150</v>
      </c>
      <c r="D850" s="76" t="s">
        <v>13</v>
      </c>
      <c r="E850" s="77" t="s">
        <v>151</v>
      </c>
      <c r="F850" s="78" t="s">
        <v>15</v>
      </c>
      <c r="G850" s="78" t="s">
        <v>152</v>
      </c>
      <c r="H850" s="78" t="s">
        <v>153</v>
      </c>
      <c r="I850" s="78" t="s">
        <v>154</v>
      </c>
      <c r="J850" s="78" t="s">
        <v>155</v>
      </c>
      <c r="K850" s="79" t="s">
        <v>156</v>
      </c>
      <c r="L850" s="80" t="s">
        <v>157</v>
      </c>
      <c r="M850" s="80" t="s">
        <v>158</v>
      </c>
      <c r="N850" s="81" t="s">
        <v>254</v>
      </c>
      <c r="O850" s="81" t="s">
        <v>151</v>
      </c>
      <c r="P850" s="81" t="s">
        <v>160</v>
      </c>
      <c r="Q850" s="81" t="s">
        <v>161</v>
      </c>
      <c r="R850" s="81" t="s">
        <v>162</v>
      </c>
      <c r="S850" s="81" t="s">
        <v>163</v>
      </c>
      <c r="T850" s="81" t="s">
        <v>164</v>
      </c>
      <c r="U850" s="81" t="s">
        <v>165</v>
      </c>
      <c r="V850" s="81" t="s">
        <v>166</v>
      </c>
      <c r="W850" s="81" t="s">
        <v>167</v>
      </c>
      <c r="X850" s="81" t="s">
        <v>168</v>
      </c>
      <c r="Y850" s="81" t="s">
        <v>169</v>
      </c>
      <c r="Z850" s="81" t="s">
        <v>170</v>
      </c>
      <c r="AA850" s="81" t="s">
        <v>171</v>
      </c>
      <c r="AB850" s="81" t="s">
        <v>172</v>
      </c>
      <c r="AC850" s="81" t="s">
        <v>173</v>
      </c>
      <c r="AD850" s="81" t="s">
        <v>174</v>
      </c>
      <c r="AE850" s="81" t="s">
        <v>175</v>
      </c>
      <c r="AF850" s="81" t="s">
        <v>176</v>
      </c>
      <c r="AG850" s="81" t="s">
        <v>177</v>
      </c>
      <c r="AH850" s="81" t="s">
        <v>178</v>
      </c>
    </row>
    <row r="851" hidden="1">
      <c r="A851" s="109" t="s">
        <v>53</v>
      </c>
      <c r="B851" s="93" t="s">
        <v>192</v>
      </c>
      <c r="C851" s="85">
        <v>1.0</v>
      </c>
      <c r="D851" s="94">
        <v>0.0</v>
      </c>
      <c r="E851" s="86">
        <v>21.0</v>
      </c>
      <c r="F851" s="85">
        <v>2.0</v>
      </c>
      <c r="G851" s="85">
        <v>42.0</v>
      </c>
      <c r="H851" s="94">
        <v>0.0</v>
      </c>
      <c r="I851" s="85">
        <v>60.0</v>
      </c>
      <c r="J851" s="95">
        <f t="shared" ref="J851:J864" si="641">SUM(G851-I851)</f>
        <v>-18</v>
      </c>
      <c r="K851" s="87">
        <f t="shared" ref="K851:K864" si="642">SUM(G851/I851)</f>
        <v>0.7</v>
      </c>
      <c r="L851" s="85">
        <v>17.0</v>
      </c>
      <c r="M851" s="85">
        <v>52.0</v>
      </c>
      <c r="N851" s="85">
        <v>1.0</v>
      </c>
      <c r="O851" s="110">
        <f t="shared" ref="O851:O856" si="643">(E851*N851)</f>
        <v>21</v>
      </c>
      <c r="P851" s="85">
        <v>3.0</v>
      </c>
      <c r="Q851" s="85">
        <v>1.0</v>
      </c>
      <c r="R851" s="94">
        <v>0.0</v>
      </c>
      <c r="S851" s="94">
        <v>0.0</v>
      </c>
      <c r="T851" s="85">
        <v>5.0</v>
      </c>
      <c r="U851" s="94">
        <v>0.0</v>
      </c>
      <c r="V851" s="94">
        <v>0.0</v>
      </c>
      <c r="W851" s="94">
        <v>0.0</v>
      </c>
      <c r="X851" s="94">
        <v>0.0</v>
      </c>
      <c r="Y851" s="94">
        <v>0.0</v>
      </c>
      <c r="Z851" s="94">
        <v>0.0</v>
      </c>
      <c r="AA851" s="94">
        <v>0.0</v>
      </c>
      <c r="AB851" s="94">
        <v>0.0</v>
      </c>
      <c r="AC851" s="94">
        <v>0.0</v>
      </c>
      <c r="AD851" s="94">
        <v>0.0</v>
      </c>
      <c r="AE851" s="94">
        <v>0.0</v>
      </c>
      <c r="AF851" s="94">
        <v>0.0</v>
      </c>
      <c r="AG851" s="94">
        <v>0.0</v>
      </c>
      <c r="AH851" s="94">
        <v>0.0</v>
      </c>
    </row>
    <row r="852" hidden="1">
      <c r="A852" s="109" t="s">
        <v>53</v>
      </c>
      <c r="B852" s="93" t="s">
        <v>193</v>
      </c>
      <c r="C852" s="85">
        <v>1.0</v>
      </c>
      <c r="D852" s="94">
        <v>0.0</v>
      </c>
      <c r="E852" s="86">
        <v>21.0</v>
      </c>
      <c r="F852" s="85">
        <v>1.0</v>
      </c>
      <c r="G852" s="85">
        <v>77.0</v>
      </c>
      <c r="H852" s="94">
        <v>0.0</v>
      </c>
      <c r="I852" s="85">
        <v>75.0</v>
      </c>
      <c r="J852" s="95">
        <f t="shared" si="641"/>
        <v>2</v>
      </c>
      <c r="K852" s="87">
        <f t="shared" si="642"/>
        <v>1.026666667</v>
      </c>
      <c r="L852" s="85">
        <v>13.0</v>
      </c>
      <c r="M852" s="85">
        <v>102.0</v>
      </c>
      <c r="N852" s="85">
        <v>1.0</v>
      </c>
      <c r="O852" s="110">
        <f t="shared" si="643"/>
        <v>21</v>
      </c>
      <c r="P852" s="85">
        <v>3.0</v>
      </c>
      <c r="Q852" s="85">
        <v>4.0</v>
      </c>
      <c r="R852" s="85">
        <v>6.0</v>
      </c>
      <c r="S852" s="94">
        <v>0.0</v>
      </c>
      <c r="T852" s="85">
        <v>13.0</v>
      </c>
      <c r="U852" s="85">
        <v>2.0</v>
      </c>
      <c r="V852" s="94">
        <v>0.0</v>
      </c>
      <c r="W852" s="94">
        <v>0.0</v>
      </c>
      <c r="X852" s="94">
        <v>0.0</v>
      </c>
      <c r="Y852" s="94">
        <v>0.0</v>
      </c>
      <c r="Z852" s="94">
        <v>0.0</v>
      </c>
      <c r="AA852" s="94">
        <v>0.0</v>
      </c>
      <c r="AB852" s="94">
        <v>0.0</v>
      </c>
      <c r="AC852" s="85">
        <v>3.0</v>
      </c>
      <c r="AD852" s="94">
        <v>0.0</v>
      </c>
      <c r="AE852" s="94">
        <v>0.0</v>
      </c>
      <c r="AF852" s="94">
        <v>0.0</v>
      </c>
      <c r="AG852" s="94">
        <v>0.0</v>
      </c>
      <c r="AH852" s="94">
        <v>0.0</v>
      </c>
    </row>
    <row r="853" hidden="1">
      <c r="A853" s="109" t="s">
        <v>53</v>
      </c>
      <c r="B853" s="93" t="s">
        <v>194</v>
      </c>
      <c r="C853" s="85">
        <v>1.0</v>
      </c>
      <c r="D853" s="94">
        <v>0.0</v>
      </c>
      <c r="E853" s="86">
        <v>21.0</v>
      </c>
      <c r="F853" s="94">
        <v>0.0</v>
      </c>
      <c r="G853" s="85">
        <v>90.0</v>
      </c>
      <c r="H853" s="85">
        <v>1.0</v>
      </c>
      <c r="I853" s="85">
        <v>82.0</v>
      </c>
      <c r="J853" s="95">
        <f t="shared" si="641"/>
        <v>8</v>
      </c>
      <c r="K853" s="87">
        <f t="shared" si="642"/>
        <v>1.097560976</v>
      </c>
      <c r="L853" s="85">
        <v>12.0</v>
      </c>
      <c r="M853" s="85">
        <v>122.0</v>
      </c>
      <c r="N853" s="85">
        <v>1.0</v>
      </c>
      <c r="O853" s="110">
        <f t="shared" si="643"/>
        <v>21</v>
      </c>
      <c r="P853" s="85">
        <v>3.0</v>
      </c>
      <c r="Q853" s="85">
        <v>4.0</v>
      </c>
      <c r="R853" s="85">
        <v>7.0</v>
      </c>
      <c r="S853" s="85">
        <v>1.0</v>
      </c>
      <c r="T853" s="85">
        <v>17.0</v>
      </c>
      <c r="U853" s="85">
        <v>2.0</v>
      </c>
      <c r="V853" s="85">
        <v>1.0</v>
      </c>
      <c r="W853" s="94">
        <v>0.0</v>
      </c>
      <c r="X853" s="94">
        <v>0.0</v>
      </c>
      <c r="Y853" s="94">
        <v>0.0</v>
      </c>
      <c r="Z853" s="94">
        <v>0.0</v>
      </c>
      <c r="AA853" s="94">
        <v>0.0</v>
      </c>
      <c r="AB853" s="94">
        <v>0.0</v>
      </c>
      <c r="AC853" s="85">
        <v>3.0</v>
      </c>
      <c r="AD853" s="94">
        <v>0.0</v>
      </c>
      <c r="AE853" s="94">
        <v>0.0</v>
      </c>
      <c r="AF853" s="94">
        <v>0.0</v>
      </c>
      <c r="AG853" s="94">
        <v>0.0</v>
      </c>
      <c r="AH853" s="85">
        <v>2.0</v>
      </c>
    </row>
    <row r="854" hidden="1">
      <c r="A854" s="109" t="s">
        <v>53</v>
      </c>
      <c r="B854" s="93" t="s">
        <v>195</v>
      </c>
      <c r="C854" s="85">
        <v>1.0</v>
      </c>
      <c r="D854" s="94">
        <v>0.0</v>
      </c>
      <c r="E854" s="86">
        <v>21.0</v>
      </c>
      <c r="F854" s="94">
        <v>0.0</v>
      </c>
      <c r="G854" s="85">
        <v>69.0</v>
      </c>
      <c r="H854" s="85">
        <v>1.0</v>
      </c>
      <c r="I854" s="85">
        <v>62.0</v>
      </c>
      <c r="J854" s="95">
        <f t="shared" si="641"/>
        <v>7</v>
      </c>
      <c r="K854" s="87">
        <f t="shared" si="642"/>
        <v>1.112903226</v>
      </c>
      <c r="L854" s="85">
        <v>17.0</v>
      </c>
      <c r="M854" s="85">
        <v>90.0</v>
      </c>
      <c r="N854" s="85">
        <v>1.0</v>
      </c>
      <c r="O854" s="110">
        <f t="shared" si="643"/>
        <v>21</v>
      </c>
      <c r="P854" s="85">
        <v>1.0</v>
      </c>
      <c r="Q854" s="94">
        <v>0.0</v>
      </c>
      <c r="R854" s="85">
        <v>11.0</v>
      </c>
      <c r="S854" s="94">
        <v>0.0</v>
      </c>
      <c r="T854" s="85">
        <v>10.0</v>
      </c>
      <c r="U854" s="85">
        <v>2.0</v>
      </c>
      <c r="V854" s="85">
        <v>1.0</v>
      </c>
      <c r="W854" s="85">
        <v>1.0</v>
      </c>
      <c r="X854" s="94">
        <v>0.0</v>
      </c>
      <c r="Y854" s="94">
        <v>0.0</v>
      </c>
      <c r="Z854" s="94">
        <v>0.0</v>
      </c>
      <c r="AA854" s="94">
        <v>0.0</v>
      </c>
      <c r="AB854" s="94">
        <v>0.0</v>
      </c>
      <c r="AC854" s="85">
        <v>1.0</v>
      </c>
      <c r="AD854" s="94">
        <v>0.0</v>
      </c>
      <c r="AE854" s="94">
        <v>0.0</v>
      </c>
      <c r="AF854" s="94">
        <v>0.0</v>
      </c>
      <c r="AG854" s="94">
        <v>0.0</v>
      </c>
      <c r="AH854" s="94">
        <v>0.0</v>
      </c>
    </row>
    <row r="855" hidden="1">
      <c r="A855" s="109" t="s">
        <v>53</v>
      </c>
      <c r="B855" s="93" t="s">
        <v>196</v>
      </c>
      <c r="C855" s="94">
        <v>0.0</v>
      </c>
      <c r="D855" s="94">
        <v>0.0</v>
      </c>
      <c r="E855" s="96">
        <f t="shared" ref="E855:E856" si="644">SUM(L855*I855)/60</f>
        <v>0</v>
      </c>
      <c r="F855" s="94">
        <v>0.0</v>
      </c>
      <c r="G855" s="94">
        <v>0.0</v>
      </c>
      <c r="H855" s="94">
        <v>0.0</v>
      </c>
      <c r="I855" s="94">
        <v>0.0</v>
      </c>
      <c r="J855" s="95">
        <f t="shared" si="641"/>
        <v>0</v>
      </c>
      <c r="K855" s="87" t="str">
        <f t="shared" si="642"/>
        <v>#DIV/0!</v>
      </c>
      <c r="L855" s="94">
        <v>0.0</v>
      </c>
      <c r="M855" s="94">
        <v>0.0</v>
      </c>
      <c r="N855" s="85">
        <v>0.0</v>
      </c>
      <c r="O855" s="110">
        <f t="shared" si="643"/>
        <v>0</v>
      </c>
      <c r="P855" s="94">
        <v>0.0</v>
      </c>
      <c r="Q855" s="94">
        <v>0.0</v>
      </c>
      <c r="R855" s="94">
        <v>0.0</v>
      </c>
      <c r="S855" s="94">
        <v>0.0</v>
      </c>
      <c r="T855" s="94">
        <v>0.0</v>
      </c>
      <c r="U855" s="94">
        <v>0.0</v>
      </c>
      <c r="V855" s="94">
        <v>0.0</v>
      </c>
      <c r="W855" s="94">
        <v>0.0</v>
      </c>
      <c r="X855" s="94">
        <v>0.0</v>
      </c>
      <c r="Y855" s="94">
        <v>0.0</v>
      </c>
      <c r="Z855" s="94">
        <v>0.0</v>
      </c>
      <c r="AA855" s="94">
        <v>0.0</v>
      </c>
      <c r="AB855" s="94">
        <v>0.0</v>
      </c>
      <c r="AC855" s="94">
        <v>0.0</v>
      </c>
      <c r="AD855" s="94">
        <v>0.0</v>
      </c>
      <c r="AE855" s="94">
        <v>0.0</v>
      </c>
      <c r="AF855" s="94">
        <v>0.0</v>
      </c>
      <c r="AG855" s="94">
        <v>0.0</v>
      </c>
      <c r="AH855" s="94">
        <v>0.0</v>
      </c>
    </row>
    <row r="856" hidden="1">
      <c r="A856" s="109" t="s">
        <v>53</v>
      </c>
      <c r="B856" s="116"/>
      <c r="C856" s="94">
        <v>0.0</v>
      </c>
      <c r="D856" s="94">
        <v>0.0</v>
      </c>
      <c r="E856" s="96">
        <f t="shared" si="644"/>
        <v>0</v>
      </c>
      <c r="F856" s="94">
        <v>0.0</v>
      </c>
      <c r="G856" s="94">
        <v>0.0</v>
      </c>
      <c r="H856" s="94">
        <v>0.0</v>
      </c>
      <c r="I856" s="94">
        <v>0.0</v>
      </c>
      <c r="J856" s="95">
        <f t="shared" si="641"/>
        <v>0</v>
      </c>
      <c r="K856" s="87" t="str">
        <f t="shared" si="642"/>
        <v>#DIV/0!</v>
      </c>
      <c r="L856" s="94">
        <v>0.0</v>
      </c>
      <c r="M856" s="94">
        <v>0.0</v>
      </c>
      <c r="N856" s="85">
        <v>0.0</v>
      </c>
      <c r="O856" s="110">
        <f t="shared" si="643"/>
        <v>0</v>
      </c>
      <c r="P856" s="94">
        <v>0.0</v>
      </c>
      <c r="Q856" s="94">
        <v>0.0</v>
      </c>
      <c r="R856" s="94">
        <v>0.0</v>
      </c>
      <c r="S856" s="94">
        <v>0.0</v>
      </c>
      <c r="T856" s="94">
        <v>0.0</v>
      </c>
      <c r="U856" s="94">
        <v>0.0</v>
      </c>
      <c r="V856" s="94">
        <v>0.0</v>
      </c>
      <c r="W856" s="94">
        <v>0.0</v>
      </c>
      <c r="X856" s="94">
        <v>0.0</v>
      </c>
      <c r="Y856" s="94">
        <v>0.0</v>
      </c>
      <c r="Z856" s="94">
        <v>0.0</v>
      </c>
      <c r="AA856" s="94">
        <v>0.0</v>
      </c>
      <c r="AB856" s="94">
        <v>0.0</v>
      </c>
      <c r="AC856" s="94">
        <v>0.0</v>
      </c>
      <c r="AD856" s="94">
        <v>0.0</v>
      </c>
      <c r="AE856" s="94">
        <v>0.0</v>
      </c>
      <c r="AF856" s="94">
        <v>0.0</v>
      </c>
      <c r="AG856" s="94">
        <v>0.0</v>
      </c>
      <c r="AH856" s="94">
        <v>0.0</v>
      </c>
    </row>
    <row r="857" hidden="1">
      <c r="A857" s="89"/>
      <c r="B857" s="111"/>
      <c r="C857" s="111">
        <f t="shared" ref="C857:D857" si="645">SUM(C851:C856)/4</f>
        <v>1</v>
      </c>
      <c r="D857" s="111">
        <f t="shared" si="645"/>
        <v>0</v>
      </c>
      <c r="E857" s="91">
        <f t="shared" ref="E857:G857" si="646">SUM(E851:E856)</f>
        <v>84</v>
      </c>
      <c r="F857" s="111">
        <f t="shared" si="646"/>
        <v>3</v>
      </c>
      <c r="G857" s="111">
        <f t="shared" si="646"/>
        <v>278</v>
      </c>
      <c r="H857" s="111"/>
      <c r="I857" s="111">
        <f>SUM(I851:I856)</f>
        <v>279</v>
      </c>
      <c r="J857" s="111">
        <f t="shared" si="641"/>
        <v>-1</v>
      </c>
      <c r="K857" s="92">
        <f t="shared" si="642"/>
        <v>0.9964157706</v>
      </c>
      <c r="L857" s="111">
        <f t="shared" ref="L857:M857" si="647">SUM(L851:L856)</f>
        <v>59</v>
      </c>
      <c r="M857" s="111">
        <f t="shared" si="647"/>
        <v>366</v>
      </c>
      <c r="N857" s="111"/>
      <c r="O857" s="112"/>
      <c r="P857" s="111">
        <f t="shared" ref="P857:AH857" si="648">SUM(P851:P856)</f>
        <v>10</v>
      </c>
      <c r="Q857" s="111">
        <f t="shared" si="648"/>
        <v>9</v>
      </c>
      <c r="R857" s="111">
        <f t="shared" si="648"/>
        <v>24</v>
      </c>
      <c r="S857" s="111">
        <f t="shared" si="648"/>
        <v>1</v>
      </c>
      <c r="T857" s="111">
        <f t="shared" si="648"/>
        <v>45</v>
      </c>
      <c r="U857" s="111">
        <f t="shared" si="648"/>
        <v>6</v>
      </c>
      <c r="V857" s="111">
        <f t="shared" si="648"/>
        <v>2</v>
      </c>
      <c r="W857" s="111">
        <f t="shared" si="648"/>
        <v>1</v>
      </c>
      <c r="X857" s="111">
        <f t="shared" si="648"/>
        <v>0</v>
      </c>
      <c r="Y857" s="111">
        <f t="shared" si="648"/>
        <v>0</v>
      </c>
      <c r="Z857" s="111">
        <f t="shared" si="648"/>
        <v>0</v>
      </c>
      <c r="AA857" s="111">
        <f t="shared" si="648"/>
        <v>0</v>
      </c>
      <c r="AB857" s="111">
        <f t="shared" si="648"/>
        <v>0</v>
      </c>
      <c r="AC857" s="111">
        <f t="shared" si="648"/>
        <v>7</v>
      </c>
      <c r="AD857" s="111">
        <f t="shared" si="648"/>
        <v>0</v>
      </c>
      <c r="AE857" s="111">
        <f t="shared" si="648"/>
        <v>0</v>
      </c>
      <c r="AF857" s="111">
        <f t="shared" si="648"/>
        <v>0</v>
      </c>
      <c r="AG857" s="111">
        <f t="shared" si="648"/>
        <v>0</v>
      </c>
      <c r="AH857" s="111">
        <f t="shared" si="648"/>
        <v>2</v>
      </c>
    </row>
    <row r="858" hidden="1">
      <c r="A858" s="109" t="s">
        <v>51</v>
      </c>
      <c r="B858" s="93" t="s">
        <v>222</v>
      </c>
      <c r="C858" s="85">
        <v>1.0</v>
      </c>
      <c r="D858" s="85">
        <v>1.0</v>
      </c>
      <c r="E858" s="86">
        <v>21.0</v>
      </c>
      <c r="F858" s="85">
        <v>1.0</v>
      </c>
      <c r="G858" s="85">
        <v>69.0</v>
      </c>
      <c r="H858" s="94">
        <v>0.0</v>
      </c>
      <c r="I858" s="85">
        <v>63.0</v>
      </c>
      <c r="J858" s="95">
        <f t="shared" si="641"/>
        <v>6</v>
      </c>
      <c r="K858" s="87">
        <f t="shared" si="642"/>
        <v>1.095238095</v>
      </c>
      <c r="L858" s="85">
        <v>16.0</v>
      </c>
      <c r="M858" s="85">
        <v>83.0</v>
      </c>
      <c r="N858" s="85">
        <v>1.0</v>
      </c>
      <c r="O858" s="110">
        <f t="shared" ref="O858:O863" si="649">(E858*N858)</f>
        <v>21</v>
      </c>
      <c r="P858" s="85">
        <v>2.0</v>
      </c>
      <c r="Q858" s="85">
        <v>1.0</v>
      </c>
      <c r="R858" s="85">
        <v>5.0</v>
      </c>
      <c r="S858" s="94">
        <v>0.0</v>
      </c>
      <c r="T858" s="85">
        <v>10.0</v>
      </c>
      <c r="U858" s="94">
        <v>0.0</v>
      </c>
      <c r="V858" s="94">
        <v>0.0</v>
      </c>
      <c r="W858" s="94">
        <v>0.0</v>
      </c>
      <c r="X858" s="94">
        <v>0.0</v>
      </c>
      <c r="Y858" s="94">
        <v>0.0</v>
      </c>
      <c r="Z858" s="94">
        <v>0.0</v>
      </c>
      <c r="AA858" s="94">
        <v>0.0</v>
      </c>
      <c r="AB858" s="94">
        <v>0.0</v>
      </c>
      <c r="AC858" s="94">
        <v>0.0</v>
      </c>
      <c r="AD858" s="94">
        <v>0.0</v>
      </c>
      <c r="AE858" s="94">
        <v>0.0</v>
      </c>
      <c r="AF858" s="94">
        <v>0.0</v>
      </c>
      <c r="AG858" s="94">
        <v>0.0</v>
      </c>
      <c r="AH858" s="94">
        <v>0.0</v>
      </c>
    </row>
    <row r="859" hidden="1">
      <c r="A859" s="109" t="s">
        <v>51</v>
      </c>
      <c r="B859" s="93" t="s">
        <v>223</v>
      </c>
      <c r="C859" s="85">
        <v>1.0</v>
      </c>
      <c r="D859" s="85">
        <v>1.0</v>
      </c>
      <c r="E859" s="86">
        <v>21.0</v>
      </c>
      <c r="F859" s="85">
        <v>1.0</v>
      </c>
      <c r="G859" s="85">
        <v>59.0</v>
      </c>
      <c r="H859" s="94">
        <v>0.0</v>
      </c>
      <c r="I859" s="85">
        <v>68.0</v>
      </c>
      <c r="J859" s="95">
        <f t="shared" si="641"/>
        <v>-9</v>
      </c>
      <c r="K859" s="87">
        <f t="shared" si="642"/>
        <v>0.8676470588</v>
      </c>
      <c r="L859" s="85">
        <v>15.0</v>
      </c>
      <c r="M859" s="85">
        <v>71.0</v>
      </c>
      <c r="N859" s="85">
        <v>1.0</v>
      </c>
      <c r="O859" s="110">
        <f t="shared" si="649"/>
        <v>21</v>
      </c>
      <c r="P859" s="85">
        <v>5.0</v>
      </c>
      <c r="Q859" s="85">
        <v>2.0</v>
      </c>
      <c r="R859" s="85">
        <v>6.0</v>
      </c>
      <c r="S859" s="85">
        <v>3.0</v>
      </c>
      <c r="T859" s="85">
        <v>4.0</v>
      </c>
      <c r="U859" s="94">
        <v>0.0</v>
      </c>
      <c r="V859" s="94">
        <v>0.0</v>
      </c>
      <c r="W859" s="94">
        <v>0.0</v>
      </c>
      <c r="X859" s="94">
        <v>0.0</v>
      </c>
      <c r="Y859" s="94">
        <v>0.0</v>
      </c>
      <c r="Z859" s="94">
        <v>0.0</v>
      </c>
      <c r="AA859" s="94">
        <v>0.0</v>
      </c>
      <c r="AB859" s="94">
        <v>0.0</v>
      </c>
      <c r="AC859" s="94">
        <v>0.0</v>
      </c>
      <c r="AD859" s="94">
        <v>0.0</v>
      </c>
      <c r="AE859" s="94">
        <v>0.0</v>
      </c>
      <c r="AF859" s="94">
        <v>0.0</v>
      </c>
      <c r="AG859" s="94">
        <v>0.0</v>
      </c>
      <c r="AH859" s="94">
        <v>0.0</v>
      </c>
    </row>
    <row r="860" hidden="1">
      <c r="A860" s="109" t="s">
        <v>51</v>
      </c>
      <c r="B860" s="93" t="s">
        <v>224</v>
      </c>
      <c r="C860" s="85">
        <v>1.0</v>
      </c>
      <c r="D860" s="85">
        <v>1.0</v>
      </c>
      <c r="E860" s="86">
        <v>21.0</v>
      </c>
      <c r="F860" s="94">
        <v>0.0</v>
      </c>
      <c r="G860" s="85">
        <v>94.0</v>
      </c>
      <c r="H860" s="94">
        <v>0.0</v>
      </c>
      <c r="I860" s="85">
        <v>90.0</v>
      </c>
      <c r="J860" s="95">
        <f t="shared" si="641"/>
        <v>4</v>
      </c>
      <c r="K860" s="87">
        <f t="shared" si="642"/>
        <v>1.044444444</v>
      </c>
      <c r="L860" s="85">
        <v>10.0</v>
      </c>
      <c r="M860" s="85">
        <v>126.0</v>
      </c>
      <c r="N860" s="85">
        <v>1.0</v>
      </c>
      <c r="O860" s="110">
        <f t="shared" si="649"/>
        <v>21</v>
      </c>
      <c r="P860" s="85">
        <v>2.0</v>
      </c>
      <c r="Q860" s="85">
        <v>3.0</v>
      </c>
      <c r="R860" s="85">
        <v>11.0</v>
      </c>
      <c r="S860" s="85">
        <v>2.0</v>
      </c>
      <c r="T860" s="85">
        <v>19.0</v>
      </c>
      <c r="U860" s="85">
        <v>5.0</v>
      </c>
      <c r="V860" s="85">
        <v>1.0</v>
      </c>
      <c r="W860" s="94">
        <v>0.0</v>
      </c>
      <c r="X860" s="94">
        <v>0.0</v>
      </c>
      <c r="Y860" s="94">
        <v>0.0</v>
      </c>
      <c r="Z860" s="94">
        <v>0.0</v>
      </c>
      <c r="AA860" s="94">
        <v>0.0</v>
      </c>
      <c r="AB860" s="94">
        <v>0.0</v>
      </c>
      <c r="AC860" s="85">
        <v>1.0</v>
      </c>
      <c r="AD860" s="94">
        <v>0.0</v>
      </c>
      <c r="AE860" s="94">
        <v>0.0</v>
      </c>
      <c r="AF860" s="94">
        <v>0.0</v>
      </c>
      <c r="AG860" s="94">
        <v>0.0</v>
      </c>
      <c r="AH860" s="94">
        <v>0.0</v>
      </c>
    </row>
    <row r="861" hidden="1">
      <c r="A861" s="109" t="s">
        <v>51</v>
      </c>
      <c r="B861" s="93" t="s">
        <v>225</v>
      </c>
      <c r="C861" s="85">
        <v>1.0</v>
      </c>
      <c r="D861" s="85">
        <v>1.0</v>
      </c>
      <c r="E861" s="86">
        <v>21.0</v>
      </c>
      <c r="F861" s="85">
        <v>3.0</v>
      </c>
      <c r="G861" s="85">
        <v>48.0</v>
      </c>
      <c r="H861" s="94">
        <v>0.0</v>
      </c>
      <c r="I861" s="85">
        <v>63.0</v>
      </c>
      <c r="J861" s="95">
        <f t="shared" si="641"/>
        <v>-15</v>
      </c>
      <c r="K861" s="87">
        <f t="shared" si="642"/>
        <v>0.7619047619</v>
      </c>
      <c r="L861" s="85">
        <v>16.0</v>
      </c>
      <c r="M861" s="85">
        <v>62.0</v>
      </c>
      <c r="N861" s="85">
        <v>1.0</v>
      </c>
      <c r="O861" s="110">
        <f t="shared" si="649"/>
        <v>21</v>
      </c>
      <c r="P861" s="85">
        <v>5.0</v>
      </c>
      <c r="Q861" s="85">
        <v>1.0</v>
      </c>
      <c r="R861" s="85">
        <v>1.0</v>
      </c>
      <c r="S861" s="85">
        <v>1.0</v>
      </c>
      <c r="T861" s="85">
        <v>5.0</v>
      </c>
      <c r="U861" s="94">
        <v>0.0</v>
      </c>
      <c r="V861" s="94">
        <v>0.0</v>
      </c>
      <c r="W861" s="94">
        <v>0.0</v>
      </c>
      <c r="X861" s="94">
        <v>0.0</v>
      </c>
      <c r="Y861" s="94">
        <v>0.0</v>
      </c>
      <c r="Z861" s="94">
        <v>0.0</v>
      </c>
      <c r="AA861" s="94">
        <v>0.0</v>
      </c>
      <c r="AB861" s="94">
        <v>0.0</v>
      </c>
      <c r="AC861" s="94">
        <v>0.0</v>
      </c>
      <c r="AD861" s="94">
        <v>0.0</v>
      </c>
      <c r="AE861" s="94">
        <v>0.0</v>
      </c>
      <c r="AF861" s="94">
        <v>0.0</v>
      </c>
      <c r="AG861" s="94">
        <v>0.0</v>
      </c>
      <c r="AH861" s="94">
        <v>0.0</v>
      </c>
    </row>
    <row r="862" hidden="1">
      <c r="A862" s="109" t="s">
        <v>51</v>
      </c>
      <c r="B862" s="93" t="s">
        <v>226</v>
      </c>
      <c r="C862" s="94">
        <v>0.0</v>
      </c>
      <c r="D862" s="94">
        <v>0.0</v>
      </c>
      <c r="E862" s="96">
        <f t="shared" ref="E862:E863" si="650">SUM(L862*I862)/60</f>
        <v>0</v>
      </c>
      <c r="F862" s="94">
        <v>0.0</v>
      </c>
      <c r="G862" s="94">
        <v>0.0</v>
      </c>
      <c r="H862" s="94">
        <v>0.0</v>
      </c>
      <c r="I862" s="94">
        <v>0.0</v>
      </c>
      <c r="J862" s="95">
        <f t="shared" si="641"/>
        <v>0</v>
      </c>
      <c r="K862" s="87" t="str">
        <f t="shared" si="642"/>
        <v>#DIV/0!</v>
      </c>
      <c r="L862" s="94">
        <v>0.0</v>
      </c>
      <c r="M862" s="94">
        <v>0.0</v>
      </c>
      <c r="N862" s="85">
        <v>0.0</v>
      </c>
      <c r="O862" s="110">
        <f t="shared" si="649"/>
        <v>0</v>
      </c>
      <c r="P862" s="94">
        <v>0.0</v>
      </c>
      <c r="Q862" s="94">
        <v>0.0</v>
      </c>
      <c r="R862" s="94">
        <v>0.0</v>
      </c>
      <c r="S862" s="94">
        <v>0.0</v>
      </c>
      <c r="T862" s="94">
        <v>0.0</v>
      </c>
      <c r="U862" s="94">
        <v>0.0</v>
      </c>
      <c r="V862" s="94">
        <v>0.0</v>
      </c>
      <c r="W862" s="94">
        <v>0.0</v>
      </c>
      <c r="X862" s="94">
        <v>0.0</v>
      </c>
      <c r="Y862" s="94">
        <v>0.0</v>
      </c>
      <c r="Z862" s="94">
        <v>0.0</v>
      </c>
      <c r="AA862" s="94">
        <v>0.0</v>
      </c>
      <c r="AB862" s="94">
        <v>0.0</v>
      </c>
      <c r="AC862" s="94">
        <v>0.0</v>
      </c>
      <c r="AD862" s="94">
        <v>0.0</v>
      </c>
      <c r="AE862" s="94">
        <v>0.0</v>
      </c>
      <c r="AF862" s="94">
        <v>0.0</v>
      </c>
      <c r="AG862" s="94">
        <v>0.0</v>
      </c>
      <c r="AH862" s="94">
        <v>0.0</v>
      </c>
    </row>
    <row r="863" hidden="1">
      <c r="A863" s="109" t="s">
        <v>51</v>
      </c>
      <c r="B863" s="116"/>
      <c r="C863" s="94">
        <v>0.0</v>
      </c>
      <c r="D863" s="94">
        <v>0.0</v>
      </c>
      <c r="E863" s="96">
        <f t="shared" si="650"/>
        <v>0</v>
      </c>
      <c r="F863" s="94">
        <v>0.0</v>
      </c>
      <c r="G863" s="94">
        <v>0.0</v>
      </c>
      <c r="H863" s="94">
        <v>0.0</v>
      </c>
      <c r="I863" s="94">
        <v>0.0</v>
      </c>
      <c r="J863" s="95">
        <f t="shared" si="641"/>
        <v>0</v>
      </c>
      <c r="K863" s="87" t="str">
        <f t="shared" si="642"/>
        <v>#DIV/0!</v>
      </c>
      <c r="L863" s="94">
        <v>0.0</v>
      </c>
      <c r="M863" s="94">
        <v>0.0</v>
      </c>
      <c r="N863" s="85">
        <v>0.0</v>
      </c>
      <c r="O863" s="110">
        <f t="shared" si="649"/>
        <v>0</v>
      </c>
      <c r="P863" s="94">
        <v>0.0</v>
      </c>
      <c r="Q863" s="94">
        <v>0.0</v>
      </c>
      <c r="R863" s="94">
        <v>0.0</v>
      </c>
      <c r="S863" s="94">
        <v>0.0</v>
      </c>
      <c r="T863" s="94">
        <v>0.0</v>
      </c>
      <c r="U863" s="94">
        <v>0.0</v>
      </c>
      <c r="V863" s="94">
        <v>0.0</v>
      </c>
      <c r="W863" s="94">
        <v>0.0</v>
      </c>
      <c r="X863" s="94">
        <v>0.0</v>
      </c>
      <c r="Y863" s="94">
        <v>0.0</v>
      </c>
      <c r="Z863" s="94">
        <v>0.0</v>
      </c>
      <c r="AA863" s="94">
        <v>0.0</v>
      </c>
      <c r="AB863" s="94">
        <v>0.0</v>
      </c>
      <c r="AC863" s="94">
        <v>0.0</v>
      </c>
      <c r="AD863" s="94">
        <v>0.0</v>
      </c>
      <c r="AE863" s="94">
        <v>0.0</v>
      </c>
      <c r="AF863" s="94">
        <v>0.0</v>
      </c>
      <c r="AG863" s="94">
        <v>0.0</v>
      </c>
      <c r="AH863" s="94">
        <v>0.0</v>
      </c>
    </row>
    <row r="864" hidden="1">
      <c r="A864" s="89" t="s">
        <v>185</v>
      </c>
      <c r="B864" s="111"/>
      <c r="C864" s="111">
        <f>SUM(C858:C863)</f>
        <v>4</v>
      </c>
      <c r="D864" s="111">
        <f t="shared" ref="D864:E864" si="651">SUM(D858:D863)/4</f>
        <v>1</v>
      </c>
      <c r="E864" s="91">
        <f t="shared" si="651"/>
        <v>21</v>
      </c>
      <c r="F864" s="111">
        <f t="shared" ref="F864:G864" si="652">SUM(F858:F863)</f>
        <v>5</v>
      </c>
      <c r="G864" s="111">
        <f t="shared" si="652"/>
        <v>270</v>
      </c>
      <c r="H864" s="111"/>
      <c r="I864" s="111">
        <f>SUM(I858:I863)</f>
        <v>284</v>
      </c>
      <c r="J864" s="111">
        <f t="shared" si="641"/>
        <v>-14</v>
      </c>
      <c r="K864" s="92">
        <f t="shared" si="642"/>
        <v>0.9507042254</v>
      </c>
      <c r="L864" s="111">
        <f t="shared" ref="L864:M864" si="653">SUM(L858:L863)</f>
        <v>57</v>
      </c>
      <c r="M864" s="111">
        <f t="shared" si="653"/>
        <v>342</v>
      </c>
      <c r="N864" s="111"/>
      <c r="O864" s="112"/>
      <c r="P864" s="111">
        <f t="shared" ref="P864:AH864" si="654">SUM(P858:P863)</f>
        <v>14</v>
      </c>
      <c r="Q864" s="111">
        <f t="shared" si="654"/>
        <v>7</v>
      </c>
      <c r="R864" s="111">
        <f t="shared" si="654"/>
        <v>23</v>
      </c>
      <c r="S864" s="111">
        <f t="shared" si="654"/>
        <v>6</v>
      </c>
      <c r="T864" s="111">
        <f t="shared" si="654"/>
        <v>38</v>
      </c>
      <c r="U864" s="111">
        <f t="shared" si="654"/>
        <v>5</v>
      </c>
      <c r="V864" s="111">
        <f t="shared" si="654"/>
        <v>1</v>
      </c>
      <c r="W864" s="111">
        <f t="shared" si="654"/>
        <v>0</v>
      </c>
      <c r="X864" s="111">
        <f t="shared" si="654"/>
        <v>0</v>
      </c>
      <c r="Y864" s="111">
        <f t="shared" si="654"/>
        <v>0</v>
      </c>
      <c r="Z864" s="111">
        <f t="shared" si="654"/>
        <v>0</v>
      </c>
      <c r="AA864" s="111">
        <f t="shared" si="654"/>
        <v>0</v>
      </c>
      <c r="AB864" s="111">
        <f t="shared" si="654"/>
        <v>0</v>
      </c>
      <c r="AC864" s="111">
        <f t="shared" si="654"/>
        <v>1</v>
      </c>
      <c r="AD864" s="111">
        <f t="shared" si="654"/>
        <v>0</v>
      </c>
      <c r="AE864" s="111">
        <f t="shared" si="654"/>
        <v>0</v>
      </c>
      <c r="AF864" s="111">
        <f t="shared" si="654"/>
        <v>0</v>
      </c>
      <c r="AG864" s="111">
        <f t="shared" si="654"/>
        <v>0</v>
      </c>
      <c r="AH864" s="111">
        <f t="shared" si="654"/>
        <v>0</v>
      </c>
    </row>
    <row r="865">
      <c r="A865" s="104" t="s">
        <v>304</v>
      </c>
    </row>
    <row r="867" hidden="1">
      <c r="A867" s="105"/>
      <c r="F867" s="106" t="s">
        <v>251</v>
      </c>
      <c r="L867" s="107" t="s">
        <v>252</v>
      </c>
      <c r="N867" s="108" t="s">
        <v>253</v>
      </c>
    </row>
    <row r="868" hidden="1">
      <c r="A868" s="76" t="s">
        <v>148</v>
      </c>
      <c r="B868" s="76" t="s">
        <v>149</v>
      </c>
      <c r="C868" s="76" t="s">
        <v>150</v>
      </c>
      <c r="D868" s="76" t="s">
        <v>13</v>
      </c>
      <c r="E868" s="77" t="s">
        <v>151</v>
      </c>
      <c r="F868" s="78" t="s">
        <v>15</v>
      </c>
      <c r="G868" s="78" t="s">
        <v>152</v>
      </c>
      <c r="H868" s="78" t="s">
        <v>153</v>
      </c>
      <c r="I868" s="78" t="s">
        <v>154</v>
      </c>
      <c r="J868" s="78" t="s">
        <v>155</v>
      </c>
      <c r="K868" s="79" t="s">
        <v>156</v>
      </c>
      <c r="L868" s="80" t="s">
        <v>157</v>
      </c>
      <c r="M868" s="80" t="s">
        <v>158</v>
      </c>
      <c r="N868" s="81" t="s">
        <v>254</v>
      </c>
      <c r="O868" s="81" t="s">
        <v>151</v>
      </c>
      <c r="P868" s="81" t="s">
        <v>160</v>
      </c>
      <c r="Q868" s="81" t="s">
        <v>161</v>
      </c>
      <c r="R868" s="81" t="s">
        <v>162</v>
      </c>
      <c r="S868" s="81" t="s">
        <v>163</v>
      </c>
      <c r="T868" s="81" t="s">
        <v>164</v>
      </c>
      <c r="U868" s="81" t="s">
        <v>165</v>
      </c>
      <c r="V868" s="81" t="s">
        <v>166</v>
      </c>
      <c r="W868" s="81" t="s">
        <v>167</v>
      </c>
      <c r="X868" s="81" t="s">
        <v>168</v>
      </c>
      <c r="Y868" s="81" t="s">
        <v>169</v>
      </c>
      <c r="Z868" s="81" t="s">
        <v>170</v>
      </c>
      <c r="AA868" s="81" t="s">
        <v>171</v>
      </c>
      <c r="AB868" s="81" t="s">
        <v>172</v>
      </c>
      <c r="AC868" s="81" t="s">
        <v>173</v>
      </c>
      <c r="AD868" s="81" t="s">
        <v>174</v>
      </c>
      <c r="AE868" s="81" t="s">
        <v>175</v>
      </c>
      <c r="AF868" s="81" t="s">
        <v>176</v>
      </c>
      <c r="AG868" s="81" t="s">
        <v>177</v>
      </c>
      <c r="AH868" s="81" t="s">
        <v>178</v>
      </c>
    </row>
    <row r="869" hidden="1">
      <c r="A869" s="109" t="s">
        <v>53</v>
      </c>
      <c r="B869" s="93" t="s">
        <v>192</v>
      </c>
      <c r="C869" s="85">
        <v>1.0</v>
      </c>
      <c r="D869" s="85">
        <v>1.0</v>
      </c>
      <c r="E869" s="86">
        <v>55.0</v>
      </c>
      <c r="F869" s="85">
        <v>5.0</v>
      </c>
      <c r="G869" s="85">
        <v>104.0</v>
      </c>
      <c r="H869" s="85">
        <v>3.0</v>
      </c>
      <c r="I869" s="85">
        <v>145.0</v>
      </c>
      <c r="J869" s="95">
        <f t="shared" ref="J869:J882" si="655">SUM(G869-I869)</f>
        <v>-41</v>
      </c>
      <c r="K869" s="87">
        <f t="shared" ref="K869:K882" si="656">SUM(G869/I869)</f>
        <v>0.7172413793</v>
      </c>
      <c r="L869" s="85">
        <v>19.0</v>
      </c>
      <c r="M869" s="85">
        <v>137.0</v>
      </c>
      <c r="N869" s="85">
        <v>1.0</v>
      </c>
      <c r="O869" s="110">
        <f t="shared" ref="O869:O874" si="657">(E869*N869)</f>
        <v>55</v>
      </c>
      <c r="P869" s="85">
        <v>5.0</v>
      </c>
      <c r="Q869" s="85">
        <v>7.0</v>
      </c>
      <c r="R869" s="85">
        <v>5.0</v>
      </c>
      <c r="S869" s="85">
        <v>6.0</v>
      </c>
      <c r="T869" s="85">
        <v>10.0</v>
      </c>
      <c r="U869" s="85">
        <v>2.0</v>
      </c>
      <c r="V869" s="94">
        <v>0.0</v>
      </c>
      <c r="W869" s="94">
        <v>0.0</v>
      </c>
      <c r="X869" s="94">
        <v>0.0</v>
      </c>
      <c r="Y869" s="94">
        <v>0.0</v>
      </c>
      <c r="Z869" s="94">
        <v>0.0</v>
      </c>
      <c r="AA869" s="94">
        <v>0.0</v>
      </c>
      <c r="AB869" s="94">
        <v>0.0</v>
      </c>
      <c r="AC869" s="85">
        <v>3.0</v>
      </c>
      <c r="AD869" s="94">
        <v>0.0</v>
      </c>
      <c r="AE869" s="94">
        <v>0.0</v>
      </c>
      <c r="AF869" s="94">
        <v>0.0</v>
      </c>
      <c r="AG869" s="94">
        <v>0.0</v>
      </c>
      <c r="AH869" s="94">
        <v>0.0</v>
      </c>
    </row>
    <row r="870" hidden="1">
      <c r="A870" s="109" t="s">
        <v>53</v>
      </c>
      <c r="B870" s="93" t="s">
        <v>193</v>
      </c>
      <c r="C870" s="85">
        <v>1.0</v>
      </c>
      <c r="D870" s="85">
        <v>1.0</v>
      </c>
      <c r="E870" s="86">
        <v>55.0</v>
      </c>
      <c r="F870" s="94">
        <v>0.0</v>
      </c>
      <c r="G870" s="85">
        <v>215.0</v>
      </c>
      <c r="H870" s="94">
        <v>0.0</v>
      </c>
      <c r="I870" s="85">
        <v>196.0</v>
      </c>
      <c r="J870" s="95">
        <f t="shared" si="655"/>
        <v>19</v>
      </c>
      <c r="K870" s="87">
        <f t="shared" si="656"/>
        <v>1.096938776</v>
      </c>
      <c r="L870" s="85">
        <v>13.0</v>
      </c>
      <c r="M870" s="85">
        <v>292.0</v>
      </c>
      <c r="N870" s="85">
        <v>1.0</v>
      </c>
      <c r="O870" s="110">
        <f t="shared" si="657"/>
        <v>55</v>
      </c>
      <c r="P870" s="85">
        <v>6.0</v>
      </c>
      <c r="Q870" s="85">
        <v>4.0</v>
      </c>
      <c r="R870" s="85">
        <v>22.0</v>
      </c>
      <c r="S870" s="85">
        <v>1.0</v>
      </c>
      <c r="T870" s="85">
        <v>41.0</v>
      </c>
      <c r="U870" s="85">
        <v>11.0</v>
      </c>
      <c r="V870" s="85">
        <v>3.0</v>
      </c>
      <c r="W870" s="85">
        <v>1.0</v>
      </c>
      <c r="X870" s="94">
        <v>0.0</v>
      </c>
      <c r="Y870" s="94">
        <v>0.0</v>
      </c>
      <c r="Z870" s="94">
        <v>0.0</v>
      </c>
      <c r="AA870" s="94">
        <v>0.0</v>
      </c>
      <c r="AB870" s="94">
        <v>0.0</v>
      </c>
      <c r="AC870" s="85">
        <v>7.0</v>
      </c>
      <c r="AD870" s="94">
        <v>0.0</v>
      </c>
      <c r="AE870" s="94">
        <v>0.0</v>
      </c>
      <c r="AF870" s="94">
        <v>0.0</v>
      </c>
      <c r="AG870" s="94">
        <v>0.0</v>
      </c>
      <c r="AH870" s="94">
        <v>0.0</v>
      </c>
    </row>
    <row r="871" hidden="1">
      <c r="A871" s="109" t="s">
        <v>53</v>
      </c>
      <c r="B871" s="93" t="s">
        <v>194</v>
      </c>
      <c r="C871" s="85">
        <v>1.0</v>
      </c>
      <c r="D871" s="85">
        <v>1.0</v>
      </c>
      <c r="E871" s="86">
        <v>55.0</v>
      </c>
      <c r="F871" s="94">
        <v>0.0</v>
      </c>
      <c r="G871" s="85">
        <v>256.0</v>
      </c>
      <c r="H871" s="85">
        <v>0.0</v>
      </c>
      <c r="I871" s="85">
        <v>186.0</v>
      </c>
      <c r="J871" s="95">
        <f t="shared" si="655"/>
        <v>70</v>
      </c>
      <c r="K871" s="87">
        <f t="shared" si="656"/>
        <v>1.376344086</v>
      </c>
      <c r="L871" s="85">
        <v>14.0</v>
      </c>
      <c r="M871" s="85">
        <v>356.0</v>
      </c>
      <c r="N871" s="85">
        <v>1.0</v>
      </c>
      <c r="O871" s="110">
        <f t="shared" si="657"/>
        <v>55</v>
      </c>
      <c r="P871" s="85">
        <v>4.0</v>
      </c>
      <c r="Q871" s="85">
        <v>10.0</v>
      </c>
      <c r="R871" s="85">
        <v>32.0</v>
      </c>
      <c r="S871" s="85">
        <v>3.0</v>
      </c>
      <c r="T871" s="85">
        <v>42.0</v>
      </c>
      <c r="U871" s="85">
        <v>9.0</v>
      </c>
      <c r="V871" s="85">
        <v>2.0</v>
      </c>
      <c r="W871" s="85">
        <v>1.0</v>
      </c>
      <c r="X871" s="94">
        <v>0.0</v>
      </c>
      <c r="Y871" s="94">
        <v>0.0</v>
      </c>
      <c r="Z871" s="94">
        <v>0.0</v>
      </c>
      <c r="AA871" s="94">
        <v>0.0</v>
      </c>
      <c r="AB871" s="85">
        <v>0.0</v>
      </c>
      <c r="AC871" s="85">
        <v>9.0</v>
      </c>
      <c r="AD871" s="85">
        <v>1.0</v>
      </c>
      <c r="AE871" s="94">
        <v>0.0</v>
      </c>
      <c r="AF871" s="94">
        <v>0.0</v>
      </c>
      <c r="AG871" s="94">
        <v>0.0</v>
      </c>
      <c r="AH871" s="85">
        <v>1.0</v>
      </c>
    </row>
    <row r="872" hidden="1">
      <c r="A872" s="109" t="s">
        <v>53</v>
      </c>
      <c r="B872" s="93" t="s">
        <v>195</v>
      </c>
      <c r="C872" s="85">
        <v>1.0</v>
      </c>
      <c r="D872" s="85">
        <v>1.0</v>
      </c>
      <c r="E872" s="86">
        <v>55.0</v>
      </c>
      <c r="F872" s="94">
        <v>0.0</v>
      </c>
      <c r="G872" s="85">
        <v>162.0</v>
      </c>
      <c r="H872" s="94">
        <v>0.0</v>
      </c>
      <c r="I872" s="85">
        <v>144.0</v>
      </c>
      <c r="J872" s="95">
        <f t="shared" si="655"/>
        <v>18</v>
      </c>
      <c r="K872" s="87">
        <f t="shared" si="656"/>
        <v>1.125</v>
      </c>
      <c r="L872" s="85">
        <v>19.0</v>
      </c>
      <c r="M872" s="85">
        <v>207.0</v>
      </c>
      <c r="N872" s="85">
        <v>1.0</v>
      </c>
      <c r="O872" s="110">
        <f t="shared" si="657"/>
        <v>55</v>
      </c>
      <c r="P872" s="85">
        <v>9.0</v>
      </c>
      <c r="Q872" s="85">
        <v>4.0</v>
      </c>
      <c r="R872" s="85">
        <v>13.0</v>
      </c>
      <c r="S872" s="85">
        <v>3.0</v>
      </c>
      <c r="T872" s="85">
        <v>21.0</v>
      </c>
      <c r="U872" s="85">
        <v>2.0</v>
      </c>
      <c r="V872" s="85">
        <v>1.0</v>
      </c>
      <c r="W872" s="94">
        <v>0.0</v>
      </c>
      <c r="X872" s="94">
        <v>0.0</v>
      </c>
      <c r="Y872" s="94">
        <v>0.0</v>
      </c>
      <c r="Z872" s="94">
        <v>0.0</v>
      </c>
      <c r="AA872" s="94">
        <v>0.0</v>
      </c>
      <c r="AB872" s="94">
        <v>0.0</v>
      </c>
      <c r="AC872" s="85">
        <v>4.0</v>
      </c>
      <c r="AD872" s="94">
        <v>0.0</v>
      </c>
      <c r="AE872" s="94">
        <v>0.0</v>
      </c>
      <c r="AF872" s="94">
        <v>0.0</v>
      </c>
      <c r="AG872" s="94">
        <v>0.0</v>
      </c>
      <c r="AH872" s="94">
        <v>0.0</v>
      </c>
    </row>
    <row r="873" hidden="1">
      <c r="A873" s="109" t="s">
        <v>53</v>
      </c>
      <c r="B873" s="93" t="s">
        <v>196</v>
      </c>
      <c r="C873" s="94">
        <v>0.0</v>
      </c>
      <c r="D873" s="94">
        <v>0.0</v>
      </c>
      <c r="E873" s="96">
        <f t="shared" ref="E873:E874" si="658">SUM(L873*I873)/60</f>
        <v>0</v>
      </c>
      <c r="F873" s="94">
        <v>0.0</v>
      </c>
      <c r="G873" s="94">
        <v>0.0</v>
      </c>
      <c r="H873" s="94">
        <v>0.0</v>
      </c>
      <c r="I873" s="94">
        <v>0.0</v>
      </c>
      <c r="J873" s="95">
        <f t="shared" si="655"/>
        <v>0</v>
      </c>
      <c r="K873" s="87" t="str">
        <f t="shared" si="656"/>
        <v>#DIV/0!</v>
      </c>
      <c r="L873" s="94">
        <v>0.0</v>
      </c>
      <c r="M873" s="94">
        <v>0.0</v>
      </c>
      <c r="N873" s="85">
        <v>0.0</v>
      </c>
      <c r="O873" s="110">
        <f t="shared" si="657"/>
        <v>0</v>
      </c>
      <c r="P873" s="94">
        <v>0.0</v>
      </c>
      <c r="Q873" s="94">
        <v>0.0</v>
      </c>
      <c r="R873" s="94">
        <v>0.0</v>
      </c>
      <c r="S873" s="94">
        <v>0.0</v>
      </c>
      <c r="T873" s="94">
        <v>0.0</v>
      </c>
      <c r="U873" s="94">
        <v>0.0</v>
      </c>
      <c r="V873" s="94">
        <v>0.0</v>
      </c>
      <c r="W873" s="94">
        <v>0.0</v>
      </c>
      <c r="X873" s="94">
        <v>0.0</v>
      </c>
      <c r="Y873" s="94">
        <v>0.0</v>
      </c>
      <c r="Z873" s="94">
        <v>0.0</v>
      </c>
      <c r="AA873" s="94">
        <v>0.0</v>
      </c>
      <c r="AB873" s="94">
        <v>0.0</v>
      </c>
      <c r="AC873" s="94">
        <v>0.0</v>
      </c>
      <c r="AD873" s="94">
        <v>0.0</v>
      </c>
      <c r="AE873" s="94">
        <v>0.0</v>
      </c>
      <c r="AF873" s="94">
        <v>0.0</v>
      </c>
      <c r="AG873" s="94">
        <v>0.0</v>
      </c>
      <c r="AH873" s="94">
        <v>0.0</v>
      </c>
    </row>
    <row r="874" hidden="1">
      <c r="A874" s="109" t="s">
        <v>53</v>
      </c>
      <c r="B874" s="116"/>
      <c r="C874" s="94">
        <v>0.0</v>
      </c>
      <c r="D874" s="94">
        <v>0.0</v>
      </c>
      <c r="E874" s="96">
        <f t="shared" si="658"/>
        <v>0</v>
      </c>
      <c r="F874" s="94">
        <v>0.0</v>
      </c>
      <c r="G874" s="94">
        <v>0.0</v>
      </c>
      <c r="H874" s="94">
        <v>0.0</v>
      </c>
      <c r="I874" s="94">
        <v>0.0</v>
      </c>
      <c r="J874" s="95">
        <f t="shared" si="655"/>
        <v>0</v>
      </c>
      <c r="K874" s="87" t="str">
        <f t="shared" si="656"/>
        <v>#DIV/0!</v>
      </c>
      <c r="L874" s="94">
        <v>0.0</v>
      </c>
      <c r="M874" s="94">
        <v>0.0</v>
      </c>
      <c r="N874" s="85">
        <v>0.0</v>
      </c>
      <c r="O874" s="110">
        <f t="shared" si="657"/>
        <v>0</v>
      </c>
      <c r="P874" s="94">
        <v>0.0</v>
      </c>
      <c r="Q874" s="94">
        <v>0.0</v>
      </c>
      <c r="R874" s="94">
        <v>0.0</v>
      </c>
      <c r="S874" s="94">
        <v>0.0</v>
      </c>
      <c r="T874" s="94">
        <v>0.0</v>
      </c>
      <c r="U874" s="94">
        <v>0.0</v>
      </c>
      <c r="V874" s="94">
        <v>0.0</v>
      </c>
      <c r="W874" s="94">
        <v>0.0</v>
      </c>
      <c r="X874" s="94">
        <v>0.0</v>
      </c>
      <c r="Y874" s="94">
        <v>0.0</v>
      </c>
      <c r="Z874" s="94">
        <v>0.0</v>
      </c>
      <c r="AA874" s="94">
        <v>0.0</v>
      </c>
      <c r="AB874" s="94">
        <v>0.0</v>
      </c>
      <c r="AC874" s="94">
        <v>0.0</v>
      </c>
      <c r="AD874" s="94">
        <v>0.0</v>
      </c>
      <c r="AE874" s="94">
        <v>0.0</v>
      </c>
      <c r="AF874" s="94">
        <v>0.0</v>
      </c>
      <c r="AG874" s="94">
        <v>0.0</v>
      </c>
      <c r="AH874" s="94">
        <v>0.0</v>
      </c>
    </row>
    <row r="875" hidden="1">
      <c r="A875" s="89"/>
      <c r="B875" s="111"/>
      <c r="C875" s="111">
        <f t="shared" ref="C875:D875" si="659">SUM(C869:C874)/4</f>
        <v>1</v>
      </c>
      <c r="D875" s="111">
        <f t="shared" si="659"/>
        <v>1</v>
      </c>
      <c r="E875" s="91">
        <f t="shared" ref="E875:G875" si="660">SUM(E869:E874)</f>
        <v>220</v>
      </c>
      <c r="F875" s="111">
        <f t="shared" si="660"/>
        <v>5</v>
      </c>
      <c r="G875" s="111">
        <f t="shared" si="660"/>
        <v>737</v>
      </c>
      <c r="H875" s="111"/>
      <c r="I875" s="111">
        <f>SUM(I869:I874)</f>
        <v>671</v>
      </c>
      <c r="J875" s="111">
        <f t="shared" si="655"/>
        <v>66</v>
      </c>
      <c r="K875" s="92">
        <f t="shared" si="656"/>
        <v>1.098360656</v>
      </c>
      <c r="L875" s="111">
        <f t="shared" ref="L875:M875" si="661">SUM(L869:L874)</f>
        <v>65</v>
      </c>
      <c r="M875" s="111">
        <f t="shared" si="661"/>
        <v>992</v>
      </c>
      <c r="N875" s="111"/>
      <c r="O875" s="112"/>
      <c r="P875" s="111">
        <f t="shared" ref="P875:AH875" si="662">SUM(P869:P874)</f>
        <v>24</v>
      </c>
      <c r="Q875" s="111">
        <f t="shared" si="662"/>
        <v>25</v>
      </c>
      <c r="R875" s="111">
        <f t="shared" si="662"/>
        <v>72</v>
      </c>
      <c r="S875" s="111">
        <f t="shared" si="662"/>
        <v>13</v>
      </c>
      <c r="T875" s="111">
        <f t="shared" si="662"/>
        <v>114</v>
      </c>
      <c r="U875" s="111">
        <f t="shared" si="662"/>
        <v>24</v>
      </c>
      <c r="V875" s="111">
        <f t="shared" si="662"/>
        <v>6</v>
      </c>
      <c r="W875" s="111">
        <f t="shared" si="662"/>
        <v>2</v>
      </c>
      <c r="X875" s="111">
        <f t="shared" si="662"/>
        <v>0</v>
      </c>
      <c r="Y875" s="111">
        <f t="shared" si="662"/>
        <v>0</v>
      </c>
      <c r="Z875" s="111">
        <f t="shared" si="662"/>
        <v>0</v>
      </c>
      <c r="AA875" s="111">
        <f t="shared" si="662"/>
        <v>0</v>
      </c>
      <c r="AB875" s="111">
        <f t="shared" si="662"/>
        <v>0</v>
      </c>
      <c r="AC875" s="111">
        <f t="shared" si="662"/>
        <v>23</v>
      </c>
      <c r="AD875" s="111">
        <f t="shared" si="662"/>
        <v>1</v>
      </c>
      <c r="AE875" s="111">
        <f t="shared" si="662"/>
        <v>0</v>
      </c>
      <c r="AF875" s="111">
        <f t="shared" si="662"/>
        <v>0</v>
      </c>
      <c r="AG875" s="111">
        <f t="shared" si="662"/>
        <v>0</v>
      </c>
      <c r="AH875" s="111">
        <f t="shared" si="662"/>
        <v>1</v>
      </c>
    </row>
    <row r="876" hidden="1">
      <c r="A876" s="109" t="s">
        <v>51</v>
      </c>
      <c r="B876" s="93" t="s">
        <v>222</v>
      </c>
      <c r="C876" s="85">
        <v>1.0</v>
      </c>
      <c r="D876" s="94">
        <v>0.0</v>
      </c>
      <c r="E876" s="86">
        <v>55.0</v>
      </c>
      <c r="F876" s="85">
        <v>1.0</v>
      </c>
      <c r="G876" s="85">
        <v>157.0</v>
      </c>
      <c r="H876" s="94">
        <v>0.0</v>
      </c>
      <c r="I876" s="85">
        <v>175.0</v>
      </c>
      <c r="J876" s="95">
        <f t="shared" si="655"/>
        <v>-18</v>
      </c>
      <c r="K876" s="87">
        <f t="shared" si="656"/>
        <v>0.8971428571</v>
      </c>
      <c r="L876" s="85">
        <v>15.0</v>
      </c>
      <c r="M876" s="85">
        <v>208.0</v>
      </c>
      <c r="N876" s="85">
        <v>1.0</v>
      </c>
      <c r="O876" s="110">
        <f t="shared" ref="O876:O881" si="663">(E876*N876)</f>
        <v>55</v>
      </c>
      <c r="P876" s="85">
        <v>5.0</v>
      </c>
      <c r="Q876" s="85">
        <v>4.0</v>
      </c>
      <c r="R876" s="85">
        <v>9.0</v>
      </c>
      <c r="S876" s="85">
        <v>5.0</v>
      </c>
      <c r="T876" s="85">
        <v>23.0</v>
      </c>
      <c r="U876" s="85">
        <v>5.0</v>
      </c>
      <c r="V876" s="85">
        <v>2.0</v>
      </c>
      <c r="W876" s="85">
        <v>1.0</v>
      </c>
      <c r="X876" s="94">
        <v>0.0</v>
      </c>
      <c r="Y876" s="94">
        <v>0.0</v>
      </c>
      <c r="Z876" s="94">
        <v>0.0</v>
      </c>
      <c r="AA876" s="94">
        <v>0.0</v>
      </c>
      <c r="AB876" s="94">
        <v>0.0</v>
      </c>
      <c r="AC876" s="85">
        <v>4.0</v>
      </c>
      <c r="AD876" s="94">
        <v>0.0</v>
      </c>
      <c r="AE876" s="94">
        <v>0.0</v>
      </c>
      <c r="AF876" s="94">
        <v>0.0</v>
      </c>
      <c r="AG876" s="94">
        <v>0.0</v>
      </c>
      <c r="AH876" s="94">
        <v>0.0</v>
      </c>
    </row>
    <row r="877" hidden="1">
      <c r="A877" s="109" t="s">
        <v>51</v>
      </c>
      <c r="B877" s="93" t="s">
        <v>223</v>
      </c>
      <c r="C877" s="85">
        <v>1.0</v>
      </c>
      <c r="D877" s="94">
        <v>0.0</v>
      </c>
      <c r="E877" s="86">
        <v>55.0</v>
      </c>
      <c r="F877" s="85">
        <v>1.0</v>
      </c>
      <c r="G877" s="85">
        <v>172.0</v>
      </c>
      <c r="H877" s="94">
        <v>0.0</v>
      </c>
      <c r="I877" s="85">
        <v>183.0</v>
      </c>
      <c r="J877" s="95">
        <f t="shared" si="655"/>
        <v>-11</v>
      </c>
      <c r="K877" s="87">
        <f t="shared" si="656"/>
        <v>0.9398907104</v>
      </c>
      <c r="L877" s="85">
        <v>14.0</v>
      </c>
      <c r="M877" s="85">
        <v>239.0</v>
      </c>
      <c r="N877" s="85">
        <v>1.0</v>
      </c>
      <c r="O877" s="110">
        <f t="shared" si="663"/>
        <v>55</v>
      </c>
      <c r="P877" s="85">
        <v>5.0</v>
      </c>
      <c r="Q877" s="85">
        <v>9.0</v>
      </c>
      <c r="R877" s="85">
        <v>22.0</v>
      </c>
      <c r="S877" s="85">
        <v>8.0</v>
      </c>
      <c r="T877" s="85">
        <v>22.0</v>
      </c>
      <c r="U877" s="85">
        <v>5.0</v>
      </c>
      <c r="V877" s="85">
        <v>3.0</v>
      </c>
      <c r="W877" s="94">
        <v>0.0</v>
      </c>
      <c r="X877" s="94">
        <v>0.0</v>
      </c>
      <c r="Y877" s="94">
        <v>0.0</v>
      </c>
      <c r="Z877" s="94">
        <v>0.0</v>
      </c>
      <c r="AA877" s="94">
        <v>0.0</v>
      </c>
      <c r="AB877" s="94">
        <v>0.0</v>
      </c>
      <c r="AC877" s="85">
        <v>7.0</v>
      </c>
      <c r="AD877" s="94">
        <v>0.0</v>
      </c>
      <c r="AE877" s="94">
        <v>0.0</v>
      </c>
      <c r="AF877" s="94">
        <v>0.0</v>
      </c>
      <c r="AG877" s="94">
        <v>0.0</v>
      </c>
      <c r="AH877" s="94">
        <v>0.0</v>
      </c>
    </row>
    <row r="878" hidden="1">
      <c r="A878" s="109" t="s">
        <v>51</v>
      </c>
      <c r="B878" s="93" t="s">
        <v>224</v>
      </c>
      <c r="C878" s="85">
        <v>1.0</v>
      </c>
      <c r="D878" s="94">
        <v>0.0</v>
      </c>
      <c r="E878" s="86">
        <v>55.0</v>
      </c>
      <c r="F878" s="85">
        <v>2.0</v>
      </c>
      <c r="G878" s="85">
        <v>205.0</v>
      </c>
      <c r="H878" s="94">
        <v>0.0</v>
      </c>
      <c r="I878" s="85">
        <v>225.0</v>
      </c>
      <c r="J878" s="95">
        <f t="shared" si="655"/>
        <v>-20</v>
      </c>
      <c r="K878" s="87">
        <f t="shared" si="656"/>
        <v>0.9111111111</v>
      </c>
      <c r="L878" s="85">
        <v>11.0</v>
      </c>
      <c r="M878" s="85">
        <v>265.0</v>
      </c>
      <c r="N878" s="85">
        <v>1.0</v>
      </c>
      <c r="O878" s="110">
        <f t="shared" si="663"/>
        <v>55</v>
      </c>
      <c r="P878" s="85">
        <v>5.0</v>
      </c>
      <c r="Q878" s="85">
        <v>4.0</v>
      </c>
      <c r="R878" s="85">
        <v>24.0</v>
      </c>
      <c r="S878" s="85">
        <v>4.0</v>
      </c>
      <c r="T878" s="85">
        <v>31.0</v>
      </c>
      <c r="U878" s="85">
        <v>4.0</v>
      </c>
      <c r="V878" s="94">
        <v>0.0</v>
      </c>
      <c r="W878" s="94">
        <v>0.0</v>
      </c>
      <c r="X878" s="94">
        <v>0.0</v>
      </c>
      <c r="Y878" s="94">
        <v>0.0</v>
      </c>
      <c r="Z878" s="94">
        <v>0.0</v>
      </c>
      <c r="AA878" s="94">
        <v>0.0</v>
      </c>
      <c r="AB878" s="94">
        <v>0.0</v>
      </c>
      <c r="AC878" s="85">
        <v>3.0</v>
      </c>
      <c r="AD878" s="94">
        <v>0.0</v>
      </c>
      <c r="AE878" s="94">
        <v>0.0</v>
      </c>
      <c r="AF878" s="94">
        <v>0.0</v>
      </c>
      <c r="AG878" s="94">
        <v>0.0</v>
      </c>
      <c r="AH878" s="94">
        <v>0.0</v>
      </c>
    </row>
    <row r="879" hidden="1">
      <c r="A879" s="109" t="s">
        <v>51</v>
      </c>
      <c r="B879" s="93" t="s">
        <v>225</v>
      </c>
      <c r="C879" s="85">
        <v>1.0</v>
      </c>
      <c r="D879" s="94">
        <v>0.0</v>
      </c>
      <c r="E879" s="86">
        <v>55.0</v>
      </c>
      <c r="F879" s="94">
        <v>0.0</v>
      </c>
      <c r="G879" s="85">
        <v>124.0</v>
      </c>
      <c r="H879" s="85">
        <v>1.0</v>
      </c>
      <c r="I879" s="85">
        <v>181.0</v>
      </c>
      <c r="J879" s="95">
        <f t="shared" si="655"/>
        <v>-57</v>
      </c>
      <c r="K879" s="87">
        <f t="shared" si="656"/>
        <v>0.6850828729</v>
      </c>
      <c r="L879" s="85">
        <v>15.0</v>
      </c>
      <c r="M879" s="85">
        <v>157.0</v>
      </c>
      <c r="N879" s="85">
        <v>1.0</v>
      </c>
      <c r="O879" s="110">
        <f t="shared" si="663"/>
        <v>55</v>
      </c>
      <c r="P879" s="85">
        <v>7.0</v>
      </c>
      <c r="Q879" s="85">
        <v>1.0</v>
      </c>
      <c r="R879" s="85">
        <v>6.0</v>
      </c>
      <c r="S879" s="85">
        <v>6.0</v>
      </c>
      <c r="T879" s="85">
        <v>15.0</v>
      </c>
      <c r="U879" s="85">
        <v>1.0</v>
      </c>
      <c r="V879" s="94">
        <v>0.0</v>
      </c>
      <c r="W879" s="94">
        <v>0.0</v>
      </c>
      <c r="X879" s="94">
        <v>0.0</v>
      </c>
      <c r="Y879" s="94">
        <v>0.0</v>
      </c>
      <c r="Z879" s="94">
        <v>0.0</v>
      </c>
      <c r="AA879" s="94">
        <v>0.0</v>
      </c>
      <c r="AB879" s="94">
        <v>0.0</v>
      </c>
      <c r="AC879" s="94">
        <v>0.0</v>
      </c>
      <c r="AD879" s="94">
        <v>0.0</v>
      </c>
      <c r="AE879" s="94">
        <v>0.0</v>
      </c>
      <c r="AF879" s="94">
        <v>0.0</v>
      </c>
      <c r="AG879" s="94">
        <v>0.0</v>
      </c>
      <c r="AH879" s="94">
        <v>0.0</v>
      </c>
    </row>
    <row r="880" hidden="1">
      <c r="A880" s="109" t="s">
        <v>51</v>
      </c>
      <c r="B880" s="93" t="s">
        <v>226</v>
      </c>
      <c r="C880" s="94">
        <v>0.0</v>
      </c>
      <c r="D880" s="94">
        <v>0.0</v>
      </c>
      <c r="E880" s="96">
        <f t="shared" ref="E880:E881" si="664">SUM(L880*I880)/60</f>
        <v>0</v>
      </c>
      <c r="F880" s="94">
        <v>0.0</v>
      </c>
      <c r="G880" s="94">
        <v>0.0</v>
      </c>
      <c r="H880" s="94">
        <v>0.0</v>
      </c>
      <c r="I880" s="94">
        <v>0.0</v>
      </c>
      <c r="J880" s="95">
        <f t="shared" si="655"/>
        <v>0</v>
      </c>
      <c r="K880" s="87" t="str">
        <f t="shared" si="656"/>
        <v>#DIV/0!</v>
      </c>
      <c r="L880" s="94">
        <v>0.0</v>
      </c>
      <c r="M880" s="94">
        <v>0.0</v>
      </c>
      <c r="N880" s="85">
        <v>0.0</v>
      </c>
      <c r="O880" s="110">
        <f t="shared" si="663"/>
        <v>0</v>
      </c>
      <c r="P880" s="94">
        <v>0.0</v>
      </c>
      <c r="Q880" s="94">
        <v>0.0</v>
      </c>
      <c r="R880" s="94">
        <v>0.0</v>
      </c>
      <c r="S880" s="94">
        <v>0.0</v>
      </c>
      <c r="T880" s="94">
        <v>0.0</v>
      </c>
      <c r="U880" s="94">
        <v>0.0</v>
      </c>
      <c r="V880" s="94">
        <v>0.0</v>
      </c>
      <c r="W880" s="94">
        <v>0.0</v>
      </c>
      <c r="X880" s="94">
        <v>0.0</v>
      </c>
      <c r="Y880" s="94">
        <v>0.0</v>
      </c>
      <c r="Z880" s="94">
        <v>0.0</v>
      </c>
      <c r="AA880" s="94">
        <v>0.0</v>
      </c>
      <c r="AB880" s="94">
        <v>0.0</v>
      </c>
      <c r="AC880" s="94">
        <v>0.0</v>
      </c>
      <c r="AD880" s="94">
        <v>0.0</v>
      </c>
      <c r="AE880" s="94">
        <v>0.0</v>
      </c>
      <c r="AF880" s="94">
        <v>0.0</v>
      </c>
      <c r="AG880" s="94">
        <v>0.0</v>
      </c>
      <c r="AH880" s="94">
        <v>0.0</v>
      </c>
    </row>
    <row r="881" hidden="1">
      <c r="A881" s="109" t="s">
        <v>51</v>
      </c>
      <c r="B881" s="116"/>
      <c r="C881" s="94">
        <v>0.0</v>
      </c>
      <c r="D881" s="94">
        <v>0.0</v>
      </c>
      <c r="E881" s="96">
        <f t="shared" si="664"/>
        <v>0</v>
      </c>
      <c r="F881" s="94">
        <v>0.0</v>
      </c>
      <c r="G881" s="94">
        <v>0.0</v>
      </c>
      <c r="H881" s="94">
        <v>0.0</v>
      </c>
      <c r="I881" s="94">
        <v>0.0</v>
      </c>
      <c r="J881" s="95">
        <f t="shared" si="655"/>
        <v>0</v>
      </c>
      <c r="K881" s="87" t="str">
        <f t="shared" si="656"/>
        <v>#DIV/0!</v>
      </c>
      <c r="L881" s="94">
        <v>0.0</v>
      </c>
      <c r="M881" s="94">
        <v>0.0</v>
      </c>
      <c r="N881" s="85">
        <v>0.0</v>
      </c>
      <c r="O881" s="110">
        <f t="shared" si="663"/>
        <v>0</v>
      </c>
      <c r="P881" s="94">
        <v>0.0</v>
      </c>
      <c r="Q881" s="94">
        <v>0.0</v>
      </c>
      <c r="R881" s="94">
        <v>0.0</v>
      </c>
      <c r="S881" s="94">
        <v>0.0</v>
      </c>
      <c r="T881" s="94">
        <v>0.0</v>
      </c>
      <c r="U881" s="94">
        <v>0.0</v>
      </c>
      <c r="V881" s="94">
        <v>0.0</v>
      </c>
      <c r="W881" s="94">
        <v>0.0</v>
      </c>
      <c r="X881" s="94">
        <v>0.0</v>
      </c>
      <c r="Y881" s="94">
        <v>0.0</v>
      </c>
      <c r="Z881" s="94">
        <v>0.0</v>
      </c>
      <c r="AA881" s="94">
        <v>0.0</v>
      </c>
      <c r="AB881" s="94">
        <v>0.0</v>
      </c>
      <c r="AC881" s="94">
        <v>0.0</v>
      </c>
      <c r="AD881" s="94">
        <v>0.0</v>
      </c>
      <c r="AE881" s="94">
        <v>0.0</v>
      </c>
      <c r="AF881" s="94">
        <v>0.0</v>
      </c>
      <c r="AG881" s="94">
        <v>0.0</v>
      </c>
      <c r="AH881" s="94">
        <v>0.0</v>
      </c>
    </row>
    <row r="882" hidden="1">
      <c r="A882" s="89" t="s">
        <v>185</v>
      </c>
      <c r="B882" s="111"/>
      <c r="C882" s="111">
        <f>SUM(C876:C881)</f>
        <v>4</v>
      </c>
      <c r="D882" s="111">
        <f t="shared" ref="D882:E882" si="665">SUM(D876:D881)/4</f>
        <v>0</v>
      </c>
      <c r="E882" s="91">
        <f t="shared" si="665"/>
        <v>55</v>
      </c>
      <c r="F882" s="111">
        <f t="shared" ref="F882:G882" si="666">SUM(F876:F881)</f>
        <v>4</v>
      </c>
      <c r="G882" s="111">
        <f t="shared" si="666"/>
        <v>658</v>
      </c>
      <c r="H882" s="111"/>
      <c r="I882" s="111">
        <f>SUM(I876:I881)</f>
        <v>764</v>
      </c>
      <c r="J882" s="111">
        <f t="shared" si="655"/>
        <v>-106</v>
      </c>
      <c r="K882" s="92">
        <f t="shared" si="656"/>
        <v>0.8612565445</v>
      </c>
      <c r="L882" s="111">
        <f t="shared" ref="L882:M882" si="667">SUM(L876:L881)</f>
        <v>55</v>
      </c>
      <c r="M882" s="111">
        <f t="shared" si="667"/>
        <v>869</v>
      </c>
      <c r="N882" s="111"/>
      <c r="O882" s="112"/>
      <c r="P882" s="111">
        <f t="shared" ref="P882:AH882" si="668">SUM(P876:P881)</f>
        <v>22</v>
      </c>
      <c r="Q882" s="111">
        <f t="shared" si="668"/>
        <v>18</v>
      </c>
      <c r="R882" s="111">
        <f t="shared" si="668"/>
        <v>61</v>
      </c>
      <c r="S882" s="111">
        <f t="shared" si="668"/>
        <v>23</v>
      </c>
      <c r="T882" s="111">
        <f t="shared" si="668"/>
        <v>91</v>
      </c>
      <c r="U882" s="111">
        <f t="shared" si="668"/>
        <v>15</v>
      </c>
      <c r="V882" s="111">
        <f t="shared" si="668"/>
        <v>5</v>
      </c>
      <c r="W882" s="111">
        <f t="shared" si="668"/>
        <v>1</v>
      </c>
      <c r="X882" s="111">
        <f t="shared" si="668"/>
        <v>0</v>
      </c>
      <c r="Y882" s="111">
        <f t="shared" si="668"/>
        <v>0</v>
      </c>
      <c r="Z882" s="111">
        <f t="shared" si="668"/>
        <v>0</v>
      </c>
      <c r="AA882" s="111">
        <f t="shared" si="668"/>
        <v>0</v>
      </c>
      <c r="AB882" s="111">
        <f t="shared" si="668"/>
        <v>0</v>
      </c>
      <c r="AC882" s="111">
        <f t="shared" si="668"/>
        <v>14</v>
      </c>
      <c r="AD882" s="111">
        <f t="shared" si="668"/>
        <v>0</v>
      </c>
      <c r="AE882" s="111">
        <f t="shared" si="668"/>
        <v>0</v>
      </c>
      <c r="AF882" s="111">
        <f t="shared" si="668"/>
        <v>0</v>
      </c>
      <c r="AG882" s="111">
        <f t="shared" si="668"/>
        <v>0</v>
      </c>
      <c r="AH882" s="111">
        <f t="shared" si="668"/>
        <v>0</v>
      </c>
    </row>
    <row r="883">
      <c r="A883" s="104" t="s">
        <v>305</v>
      </c>
    </row>
    <row r="885" hidden="1">
      <c r="A885" s="105"/>
      <c r="F885" s="106" t="s">
        <v>251</v>
      </c>
      <c r="L885" s="107" t="s">
        <v>252</v>
      </c>
      <c r="N885" s="108" t="s">
        <v>253</v>
      </c>
    </row>
    <row r="886" hidden="1">
      <c r="A886" s="76" t="s">
        <v>148</v>
      </c>
      <c r="B886" s="76" t="s">
        <v>149</v>
      </c>
      <c r="C886" s="76" t="s">
        <v>150</v>
      </c>
      <c r="D886" s="76" t="s">
        <v>13</v>
      </c>
      <c r="E886" s="77" t="s">
        <v>151</v>
      </c>
      <c r="F886" s="78" t="s">
        <v>15</v>
      </c>
      <c r="G886" s="78" t="s">
        <v>152</v>
      </c>
      <c r="H886" s="78" t="s">
        <v>153</v>
      </c>
      <c r="I886" s="78" t="s">
        <v>154</v>
      </c>
      <c r="J886" s="78" t="s">
        <v>155</v>
      </c>
      <c r="K886" s="79" t="s">
        <v>156</v>
      </c>
      <c r="L886" s="80" t="s">
        <v>157</v>
      </c>
      <c r="M886" s="80" t="s">
        <v>158</v>
      </c>
      <c r="N886" s="81" t="s">
        <v>254</v>
      </c>
      <c r="O886" s="81" t="s">
        <v>151</v>
      </c>
      <c r="P886" s="81" t="s">
        <v>160</v>
      </c>
      <c r="Q886" s="81" t="s">
        <v>161</v>
      </c>
      <c r="R886" s="81" t="s">
        <v>162</v>
      </c>
      <c r="S886" s="81" t="s">
        <v>163</v>
      </c>
      <c r="T886" s="81" t="s">
        <v>164</v>
      </c>
      <c r="U886" s="81" t="s">
        <v>165</v>
      </c>
      <c r="V886" s="81" t="s">
        <v>166</v>
      </c>
      <c r="W886" s="81" t="s">
        <v>167</v>
      </c>
      <c r="X886" s="81" t="s">
        <v>168</v>
      </c>
      <c r="Y886" s="81" t="s">
        <v>169</v>
      </c>
      <c r="Z886" s="81" t="s">
        <v>170</v>
      </c>
      <c r="AA886" s="81" t="s">
        <v>171</v>
      </c>
      <c r="AB886" s="81" t="s">
        <v>172</v>
      </c>
      <c r="AC886" s="81" t="s">
        <v>173</v>
      </c>
      <c r="AD886" s="81" t="s">
        <v>174</v>
      </c>
      <c r="AE886" s="81" t="s">
        <v>175</v>
      </c>
      <c r="AF886" s="81" t="s">
        <v>176</v>
      </c>
      <c r="AG886" s="81" t="s">
        <v>177</v>
      </c>
      <c r="AH886" s="81" t="s">
        <v>178</v>
      </c>
    </row>
    <row r="887" hidden="1">
      <c r="A887" s="109" t="s">
        <v>44</v>
      </c>
      <c r="B887" s="93" t="s">
        <v>186</v>
      </c>
      <c r="C887" s="85">
        <v>1.0</v>
      </c>
      <c r="D887" s="94">
        <v>0.0</v>
      </c>
      <c r="E887" s="86">
        <v>33.0</v>
      </c>
      <c r="F887" s="94">
        <v>0.0</v>
      </c>
      <c r="G887" s="85">
        <v>103.0</v>
      </c>
      <c r="H887" s="85">
        <v>3.0</v>
      </c>
      <c r="I887" s="85">
        <v>144.0</v>
      </c>
      <c r="J887" s="95">
        <f t="shared" ref="J887:J900" si="669">SUM(G887-I887)</f>
        <v>-41</v>
      </c>
      <c r="K887" s="87">
        <f t="shared" ref="K887:K900" si="670">SUM(G887/I887)</f>
        <v>0.7152777778</v>
      </c>
      <c r="L887" s="85">
        <v>10.0</v>
      </c>
      <c r="M887" s="85">
        <v>136.0</v>
      </c>
      <c r="N887" s="85">
        <v>1.0</v>
      </c>
      <c r="O887" s="110">
        <f t="shared" ref="O887:O892" si="671">(E887*N887)</f>
        <v>33</v>
      </c>
      <c r="P887" s="85">
        <v>2.0</v>
      </c>
      <c r="Q887" s="85">
        <v>1.0</v>
      </c>
      <c r="R887" s="85">
        <v>10.0</v>
      </c>
      <c r="S887" s="85">
        <v>1.0</v>
      </c>
      <c r="T887" s="85">
        <v>18.0</v>
      </c>
      <c r="U887" s="85">
        <v>4.0</v>
      </c>
      <c r="V887" s="85">
        <v>1.0</v>
      </c>
      <c r="W887" s="94">
        <v>0.0</v>
      </c>
      <c r="X887" s="94">
        <v>0.0</v>
      </c>
      <c r="Y887" s="94">
        <v>0.0</v>
      </c>
      <c r="Z887" s="94">
        <v>0.0</v>
      </c>
      <c r="AA887" s="94">
        <v>0.0</v>
      </c>
      <c r="AB887" s="94">
        <v>0.0</v>
      </c>
      <c r="AC887" s="94">
        <v>0.0</v>
      </c>
      <c r="AD887" s="94">
        <v>0.0</v>
      </c>
      <c r="AE887" s="94">
        <v>0.0</v>
      </c>
      <c r="AF887" s="94">
        <v>0.0</v>
      </c>
      <c r="AG887" s="94">
        <v>0.0</v>
      </c>
      <c r="AH887" s="94">
        <v>0.0</v>
      </c>
    </row>
    <row r="888" hidden="1">
      <c r="A888" s="109" t="s">
        <v>44</v>
      </c>
      <c r="B888" s="93" t="s">
        <v>187</v>
      </c>
      <c r="C888" s="85">
        <v>1.0</v>
      </c>
      <c r="D888" s="94">
        <v>0.0</v>
      </c>
      <c r="E888" s="86">
        <v>33.0</v>
      </c>
      <c r="F888" s="85">
        <v>1.0</v>
      </c>
      <c r="G888" s="85">
        <v>125.0</v>
      </c>
      <c r="H888" s="85">
        <v>1.0</v>
      </c>
      <c r="I888" s="85">
        <v>109.0</v>
      </c>
      <c r="J888" s="95">
        <f t="shared" si="669"/>
        <v>16</v>
      </c>
      <c r="K888" s="87">
        <f t="shared" si="670"/>
        <v>1.146788991</v>
      </c>
      <c r="L888" s="85">
        <v>15.0</v>
      </c>
      <c r="M888" s="85">
        <v>163.0</v>
      </c>
      <c r="N888" s="85">
        <v>1.0</v>
      </c>
      <c r="O888" s="110">
        <f t="shared" si="671"/>
        <v>33</v>
      </c>
      <c r="P888" s="85">
        <v>3.0</v>
      </c>
      <c r="Q888" s="94">
        <v>0.0</v>
      </c>
      <c r="R888" s="85">
        <v>11.0</v>
      </c>
      <c r="S888" s="85">
        <v>2.0</v>
      </c>
      <c r="T888" s="85">
        <v>16.0</v>
      </c>
      <c r="U888" s="85">
        <v>4.0</v>
      </c>
      <c r="V888" s="85">
        <v>2.0</v>
      </c>
      <c r="W888" s="94">
        <v>0.0</v>
      </c>
      <c r="X888" s="94">
        <v>0.0</v>
      </c>
      <c r="Y888" s="94">
        <v>0.0</v>
      </c>
      <c r="Z888" s="94">
        <v>0.0</v>
      </c>
      <c r="AA888" s="94">
        <v>0.0</v>
      </c>
      <c r="AB888" s="94">
        <v>0.0</v>
      </c>
      <c r="AC888" s="85">
        <v>4.0</v>
      </c>
      <c r="AD888" s="94">
        <v>0.0</v>
      </c>
      <c r="AE888" s="94">
        <v>0.0</v>
      </c>
      <c r="AF888" s="94">
        <v>0.0</v>
      </c>
      <c r="AG888" s="94">
        <v>0.0</v>
      </c>
      <c r="AH888" s="94">
        <v>0.0</v>
      </c>
    </row>
    <row r="889" hidden="1">
      <c r="A889" s="109" t="s">
        <v>44</v>
      </c>
      <c r="B889" s="93" t="s">
        <v>188</v>
      </c>
      <c r="C889" s="85">
        <v>1.0</v>
      </c>
      <c r="D889" s="94">
        <v>0.0</v>
      </c>
      <c r="E889" s="86">
        <v>33.0</v>
      </c>
      <c r="F889" s="85">
        <v>3.0</v>
      </c>
      <c r="G889" s="85">
        <v>51.0</v>
      </c>
      <c r="H889" s="94">
        <v>0.0</v>
      </c>
      <c r="I889" s="85">
        <v>56.0</v>
      </c>
      <c r="J889" s="95">
        <f t="shared" si="669"/>
        <v>-5</v>
      </c>
      <c r="K889" s="87">
        <f t="shared" si="670"/>
        <v>0.9107142857</v>
      </c>
      <c r="L889" s="85">
        <v>32.0</v>
      </c>
      <c r="M889" s="85">
        <v>66.0</v>
      </c>
      <c r="N889" s="85">
        <v>1.0</v>
      </c>
      <c r="O889" s="110">
        <f t="shared" si="671"/>
        <v>33</v>
      </c>
      <c r="P889" s="85">
        <v>7.0</v>
      </c>
      <c r="Q889" s="94">
        <v>0.0</v>
      </c>
      <c r="R889" s="85">
        <v>2.0</v>
      </c>
      <c r="S889" s="85">
        <v>3.0</v>
      </c>
      <c r="T889" s="85">
        <v>2.0</v>
      </c>
      <c r="U889" s="94">
        <v>0.0</v>
      </c>
      <c r="V889" s="94">
        <v>0.0</v>
      </c>
      <c r="W889" s="94">
        <v>0.0</v>
      </c>
      <c r="X889" s="94">
        <v>0.0</v>
      </c>
      <c r="Y889" s="94">
        <v>0.0</v>
      </c>
      <c r="Z889" s="94">
        <v>0.0</v>
      </c>
      <c r="AA889" s="94">
        <v>0.0</v>
      </c>
      <c r="AB889" s="94">
        <v>0.0</v>
      </c>
      <c r="AC889" s="85">
        <v>2.0</v>
      </c>
      <c r="AD889" s="94">
        <v>0.0</v>
      </c>
      <c r="AE889" s="94">
        <v>0.0</v>
      </c>
      <c r="AF889" s="94">
        <v>0.0</v>
      </c>
      <c r="AG889" s="94">
        <v>0.0</v>
      </c>
      <c r="AH889" s="94">
        <v>0.0</v>
      </c>
    </row>
    <row r="890" hidden="1">
      <c r="A890" s="109" t="s">
        <v>44</v>
      </c>
      <c r="B890" s="93" t="s">
        <v>189</v>
      </c>
      <c r="C890" s="85">
        <v>1.0</v>
      </c>
      <c r="D890" s="94">
        <v>0.0</v>
      </c>
      <c r="E890" s="86">
        <v>33.0</v>
      </c>
      <c r="F890" s="94">
        <v>0.0</v>
      </c>
      <c r="G890" s="85">
        <v>124.0</v>
      </c>
      <c r="H890" s="85">
        <v>2.0</v>
      </c>
      <c r="I890" s="85">
        <v>115.0</v>
      </c>
      <c r="J890" s="95">
        <f t="shared" si="669"/>
        <v>9</v>
      </c>
      <c r="K890" s="87">
        <f t="shared" si="670"/>
        <v>1.07826087</v>
      </c>
      <c r="L890" s="85">
        <v>13.0</v>
      </c>
      <c r="M890" s="85">
        <v>154.0</v>
      </c>
      <c r="N890" s="85">
        <v>1.0</v>
      </c>
      <c r="O890" s="110">
        <f t="shared" si="671"/>
        <v>33</v>
      </c>
      <c r="P890" s="85">
        <v>3.0</v>
      </c>
      <c r="Q890" s="94">
        <v>0.0</v>
      </c>
      <c r="R890" s="85">
        <v>8.0</v>
      </c>
      <c r="S890" s="85">
        <v>4.0</v>
      </c>
      <c r="T890" s="85">
        <v>14.0</v>
      </c>
      <c r="U890" s="85">
        <v>3.0</v>
      </c>
      <c r="V890" s="85">
        <v>1.0</v>
      </c>
      <c r="W890" s="94">
        <v>0.0</v>
      </c>
      <c r="X890" s="94">
        <v>0.0</v>
      </c>
      <c r="Y890" s="94">
        <v>0.0</v>
      </c>
      <c r="Z890" s="94">
        <v>0.0</v>
      </c>
      <c r="AA890" s="94">
        <v>0.0</v>
      </c>
      <c r="AB890" s="94">
        <v>0.0</v>
      </c>
      <c r="AC890" s="85">
        <v>2.0</v>
      </c>
      <c r="AD890" s="94">
        <v>0.0</v>
      </c>
      <c r="AE890" s="94">
        <v>0.0</v>
      </c>
      <c r="AF890" s="94">
        <v>0.0</v>
      </c>
      <c r="AG890" s="94">
        <v>0.0</v>
      </c>
      <c r="AH890" s="94">
        <v>0.0</v>
      </c>
    </row>
    <row r="891" hidden="1">
      <c r="A891" s="109" t="s">
        <v>44</v>
      </c>
      <c r="B891" s="93" t="s">
        <v>190</v>
      </c>
      <c r="C891" s="94">
        <v>0.0</v>
      </c>
      <c r="D891" s="94">
        <v>0.0</v>
      </c>
      <c r="E891" s="96">
        <f t="shared" ref="E891:E892" si="672">SUM(L891*I891)/60</f>
        <v>0</v>
      </c>
      <c r="F891" s="94">
        <v>0.0</v>
      </c>
      <c r="G891" s="94">
        <v>0.0</v>
      </c>
      <c r="H891" s="94">
        <v>0.0</v>
      </c>
      <c r="I891" s="94">
        <v>0.0</v>
      </c>
      <c r="J891" s="95">
        <f t="shared" si="669"/>
        <v>0</v>
      </c>
      <c r="K891" s="87" t="str">
        <f t="shared" si="670"/>
        <v>#DIV/0!</v>
      </c>
      <c r="L891" s="94">
        <v>0.0</v>
      </c>
      <c r="M891" s="94">
        <v>0.0</v>
      </c>
      <c r="N891" s="85">
        <v>0.0</v>
      </c>
      <c r="O891" s="110">
        <f t="shared" si="671"/>
        <v>0</v>
      </c>
      <c r="P891" s="94">
        <v>0.0</v>
      </c>
      <c r="Q891" s="94">
        <v>0.0</v>
      </c>
      <c r="R891" s="94">
        <v>0.0</v>
      </c>
      <c r="S891" s="94">
        <v>0.0</v>
      </c>
      <c r="T891" s="94">
        <v>0.0</v>
      </c>
      <c r="U891" s="94">
        <v>0.0</v>
      </c>
      <c r="V891" s="94">
        <v>0.0</v>
      </c>
      <c r="W891" s="94">
        <v>0.0</v>
      </c>
      <c r="X891" s="94">
        <v>0.0</v>
      </c>
      <c r="Y891" s="94">
        <v>0.0</v>
      </c>
      <c r="Z891" s="94">
        <v>0.0</v>
      </c>
      <c r="AA891" s="94">
        <v>0.0</v>
      </c>
      <c r="AB891" s="94">
        <v>0.0</v>
      </c>
      <c r="AC891" s="94">
        <v>0.0</v>
      </c>
      <c r="AD891" s="94">
        <v>0.0</v>
      </c>
      <c r="AE891" s="94">
        <v>0.0</v>
      </c>
      <c r="AF891" s="94">
        <v>0.0</v>
      </c>
      <c r="AG891" s="94">
        <v>0.0</v>
      </c>
      <c r="AH891" s="94">
        <v>0.0</v>
      </c>
    </row>
    <row r="892" hidden="1">
      <c r="A892" s="109" t="s">
        <v>44</v>
      </c>
      <c r="B892" s="116"/>
      <c r="C892" s="94">
        <v>0.0</v>
      </c>
      <c r="D892" s="94">
        <v>0.0</v>
      </c>
      <c r="E892" s="96">
        <f t="shared" si="672"/>
        <v>0</v>
      </c>
      <c r="F892" s="94">
        <v>0.0</v>
      </c>
      <c r="G892" s="94">
        <v>0.0</v>
      </c>
      <c r="H892" s="94">
        <v>0.0</v>
      </c>
      <c r="I892" s="94">
        <v>0.0</v>
      </c>
      <c r="J892" s="95">
        <f t="shared" si="669"/>
        <v>0</v>
      </c>
      <c r="K892" s="87" t="str">
        <f t="shared" si="670"/>
        <v>#DIV/0!</v>
      </c>
      <c r="L892" s="94">
        <v>0.0</v>
      </c>
      <c r="M892" s="94">
        <v>0.0</v>
      </c>
      <c r="N892" s="85">
        <v>0.0</v>
      </c>
      <c r="O892" s="110">
        <f t="shared" si="671"/>
        <v>0</v>
      </c>
      <c r="P892" s="94">
        <v>0.0</v>
      </c>
      <c r="Q892" s="94">
        <v>0.0</v>
      </c>
      <c r="R892" s="94">
        <v>0.0</v>
      </c>
      <c r="S892" s="94">
        <v>0.0</v>
      </c>
      <c r="T892" s="94">
        <v>0.0</v>
      </c>
      <c r="U892" s="94">
        <v>0.0</v>
      </c>
      <c r="V892" s="94">
        <v>0.0</v>
      </c>
      <c r="W892" s="94">
        <v>0.0</v>
      </c>
      <c r="X892" s="94">
        <v>0.0</v>
      </c>
      <c r="Y892" s="94">
        <v>0.0</v>
      </c>
      <c r="Z892" s="94">
        <v>0.0</v>
      </c>
      <c r="AA892" s="94">
        <v>0.0</v>
      </c>
      <c r="AB892" s="94">
        <v>0.0</v>
      </c>
      <c r="AC892" s="94">
        <v>0.0</v>
      </c>
      <c r="AD892" s="94">
        <v>0.0</v>
      </c>
      <c r="AE892" s="94">
        <v>0.0</v>
      </c>
      <c r="AF892" s="94">
        <v>0.0</v>
      </c>
      <c r="AG892" s="94">
        <v>0.0</v>
      </c>
      <c r="AH892" s="94">
        <v>0.0</v>
      </c>
    </row>
    <row r="893" hidden="1">
      <c r="A893" s="89"/>
      <c r="B893" s="111"/>
      <c r="C893" s="111">
        <f t="shared" ref="C893:D893" si="673">SUM(C887:C892)/4</f>
        <v>1</v>
      </c>
      <c r="D893" s="111">
        <f t="shared" si="673"/>
        <v>0</v>
      </c>
      <c r="E893" s="91">
        <f t="shared" ref="E893:G893" si="674">SUM(E887:E892)</f>
        <v>132</v>
      </c>
      <c r="F893" s="111">
        <f t="shared" si="674"/>
        <v>4</v>
      </c>
      <c r="G893" s="111">
        <f t="shared" si="674"/>
        <v>403</v>
      </c>
      <c r="H893" s="111"/>
      <c r="I893" s="111">
        <f>SUM(I887:I892)</f>
        <v>424</v>
      </c>
      <c r="J893" s="111">
        <f t="shared" si="669"/>
        <v>-21</v>
      </c>
      <c r="K893" s="92">
        <f t="shared" si="670"/>
        <v>0.9504716981</v>
      </c>
      <c r="L893" s="111">
        <f t="shared" ref="L893:M893" si="675">SUM(L887:L892)</f>
        <v>70</v>
      </c>
      <c r="M893" s="111">
        <f t="shared" si="675"/>
        <v>519</v>
      </c>
      <c r="N893" s="111"/>
      <c r="O893" s="112"/>
      <c r="P893" s="111">
        <f t="shared" ref="P893:AH893" si="676">SUM(P887:P892)</f>
        <v>15</v>
      </c>
      <c r="Q893" s="111">
        <f t="shared" si="676"/>
        <v>1</v>
      </c>
      <c r="R893" s="111">
        <f t="shared" si="676"/>
        <v>31</v>
      </c>
      <c r="S893" s="111">
        <f t="shared" si="676"/>
        <v>10</v>
      </c>
      <c r="T893" s="111">
        <f t="shared" si="676"/>
        <v>50</v>
      </c>
      <c r="U893" s="111">
        <f t="shared" si="676"/>
        <v>11</v>
      </c>
      <c r="V893" s="111">
        <f t="shared" si="676"/>
        <v>4</v>
      </c>
      <c r="W893" s="111">
        <f t="shared" si="676"/>
        <v>0</v>
      </c>
      <c r="X893" s="111">
        <f t="shared" si="676"/>
        <v>0</v>
      </c>
      <c r="Y893" s="111">
        <f t="shared" si="676"/>
        <v>0</v>
      </c>
      <c r="Z893" s="111">
        <f t="shared" si="676"/>
        <v>0</v>
      </c>
      <c r="AA893" s="111">
        <f t="shared" si="676"/>
        <v>0</v>
      </c>
      <c r="AB893" s="111">
        <f t="shared" si="676"/>
        <v>0</v>
      </c>
      <c r="AC893" s="111">
        <f t="shared" si="676"/>
        <v>8</v>
      </c>
      <c r="AD893" s="111">
        <f t="shared" si="676"/>
        <v>0</v>
      </c>
      <c r="AE893" s="111">
        <f t="shared" si="676"/>
        <v>0</v>
      </c>
      <c r="AF893" s="111">
        <f t="shared" si="676"/>
        <v>0</v>
      </c>
      <c r="AG893" s="111">
        <f t="shared" si="676"/>
        <v>0</v>
      </c>
      <c r="AH893" s="111">
        <f t="shared" si="676"/>
        <v>0</v>
      </c>
    </row>
    <row r="894" hidden="1">
      <c r="A894" s="109" t="s">
        <v>56</v>
      </c>
      <c r="B894" s="93" t="s">
        <v>203</v>
      </c>
      <c r="C894" s="85">
        <v>1.0</v>
      </c>
      <c r="D894" s="85">
        <v>1.0</v>
      </c>
      <c r="E894" s="86">
        <v>33.0</v>
      </c>
      <c r="F894" s="85">
        <v>2.0</v>
      </c>
      <c r="G894" s="85">
        <v>116.0</v>
      </c>
      <c r="H894" s="94">
        <v>0.0</v>
      </c>
      <c r="I894" s="85">
        <v>110.0</v>
      </c>
      <c r="J894" s="95">
        <f t="shared" si="669"/>
        <v>6</v>
      </c>
      <c r="K894" s="87">
        <f t="shared" si="670"/>
        <v>1.054545455</v>
      </c>
      <c r="L894" s="85">
        <v>14.0</v>
      </c>
      <c r="M894" s="85">
        <v>156.0</v>
      </c>
      <c r="N894" s="85">
        <v>1.0</v>
      </c>
      <c r="O894" s="110">
        <f t="shared" ref="O894:O899" si="677">(E894*N894)</f>
        <v>33</v>
      </c>
      <c r="P894" s="85">
        <v>9.0</v>
      </c>
      <c r="Q894" s="85">
        <v>1.0</v>
      </c>
      <c r="R894" s="85">
        <v>3.0</v>
      </c>
      <c r="S894" s="85">
        <v>3.0</v>
      </c>
      <c r="T894" s="85">
        <v>15.0</v>
      </c>
      <c r="U894" s="85">
        <v>3.0</v>
      </c>
      <c r="V894" s="85">
        <v>2.0</v>
      </c>
      <c r="W894" s="94">
        <v>0.0</v>
      </c>
      <c r="X894" s="94">
        <v>0.0</v>
      </c>
      <c r="Y894" s="94">
        <v>0.0</v>
      </c>
      <c r="Z894" s="94">
        <v>0.0</v>
      </c>
      <c r="AA894" s="94">
        <v>0.0</v>
      </c>
      <c r="AB894" s="94">
        <v>0.0</v>
      </c>
      <c r="AC894" s="85">
        <v>3.0</v>
      </c>
      <c r="AD894" s="94">
        <v>0.0</v>
      </c>
      <c r="AE894" s="94">
        <v>0.0</v>
      </c>
      <c r="AF894" s="94">
        <v>0.0</v>
      </c>
      <c r="AG894" s="94">
        <v>0.0</v>
      </c>
      <c r="AH894" s="94">
        <v>0.0</v>
      </c>
    </row>
    <row r="895" hidden="1">
      <c r="A895" s="109" t="s">
        <v>56</v>
      </c>
      <c r="B895" s="93" t="s">
        <v>204</v>
      </c>
      <c r="C895" s="85">
        <v>1.0</v>
      </c>
      <c r="D895" s="85">
        <v>1.0</v>
      </c>
      <c r="E895" s="86">
        <v>33.0</v>
      </c>
      <c r="F895" s="85">
        <v>2.0</v>
      </c>
      <c r="G895" s="85">
        <v>119.0</v>
      </c>
      <c r="H895" s="85">
        <v>2.0</v>
      </c>
      <c r="I895" s="85">
        <v>108.0</v>
      </c>
      <c r="J895" s="95">
        <f t="shared" si="669"/>
        <v>11</v>
      </c>
      <c r="K895" s="87">
        <f t="shared" si="670"/>
        <v>1.101851852</v>
      </c>
      <c r="L895" s="85">
        <v>15.0</v>
      </c>
      <c r="M895" s="85">
        <v>159.0</v>
      </c>
      <c r="N895" s="85">
        <v>1.0</v>
      </c>
      <c r="O895" s="110">
        <f t="shared" si="677"/>
        <v>33</v>
      </c>
      <c r="P895" s="85">
        <v>4.0</v>
      </c>
      <c r="Q895" s="85">
        <v>1.0</v>
      </c>
      <c r="R895" s="85">
        <v>9.0</v>
      </c>
      <c r="S895" s="85">
        <v>1.0</v>
      </c>
      <c r="T895" s="85">
        <v>22.0</v>
      </c>
      <c r="U895" s="85">
        <v>1.0</v>
      </c>
      <c r="V895" s="94">
        <v>0.0</v>
      </c>
      <c r="W895" s="94">
        <v>0.0</v>
      </c>
      <c r="X895" s="94">
        <v>0.0</v>
      </c>
      <c r="Y895" s="94">
        <v>0.0</v>
      </c>
      <c r="Z895" s="94">
        <v>0.0</v>
      </c>
      <c r="AA895" s="94">
        <v>0.0</v>
      </c>
      <c r="AB895" s="94">
        <v>0.0</v>
      </c>
      <c r="AC895" s="85">
        <v>2.0</v>
      </c>
      <c r="AD895" s="94">
        <v>0.0</v>
      </c>
      <c r="AE895" s="94">
        <v>0.0</v>
      </c>
      <c r="AF895" s="94">
        <v>0.0</v>
      </c>
      <c r="AG895" s="94">
        <v>0.0</v>
      </c>
      <c r="AH895" s="94">
        <v>0.0</v>
      </c>
    </row>
    <row r="896" hidden="1">
      <c r="A896" s="109" t="s">
        <v>56</v>
      </c>
      <c r="B896" s="93" t="s">
        <v>205</v>
      </c>
      <c r="C896" s="85">
        <v>1.0</v>
      </c>
      <c r="D896" s="85">
        <v>1.0</v>
      </c>
      <c r="E896" s="86">
        <v>33.0</v>
      </c>
      <c r="F896" s="94">
        <v>0.0</v>
      </c>
      <c r="G896" s="85">
        <v>115.0</v>
      </c>
      <c r="H896" s="85">
        <v>2.0</v>
      </c>
      <c r="I896" s="85">
        <v>112.0</v>
      </c>
      <c r="J896" s="95">
        <f t="shared" si="669"/>
        <v>3</v>
      </c>
      <c r="K896" s="87">
        <f t="shared" si="670"/>
        <v>1.026785714</v>
      </c>
      <c r="L896" s="85">
        <v>14.0</v>
      </c>
      <c r="M896" s="85">
        <v>138.0</v>
      </c>
      <c r="N896" s="85">
        <v>1.0</v>
      </c>
      <c r="O896" s="110">
        <f t="shared" si="677"/>
        <v>33</v>
      </c>
      <c r="P896" s="85">
        <v>3.0</v>
      </c>
      <c r="Q896" s="85">
        <v>1.0</v>
      </c>
      <c r="R896" s="85">
        <v>3.0</v>
      </c>
      <c r="S896" s="85">
        <v>1.0</v>
      </c>
      <c r="T896" s="85">
        <v>13.0</v>
      </c>
      <c r="U896" s="85">
        <v>4.0</v>
      </c>
      <c r="V896" s="85">
        <v>1.0</v>
      </c>
      <c r="W896" s="94">
        <v>0.0</v>
      </c>
      <c r="X896" s="94">
        <v>0.0</v>
      </c>
      <c r="Y896" s="94">
        <v>0.0</v>
      </c>
      <c r="Z896" s="94">
        <v>0.0</v>
      </c>
      <c r="AA896" s="94">
        <v>0.0</v>
      </c>
      <c r="AB896" s="94">
        <v>0.0</v>
      </c>
      <c r="AC896" s="85">
        <v>2.0</v>
      </c>
      <c r="AD896" s="94">
        <v>0.0</v>
      </c>
      <c r="AE896" s="94">
        <v>0.0</v>
      </c>
      <c r="AF896" s="94">
        <v>0.0</v>
      </c>
      <c r="AG896" s="94">
        <v>0.0</v>
      </c>
      <c r="AH896" s="94">
        <v>0.0</v>
      </c>
    </row>
    <row r="897" hidden="1">
      <c r="A897" s="109" t="s">
        <v>56</v>
      </c>
      <c r="B897" s="93" t="s">
        <v>206</v>
      </c>
      <c r="C897" s="94">
        <v>0.0</v>
      </c>
      <c r="D897" s="94">
        <v>0.0</v>
      </c>
      <c r="E897" s="96">
        <f>SUM(L897*I897)/60</f>
        <v>0</v>
      </c>
      <c r="F897" s="94">
        <v>0.0</v>
      </c>
      <c r="G897" s="94">
        <v>0.0</v>
      </c>
      <c r="H897" s="94">
        <v>0.0</v>
      </c>
      <c r="I897" s="94">
        <v>0.0</v>
      </c>
      <c r="J897" s="95">
        <f t="shared" si="669"/>
        <v>0</v>
      </c>
      <c r="K897" s="87" t="str">
        <f t="shared" si="670"/>
        <v>#DIV/0!</v>
      </c>
      <c r="L897" s="94">
        <v>0.0</v>
      </c>
      <c r="M897" s="94">
        <v>0.0</v>
      </c>
      <c r="N897" s="85">
        <v>0.0</v>
      </c>
      <c r="O897" s="110">
        <f t="shared" si="677"/>
        <v>0</v>
      </c>
      <c r="P897" s="94">
        <v>0.0</v>
      </c>
      <c r="Q897" s="94">
        <v>0.0</v>
      </c>
      <c r="R897" s="94">
        <v>0.0</v>
      </c>
      <c r="S897" s="94">
        <v>0.0</v>
      </c>
      <c r="T897" s="94">
        <v>0.0</v>
      </c>
      <c r="U897" s="94">
        <v>0.0</v>
      </c>
      <c r="V897" s="94">
        <v>0.0</v>
      </c>
      <c r="W897" s="94">
        <v>0.0</v>
      </c>
      <c r="X897" s="94">
        <v>0.0</v>
      </c>
      <c r="Y897" s="94">
        <v>0.0</v>
      </c>
      <c r="Z897" s="94">
        <v>0.0</v>
      </c>
      <c r="AA897" s="94">
        <v>0.0</v>
      </c>
      <c r="AB897" s="94">
        <v>0.0</v>
      </c>
      <c r="AC897" s="94">
        <v>0.0</v>
      </c>
      <c r="AD897" s="94">
        <v>0.0</v>
      </c>
      <c r="AE897" s="94">
        <v>0.0</v>
      </c>
      <c r="AF897" s="94">
        <v>0.0</v>
      </c>
      <c r="AG897" s="94">
        <v>0.0</v>
      </c>
      <c r="AH897" s="94">
        <v>0.0</v>
      </c>
    </row>
    <row r="898" hidden="1">
      <c r="A898" s="109" t="s">
        <v>56</v>
      </c>
      <c r="B898" s="93" t="s">
        <v>207</v>
      </c>
      <c r="C898" s="85">
        <v>1.0</v>
      </c>
      <c r="D898" s="85">
        <v>1.0</v>
      </c>
      <c r="E898" s="86">
        <v>33.0</v>
      </c>
      <c r="F898" s="85">
        <v>1.0</v>
      </c>
      <c r="G898" s="85">
        <v>65.0</v>
      </c>
      <c r="H898" s="85">
        <v>1.0</v>
      </c>
      <c r="I898" s="85">
        <v>88.0</v>
      </c>
      <c r="J898" s="95">
        <f t="shared" si="669"/>
        <v>-23</v>
      </c>
      <c r="K898" s="87">
        <f t="shared" si="670"/>
        <v>0.7386363636</v>
      </c>
      <c r="L898" s="85">
        <v>19.0</v>
      </c>
      <c r="M898" s="85">
        <v>70.0</v>
      </c>
      <c r="N898" s="85">
        <v>1.0</v>
      </c>
      <c r="O898" s="110">
        <f t="shared" si="677"/>
        <v>33</v>
      </c>
      <c r="P898" s="94">
        <v>0.0</v>
      </c>
      <c r="Q898" s="85">
        <v>4.0</v>
      </c>
      <c r="R898" s="94">
        <v>0.0</v>
      </c>
      <c r="S898" s="85">
        <v>3.0</v>
      </c>
      <c r="T898" s="85">
        <v>4.0</v>
      </c>
      <c r="U898" s="94">
        <v>0.0</v>
      </c>
      <c r="V898" s="94">
        <v>0.0</v>
      </c>
      <c r="W898" s="94">
        <v>0.0</v>
      </c>
      <c r="X898" s="94">
        <v>0.0</v>
      </c>
      <c r="Y898" s="94">
        <v>0.0</v>
      </c>
      <c r="Z898" s="94">
        <v>0.0</v>
      </c>
      <c r="AA898" s="94">
        <v>0.0</v>
      </c>
      <c r="AB898" s="94">
        <v>0.0</v>
      </c>
      <c r="AC898" s="94">
        <v>0.0</v>
      </c>
      <c r="AD898" s="94">
        <v>0.0</v>
      </c>
      <c r="AE898" s="94">
        <v>0.0</v>
      </c>
      <c r="AF898" s="94">
        <v>0.0</v>
      </c>
      <c r="AG898" s="94">
        <v>0.0</v>
      </c>
      <c r="AH898" s="94">
        <v>0.0</v>
      </c>
    </row>
    <row r="899" hidden="1">
      <c r="A899" s="109" t="s">
        <v>56</v>
      </c>
      <c r="B899" s="116"/>
      <c r="C899" s="94">
        <v>0.0</v>
      </c>
      <c r="D899" s="94">
        <v>0.0</v>
      </c>
      <c r="E899" s="96">
        <f>SUM(L899*I899)/60</f>
        <v>0</v>
      </c>
      <c r="F899" s="94">
        <v>0.0</v>
      </c>
      <c r="G899" s="94">
        <v>0.0</v>
      </c>
      <c r="H899" s="94">
        <v>0.0</v>
      </c>
      <c r="I899" s="94">
        <v>0.0</v>
      </c>
      <c r="J899" s="95">
        <f t="shared" si="669"/>
        <v>0</v>
      </c>
      <c r="K899" s="87" t="str">
        <f t="shared" si="670"/>
        <v>#DIV/0!</v>
      </c>
      <c r="L899" s="94">
        <v>0.0</v>
      </c>
      <c r="M899" s="94">
        <v>0.0</v>
      </c>
      <c r="N899" s="85">
        <v>0.0</v>
      </c>
      <c r="O899" s="110">
        <f t="shared" si="677"/>
        <v>0</v>
      </c>
      <c r="P899" s="94">
        <v>0.0</v>
      </c>
      <c r="Q899" s="94">
        <v>0.0</v>
      </c>
      <c r="R899" s="94">
        <v>0.0</v>
      </c>
      <c r="S899" s="94">
        <v>0.0</v>
      </c>
      <c r="T899" s="94">
        <v>0.0</v>
      </c>
      <c r="U899" s="94">
        <v>0.0</v>
      </c>
      <c r="V899" s="94">
        <v>0.0</v>
      </c>
      <c r="W899" s="94">
        <v>0.0</v>
      </c>
      <c r="X899" s="94">
        <v>0.0</v>
      </c>
      <c r="Y899" s="94">
        <v>0.0</v>
      </c>
      <c r="Z899" s="94">
        <v>0.0</v>
      </c>
      <c r="AA899" s="94">
        <v>0.0</v>
      </c>
      <c r="AB899" s="94">
        <v>0.0</v>
      </c>
      <c r="AC899" s="94">
        <v>0.0</v>
      </c>
      <c r="AD899" s="94">
        <v>0.0</v>
      </c>
      <c r="AE899" s="94">
        <v>0.0</v>
      </c>
      <c r="AF899" s="94">
        <v>0.0</v>
      </c>
      <c r="AG899" s="94">
        <v>0.0</v>
      </c>
      <c r="AH899" s="94">
        <v>0.0</v>
      </c>
    </row>
    <row r="900" hidden="1">
      <c r="A900" s="89" t="s">
        <v>185</v>
      </c>
      <c r="B900" s="111"/>
      <c r="C900" s="111">
        <f>SUM(C894:C899)</f>
        <v>4</v>
      </c>
      <c r="D900" s="111">
        <f t="shared" ref="D900:E900" si="678">SUM(D894:D899)/4</f>
        <v>1</v>
      </c>
      <c r="E900" s="91">
        <f t="shared" si="678"/>
        <v>33</v>
      </c>
      <c r="F900" s="111">
        <f t="shared" ref="F900:G900" si="679">SUM(F894:F899)</f>
        <v>5</v>
      </c>
      <c r="G900" s="111">
        <f t="shared" si="679"/>
        <v>415</v>
      </c>
      <c r="H900" s="111"/>
      <c r="I900" s="111">
        <f>SUM(I894:I899)</f>
        <v>418</v>
      </c>
      <c r="J900" s="111">
        <f t="shared" si="669"/>
        <v>-3</v>
      </c>
      <c r="K900" s="92">
        <f t="shared" si="670"/>
        <v>0.9928229665</v>
      </c>
      <c r="L900" s="111">
        <f t="shared" ref="L900:M900" si="680">SUM(L894:L899)</f>
        <v>62</v>
      </c>
      <c r="M900" s="111">
        <f t="shared" si="680"/>
        <v>523</v>
      </c>
      <c r="N900" s="111"/>
      <c r="O900" s="112"/>
      <c r="P900" s="111">
        <f t="shared" ref="P900:AH900" si="681">SUM(P894:P899)</f>
        <v>16</v>
      </c>
      <c r="Q900" s="111">
        <f t="shared" si="681"/>
        <v>7</v>
      </c>
      <c r="R900" s="111">
        <f t="shared" si="681"/>
        <v>15</v>
      </c>
      <c r="S900" s="111">
        <f t="shared" si="681"/>
        <v>8</v>
      </c>
      <c r="T900" s="111">
        <f t="shared" si="681"/>
        <v>54</v>
      </c>
      <c r="U900" s="111">
        <f t="shared" si="681"/>
        <v>8</v>
      </c>
      <c r="V900" s="111">
        <f t="shared" si="681"/>
        <v>3</v>
      </c>
      <c r="W900" s="111">
        <f t="shared" si="681"/>
        <v>0</v>
      </c>
      <c r="X900" s="111">
        <f t="shared" si="681"/>
        <v>0</v>
      </c>
      <c r="Y900" s="111">
        <f t="shared" si="681"/>
        <v>0</v>
      </c>
      <c r="Z900" s="111">
        <f t="shared" si="681"/>
        <v>0</v>
      </c>
      <c r="AA900" s="111">
        <f t="shared" si="681"/>
        <v>0</v>
      </c>
      <c r="AB900" s="111">
        <f t="shared" si="681"/>
        <v>0</v>
      </c>
      <c r="AC900" s="111">
        <f t="shared" si="681"/>
        <v>7</v>
      </c>
      <c r="AD900" s="111">
        <f t="shared" si="681"/>
        <v>0</v>
      </c>
      <c r="AE900" s="111">
        <f t="shared" si="681"/>
        <v>0</v>
      </c>
      <c r="AF900" s="111">
        <f t="shared" si="681"/>
        <v>0</v>
      </c>
      <c r="AG900" s="111">
        <f t="shared" si="681"/>
        <v>0</v>
      </c>
      <c r="AH900" s="111">
        <f t="shared" si="681"/>
        <v>0</v>
      </c>
    </row>
    <row r="901">
      <c r="A901" s="115" t="s">
        <v>306</v>
      </c>
    </row>
    <row r="903" hidden="1">
      <c r="A903" s="105"/>
      <c r="F903" s="106" t="s">
        <v>251</v>
      </c>
      <c r="L903" s="107" t="s">
        <v>252</v>
      </c>
      <c r="N903" s="108" t="s">
        <v>253</v>
      </c>
    </row>
    <row r="904" hidden="1">
      <c r="A904" s="76" t="s">
        <v>148</v>
      </c>
      <c r="B904" s="76" t="s">
        <v>149</v>
      </c>
      <c r="C904" s="76" t="s">
        <v>150</v>
      </c>
      <c r="D904" s="76" t="s">
        <v>13</v>
      </c>
      <c r="E904" s="77" t="s">
        <v>151</v>
      </c>
      <c r="F904" s="78" t="s">
        <v>15</v>
      </c>
      <c r="G904" s="78" t="s">
        <v>152</v>
      </c>
      <c r="H904" s="78" t="s">
        <v>153</v>
      </c>
      <c r="I904" s="78" t="s">
        <v>154</v>
      </c>
      <c r="J904" s="78" t="s">
        <v>155</v>
      </c>
      <c r="K904" s="79" t="s">
        <v>156</v>
      </c>
      <c r="L904" s="80" t="s">
        <v>157</v>
      </c>
      <c r="M904" s="80" t="s">
        <v>158</v>
      </c>
      <c r="N904" s="81" t="s">
        <v>254</v>
      </c>
      <c r="O904" s="81" t="s">
        <v>151</v>
      </c>
      <c r="P904" s="81" t="s">
        <v>160</v>
      </c>
      <c r="Q904" s="81" t="s">
        <v>161</v>
      </c>
      <c r="R904" s="81" t="s">
        <v>162</v>
      </c>
      <c r="S904" s="81" t="s">
        <v>163</v>
      </c>
      <c r="T904" s="81" t="s">
        <v>164</v>
      </c>
      <c r="U904" s="81" t="s">
        <v>165</v>
      </c>
      <c r="V904" s="81" t="s">
        <v>166</v>
      </c>
      <c r="W904" s="81" t="s">
        <v>167</v>
      </c>
      <c r="X904" s="81" t="s">
        <v>168</v>
      </c>
      <c r="Y904" s="81" t="s">
        <v>169</v>
      </c>
      <c r="Z904" s="81" t="s">
        <v>170</v>
      </c>
      <c r="AA904" s="81" t="s">
        <v>171</v>
      </c>
      <c r="AB904" s="81" t="s">
        <v>172</v>
      </c>
      <c r="AC904" s="81" t="s">
        <v>173</v>
      </c>
      <c r="AD904" s="81" t="s">
        <v>174</v>
      </c>
      <c r="AE904" s="81" t="s">
        <v>175</v>
      </c>
      <c r="AF904" s="81" t="s">
        <v>176</v>
      </c>
      <c r="AG904" s="81" t="s">
        <v>177</v>
      </c>
      <c r="AH904" s="81" t="s">
        <v>178</v>
      </c>
    </row>
    <row r="905" hidden="1">
      <c r="A905" s="109" t="s">
        <v>44</v>
      </c>
      <c r="B905" s="93" t="s">
        <v>186</v>
      </c>
      <c r="C905" s="85">
        <v>1.0</v>
      </c>
      <c r="D905" s="85">
        <v>1.0</v>
      </c>
      <c r="E905" s="86">
        <v>50.0</v>
      </c>
      <c r="F905" s="94">
        <v>0.0</v>
      </c>
      <c r="G905" s="85">
        <v>165.0</v>
      </c>
      <c r="H905" s="94">
        <v>0.0</v>
      </c>
      <c r="I905" s="85">
        <v>237.0</v>
      </c>
      <c r="J905" s="95">
        <f t="shared" ref="J905:J918" si="682">SUM(G905-I905)</f>
        <v>-72</v>
      </c>
      <c r="K905" s="87">
        <f t="shared" ref="K905:K918" si="683">SUM(G905/I905)</f>
        <v>0.6962025316</v>
      </c>
      <c r="L905" s="85">
        <v>9.0</v>
      </c>
      <c r="M905" s="85">
        <v>205.0</v>
      </c>
      <c r="N905" s="85">
        <v>1.0</v>
      </c>
      <c r="O905" s="110">
        <f t="shared" ref="O905:O910" si="684">(E905*N905)</f>
        <v>50</v>
      </c>
      <c r="P905" s="85">
        <v>2.0</v>
      </c>
      <c r="Q905" s="85">
        <v>3.0</v>
      </c>
      <c r="R905" s="85">
        <v>16.0</v>
      </c>
      <c r="S905" s="85">
        <v>4.0</v>
      </c>
      <c r="T905" s="85">
        <v>23.0</v>
      </c>
      <c r="U905" s="85">
        <v>2.0</v>
      </c>
      <c r="V905" s="94">
        <v>0.0</v>
      </c>
      <c r="W905" s="94">
        <v>0.0</v>
      </c>
      <c r="X905" s="94">
        <v>0.0</v>
      </c>
      <c r="Y905" s="94">
        <v>0.0</v>
      </c>
      <c r="Z905" s="94">
        <v>0.0</v>
      </c>
      <c r="AA905" s="94">
        <v>0.0</v>
      </c>
      <c r="AB905" s="94">
        <v>0.0</v>
      </c>
      <c r="AC905" s="94">
        <v>0.0</v>
      </c>
      <c r="AD905" s="94">
        <v>0.0</v>
      </c>
      <c r="AE905" s="94">
        <v>0.0</v>
      </c>
      <c r="AF905" s="94">
        <v>0.0</v>
      </c>
      <c r="AG905" s="94">
        <v>0.0</v>
      </c>
      <c r="AH905" s="94">
        <v>0.0</v>
      </c>
    </row>
    <row r="906" hidden="1">
      <c r="A906" s="109" t="s">
        <v>44</v>
      </c>
      <c r="B906" s="93" t="s">
        <v>187</v>
      </c>
      <c r="C906" s="85">
        <v>1.0</v>
      </c>
      <c r="D906" s="85">
        <v>1.0</v>
      </c>
      <c r="E906" s="86">
        <v>50.0</v>
      </c>
      <c r="F906" s="94">
        <v>0.0</v>
      </c>
      <c r="G906" s="85">
        <v>202.0</v>
      </c>
      <c r="H906" s="85">
        <v>1.0</v>
      </c>
      <c r="I906" s="85">
        <v>169.0</v>
      </c>
      <c r="J906" s="95">
        <f t="shared" si="682"/>
        <v>33</v>
      </c>
      <c r="K906" s="87">
        <f t="shared" si="683"/>
        <v>1.195266272</v>
      </c>
      <c r="L906" s="85">
        <v>14.0</v>
      </c>
      <c r="M906" s="85">
        <v>260.0</v>
      </c>
      <c r="N906" s="85">
        <v>1.0</v>
      </c>
      <c r="O906" s="110">
        <f t="shared" si="684"/>
        <v>50</v>
      </c>
      <c r="P906" s="85">
        <v>8.0</v>
      </c>
      <c r="Q906" s="85">
        <v>7.0</v>
      </c>
      <c r="R906" s="85">
        <v>16.0</v>
      </c>
      <c r="S906" s="85">
        <v>4.0</v>
      </c>
      <c r="T906" s="85">
        <v>33.0</v>
      </c>
      <c r="U906" s="85">
        <v>6.0</v>
      </c>
      <c r="V906" s="85">
        <v>1.0</v>
      </c>
      <c r="W906" s="94">
        <v>0.0</v>
      </c>
      <c r="X906" s="94">
        <v>0.0</v>
      </c>
      <c r="Y906" s="94">
        <v>0.0</v>
      </c>
      <c r="Z906" s="94">
        <v>0.0</v>
      </c>
      <c r="AA906" s="94">
        <v>0.0</v>
      </c>
      <c r="AB906" s="94">
        <v>0.0</v>
      </c>
      <c r="AC906" s="85">
        <v>5.0</v>
      </c>
      <c r="AD906" s="94">
        <v>0.0</v>
      </c>
      <c r="AE906" s="94">
        <v>0.0</v>
      </c>
      <c r="AF906" s="94">
        <v>0.0</v>
      </c>
      <c r="AG906" s="94">
        <v>0.0</v>
      </c>
      <c r="AH906" s="94">
        <v>0.0</v>
      </c>
    </row>
    <row r="907" hidden="1">
      <c r="A907" s="109" t="s">
        <v>44</v>
      </c>
      <c r="B907" s="93" t="s">
        <v>188</v>
      </c>
      <c r="C907" s="85">
        <v>1.0</v>
      </c>
      <c r="D907" s="85">
        <v>1.0</v>
      </c>
      <c r="E907" s="86">
        <v>50.0</v>
      </c>
      <c r="F907" s="85">
        <v>5.0</v>
      </c>
      <c r="G907" s="85">
        <v>111.0</v>
      </c>
      <c r="H907" s="94">
        <v>0.0</v>
      </c>
      <c r="I907" s="85">
        <v>109.0</v>
      </c>
      <c r="J907" s="95">
        <f t="shared" si="682"/>
        <v>2</v>
      </c>
      <c r="K907" s="87">
        <f t="shared" si="683"/>
        <v>1.018348624</v>
      </c>
      <c r="L907" s="85">
        <v>24.0</v>
      </c>
      <c r="M907" s="85">
        <v>148.0</v>
      </c>
      <c r="N907" s="85">
        <v>1.0</v>
      </c>
      <c r="O907" s="110">
        <f t="shared" si="684"/>
        <v>50</v>
      </c>
      <c r="P907" s="85">
        <v>12.0</v>
      </c>
      <c r="Q907" s="85">
        <v>3.0</v>
      </c>
      <c r="R907" s="85">
        <v>3.0</v>
      </c>
      <c r="S907" s="85">
        <v>3.0</v>
      </c>
      <c r="T907" s="85">
        <v>14.0</v>
      </c>
      <c r="U907" s="94">
        <v>0.0</v>
      </c>
      <c r="V907" s="94">
        <v>0.0</v>
      </c>
      <c r="W907" s="94">
        <v>0.0</v>
      </c>
      <c r="X907" s="94">
        <v>0.0</v>
      </c>
      <c r="Y907" s="94">
        <v>0.0</v>
      </c>
      <c r="Z907" s="94">
        <v>0.0</v>
      </c>
      <c r="AA907" s="94">
        <v>0.0</v>
      </c>
      <c r="AB907" s="94">
        <v>0.0</v>
      </c>
      <c r="AC907" s="85">
        <v>2.0</v>
      </c>
      <c r="AD907" s="94">
        <v>0.0</v>
      </c>
      <c r="AE907" s="94">
        <v>0.0</v>
      </c>
      <c r="AF907" s="94">
        <v>0.0</v>
      </c>
      <c r="AG907" s="94">
        <v>0.0</v>
      </c>
      <c r="AH907" s="94">
        <v>0.0</v>
      </c>
    </row>
    <row r="908" hidden="1">
      <c r="A908" s="109" t="s">
        <v>44</v>
      </c>
      <c r="B908" s="93" t="s">
        <v>189</v>
      </c>
      <c r="C908" s="85">
        <v>1.0</v>
      </c>
      <c r="D908" s="85">
        <v>1.0</v>
      </c>
      <c r="E908" s="86">
        <v>50.0</v>
      </c>
      <c r="F908" s="94">
        <v>0.0</v>
      </c>
      <c r="G908" s="85">
        <v>189.0</v>
      </c>
      <c r="H908" s="85">
        <v>2.0</v>
      </c>
      <c r="I908" s="85">
        <v>183.0</v>
      </c>
      <c r="J908" s="95">
        <f t="shared" si="682"/>
        <v>6</v>
      </c>
      <c r="K908" s="87">
        <f t="shared" si="683"/>
        <v>1.032786885</v>
      </c>
      <c r="L908" s="85">
        <v>13.0</v>
      </c>
      <c r="M908" s="85">
        <v>255.0</v>
      </c>
      <c r="N908" s="85">
        <v>1.0</v>
      </c>
      <c r="O908" s="110">
        <f t="shared" si="684"/>
        <v>50</v>
      </c>
      <c r="P908" s="85">
        <v>3.0</v>
      </c>
      <c r="Q908" s="85">
        <v>2.0</v>
      </c>
      <c r="R908" s="85">
        <v>23.0</v>
      </c>
      <c r="S908" s="85">
        <v>5.0</v>
      </c>
      <c r="T908" s="85">
        <v>27.0</v>
      </c>
      <c r="U908" s="85">
        <v>3.0</v>
      </c>
      <c r="V908" s="85">
        <v>2.0</v>
      </c>
      <c r="W908" s="85">
        <v>2.0</v>
      </c>
      <c r="X908" s="85">
        <v>1.0</v>
      </c>
      <c r="Y908" s="94">
        <v>0.0</v>
      </c>
      <c r="Z908" s="94">
        <v>0.0</v>
      </c>
      <c r="AA908" s="94">
        <v>0.0</v>
      </c>
      <c r="AB908" s="94">
        <v>0.0</v>
      </c>
      <c r="AC908" s="85">
        <v>4.0</v>
      </c>
      <c r="AD908" s="94">
        <v>0.0</v>
      </c>
      <c r="AE908" s="94">
        <v>0.0</v>
      </c>
      <c r="AF908" s="94">
        <v>0.0</v>
      </c>
      <c r="AG908" s="94">
        <v>0.0</v>
      </c>
      <c r="AH908" s="94">
        <v>0.0</v>
      </c>
    </row>
    <row r="909" hidden="1">
      <c r="A909" s="109" t="s">
        <v>44</v>
      </c>
      <c r="B909" s="93" t="s">
        <v>190</v>
      </c>
      <c r="C909" s="94">
        <v>0.0</v>
      </c>
      <c r="D909" s="85">
        <v>0.0</v>
      </c>
      <c r="E909" s="96">
        <f t="shared" ref="E909:E910" si="685">SUM(L909*I909)/60</f>
        <v>0</v>
      </c>
      <c r="F909" s="94">
        <v>0.0</v>
      </c>
      <c r="G909" s="94">
        <v>0.0</v>
      </c>
      <c r="H909" s="94">
        <v>0.0</v>
      </c>
      <c r="I909" s="94">
        <v>0.0</v>
      </c>
      <c r="J909" s="95">
        <f t="shared" si="682"/>
        <v>0</v>
      </c>
      <c r="K909" s="87" t="str">
        <f t="shared" si="683"/>
        <v>#DIV/0!</v>
      </c>
      <c r="L909" s="94">
        <v>0.0</v>
      </c>
      <c r="M909" s="94">
        <v>0.0</v>
      </c>
      <c r="N909" s="85">
        <v>0.0</v>
      </c>
      <c r="O909" s="110">
        <f t="shared" si="684"/>
        <v>0</v>
      </c>
      <c r="P909" s="94">
        <v>0.0</v>
      </c>
      <c r="Q909" s="94">
        <v>0.0</v>
      </c>
      <c r="R909" s="94">
        <v>0.0</v>
      </c>
      <c r="S909" s="94">
        <v>0.0</v>
      </c>
      <c r="T909" s="94">
        <v>0.0</v>
      </c>
      <c r="U909" s="94">
        <v>0.0</v>
      </c>
      <c r="V909" s="94">
        <v>0.0</v>
      </c>
      <c r="W909" s="94">
        <v>0.0</v>
      </c>
      <c r="X909" s="94">
        <v>0.0</v>
      </c>
      <c r="Y909" s="94">
        <v>0.0</v>
      </c>
      <c r="Z909" s="94">
        <v>0.0</v>
      </c>
      <c r="AA909" s="94">
        <v>0.0</v>
      </c>
      <c r="AB909" s="94">
        <v>0.0</v>
      </c>
      <c r="AC909" s="94">
        <v>0.0</v>
      </c>
      <c r="AD909" s="94">
        <v>0.0</v>
      </c>
      <c r="AE909" s="94">
        <v>0.0</v>
      </c>
      <c r="AF909" s="94">
        <v>0.0</v>
      </c>
      <c r="AG909" s="94">
        <v>0.0</v>
      </c>
      <c r="AH909" s="94">
        <v>0.0</v>
      </c>
    </row>
    <row r="910" hidden="1">
      <c r="A910" s="109" t="s">
        <v>44</v>
      </c>
      <c r="B910" s="116"/>
      <c r="C910" s="94">
        <v>0.0</v>
      </c>
      <c r="D910" s="94">
        <v>0.0</v>
      </c>
      <c r="E910" s="96">
        <f t="shared" si="685"/>
        <v>0</v>
      </c>
      <c r="F910" s="94">
        <v>0.0</v>
      </c>
      <c r="G910" s="94">
        <v>0.0</v>
      </c>
      <c r="H910" s="94">
        <v>0.0</v>
      </c>
      <c r="I910" s="94">
        <v>0.0</v>
      </c>
      <c r="J910" s="95">
        <f t="shared" si="682"/>
        <v>0</v>
      </c>
      <c r="K910" s="87" t="str">
        <f t="shared" si="683"/>
        <v>#DIV/0!</v>
      </c>
      <c r="L910" s="94">
        <v>0.0</v>
      </c>
      <c r="M910" s="94">
        <v>0.0</v>
      </c>
      <c r="N910" s="85">
        <v>0.0</v>
      </c>
      <c r="O910" s="110">
        <f t="shared" si="684"/>
        <v>0</v>
      </c>
      <c r="P910" s="94">
        <v>0.0</v>
      </c>
      <c r="Q910" s="94">
        <v>0.0</v>
      </c>
      <c r="R910" s="94">
        <v>0.0</v>
      </c>
      <c r="S910" s="94">
        <v>0.0</v>
      </c>
      <c r="T910" s="94">
        <v>0.0</v>
      </c>
      <c r="U910" s="94">
        <v>0.0</v>
      </c>
      <c r="V910" s="94">
        <v>0.0</v>
      </c>
      <c r="W910" s="94">
        <v>0.0</v>
      </c>
      <c r="X910" s="94">
        <v>0.0</v>
      </c>
      <c r="Y910" s="94">
        <v>0.0</v>
      </c>
      <c r="Z910" s="94">
        <v>0.0</v>
      </c>
      <c r="AA910" s="94">
        <v>0.0</v>
      </c>
      <c r="AB910" s="94">
        <v>0.0</v>
      </c>
      <c r="AC910" s="94">
        <v>0.0</v>
      </c>
      <c r="AD910" s="94">
        <v>0.0</v>
      </c>
      <c r="AE910" s="94">
        <v>0.0</v>
      </c>
      <c r="AF910" s="94">
        <v>0.0</v>
      </c>
      <c r="AG910" s="94">
        <v>0.0</v>
      </c>
      <c r="AH910" s="94">
        <v>0.0</v>
      </c>
    </row>
    <row r="911" hidden="1">
      <c r="A911" s="89"/>
      <c r="B911" s="111"/>
      <c r="C911" s="111">
        <f t="shared" ref="C911:D911" si="686">SUM(C905:C910)/4</f>
        <v>1</v>
      </c>
      <c r="D911" s="111">
        <f t="shared" si="686"/>
        <v>1</v>
      </c>
      <c r="E911" s="91">
        <f t="shared" ref="E911:G911" si="687">SUM(E905:E910)</f>
        <v>200</v>
      </c>
      <c r="F911" s="111">
        <f t="shared" si="687"/>
        <v>5</v>
      </c>
      <c r="G911" s="111">
        <f t="shared" si="687"/>
        <v>667</v>
      </c>
      <c r="H911" s="111"/>
      <c r="I911" s="111">
        <f>SUM(I905:I910)</f>
        <v>698</v>
      </c>
      <c r="J911" s="111">
        <f t="shared" si="682"/>
        <v>-31</v>
      </c>
      <c r="K911" s="92">
        <f t="shared" si="683"/>
        <v>0.9555873926</v>
      </c>
      <c r="L911" s="111">
        <f t="shared" ref="L911:M911" si="688">SUM(L905:L910)</f>
        <v>60</v>
      </c>
      <c r="M911" s="111">
        <f t="shared" si="688"/>
        <v>868</v>
      </c>
      <c r="N911" s="111"/>
      <c r="O911" s="112"/>
      <c r="P911" s="111">
        <f t="shared" ref="P911:AH911" si="689">SUM(P905:P910)</f>
        <v>25</v>
      </c>
      <c r="Q911" s="111">
        <f t="shared" si="689"/>
        <v>15</v>
      </c>
      <c r="R911" s="111">
        <f t="shared" si="689"/>
        <v>58</v>
      </c>
      <c r="S911" s="111">
        <f t="shared" si="689"/>
        <v>16</v>
      </c>
      <c r="T911" s="111">
        <f t="shared" si="689"/>
        <v>97</v>
      </c>
      <c r="U911" s="111">
        <f t="shared" si="689"/>
        <v>11</v>
      </c>
      <c r="V911" s="111">
        <f t="shared" si="689"/>
        <v>3</v>
      </c>
      <c r="W911" s="111">
        <f t="shared" si="689"/>
        <v>2</v>
      </c>
      <c r="X911" s="111">
        <f t="shared" si="689"/>
        <v>1</v>
      </c>
      <c r="Y911" s="111">
        <f t="shared" si="689"/>
        <v>0</v>
      </c>
      <c r="Z911" s="111">
        <f t="shared" si="689"/>
        <v>0</v>
      </c>
      <c r="AA911" s="111">
        <f t="shared" si="689"/>
        <v>0</v>
      </c>
      <c r="AB911" s="111">
        <f t="shared" si="689"/>
        <v>0</v>
      </c>
      <c r="AC911" s="111">
        <f t="shared" si="689"/>
        <v>11</v>
      </c>
      <c r="AD911" s="111">
        <f t="shared" si="689"/>
        <v>0</v>
      </c>
      <c r="AE911" s="111">
        <f t="shared" si="689"/>
        <v>0</v>
      </c>
      <c r="AF911" s="111">
        <f t="shared" si="689"/>
        <v>0</v>
      </c>
      <c r="AG911" s="111">
        <f t="shared" si="689"/>
        <v>0</v>
      </c>
      <c r="AH911" s="111">
        <f t="shared" si="689"/>
        <v>0</v>
      </c>
    </row>
    <row r="912" hidden="1">
      <c r="A912" s="109" t="s">
        <v>56</v>
      </c>
      <c r="B912" s="93" t="s">
        <v>203</v>
      </c>
      <c r="C912" s="85">
        <v>1.0</v>
      </c>
      <c r="D912" s="94">
        <v>0.0</v>
      </c>
      <c r="E912" s="86">
        <v>50.0</v>
      </c>
      <c r="F912" s="94">
        <v>0.0</v>
      </c>
      <c r="G912" s="85">
        <v>188.0</v>
      </c>
      <c r="H912" s="85">
        <v>2.0</v>
      </c>
      <c r="I912" s="85">
        <v>189.0</v>
      </c>
      <c r="J912" s="95">
        <f t="shared" si="682"/>
        <v>-1</v>
      </c>
      <c r="K912" s="87">
        <f t="shared" si="683"/>
        <v>0.9947089947</v>
      </c>
      <c r="L912" s="85">
        <v>13.0</v>
      </c>
      <c r="M912" s="85">
        <v>240.0</v>
      </c>
      <c r="N912" s="85">
        <v>1.0</v>
      </c>
      <c r="O912" s="110">
        <f t="shared" ref="O912:O917" si="690">(E912*N912)</f>
        <v>50</v>
      </c>
      <c r="P912" s="85">
        <v>5.0</v>
      </c>
      <c r="Q912" s="85">
        <v>4.0</v>
      </c>
      <c r="R912" s="85">
        <v>10.0</v>
      </c>
      <c r="S912" s="85">
        <v>3.0</v>
      </c>
      <c r="T912" s="85">
        <v>21.0</v>
      </c>
      <c r="U912" s="85">
        <v>8.0</v>
      </c>
      <c r="V912" s="85">
        <v>3.0</v>
      </c>
      <c r="W912" s="85">
        <v>1.0</v>
      </c>
      <c r="X912" s="94">
        <v>0.0</v>
      </c>
      <c r="Y912" s="94">
        <v>0.0</v>
      </c>
      <c r="Z912" s="94">
        <v>0.0</v>
      </c>
      <c r="AA912" s="94">
        <v>0.0</v>
      </c>
      <c r="AB912" s="94">
        <v>0.0</v>
      </c>
      <c r="AC912" s="85">
        <v>6.0</v>
      </c>
      <c r="AD912" s="94">
        <v>0.0</v>
      </c>
      <c r="AE912" s="94">
        <v>0.0</v>
      </c>
      <c r="AF912" s="94">
        <v>0.0</v>
      </c>
      <c r="AG912" s="94">
        <v>0.0</v>
      </c>
      <c r="AH912" s="94">
        <v>0.0</v>
      </c>
    </row>
    <row r="913" hidden="1">
      <c r="A913" s="109" t="s">
        <v>56</v>
      </c>
      <c r="B913" s="93" t="s">
        <v>204</v>
      </c>
      <c r="C913" s="85">
        <v>1.0</v>
      </c>
      <c r="D913" s="94">
        <v>0.0</v>
      </c>
      <c r="E913" s="86">
        <v>50.0</v>
      </c>
      <c r="F913" s="94">
        <v>0.0</v>
      </c>
      <c r="G913" s="85">
        <v>180.0</v>
      </c>
      <c r="H913" s="85">
        <v>2.0</v>
      </c>
      <c r="I913" s="85">
        <v>182.0</v>
      </c>
      <c r="J913" s="95">
        <f t="shared" si="682"/>
        <v>-2</v>
      </c>
      <c r="K913" s="87">
        <f t="shared" si="683"/>
        <v>0.989010989</v>
      </c>
      <c r="L913" s="85">
        <v>13.0</v>
      </c>
      <c r="M913" s="85">
        <v>231.0</v>
      </c>
      <c r="N913" s="85">
        <v>1.0</v>
      </c>
      <c r="O913" s="110">
        <f t="shared" si="690"/>
        <v>50</v>
      </c>
      <c r="P913" s="85">
        <v>3.0</v>
      </c>
      <c r="Q913" s="85">
        <v>4.0</v>
      </c>
      <c r="R913" s="85">
        <v>15.0</v>
      </c>
      <c r="S913" s="85">
        <v>3.0</v>
      </c>
      <c r="T913" s="85">
        <v>27.0</v>
      </c>
      <c r="U913" s="85">
        <v>7.0</v>
      </c>
      <c r="V913" s="85">
        <v>1.0</v>
      </c>
      <c r="W913" s="94">
        <v>0.0</v>
      </c>
      <c r="X913" s="94">
        <v>0.0</v>
      </c>
      <c r="Y913" s="94">
        <v>0.0</v>
      </c>
      <c r="Z913" s="94">
        <v>0.0</v>
      </c>
      <c r="AA913" s="94">
        <v>0.0</v>
      </c>
      <c r="AB913" s="94">
        <v>0.0</v>
      </c>
      <c r="AC913" s="85">
        <v>2.0</v>
      </c>
      <c r="AD913" s="94">
        <v>0.0</v>
      </c>
      <c r="AE913" s="94">
        <v>0.0</v>
      </c>
      <c r="AF913" s="94">
        <v>0.0</v>
      </c>
      <c r="AG913" s="94">
        <v>0.0</v>
      </c>
      <c r="AH913" s="94">
        <v>0.0</v>
      </c>
    </row>
    <row r="914" hidden="1">
      <c r="A914" s="109" t="s">
        <v>56</v>
      </c>
      <c r="B914" s="93" t="s">
        <v>205</v>
      </c>
      <c r="C914" s="85">
        <v>1.0</v>
      </c>
      <c r="D914" s="94">
        <v>0.0</v>
      </c>
      <c r="E914" s="86">
        <v>50.0</v>
      </c>
      <c r="F914" s="85">
        <v>1.0</v>
      </c>
      <c r="G914" s="85">
        <v>238.0</v>
      </c>
      <c r="H914" s="85">
        <v>1.0</v>
      </c>
      <c r="I914" s="85">
        <v>181.0</v>
      </c>
      <c r="J914" s="95">
        <f t="shared" si="682"/>
        <v>57</v>
      </c>
      <c r="K914" s="87">
        <f t="shared" si="683"/>
        <v>1.314917127</v>
      </c>
      <c r="L914" s="85">
        <v>13.0</v>
      </c>
      <c r="M914" s="85">
        <v>322.0</v>
      </c>
      <c r="N914" s="85">
        <v>1.0</v>
      </c>
      <c r="O914" s="110">
        <f t="shared" si="690"/>
        <v>50</v>
      </c>
      <c r="P914" s="85">
        <v>9.0</v>
      </c>
      <c r="Q914" s="85">
        <v>2.0</v>
      </c>
      <c r="R914" s="85">
        <v>14.0</v>
      </c>
      <c r="S914" s="85">
        <v>2.0</v>
      </c>
      <c r="T914" s="85">
        <v>39.0</v>
      </c>
      <c r="U914" s="85">
        <v>10.0</v>
      </c>
      <c r="V914" s="85">
        <v>5.0</v>
      </c>
      <c r="W914" s="85">
        <v>1.0</v>
      </c>
      <c r="X914" s="94">
        <v>0.0</v>
      </c>
      <c r="Y914" s="94">
        <v>0.0</v>
      </c>
      <c r="Z914" s="94">
        <v>0.0</v>
      </c>
      <c r="AA914" s="94">
        <v>0.0</v>
      </c>
      <c r="AB914" s="94">
        <v>0.0</v>
      </c>
      <c r="AC914" s="85">
        <v>8.0</v>
      </c>
      <c r="AD914" s="94">
        <v>0.0</v>
      </c>
      <c r="AE914" s="94">
        <v>0.0</v>
      </c>
      <c r="AF914" s="94">
        <v>0.0</v>
      </c>
      <c r="AG914" s="94">
        <v>0.0</v>
      </c>
      <c r="AH914" s="94">
        <v>0.0</v>
      </c>
    </row>
    <row r="915" hidden="1">
      <c r="A915" s="109" t="s">
        <v>56</v>
      </c>
      <c r="B915" s="93" t="s">
        <v>206</v>
      </c>
      <c r="C915" s="94">
        <v>0.0</v>
      </c>
      <c r="D915" s="94">
        <v>0.0</v>
      </c>
      <c r="E915" s="96">
        <f>SUM(L915*I915)/60</f>
        <v>0</v>
      </c>
      <c r="F915" s="85">
        <v>0.0</v>
      </c>
      <c r="G915" s="85">
        <v>0.0</v>
      </c>
      <c r="H915" s="94">
        <v>0.0</v>
      </c>
      <c r="I915" s="85">
        <v>0.0</v>
      </c>
      <c r="J915" s="95">
        <f t="shared" si="682"/>
        <v>0</v>
      </c>
      <c r="K915" s="87" t="str">
        <f t="shared" si="683"/>
        <v>#DIV/0!</v>
      </c>
      <c r="L915" s="94">
        <v>0.0</v>
      </c>
      <c r="M915" s="94">
        <v>0.0</v>
      </c>
      <c r="N915" s="85">
        <v>0.0</v>
      </c>
      <c r="O915" s="110">
        <f t="shared" si="690"/>
        <v>0</v>
      </c>
      <c r="P915" s="94">
        <v>0.0</v>
      </c>
      <c r="Q915" s="94">
        <v>0.0</v>
      </c>
      <c r="R915" s="94">
        <v>0.0</v>
      </c>
      <c r="S915" s="94">
        <v>0.0</v>
      </c>
      <c r="T915" s="94">
        <v>0.0</v>
      </c>
      <c r="U915" s="94">
        <v>0.0</v>
      </c>
      <c r="V915" s="94">
        <v>0.0</v>
      </c>
      <c r="W915" s="94">
        <v>0.0</v>
      </c>
      <c r="X915" s="94">
        <v>0.0</v>
      </c>
      <c r="Y915" s="94">
        <v>0.0</v>
      </c>
      <c r="Z915" s="94">
        <v>0.0</v>
      </c>
      <c r="AA915" s="94">
        <v>0.0</v>
      </c>
      <c r="AB915" s="94">
        <v>0.0</v>
      </c>
      <c r="AC915" s="94">
        <v>0.0</v>
      </c>
      <c r="AD915" s="94">
        <v>0.0</v>
      </c>
      <c r="AE915" s="94">
        <v>0.0</v>
      </c>
      <c r="AF915" s="94">
        <v>0.0</v>
      </c>
      <c r="AG915" s="94">
        <v>0.0</v>
      </c>
      <c r="AH915" s="94">
        <v>0.0</v>
      </c>
    </row>
    <row r="916" hidden="1">
      <c r="A916" s="109" t="s">
        <v>56</v>
      </c>
      <c r="B916" s="93" t="s">
        <v>207</v>
      </c>
      <c r="C916" s="85">
        <v>1.0</v>
      </c>
      <c r="D916" s="85">
        <v>0.0</v>
      </c>
      <c r="E916" s="86">
        <v>50.0</v>
      </c>
      <c r="F916" s="85">
        <v>3.0</v>
      </c>
      <c r="G916" s="85">
        <v>73.0</v>
      </c>
      <c r="H916" s="94">
        <v>0.0</v>
      </c>
      <c r="I916" s="85">
        <v>136.0</v>
      </c>
      <c r="J916" s="95">
        <f t="shared" si="682"/>
        <v>-63</v>
      </c>
      <c r="K916" s="87">
        <f t="shared" si="683"/>
        <v>0.5367647059</v>
      </c>
      <c r="L916" s="85">
        <v>19.0</v>
      </c>
      <c r="M916" s="85">
        <v>86.0</v>
      </c>
      <c r="N916" s="85">
        <v>1.0</v>
      </c>
      <c r="O916" s="110">
        <f t="shared" si="690"/>
        <v>50</v>
      </c>
      <c r="P916" s="85">
        <v>4.0</v>
      </c>
      <c r="Q916" s="85">
        <v>2.0</v>
      </c>
      <c r="R916" s="85">
        <v>2.0</v>
      </c>
      <c r="S916" s="85">
        <v>3.0</v>
      </c>
      <c r="T916" s="85">
        <v>4.0</v>
      </c>
      <c r="U916" s="94">
        <v>0.0</v>
      </c>
      <c r="V916" s="94">
        <v>0.0</v>
      </c>
      <c r="W916" s="94">
        <v>0.0</v>
      </c>
      <c r="X916" s="94">
        <v>0.0</v>
      </c>
      <c r="Y916" s="94">
        <v>0.0</v>
      </c>
      <c r="Z916" s="94">
        <v>0.0</v>
      </c>
      <c r="AA916" s="94">
        <v>0.0</v>
      </c>
      <c r="AB916" s="94">
        <v>0.0</v>
      </c>
      <c r="AC916" s="94">
        <v>0.0</v>
      </c>
      <c r="AD916" s="94">
        <v>0.0</v>
      </c>
      <c r="AE916" s="94">
        <v>0.0</v>
      </c>
      <c r="AF916" s="94">
        <v>0.0</v>
      </c>
      <c r="AG916" s="94">
        <v>0.0</v>
      </c>
      <c r="AH916" s="94">
        <v>0.0</v>
      </c>
    </row>
    <row r="917" hidden="1">
      <c r="A917" s="109" t="s">
        <v>56</v>
      </c>
      <c r="B917" s="116"/>
      <c r="C917" s="94">
        <v>0.0</v>
      </c>
      <c r="D917" s="94">
        <v>0.0</v>
      </c>
      <c r="E917" s="96">
        <f>SUM(L917*I917)/60</f>
        <v>0</v>
      </c>
      <c r="F917" s="94">
        <v>0.0</v>
      </c>
      <c r="G917" s="94">
        <v>0.0</v>
      </c>
      <c r="H917" s="94">
        <v>0.0</v>
      </c>
      <c r="I917" s="94">
        <v>0.0</v>
      </c>
      <c r="J917" s="95">
        <f t="shared" si="682"/>
        <v>0</v>
      </c>
      <c r="K917" s="87" t="str">
        <f t="shared" si="683"/>
        <v>#DIV/0!</v>
      </c>
      <c r="L917" s="94">
        <v>0.0</v>
      </c>
      <c r="M917" s="94">
        <v>0.0</v>
      </c>
      <c r="N917" s="85">
        <v>0.0</v>
      </c>
      <c r="O917" s="110">
        <f t="shared" si="690"/>
        <v>0</v>
      </c>
      <c r="P917" s="94">
        <v>0.0</v>
      </c>
      <c r="Q917" s="94">
        <v>0.0</v>
      </c>
      <c r="R917" s="94">
        <v>0.0</v>
      </c>
      <c r="S917" s="94">
        <v>0.0</v>
      </c>
      <c r="T917" s="94">
        <v>0.0</v>
      </c>
      <c r="U917" s="94">
        <v>0.0</v>
      </c>
      <c r="V917" s="94">
        <v>0.0</v>
      </c>
      <c r="W917" s="94">
        <v>0.0</v>
      </c>
      <c r="X917" s="94">
        <v>0.0</v>
      </c>
      <c r="Y917" s="94">
        <v>0.0</v>
      </c>
      <c r="Z917" s="94">
        <v>0.0</v>
      </c>
      <c r="AA917" s="94">
        <v>0.0</v>
      </c>
      <c r="AB917" s="94">
        <v>0.0</v>
      </c>
      <c r="AC917" s="94">
        <v>0.0</v>
      </c>
      <c r="AD917" s="94">
        <v>0.0</v>
      </c>
      <c r="AE917" s="94">
        <v>0.0</v>
      </c>
      <c r="AF917" s="94">
        <v>0.0</v>
      </c>
      <c r="AG917" s="94">
        <v>0.0</v>
      </c>
      <c r="AH917" s="94">
        <v>0.0</v>
      </c>
    </row>
    <row r="918" hidden="1">
      <c r="A918" s="89" t="s">
        <v>185</v>
      </c>
      <c r="B918" s="111"/>
      <c r="C918" s="111">
        <f>SUM(C912:C917)</f>
        <v>4</v>
      </c>
      <c r="D918" s="111">
        <f t="shared" ref="D918:E918" si="691">SUM(D912:D917)/4</f>
        <v>0</v>
      </c>
      <c r="E918" s="91">
        <f t="shared" si="691"/>
        <v>50</v>
      </c>
      <c r="F918" s="111">
        <f t="shared" ref="F918:G918" si="692">SUM(F912:F917)</f>
        <v>4</v>
      </c>
      <c r="G918" s="111">
        <f t="shared" si="692"/>
        <v>679</v>
      </c>
      <c r="H918" s="111"/>
      <c r="I918" s="111">
        <f>SUM(I912:I917)</f>
        <v>688</v>
      </c>
      <c r="J918" s="111">
        <f t="shared" si="682"/>
        <v>-9</v>
      </c>
      <c r="K918" s="92">
        <f t="shared" si="683"/>
        <v>0.9869186047</v>
      </c>
      <c r="L918" s="111">
        <f t="shared" ref="L918:M918" si="693">SUM(L912:L917)</f>
        <v>58</v>
      </c>
      <c r="M918" s="111">
        <f t="shared" si="693"/>
        <v>879</v>
      </c>
      <c r="N918" s="111"/>
      <c r="O918" s="112"/>
      <c r="P918" s="111">
        <f t="shared" ref="P918:AH918" si="694">SUM(P912:P917)</f>
        <v>21</v>
      </c>
      <c r="Q918" s="111">
        <f t="shared" si="694"/>
        <v>12</v>
      </c>
      <c r="R918" s="111">
        <f t="shared" si="694"/>
        <v>41</v>
      </c>
      <c r="S918" s="111">
        <f t="shared" si="694"/>
        <v>11</v>
      </c>
      <c r="T918" s="111">
        <f t="shared" si="694"/>
        <v>91</v>
      </c>
      <c r="U918" s="111">
        <f t="shared" si="694"/>
        <v>25</v>
      </c>
      <c r="V918" s="111">
        <f t="shared" si="694"/>
        <v>9</v>
      </c>
      <c r="W918" s="111">
        <f t="shared" si="694"/>
        <v>2</v>
      </c>
      <c r="X918" s="111">
        <f t="shared" si="694"/>
        <v>0</v>
      </c>
      <c r="Y918" s="111">
        <f t="shared" si="694"/>
        <v>0</v>
      </c>
      <c r="Z918" s="111">
        <f t="shared" si="694"/>
        <v>0</v>
      </c>
      <c r="AA918" s="111">
        <f t="shared" si="694"/>
        <v>0</v>
      </c>
      <c r="AB918" s="111">
        <f t="shared" si="694"/>
        <v>0</v>
      </c>
      <c r="AC918" s="111">
        <f t="shared" si="694"/>
        <v>16</v>
      </c>
      <c r="AD918" s="111">
        <f t="shared" si="694"/>
        <v>0</v>
      </c>
      <c r="AE918" s="111">
        <f t="shared" si="694"/>
        <v>0</v>
      </c>
      <c r="AF918" s="111">
        <f t="shared" si="694"/>
        <v>0</v>
      </c>
      <c r="AG918" s="111">
        <f t="shared" si="694"/>
        <v>0</v>
      </c>
      <c r="AH918" s="111">
        <f t="shared" si="694"/>
        <v>0</v>
      </c>
    </row>
    <row r="919">
      <c r="A919" s="113" t="s">
        <v>307</v>
      </c>
    </row>
    <row r="921" hidden="1">
      <c r="A921" s="105"/>
      <c r="F921" s="106" t="s">
        <v>251</v>
      </c>
      <c r="L921" s="107" t="s">
        <v>252</v>
      </c>
      <c r="N921" s="108" t="s">
        <v>253</v>
      </c>
    </row>
    <row r="922" hidden="1">
      <c r="A922" s="76" t="s">
        <v>148</v>
      </c>
      <c r="B922" s="76" t="s">
        <v>149</v>
      </c>
      <c r="C922" s="76" t="s">
        <v>150</v>
      </c>
      <c r="D922" s="76" t="s">
        <v>13</v>
      </c>
      <c r="E922" s="77" t="s">
        <v>151</v>
      </c>
      <c r="F922" s="78" t="s">
        <v>15</v>
      </c>
      <c r="G922" s="78" t="s">
        <v>152</v>
      </c>
      <c r="H922" s="78" t="s">
        <v>153</v>
      </c>
      <c r="I922" s="78" t="s">
        <v>154</v>
      </c>
      <c r="J922" s="78" t="s">
        <v>155</v>
      </c>
      <c r="K922" s="79" t="s">
        <v>156</v>
      </c>
      <c r="L922" s="80" t="s">
        <v>157</v>
      </c>
      <c r="M922" s="80" t="s">
        <v>158</v>
      </c>
      <c r="N922" s="81" t="s">
        <v>254</v>
      </c>
      <c r="O922" s="81" t="s">
        <v>151</v>
      </c>
      <c r="P922" s="81" t="s">
        <v>160</v>
      </c>
      <c r="Q922" s="81" t="s">
        <v>161</v>
      </c>
      <c r="R922" s="81" t="s">
        <v>162</v>
      </c>
      <c r="S922" s="81" t="s">
        <v>163</v>
      </c>
      <c r="T922" s="81" t="s">
        <v>164</v>
      </c>
      <c r="U922" s="81" t="s">
        <v>165</v>
      </c>
      <c r="V922" s="81" t="s">
        <v>166</v>
      </c>
      <c r="W922" s="81" t="s">
        <v>167</v>
      </c>
      <c r="X922" s="81" t="s">
        <v>168</v>
      </c>
      <c r="Y922" s="81" t="s">
        <v>169</v>
      </c>
      <c r="Z922" s="81" t="s">
        <v>170</v>
      </c>
      <c r="AA922" s="81" t="s">
        <v>171</v>
      </c>
      <c r="AB922" s="81" t="s">
        <v>172</v>
      </c>
      <c r="AC922" s="81" t="s">
        <v>173</v>
      </c>
      <c r="AD922" s="81" t="s">
        <v>174</v>
      </c>
      <c r="AE922" s="81" t="s">
        <v>175</v>
      </c>
      <c r="AF922" s="81" t="s">
        <v>176</v>
      </c>
      <c r="AG922" s="81" t="s">
        <v>177</v>
      </c>
      <c r="AH922" s="81" t="s">
        <v>178</v>
      </c>
    </row>
    <row r="923" hidden="1">
      <c r="A923" s="109" t="s">
        <v>44</v>
      </c>
      <c r="B923" s="93" t="s">
        <v>186</v>
      </c>
      <c r="C923" s="85">
        <v>1.0</v>
      </c>
      <c r="D923" s="85">
        <v>1.0</v>
      </c>
      <c r="E923" s="86">
        <v>18.0</v>
      </c>
      <c r="F923" s="85">
        <v>0.0</v>
      </c>
      <c r="G923" s="85">
        <v>56.0</v>
      </c>
      <c r="H923" s="85">
        <v>0.0</v>
      </c>
      <c r="I923" s="85">
        <v>70.0</v>
      </c>
      <c r="J923" s="95">
        <f t="shared" ref="J923:J936" si="695">SUM(G923-I923)</f>
        <v>-14</v>
      </c>
      <c r="K923" s="87">
        <f t="shared" ref="K923:K936" si="696">SUM(G923/I923)</f>
        <v>0.8</v>
      </c>
      <c r="L923" s="85">
        <v>12.0</v>
      </c>
      <c r="M923" s="85">
        <v>73.0</v>
      </c>
      <c r="N923" s="85">
        <v>1.0</v>
      </c>
      <c r="O923" s="110">
        <f t="shared" ref="O923:O928" si="697">(E923*N923)</f>
        <v>18</v>
      </c>
      <c r="P923" s="85">
        <v>1.0</v>
      </c>
      <c r="Q923" s="94">
        <v>0.0</v>
      </c>
      <c r="R923" s="85">
        <v>3.0</v>
      </c>
      <c r="S923" s="85">
        <v>2.0</v>
      </c>
      <c r="T923" s="85">
        <v>10.0</v>
      </c>
      <c r="U923" s="85">
        <v>1.0</v>
      </c>
      <c r="V923" s="94">
        <v>0.0</v>
      </c>
      <c r="W923" s="94">
        <v>0.0</v>
      </c>
      <c r="X923" s="94">
        <v>0.0</v>
      </c>
      <c r="Y923" s="94">
        <v>0.0</v>
      </c>
      <c r="Z923" s="94">
        <v>0.0</v>
      </c>
      <c r="AA923" s="94">
        <v>0.0</v>
      </c>
      <c r="AB923" s="94">
        <v>0.0</v>
      </c>
      <c r="AC923" s="85">
        <v>2.0</v>
      </c>
      <c r="AD923" s="94">
        <v>0.0</v>
      </c>
      <c r="AE923" s="94">
        <v>0.0</v>
      </c>
      <c r="AF923" s="94">
        <v>0.0</v>
      </c>
      <c r="AG923" s="94">
        <v>0.0</v>
      </c>
      <c r="AH923" s="94">
        <v>0.0</v>
      </c>
    </row>
    <row r="924" hidden="1">
      <c r="A924" s="109" t="s">
        <v>44</v>
      </c>
      <c r="B924" s="93" t="s">
        <v>187</v>
      </c>
      <c r="C924" s="85">
        <v>1.0</v>
      </c>
      <c r="D924" s="85">
        <v>1.0</v>
      </c>
      <c r="E924" s="86">
        <v>18.0</v>
      </c>
      <c r="F924" s="94">
        <v>0.0</v>
      </c>
      <c r="G924" s="85">
        <v>67.0</v>
      </c>
      <c r="H924" s="85">
        <v>1.0</v>
      </c>
      <c r="I924" s="85">
        <v>52.0</v>
      </c>
      <c r="J924" s="95">
        <f t="shared" si="695"/>
        <v>15</v>
      </c>
      <c r="K924" s="87">
        <f t="shared" si="696"/>
        <v>1.288461538</v>
      </c>
      <c r="L924" s="85">
        <v>17.0</v>
      </c>
      <c r="M924" s="85">
        <v>85.0</v>
      </c>
      <c r="N924" s="85">
        <v>1.0</v>
      </c>
      <c r="O924" s="110">
        <f t="shared" si="697"/>
        <v>18</v>
      </c>
      <c r="P924" s="85">
        <v>3.0</v>
      </c>
      <c r="Q924" s="94">
        <v>0.0</v>
      </c>
      <c r="R924" s="85">
        <v>5.0</v>
      </c>
      <c r="S924" s="85">
        <v>1.0</v>
      </c>
      <c r="T924" s="85">
        <v>11.0</v>
      </c>
      <c r="U924" s="85">
        <v>4.0</v>
      </c>
      <c r="V924" s="85">
        <v>2.0</v>
      </c>
      <c r="W924" s="94">
        <v>0.0</v>
      </c>
      <c r="X924" s="94">
        <v>0.0</v>
      </c>
      <c r="Y924" s="94">
        <v>0.0</v>
      </c>
      <c r="Z924" s="94">
        <v>0.0</v>
      </c>
      <c r="AA924" s="94">
        <v>0.0</v>
      </c>
      <c r="AB924" s="94">
        <v>0.0</v>
      </c>
      <c r="AC924" s="85">
        <v>3.0</v>
      </c>
      <c r="AD924" s="94">
        <v>0.0</v>
      </c>
      <c r="AE924" s="94">
        <v>0.0</v>
      </c>
      <c r="AF924" s="94">
        <v>0.0</v>
      </c>
      <c r="AG924" s="94">
        <v>0.0</v>
      </c>
      <c r="AH924" s="94">
        <v>0.0</v>
      </c>
    </row>
    <row r="925" hidden="1">
      <c r="A925" s="109" t="s">
        <v>44</v>
      </c>
      <c r="B925" s="93" t="s">
        <v>188</v>
      </c>
      <c r="C925" s="85">
        <v>1.0</v>
      </c>
      <c r="D925" s="85">
        <v>1.0</v>
      </c>
      <c r="E925" s="86">
        <v>18.0</v>
      </c>
      <c r="F925" s="85">
        <v>5.0</v>
      </c>
      <c r="G925" s="85">
        <v>49.0</v>
      </c>
      <c r="H925" s="94">
        <v>0.0</v>
      </c>
      <c r="I925" s="85">
        <v>56.0</v>
      </c>
      <c r="J925" s="95">
        <f t="shared" si="695"/>
        <v>-7</v>
      </c>
      <c r="K925" s="87">
        <f t="shared" si="696"/>
        <v>0.875</v>
      </c>
      <c r="L925" s="85">
        <v>15.0</v>
      </c>
      <c r="M925" s="85">
        <v>65.0</v>
      </c>
      <c r="N925" s="85">
        <v>1.0</v>
      </c>
      <c r="O925" s="110">
        <f t="shared" si="697"/>
        <v>18</v>
      </c>
      <c r="P925" s="85">
        <v>2.0</v>
      </c>
      <c r="Q925" s="85">
        <v>0.0</v>
      </c>
      <c r="R925" s="85">
        <v>2.0</v>
      </c>
      <c r="S925" s="94">
        <v>0.0</v>
      </c>
      <c r="T925" s="85">
        <v>4.0</v>
      </c>
      <c r="U925" s="85">
        <v>1.0</v>
      </c>
      <c r="V925" s="85">
        <v>1.0</v>
      </c>
      <c r="W925" s="94">
        <v>0.0</v>
      </c>
      <c r="X925" s="94">
        <v>0.0</v>
      </c>
      <c r="Y925" s="94">
        <v>0.0</v>
      </c>
      <c r="Z925" s="94">
        <v>0.0</v>
      </c>
      <c r="AA925" s="94">
        <v>0.0</v>
      </c>
      <c r="AB925" s="94">
        <v>0.0</v>
      </c>
      <c r="AC925" s="85">
        <v>1.0</v>
      </c>
      <c r="AD925" s="94">
        <v>0.0</v>
      </c>
      <c r="AE925" s="94">
        <v>0.0</v>
      </c>
      <c r="AF925" s="94">
        <v>0.0</v>
      </c>
      <c r="AG925" s="94">
        <v>0.0</v>
      </c>
      <c r="AH925" s="94">
        <v>0.0</v>
      </c>
    </row>
    <row r="926" hidden="1">
      <c r="A926" s="109" t="s">
        <v>44</v>
      </c>
      <c r="B926" s="93" t="s">
        <v>189</v>
      </c>
      <c r="C926" s="85">
        <v>1.0</v>
      </c>
      <c r="D926" s="85">
        <v>1.0</v>
      </c>
      <c r="E926" s="86">
        <v>18.0</v>
      </c>
      <c r="F926" s="94">
        <v>0.0</v>
      </c>
      <c r="G926" s="85">
        <v>36.0</v>
      </c>
      <c r="H926" s="85">
        <v>1.0</v>
      </c>
      <c r="I926" s="85">
        <v>61.0</v>
      </c>
      <c r="J926" s="95">
        <f t="shared" si="695"/>
        <v>-25</v>
      </c>
      <c r="K926" s="87">
        <f t="shared" si="696"/>
        <v>0.5901639344</v>
      </c>
      <c r="L926" s="85">
        <v>14.0</v>
      </c>
      <c r="M926" s="85">
        <v>38.0</v>
      </c>
      <c r="N926" s="85">
        <v>1.0</v>
      </c>
      <c r="O926" s="110">
        <f t="shared" si="697"/>
        <v>18</v>
      </c>
      <c r="P926" s="85">
        <v>1.0</v>
      </c>
      <c r="Q926" s="85">
        <v>1.0</v>
      </c>
      <c r="R926" s="85">
        <v>2.0</v>
      </c>
      <c r="S926" s="85">
        <v>0.0</v>
      </c>
      <c r="T926" s="85">
        <v>2.0</v>
      </c>
      <c r="U926" s="94">
        <v>0.0</v>
      </c>
      <c r="V926" s="94">
        <v>0.0</v>
      </c>
      <c r="W926" s="94">
        <v>0.0</v>
      </c>
      <c r="X926" s="94">
        <v>0.0</v>
      </c>
      <c r="Y926" s="94">
        <v>0.0</v>
      </c>
      <c r="Z926" s="94">
        <v>0.0</v>
      </c>
      <c r="AA926" s="94">
        <v>0.0</v>
      </c>
      <c r="AB926" s="94">
        <v>0.0</v>
      </c>
      <c r="AC926" s="94">
        <v>0.0</v>
      </c>
      <c r="AD926" s="94">
        <v>0.0</v>
      </c>
      <c r="AE926" s="94">
        <v>0.0</v>
      </c>
      <c r="AF926" s="94">
        <v>0.0</v>
      </c>
      <c r="AG926" s="94">
        <v>0.0</v>
      </c>
      <c r="AH926" s="94">
        <v>0.0</v>
      </c>
    </row>
    <row r="927" hidden="1">
      <c r="A927" s="109" t="s">
        <v>44</v>
      </c>
      <c r="B927" s="93" t="s">
        <v>190</v>
      </c>
      <c r="C927" s="94">
        <v>0.0</v>
      </c>
      <c r="D927" s="94">
        <v>0.0</v>
      </c>
      <c r="E927" s="96">
        <f t="shared" ref="E927:E928" si="698">SUM(L927*I927)/60</f>
        <v>0</v>
      </c>
      <c r="F927" s="94">
        <v>0.0</v>
      </c>
      <c r="G927" s="94">
        <v>0.0</v>
      </c>
      <c r="H927" s="94">
        <v>0.0</v>
      </c>
      <c r="I927" s="94">
        <v>0.0</v>
      </c>
      <c r="J927" s="95">
        <f t="shared" si="695"/>
        <v>0</v>
      </c>
      <c r="K927" s="87" t="str">
        <f t="shared" si="696"/>
        <v>#DIV/0!</v>
      </c>
      <c r="L927" s="94">
        <v>0.0</v>
      </c>
      <c r="M927" s="94">
        <v>0.0</v>
      </c>
      <c r="N927" s="85">
        <v>0.0</v>
      </c>
      <c r="O927" s="110">
        <f t="shared" si="697"/>
        <v>0</v>
      </c>
      <c r="P927" s="94">
        <v>0.0</v>
      </c>
      <c r="Q927" s="94">
        <v>0.0</v>
      </c>
      <c r="R927" s="94">
        <v>0.0</v>
      </c>
      <c r="S927" s="94">
        <v>0.0</v>
      </c>
      <c r="T927" s="94">
        <v>0.0</v>
      </c>
      <c r="U927" s="94">
        <v>0.0</v>
      </c>
      <c r="V927" s="94">
        <v>0.0</v>
      </c>
      <c r="W927" s="94">
        <v>0.0</v>
      </c>
      <c r="X927" s="94">
        <v>0.0</v>
      </c>
      <c r="Y927" s="94">
        <v>0.0</v>
      </c>
      <c r="Z927" s="94">
        <v>0.0</v>
      </c>
      <c r="AA927" s="94">
        <v>0.0</v>
      </c>
      <c r="AB927" s="94">
        <v>0.0</v>
      </c>
      <c r="AC927" s="94">
        <v>0.0</v>
      </c>
      <c r="AD927" s="94">
        <v>0.0</v>
      </c>
      <c r="AE927" s="94">
        <v>0.0</v>
      </c>
      <c r="AF927" s="94">
        <v>0.0</v>
      </c>
      <c r="AG927" s="94">
        <v>0.0</v>
      </c>
      <c r="AH927" s="94">
        <v>0.0</v>
      </c>
    </row>
    <row r="928" hidden="1">
      <c r="A928" s="109" t="s">
        <v>44</v>
      </c>
      <c r="B928" s="116"/>
      <c r="C928" s="94">
        <v>0.0</v>
      </c>
      <c r="D928" s="94">
        <v>0.0</v>
      </c>
      <c r="E928" s="96">
        <f t="shared" si="698"/>
        <v>0</v>
      </c>
      <c r="F928" s="94">
        <v>0.0</v>
      </c>
      <c r="G928" s="94">
        <v>0.0</v>
      </c>
      <c r="H928" s="94">
        <v>0.0</v>
      </c>
      <c r="I928" s="94">
        <v>0.0</v>
      </c>
      <c r="J928" s="95">
        <f t="shared" si="695"/>
        <v>0</v>
      </c>
      <c r="K928" s="87" t="str">
        <f t="shared" si="696"/>
        <v>#DIV/0!</v>
      </c>
      <c r="L928" s="94">
        <v>0.0</v>
      </c>
      <c r="M928" s="94">
        <v>0.0</v>
      </c>
      <c r="N928" s="85">
        <v>0.0</v>
      </c>
      <c r="O928" s="110">
        <f t="shared" si="697"/>
        <v>0</v>
      </c>
      <c r="P928" s="94">
        <v>0.0</v>
      </c>
      <c r="Q928" s="94">
        <v>0.0</v>
      </c>
      <c r="R928" s="94">
        <v>0.0</v>
      </c>
      <c r="S928" s="94">
        <v>0.0</v>
      </c>
      <c r="T928" s="94">
        <v>0.0</v>
      </c>
      <c r="U928" s="94">
        <v>0.0</v>
      </c>
      <c r="V928" s="94">
        <v>0.0</v>
      </c>
      <c r="W928" s="94">
        <v>0.0</v>
      </c>
      <c r="X928" s="94">
        <v>0.0</v>
      </c>
      <c r="Y928" s="94">
        <v>0.0</v>
      </c>
      <c r="Z928" s="94">
        <v>0.0</v>
      </c>
      <c r="AA928" s="94">
        <v>0.0</v>
      </c>
      <c r="AB928" s="94">
        <v>0.0</v>
      </c>
      <c r="AC928" s="94">
        <v>0.0</v>
      </c>
      <c r="AD928" s="94">
        <v>0.0</v>
      </c>
      <c r="AE928" s="94">
        <v>0.0</v>
      </c>
      <c r="AF928" s="94">
        <v>0.0</v>
      </c>
      <c r="AG928" s="94">
        <v>0.0</v>
      </c>
      <c r="AH928" s="94">
        <v>0.0</v>
      </c>
    </row>
    <row r="929" hidden="1">
      <c r="A929" s="89"/>
      <c r="B929" s="111"/>
      <c r="C929" s="111">
        <f t="shared" ref="C929:D929" si="699">SUM(C923:C928)/4</f>
        <v>1</v>
      </c>
      <c r="D929" s="111">
        <f t="shared" si="699"/>
        <v>1</v>
      </c>
      <c r="E929" s="91">
        <f t="shared" ref="E929:G929" si="700">SUM(E923:E928)</f>
        <v>72</v>
      </c>
      <c r="F929" s="111">
        <f t="shared" si="700"/>
        <v>5</v>
      </c>
      <c r="G929" s="111">
        <f t="shared" si="700"/>
        <v>208</v>
      </c>
      <c r="H929" s="111"/>
      <c r="I929" s="111">
        <f>SUM(I923:I928)</f>
        <v>239</v>
      </c>
      <c r="J929" s="111">
        <f t="shared" si="695"/>
        <v>-31</v>
      </c>
      <c r="K929" s="92">
        <f t="shared" si="696"/>
        <v>0.870292887</v>
      </c>
      <c r="L929" s="111">
        <f t="shared" ref="L929:M929" si="701">SUM(L923:L928)</f>
        <v>58</v>
      </c>
      <c r="M929" s="111">
        <f t="shared" si="701"/>
        <v>261</v>
      </c>
      <c r="N929" s="111"/>
      <c r="O929" s="112"/>
      <c r="P929" s="111">
        <f t="shared" ref="P929:AH929" si="702">SUM(P923:P928)</f>
        <v>7</v>
      </c>
      <c r="Q929" s="111">
        <f t="shared" si="702"/>
        <v>1</v>
      </c>
      <c r="R929" s="111">
        <f t="shared" si="702"/>
        <v>12</v>
      </c>
      <c r="S929" s="111">
        <f t="shared" si="702"/>
        <v>3</v>
      </c>
      <c r="T929" s="111">
        <f t="shared" si="702"/>
        <v>27</v>
      </c>
      <c r="U929" s="111">
        <f t="shared" si="702"/>
        <v>6</v>
      </c>
      <c r="V929" s="111">
        <f t="shared" si="702"/>
        <v>3</v>
      </c>
      <c r="W929" s="111">
        <f t="shared" si="702"/>
        <v>0</v>
      </c>
      <c r="X929" s="111">
        <f t="shared" si="702"/>
        <v>0</v>
      </c>
      <c r="Y929" s="111">
        <f t="shared" si="702"/>
        <v>0</v>
      </c>
      <c r="Z929" s="111">
        <f t="shared" si="702"/>
        <v>0</v>
      </c>
      <c r="AA929" s="111">
        <f t="shared" si="702"/>
        <v>0</v>
      </c>
      <c r="AB929" s="111">
        <f t="shared" si="702"/>
        <v>0</v>
      </c>
      <c r="AC929" s="111">
        <f t="shared" si="702"/>
        <v>6</v>
      </c>
      <c r="AD929" s="111">
        <f t="shared" si="702"/>
        <v>0</v>
      </c>
      <c r="AE929" s="111">
        <f t="shared" si="702"/>
        <v>0</v>
      </c>
      <c r="AF929" s="111">
        <f t="shared" si="702"/>
        <v>0</v>
      </c>
      <c r="AG929" s="111">
        <f t="shared" si="702"/>
        <v>0</v>
      </c>
      <c r="AH929" s="111">
        <f t="shared" si="702"/>
        <v>0</v>
      </c>
    </row>
    <row r="930" hidden="1">
      <c r="A930" s="109" t="s">
        <v>58</v>
      </c>
      <c r="B930" s="93" t="s">
        <v>209</v>
      </c>
      <c r="C930" s="85">
        <v>1.0</v>
      </c>
      <c r="D930" s="94">
        <v>0.0</v>
      </c>
      <c r="E930" s="86">
        <v>18.0</v>
      </c>
      <c r="F930" s="94">
        <v>0.0</v>
      </c>
      <c r="G930" s="85">
        <v>72.0</v>
      </c>
      <c r="H930" s="94">
        <v>0.0</v>
      </c>
      <c r="I930" s="85">
        <v>76.0</v>
      </c>
      <c r="J930" s="95">
        <f t="shared" si="695"/>
        <v>-4</v>
      </c>
      <c r="K930" s="87">
        <f t="shared" si="696"/>
        <v>0.9473684211</v>
      </c>
      <c r="L930" s="85">
        <v>10.0</v>
      </c>
      <c r="M930" s="85">
        <v>83.0</v>
      </c>
      <c r="N930" s="85">
        <v>1.0</v>
      </c>
      <c r="O930" s="110">
        <f t="shared" ref="O930:O935" si="703">(E930*N930)</f>
        <v>18</v>
      </c>
      <c r="P930" s="85">
        <v>1.0</v>
      </c>
      <c r="Q930" s="85">
        <v>1.0</v>
      </c>
      <c r="R930" s="85">
        <v>1.0</v>
      </c>
      <c r="S930" s="94">
        <v>0.0</v>
      </c>
      <c r="T930" s="85">
        <v>11.0</v>
      </c>
      <c r="U930" s="85">
        <v>2.0</v>
      </c>
      <c r="V930" s="94">
        <v>0.0</v>
      </c>
      <c r="W930" s="94">
        <v>0.0</v>
      </c>
      <c r="X930" s="94">
        <v>0.0</v>
      </c>
      <c r="Y930" s="94">
        <v>0.0</v>
      </c>
      <c r="Z930" s="94">
        <v>0.0</v>
      </c>
      <c r="AA930" s="94">
        <v>0.0</v>
      </c>
      <c r="AB930" s="94">
        <v>0.0</v>
      </c>
      <c r="AC930" s="85">
        <v>1.0</v>
      </c>
      <c r="AD930" s="94">
        <v>0.0</v>
      </c>
      <c r="AE930" s="94">
        <v>0.0</v>
      </c>
      <c r="AF930" s="94">
        <v>0.0</v>
      </c>
      <c r="AG930" s="94">
        <v>0.0</v>
      </c>
      <c r="AH930" s="94">
        <v>0.0</v>
      </c>
    </row>
    <row r="931" hidden="1">
      <c r="A931" s="109" t="s">
        <v>58</v>
      </c>
      <c r="B931" s="93" t="s">
        <v>210</v>
      </c>
      <c r="C931" s="85">
        <v>1.0</v>
      </c>
      <c r="D931" s="94">
        <v>0.0</v>
      </c>
      <c r="E931" s="86">
        <v>18.0</v>
      </c>
      <c r="F931" s="94">
        <v>0.0</v>
      </c>
      <c r="G931" s="85">
        <v>60.0</v>
      </c>
      <c r="H931" s="94">
        <v>0.0</v>
      </c>
      <c r="I931" s="85">
        <v>56.0</v>
      </c>
      <c r="J931" s="95">
        <f t="shared" si="695"/>
        <v>4</v>
      </c>
      <c r="K931" s="87">
        <f t="shared" si="696"/>
        <v>1.071428571</v>
      </c>
      <c r="L931" s="85">
        <v>15.0</v>
      </c>
      <c r="M931" s="85">
        <v>72.0</v>
      </c>
      <c r="N931" s="85">
        <v>1.0</v>
      </c>
      <c r="O931" s="110">
        <f t="shared" si="703"/>
        <v>18</v>
      </c>
      <c r="P931" s="94">
        <v>0.0</v>
      </c>
      <c r="Q931" s="94">
        <v>0.0</v>
      </c>
      <c r="R931" s="94">
        <v>0.0</v>
      </c>
      <c r="S931" s="94">
        <v>0.0</v>
      </c>
      <c r="T931" s="94">
        <v>0.0</v>
      </c>
      <c r="U931" s="94">
        <v>0.0</v>
      </c>
      <c r="V931" s="94">
        <v>0.0</v>
      </c>
      <c r="W931" s="94">
        <v>0.0</v>
      </c>
      <c r="X931" s="94">
        <v>0.0</v>
      </c>
      <c r="Y931" s="94">
        <v>0.0</v>
      </c>
      <c r="Z931" s="94">
        <v>0.0</v>
      </c>
      <c r="AA931" s="94">
        <v>0.0</v>
      </c>
      <c r="AB931" s="94">
        <v>0.0</v>
      </c>
      <c r="AC931" s="94">
        <v>0.0</v>
      </c>
      <c r="AD931" s="94">
        <v>0.0</v>
      </c>
      <c r="AE931" s="94">
        <v>0.0</v>
      </c>
      <c r="AF931" s="94">
        <v>0.0</v>
      </c>
      <c r="AG931" s="94">
        <v>0.0</v>
      </c>
      <c r="AH931" s="94">
        <v>0.0</v>
      </c>
    </row>
    <row r="932" hidden="1">
      <c r="A932" s="109" t="s">
        <v>58</v>
      </c>
      <c r="B932" s="93" t="s">
        <v>211</v>
      </c>
      <c r="C932" s="85">
        <v>1.0</v>
      </c>
      <c r="D932" s="94">
        <v>0.0</v>
      </c>
      <c r="E932" s="86">
        <v>18.0</v>
      </c>
      <c r="F932" s="94">
        <v>0.0</v>
      </c>
      <c r="G932" s="85">
        <v>69.0</v>
      </c>
      <c r="H932" s="94">
        <v>0.0</v>
      </c>
      <c r="I932" s="85">
        <v>59.0</v>
      </c>
      <c r="J932" s="95">
        <f t="shared" si="695"/>
        <v>10</v>
      </c>
      <c r="K932" s="87">
        <f t="shared" si="696"/>
        <v>1.169491525</v>
      </c>
      <c r="L932" s="85">
        <v>14.0</v>
      </c>
      <c r="M932" s="85">
        <v>83.0</v>
      </c>
      <c r="N932" s="85">
        <v>1.0</v>
      </c>
      <c r="O932" s="110">
        <f t="shared" si="703"/>
        <v>18</v>
      </c>
      <c r="P932" s="94">
        <v>0.0</v>
      </c>
      <c r="Q932" s="85">
        <v>2.0</v>
      </c>
      <c r="R932" s="85">
        <v>3.0</v>
      </c>
      <c r="S932" s="85">
        <v>1.0</v>
      </c>
      <c r="T932" s="85">
        <v>7.0</v>
      </c>
      <c r="U932" s="85">
        <v>2.0</v>
      </c>
      <c r="V932" s="85">
        <v>1.0</v>
      </c>
      <c r="W932" s="94">
        <v>0.0</v>
      </c>
      <c r="X932" s="94">
        <v>0.0</v>
      </c>
      <c r="Y932" s="94">
        <v>0.0</v>
      </c>
      <c r="Z932" s="94">
        <v>0.0</v>
      </c>
      <c r="AA932" s="94">
        <v>0.0</v>
      </c>
      <c r="AB932" s="94">
        <v>0.0</v>
      </c>
      <c r="AC932" s="85">
        <v>1.0</v>
      </c>
      <c r="AD932" s="94">
        <v>0.0</v>
      </c>
      <c r="AE932" s="94">
        <v>0.0</v>
      </c>
      <c r="AF932" s="94">
        <v>0.0</v>
      </c>
      <c r="AG932" s="94">
        <v>0.0</v>
      </c>
      <c r="AH932" s="94">
        <v>0.0</v>
      </c>
    </row>
    <row r="933" hidden="1">
      <c r="A933" s="109" t="s">
        <v>58</v>
      </c>
      <c r="B933" s="93" t="s">
        <v>212</v>
      </c>
      <c r="C933" s="85">
        <v>1.0</v>
      </c>
      <c r="D933" s="94">
        <v>0.0</v>
      </c>
      <c r="E933" s="86">
        <v>18.0</v>
      </c>
      <c r="F933" s="94">
        <v>0.0</v>
      </c>
      <c r="G933" s="85">
        <v>36.0</v>
      </c>
      <c r="H933" s="94">
        <v>0.0</v>
      </c>
      <c r="I933" s="85">
        <v>26.0</v>
      </c>
      <c r="J933" s="95">
        <f t="shared" si="695"/>
        <v>10</v>
      </c>
      <c r="K933" s="87">
        <f t="shared" si="696"/>
        <v>1.384615385</v>
      </c>
      <c r="L933" s="85">
        <v>36.0</v>
      </c>
      <c r="M933" s="85">
        <v>45.0</v>
      </c>
      <c r="N933" s="85">
        <v>1.0</v>
      </c>
      <c r="O933" s="110">
        <f t="shared" si="703"/>
        <v>18</v>
      </c>
      <c r="P933" s="85">
        <v>1.0</v>
      </c>
      <c r="Q933" s="94">
        <v>0.0</v>
      </c>
      <c r="R933" s="85">
        <v>2.0</v>
      </c>
      <c r="S933" s="85">
        <v>3.0</v>
      </c>
      <c r="T933" s="85">
        <v>3.0</v>
      </c>
      <c r="U933" s="85">
        <v>1.0</v>
      </c>
      <c r="V933" s="94">
        <v>0.0</v>
      </c>
      <c r="W933" s="94">
        <v>0.0</v>
      </c>
      <c r="X933" s="94">
        <v>0.0</v>
      </c>
      <c r="Y933" s="94">
        <v>0.0</v>
      </c>
      <c r="Z933" s="94">
        <v>0.0</v>
      </c>
      <c r="AA933" s="94">
        <v>0.0</v>
      </c>
      <c r="AB933" s="94">
        <v>0.0</v>
      </c>
      <c r="AC933" s="85">
        <v>1.0</v>
      </c>
      <c r="AD933" s="94">
        <v>0.0</v>
      </c>
      <c r="AE933" s="94">
        <v>0.0</v>
      </c>
      <c r="AF933" s="94">
        <v>0.0</v>
      </c>
      <c r="AG933" s="94">
        <v>0.0</v>
      </c>
      <c r="AH933" s="94">
        <v>0.0</v>
      </c>
    </row>
    <row r="934" hidden="1">
      <c r="A934" s="109" t="s">
        <v>58</v>
      </c>
      <c r="B934" s="93" t="s">
        <v>213</v>
      </c>
      <c r="C934" s="94">
        <v>0.0</v>
      </c>
      <c r="D934" s="94">
        <v>0.0</v>
      </c>
      <c r="E934" s="96">
        <f t="shared" ref="E934:E935" si="704">SUM(L934*I934)/60</f>
        <v>0</v>
      </c>
      <c r="F934" s="94">
        <v>0.0</v>
      </c>
      <c r="G934" s="94">
        <v>0.0</v>
      </c>
      <c r="H934" s="94">
        <v>0.0</v>
      </c>
      <c r="I934" s="94">
        <v>0.0</v>
      </c>
      <c r="J934" s="95">
        <f t="shared" si="695"/>
        <v>0</v>
      </c>
      <c r="K934" s="87" t="str">
        <f t="shared" si="696"/>
        <v>#DIV/0!</v>
      </c>
      <c r="L934" s="94">
        <v>0.0</v>
      </c>
      <c r="M934" s="94">
        <v>0.0</v>
      </c>
      <c r="N934" s="85">
        <v>0.0</v>
      </c>
      <c r="O934" s="110">
        <f t="shared" si="703"/>
        <v>0</v>
      </c>
      <c r="P934" s="94">
        <v>0.0</v>
      </c>
      <c r="Q934" s="94">
        <v>0.0</v>
      </c>
      <c r="R934" s="94">
        <v>0.0</v>
      </c>
      <c r="S934" s="94">
        <v>0.0</v>
      </c>
      <c r="T934" s="94">
        <v>0.0</v>
      </c>
      <c r="U934" s="94">
        <v>0.0</v>
      </c>
      <c r="V934" s="94">
        <v>0.0</v>
      </c>
      <c r="W934" s="94">
        <v>0.0</v>
      </c>
      <c r="X934" s="94">
        <v>0.0</v>
      </c>
      <c r="Y934" s="94">
        <v>0.0</v>
      </c>
      <c r="Z934" s="94">
        <v>0.0</v>
      </c>
      <c r="AA934" s="94">
        <v>0.0</v>
      </c>
      <c r="AB934" s="94">
        <v>0.0</v>
      </c>
      <c r="AC934" s="94">
        <v>0.0</v>
      </c>
      <c r="AD934" s="94">
        <v>0.0</v>
      </c>
      <c r="AE934" s="94">
        <v>0.0</v>
      </c>
      <c r="AF934" s="94">
        <v>0.0</v>
      </c>
      <c r="AG934" s="94">
        <v>0.0</v>
      </c>
      <c r="AH934" s="94">
        <v>0.0</v>
      </c>
    </row>
    <row r="935" hidden="1">
      <c r="A935" s="109" t="s">
        <v>214</v>
      </c>
      <c r="B935" s="93" t="s">
        <v>189</v>
      </c>
      <c r="C935" s="94">
        <v>0.0</v>
      </c>
      <c r="D935" s="94">
        <v>0.0</v>
      </c>
      <c r="E935" s="96">
        <f t="shared" si="704"/>
        <v>0</v>
      </c>
      <c r="F935" s="94">
        <v>0.0</v>
      </c>
      <c r="G935" s="94">
        <v>0.0</v>
      </c>
      <c r="H935" s="94">
        <v>0.0</v>
      </c>
      <c r="I935" s="94">
        <v>0.0</v>
      </c>
      <c r="J935" s="95">
        <f t="shared" si="695"/>
        <v>0</v>
      </c>
      <c r="K935" s="87" t="str">
        <f t="shared" si="696"/>
        <v>#DIV/0!</v>
      </c>
      <c r="L935" s="94">
        <v>0.0</v>
      </c>
      <c r="M935" s="94">
        <v>0.0</v>
      </c>
      <c r="N935" s="85">
        <v>0.0</v>
      </c>
      <c r="O935" s="110">
        <f t="shared" si="703"/>
        <v>0</v>
      </c>
      <c r="P935" s="94">
        <v>0.0</v>
      </c>
      <c r="Q935" s="94">
        <v>0.0</v>
      </c>
      <c r="R935" s="94">
        <v>0.0</v>
      </c>
      <c r="S935" s="94">
        <v>0.0</v>
      </c>
      <c r="T935" s="94">
        <v>0.0</v>
      </c>
      <c r="U935" s="94">
        <v>0.0</v>
      </c>
      <c r="V935" s="94">
        <v>0.0</v>
      </c>
      <c r="W935" s="94">
        <v>0.0</v>
      </c>
      <c r="X935" s="94">
        <v>0.0</v>
      </c>
      <c r="Y935" s="94">
        <v>0.0</v>
      </c>
      <c r="Z935" s="94">
        <v>0.0</v>
      </c>
      <c r="AA935" s="94">
        <v>0.0</v>
      </c>
      <c r="AB935" s="94">
        <v>0.0</v>
      </c>
      <c r="AC935" s="94">
        <v>0.0</v>
      </c>
      <c r="AD935" s="94">
        <v>0.0</v>
      </c>
      <c r="AE935" s="94">
        <v>0.0</v>
      </c>
      <c r="AF935" s="94">
        <v>0.0</v>
      </c>
      <c r="AG935" s="94">
        <v>0.0</v>
      </c>
      <c r="AH935" s="94">
        <v>0.0</v>
      </c>
    </row>
    <row r="936" hidden="1">
      <c r="A936" s="89" t="s">
        <v>185</v>
      </c>
      <c r="B936" s="111"/>
      <c r="C936" s="111">
        <f>SUM(C930:C935)</f>
        <v>4</v>
      </c>
      <c r="D936" s="111">
        <f t="shared" ref="D936:E936" si="705">SUM(D930:D935)/4</f>
        <v>0</v>
      </c>
      <c r="E936" s="91">
        <f t="shared" si="705"/>
        <v>18</v>
      </c>
      <c r="F936" s="111">
        <f t="shared" ref="F936:G936" si="706">SUM(F930:F935)</f>
        <v>0</v>
      </c>
      <c r="G936" s="111">
        <f t="shared" si="706"/>
        <v>237</v>
      </c>
      <c r="H936" s="111"/>
      <c r="I936" s="111">
        <f>SUM(I930:I935)</f>
        <v>217</v>
      </c>
      <c r="J936" s="111">
        <f t="shared" si="695"/>
        <v>20</v>
      </c>
      <c r="K936" s="92">
        <f t="shared" si="696"/>
        <v>1.092165899</v>
      </c>
      <c r="L936" s="111">
        <f t="shared" ref="L936:M936" si="707">SUM(L930:L935)</f>
        <v>75</v>
      </c>
      <c r="M936" s="111">
        <f t="shared" si="707"/>
        <v>283</v>
      </c>
      <c r="N936" s="111"/>
      <c r="O936" s="112"/>
      <c r="P936" s="111">
        <f t="shared" ref="P936:AH936" si="708">SUM(P930:P935)</f>
        <v>2</v>
      </c>
      <c r="Q936" s="111">
        <f t="shared" si="708"/>
        <v>3</v>
      </c>
      <c r="R936" s="111">
        <f t="shared" si="708"/>
        <v>6</v>
      </c>
      <c r="S936" s="111">
        <f t="shared" si="708"/>
        <v>4</v>
      </c>
      <c r="T936" s="111">
        <f t="shared" si="708"/>
        <v>21</v>
      </c>
      <c r="U936" s="111">
        <f t="shared" si="708"/>
        <v>5</v>
      </c>
      <c r="V936" s="111">
        <f t="shared" si="708"/>
        <v>1</v>
      </c>
      <c r="W936" s="111">
        <f t="shared" si="708"/>
        <v>0</v>
      </c>
      <c r="X936" s="111">
        <f t="shared" si="708"/>
        <v>0</v>
      </c>
      <c r="Y936" s="111">
        <f t="shared" si="708"/>
        <v>0</v>
      </c>
      <c r="Z936" s="111">
        <f t="shared" si="708"/>
        <v>0</v>
      </c>
      <c r="AA936" s="111">
        <f t="shared" si="708"/>
        <v>0</v>
      </c>
      <c r="AB936" s="111">
        <f t="shared" si="708"/>
        <v>0</v>
      </c>
      <c r="AC936" s="111">
        <f t="shared" si="708"/>
        <v>3</v>
      </c>
      <c r="AD936" s="111">
        <f t="shared" si="708"/>
        <v>0</v>
      </c>
      <c r="AE936" s="111">
        <f t="shared" si="708"/>
        <v>0</v>
      </c>
      <c r="AF936" s="111">
        <f t="shared" si="708"/>
        <v>0</v>
      </c>
      <c r="AG936" s="111">
        <f t="shared" si="708"/>
        <v>0</v>
      </c>
      <c r="AH936" s="111">
        <f t="shared" si="708"/>
        <v>0</v>
      </c>
    </row>
    <row r="937">
      <c r="A937" s="104" t="s">
        <v>308</v>
      </c>
    </row>
    <row r="939" hidden="1">
      <c r="A939" s="105"/>
      <c r="F939" s="106" t="s">
        <v>251</v>
      </c>
      <c r="L939" s="107" t="s">
        <v>252</v>
      </c>
      <c r="N939" s="108" t="s">
        <v>253</v>
      </c>
    </row>
    <row r="940" hidden="1">
      <c r="A940" s="76" t="s">
        <v>148</v>
      </c>
      <c r="B940" s="76" t="s">
        <v>149</v>
      </c>
      <c r="C940" s="76" t="s">
        <v>150</v>
      </c>
      <c r="D940" s="76" t="s">
        <v>13</v>
      </c>
      <c r="E940" s="77" t="s">
        <v>151</v>
      </c>
      <c r="F940" s="78" t="s">
        <v>15</v>
      </c>
      <c r="G940" s="78" t="s">
        <v>152</v>
      </c>
      <c r="H940" s="78" t="s">
        <v>153</v>
      </c>
      <c r="I940" s="78" t="s">
        <v>154</v>
      </c>
      <c r="J940" s="78" t="s">
        <v>155</v>
      </c>
      <c r="K940" s="79" t="s">
        <v>156</v>
      </c>
      <c r="L940" s="80" t="s">
        <v>157</v>
      </c>
      <c r="M940" s="80" t="s">
        <v>158</v>
      </c>
      <c r="N940" s="81" t="s">
        <v>254</v>
      </c>
      <c r="O940" s="81" t="s">
        <v>151</v>
      </c>
      <c r="P940" s="81" t="s">
        <v>160</v>
      </c>
      <c r="Q940" s="81" t="s">
        <v>161</v>
      </c>
      <c r="R940" s="81" t="s">
        <v>162</v>
      </c>
      <c r="S940" s="81" t="s">
        <v>163</v>
      </c>
      <c r="T940" s="81" t="s">
        <v>164</v>
      </c>
      <c r="U940" s="81" t="s">
        <v>165</v>
      </c>
      <c r="V940" s="81" t="s">
        <v>166</v>
      </c>
      <c r="W940" s="81" t="s">
        <v>167</v>
      </c>
      <c r="X940" s="81" t="s">
        <v>168</v>
      </c>
      <c r="Y940" s="81" t="s">
        <v>169</v>
      </c>
      <c r="Z940" s="81" t="s">
        <v>170</v>
      </c>
      <c r="AA940" s="81" t="s">
        <v>171</v>
      </c>
      <c r="AB940" s="81" t="s">
        <v>172</v>
      </c>
      <c r="AC940" s="81" t="s">
        <v>173</v>
      </c>
      <c r="AD940" s="81" t="s">
        <v>174</v>
      </c>
      <c r="AE940" s="81" t="s">
        <v>175</v>
      </c>
      <c r="AF940" s="81" t="s">
        <v>176</v>
      </c>
      <c r="AG940" s="81" t="s">
        <v>177</v>
      </c>
      <c r="AH940" s="81" t="s">
        <v>178</v>
      </c>
    </row>
    <row r="941" hidden="1">
      <c r="A941" s="109" t="s">
        <v>44</v>
      </c>
      <c r="B941" s="93" t="s">
        <v>186</v>
      </c>
      <c r="C941" s="85">
        <v>0.0</v>
      </c>
      <c r="D941" s="85">
        <v>0.0</v>
      </c>
      <c r="E941" s="96">
        <f t="shared" ref="E941:E946" si="709">SUM(L941*I941)/60</f>
        <v>0</v>
      </c>
      <c r="F941" s="94">
        <v>0.0</v>
      </c>
      <c r="G941" s="94">
        <v>0.0</v>
      </c>
      <c r="H941" s="94">
        <v>0.0</v>
      </c>
      <c r="I941" s="94">
        <v>0.0</v>
      </c>
      <c r="J941" s="95">
        <f t="shared" ref="J941:J954" si="710">SUM(G941-I941)</f>
        <v>0</v>
      </c>
      <c r="K941" s="87" t="str">
        <f t="shared" ref="K941:K954" si="711">SUM(G941/I941)</f>
        <v>#DIV/0!</v>
      </c>
      <c r="L941" s="94">
        <v>0.0</v>
      </c>
      <c r="M941" s="94">
        <v>0.0</v>
      </c>
      <c r="N941" s="85">
        <v>0.0</v>
      </c>
      <c r="O941" s="110">
        <f t="shared" ref="O941:O946" si="712">(E941*N941)</f>
        <v>0</v>
      </c>
      <c r="P941" s="94">
        <v>0.0</v>
      </c>
      <c r="Q941" s="94">
        <v>0.0</v>
      </c>
      <c r="R941" s="94">
        <v>0.0</v>
      </c>
      <c r="S941" s="94">
        <v>0.0</v>
      </c>
      <c r="T941" s="94">
        <v>0.0</v>
      </c>
      <c r="U941" s="94">
        <v>0.0</v>
      </c>
      <c r="V941" s="94">
        <v>0.0</v>
      </c>
      <c r="W941" s="94">
        <v>0.0</v>
      </c>
      <c r="X941" s="94">
        <v>0.0</v>
      </c>
      <c r="Y941" s="94">
        <v>0.0</v>
      </c>
      <c r="Z941" s="94">
        <v>0.0</v>
      </c>
      <c r="AA941" s="94">
        <v>0.0</v>
      </c>
      <c r="AB941" s="94">
        <v>0.0</v>
      </c>
      <c r="AC941" s="94">
        <v>0.0</v>
      </c>
      <c r="AD941" s="94">
        <v>0.0</v>
      </c>
      <c r="AE941" s="94">
        <v>0.0</v>
      </c>
      <c r="AF941" s="94">
        <v>0.0</v>
      </c>
      <c r="AG941" s="94">
        <v>0.0</v>
      </c>
      <c r="AH941" s="94">
        <v>0.0</v>
      </c>
    </row>
    <row r="942" hidden="1">
      <c r="A942" s="109" t="s">
        <v>44</v>
      </c>
      <c r="B942" s="93" t="s">
        <v>187</v>
      </c>
      <c r="C942" s="85">
        <v>0.0</v>
      </c>
      <c r="D942" s="85">
        <v>0.0</v>
      </c>
      <c r="E942" s="96">
        <f t="shared" si="709"/>
        <v>0</v>
      </c>
      <c r="F942" s="94">
        <v>0.0</v>
      </c>
      <c r="G942" s="94">
        <v>0.0</v>
      </c>
      <c r="H942" s="94">
        <v>0.0</v>
      </c>
      <c r="I942" s="94">
        <v>0.0</v>
      </c>
      <c r="J942" s="95">
        <f t="shared" si="710"/>
        <v>0</v>
      </c>
      <c r="K942" s="87" t="str">
        <f t="shared" si="711"/>
        <v>#DIV/0!</v>
      </c>
      <c r="L942" s="94">
        <v>0.0</v>
      </c>
      <c r="M942" s="94">
        <v>0.0</v>
      </c>
      <c r="N942" s="85">
        <v>0.0</v>
      </c>
      <c r="O942" s="110">
        <f t="shared" si="712"/>
        <v>0</v>
      </c>
      <c r="P942" s="94">
        <v>0.0</v>
      </c>
      <c r="Q942" s="94">
        <v>0.0</v>
      </c>
      <c r="R942" s="94">
        <v>0.0</v>
      </c>
      <c r="S942" s="94">
        <v>0.0</v>
      </c>
      <c r="T942" s="94">
        <v>0.0</v>
      </c>
      <c r="U942" s="94">
        <v>0.0</v>
      </c>
      <c r="V942" s="94">
        <v>0.0</v>
      </c>
      <c r="W942" s="94">
        <v>0.0</v>
      </c>
      <c r="X942" s="94">
        <v>0.0</v>
      </c>
      <c r="Y942" s="94">
        <v>0.0</v>
      </c>
      <c r="Z942" s="94">
        <v>0.0</v>
      </c>
      <c r="AA942" s="94">
        <v>0.0</v>
      </c>
      <c r="AB942" s="94">
        <v>0.0</v>
      </c>
      <c r="AC942" s="94">
        <v>0.0</v>
      </c>
      <c r="AD942" s="94">
        <v>0.0</v>
      </c>
      <c r="AE942" s="94">
        <v>0.0</v>
      </c>
      <c r="AF942" s="94">
        <v>0.0</v>
      </c>
      <c r="AG942" s="94">
        <v>0.0</v>
      </c>
      <c r="AH942" s="94">
        <v>0.0</v>
      </c>
    </row>
    <row r="943" hidden="1">
      <c r="A943" s="109" t="s">
        <v>44</v>
      </c>
      <c r="B943" s="93" t="s">
        <v>188</v>
      </c>
      <c r="C943" s="85">
        <v>0.0</v>
      </c>
      <c r="D943" s="85">
        <v>0.0</v>
      </c>
      <c r="E943" s="96">
        <f t="shared" si="709"/>
        <v>0</v>
      </c>
      <c r="F943" s="94">
        <v>0.0</v>
      </c>
      <c r="G943" s="94">
        <v>0.0</v>
      </c>
      <c r="H943" s="94">
        <v>0.0</v>
      </c>
      <c r="I943" s="94">
        <v>0.0</v>
      </c>
      <c r="J943" s="95">
        <f t="shared" si="710"/>
        <v>0</v>
      </c>
      <c r="K943" s="87" t="str">
        <f t="shared" si="711"/>
        <v>#DIV/0!</v>
      </c>
      <c r="L943" s="94">
        <v>0.0</v>
      </c>
      <c r="M943" s="94">
        <v>0.0</v>
      </c>
      <c r="N943" s="85">
        <v>0.0</v>
      </c>
      <c r="O943" s="110">
        <f t="shared" si="712"/>
        <v>0</v>
      </c>
      <c r="P943" s="94">
        <v>0.0</v>
      </c>
      <c r="Q943" s="94">
        <v>0.0</v>
      </c>
      <c r="R943" s="94">
        <v>0.0</v>
      </c>
      <c r="S943" s="94">
        <v>0.0</v>
      </c>
      <c r="T943" s="94">
        <v>0.0</v>
      </c>
      <c r="U943" s="94">
        <v>0.0</v>
      </c>
      <c r="V943" s="94">
        <v>0.0</v>
      </c>
      <c r="W943" s="94">
        <v>0.0</v>
      </c>
      <c r="X943" s="94">
        <v>0.0</v>
      </c>
      <c r="Y943" s="94">
        <v>0.0</v>
      </c>
      <c r="Z943" s="94">
        <v>0.0</v>
      </c>
      <c r="AA943" s="94">
        <v>0.0</v>
      </c>
      <c r="AB943" s="94">
        <v>0.0</v>
      </c>
      <c r="AC943" s="94">
        <v>0.0</v>
      </c>
      <c r="AD943" s="94">
        <v>0.0</v>
      </c>
      <c r="AE943" s="94">
        <v>0.0</v>
      </c>
      <c r="AF943" s="94">
        <v>0.0</v>
      </c>
      <c r="AG943" s="94">
        <v>0.0</v>
      </c>
      <c r="AH943" s="94">
        <v>0.0</v>
      </c>
    </row>
    <row r="944" hidden="1">
      <c r="A944" s="109" t="s">
        <v>44</v>
      </c>
      <c r="B944" s="93" t="s">
        <v>189</v>
      </c>
      <c r="C944" s="85">
        <v>0.0</v>
      </c>
      <c r="D944" s="85">
        <v>0.0</v>
      </c>
      <c r="E944" s="96">
        <f t="shared" si="709"/>
        <v>0</v>
      </c>
      <c r="F944" s="94">
        <v>0.0</v>
      </c>
      <c r="G944" s="94">
        <v>0.0</v>
      </c>
      <c r="H944" s="94">
        <v>0.0</v>
      </c>
      <c r="I944" s="94">
        <v>0.0</v>
      </c>
      <c r="J944" s="95">
        <f t="shared" si="710"/>
        <v>0</v>
      </c>
      <c r="K944" s="87" t="str">
        <f t="shared" si="711"/>
        <v>#DIV/0!</v>
      </c>
      <c r="L944" s="94">
        <v>0.0</v>
      </c>
      <c r="M944" s="94">
        <v>0.0</v>
      </c>
      <c r="N944" s="85">
        <v>0.0</v>
      </c>
      <c r="O944" s="110">
        <f t="shared" si="712"/>
        <v>0</v>
      </c>
      <c r="P944" s="94">
        <v>0.0</v>
      </c>
      <c r="Q944" s="94">
        <v>0.0</v>
      </c>
      <c r="R944" s="94">
        <v>0.0</v>
      </c>
      <c r="S944" s="94">
        <v>0.0</v>
      </c>
      <c r="T944" s="94">
        <v>0.0</v>
      </c>
      <c r="U944" s="94">
        <v>0.0</v>
      </c>
      <c r="V944" s="94">
        <v>0.0</v>
      </c>
      <c r="W944" s="94">
        <v>0.0</v>
      </c>
      <c r="X944" s="94">
        <v>0.0</v>
      </c>
      <c r="Y944" s="94">
        <v>0.0</v>
      </c>
      <c r="Z944" s="94">
        <v>0.0</v>
      </c>
      <c r="AA944" s="94">
        <v>0.0</v>
      </c>
      <c r="AB944" s="94">
        <v>0.0</v>
      </c>
      <c r="AC944" s="94">
        <v>0.0</v>
      </c>
      <c r="AD944" s="94">
        <v>0.0</v>
      </c>
      <c r="AE944" s="94">
        <v>0.0</v>
      </c>
      <c r="AF944" s="94">
        <v>0.0</v>
      </c>
      <c r="AG944" s="94">
        <v>0.0</v>
      </c>
      <c r="AH944" s="94">
        <v>0.0</v>
      </c>
    </row>
    <row r="945" hidden="1">
      <c r="A945" s="109" t="s">
        <v>44</v>
      </c>
      <c r="B945" s="93" t="s">
        <v>190</v>
      </c>
      <c r="C945" s="94">
        <v>0.0</v>
      </c>
      <c r="D945" s="94">
        <v>0.0</v>
      </c>
      <c r="E945" s="96">
        <f t="shared" si="709"/>
        <v>0</v>
      </c>
      <c r="F945" s="94">
        <v>0.0</v>
      </c>
      <c r="G945" s="94">
        <v>0.0</v>
      </c>
      <c r="H945" s="94">
        <v>0.0</v>
      </c>
      <c r="I945" s="94">
        <v>0.0</v>
      </c>
      <c r="J945" s="95">
        <f t="shared" si="710"/>
        <v>0</v>
      </c>
      <c r="K945" s="87" t="str">
        <f t="shared" si="711"/>
        <v>#DIV/0!</v>
      </c>
      <c r="L945" s="94">
        <v>0.0</v>
      </c>
      <c r="M945" s="94">
        <v>0.0</v>
      </c>
      <c r="N945" s="85">
        <v>0.0</v>
      </c>
      <c r="O945" s="110">
        <f t="shared" si="712"/>
        <v>0</v>
      </c>
      <c r="P945" s="94">
        <v>0.0</v>
      </c>
      <c r="Q945" s="94">
        <v>0.0</v>
      </c>
      <c r="R945" s="94">
        <v>0.0</v>
      </c>
      <c r="S945" s="94">
        <v>0.0</v>
      </c>
      <c r="T945" s="94">
        <v>0.0</v>
      </c>
      <c r="U945" s="94">
        <v>0.0</v>
      </c>
      <c r="V945" s="94">
        <v>0.0</v>
      </c>
      <c r="W945" s="94">
        <v>0.0</v>
      </c>
      <c r="X945" s="94">
        <v>0.0</v>
      </c>
      <c r="Y945" s="94">
        <v>0.0</v>
      </c>
      <c r="Z945" s="94">
        <v>0.0</v>
      </c>
      <c r="AA945" s="94">
        <v>0.0</v>
      </c>
      <c r="AB945" s="94">
        <v>0.0</v>
      </c>
      <c r="AC945" s="94">
        <v>0.0</v>
      </c>
      <c r="AD945" s="94">
        <v>0.0</v>
      </c>
      <c r="AE945" s="94">
        <v>0.0</v>
      </c>
      <c r="AF945" s="94">
        <v>0.0</v>
      </c>
      <c r="AG945" s="94">
        <v>0.0</v>
      </c>
      <c r="AH945" s="94">
        <v>0.0</v>
      </c>
    </row>
    <row r="946" hidden="1">
      <c r="A946" s="109" t="s">
        <v>44</v>
      </c>
      <c r="B946" s="116"/>
      <c r="C946" s="94">
        <v>0.0</v>
      </c>
      <c r="D946" s="94">
        <v>0.0</v>
      </c>
      <c r="E946" s="96">
        <f t="shared" si="709"/>
        <v>0</v>
      </c>
      <c r="F946" s="94">
        <v>0.0</v>
      </c>
      <c r="G946" s="94">
        <v>0.0</v>
      </c>
      <c r="H946" s="94">
        <v>0.0</v>
      </c>
      <c r="I946" s="94">
        <v>0.0</v>
      </c>
      <c r="J946" s="95">
        <f t="shared" si="710"/>
        <v>0</v>
      </c>
      <c r="K946" s="87" t="str">
        <f t="shared" si="711"/>
        <v>#DIV/0!</v>
      </c>
      <c r="L946" s="94">
        <v>0.0</v>
      </c>
      <c r="M946" s="94">
        <v>0.0</v>
      </c>
      <c r="N946" s="85">
        <v>0.0</v>
      </c>
      <c r="O946" s="110">
        <f t="shared" si="712"/>
        <v>0</v>
      </c>
      <c r="P946" s="94">
        <v>0.0</v>
      </c>
      <c r="Q946" s="94">
        <v>0.0</v>
      </c>
      <c r="R946" s="94">
        <v>0.0</v>
      </c>
      <c r="S946" s="94">
        <v>0.0</v>
      </c>
      <c r="T946" s="94">
        <v>0.0</v>
      </c>
      <c r="U946" s="94">
        <v>0.0</v>
      </c>
      <c r="V946" s="94">
        <v>0.0</v>
      </c>
      <c r="W946" s="94">
        <v>0.0</v>
      </c>
      <c r="X946" s="94">
        <v>0.0</v>
      </c>
      <c r="Y946" s="94">
        <v>0.0</v>
      </c>
      <c r="Z946" s="94">
        <v>0.0</v>
      </c>
      <c r="AA946" s="94">
        <v>0.0</v>
      </c>
      <c r="AB946" s="94">
        <v>0.0</v>
      </c>
      <c r="AC946" s="94">
        <v>0.0</v>
      </c>
      <c r="AD946" s="94">
        <v>0.0</v>
      </c>
      <c r="AE946" s="94">
        <v>0.0</v>
      </c>
      <c r="AF946" s="94">
        <v>0.0</v>
      </c>
      <c r="AG946" s="94">
        <v>0.0</v>
      </c>
      <c r="AH946" s="94">
        <v>0.0</v>
      </c>
    </row>
    <row r="947" hidden="1">
      <c r="A947" s="89"/>
      <c r="B947" s="111"/>
      <c r="C947" s="111">
        <f t="shared" ref="C947:D947" si="713">SUM(C941:C946)/4</f>
        <v>0</v>
      </c>
      <c r="D947" s="111">
        <f t="shared" si="713"/>
        <v>0</v>
      </c>
      <c r="E947" s="91">
        <f t="shared" ref="E947:G947" si="714">SUM(E941:E946)</f>
        <v>0</v>
      </c>
      <c r="F947" s="111">
        <f t="shared" si="714"/>
        <v>0</v>
      </c>
      <c r="G947" s="111">
        <f t="shared" si="714"/>
        <v>0</v>
      </c>
      <c r="H947" s="111"/>
      <c r="I947" s="111">
        <f>SUM(I941:I946)</f>
        <v>0</v>
      </c>
      <c r="J947" s="111">
        <f t="shared" si="710"/>
        <v>0</v>
      </c>
      <c r="K947" s="92" t="str">
        <f t="shared" si="711"/>
        <v>#DIV/0!</v>
      </c>
      <c r="L947" s="111">
        <f t="shared" ref="L947:M947" si="715">SUM(L941:L946)</f>
        <v>0</v>
      </c>
      <c r="M947" s="111">
        <f t="shared" si="715"/>
        <v>0</v>
      </c>
      <c r="N947" s="111"/>
      <c r="O947" s="112"/>
      <c r="P947" s="111">
        <f t="shared" ref="P947:AH947" si="716">SUM(P941:P946)</f>
        <v>0</v>
      </c>
      <c r="Q947" s="111">
        <f t="shared" si="716"/>
        <v>0</v>
      </c>
      <c r="R947" s="111">
        <f t="shared" si="716"/>
        <v>0</v>
      </c>
      <c r="S947" s="111">
        <f t="shared" si="716"/>
        <v>0</v>
      </c>
      <c r="T947" s="111">
        <f t="shared" si="716"/>
        <v>0</v>
      </c>
      <c r="U947" s="111">
        <f t="shared" si="716"/>
        <v>0</v>
      </c>
      <c r="V947" s="111">
        <f t="shared" si="716"/>
        <v>0</v>
      </c>
      <c r="W947" s="111">
        <f t="shared" si="716"/>
        <v>0</v>
      </c>
      <c r="X947" s="111">
        <f t="shared" si="716"/>
        <v>0</v>
      </c>
      <c r="Y947" s="111">
        <f t="shared" si="716"/>
        <v>0</v>
      </c>
      <c r="Z947" s="111">
        <f t="shared" si="716"/>
        <v>0</v>
      </c>
      <c r="AA947" s="111">
        <f t="shared" si="716"/>
        <v>0</v>
      </c>
      <c r="AB947" s="111">
        <f t="shared" si="716"/>
        <v>0</v>
      </c>
      <c r="AC947" s="111">
        <f t="shared" si="716"/>
        <v>0</v>
      </c>
      <c r="AD947" s="111">
        <f t="shared" si="716"/>
        <v>0</v>
      </c>
      <c r="AE947" s="111">
        <f t="shared" si="716"/>
        <v>0</v>
      </c>
      <c r="AF947" s="111">
        <f t="shared" si="716"/>
        <v>0</v>
      </c>
      <c r="AG947" s="111">
        <f t="shared" si="716"/>
        <v>0</v>
      </c>
      <c r="AH947" s="111">
        <f t="shared" si="716"/>
        <v>0</v>
      </c>
    </row>
    <row r="948" hidden="1">
      <c r="A948" s="109" t="s">
        <v>58</v>
      </c>
      <c r="B948" s="93" t="s">
        <v>209</v>
      </c>
      <c r="C948" s="85">
        <v>0.0</v>
      </c>
      <c r="D948" s="85">
        <v>0.0</v>
      </c>
      <c r="E948" s="96">
        <f t="shared" ref="E948:E950" si="717">SUM(L948*I948)/60</f>
        <v>0</v>
      </c>
      <c r="F948" s="94">
        <v>0.0</v>
      </c>
      <c r="G948" s="94">
        <v>0.0</v>
      </c>
      <c r="H948" s="94">
        <v>0.0</v>
      </c>
      <c r="I948" s="94">
        <v>0.0</v>
      </c>
      <c r="J948" s="95">
        <f t="shared" si="710"/>
        <v>0</v>
      </c>
      <c r="K948" s="87" t="str">
        <f t="shared" si="711"/>
        <v>#DIV/0!</v>
      </c>
      <c r="L948" s="94">
        <v>0.0</v>
      </c>
      <c r="M948" s="94">
        <v>0.0</v>
      </c>
      <c r="N948" s="85">
        <v>0.0</v>
      </c>
      <c r="O948" s="110">
        <f t="shared" ref="O948:O953" si="718">(E948*N948)</f>
        <v>0</v>
      </c>
      <c r="P948" s="94">
        <v>0.0</v>
      </c>
      <c r="Q948" s="94">
        <v>0.0</v>
      </c>
      <c r="R948" s="94">
        <v>0.0</v>
      </c>
      <c r="S948" s="94">
        <v>0.0</v>
      </c>
      <c r="T948" s="94">
        <v>0.0</v>
      </c>
      <c r="U948" s="94">
        <v>0.0</v>
      </c>
      <c r="V948" s="94">
        <v>0.0</v>
      </c>
      <c r="W948" s="94">
        <v>0.0</v>
      </c>
      <c r="X948" s="94">
        <v>0.0</v>
      </c>
      <c r="Y948" s="94">
        <v>0.0</v>
      </c>
      <c r="Z948" s="94">
        <v>0.0</v>
      </c>
      <c r="AA948" s="94">
        <v>0.0</v>
      </c>
      <c r="AB948" s="94">
        <v>0.0</v>
      </c>
      <c r="AC948" s="94">
        <v>0.0</v>
      </c>
      <c r="AD948" s="94">
        <v>0.0</v>
      </c>
      <c r="AE948" s="94">
        <v>0.0</v>
      </c>
      <c r="AF948" s="94">
        <v>0.0</v>
      </c>
      <c r="AG948" s="94">
        <v>0.0</v>
      </c>
      <c r="AH948" s="94">
        <v>0.0</v>
      </c>
    </row>
    <row r="949" hidden="1">
      <c r="A949" s="109" t="s">
        <v>58</v>
      </c>
      <c r="B949" s="93" t="s">
        <v>210</v>
      </c>
      <c r="C949" s="85">
        <v>0.0</v>
      </c>
      <c r="D949" s="85">
        <v>0.0</v>
      </c>
      <c r="E949" s="96">
        <f t="shared" si="717"/>
        <v>0</v>
      </c>
      <c r="F949" s="94">
        <v>0.0</v>
      </c>
      <c r="G949" s="94">
        <v>0.0</v>
      </c>
      <c r="H949" s="94">
        <v>0.0</v>
      </c>
      <c r="I949" s="94">
        <v>0.0</v>
      </c>
      <c r="J949" s="95">
        <f t="shared" si="710"/>
        <v>0</v>
      </c>
      <c r="K949" s="87" t="str">
        <f t="shared" si="711"/>
        <v>#DIV/0!</v>
      </c>
      <c r="L949" s="94">
        <v>0.0</v>
      </c>
      <c r="M949" s="94">
        <v>0.0</v>
      </c>
      <c r="N949" s="85">
        <v>0.0</v>
      </c>
      <c r="O949" s="110">
        <f t="shared" si="718"/>
        <v>0</v>
      </c>
      <c r="P949" s="94">
        <v>0.0</v>
      </c>
      <c r="Q949" s="94">
        <v>0.0</v>
      </c>
      <c r="R949" s="94">
        <v>0.0</v>
      </c>
      <c r="S949" s="94">
        <v>0.0</v>
      </c>
      <c r="T949" s="94">
        <v>0.0</v>
      </c>
      <c r="U949" s="94">
        <v>0.0</v>
      </c>
      <c r="V949" s="94">
        <v>0.0</v>
      </c>
      <c r="W949" s="94">
        <v>0.0</v>
      </c>
      <c r="X949" s="94">
        <v>0.0</v>
      </c>
      <c r="Y949" s="94">
        <v>0.0</v>
      </c>
      <c r="Z949" s="94">
        <v>0.0</v>
      </c>
      <c r="AA949" s="94">
        <v>0.0</v>
      </c>
      <c r="AB949" s="94">
        <v>0.0</v>
      </c>
      <c r="AC949" s="94">
        <v>0.0</v>
      </c>
      <c r="AD949" s="94">
        <v>0.0</v>
      </c>
      <c r="AE949" s="94">
        <v>0.0</v>
      </c>
      <c r="AF949" s="94">
        <v>0.0</v>
      </c>
      <c r="AG949" s="94">
        <v>0.0</v>
      </c>
      <c r="AH949" s="94">
        <v>0.0</v>
      </c>
    </row>
    <row r="950" hidden="1">
      <c r="A950" s="109" t="s">
        <v>58</v>
      </c>
      <c r="B950" s="93" t="s">
        <v>211</v>
      </c>
      <c r="C950" s="85">
        <v>0.0</v>
      </c>
      <c r="D950" s="85">
        <v>0.0</v>
      </c>
      <c r="E950" s="96">
        <f t="shared" si="717"/>
        <v>0</v>
      </c>
      <c r="F950" s="94">
        <v>0.0</v>
      </c>
      <c r="G950" s="94">
        <v>0.0</v>
      </c>
      <c r="H950" s="94">
        <v>0.0</v>
      </c>
      <c r="I950" s="94">
        <v>0.0</v>
      </c>
      <c r="J950" s="95">
        <f t="shared" si="710"/>
        <v>0</v>
      </c>
      <c r="K950" s="87" t="str">
        <f t="shared" si="711"/>
        <v>#DIV/0!</v>
      </c>
      <c r="L950" s="94">
        <v>0.0</v>
      </c>
      <c r="M950" s="94">
        <v>0.0</v>
      </c>
      <c r="N950" s="85">
        <v>0.0</v>
      </c>
      <c r="O950" s="110">
        <f t="shared" si="718"/>
        <v>0</v>
      </c>
      <c r="P950" s="94">
        <v>0.0</v>
      </c>
      <c r="Q950" s="94">
        <v>0.0</v>
      </c>
      <c r="R950" s="94">
        <v>0.0</v>
      </c>
      <c r="S950" s="94">
        <v>0.0</v>
      </c>
      <c r="T950" s="94">
        <v>0.0</v>
      </c>
      <c r="U950" s="94">
        <v>0.0</v>
      </c>
      <c r="V950" s="94">
        <v>0.0</v>
      </c>
      <c r="W950" s="94">
        <v>0.0</v>
      </c>
      <c r="X950" s="94">
        <v>0.0</v>
      </c>
      <c r="Y950" s="94">
        <v>0.0</v>
      </c>
      <c r="Z950" s="94">
        <v>0.0</v>
      </c>
      <c r="AA950" s="94">
        <v>0.0</v>
      </c>
      <c r="AB950" s="94">
        <v>0.0</v>
      </c>
      <c r="AC950" s="94">
        <v>0.0</v>
      </c>
      <c r="AD950" s="94">
        <v>0.0</v>
      </c>
      <c r="AE950" s="94">
        <v>0.0</v>
      </c>
      <c r="AF950" s="94">
        <v>0.0</v>
      </c>
      <c r="AG950" s="94">
        <v>0.0</v>
      </c>
      <c r="AH950" s="94">
        <v>0.0</v>
      </c>
    </row>
    <row r="951" hidden="1">
      <c r="A951" s="109" t="s">
        <v>58</v>
      </c>
      <c r="B951" s="93" t="s">
        <v>212</v>
      </c>
      <c r="C951" s="85">
        <v>0.0</v>
      </c>
      <c r="D951" s="85">
        <v>0.0</v>
      </c>
      <c r="E951" s="86">
        <v>0.0</v>
      </c>
      <c r="F951" s="94">
        <v>0.0</v>
      </c>
      <c r="G951" s="94">
        <v>0.0</v>
      </c>
      <c r="H951" s="94">
        <v>0.0</v>
      </c>
      <c r="I951" s="94">
        <v>0.0</v>
      </c>
      <c r="J951" s="95">
        <f t="shared" si="710"/>
        <v>0</v>
      </c>
      <c r="K951" s="87" t="str">
        <f t="shared" si="711"/>
        <v>#DIV/0!</v>
      </c>
      <c r="L951" s="94">
        <v>0.0</v>
      </c>
      <c r="M951" s="94">
        <v>0.0</v>
      </c>
      <c r="N951" s="85">
        <v>0.0</v>
      </c>
      <c r="O951" s="110">
        <f t="shared" si="718"/>
        <v>0</v>
      </c>
      <c r="P951" s="94">
        <v>0.0</v>
      </c>
      <c r="Q951" s="94">
        <v>0.0</v>
      </c>
      <c r="R951" s="94">
        <v>0.0</v>
      </c>
      <c r="S951" s="94">
        <v>0.0</v>
      </c>
      <c r="T951" s="94">
        <v>0.0</v>
      </c>
      <c r="U951" s="94">
        <v>0.0</v>
      </c>
      <c r="V951" s="94">
        <v>0.0</v>
      </c>
      <c r="W951" s="94">
        <v>0.0</v>
      </c>
      <c r="X951" s="94">
        <v>0.0</v>
      </c>
      <c r="Y951" s="94">
        <v>0.0</v>
      </c>
      <c r="Z951" s="94">
        <v>0.0</v>
      </c>
      <c r="AA951" s="94">
        <v>0.0</v>
      </c>
      <c r="AB951" s="94">
        <v>0.0</v>
      </c>
      <c r="AC951" s="94">
        <v>0.0</v>
      </c>
      <c r="AD951" s="94">
        <v>0.0</v>
      </c>
      <c r="AE951" s="94">
        <v>0.0</v>
      </c>
      <c r="AF951" s="94">
        <v>0.0</v>
      </c>
      <c r="AG951" s="94">
        <v>0.0</v>
      </c>
      <c r="AH951" s="94">
        <v>0.0</v>
      </c>
    </row>
    <row r="952" hidden="1">
      <c r="A952" s="109" t="s">
        <v>58</v>
      </c>
      <c r="B952" s="93" t="s">
        <v>213</v>
      </c>
      <c r="C952" s="94">
        <v>0.0</v>
      </c>
      <c r="D952" s="94">
        <v>0.0</v>
      </c>
      <c r="E952" s="96">
        <f t="shared" ref="E952:E953" si="719">SUM(L952*I952)/60</f>
        <v>0</v>
      </c>
      <c r="F952" s="94">
        <v>0.0</v>
      </c>
      <c r="G952" s="94">
        <v>0.0</v>
      </c>
      <c r="H952" s="94">
        <v>0.0</v>
      </c>
      <c r="I952" s="94">
        <v>0.0</v>
      </c>
      <c r="J952" s="95">
        <f t="shared" si="710"/>
        <v>0</v>
      </c>
      <c r="K952" s="87" t="str">
        <f t="shared" si="711"/>
        <v>#DIV/0!</v>
      </c>
      <c r="L952" s="94">
        <v>0.0</v>
      </c>
      <c r="M952" s="94">
        <v>0.0</v>
      </c>
      <c r="N952" s="85">
        <v>0.0</v>
      </c>
      <c r="O952" s="110">
        <f t="shared" si="718"/>
        <v>0</v>
      </c>
      <c r="P952" s="94">
        <v>0.0</v>
      </c>
      <c r="Q952" s="94">
        <v>0.0</v>
      </c>
      <c r="R952" s="94">
        <v>0.0</v>
      </c>
      <c r="S952" s="94">
        <v>0.0</v>
      </c>
      <c r="T952" s="94">
        <v>0.0</v>
      </c>
      <c r="U952" s="94">
        <v>0.0</v>
      </c>
      <c r="V952" s="94">
        <v>0.0</v>
      </c>
      <c r="W952" s="94">
        <v>0.0</v>
      </c>
      <c r="X952" s="94">
        <v>0.0</v>
      </c>
      <c r="Y952" s="94">
        <v>0.0</v>
      </c>
      <c r="Z952" s="94">
        <v>0.0</v>
      </c>
      <c r="AA952" s="94">
        <v>0.0</v>
      </c>
      <c r="AB952" s="94">
        <v>0.0</v>
      </c>
      <c r="AC952" s="94">
        <v>0.0</v>
      </c>
      <c r="AD952" s="94">
        <v>0.0</v>
      </c>
      <c r="AE952" s="94">
        <v>0.0</v>
      </c>
      <c r="AF952" s="94">
        <v>0.0</v>
      </c>
      <c r="AG952" s="94">
        <v>0.0</v>
      </c>
      <c r="AH952" s="94">
        <v>0.0</v>
      </c>
    </row>
    <row r="953" hidden="1">
      <c r="A953" s="109" t="s">
        <v>214</v>
      </c>
      <c r="B953" s="93" t="s">
        <v>189</v>
      </c>
      <c r="C953" s="94">
        <v>0.0</v>
      </c>
      <c r="D953" s="94">
        <v>0.0</v>
      </c>
      <c r="E953" s="96">
        <f t="shared" si="719"/>
        <v>0</v>
      </c>
      <c r="F953" s="94">
        <v>0.0</v>
      </c>
      <c r="G953" s="94">
        <v>0.0</v>
      </c>
      <c r="H953" s="94">
        <v>0.0</v>
      </c>
      <c r="I953" s="94">
        <v>0.0</v>
      </c>
      <c r="J953" s="95">
        <f t="shared" si="710"/>
        <v>0</v>
      </c>
      <c r="K953" s="87" t="str">
        <f t="shared" si="711"/>
        <v>#DIV/0!</v>
      </c>
      <c r="L953" s="94">
        <v>0.0</v>
      </c>
      <c r="M953" s="94">
        <v>0.0</v>
      </c>
      <c r="N953" s="85">
        <v>0.0</v>
      </c>
      <c r="O953" s="110">
        <f t="shared" si="718"/>
        <v>0</v>
      </c>
      <c r="P953" s="94">
        <v>0.0</v>
      </c>
      <c r="Q953" s="94">
        <v>0.0</v>
      </c>
      <c r="R953" s="94">
        <v>0.0</v>
      </c>
      <c r="S953" s="94">
        <v>0.0</v>
      </c>
      <c r="T953" s="94">
        <v>0.0</v>
      </c>
      <c r="U953" s="94">
        <v>0.0</v>
      </c>
      <c r="V953" s="94">
        <v>0.0</v>
      </c>
      <c r="W953" s="94">
        <v>0.0</v>
      </c>
      <c r="X953" s="94">
        <v>0.0</v>
      </c>
      <c r="Y953" s="94">
        <v>0.0</v>
      </c>
      <c r="Z953" s="94">
        <v>0.0</v>
      </c>
      <c r="AA953" s="94">
        <v>0.0</v>
      </c>
      <c r="AB953" s="94">
        <v>0.0</v>
      </c>
      <c r="AC953" s="94">
        <v>0.0</v>
      </c>
      <c r="AD953" s="94">
        <v>0.0</v>
      </c>
      <c r="AE953" s="94">
        <v>0.0</v>
      </c>
      <c r="AF953" s="94">
        <v>0.0</v>
      </c>
      <c r="AG953" s="94">
        <v>0.0</v>
      </c>
      <c r="AH953" s="94">
        <v>0.0</v>
      </c>
    </row>
    <row r="954" hidden="1">
      <c r="A954" s="89" t="s">
        <v>185</v>
      </c>
      <c r="B954" s="111"/>
      <c r="C954" s="111">
        <f>SUM(C948:C953)</f>
        <v>0</v>
      </c>
      <c r="D954" s="111">
        <f t="shared" ref="D954:E954" si="720">SUM(D948:D953)/4</f>
        <v>0</v>
      </c>
      <c r="E954" s="91">
        <f t="shared" si="720"/>
        <v>0</v>
      </c>
      <c r="F954" s="111">
        <f t="shared" ref="F954:G954" si="721">SUM(F948:F953)</f>
        <v>0</v>
      </c>
      <c r="G954" s="111">
        <f t="shared" si="721"/>
        <v>0</v>
      </c>
      <c r="H954" s="111"/>
      <c r="I954" s="111">
        <f>SUM(I948:I953)</f>
        <v>0</v>
      </c>
      <c r="J954" s="111">
        <f t="shared" si="710"/>
        <v>0</v>
      </c>
      <c r="K954" s="92" t="str">
        <f t="shared" si="711"/>
        <v>#DIV/0!</v>
      </c>
      <c r="L954" s="111">
        <f t="shared" ref="L954:M954" si="722">SUM(L948:L953)</f>
        <v>0</v>
      </c>
      <c r="M954" s="111">
        <f t="shared" si="722"/>
        <v>0</v>
      </c>
      <c r="N954" s="111"/>
      <c r="O954" s="112"/>
      <c r="P954" s="111">
        <f t="shared" ref="P954:AH954" si="723">SUM(P948:P953)</f>
        <v>0</v>
      </c>
      <c r="Q954" s="111">
        <f t="shared" si="723"/>
        <v>0</v>
      </c>
      <c r="R954" s="111">
        <f t="shared" si="723"/>
        <v>0</v>
      </c>
      <c r="S954" s="111">
        <f t="shared" si="723"/>
        <v>0</v>
      </c>
      <c r="T954" s="111">
        <f t="shared" si="723"/>
        <v>0</v>
      </c>
      <c r="U954" s="111">
        <f t="shared" si="723"/>
        <v>0</v>
      </c>
      <c r="V954" s="111">
        <f t="shared" si="723"/>
        <v>0</v>
      </c>
      <c r="W954" s="111">
        <f t="shared" si="723"/>
        <v>0</v>
      </c>
      <c r="X954" s="111">
        <f t="shared" si="723"/>
        <v>0</v>
      </c>
      <c r="Y954" s="111">
        <f t="shared" si="723"/>
        <v>0</v>
      </c>
      <c r="Z954" s="111">
        <f t="shared" si="723"/>
        <v>0</v>
      </c>
      <c r="AA954" s="111">
        <f t="shared" si="723"/>
        <v>0</v>
      </c>
      <c r="AB954" s="111">
        <f t="shared" si="723"/>
        <v>0</v>
      </c>
      <c r="AC954" s="111">
        <f t="shared" si="723"/>
        <v>0</v>
      </c>
      <c r="AD954" s="111">
        <f t="shared" si="723"/>
        <v>0</v>
      </c>
      <c r="AE954" s="111">
        <f t="shared" si="723"/>
        <v>0</v>
      </c>
      <c r="AF954" s="111">
        <f t="shared" si="723"/>
        <v>0</v>
      </c>
      <c r="AG954" s="111">
        <f t="shared" si="723"/>
        <v>0</v>
      </c>
      <c r="AH954" s="111">
        <f t="shared" si="723"/>
        <v>0</v>
      </c>
    </row>
    <row r="955">
      <c r="A955" s="104" t="s">
        <v>309</v>
      </c>
    </row>
    <row r="957" hidden="1">
      <c r="A957" s="105"/>
      <c r="F957" s="106" t="s">
        <v>251</v>
      </c>
      <c r="L957" s="107" t="s">
        <v>252</v>
      </c>
      <c r="N957" s="108" t="s">
        <v>253</v>
      </c>
    </row>
    <row r="958" hidden="1">
      <c r="A958" s="76" t="s">
        <v>148</v>
      </c>
      <c r="B958" s="76" t="s">
        <v>149</v>
      </c>
      <c r="C958" s="76" t="s">
        <v>150</v>
      </c>
      <c r="D958" s="76" t="s">
        <v>13</v>
      </c>
      <c r="E958" s="77" t="s">
        <v>151</v>
      </c>
      <c r="F958" s="78" t="s">
        <v>15</v>
      </c>
      <c r="G958" s="78" t="s">
        <v>152</v>
      </c>
      <c r="H958" s="78" t="s">
        <v>153</v>
      </c>
      <c r="I958" s="78" t="s">
        <v>154</v>
      </c>
      <c r="J958" s="78" t="s">
        <v>155</v>
      </c>
      <c r="K958" s="79" t="s">
        <v>156</v>
      </c>
      <c r="L958" s="80" t="s">
        <v>157</v>
      </c>
      <c r="M958" s="80" t="s">
        <v>158</v>
      </c>
      <c r="N958" s="81" t="s">
        <v>254</v>
      </c>
      <c r="O958" s="81" t="s">
        <v>151</v>
      </c>
      <c r="P958" s="81" t="s">
        <v>160</v>
      </c>
      <c r="Q958" s="81" t="s">
        <v>161</v>
      </c>
      <c r="R958" s="81" t="s">
        <v>162</v>
      </c>
      <c r="S958" s="81" t="s">
        <v>163</v>
      </c>
      <c r="T958" s="81" t="s">
        <v>164</v>
      </c>
      <c r="U958" s="81" t="s">
        <v>165</v>
      </c>
      <c r="V958" s="81" t="s">
        <v>166</v>
      </c>
      <c r="W958" s="81" t="s">
        <v>167</v>
      </c>
      <c r="X958" s="81" t="s">
        <v>168</v>
      </c>
      <c r="Y958" s="81" t="s">
        <v>169</v>
      </c>
      <c r="Z958" s="81" t="s">
        <v>170</v>
      </c>
      <c r="AA958" s="81" t="s">
        <v>171</v>
      </c>
      <c r="AB958" s="81" t="s">
        <v>172</v>
      </c>
      <c r="AC958" s="81" t="s">
        <v>173</v>
      </c>
      <c r="AD958" s="81" t="s">
        <v>174</v>
      </c>
      <c r="AE958" s="81" t="s">
        <v>175</v>
      </c>
      <c r="AF958" s="81" t="s">
        <v>176</v>
      </c>
      <c r="AG958" s="81" t="s">
        <v>177</v>
      </c>
      <c r="AH958" s="81" t="s">
        <v>178</v>
      </c>
    </row>
    <row r="959" hidden="1">
      <c r="A959" s="109" t="s">
        <v>51</v>
      </c>
      <c r="B959" s="93" t="s">
        <v>222</v>
      </c>
      <c r="C959" s="85">
        <v>1.0</v>
      </c>
      <c r="D959" s="94">
        <v>0.0</v>
      </c>
      <c r="E959" s="86">
        <v>20.0</v>
      </c>
      <c r="F959" s="94">
        <v>0.0</v>
      </c>
      <c r="G959" s="85">
        <v>48.0</v>
      </c>
      <c r="H959" s="94">
        <v>0.0</v>
      </c>
      <c r="I959" s="85">
        <v>70.0</v>
      </c>
      <c r="J959" s="95">
        <f t="shared" ref="J959:J972" si="724">SUM(G959-I959)</f>
        <v>-22</v>
      </c>
      <c r="K959" s="87">
        <f t="shared" ref="K959:K972" si="725">SUM(G959/I959)</f>
        <v>0.6857142857</v>
      </c>
      <c r="L959" s="85">
        <v>14.0</v>
      </c>
      <c r="M959" s="85">
        <v>56.0</v>
      </c>
      <c r="N959" s="85">
        <v>1.0</v>
      </c>
      <c r="O959" s="110">
        <f t="shared" ref="O959:O964" si="726">(E959*N959)</f>
        <v>20</v>
      </c>
      <c r="P959" s="85">
        <v>2.0</v>
      </c>
      <c r="Q959" s="85">
        <v>1.0</v>
      </c>
      <c r="R959" s="85">
        <v>2.0</v>
      </c>
      <c r="S959" s="94">
        <v>0.0</v>
      </c>
      <c r="T959" s="85">
        <v>2.0</v>
      </c>
      <c r="U959" s="85">
        <v>1.0</v>
      </c>
      <c r="V959" s="85">
        <v>1.0</v>
      </c>
      <c r="W959" s="94">
        <v>0.0</v>
      </c>
      <c r="X959" s="94">
        <v>0.0</v>
      </c>
      <c r="Y959" s="94">
        <v>0.0</v>
      </c>
      <c r="Z959" s="94">
        <v>0.0</v>
      </c>
      <c r="AA959" s="94">
        <v>0.0</v>
      </c>
      <c r="AB959" s="94">
        <v>0.0</v>
      </c>
      <c r="AC959" s="85">
        <v>1.0</v>
      </c>
      <c r="AD959" s="94">
        <v>0.0</v>
      </c>
      <c r="AE959" s="94">
        <v>0.0</v>
      </c>
      <c r="AF959" s="94">
        <v>0.0</v>
      </c>
      <c r="AG959" s="94">
        <v>0.0</v>
      </c>
      <c r="AH959" s="94">
        <v>0.0</v>
      </c>
    </row>
    <row r="960" hidden="1">
      <c r="A960" s="109" t="s">
        <v>51</v>
      </c>
      <c r="B960" s="93" t="s">
        <v>223</v>
      </c>
      <c r="C960" s="85">
        <v>1.0</v>
      </c>
      <c r="D960" s="94">
        <v>0.0</v>
      </c>
      <c r="E960" s="86">
        <v>20.0</v>
      </c>
      <c r="F960" s="94">
        <v>0.0</v>
      </c>
      <c r="G960" s="85">
        <v>55.0</v>
      </c>
      <c r="H960" s="94">
        <v>0.0</v>
      </c>
      <c r="I960" s="85">
        <v>55.0</v>
      </c>
      <c r="J960" s="95">
        <f t="shared" si="724"/>
        <v>0</v>
      </c>
      <c r="K960" s="87">
        <f t="shared" si="725"/>
        <v>1</v>
      </c>
      <c r="L960" s="85">
        <v>18.0</v>
      </c>
      <c r="M960" s="85">
        <v>65.0</v>
      </c>
      <c r="N960" s="85">
        <v>1.0</v>
      </c>
      <c r="O960" s="110">
        <f t="shared" si="726"/>
        <v>20</v>
      </c>
      <c r="P960" s="85">
        <v>5.0</v>
      </c>
      <c r="Q960" s="85">
        <v>1.0</v>
      </c>
      <c r="R960" s="85">
        <v>1.0</v>
      </c>
      <c r="S960" s="85">
        <v>2.0</v>
      </c>
      <c r="T960" s="85">
        <v>6.0</v>
      </c>
      <c r="U960" s="85">
        <v>4.0</v>
      </c>
      <c r="V960" s="85">
        <v>1.0</v>
      </c>
      <c r="W960" s="94">
        <v>0.0</v>
      </c>
      <c r="X960" s="94">
        <v>0.0</v>
      </c>
      <c r="Y960" s="94">
        <v>0.0</v>
      </c>
      <c r="Z960" s="94">
        <v>0.0</v>
      </c>
      <c r="AA960" s="94">
        <v>0.0</v>
      </c>
      <c r="AB960" s="94">
        <v>0.0</v>
      </c>
      <c r="AC960" s="94">
        <v>0.0</v>
      </c>
      <c r="AD960" s="94">
        <v>0.0</v>
      </c>
      <c r="AE960" s="94">
        <v>0.0</v>
      </c>
      <c r="AF960" s="94">
        <v>0.0</v>
      </c>
      <c r="AG960" s="94">
        <v>0.0</v>
      </c>
      <c r="AH960" s="94">
        <v>0.0</v>
      </c>
    </row>
    <row r="961" hidden="1">
      <c r="A961" s="109" t="s">
        <v>51</v>
      </c>
      <c r="B961" s="93" t="s">
        <v>224</v>
      </c>
      <c r="C961" s="85">
        <v>1.0</v>
      </c>
      <c r="D961" s="94">
        <v>0.0</v>
      </c>
      <c r="E961" s="86">
        <v>20.0</v>
      </c>
      <c r="F961" s="94">
        <v>0.0</v>
      </c>
      <c r="G961" s="85">
        <v>81.0</v>
      </c>
      <c r="H961" s="85">
        <v>2.0</v>
      </c>
      <c r="I961" s="85">
        <v>87.0</v>
      </c>
      <c r="J961" s="95">
        <f t="shared" si="724"/>
        <v>-6</v>
      </c>
      <c r="K961" s="87">
        <f t="shared" si="725"/>
        <v>0.9310344828</v>
      </c>
      <c r="L961" s="85">
        <v>10.0</v>
      </c>
      <c r="M961" s="85">
        <v>101.0</v>
      </c>
      <c r="N961" s="85">
        <v>1.0</v>
      </c>
      <c r="O961" s="110">
        <f t="shared" si="726"/>
        <v>20</v>
      </c>
      <c r="P961" s="85">
        <v>2.0</v>
      </c>
      <c r="Q961" s="85">
        <v>1.0</v>
      </c>
      <c r="R961" s="94">
        <v>0.0</v>
      </c>
      <c r="S961" s="85">
        <v>1.0</v>
      </c>
      <c r="T961" s="85">
        <v>13.0</v>
      </c>
      <c r="U961" s="85">
        <v>3.0</v>
      </c>
      <c r="V961" s="85">
        <v>1.0</v>
      </c>
      <c r="W961" s="94">
        <v>0.0</v>
      </c>
      <c r="X961" s="94">
        <v>0.0</v>
      </c>
      <c r="Y961" s="94">
        <v>0.0</v>
      </c>
      <c r="Z961" s="94">
        <v>0.0</v>
      </c>
      <c r="AA961" s="94">
        <v>0.0</v>
      </c>
      <c r="AB961" s="94">
        <v>0.0</v>
      </c>
      <c r="AC961" s="85">
        <v>2.0</v>
      </c>
      <c r="AD961" s="94">
        <v>0.0</v>
      </c>
      <c r="AE961" s="94">
        <v>0.0</v>
      </c>
      <c r="AF961" s="94">
        <v>0.0</v>
      </c>
      <c r="AG961" s="94">
        <v>0.0</v>
      </c>
      <c r="AH961" s="94">
        <v>0.0</v>
      </c>
    </row>
    <row r="962" hidden="1">
      <c r="A962" s="109" t="s">
        <v>51</v>
      </c>
      <c r="B962" s="93" t="s">
        <v>225</v>
      </c>
      <c r="C962" s="85">
        <v>1.0</v>
      </c>
      <c r="D962" s="94">
        <v>0.0</v>
      </c>
      <c r="E962" s="86">
        <v>20.0</v>
      </c>
      <c r="F962" s="94">
        <v>0.0</v>
      </c>
      <c r="G962" s="85">
        <v>56.0</v>
      </c>
      <c r="H962" s="85">
        <v>1.0</v>
      </c>
      <c r="I962" s="85">
        <v>85.0</v>
      </c>
      <c r="J962" s="95">
        <f t="shared" si="724"/>
        <v>-29</v>
      </c>
      <c r="K962" s="87">
        <f t="shared" si="725"/>
        <v>0.6588235294</v>
      </c>
      <c r="L962" s="85">
        <v>11.0</v>
      </c>
      <c r="M962" s="85">
        <v>65.0</v>
      </c>
      <c r="N962" s="85">
        <v>1.0</v>
      </c>
      <c r="O962" s="110">
        <f t="shared" si="726"/>
        <v>20</v>
      </c>
      <c r="P962" s="85">
        <v>2.0</v>
      </c>
      <c r="Q962" s="85">
        <v>3.0</v>
      </c>
      <c r="R962" s="85">
        <v>1.0</v>
      </c>
      <c r="S962" s="94">
        <v>0.0</v>
      </c>
      <c r="T962" s="85">
        <v>5.0</v>
      </c>
      <c r="U962" s="94">
        <v>0.0</v>
      </c>
      <c r="V962" s="94">
        <v>0.0</v>
      </c>
      <c r="W962" s="94">
        <v>0.0</v>
      </c>
      <c r="X962" s="94">
        <v>0.0</v>
      </c>
      <c r="Y962" s="94">
        <v>0.0</v>
      </c>
      <c r="Z962" s="94">
        <v>0.0</v>
      </c>
      <c r="AA962" s="94">
        <v>0.0</v>
      </c>
      <c r="AB962" s="94">
        <v>0.0</v>
      </c>
      <c r="AC962" s="85">
        <v>1.0</v>
      </c>
      <c r="AD962" s="94">
        <v>0.0</v>
      </c>
      <c r="AE962" s="94">
        <v>0.0</v>
      </c>
      <c r="AF962" s="94">
        <v>0.0</v>
      </c>
      <c r="AG962" s="94">
        <v>0.0</v>
      </c>
      <c r="AH962" s="85">
        <v>1.0</v>
      </c>
    </row>
    <row r="963" hidden="1">
      <c r="A963" s="109" t="s">
        <v>51</v>
      </c>
      <c r="B963" s="93" t="s">
        <v>226</v>
      </c>
      <c r="C963" s="94">
        <v>0.0</v>
      </c>
      <c r="D963" s="94">
        <v>0.0</v>
      </c>
      <c r="E963" s="96">
        <f t="shared" ref="E963:E964" si="727">SUM(L963*I963)/60</f>
        <v>0</v>
      </c>
      <c r="F963" s="94">
        <v>0.0</v>
      </c>
      <c r="G963" s="94">
        <v>0.0</v>
      </c>
      <c r="H963" s="94">
        <v>0.0</v>
      </c>
      <c r="I963" s="94">
        <v>0.0</v>
      </c>
      <c r="J963" s="95">
        <f t="shared" si="724"/>
        <v>0</v>
      </c>
      <c r="K963" s="87" t="str">
        <f t="shared" si="725"/>
        <v>#DIV/0!</v>
      </c>
      <c r="L963" s="94">
        <v>0.0</v>
      </c>
      <c r="M963" s="94">
        <v>0.0</v>
      </c>
      <c r="N963" s="85">
        <v>0.0</v>
      </c>
      <c r="O963" s="110">
        <f t="shared" si="726"/>
        <v>0</v>
      </c>
      <c r="P963" s="94">
        <v>0.0</v>
      </c>
      <c r="Q963" s="94">
        <v>0.0</v>
      </c>
      <c r="R963" s="94">
        <v>0.0</v>
      </c>
      <c r="S963" s="94">
        <v>0.0</v>
      </c>
      <c r="T963" s="94">
        <v>0.0</v>
      </c>
      <c r="U963" s="94">
        <v>0.0</v>
      </c>
      <c r="V963" s="94">
        <v>0.0</v>
      </c>
      <c r="W963" s="94">
        <v>0.0</v>
      </c>
      <c r="X963" s="94">
        <v>0.0</v>
      </c>
      <c r="Y963" s="94">
        <v>0.0</v>
      </c>
      <c r="Z963" s="94">
        <v>0.0</v>
      </c>
      <c r="AA963" s="94">
        <v>0.0</v>
      </c>
      <c r="AB963" s="94">
        <v>0.0</v>
      </c>
      <c r="AC963" s="94">
        <v>0.0</v>
      </c>
      <c r="AD963" s="94">
        <v>0.0</v>
      </c>
      <c r="AE963" s="94">
        <v>0.0</v>
      </c>
      <c r="AF963" s="94">
        <v>0.0</v>
      </c>
      <c r="AG963" s="94">
        <v>0.0</v>
      </c>
      <c r="AH963" s="94">
        <v>0.0</v>
      </c>
    </row>
    <row r="964" hidden="1">
      <c r="A964" s="109" t="s">
        <v>51</v>
      </c>
      <c r="B964" s="116"/>
      <c r="C964" s="94">
        <v>0.0</v>
      </c>
      <c r="D964" s="94">
        <v>0.0</v>
      </c>
      <c r="E964" s="96">
        <f t="shared" si="727"/>
        <v>0</v>
      </c>
      <c r="F964" s="94">
        <v>0.0</v>
      </c>
      <c r="G964" s="94">
        <v>0.0</v>
      </c>
      <c r="H964" s="94">
        <v>0.0</v>
      </c>
      <c r="I964" s="94">
        <v>0.0</v>
      </c>
      <c r="J964" s="95">
        <f t="shared" si="724"/>
        <v>0</v>
      </c>
      <c r="K964" s="87" t="str">
        <f t="shared" si="725"/>
        <v>#DIV/0!</v>
      </c>
      <c r="L964" s="94">
        <v>0.0</v>
      </c>
      <c r="M964" s="94">
        <v>0.0</v>
      </c>
      <c r="N964" s="85">
        <v>0.0</v>
      </c>
      <c r="O964" s="110">
        <f t="shared" si="726"/>
        <v>0</v>
      </c>
      <c r="P964" s="94">
        <v>0.0</v>
      </c>
      <c r="Q964" s="94">
        <v>0.0</v>
      </c>
      <c r="R964" s="94">
        <v>0.0</v>
      </c>
      <c r="S964" s="94">
        <v>0.0</v>
      </c>
      <c r="T964" s="94">
        <v>0.0</v>
      </c>
      <c r="U964" s="94">
        <v>0.0</v>
      </c>
      <c r="V964" s="94">
        <v>0.0</v>
      </c>
      <c r="W964" s="94">
        <v>0.0</v>
      </c>
      <c r="X964" s="94">
        <v>0.0</v>
      </c>
      <c r="Y964" s="94">
        <v>0.0</v>
      </c>
      <c r="Z964" s="94">
        <v>0.0</v>
      </c>
      <c r="AA964" s="94">
        <v>0.0</v>
      </c>
      <c r="AB964" s="94">
        <v>0.0</v>
      </c>
      <c r="AC964" s="94">
        <v>0.0</v>
      </c>
      <c r="AD964" s="94">
        <v>0.0</v>
      </c>
      <c r="AE964" s="94">
        <v>0.0</v>
      </c>
      <c r="AF964" s="94">
        <v>0.0</v>
      </c>
      <c r="AG964" s="94">
        <v>0.0</v>
      </c>
      <c r="AH964" s="94">
        <v>0.0</v>
      </c>
    </row>
    <row r="965" hidden="1">
      <c r="A965" s="89"/>
      <c r="B965" s="111"/>
      <c r="C965" s="111">
        <f t="shared" ref="C965:D965" si="728">SUM(C959:C964)/4</f>
        <v>1</v>
      </c>
      <c r="D965" s="111">
        <f t="shared" si="728"/>
        <v>0</v>
      </c>
      <c r="E965" s="91">
        <f t="shared" ref="E965:G965" si="729">SUM(E959:E964)</f>
        <v>80</v>
      </c>
      <c r="F965" s="111">
        <f t="shared" si="729"/>
        <v>0</v>
      </c>
      <c r="G965" s="111">
        <f t="shared" si="729"/>
        <v>240</v>
      </c>
      <c r="H965" s="111"/>
      <c r="I965" s="111">
        <f>SUM(I959:I964)</f>
        <v>297</v>
      </c>
      <c r="J965" s="111">
        <f t="shared" si="724"/>
        <v>-57</v>
      </c>
      <c r="K965" s="92">
        <f t="shared" si="725"/>
        <v>0.8080808081</v>
      </c>
      <c r="L965" s="111">
        <f t="shared" ref="L965:M965" si="730">SUM(L959:L964)</f>
        <v>53</v>
      </c>
      <c r="M965" s="111">
        <f t="shared" si="730"/>
        <v>287</v>
      </c>
      <c r="N965" s="111"/>
      <c r="O965" s="112"/>
      <c r="P965" s="111">
        <f t="shared" ref="P965:AH965" si="731">SUM(P959:P964)</f>
        <v>11</v>
      </c>
      <c r="Q965" s="111">
        <f t="shared" si="731"/>
        <v>6</v>
      </c>
      <c r="R965" s="111">
        <f t="shared" si="731"/>
        <v>4</v>
      </c>
      <c r="S965" s="111">
        <f t="shared" si="731"/>
        <v>3</v>
      </c>
      <c r="T965" s="111">
        <f t="shared" si="731"/>
        <v>26</v>
      </c>
      <c r="U965" s="111">
        <f t="shared" si="731"/>
        <v>8</v>
      </c>
      <c r="V965" s="111">
        <f t="shared" si="731"/>
        <v>3</v>
      </c>
      <c r="W965" s="111">
        <f t="shared" si="731"/>
        <v>0</v>
      </c>
      <c r="X965" s="111">
        <f t="shared" si="731"/>
        <v>0</v>
      </c>
      <c r="Y965" s="111">
        <f t="shared" si="731"/>
        <v>0</v>
      </c>
      <c r="Z965" s="111">
        <f t="shared" si="731"/>
        <v>0</v>
      </c>
      <c r="AA965" s="111">
        <f t="shared" si="731"/>
        <v>0</v>
      </c>
      <c r="AB965" s="111">
        <f t="shared" si="731"/>
        <v>0</v>
      </c>
      <c r="AC965" s="111">
        <f t="shared" si="731"/>
        <v>4</v>
      </c>
      <c r="AD965" s="111">
        <f t="shared" si="731"/>
        <v>0</v>
      </c>
      <c r="AE965" s="111">
        <f t="shared" si="731"/>
        <v>0</v>
      </c>
      <c r="AF965" s="111">
        <f t="shared" si="731"/>
        <v>0</v>
      </c>
      <c r="AG965" s="111">
        <f t="shared" si="731"/>
        <v>0</v>
      </c>
      <c r="AH965" s="111">
        <f t="shared" si="731"/>
        <v>1</v>
      </c>
    </row>
    <row r="966" hidden="1">
      <c r="A966" s="109" t="s">
        <v>20</v>
      </c>
      <c r="B966" s="93" t="s">
        <v>232</v>
      </c>
      <c r="C966" s="85">
        <v>1.0</v>
      </c>
      <c r="D966" s="85">
        <v>1.0</v>
      </c>
      <c r="E966" s="86">
        <v>20.0</v>
      </c>
      <c r="F966" s="85">
        <v>1.0</v>
      </c>
      <c r="G966" s="85">
        <v>79.0</v>
      </c>
      <c r="H966" s="85">
        <v>2.0</v>
      </c>
      <c r="I966" s="85">
        <v>66.0</v>
      </c>
      <c r="J966" s="95">
        <f t="shared" si="724"/>
        <v>13</v>
      </c>
      <c r="K966" s="87">
        <f t="shared" si="725"/>
        <v>1.196969697</v>
      </c>
      <c r="L966" s="85">
        <v>15.0</v>
      </c>
      <c r="M966" s="85">
        <v>114.0</v>
      </c>
      <c r="N966" s="85">
        <v>1.0</v>
      </c>
      <c r="O966" s="110">
        <f t="shared" ref="O966:O971" si="732">(E966*N966)</f>
        <v>20</v>
      </c>
      <c r="P966" s="85">
        <v>4.0</v>
      </c>
      <c r="Q966" s="94">
        <v>0.0</v>
      </c>
      <c r="R966" s="85">
        <v>17.0</v>
      </c>
      <c r="S966" s="94">
        <v>0.0</v>
      </c>
      <c r="T966" s="85">
        <v>15.0</v>
      </c>
      <c r="U966" s="85">
        <v>1.0</v>
      </c>
      <c r="V966" s="85">
        <v>1.0</v>
      </c>
      <c r="W966" s="94">
        <v>0.0</v>
      </c>
      <c r="X966" s="94">
        <v>0.0</v>
      </c>
      <c r="Y966" s="94">
        <v>0.0</v>
      </c>
      <c r="Z966" s="94">
        <v>0.0</v>
      </c>
      <c r="AA966" s="94">
        <v>0.0</v>
      </c>
      <c r="AB966" s="94">
        <v>0.0</v>
      </c>
      <c r="AC966" s="85">
        <v>2.0</v>
      </c>
      <c r="AD966" s="94">
        <v>0.0</v>
      </c>
      <c r="AE966" s="94">
        <v>0.0</v>
      </c>
      <c r="AF966" s="94">
        <v>0.0</v>
      </c>
      <c r="AG966" s="94">
        <v>0.0</v>
      </c>
      <c r="AH966" s="94">
        <v>0.0</v>
      </c>
    </row>
    <row r="967" hidden="1">
      <c r="A967" s="109" t="s">
        <v>20</v>
      </c>
      <c r="B967" s="93" t="s">
        <v>233</v>
      </c>
      <c r="C967" s="85">
        <v>1.0</v>
      </c>
      <c r="D967" s="85">
        <v>1.0</v>
      </c>
      <c r="E967" s="86">
        <v>20.0</v>
      </c>
      <c r="F967" s="94">
        <v>0.0</v>
      </c>
      <c r="G967" s="85">
        <v>90.0</v>
      </c>
      <c r="H967" s="94">
        <v>0.0</v>
      </c>
      <c r="I967" s="85">
        <v>73.0</v>
      </c>
      <c r="J967" s="95">
        <f t="shared" si="724"/>
        <v>17</v>
      </c>
      <c r="K967" s="87">
        <f t="shared" si="725"/>
        <v>1.232876712</v>
      </c>
      <c r="L967" s="85">
        <v>13.0</v>
      </c>
      <c r="M967" s="85">
        <v>128.0</v>
      </c>
      <c r="N967" s="85">
        <v>1.0</v>
      </c>
      <c r="O967" s="110">
        <f t="shared" si="732"/>
        <v>20</v>
      </c>
      <c r="P967" s="85">
        <v>3.0</v>
      </c>
      <c r="Q967" s="94">
        <v>0.0</v>
      </c>
      <c r="R967" s="85">
        <v>16.0</v>
      </c>
      <c r="S967" s="85">
        <v>1.0</v>
      </c>
      <c r="T967" s="85">
        <v>16.0</v>
      </c>
      <c r="U967" s="85">
        <v>5.0</v>
      </c>
      <c r="V967" s="94">
        <v>0.0</v>
      </c>
      <c r="W967" s="94">
        <v>0.0</v>
      </c>
      <c r="X967" s="94">
        <v>0.0</v>
      </c>
      <c r="Y967" s="94">
        <v>0.0</v>
      </c>
      <c r="Z967" s="94">
        <v>0.0</v>
      </c>
      <c r="AA967" s="94">
        <v>0.0</v>
      </c>
      <c r="AB967" s="94">
        <v>0.0</v>
      </c>
      <c r="AC967" s="85">
        <v>1.0</v>
      </c>
      <c r="AD967" s="94">
        <v>0.0</v>
      </c>
      <c r="AE967" s="94">
        <v>0.0</v>
      </c>
      <c r="AF967" s="94">
        <v>0.0</v>
      </c>
      <c r="AG967" s="94">
        <v>0.0</v>
      </c>
      <c r="AH967" s="94">
        <v>0.0</v>
      </c>
    </row>
    <row r="968" hidden="1">
      <c r="A968" s="109" t="s">
        <v>20</v>
      </c>
      <c r="B968" s="93" t="s">
        <v>234</v>
      </c>
      <c r="C968" s="85">
        <v>1.0</v>
      </c>
      <c r="D968" s="85">
        <v>1.0</v>
      </c>
      <c r="E968" s="86">
        <v>20.0</v>
      </c>
      <c r="F968" s="85">
        <v>0.0</v>
      </c>
      <c r="G968" s="85">
        <v>83.0</v>
      </c>
      <c r="H968" s="94">
        <v>0.0</v>
      </c>
      <c r="I968" s="85">
        <v>74.0</v>
      </c>
      <c r="J968" s="95">
        <f t="shared" si="724"/>
        <v>9</v>
      </c>
      <c r="K968" s="87">
        <f t="shared" si="725"/>
        <v>1.121621622</v>
      </c>
      <c r="L968" s="85">
        <v>13.0</v>
      </c>
      <c r="M968" s="85">
        <v>111.0</v>
      </c>
      <c r="N968" s="85">
        <v>1.0</v>
      </c>
      <c r="O968" s="110">
        <f t="shared" si="732"/>
        <v>20</v>
      </c>
      <c r="P968" s="85">
        <v>3.0</v>
      </c>
      <c r="Q968" s="94">
        <v>0.0</v>
      </c>
      <c r="R968" s="85">
        <v>11.0</v>
      </c>
      <c r="S968" s="85">
        <v>3.0</v>
      </c>
      <c r="T968" s="85">
        <v>13.0</v>
      </c>
      <c r="U968" s="85">
        <v>2.0</v>
      </c>
      <c r="V968" s="85">
        <v>1.0</v>
      </c>
      <c r="W968" s="94">
        <v>0.0</v>
      </c>
      <c r="X968" s="94">
        <v>0.0</v>
      </c>
      <c r="Y968" s="94">
        <v>0.0</v>
      </c>
      <c r="Z968" s="94">
        <v>0.0</v>
      </c>
      <c r="AA968" s="94">
        <v>0.0</v>
      </c>
      <c r="AB968" s="94">
        <v>0.0</v>
      </c>
      <c r="AC968" s="85">
        <v>1.0</v>
      </c>
      <c r="AD968" s="94">
        <v>0.0</v>
      </c>
      <c r="AE968" s="94">
        <v>0.0</v>
      </c>
      <c r="AF968" s="94">
        <v>0.0</v>
      </c>
      <c r="AG968" s="85">
        <v>1.0</v>
      </c>
      <c r="AH968" s="94">
        <v>0.0</v>
      </c>
    </row>
    <row r="969" hidden="1">
      <c r="A969" s="109" t="s">
        <v>20</v>
      </c>
      <c r="B969" s="93" t="s">
        <v>235</v>
      </c>
      <c r="C969" s="85">
        <v>1.0</v>
      </c>
      <c r="D969" s="85">
        <v>1.0</v>
      </c>
      <c r="E969" s="86">
        <v>20.0</v>
      </c>
      <c r="F969" s="85">
        <v>4.0</v>
      </c>
      <c r="G969" s="85">
        <v>32.0</v>
      </c>
      <c r="H969" s="85">
        <v>2.0</v>
      </c>
      <c r="I969" s="85">
        <v>38.0</v>
      </c>
      <c r="J969" s="95">
        <f t="shared" si="724"/>
        <v>-6</v>
      </c>
      <c r="K969" s="87">
        <f t="shared" si="725"/>
        <v>0.8421052632</v>
      </c>
      <c r="L969" s="85">
        <v>28.0</v>
      </c>
      <c r="M969" s="85">
        <v>42.0</v>
      </c>
      <c r="N969" s="85">
        <v>1.0</v>
      </c>
      <c r="O969" s="110">
        <f t="shared" si="732"/>
        <v>20</v>
      </c>
      <c r="P969" s="85">
        <v>2.0</v>
      </c>
      <c r="Q969" s="94">
        <v>0.0</v>
      </c>
      <c r="R969" s="85">
        <v>1.0</v>
      </c>
      <c r="S969" s="94">
        <v>0.0</v>
      </c>
      <c r="T969" s="85">
        <v>3.0</v>
      </c>
      <c r="U969" s="94">
        <v>0.0</v>
      </c>
      <c r="V969" s="94">
        <v>0.0</v>
      </c>
      <c r="W969" s="94">
        <v>0.0</v>
      </c>
      <c r="X969" s="94">
        <v>0.0</v>
      </c>
      <c r="Y969" s="94">
        <v>0.0</v>
      </c>
      <c r="Z969" s="94">
        <v>0.0</v>
      </c>
      <c r="AA969" s="94">
        <v>0.0</v>
      </c>
      <c r="AB969" s="94">
        <v>0.0</v>
      </c>
      <c r="AC969" s="94">
        <v>0.0</v>
      </c>
      <c r="AD969" s="94">
        <v>0.0</v>
      </c>
      <c r="AE969" s="94">
        <v>0.0</v>
      </c>
      <c r="AF969" s="94">
        <v>0.0</v>
      </c>
      <c r="AG969" s="94">
        <v>0.0</v>
      </c>
      <c r="AH969" s="94">
        <v>0.0</v>
      </c>
    </row>
    <row r="970" hidden="1">
      <c r="A970" s="109" t="s">
        <v>20</v>
      </c>
      <c r="B970" s="93" t="s">
        <v>236</v>
      </c>
      <c r="C970" s="94">
        <v>0.0</v>
      </c>
      <c r="D970" s="94">
        <v>0.0</v>
      </c>
      <c r="E970" s="96">
        <f t="shared" ref="E970:E971" si="733">SUM(L970*I970)/60</f>
        <v>0</v>
      </c>
      <c r="F970" s="94">
        <v>0.0</v>
      </c>
      <c r="G970" s="94">
        <v>0.0</v>
      </c>
      <c r="H970" s="94">
        <v>0.0</v>
      </c>
      <c r="I970" s="94">
        <v>0.0</v>
      </c>
      <c r="J970" s="95">
        <f t="shared" si="724"/>
        <v>0</v>
      </c>
      <c r="K970" s="87" t="str">
        <f t="shared" si="725"/>
        <v>#DIV/0!</v>
      </c>
      <c r="L970" s="94">
        <v>0.0</v>
      </c>
      <c r="M970" s="94">
        <v>0.0</v>
      </c>
      <c r="N970" s="85">
        <v>0.0</v>
      </c>
      <c r="O970" s="110">
        <f t="shared" si="732"/>
        <v>0</v>
      </c>
      <c r="P970" s="94">
        <v>0.0</v>
      </c>
      <c r="Q970" s="94">
        <v>0.0</v>
      </c>
      <c r="R970" s="94">
        <v>0.0</v>
      </c>
      <c r="S970" s="94">
        <v>0.0</v>
      </c>
      <c r="T970" s="94">
        <v>0.0</v>
      </c>
      <c r="U970" s="94">
        <v>0.0</v>
      </c>
      <c r="V970" s="94">
        <v>0.0</v>
      </c>
      <c r="W970" s="94">
        <v>0.0</v>
      </c>
      <c r="X970" s="94">
        <v>0.0</v>
      </c>
      <c r="Y970" s="94">
        <v>0.0</v>
      </c>
      <c r="Z970" s="94">
        <v>0.0</v>
      </c>
      <c r="AA970" s="94">
        <v>0.0</v>
      </c>
      <c r="AB970" s="94">
        <v>0.0</v>
      </c>
      <c r="AC970" s="94">
        <v>0.0</v>
      </c>
      <c r="AD970" s="94">
        <v>0.0</v>
      </c>
      <c r="AE970" s="94">
        <v>0.0</v>
      </c>
      <c r="AF970" s="94">
        <v>0.0</v>
      </c>
      <c r="AG970" s="94">
        <v>0.0</v>
      </c>
      <c r="AH970" s="94">
        <v>0.0</v>
      </c>
    </row>
    <row r="971" hidden="1">
      <c r="A971" s="109" t="s">
        <v>20</v>
      </c>
      <c r="B971" s="116"/>
      <c r="C971" s="94">
        <v>0.0</v>
      </c>
      <c r="D971" s="94">
        <v>0.0</v>
      </c>
      <c r="E971" s="96">
        <f t="shared" si="733"/>
        <v>0</v>
      </c>
      <c r="F971" s="94">
        <v>0.0</v>
      </c>
      <c r="G971" s="94">
        <v>0.0</v>
      </c>
      <c r="H971" s="94">
        <v>0.0</v>
      </c>
      <c r="I971" s="94">
        <v>0.0</v>
      </c>
      <c r="J971" s="95">
        <f t="shared" si="724"/>
        <v>0</v>
      </c>
      <c r="K971" s="87" t="str">
        <f t="shared" si="725"/>
        <v>#DIV/0!</v>
      </c>
      <c r="L971" s="94">
        <v>0.0</v>
      </c>
      <c r="M971" s="94">
        <v>0.0</v>
      </c>
      <c r="N971" s="85">
        <v>0.0</v>
      </c>
      <c r="O971" s="110">
        <f t="shared" si="732"/>
        <v>0</v>
      </c>
      <c r="P971" s="94">
        <v>0.0</v>
      </c>
      <c r="Q971" s="94">
        <v>0.0</v>
      </c>
      <c r="R971" s="94">
        <v>0.0</v>
      </c>
      <c r="S971" s="94">
        <v>0.0</v>
      </c>
      <c r="T971" s="94">
        <v>0.0</v>
      </c>
      <c r="U971" s="94">
        <v>0.0</v>
      </c>
      <c r="V971" s="94">
        <v>0.0</v>
      </c>
      <c r="W971" s="94">
        <v>0.0</v>
      </c>
      <c r="X971" s="94">
        <v>0.0</v>
      </c>
      <c r="Y971" s="94">
        <v>0.0</v>
      </c>
      <c r="Z971" s="94">
        <v>0.0</v>
      </c>
      <c r="AA971" s="94">
        <v>0.0</v>
      </c>
      <c r="AB971" s="94">
        <v>0.0</v>
      </c>
      <c r="AC971" s="94">
        <v>0.0</v>
      </c>
      <c r="AD971" s="94">
        <v>0.0</v>
      </c>
      <c r="AE971" s="94">
        <v>0.0</v>
      </c>
      <c r="AF971" s="94">
        <v>0.0</v>
      </c>
      <c r="AG971" s="94">
        <v>0.0</v>
      </c>
      <c r="AH971" s="94">
        <v>0.0</v>
      </c>
    </row>
    <row r="972" hidden="1">
      <c r="A972" s="89" t="s">
        <v>185</v>
      </c>
      <c r="B972" s="111"/>
      <c r="C972" s="111">
        <f>SUM(C966:C971)</f>
        <v>4</v>
      </c>
      <c r="D972" s="111">
        <f t="shared" ref="D972:E972" si="734">SUM(D966:D971)/4</f>
        <v>1</v>
      </c>
      <c r="E972" s="91">
        <f t="shared" si="734"/>
        <v>20</v>
      </c>
      <c r="F972" s="111">
        <f t="shared" ref="F972:G972" si="735">SUM(F966:F971)</f>
        <v>5</v>
      </c>
      <c r="G972" s="111">
        <f t="shared" si="735"/>
        <v>284</v>
      </c>
      <c r="H972" s="111"/>
      <c r="I972" s="111">
        <f>SUM(I966:I971)</f>
        <v>251</v>
      </c>
      <c r="J972" s="111">
        <f t="shared" si="724"/>
        <v>33</v>
      </c>
      <c r="K972" s="92">
        <f t="shared" si="725"/>
        <v>1.131474104</v>
      </c>
      <c r="L972" s="111">
        <f t="shared" ref="L972:M972" si="736">SUM(L966:L971)</f>
        <v>69</v>
      </c>
      <c r="M972" s="111">
        <f t="shared" si="736"/>
        <v>395</v>
      </c>
      <c r="N972" s="111"/>
      <c r="O972" s="112"/>
      <c r="P972" s="111">
        <f t="shared" ref="P972:AH972" si="737">SUM(P966:P971)</f>
        <v>12</v>
      </c>
      <c r="Q972" s="111">
        <f t="shared" si="737"/>
        <v>0</v>
      </c>
      <c r="R972" s="111">
        <f t="shared" si="737"/>
        <v>45</v>
      </c>
      <c r="S972" s="111">
        <f t="shared" si="737"/>
        <v>4</v>
      </c>
      <c r="T972" s="111">
        <f t="shared" si="737"/>
        <v>47</v>
      </c>
      <c r="U972" s="111">
        <f t="shared" si="737"/>
        <v>8</v>
      </c>
      <c r="V972" s="111">
        <f t="shared" si="737"/>
        <v>2</v>
      </c>
      <c r="W972" s="111">
        <f t="shared" si="737"/>
        <v>0</v>
      </c>
      <c r="X972" s="111">
        <f t="shared" si="737"/>
        <v>0</v>
      </c>
      <c r="Y972" s="111">
        <f t="shared" si="737"/>
        <v>0</v>
      </c>
      <c r="Z972" s="111">
        <f t="shared" si="737"/>
        <v>0</v>
      </c>
      <c r="AA972" s="111">
        <f t="shared" si="737"/>
        <v>0</v>
      </c>
      <c r="AB972" s="111">
        <f t="shared" si="737"/>
        <v>0</v>
      </c>
      <c r="AC972" s="111">
        <f t="shared" si="737"/>
        <v>4</v>
      </c>
      <c r="AD972" s="111">
        <f t="shared" si="737"/>
        <v>0</v>
      </c>
      <c r="AE972" s="111">
        <f t="shared" si="737"/>
        <v>0</v>
      </c>
      <c r="AF972" s="111">
        <f t="shared" si="737"/>
        <v>0</v>
      </c>
      <c r="AG972" s="111">
        <f t="shared" si="737"/>
        <v>1</v>
      </c>
      <c r="AH972" s="111">
        <f t="shared" si="737"/>
        <v>0</v>
      </c>
    </row>
    <row r="973">
      <c r="A973" s="104" t="s">
        <v>310</v>
      </c>
    </row>
    <row r="975" hidden="1">
      <c r="A975" s="105"/>
      <c r="F975" s="106" t="s">
        <v>251</v>
      </c>
      <c r="L975" s="107" t="s">
        <v>252</v>
      </c>
      <c r="N975" s="108" t="s">
        <v>253</v>
      </c>
    </row>
    <row r="976" hidden="1">
      <c r="A976" s="76" t="s">
        <v>148</v>
      </c>
      <c r="B976" s="76" t="s">
        <v>149</v>
      </c>
      <c r="C976" s="76" t="s">
        <v>150</v>
      </c>
      <c r="D976" s="76" t="s">
        <v>13</v>
      </c>
      <c r="E976" s="77" t="s">
        <v>151</v>
      </c>
      <c r="F976" s="78" t="s">
        <v>15</v>
      </c>
      <c r="G976" s="78" t="s">
        <v>152</v>
      </c>
      <c r="H976" s="78" t="s">
        <v>153</v>
      </c>
      <c r="I976" s="78" t="s">
        <v>154</v>
      </c>
      <c r="J976" s="78" t="s">
        <v>155</v>
      </c>
      <c r="K976" s="79" t="s">
        <v>156</v>
      </c>
      <c r="L976" s="80" t="s">
        <v>157</v>
      </c>
      <c r="M976" s="80" t="s">
        <v>158</v>
      </c>
      <c r="N976" s="81" t="s">
        <v>254</v>
      </c>
      <c r="O976" s="81" t="s">
        <v>151</v>
      </c>
      <c r="P976" s="81" t="s">
        <v>160</v>
      </c>
      <c r="Q976" s="81" t="s">
        <v>161</v>
      </c>
      <c r="R976" s="81" t="s">
        <v>162</v>
      </c>
      <c r="S976" s="81" t="s">
        <v>163</v>
      </c>
      <c r="T976" s="81" t="s">
        <v>164</v>
      </c>
      <c r="U976" s="81" t="s">
        <v>165</v>
      </c>
      <c r="V976" s="81" t="s">
        <v>166</v>
      </c>
      <c r="W976" s="81" t="s">
        <v>167</v>
      </c>
      <c r="X976" s="81" t="s">
        <v>168</v>
      </c>
      <c r="Y976" s="81" t="s">
        <v>169</v>
      </c>
      <c r="Z976" s="81" t="s">
        <v>170</v>
      </c>
      <c r="AA976" s="81" t="s">
        <v>171</v>
      </c>
      <c r="AB976" s="81" t="s">
        <v>172</v>
      </c>
      <c r="AC976" s="81" t="s">
        <v>173</v>
      </c>
      <c r="AD976" s="81" t="s">
        <v>174</v>
      </c>
      <c r="AE976" s="81" t="s">
        <v>175</v>
      </c>
      <c r="AF976" s="81" t="s">
        <v>176</v>
      </c>
      <c r="AG976" s="81" t="s">
        <v>177</v>
      </c>
      <c r="AH976" s="81" t="s">
        <v>178</v>
      </c>
    </row>
    <row r="977" hidden="1">
      <c r="A977" s="109" t="s">
        <v>51</v>
      </c>
      <c r="B977" s="93" t="s">
        <v>222</v>
      </c>
      <c r="C977" s="85">
        <v>1.0</v>
      </c>
      <c r="D977" s="94">
        <v>0.0</v>
      </c>
      <c r="E977" s="96">
        <f t="shared" ref="E977:E982" si="738">SUM(L977*I977)/60</f>
        <v>10.66666667</v>
      </c>
      <c r="F977" s="94">
        <v>0.0</v>
      </c>
      <c r="G977" s="85">
        <v>49.0</v>
      </c>
      <c r="H977" s="94">
        <v>0.0</v>
      </c>
      <c r="I977" s="85">
        <v>64.0</v>
      </c>
      <c r="J977" s="95">
        <f t="shared" ref="J977:J990" si="739">SUM(G977-I977)</f>
        <v>-15</v>
      </c>
      <c r="K977" s="87">
        <f t="shared" ref="K977:K990" si="740">SUM(G977/I977)</f>
        <v>0.765625</v>
      </c>
      <c r="L977" s="85">
        <v>10.0</v>
      </c>
      <c r="M977" s="85">
        <v>56.0</v>
      </c>
      <c r="N977" s="85">
        <v>1.0</v>
      </c>
      <c r="O977" s="110">
        <f t="shared" ref="O977:O982" si="741">(E977*N977)</f>
        <v>10.66666667</v>
      </c>
      <c r="P977" s="85">
        <v>2.0</v>
      </c>
      <c r="Q977" s="85">
        <v>1.0</v>
      </c>
      <c r="R977" s="94">
        <v>0.0</v>
      </c>
      <c r="S977" s="85">
        <v>2.0</v>
      </c>
      <c r="T977" s="85">
        <v>5.0</v>
      </c>
      <c r="U977" s="85">
        <v>1.0</v>
      </c>
      <c r="V977" s="94">
        <v>0.0</v>
      </c>
      <c r="W977" s="94">
        <v>0.0</v>
      </c>
      <c r="X977" s="94">
        <v>0.0</v>
      </c>
      <c r="Y977" s="94">
        <v>0.0</v>
      </c>
      <c r="Z977" s="94">
        <v>0.0</v>
      </c>
      <c r="AA977" s="94">
        <v>0.0</v>
      </c>
      <c r="AB977" s="94">
        <v>0.0</v>
      </c>
      <c r="AC977" s="94">
        <v>0.0</v>
      </c>
      <c r="AD977" s="94">
        <v>0.0</v>
      </c>
      <c r="AE977" s="94">
        <v>0.0</v>
      </c>
      <c r="AF977" s="94">
        <v>0.0</v>
      </c>
      <c r="AG977" s="94">
        <v>0.0</v>
      </c>
      <c r="AH977" s="94">
        <v>0.0</v>
      </c>
    </row>
    <row r="978" hidden="1">
      <c r="A978" s="109" t="s">
        <v>51</v>
      </c>
      <c r="B978" s="93" t="s">
        <v>223</v>
      </c>
      <c r="C978" s="85">
        <v>1.0</v>
      </c>
      <c r="D978" s="94">
        <v>0.0</v>
      </c>
      <c r="E978" s="96">
        <f t="shared" si="738"/>
        <v>11.66666667</v>
      </c>
      <c r="F978" s="94">
        <v>0.0</v>
      </c>
      <c r="G978" s="85">
        <v>41.0</v>
      </c>
      <c r="H978" s="85">
        <v>1.0</v>
      </c>
      <c r="I978" s="85">
        <v>50.0</v>
      </c>
      <c r="J978" s="95">
        <f t="shared" si="739"/>
        <v>-9</v>
      </c>
      <c r="K978" s="87">
        <f t="shared" si="740"/>
        <v>0.82</v>
      </c>
      <c r="L978" s="85">
        <v>14.0</v>
      </c>
      <c r="M978" s="85">
        <v>52.0</v>
      </c>
      <c r="N978" s="85">
        <v>1.0</v>
      </c>
      <c r="O978" s="110">
        <f t="shared" si="741"/>
        <v>11.66666667</v>
      </c>
      <c r="P978" s="85">
        <v>3.0</v>
      </c>
      <c r="Q978" s="85">
        <v>3.0</v>
      </c>
      <c r="R978" s="85">
        <v>2.0</v>
      </c>
      <c r="S978" s="85">
        <v>1.0</v>
      </c>
      <c r="T978" s="85">
        <v>5.0</v>
      </c>
      <c r="U978" s="85">
        <v>1.0</v>
      </c>
      <c r="V978" s="94">
        <v>0.0</v>
      </c>
      <c r="W978" s="94">
        <v>0.0</v>
      </c>
      <c r="X978" s="94">
        <v>0.0</v>
      </c>
      <c r="Y978" s="94">
        <v>0.0</v>
      </c>
      <c r="Z978" s="94">
        <v>0.0</v>
      </c>
      <c r="AA978" s="94">
        <v>0.0</v>
      </c>
      <c r="AB978" s="94">
        <v>0.0</v>
      </c>
      <c r="AC978" s="85">
        <v>2.0</v>
      </c>
      <c r="AD978" s="94">
        <v>0.0</v>
      </c>
      <c r="AE978" s="94">
        <v>0.0</v>
      </c>
      <c r="AF978" s="94">
        <v>0.0</v>
      </c>
      <c r="AG978" s="94">
        <v>0.0</v>
      </c>
      <c r="AH978" s="94">
        <v>0.0</v>
      </c>
    </row>
    <row r="979" hidden="1">
      <c r="A979" s="109" t="s">
        <v>51</v>
      </c>
      <c r="B979" s="93" t="s">
        <v>224</v>
      </c>
      <c r="C979" s="85">
        <v>1.0</v>
      </c>
      <c r="D979" s="94">
        <v>0.0</v>
      </c>
      <c r="E979" s="96">
        <f t="shared" si="738"/>
        <v>11</v>
      </c>
      <c r="F979" s="94">
        <v>0.0</v>
      </c>
      <c r="G979" s="85">
        <v>62.0</v>
      </c>
      <c r="H979" s="94">
        <v>0.0</v>
      </c>
      <c r="I979" s="85">
        <v>60.0</v>
      </c>
      <c r="J979" s="95">
        <f t="shared" si="739"/>
        <v>2</v>
      </c>
      <c r="K979" s="87">
        <f t="shared" si="740"/>
        <v>1.033333333</v>
      </c>
      <c r="L979" s="85">
        <v>11.0</v>
      </c>
      <c r="M979" s="85">
        <v>82.0</v>
      </c>
      <c r="N979" s="85">
        <v>1.0</v>
      </c>
      <c r="O979" s="110">
        <f t="shared" si="741"/>
        <v>11</v>
      </c>
      <c r="P979" s="85">
        <v>1.0</v>
      </c>
      <c r="Q979" s="85">
        <v>1.0</v>
      </c>
      <c r="R979" s="85">
        <v>3.0</v>
      </c>
      <c r="S979" s="85">
        <v>1.0</v>
      </c>
      <c r="T979" s="85">
        <v>12.0</v>
      </c>
      <c r="U979" s="85">
        <v>3.0</v>
      </c>
      <c r="V979" s="85">
        <v>1.0</v>
      </c>
      <c r="W979" s="94">
        <v>0.0</v>
      </c>
      <c r="X979" s="94">
        <v>0.0</v>
      </c>
      <c r="Y979" s="94">
        <v>0.0</v>
      </c>
      <c r="Z979" s="94">
        <v>0.0</v>
      </c>
      <c r="AA979" s="94">
        <v>0.0</v>
      </c>
      <c r="AB979" s="94">
        <v>0.0</v>
      </c>
      <c r="AC979" s="94">
        <v>0.0</v>
      </c>
      <c r="AD979" s="94">
        <v>0.0</v>
      </c>
      <c r="AE979" s="94">
        <v>0.0</v>
      </c>
      <c r="AF979" s="94">
        <v>0.0</v>
      </c>
      <c r="AG979" s="94">
        <v>0.0</v>
      </c>
      <c r="AH979" s="94">
        <v>0.0</v>
      </c>
    </row>
    <row r="980" hidden="1">
      <c r="A980" s="109" t="s">
        <v>51</v>
      </c>
      <c r="B980" s="93" t="s">
        <v>225</v>
      </c>
      <c r="C980" s="85">
        <v>1.0</v>
      </c>
      <c r="D980" s="94">
        <v>0.0</v>
      </c>
      <c r="E980" s="96">
        <f t="shared" si="738"/>
        <v>10.81666667</v>
      </c>
      <c r="F980" s="94">
        <v>0.0</v>
      </c>
      <c r="G980" s="85">
        <v>35.0</v>
      </c>
      <c r="H980" s="94">
        <v>0.0</v>
      </c>
      <c r="I980" s="85">
        <v>59.0</v>
      </c>
      <c r="J980" s="95">
        <f t="shared" si="739"/>
        <v>-24</v>
      </c>
      <c r="K980" s="87">
        <f t="shared" si="740"/>
        <v>0.593220339</v>
      </c>
      <c r="L980" s="85">
        <v>11.0</v>
      </c>
      <c r="M980" s="85">
        <v>37.0</v>
      </c>
      <c r="N980" s="85">
        <v>1.0</v>
      </c>
      <c r="O980" s="110">
        <f t="shared" si="741"/>
        <v>10.81666667</v>
      </c>
      <c r="P980" s="85">
        <v>3.0</v>
      </c>
      <c r="Q980" s="94">
        <v>0.0</v>
      </c>
      <c r="R980" s="94">
        <v>0.0</v>
      </c>
      <c r="S980" s="85">
        <v>1.0</v>
      </c>
      <c r="T980" s="85">
        <v>1.0</v>
      </c>
      <c r="U980" s="94">
        <v>0.0</v>
      </c>
      <c r="V980" s="94">
        <v>0.0</v>
      </c>
      <c r="W980" s="94">
        <v>0.0</v>
      </c>
      <c r="X980" s="94">
        <v>0.0</v>
      </c>
      <c r="Y980" s="94">
        <v>0.0</v>
      </c>
      <c r="Z980" s="94">
        <v>0.0</v>
      </c>
      <c r="AA980" s="94">
        <v>0.0</v>
      </c>
      <c r="AB980" s="94">
        <v>0.0</v>
      </c>
      <c r="AC980" s="94">
        <v>0.0</v>
      </c>
      <c r="AD980" s="94">
        <v>0.0</v>
      </c>
      <c r="AE980" s="94">
        <v>0.0</v>
      </c>
      <c r="AF980" s="94">
        <v>0.0</v>
      </c>
      <c r="AG980" s="94">
        <v>0.0</v>
      </c>
      <c r="AH980" s="94">
        <v>0.0</v>
      </c>
    </row>
    <row r="981" hidden="1">
      <c r="A981" s="109" t="s">
        <v>51</v>
      </c>
      <c r="B981" s="93" t="s">
        <v>226</v>
      </c>
      <c r="C981" s="94">
        <v>0.0</v>
      </c>
      <c r="D981" s="94">
        <v>0.0</v>
      </c>
      <c r="E981" s="96">
        <f t="shared" si="738"/>
        <v>0</v>
      </c>
      <c r="F981" s="94">
        <v>0.0</v>
      </c>
      <c r="G981" s="94">
        <v>0.0</v>
      </c>
      <c r="H981" s="94">
        <v>0.0</v>
      </c>
      <c r="I981" s="94">
        <v>0.0</v>
      </c>
      <c r="J981" s="95">
        <f t="shared" si="739"/>
        <v>0</v>
      </c>
      <c r="K981" s="87" t="str">
        <f t="shared" si="740"/>
        <v>#DIV/0!</v>
      </c>
      <c r="L981" s="94">
        <v>0.0</v>
      </c>
      <c r="M981" s="94">
        <v>0.0</v>
      </c>
      <c r="N981" s="85">
        <v>0.0</v>
      </c>
      <c r="O981" s="110">
        <f t="shared" si="741"/>
        <v>0</v>
      </c>
      <c r="P981" s="94">
        <v>0.0</v>
      </c>
      <c r="Q981" s="94">
        <v>0.0</v>
      </c>
      <c r="R981" s="94">
        <v>0.0</v>
      </c>
      <c r="S981" s="94">
        <v>0.0</v>
      </c>
      <c r="T981" s="94">
        <v>0.0</v>
      </c>
      <c r="U981" s="94">
        <v>0.0</v>
      </c>
      <c r="V981" s="94">
        <v>0.0</v>
      </c>
      <c r="W981" s="94">
        <v>0.0</v>
      </c>
      <c r="X981" s="94">
        <v>0.0</v>
      </c>
      <c r="Y981" s="94">
        <v>0.0</v>
      </c>
      <c r="Z981" s="94">
        <v>0.0</v>
      </c>
      <c r="AA981" s="94">
        <v>0.0</v>
      </c>
      <c r="AB981" s="94">
        <v>0.0</v>
      </c>
      <c r="AC981" s="94">
        <v>0.0</v>
      </c>
      <c r="AD981" s="94">
        <v>0.0</v>
      </c>
      <c r="AE981" s="94">
        <v>0.0</v>
      </c>
      <c r="AF981" s="94">
        <v>0.0</v>
      </c>
      <c r="AG981" s="94">
        <v>0.0</v>
      </c>
      <c r="AH981" s="94">
        <v>0.0</v>
      </c>
    </row>
    <row r="982" hidden="1">
      <c r="A982" s="109" t="s">
        <v>51</v>
      </c>
      <c r="B982" s="116"/>
      <c r="C982" s="94">
        <v>0.0</v>
      </c>
      <c r="D982" s="94">
        <v>0.0</v>
      </c>
      <c r="E982" s="96">
        <f t="shared" si="738"/>
        <v>0</v>
      </c>
      <c r="F982" s="94">
        <v>0.0</v>
      </c>
      <c r="G982" s="94">
        <v>0.0</v>
      </c>
      <c r="H982" s="94">
        <v>0.0</v>
      </c>
      <c r="I982" s="94">
        <v>0.0</v>
      </c>
      <c r="J982" s="95">
        <f t="shared" si="739"/>
        <v>0</v>
      </c>
      <c r="K982" s="87" t="str">
        <f t="shared" si="740"/>
        <v>#DIV/0!</v>
      </c>
      <c r="L982" s="94">
        <v>0.0</v>
      </c>
      <c r="M982" s="94">
        <v>0.0</v>
      </c>
      <c r="N982" s="85">
        <v>0.0</v>
      </c>
      <c r="O982" s="110">
        <f t="shared" si="741"/>
        <v>0</v>
      </c>
      <c r="P982" s="94">
        <v>0.0</v>
      </c>
      <c r="Q982" s="94">
        <v>0.0</v>
      </c>
      <c r="R982" s="94">
        <v>0.0</v>
      </c>
      <c r="S982" s="94">
        <v>0.0</v>
      </c>
      <c r="T982" s="94">
        <v>0.0</v>
      </c>
      <c r="U982" s="94">
        <v>0.0</v>
      </c>
      <c r="V982" s="94">
        <v>0.0</v>
      </c>
      <c r="W982" s="94">
        <v>0.0</v>
      </c>
      <c r="X982" s="94">
        <v>0.0</v>
      </c>
      <c r="Y982" s="94">
        <v>0.0</v>
      </c>
      <c r="Z982" s="94">
        <v>0.0</v>
      </c>
      <c r="AA982" s="94">
        <v>0.0</v>
      </c>
      <c r="AB982" s="94">
        <v>0.0</v>
      </c>
      <c r="AC982" s="94">
        <v>0.0</v>
      </c>
      <c r="AD982" s="94">
        <v>0.0</v>
      </c>
      <c r="AE982" s="94">
        <v>0.0</v>
      </c>
      <c r="AF982" s="94">
        <v>0.0</v>
      </c>
      <c r="AG982" s="94">
        <v>0.0</v>
      </c>
      <c r="AH982" s="94">
        <v>0.0</v>
      </c>
    </row>
    <row r="983" hidden="1">
      <c r="A983" s="89"/>
      <c r="B983" s="111"/>
      <c r="C983" s="111">
        <f t="shared" ref="C983:D983" si="742">SUM(C977:C982)/4</f>
        <v>1</v>
      </c>
      <c r="D983" s="111">
        <f t="shared" si="742"/>
        <v>0</v>
      </c>
      <c r="E983" s="91">
        <f t="shared" ref="E983:G983" si="743">SUM(E977:E982)</f>
        <v>44.15</v>
      </c>
      <c r="F983" s="111">
        <f t="shared" si="743"/>
        <v>0</v>
      </c>
      <c r="G983" s="111">
        <f t="shared" si="743"/>
        <v>187</v>
      </c>
      <c r="H983" s="111"/>
      <c r="I983" s="111">
        <f>SUM(I977:I982)</f>
        <v>233</v>
      </c>
      <c r="J983" s="111">
        <f t="shared" si="739"/>
        <v>-46</v>
      </c>
      <c r="K983" s="92">
        <f t="shared" si="740"/>
        <v>0.8025751073</v>
      </c>
      <c r="L983" s="111">
        <f t="shared" ref="L983:M983" si="744">SUM(L977:L982)</f>
        <v>46</v>
      </c>
      <c r="M983" s="111">
        <f t="shared" si="744"/>
        <v>227</v>
      </c>
      <c r="N983" s="111"/>
      <c r="O983" s="112"/>
      <c r="P983" s="111">
        <f t="shared" ref="P983:AH983" si="745">SUM(P977:P982)</f>
        <v>9</v>
      </c>
      <c r="Q983" s="111">
        <f t="shared" si="745"/>
        <v>5</v>
      </c>
      <c r="R983" s="111">
        <f t="shared" si="745"/>
        <v>5</v>
      </c>
      <c r="S983" s="111">
        <f t="shared" si="745"/>
        <v>5</v>
      </c>
      <c r="T983" s="111">
        <f t="shared" si="745"/>
        <v>23</v>
      </c>
      <c r="U983" s="111">
        <f t="shared" si="745"/>
        <v>5</v>
      </c>
      <c r="V983" s="111">
        <f t="shared" si="745"/>
        <v>1</v>
      </c>
      <c r="W983" s="111">
        <f t="shared" si="745"/>
        <v>0</v>
      </c>
      <c r="X983" s="111">
        <f t="shared" si="745"/>
        <v>0</v>
      </c>
      <c r="Y983" s="111">
        <f t="shared" si="745"/>
        <v>0</v>
      </c>
      <c r="Z983" s="111">
        <f t="shared" si="745"/>
        <v>0</v>
      </c>
      <c r="AA983" s="111">
        <f t="shared" si="745"/>
        <v>0</v>
      </c>
      <c r="AB983" s="111">
        <f t="shared" si="745"/>
        <v>0</v>
      </c>
      <c r="AC983" s="111">
        <f t="shared" si="745"/>
        <v>2</v>
      </c>
      <c r="AD983" s="111">
        <f t="shared" si="745"/>
        <v>0</v>
      </c>
      <c r="AE983" s="111">
        <f t="shared" si="745"/>
        <v>0</v>
      </c>
      <c r="AF983" s="111">
        <f t="shared" si="745"/>
        <v>0</v>
      </c>
      <c r="AG983" s="111">
        <f t="shared" si="745"/>
        <v>0</v>
      </c>
      <c r="AH983" s="111">
        <f t="shared" si="745"/>
        <v>0</v>
      </c>
    </row>
    <row r="984" hidden="1">
      <c r="A984" s="109" t="s">
        <v>20</v>
      </c>
      <c r="B984" s="93" t="s">
        <v>232</v>
      </c>
      <c r="C984" s="85">
        <v>1.0</v>
      </c>
      <c r="D984" s="85">
        <v>1.0</v>
      </c>
      <c r="E984" s="96">
        <f t="shared" ref="E984:E989" si="746">SUM(L984*I984)/60</f>
        <v>11.43333333</v>
      </c>
      <c r="F984" s="94">
        <v>0.0</v>
      </c>
      <c r="G984" s="85">
        <v>76.0</v>
      </c>
      <c r="H984" s="85">
        <v>1.0</v>
      </c>
      <c r="I984" s="85">
        <v>49.0</v>
      </c>
      <c r="J984" s="95">
        <f t="shared" si="739"/>
        <v>27</v>
      </c>
      <c r="K984" s="87">
        <f t="shared" si="740"/>
        <v>1.551020408</v>
      </c>
      <c r="L984" s="85">
        <v>14.0</v>
      </c>
      <c r="M984" s="85">
        <v>111.0</v>
      </c>
      <c r="N984" s="85">
        <v>1.0</v>
      </c>
      <c r="O984" s="110">
        <f t="shared" ref="O984:O989" si="747">(E984*N984)</f>
        <v>11.43333333</v>
      </c>
      <c r="P984" s="85">
        <v>1.0</v>
      </c>
      <c r="Q984" s="85">
        <v>1.0</v>
      </c>
      <c r="R984" s="85">
        <v>12.0</v>
      </c>
      <c r="S984" s="94">
        <v>0.0</v>
      </c>
      <c r="T984" s="85">
        <v>13.0</v>
      </c>
      <c r="U984" s="85">
        <v>6.0</v>
      </c>
      <c r="V984" s="85">
        <v>2.0</v>
      </c>
      <c r="W984" s="85">
        <v>2.0</v>
      </c>
      <c r="X984" s="94">
        <v>0.0</v>
      </c>
      <c r="Y984" s="94">
        <v>0.0</v>
      </c>
      <c r="Z984" s="94">
        <v>0.0</v>
      </c>
      <c r="AA984" s="94">
        <v>0.0</v>
      </c>
      <c r="AB984" s="94">
        <v>0.0</v>
      </c>
      <c r="AC984" s="85">
        <v>4.0</v>
      </c>
      <c r="AD984" s="85">
        <v>1.0</v>
      </c>
      <c r="AE984" s="94">
        <v>0.0</v>
      </c>
      <c r="AF984" s="94">
        <v>0.0</v>
      </c>
      <c r="AG984" s="94">
        <v>0.0</v>
      </c>
      <c r="AH984" s="94">
        <v>0.0</v>
      </c>
    </row>
    <row r="985" hidden="1">
      <c r="A985" s="109" t="s">
        <v>20</v>
      </c>
      <c r="B985" s="93" t="s">
        <v>233</v>
      </c>
      <c r="C985" s="85">
        <v>1.0</v>
      </c>
      <c r="D985" s="85">
        <v>1.0</v>
      </c>
      <c r="E985" s="96">
        <f t="shared" si="746"/>
        <v>10.81666667</v>
      </c>
      <c r="F985" s="94">
        <v>0.0</v>
      </c>
      <c r="G985" s="85">
        <v>64.0</v>
      </c>
      <c r="H985" s="94">
        <v>0.0</v>
      </c>
      <c r="I985" s="85">
        <v>59.0</v>
      </c>
      <c r="J985" s="95">
        <f t="shared" si="739"/>
        <v>5</v>
      </c>
      <c r="K985" s="87">
        <f t="shared" si="740"/>
        <v>1.084745763</v>
      </c>
      <c r="L985" s="85">
        <v>11.0</v>
      </c>
      <c r="M985" s="85">
        <v>85.0</v>
      </c>
      <c r="N985" s="85">
        <v>1.0</v>
      </c>
      <c r="O985" s="110">
        <f t="shared" si="747"/>
        <v>10.81666667</v>
      </c>
      <c r="P985" s="94">
        <v>0.0</v>
      </c>
      <c r="Q985" s="94">
        <v>0.0</v>
      </c>
      <c r="R985" s="85">
        <v>6.0</v>
      </c>
      <c r="S985" s="94">
        <v>0.0</v>
      </c>
      <c r="T985" s="85">
        <v>14.0</v>
      </c>
      <c r="U985" s="85">
        <v>4.0</v>
      </c>
      <c r="V985" s="85">
        <v>1.0</v>
      </c>
      <c r="W985" s="94">
        <v>0.0</v>
      </c>
      <c r="X985" s="94">
        <v>0.0</v>
      </c>
      <c r="Y985" s="94">
        <v>0.0</v>
      </c>
      <c r="Z985" s="94">
        <v>0.0</v>
      </c>
      <c r="AA985" s="94">
        <v>0.0</v>
      </c>
      <c r="AB985" s="94">
        <v>0.0</v>
      </c>
      <c r="AC985" s="94">
        <v>0.0</v>
      </c>
      <c r="AD985" s="94">
        <v>0.0</v>
      </c>
      <c r="AE985" s="94">
        <v>0.0</v>
      </c>
      <c r="AF985" s="94">
        <v>0.0</v>
      </c>
      <c r="AG985" s="94">
        <v>0.0</v>
      </c>
      <c r="AH985" s="94">
        <v>0.0</v>
      </c>
    </row>
    <row r="986" hidden="1">
      <c r="A986" s="109" t="s">
        <v>20</v>
      </c>
      <c r="B986" s="93" t="s">
        <v>234</v>
      </c>
      <c r="C986" s="85">
        <v>1.0</v>
      </c>
      <c r="D986" s="85">
        <v>1.0</v>
      </c>
      <c r="E986" s="96">
        <f t="shared" si="746"/>
        <v>11.2</v>
      </c>
      <c r="F986" s="94">
        <v>0.0</v>
      </c>
      <c r="G986" s="85">
        <v>53.0</v>
      </c>
      <c r="H986" s="94">
        <v>0.0</v>
      </c>
      <c r="I986" s="85">
        <v>56.0</v>
      </c>
      <c r="J986" s="95">
        <f t="shared" si="739"/>
        <v>-3</v>
      </c>
      <c r="K986" s="87">
        <f t="shared" si="740"/>
        <v>0.9464285714</v>
      </c>
      <c r="L986" s="85">
        <v>12.0</v>
      </c>
      <c r="M986" s="85">
        <v>63.0</v>
      </c>
      <c r="N986" s="85">
        <v>1.0</v>
      </c>
      <c r="O986" s="110">
        <f t="shared" si="747"/>
        <v>11.2</v>
      </c>
      <c r="P986" s="85">
        <v>2.0</v>
      </c>
      <c r="Q986" s="85">
        <v>1.0</v>
      </c>
      <c r="R986" s="85">
        <v>4.0</v>
      </c>
      <c r="S986" s="94">
        <v>0.0</v>
      </c>
      <c r="T986" s="85">
        <v>9.0</v>
      </c>
      <c r="U986" s="85">
        <v>2.0</v>
      </c>
      <c r="V986" s="94">
        <v>0.0</v>
      </c>
      <c r="W986" s="94">
        <v>0.0</v>
      </c>
      <c r="X986" s="94">
        <v>0.0</v>
      </c>
      <c r="Y986" s="94">
        <v>0.0</v>
      </c>
      <c r="Z986" s="94">
        <v>0.0</v>
      </c>
      <c r="AA986" s="94">
        <v>0.0</v>
      </c>
      <c r="AB986" s="94">
        <v>0.0</v>
      </c>
      <c r="AC986" s="94">
        <v>0.0</v>
      </c>
      <c r="AD986" s="94">
        <v>0.0</v>
      </c>
      <c r="AE986" s="94">
        <v>0.0</v>
      </c>
      <c r="AF986" s="94">
        <v>0.0</v>
      </c>
      <c r="AG986" s="94">
        <v>0.0</v>
      </c>
      <c r="AH986" s="94">
        <v>0.0</v>
      </c>
    </row>
    <row r="987" hidden="1">
      <c r="A987" s="109" t="s">
        <v>20</v>
      </c>
      <c r="B987" s="93" t="s">
        <v>235</v>
      </c>
      <c r="C987" s="85">
        <v>1.0</v>
      </c>
      <c r="D987" s="85">
        <v>1.0</v>
      </c>
      <c r="E987" s="96">
        <f t="shared" si="746"/>
        <v>12.56666667</v>
      </c>
      <c r="F987" s="85">
        <v>5.0</v>
      </c>
      <c r="G987" s="85">
        <v>31.0</v>
      </c>
      <c r="H987" s="94">
        <v>0.0</v>
      </c>
      <c r="I987" s="85">
        <v>26.0</v>
      </c>
      <c r="J987" s="95">
        <f t="shared" si="739"/>
        <v>5</v>
      </c>
      <c r="K987" s="87">
        <f t="shared" si="740"/>
        <v>1.192307692</v>
      </c>
      <c r="L987" s="85">
        <v>29.0</v>
      </c>
      <c r="M987" s="85">
        <v>47.0</v>
      </c>
      <c r="N987" s="85">
        <v>1.0</v>
      </c>
      <c r="O987" s="110">
        <f t="shared" si="747"/>
        <v>12.56666667</v>
      </c>
      <c r="P987" s="85">
        <v>4.0</v>
      </c>
      <c r="Q987" s="94">
        <v>0.0</v>
      </c>
      <c r="R987" s="94">
        <v>0.0</v>
      </c>
      <c r="S987" s="85">
        <v>2.0</v>
      </c>
      <c r="T987" s="85">
        <v>6.0</v>
      </c>
      <c r="U987" s="94">
        <v>0.0</v>
      </c>
      <c r="V987" s="94">
        <v>0.0</v>
      </c>
      <c r="W987" s="94">
        <v>0.0</v>
      </c>
      <c r="X987" s="94">
        <v>0.0</v>
      </c>
      <c r="Y987" s="94">
        <v>0.0</v>
      </c>
      <c r="Z987" s="94">
        <v>0.0</v>
      </c>
      <c r="AA987" s="94">
        <v>0.0</v>
      </c>
      <c r="AB987" s="94">
        <v>0.0</v>
      </c>
      <c r="AC987" s="85">
        <v>1.0</v>
      </c>
      <c r="AD987" s="94">
        <v>0.0</v>
      </c>
      <c r="AE987" s="94">
        <v>0.0</v>
      </c>
      <c r="AF987" s="94">
        <v>0.0</v>
      </c>
      <c r="AG987" s="94">
        <v>0.0</v>
      </c>
      <c r="AH987" s="94">
        <v>0.0</v>
      </c>
    </row>
    <row r="988" hidden="1">
      <c r="A988" s="109" t="s">
        <v>20</v>
      </c>
      <c r="B988" s="93" t="s">
        <v>236</v>
      </c>
      <c r="C988" s="94">
        <v>0.0</v>
      </c>
      <c r="D988" s="94">
        <v>0.0</v>
      </c>
      <c r="E988" s="96">
        <f t="shared" si="746"/>
        <v>0</v>
      </c>
      <c r="F988" s="94">
        <v>0.0</v>
      </c>
      <c r="G988" s="94">
        <v>0.0</v>
      </c>
      <c r="H988" s="94">
        <v>0.0</v>
      </c>
      <c r="I988" s="94">
        <v>0.0</v>
      </c>
      <c r="J988" s="95">
        <f t="shared" si="739"/>
        <v>0</v>
      </c>
      <c r="K988" s="87" t="str">
        <f t="shared" si="740"/>
        <v>#DIV/0!</v>
      </c>
      <c r="L988" s="94">
        <v>0.0</v>
      </c>
      <c r="M988" s="94">
        <v>0.0</v>
      </c>
      <c r="N988" s="85">
        <v>0.0</v>
      </c>
      <c r="O988" s="110">
        <f t="shared" si="747"/>
        <v>0</v>
      </c>
      <c r="P988" s="94">
        <v>0.0</v>
      </c>
      <c r="Q988" s="94">
        <v>0.0</v>
      </c>
      <c r="R988" s="94">
        <v>0.0</v>
      </c>
      <c r="S988" s="94">
        <v>0.0</v>
      </c>
      <c r="T988" s="94">
        <v>0.0</v>
      </c>
      <c r="U988" s="94">
        <v>0.0</v>
      </c>
      <c r="V988" s="94">
        <v>0.0</v>
      </c>
      <c r="W988" s="94">
        <v>0.0</v>
      </c>
      <c r="X988" s="94">
        <v>0.0</v>
      </c>
      <c r="Y988" s="94">
        <v>0.0</v>
      </c>
      <c r="Z988" s="94">
        <v>0.0</v>
      </c>
      <c r="AA988" s="94">
        <v>0.0</v>
      </c>
      <c r="AB988" s="94">
        <v>0.0</v>
      </c>
      <c r="AC988" s="94">
        <v>0.0</v>
      </c>
      <c r="AD988" s="94">
        <v>0.0</v>
      </c>
      <c r="AE988" s="94">
        <v>0.0</v>
      </c>
      <c r="AF988" s="94">
        <v>0.0</v>
      </c>
      <c r="AG988" s="94">
        <v>0.0</v>
      </c>
      <c r="AH988" s="94">
        <v>0.0</v>
      </c>
    </row>
    <row r="989" hidden="1">
      <c r="A989" s="109" t="s">
        <v>20</v>
      </c>
      <c r="B989" s="116"/>
      <c r="C989" s="94">
        <v>0.0</v>
      </c>
      <c r="D989" s="94">
        <v>0.0</v>
      </c>
      <c r="E989" s="96">
        <f t="shared" si="746"/>
        <v>0</v>
      </c>
      <c r="F989" s="94">
        <v>0.0</v>
      </c>
      <c r="G989" s="94">
        <v>0.0</v>
      </c>
      <c r="H989" s="94">
        <v>0.0</v>
      </c>
      <c r="I989" s="94">
        <v>0.0</v>
      </c>
      <c r="J989" s="95">
        <f t="shared" si="739"/>
        <v>0</v>
      </c>
      <c r="K989" s="87" t="str">
        <f t="shared" si="740"/>
        <v>#DIV/0!</v>
      </c>
      <c r="L989" s="94">
        <v>0.0</v>
      </c>
      <c r="M989" s="94">
        <v>0.0</v>
      </c>
      <c r="N989" s="85">
        <v>0.0</v>
      </c>
      <c r="O989" s="110">
        <f t="shared" si="747"/>
        <v>0</v>
      </c>
      <c r="P989" s="94">
        <v>0.0</v>
      </c>
      <c r="Q989" s="94">
        <v>0.0</v>
      </c>
      <c r="R989" s="94">
        <v>0.0</v>
      </c>
      <c r="S989" s="94">
        <v>0.0</v>
      </c>
      <c r="T989" s="94">
        <v>0.0</v>
      </c>
      <c r="U989" s="94">
        <v>0.0</v>
      </c>
      <c r="V989" s="94">
        <v>0.0</v>
      </c>
      <c r="W989" s="94">
        <v>0.0</v>
      </c>
      <c r="X989" s="94">
        <v>0.0</v>
      </c>
      <c r="Y989" s="94">
        <v>0.0</v>
      </c>
      <c r="Z989" s="94">
        <v>0.0</v>
      </c>
      <c r="AA989" s="94">
        <v>0.0</v>
      </c>
      <c r="AB989" s="94">
        <v>0.0</v>
      </c>
      <c r="AC989" s="94">
        <v>0.0</v>
      </c>
      <c r="AD989" s="94">
        <v>0.0</v>
      </c>
      <c r="AE989" s="94">
        <v>0.0</v>
      </c>
      <c r="AF989" s="94">
        <v>0.0</v>
      </c>
      <c r="AG989" s="94">
        <v>0.0</v>
      </c>
      <c r="AH989" s="94">
        <v>0.0</v>
      </c>
    </row>
    <row r="990" hidden="1">
      <c r="A990" s="89" t="s">
        <v>185</v>
      </c>
      <c r="B990" s="111"/>
      <c r="C990" s="111">
        <f>SUM(C984:C989)</f>
        <v>4</v>
      </c>
      <c r="D990" s="111">
        <f t="shared" ref="D990:E990" si="748">SUM(D984:D989)/4</f>
        <v>1</v>
      </c>
      <c r="E990" s="91">
        <f t="shared" si="748"/>
        <v>11.50416667</v>
      </c>
      <c r="F990" s="111">
        <f t="shared" ref="F990:G990" si="749">SUM(F984:F989)</f>
        <v>5</v>
      </c>
      <c r="G990" s="111">
        <f t="shared" si="749"/>
        <v>224</v>
      </c>
      <c r="H990" s="111"/>
      <c r="I990" s="111">
        <f>SUM(I984:I989)</f>
        <v>190</v>
      </c>
      <c r="J990" s="111">
        <f t="shared" si="739"/>
        <v>34</v>
      </c>
      <c r="K990" s="92">
        <f t="shared" si="740"/>
        <v>1.178947368</v>
      </c>
      <c r="L990" s="111">
        <f t="shared" ref="L990:M990" si="750">SUM(L984:L989)</f>
        <v>66</v>
      </c>
      <c r="M990" s="111">
        <f t="shared" si="750"/>
        <v>306</v>
      </c>
      <c r="N990" s="111"/>
      <c r="O990" s="112"/>
      <c r="P990" s="111">
        <f t="shared" ref="P990:AH990" si="751">SUM(P984:P989)</f>
        <v>7</v>
      </c>
      <c r="Q990" s="111">
        <f t="shared" si="751"/>
        <v>2</v>
      </c>
      <c r="R990" s="111">
        <f t="shared" si="751"/>
        <v>22</v>
      </c>
      <c r="S990" s="111">
        <f t="shared" si="751"/>
        <v>2</v>
      </c>
      <c r="T990" s="111">
        <f t="shared" si="751"/>
        <v>42</v>
      </c>
      <c r="U990" s="111">
        <f t="shared" si="751"/>
        <v>12</v>
      </c>
      <c r="V990" s="111">
        <f t="shared" si="751"/>
        <v>3</v>
      </c>
      <c r="W990" s="111">
        <f t="shared" si="751"/>
        <v>2</v>
      </c>
      <c r="X990" s="111">
        <f t="shared" si="751"/>
        <v>0</v>
      </c>
      <c r="Y990" s="111">
        <f t="shared" si="751"/>
        <v>0</v>
      </c>
      <c r="Z990" s="111">
        <f t="shared" si="751"/>
        <v>0</v>
      </c>
      <c r="AA990" s="111">
        <f t="shared" si="751"/>
        <v>0</v>
      </c>
      <c r="AB990" s="111">
        <f t="shared" si="751"/>
        <v>0</v>
      </c>
      <c r="AC990" s="111">
        <f t="shared" si="751"/>
        <v>5</v>
      </c>
      <c r="AD990" s="111">
        <f t="shared" si="751"/>
        <v>1</v>
      </c>
      <c r="AE990" s="111">
        <f t="shared" si="751"/>
        <v>0</v>
      </c>
      <c r="AF990" s="111">
        <f t="shared" si="751"/>
        <v>0</v>
      </c>
      <c r="AG990" s="111">
        <f t="shared" si="751"/>
        <v>0</v>
      </c>
      <c r="AH990" s="111">
        <f t="shared" si="751"/>
        <v>0</v>
      </c>
    </row>
    <row r="991">
      <c r="A991" s="104" t="s">
        <v>311</v>
      </c>
    </row>
    <row r="993" hidden="1">
      <c r="A993" s="105"/>
      <c r="F993" s="106" t="s">
        <v>251</v>
      </c>
      <c r="L993" s="107" t="s">
        <v>252</v>
      </c>
      <c r="N993" s="108" t="s">
        <v>253</v>
      </c>
    </row>
    <row r="994" hidden="1">
      <c r="A994" s="76" t="s">
        <v>148</v>
      </c>
      <c r="B994" s="76" t="s">
        <v>149</v>
      </c>
      <c r="C994" s="76" t="s">
        <v>150</v>
      </c>
      <c r="D994" s="76" t="s">
        <v>13</v>
      </c>
      <c r="E994" s="77" t="s">
        <v>151</v>
      </c>
      <c r="F994" s="78" t="s">
        <v>15</v>
      </c>
      <c r="G994" s="78" t="s">
        <v>152</v>
      </c>
      <c r="H994" s="78" t="s">
        <v>153</v>
      </c>
      <c r="I994" s="78" t="s">
        <v>154</v>
      </c>
      <c r="J994" s="78" t="s">
        <v>155</v>
      </c>
      <c r="K994" s="79" t="s">
        <v>156</v>
      </c>
      <c r="L994" s="80" t="s">
        <v>157</v>
      </c>
      <c r="M994" s="80" t="s">
        <v>158</v>
      </c>
      <c r="N994" s="81" t="s">
        <v>254</v>
      </c>
      <c r="O994" s="81" t="s">
        <v>151</v>
      </c>
      <c r="P994" s="81" t="s">
        <v>160</v>
      </c>
      <c r="Q994" s="81" t="s">
        <v>161</v>
      </c>
      <c r="R994" s="81" t="s">
        <v>162</v>
      </c>
      <c r="S994" s="81" t="s">
        <v>163</v>
      </c>
      <c r="T994" s="81" t="s">
        <v>164</v>
      </c>
      <c r="U994" s="81" t="s">
        <v>165</v>
      </c>
      <c r="V994" s="81" t="s">
        <v>166</v>
      </c>
      <c r="W994" s="81" t="s">
        <v>167</v>
      </c>
      <c r="X994" s="81" t="s">
        <v>168</v>
      </c>
      <c r="Y994" s="81" t="s">
        <v>169</v>
      </c>
      <c r="Z994" s="81" t="s">
        <v>170</v>
      </c>
      <c r="AA994" s="81" t="s">
        <v>171</v>
      </c>
      <c r="AB994" s="81" t="s">
        <v>172</v>
      </c>
      <c r="AC994" s="81" t="s">
        <v>173</v>
      </c>
      <c r="AD994" s="81" t="s">
        <v>174</v>
      </c>
      <c r="AE994" s="81" t="s">
        <v>175</v>
      </c>
      <c r="AF994" s="81" t="s">
        <v>176</v>
      </c>
      <c r="AG994" s="81" t="s">
        <v>177</v>
      </c>
      <c r="AH994" s="81" t="s">
        <v>178</v>
      </c>
    </row>
    <row r="995" hidden="1">
      <c r="A995" s="109" t="s">
        <v>47</v>
      </c>
      <c r="B995" s="93" t="s">
        <v>237</v>
      </c>
      <c r="C995" s="85">
        <v>1.0</v>
      </c>
      <c r="D995" s="85">
        <v>1.0</v>
      </c>
      <c r="E995" s="96">
        <f t="shared" ref="E995:E1000" si="752">SUM(L995*I995)/60</f>
        <v>11.46666667</v>
      </c>
      <c r="F995" s="94">
        <v>0.0</v>
      </c>
      <c r="G995" s="85">
        <v>56.0</v>
      </c>
      <c r="H995" s="94">
        <v>0.0</v>
      </c>
      <c r="I995" s="85">
        <v>43.0</v>
      </c>
      <c r="J995" s="95">
        <f t="shared" ref="J995:J1008" si="753">SUM(G995-I995)</f>
        <v>13</v>
      </c>
      <c r="K995" s="87">
        <f t="shared" ref="K995:K1008" si="754">SUM(G995/I995)</f>
        <v>1.302325581</v>
      </c>
      <c r="L995" s="85">
        <v>16.0</v>
      </c>
      <c r="M995" s="85">
        <v>76.0</v>
      </c>
      <c r="N995" s="85">
        <v>1.0</v>
      </c>
      <c r="O995" s="110">
        <f t="shared" ref="O995:O1000" si="755">(E995*N995)</f>
        <v>11.46666667</v>
      </c>
      <c r="P995" s="85">
        <v>1.0</v>
      </c>
      <c r="Q995" s="85">
        <v>1.0</v>
      </c>
      <c r="R995" s="85">
        <v>6.0</v>
      </c>
      <c r="S995" s="85">
        <v>3.0</v>
      </c>
      <c r="T995" s="85">
        <v>11.0</v>
      </c>
      <c r="U995" s="85">
        <v>3.0</v>
      </c>
      <c r="V995" s="94">
        <v>0.0</v>
      </c>
      <c r="W995" s="94">
        <v>0.0</v>
      </c>
      <c r="X995" s="94">
        <v>0.0</v>
      </c>
      <c r="Y995" s="94">
        <v>0.0</v>
      </c>
      <c r="Z995" s="94">
        <v>0.0</v>
      </c>
      <c r="AA995" s="94">
        <v>0.0</v>
      </c>
      <c r="AB995" s="94">
        <v>0.0</v>
      </c>
      <c r="AC995" s="85">
        <v>1.0</v>
      </c>
      <c r="AD995" s="94">
        <v>0.0</v>
      </c>
      <c r="AE995" s="94">
        <v>0.0</v>
      </c>
      <c r="AF995" s="94">
        <v>0.0</v>
      </c>
      <c r="AG995" s="94">
        <v>0.0</v>
      </c>
      <c r="AH995" s="94">
        <v>0.0</v>
      </c>
    </row>
    <row r="996" hidden="1">
      <c r="A996" s="109" t="s">
        <v>47</v>
      </c>
      <c r="B996" s="93" t="s">
        <v>238</v>
      </c>
      <c r="C996" s="85">
        <v>1.0</v>
      </c>
      <c r="D996" s="85">
        <v>1.0</v>
      </c>
      <c r="E996" s="96">
        <f t="shared" si="752"/>
        <v>12.03333333</v>
      </c>
      <c r="F996" s="85">
        <v>5.0</v>
      </c>
      <c r="G996" s="85">
        <v>44.0</v>
      </c>
      <c r="H996" s="94">
        <v>0.0</v>
      </c>
      <c r="I996" s="85">
        <v>38.0</v>
      </c>
      <c r="J996" s="95">
        <f t="shared" si="753"/>
        <v>6</v>
      </c>
      <c r="K996" s="87">
        <f t="shared" si="754"/>
        <v>1.157894737</v>
      </c>
      <c r="L996" s="85">
        <v>19.0</v>
      </c>
      <c r="M996" s="85">
        <v>63.0</v>
      </c>
      <c r="N996" s="85">
        <v>1.0</v>
      </c>
      <c r="O996" s="110">
        <f t="shared" si="755"/>
        <v>12.03333333</v>
      </c>
      <c r="P996" s="85">
        <v>1.0</v>
      </c>
      <c r="Q996" s="85">
        <v>3.0</v>
      </c>
      <c r="R996" s="85">
        <v>2.0</v>
      </c>
      <c r="S996" s="94">
        <v>0.0</v>
      </c>
      <c r="T996" s="85">
        <v>7.0</v>
      </c>
      <c r="U996" s="85">
        <v>1.0</v>
      </c>
      <c r="V996" s="94">
        <v>0.0</v>
      </c>
      <c r="W996" s="94">
        <v>0.0</v>
      </c>
      <c r="X996" s="94">
        <v>0.0</v>
      </c>
      <c r="Y996" s="94">
        <v>0.0</v>
      </c>
      <c r="Z996" s="94">
        <v>0.0</v>
      </c>
      <c r="AA996" s="94">
        <v>0.0</v>
      </c>
      <c r="AB996" s="94">
        <v>0.0</v>
      </c>
      <c r="AC996" s="85">
        <v>2.0</v>
      </c>
      <c r="AD996" s="85">
        <v>0.0</v>
      </c>
      <c r="AE996" s="94">
        <v>0.0</v>
      </c>
      <c r="AF996" s="94">
        <v>0.0</v>
      </c>
      <c r="AG996" s="94">
        <v>0.0</v>
      </c>
      <c r="AH996" s="85">
        <v>1.0</v>
      </c>
    </row>
    <row r="997" hidden="1">
      <c r="A997" s="109" t="s">
        <v>47</v>
      </c>
      <c r="B997" s="93" t="s">
        <v>239</v>
      </c>
      <c r="C997" s="94">
        <v>0.0</v>
      </c>
      <c r="D997" s="94">
        <v>0.0</v>
      </c>
      <c r="E997" s="96">
        <f t="shared" si="752"/>
        <v>0</v>
      </c>
      <c r="F997" s="94">
        <v>0.0</v>
      </c>
      <c r="G997" s="94">
        <v>0.0</v>
      </c>
      <c r="H997" s="94">
        <v>0.0</v>
      </c>
      <c r="I997" s="94">
        <v>0.0</v>
      </c>
      <c r="J997" s="95">
        <f t="shared" si="753"/>
        <v>0</v>
      </c>
      <c r="K997" s="87" t="str">
        <f t="shared" si="754"/>
        <v>#DIV/0!</v>
      </c>
      <c r="L997" s="94">
        <v>0.0</v>
      </c>
      <c r="M997" s="94">
        <v>0.0</v>
      </c>
      <c r="N997" s="85">
        <v>0.0</v>
      </c>
      <c r="O997" s="110">
        <f t="shared" si="755"/>
        <v>0</v>
      </c>
      <c r="P997" s="94">
        <v>0.0</v>
      </c>
      <c r="Q997" s="94">
        <v>0.0</v>
      </c>
      <c r="R997" s="94">
        <v>0.0</v>
      </c>
      <c r="S997" s="94">
        <v>0.0</v>
      </c>
      <c r="T997" s="94">
        <v>0.0</v>
      </c>
      <c r="U997" s="94">
        <v>0.0</v>
      </c>
      <c r="V997" s="94">
        <v>0.0</v>
      </c>
      <c r="W997" s="94">
        <v>0.0</v>
      </c>
      <c r="X997" s="94">
        <v>0.0</v>
      </c>
      <c r="Y997" s="94">
        <v>0.0</v>
      </c>
      <c r="Z997" s="94">
        <v>0.0</v>
      </c>
      <c r="AA997" s="94">
        <v>0.0</v>
      </c>
      <c r="AB997" s="94">
        <v>0.0</v>
      </c>
      <c r="AC997" s="94">
        <v>0.0</v>
      </c>
      <c r="AD997" s="94">
        <v>0.0</v>
      </c>
      <c r="AE997" s="94">
        <v>0.0</v>
      </c>
      <c r="AF997" s="94">
        <v>0.0</v>
      </c>
      <c r="AG997" s="94">
        <v>0.0</v>
      </c>
      <c r="AH997" s="94">
        <v>0.0</v>
      </c>
    </row>
    <row r="998" hidden="1">
      <c r="A998" s="109" t="s">
        <v>47</v>
      </c>
      <c r="B998" s="93" t="s">
        <v>240</v>
      </c>
      <c r="C998" s="85">
        <v>1.0</v>
      </c>
      <c r="D998" s="85">
        <v>1.0</v>
      </c>
      <c r="E998" s="96">
        <f t="shared" si="752"/>
        <v>11.5</v>
      </c>
      <c r="F998" s="94">
        <v>0.0</v>
      </c>
      <c r="G998" s="85">
        <v>34.0</v>
      </c>
      <c r="H998" s="94">
        <v>0.0</v>
      </c>
      <c r="I998" s="85">
        <v>46.0</v>
      </c>
      <c r="J998" s="95">
        <f t="shared" si="753"/>
        <v>-12</v>
      </c>
      <c r="K998" s="87">
        <f t="shared" si="754"/>
        <v>0.7391304348</v>
      </c>
      <c r="L998" s="85">
        <v>15.0</v>
      </c>
      <c r="M998" s="85">
        <v>42.0</v>
      </c>
      <c r="N998" s="85">
        <v>1.0</v>
      </c>
      <c r="O998" s="110">
        <f t="shared" si="755"/>
        <v>11.5</v>
      </c>
      <c r="P998" s="85">
        <v>1.0</v>
      </c>
      <c r="Q998" s="94">
        <v>0.0</v>
      </c>
      <c r="R998" s="85">
        <v>2.0</v>
      </c>
      <c r="S998" s="85">
        <v>1.0</v>
      </c>
      <c r="T998" s="85">
        <v>4.0</v>
      </c>
      <c r="U998" s="85">
        <v>1.0</v>
      </c>
      <c r="V998" s="94">
        <v>0.0</v>
      </c>
      <c r="W998" s="94">
        <v>0.0</v>
      </c>
      <c r="X998" s="94">
        <v>0.0</v>
      </c>
      <c r="Y998" s="94">
        <v>0.0</v>
      </c>
      <c r="Z998" s="94">
        <v>0.0</v>
      </c>
      <c r="AA998" s="94">
        <v>0.0</v>
      </c>
      <c r="AB998" s="94">
        <v>0.0</v>
      </c>
      <c r="AC998" s="85">
        <v>1.0</v>
      </c>
      <c r="AD998" s="94">
        <v>0.0</v>
      </c>
      <c r="AE998" s="94">
        <v>0.0</v>
      </c>
      <c r="AF998" s="94">
        <v>0.0</v>
      </c>
      <c r="AG998" s="94">
        <v>0.0</v>
      </c>
      <c r="AH998" s="94">
        <v>0.0</v>
      </c>
    </row>
    <row r="999" hidden="1">
      <c r="A999" s="109" t="s">
        <v>47</v>
      </c>
      <c r="B999" s="93" t="s">
        <v>241</v>
      </c>
      <c r="C999" s="94">
        <v>0.0</v>
      </c>
      <c r="D999" s="94">
        <v>0.0</v>
      </c>
      <c r="E999" s="96">
        <f t="shared" si="752"/>
        <v>0</v>
      </c>
      <c r="F999" s="94">
        <v>0.0</v>
      </c>
      <c r="G999" s="94">
        <v>0.0</v>
      </c>
      <c r="H999" s="94">
        <v>0.0</v>
      </c>
      <c r="I999" s="94">
        <v>0.0</v>
      </c>
      <c r="J999" s="95">
        <f t="shared" si="753"/>
        <v>0</v>
      </c>
      <c r="K999" s="87" t="str">
        <f t="shared" si="754"/>
        <v>#DIV/0!</v>
      </c>
      <c r="L999" s="94">
        <v>0.0</v>
      </c>
      <c r="M999" s="94">
        <v>0.0</v>
      </c>
      <c r="N999" s="85">
        <v>0.0</v>
      </c>
      <c r="O999" s="110">
        <f t="shared" si="755"/>
        <v>0</v>
      </c>
      <c r="P999" s="94">
        <v>0.0</v>
      </c>
      <c r="Q999" s="94">
        <v>0.0</v>
      </c>
      <c r="R999" s="94">
        <v>0.0</v>
      </c>
      <c r="S999" s="94">
        <v>0.0</v>
      </c>
      <c r="T999" s="94">
        <v>0.0</v>
      </c>
      <c r="U999" s="94">
        <v>0.0</v>
      </c>
      <c r="V999" s="94">
        <v>0.0</v>
      </c>
      <c r="W999" s="94">
        <v>0.0</v>
      </c>
      <c r="X999" s="94">
        <v>0.0</v>
      </c>
      <c r="Y999" s="94">
        <v>0.0</v>
      </c>
      <c r="Z999" s="94">
        <v>0.0</v>
      </c>
      <c r="AA999" s="94">
        <v>0.0</v>
      </c>
      <c r="AB999" s="94">
        <v>0.0</v>
      </c>
      <c r="AC999" s="94">
        <v>0.0</v>
      </c>
      <c r="AD999" s="94">
        <v>0.0</v>
      </c>
      <c r="AE999" s="94">
        <v>0.0</v>
      </c>
      <c r="AF999" s="94">
        <v>0.0</v>
      </c>
      <c r="AG999" s="94">
        <v>0.0</v>
      </c>
      <c r="AH999" s="94">
        <v>0.0</v>
      </c>
    </row>
    <row r="1000" hidden="1">
      <c r="A1000" s="109" t="s">
        <v>47</v>
      </c>
      <c r="B1000" s="84" t="s">
        <v>182</v>
      </c>
      <c r="C1000" s="85">
        <v>1.0</v>
      </c>
      <c r="D1000" s="85">
        <v>1.0</v>
      </c>
      <c r="E1000" s="96">
        <f t="shared" si="752"/>
        <v>10.26666667</v>
      </c>
      <c r="F1000" s="94">
        <v>0.0</v>
      </c>
      <c r="G1000" s="85">
        <v>52.0</v>
      </c>
      <c r="H1000" s="94">
        <v>0.0</v>
      </c>
      <c r="I1000" s="85">
        <v>56.0</v>
      </c>
      <c r="J1000" s="95">
        <f t="shared" si="753"/>
        <v>-4</v>
      </c>
      <c r="K1000" s="87">
        <f t="shared" si="754"/>
        <v>0.9285714286</v>
      </c>
      <c r="L1000" s="85">
        <v>11.0</v>
      </c>
      <c r="M1000" s="85">
        <v>73.0</v>
      </c>
      <c r="N1000" s="85">
        <v>1.0</v>
      </c>
      <c r="O1000" s="110">
        <f t="shared" si="755"/>
        <v>10.26666667</v>
      </c>
      <c r="P1000" s="85">
        <v>4.0</v>
      </c>
      <c r="Q1000" s="85">
        <v>1.0</v>
      </c>
      <c r="R1000" s="85">
        <v>6.0</v>
      </c>
      <c r="S1000" s="85">
        <v>1.0</v>
      </c>
      <c r="T1000" s="85">
        <v>10.0</v>
      </c>
      <c r="U1000" s="85">
        <v>3.0</v>
      </c>
      <c r="V1000" s="94">
        <v>0.0</v>
      </c>
      <c r="W1000" s="94">
        <v>0.0</v>
      </c>
      <c r="X1000" s="94">
        <v>0.0</v>
      </c>
      <c r="Y1000" s="94">
        <v>0.0</v>
      </c>
      <c r="Z1000" s="94">
        <v>0.0</v>
      </c>
      <c r="AA1000" s="94">
        <v>0.0</v>
      </c>
      <c r="AB1000" s="94">
        <v>0.0</v>
      </c>
      <c r="AC1000" s="85">
        <v>1.0</v>
      </c>
      <c r="AD1000" s="94">
        <v>0.0</v>
      </c>
      <c r="AE1000" s="94">
        <v>0.0</v>
      </c>
      <c r="AF1000" s="94">
        <v>0.0</v>
      </c>
      <c r="AG1000" s="94">
        <v>0.0</v>
      </c>
      <c r="AH1000" s="94">
        <v>0.0</v>
      </c>
    </row>
    <row r="1001" hidden="1">
      <c r="A1001" s="89"/>
      <c r="B1001" s="111"/>
      <c r="C1001" s="111">
        <f t="shared" ref="C1001:D1001" si="756">SUM(C995:C1000)/4</f>
        <v>1</v>
      </c>
      <c r="D1001" s="111">
        <f t="shared" si="756"/>
        <v>1</v>
      </c>
      <c r="E1001" s="91">
        <f t="shared" ref="E1001:G1001" si="757">SUM(E995:E1000)</f>
        <v>45.26666667</v>
      </c>
      <c r="F1001" s="111">
        <f t="shared" si="757"/>
        <v>5</v>
      </c>
      <c r="G1001" s="111">
        <f t="shared" si="757"/>
        <v>186</v>
      </c>
      <c r="H1001" s="111"/>
      <c r="I1001" s="111">
        <f>SUM(I995:I1000)</f>
        <v>183</v>
      </c>
      <c r="J1001" s="111">
        <f t="shared" si="753"/>
        <v>3</v>
      </c>
      <c r="K1001" s="92">
        <f t="shared" si="754"/>
        <v>1.016393443</v>
      </c>
      <c r="L1001" s="111">
        <f t="shared" ref="L1001:M1001" si="758">SUM(L995:L1000)</f>
        <v>61</v>
      </c>
      <c r="M1001" s="111">
        <f t="shared" si="758"/>
        <v>254</v>
      </c>
      <c r="N1001" s="111"/>
      <c r="O1001" s="112"/>
      <c r="P1001" s="111">
        <f t="shared" ref="P1001:AH1001" si="759">SUM(P995:P1000)</f>
        <v>7</v>
      </c>
      <c r="Q1001" s="111">
        <f t="shared" si="759"/>
        <v>5</v>
      </c>
      <c r="R1001" s="111">
        <f t="shared" si="759"/>
        <v>16</v>
      </c>
      <c r="S1001" s="111">
        <f t="shared" si="759"/>
        <v>5</v>
      </c>
      <c r="T1001" s="111">
        <f t="shared" si="759"/>
        <v>32</v>
      </c>
      <c r="U1001" s="111">
        <f t="shared" si="759"/>
        <v>8</v>
      </c>
      <c r="V1001" s="111">
        <f t="shared" si="759"/>
        <v>0</v>
      </c>
      <c r="W1001" s="111">
        <f t="shared" si="759"/>
        <v>0</v>
      </c>
      <c r="X1001" s="111">
        <f t="shared" si="759"/>
        <v>0</v>
      </c>
      <c r="Y1001" s="111">
        <f t="shared" si="759"/>
        <v>0</v>
      </c>
      <c r="Z1001" s="111">
        <f t="shared" si="759"/>
        <v>0</v>
      </c>
      <c r="AA1001" s="111">
        <f t="shared" si="759"/>
        <v>0</v>
      </c>
      <c r="AB1001" s="111">
        <f t="shared" si="759"/>
        <v>0</v>
      </c>
      <c r="AC1001" s="111">
        <f t="shared" si="759"/>
        <v>5</v>
      </c>
      <c r="AD1001" s="111">
        <f t="shared" si="759"/>
        <v>0</v>
      </c>
      <c r="AE1001" s="111">
        <f t="shared" si="759"/>
        <v>0</v>
      </c>
      <c r="AF1001" s="111">
        <f t="shared" si="759"/>
        <v>0</v>
      </c>
      <c r="AG1001" s="111">
        <f t="shared" si="759"/>
        <v>0</v>
      </c>
      <c r="AH1001" s="111">
        <f t="shared" si="759"/>
        <v>1</v>
      </c>
    </row>
    <row r="1002" hidden="1">
      <c r="A1002" s="109" t="s">
        <v>58</v>
      </c>
      <c r="B1002" s="93" t="s">
        <v>209</v>
      </c>
      <c r="C1002" s="85">
        <v>1.0</v>
      </c>
      <c r="D1002" s="94">
        <v>0.0</v>
      </c>
      <c r="E1002" s="96">
        <f t="shared" ref="E1002:E1007" si="760">SUM(L1002*I1002)/60</f>
        <v>10.81666667</v>
      </c>
      <c r="F1002" s="94">
        <v>0.0</v>
      </c>
      <c r="G1002" s="85">
        <v>63.0</v>
      </c>
      <c r="H1002" s="94">
        <v>0.0</v>
      </c>
      <c r="I1002" s="85">
        <v>59.0</v>
      </c>
      <c r="J1002" s="95">
        <f t="shared" si="753"/>
        <v>4</v>
      </c>
      <c r="K1002" s="87">
        <f t="shared" si="754"/>
        <v>1.06779661</v>
      </c>
      <c r="L1002" s="85">
        <v>11.0</v>
      </c>
      <c r="M1002" s="85">
        <v>83.0</v>
      </c>
      <c r="N1002" s="85">
        <v>1.0</v>
      </c>
      <c r="O1002" s="110">
        <f t="shared" ref="O1002:O1007" si="761">(E1002*N1002)</f>
        <v>10.81666667</v>
      </c>
      <c r="P1002" s="85">
        <v>2.0</v>
      </c>
      <c r="Q1002" s="94">
        <v>0.0</v>
      </c>
      <c r="R1002" s="94">
        <v>0.0</v>
      </c>
      <c r="S1002" s="85">
        <v>1.0</v>
      </c>
      <c r="T1002" s="85">
        <v>15.0</v>
      </c>
      <c r="U1002" s="85">
        <v>2.0</v>
      </c>
      <c r="V1002" s="85">
        <v>1.0</v>
      </c>
      <c r="W1002" s="85">
        <v>1.0</v>
      </c>
      <c r="X1002" s="94">
        <v>0.0</v>
      </c>
      <c r="Y1002" s="94">
        <v>0.0</v>
      </c>
      <c r="Z1002" s="94">
        <v>0.0</v>
      </c>
      <c r="AA1002" s="94">
        <v>0.0</v>
      </c>
      <c r="AB1002" s="94">
        <v>0.0</v>
      </c>
      <c r="AC1002" s="85">
        <v>3.0</v>
      </c>
      <c r="AD1002" s="94">
        <v>0.0</v>
      </c>
      <c r="AE1002" s="94">
        <v>0.0</v>
      </c>
      <c r="AF1002" s="94">
        <v>0.0</v>
      </c>
      <c r="AG1002" s="94">
        <v>0.0</v>
      </c>
      <c r="AH1002" s="94">
        <v>0.0</v>
      </c>
    </row>
    <row r="1003" hidden="1">
      <c r="A1003" s="109" t="s">
        <v>58</v>
      </c>
      <c r="B1003" s="93" t="s">
        <v>210</v>
      </c>
      <c r="C1003" s="85">
        <v>1.0</v>
      </c>
      <c r="D1003" s="94">
        <v>0.0</v>
      </c>
      <c r="E1003" s="96">
        <f t="shared" si="760"/>
        <v>11.2</v>
      </c>
      <c r="F1003" s="85">
        <v>1.0</v>
      </c>
      <c r="G1003" s="85">
        <v>39.0</v>
      </c>
      <c r="H1003" s="94">
        <v>0.0</v>
      </c>
      <c r="I1003" s="85">
        <v>42.0</v>
      </c>
      <c r="J1003" s="95">
        <f t="shared" si="753"/>
        <v>-3</v>
      </c>
      <c r="K1003" s="87">
        <f t="shared" si="754"/>
        <v>0.9285714286</v>
      </c>
      <c r="L1003" s="85">
        <v>16.0</v>
      </c>
      <c r="M1003" s="85">
        <v>46.0</v>
      </c>
      <c r="N1003" s="85">
        <v>1.0</v>
      </c>
      <c r="O1003" s="110">
        <f t="shared" si="761"/>
        <v>11.2</v>
      </c>
      <c r="P1003" s="85">
        <v>2.0</v>
      </c>
      <c r="Q1003" s="85">
        <v>1.0</v>
      </c>
      <c r="R1003" s="94">
        <v>0.0</v>
      </c>
      <c r="S1003" s="85">
        <v>1.0</v>
      </c>
      <c r="T1003" s="85">
        <v>5.0</v>
      </c>
      <c r="U1003" s="94">
        <v>0.0</v>
      </c>
      <c r="V1003" s="94">
        <v>0.0</v>
      </c>
      <c r="W1003" s="94">
        <v>0.0</v>
      </c>
      <c r="X1003" s="94">
        <v>0.0</v>
      </c>
      <c r="Y1003" s="94">
        <v>0.0</v>
      </c>
      <c r="Z1003" s="94">
        <v>0.0</v>
      </c>
      <c r="AA1003" s="94">
        <v>0.0</v>
      </c>
      <c r="AB1003" s="94">
        <v>0.0</v>
      </c>
      <c r="AC1003" s="85">
        <v>1.0</v>
      </c>
      <c r="AD1003" s="94">
        <v>0.0</v>
      </c>
      <c r="AE1003" s="94">
        <v>0.0</v>
      </c>
      <c r="AF1003" s="94">
        <v>0.0</v>
      </c>
      <c r="AG1003" s="94">
        <v>0.0</v>
      </c>
      <c r="AH1003" s="94">
        <v>0.0</v>
      </c>
    </row>
    <row r="1004" hidden="1">
      <c r="A1004" s="109" t="s">
        <v>58</v>
      </c>
      <c r="B1004" s="93" t="s">
        <v>211</v>
      </c>
      <c r="C1004" s="85">
        <v>1.0</v>
      </c>
      <c r="D1004" s="94">
        <v>0.0</v>
      </c>
      <c r="E1004" s="96">
        <f t="shared" si="760"/>
        <v>10.61666667</v>
      </c>
      <c r="F1004" s="94">
        <v>0.0</v>
      </c>
      <c r="G1004" s="85">
        <v>38.0</v>
      </c>
      <c r="H1004" s="94">
        <v>0.0</v>
      </c>
      <c r="I1004" s="85">
        <v>49.0</v>
      </c>
      <c r="J1004" s="95">
        <f t="shared" si="753"/>
        <v>-11</v>
      </c>
      <c r="K1004" s="87">
        <f t="shared" si="754"/>
        <v>0.7755102041</v>
      </c>
      <c r="L1004" s="85">
        <v>13.0</v>
      </c>
      <c r="M1004" s="85">
        <v>47.0</v>
      </c>
      <c r="N1004" s="85">
        <v>1.0</v>
      </c>
      <c r="O1004" s="110">
        <f t="shared" si="761"/>
        <v>10.61666667</v>
      </c>
      <c r="P1004" s="94">
        <v>0.0</v>
      </c>
      <c r="Q1004" s="94">
        <v>0.0</v>
      </c>
      <c r="R1004" s="85">
        <v>1.0</v>
      </c>
      <c r="S1004" s="85">
        <v>1.0</v>
      </c>
      <c r="T1004" s="85">
        <v>5.0</v>
      </c>
      <c r="U1004" s="85">
        <v>1.0</v>
      </c>
      <c r="V1004" s="94">
        <v>0.0</v>
      </c>
      <c r="W1004" s="94">
        <v>0.0</v>
      </c>
      <c r="X1004" s="94">
        <v>0.0</v>
      </c>
      <c r="Y1004" s="94">
        <v>0.0</v>
      </c>
      <c r="Z1004" s="94">
        <v>0.0</v>
      </c>
      <c r="AA1004" s="94">
        <v>0.0</v>
      </c>
      <c r="AB1004" s="94">
        <v>0.0</v>
      </c>
      <c r="AC1004" s="85">
        <v>2.0</v>
      </c>
      <c r="AD1004" s="94">
        <v>0.0</v>
      </c>
      <c r="AE1004" s="94">
        <v>0.0</v>
      </c>
      <c r="AF1004" s="94">
        <v>0.0</v>
      </c>
      <c r="AG1004" s="94">
        <v>0.0</v>
      </c>
      <c r="AH1004" s="94">
        <v>0.0</v>
      </c>
    </row>
    <row r="1005" hidden="1">
      <c r="A1005" s="109" t="s">
        <v>58</v>
      </c>
      <c r="B1005" s="93" t="s">
        <v>212</v>
      </c>
      <c r="C1005" s="85">
        <v>1.0</v>
      </c>
      <c r="D1005" s="94">
        <v>0.0</v>
      </c>
      <c r="E1005" s="96">
        <f t="shared" si="760"/>
        <v>11.4</v>
      </c>
      <c r="F1005" s="94">
        <v>0.0</v>
      </c>
      <c r="G1005" s="85">
        <v>33.0</v>
      </c>
      <c r="H1005" s="94">
        <v>0.0</v>
      </c>
      <c r="I1005" s="85">
        <v>38.0</v>
      </c>
      <c r="J1005" s="95">
        <f t="shared" si="753"/>
        <v>-5</v>
      </c>
      <c r="K1005" s="87">
        <f t="shared" si="754"/>
        <v>0.8684210526</v>
      </c>
      <c r="L1005" s="85">
        <v>18.0</v>
      </c>
      <c r="M1005" s="85">
        <v>42.0</v>
      </c>
      <c r="N1005" s="85">
        <v>1.0</v>
      </c>
      <c r="O1005" s="110">
        <f t="shared" si="761"/>
        <v>11.4</v>
      </c>
      <c r="P1005" s="85">
        <v>4.0</v>
      </c>
      <c r="Q1005" s="94">
        <v>0.0</v>
      </c>
      <c r="R1005" s="94">
        <v>0.0</v>
      </c>
      <c r="S1005" s="85">
        <v>2.0</v>
      </c>
      <c r="T1005" s="85">
        <v>6.0</v>
      </c>
      <c r="U1005" s="94">
        <v>0.0</v>
      </c>
      <c r="V1005" s="94">
        <v>0.0</v>
      </c>
      <c r="W1005" s="94">
        <v>0.0</v>
      </c>
      <c r="X1005" s="94">
        <v>0.0</v>
      </c>
      <c r="Y1005" s="94">
        <v>0.0</v>
      </c>
      <c r="Z1005" s="94">
        <v>0.0</v>
      </c>
      <c r="AA1005" s="94">
        <v>0.0</v>
      </c>
      <c r="AB1005" s="94">
        <v>0.0</v>
      </c>
      <c r="AC1005" s="94">
        <v>0.0</v>
      </c>
      <c r="AD1005" s="94">
        <v>0.0</v>
      </c>
      <c r="AE1005" s="94">
        <v>0.0</v>
      </c>
      <c r="AF1005" s="94">
        <v>0.0</v>
      </c>
      <c r="AG1005" s="94">
        <v>0.0</v>
      </c>
      <c r="AH1005" s="94">
        <v>0.0</v>
      </c>
    </row>
    <row r="1006" hidden="1">
      <c r="A1006" s="109" t="s">
        <v>58</v>
      </c>
      <c r="B1006" s="93" t="s">
        <v>213</v>
      </c>
      <c r="C1006" s="94">
        <v>0.0</v>
      </c>
      <c r="D1006" s="94">
        <v>0.0</v>
      </c>
      <c r="E1006" s="96">
        <f t="shared" si="760"/>
        <v>0</v>
      </c>
      <c r="F1006" s="94">
        <v>0.0</v>
      </c>
      <c r="G1006" s="94">
        <v>0.0</v>
      </c>
      <c r="H1006" s="94">
        <v>0.0</v>
      </c>
      <c r="I1006" s="94">
        <v>0.0</v>
      </c>
      <c r="J1006" s="95">
        <f t="shared" si="753"/>
        <v>0</v>
      </c>
      <c r="K1006" s="87" t="str">
        <f t="shared" si="754"/>
        <v>#DIV/0!</v>
      </c>
      <c r="L1006" s="94">
        <v>0.0</v>
      </c>
      <c r="M1006" s="94">
        <v>0.0</v>
      </c>
      <c r="N1006" s="85">
        <v>0.0</v>
      </c>
      <c r="O1006" s="110">
        <f t="shared" si="761"/>
        <v>0</v>
      </c>
      <c r="P1006" s="94">
        <v>0.0</v>
      </c>
      <c r="Q1006" s="94">
        <v>0.0</v>
      </c>
      <c r="R1006" s="94">
        <v>0.0</v>
      </c>
      <c r="S1006" s="94">
        <v>0.0</v>
      </c>
      <c r="T1006" s="94">
        <v>0.0</v>
      </c>
      <c r="U1006" s="94">
        <v>0.0</v>
      </c>
      <c r="V1006" s="94">
        <v>0.0</v>
      </c>
      <c r="W1006" s="94">
        <v>0.0</v>
      </c>
      <c r="X1006" s="94">
        <v>0.0</v>
      </c>
      <c r="Y1006" s="94">
        <v>0.0</v>
      </c>
      <c r="Z1006" s="94">
        <v>0.0</v>
      </c>
      <c r="AA1006" s="94">
        <v>0.0</v>
      </c>
      <c r="AB1006" s="94">
        <v>0.0</v>
      </c>
      <c r="AC1006" s="94">
        <v>0.0</v>
      </c>
      <c r="AD1006" s="94">
        <v>0.0</v>
      </c>
      <c r="AE1006" s="94">
        <v>0.0</v>
      </c>
      <c r="AF1006" s="94">
        <v>0.0</v>
      </c>
      <c r="AG1006" s="94">
        <v>0.0</v>
      </c>
      <c r="AH1006" s="94">
        <v>0.0</v>
      </c>
    </row>
    <row r="1007" hidden="1">
      <c r="A1007" s="109" t="s">
        <v>214</v>
      </c>
      <c r="B1007" s="93" t="s">
        <v>189</v>
      </c>
      <c r="C1007" s="94">
        <v>0.0</v>
      </c>
      <c r="D1007" s="94">
        <v>0.0</v>
      </c>
      <c r="E1007" s="96">
        <f t="shared" si="760"/>
        <v>0</v>
      </c>
      <c r="F1007" s="94">
        <v>0.0</v>
      </c>
      <c r="G1007" s="94">
        <v>0.0</v>
      </c>
      <c r="H1007" s="94">
        <v>0.0</v>
      </c>
      <c r="I1007" s="94">
        <v>0.0</v>
      </c>
      <c r="J1007" s="95">
        <f t="shared" si="753"/>
        <v>0</v>
      </c>
      <c r="K1007" s="87" t="str">
        <f t="shared" si="754"/>
        <v>#DIV/0!</v>
      </c>
      <c r="L1007" s="94">
        <v>0.0</v>
      </c>
      <c r="M1007" s="94">
        <v>0.0</v>
      </c>
      <c r="N1007" s="85">
        <v>0.0</v>
      </c>
      <c r="O1007" s="110">
        <f t="shared" si="761"/>
        <v>0</v>
      </c>
      <c r="P1007" s="94">
        <v>0.0</v>
      </c>
      <c r="Q1007" s="94">
        <v>0.0</v>
      </c>
      <c r="R1007" s="94">
        <v>0.0</v>
      </c>
      <c r="S1007" s="94">
        <v>0.0</v>
      </c>
      <c r="T1007" s="94">
        <v>0.0</v>
      </c>
      <c r="U1007" s="94">
        <v>0.0</v>
      </c>
      <c r="V1007" s="94">
        <v>0.0</v>
      </c>
      <c r="W1007" s="94">
        <v>0.0</v>
      </c>
      <c r="X1007" s="94">
        <v>0.0</v>
      </c>
      <c r="Y1007" s="94">
        <v>0.0</v>
      </c>
      <c r="Z1007" s="94">
        <v>0.0</v>
      </c>
      <c r="AA1007" s="94">
        <v>0.0</v>
      </c>
      <c r="AB1007" s="94">
        <v>0.0</v>
      </c>
      <c r="AC1007" s="94">
        <v>0.0</v>
      </c>
      <c r="AD1007" s="94">
        <v>0.0</v>
      </c>
      <c r="AE1007" s="94">
        <v>0.0</v>
      </c>
      <c r="AF1007" s="94">
        <v>0.0</v>
      </c>
      <c r="AG1007" s="94">
        <v>0.0</v>
      </c>
      <c r="AH1007" s="94">
        <v>0.0</v>
      </c>
    </row>
    <row r="1008" hidden="1">
      <c r="A1008" s="89" t="s">
        <v>185</v>
      </c>
      <c r="B1008" s="111"/>
      <c r="C1008" s="111">
        <f>SUM(C1002:C1007)</f>
        <v>4</v>
      </c>
      <c r="D1008" s="111">
        <f t="shared" ref="D1008:E1008" si="762">SUM(D1002:D1007)/4</f>
        <v>0</v>
      </c>
      <c r="E1008" s="91">
        <f t="shared" si="762"/>
        <v>11.00833333</v>
      </c>
      <c r="F1008" s="111">
        <f t="shared" ref="F1008:G1008" si="763">SUM(F1002:F1007)</f>
        <v>1</v>
      </c>
      <c r="G1008" s="111">
        <f t="shared" si="763"/>
        <v>173</v>
      </c>
      <c r="H1008" s="111"/>
      <c r="I1008" s="111">
        <f>SUM(I1002:I1007)</f>
        <v>188</v>
      </c>
      <c r="J1008" s="111">
        <f t="shared" si="753"/>
        <v>-15</v>
      </c>
      <c r="K1008" s="92">
        <f t="shared" si="754"/>
        <v>0.920212766</v>
      </c>
      <c r="L1008" s="111">
        <f t="shared" ref="L1008:M1008" si="764">SUM(L1002:L1007)</f>
        <v>58</v>
      </c>
      <c r="M1008" s="111">
        <f t="shared" si="764"/>
        <v>218</v>
      </c>
      <c r="N1008" s="111"/>
      <c r="O1008" s="112"/>
      <c r="P1008" s="111">
        <f t="shared" ref="P1008:AH1008" si="765">SUM(P1002:P1007)</f>
        <v>8</v>
      </c>
      <c r="Q1008" s="111">
        <f t="shared" si="765"/>
        <v>1</v>
      </c>
      <c r="R1008" s="111">
        <f t="shared" si="765"/>
        <v>1</v>
      </c>
      <c r="S1008" s="111">
        <f t="shared" si="765"/>
        <v>5</v>
      </c>
      <c r="T1008" s="111">
        <f t="shared" si="765"/>
        <v>31</v>
      </c>
      <c r="U1008" s="111">
        <f t="shared" si="765"/>
        <v>3</v>
      </c>
      <c r="V1008" s="111">
        <f t="shared" si="765"/>
        <v>1</v>
      </c>
      <c r="W1008" s="111">
        <f t="shared" si="765"/>
        <v>1</v>
      </c>
      <c r="X1008" s="111">
        <f t="shared" si="765"/>
        <v>0</v>
      </c>
      <c r="Y1008" s="111">
        <f t="shared" si="765"/>
        <v>0</v>
      </c>
      <c r="Z1008" s="111">
        <f t="shared" si="765"/>
        <v>0</v>
      </c>
      <c r="AA1008" s="111">
        <f t="shared" si="765"/>
        <v>0</v>
      </c>
      <c r="AB1008" s="111">
        <f t="shared" si="765"/>
        <v>0</v>
      </c>
      <c r="AC1008" s="111">
        <f t="shared" si="765"/>
        <v>6</v>
      </c>
      <c r="AD1008" s="111">
        <f t="shared" si="765"/>
        <v>0</v>
      </c>
      <c r="AE1008" s="111">
        <f t="shared" si="765"/>
        <v>0</v>
      </c>
      <c r="AF1008" s="111">
        <f t="shared" si="765"/>
        <v>0</v>
      </c>
      <c r="AG1008" s="111">
        <f t="shared" si="765"/>
        <v>0</v>
      </c>
      <c r="AH1008" s="111">
        <f t="shared" si="765"/>
        <v>0</v>
      </c>
    </row>
    <row r="1009">
      <c r="A1009" s="104" t="s">
        <v>312</v>
      </c>
    </row>
    <row r="1011" hidden="1">
      <c r="A1011" s="105"/>
      <c r="F1011" s="106" t="s">
        <v>251</v>
      </c>
      <c r="L1011" s="107" t="s">
        <v>252</v>
      </c>
      <c r="N1011" s="108" t="s">
        <v>253</v>
      </c>
    </row>
    <row r="1012" hidden="1">
      <c r="A1012" s="76" t="s">
        <v>148</v>
      </c>
      <c r="B1012" s="76" t="s">
        <v>149</v>
      </c>
      <c r="C1012" s="76" t="s">
        <v>150</v>
      </c>
      <c r="D1012" s="76" t="s">
        <v>13</v>
      </c>
      <c r="E1012" s="77" t="s">
        <v>151</v>
      </c>
      <c r="F1012" s="78" t="s">
        <v>15</v>
      </c>
      <c r="G1012" s="78" t="s">
        <v>152</v>
      </c>
      <c r="H1012" s="78" t="s">
        <v>153</v>
      </c>
      <c r="I1012" s="78" t="s">
        <v>154</v>
      </c>
      <c r="J1012" s="78" t="s">
        <v>155</v>
      </c>
      <c r="K1012" s="79" t="s">
        <v>156</v>
      </c>
      <c r="L1012" s="80" t="s">
        <v>157</v>
      </c>
      <c r="M1012" s="80" t="s">
        <v>158</v>
      </c>
      <c r="N1012" s="81" t="s">
        <v>254</v>
      </c>
      <c r="O1012" s="81" t="s">
        <v>151</v>
      </c>
      <c r="P1012" s="81" t="s">
        <v>160</v>
      </c>
      <c r="Q1012" s="81" t="s">
        <v>161</v>
      </c>
      <c r="R1012" s="81" t="s">
        <v>162</v>
      </c>
      <c r="S1012" s="81" t="s">
        <v>163</v>
      </c>
      <c r="T1012" s="81" t="s">
        <v>164</v>
      </c>
      <c r="U1012" s="81" t="s">
        <v>165</v>
      </c>
      <c r="V1012" s="81" t="s">
        <v>166</v>
      </c>
      <c r="W1012" s="81" t="s">
        <v>167</v>
      </c>
      <c r="X1012" s="81" t="s">
        <v>168</v>
      </c>
      <c r="Y1012" s="81" t="s">
        <v>169</v>
      </c>
      <c r="Z1012" s="81" t="s">
        <v>170</v>
      </c>
      <c r="AA1012" s="81" t="s">
        <v>171</v>
      </c>
      <c r="AB1012" s="81" t="s">
        <v>172</v>
      </c>
      <c r="AC1012" s="81" t="s">
        <v>173</v>
      </c>
      <c r="AD1012" s="81" t="s">
        <v>174</v>
      </c>
      <c r="AE1012" s="81" t="s">
        <v>175</v>
      </c>
      <c r="AF1012" s="81" t="s">
        <v>176</v>
      </c>
      <c r="AG1012" s="81" t="s">
        <v>177</v>
      </c>
      <c r="AH1012" s="81" t="s">
        <v>178</v>
      </c>
    </row>
    <row r="1013" hidden="1">
      <c r="A1013" s="109" t="s">
        <v>47</v>
      </c>
      <c r="B1013" s="93" t="s">
        <v>237</v>
      </c>
      <c r="C1013" s="85">
        <v>1.0</v>
      </c>
      <c r="D1013" s="85">
        <v>1.0</v>
      </c>
      <c r="E1013" s="96">
        <f t="shared" ref="E1013:E1018" si="766">SUM(L1013*I1013)/60</f>
        <v>14.8</v>
      </c>
      <c r="F1013" s="85">
        <v>1.0</v>
      </c>
      <c r="G1013" s="85">
        <v>86.0</v>
      </c>
      <c r="H1013" s="85">
        <v>1.0</v>
      </c>
      <c r="I1013" s="85">
        <v>74.0</v>
      </c>
      <c r="J1013" s="95">
        <f t="shared" ref="J1013:J1026" si="767">SUM(G1013-I1013)</f>
        <v>12</v>
      </c>
      <c r="K1013" s="87">
        <f t="shared" ref="K1013:K1026" si="768">SUM(G1013/I1013)</f>
        <v>1.162162162</v>
      </c>
      <c r="L1013" s="85">
        <v>12.0</v>
      </c>
      <c r="M1013" s="85">
        <v>120.0</v>
      </c>
      <c r="N1013" s="85">
        <v>1.0</v>
      </c>
      <c r="O1013" s="110">
        <f t="shared" ref="O1013:O1018" si="769">(E1013*N1013)</f>
        <v>14.8</v>
      </c>
      <c r="P1013" s="85">
        <v>5.0</v>
      </c>
      <c r="Q1013" s="85">
        <v>1.0</v>
      </c>
      <c r="R1013" s="85">
        <v>7.0</v>
      </c>
      <c r="S1013" s="85">
        <v>3.0</v>
      </c>
      <c r="T1013" s="85">
        <v>17.0</v>
      </c>
      <c r="U1013" s="85">
        <v>1.0</v>
      </c>
      <c r="V1013" s="94">
        <v>0.0</v>
      </c>
      <c r="W1013" s="94">
        <v>0.0</v>
      </c>
      <c r="X1013" s="94">
        <v>0.0</v>
      </c>
      <c r="Y1013" s="94">
        <v>0.0</v>
      </c>
      <c r="Z1013" s="94">
        <v>0.0</v>
      </c>
      <c r="AA1013" s="94">
        <v>0.0</v>
      </c>
      <c r="AB1013" s="94">
        <v>0.0</v>
      </c>
      <c r="AC1013" s="85">
        <v>1.0</v>
      </c>
      <c r="AD1013" s="94">
        <v>0.0</v>
      </c>
      <c r="AE1013" s="94">
        <v>0.0</v>
      </c>
      <c r="AF1013" s="94">
        <v>0.0</v>
      </c>
      <c r="AG1013" s="94">
        <v>0.0</v>
      </c>
      <c r="AH1013" s="94">
        <v>0.0</v>
      </c>
    </row>
    <row r="1014" hidden="1">
      <c r="A1014" s="109" t="s">
        <v>47</v>
      </c>
      <c r="B1014" s="93" t="s">
        <v>238</v>
      </c>
      <c r="C1014" s="85">
        <v>1.0</v>
      </c>
      <c r="D1014" s="85">
        <v>1.0</v>
      </c>
      <c r="E1014" s="96">
        <f t="shared" si="766"/>
        <v>15.73333333</v>
      </c>
      <c r="F1014" s="85">
        <v>4.0</v>
      </c>
      <c r="G1014" s="85">
        <v>45.0</v>
      </c>
      <c r="H1014" s="94">
        <v>0.0</v>
      </c>
      <c r="I1014" s="85">
        <v>59.0</v>
      </c>
      <c r="J1014" s="95">
        <f t="shared" si="767"/>
        <v>-14</v>
      </c>
      <c r="K1014" s="87">
        <f t="shared" si="768"/>
        <v>0.7627118644</v>
      </c>
      <c r="L1014" s="85">
        <v>16.0</v>
      </c>
      <c r="M1014" s="85">
        <v>64.0</v>
      </c>
      <c r="N1014" s="85">
        <v>1.0</v>
      </c>
      <c r="O1014" s="110">
        <f t="shared" si="769"/>
        <v>15.73333333</v>
      </c>
      <c r="P1014" s="85">
        <v>3.0</v>
      </c>
      <c r="Q1014" s="94">
        <v>0.0</v>
      </c>
      <c r="R1014" s="94">
        <v>0.0</v>
      </c>
      <c r="S1014" s="85">
        <v>5.0</v>
      </c>
      <c r="T1014" s="85">
        <v>8.0</v>
      </c>
      <c r="U1014" s="85">
        <v>1.0</v>
      </c>
      <c r="V1014" s="94">
        <v>0.0</v>
      </c>
      <c r="W1014" s="94">
        <v>0.0</v>
      </c>
      <c r="X1014" s="94">
        <v>0.0</v>
      </c>
      <c r="Y1014" s="94">
        <v>0.0</v>
      </c>
      <c r="Z1014" s="94">
        <v>0.0</v>
      </c>
      <c r="AA1014" s="94">
        <v>0.0</v>
      </c>
      <c r="AB1014" s="94">
        <v>0.0</v>
      </c>
      <c r="AC1014" s="94">
        <v>0.0</v>
      </c>
      <c r="AD1014" s="94">
        <v>0.0</v>
      </c>
      <c r="AE1014" s="94">
        <v>0.0</v>
      </c>
      <c r="AF1014" s="94">
        <v>0.0</v>
      </c>
      <c r="AG1014" s="94">
        <v>0.0</v>
      </c>
      <c r="AH1014" s="94">
        <v>0.0</v>
      </c>
    </row>
    <row r="1015" hidden="1">
      <c r="A1015" s="109" t="s">
        <v>47</v>
      </c>
      <c r="B1015" s="93" t="s">
        <v>239</v>
      </c>
      <c r="C1015" s="94">
        <v>0.0</v>
      </c>
      <c r="D1015" s="94">
        <v>0.0</v>
      </c>
      <c r="E1015" s="96">
        <f t="shared" si="766"/>
        <v>0</v>
      </c>
      <c r="F1015" s="94">
        <v>0.0</v>
      </c>
      <c r="G1015" s="94">
        <v>0.0</v>
      </c>
      <c r="H1015" s="94">
        <v>0.0</v>
      </c>
      <c r="I1015" s="94">
        <v>0.0</v>
      </c>
      <c r="J1015" s="95">
        <f t="shared" si="767"/>
        <v>0</v>
      </c>
      <c r="K1015" s="87" t="str">
        <f t="shared" si="768"/>
        <v>#DIV/0!</v>
      </c>
      <c r="L1015" s="94">
        <v>0.0</v>
      </c>
      <c r="M1015" s="94">
        <v>0.0</v>
      </c>
      <c r="N1015" s="85">
        <v>0.0</v>
      </c>
      <c r="O1015" s="110">
        <f t="shared" si="769"/>
        <v>0</v>
      </c>
      <c r="P1015" s="94">
        <v>0.0</v>
      </c>
      <c r="Q1015" s="94">
        <v>0.0</v>
      </c>
      <c r="R1015" s="94">
        <v>0.0</v>
      </c>
      <c r="S1015" s="94">
        <v>0.0</v>
      </c>
      <c r="T1015" s="94">
        <v>0.0</v>
      </c>
      <c r="U1015" s="94">
        <v>0.0</v>
      </c>
      <c r="V1015" s="94">
        <v>0.0</v>
      </c>
      <c r="W1015" s="94">
        <v>0.0</v>
      </c>
      <c r="X1015" s="94">
        <v>0.0</v>
      </c>
      <c r="Y1015" s="94">
        <v>0.0</v>
      </c>
      <c r="Z1015" s="94">
        <v>0.0</v>
      </c>
      <c r="AA1015" s="94">
        <v>0.0</v>
      </c>
      <c r="AB1015" s="94">
        <v>0.0</v>
      </c>
      <c r="AC1015" s="94">
        <v>0.0</v>
      </c>
      <c r="AD1015" s="94">
        <v>0.0</v>
      </c>
      <c r="AE1015" s="94">
        <v>0.0</v>
      </c>
      <c r="AF1015" s="94">
        <v>0.0</v>
      </c>
      <c r="AG1015" s="94">
        <v>0.0</v>
      </c>
      <c r="AH1015" s="94">
        <v>0.0</v>
      </c>
    </row>
    <row r="1016" hidden="1">
      <c r="A1016" s="109" t="s">
        <v>47</v>
      </c>
      <c r="B1016" s="93" t="s">
        <v>240</v>
      </c>
      <c r="C1016" s="85">
        <v>1.0</v>
      </c>
      <c r="D1016" s="85">
        <v>1.0</v>
      </c>
      <c r="E1016" s="96">
        <f t="shared" si="766"/>
        <v>14.73333333</v>
      </c>
      <c r="F1016" s="94">
        <v>0.0</v>
      </c>
      <c r="G1016" s="85">
        <v>55.0</v>
      </c>
      <c r="H1016" s="94">
        <v>0.0</v>
      </c>
      <c r="I1016" s="85">
        <v>68.0</v>
      </c>
      <c r="J1016" s="95">
        <f t="shared" si="767"/>
        <v>-13</v>
      </c>
      <c r="K1016" s="87">
        <f t="shared" si="768"/>
        <v>0.8088235294</v>
      </c>
      <c r="L1016" s="85">
        <v>13.0</v>
      </c>
      <c r="M1016" s="85">
        <v>74.0</v>
      </c>
      <c r="N1016" s="85">
        <v>1.0</v>
      </c>
      <c r="O1016" s="110">
        <f t="shared" si="769"/>
        <v>14.73333333</v>
      </c>
      <c r="P1016" s="85">
        <v>3.0</v>
      </c>
      <c r="Q1016" s="85">
        <v>1.0</v>
      </c>
      <c r="R1016" s="85">
        <v>5.0</v>
      </c>
      <c r="S1016" s="94">
        <v>0.0</v>
      </c>
      <c r="T1016" s="85">
        <v>7.0</v>
      </c>
      <c r="U1016" s="85">
        <v>3.0</v>
      </c>
      <c r="V1016" s="85">
        <v>1.0</v>
      </c>
      <c r="W1016" s="94">
        <v>0.0</v>
      </c>
      <c r="X1016" s="94">
        <v>0.0</v>
      </c>
      <c r="Y1016" s="94">
        <v>0.0</v>
      </c>
      <c r="Z1016" s="94">
        <v>0.0</v>
      </c>
      <c r="AA1016" s="94">
        <v>0.0</v>
      </c>
      <c r="AB1016" s="94">
        <v>0.0</v>
      </c>
      <c r="AC1016" s="85">
        <v>2.0</v>
      </c>
      <c r="AD1016" s="94">
        <v>0.0</v>
      </c>
      <c r="AE1016" s="94">
        <v>0.0</v>
      </c>
      <c r="AF1016" s="94">
        <v>0.0</v>
      </c>
      <c r="AG1016" s="94">
        <v>0.0</v>
      </c>
      <c r="AH1016" s="94">
        <v>0.0</v>
      </c>
    </row>
    <row r="1017" hidden="1">
      <c r="A1017" s="109" t="s">
        <v>47</v>
      </c>
      <c r="B1017" s="93" t="s">
        <v>241</v>
      </c>
      <c r="C1017" s="94">
        <v>0.0</v>
      </c>
      <c r="D1017" s="94">
        <v>0.0</v>
      </c>
      <c r="E1017" s="96">
        <f t="shared" si="766"/>
        <v>0</v>
      </c>
      <c r="F1017" s="94">
        <v>0.0</v>
      </c>
      <c r="G1017" s="94">
        <v>0.0</v>
      </c>
      <c r="H1017" s="94">
        <v>0.0</v>
      </c>
      <c r="I1017" s="94">
        <v>0.0</v>
      </c>
      <c r="J1017" s="95">
        <f t="shared" si="767"/>
        <v>0</v>
      </c>
      <c r="K1017" s="87" t="str">
        <f t="shared" si="768"/>
        <v>#DIV/0!</v>
      </c>
      <c r="L1017" s="94">
        <v>0.0</v>
      </c>
      <c r="M1017" s="94">
        <v>0.0</v>
      </c>
      <c r="N1017" s="85">
        <v>0.0</v>
      </c>
      <c r="O1017" s="110">
        <f t="shared" si="769"/>
        <v>0</v>
      </c>
      <c r="P1017" s="94">
        <v>0.0</v>
      </c>
      <c r="Q1017" s="94">
        <v>0.0</v>
      </c>
      <c r="R1017" s="94">
        <v>0.0</v>
      </c>
      <c r="S1017" s="94">
        <v>0.0</v>
      </c>
      <c r="T1017" s="94">
        <v>0.0</v>
      </c>
      <c r="U1017" s="94">
        <v>0.0</v>
      </c>
      <c r="V1017" s="94">
        <v>0.0</v>
      </c>
      <c r="W1017" s="94">
        <v>0.0</v>
      </c>
      <c r="X1017" s="94">
        <v>0.0</v>
      </c>
      <c r="Y1017" s="94">
        <v>0.0</v>
      </c>
      <c r="Z1017" s="94">
        <v>0.0</v>
      </c>
      <c r="AA1017" s="94">
        <v>0.0</v>
      </c>
      <c r="AB1017" s="94">
        <v>0.0</v>
      </c>
      <c r="AC1017" s="94">
        <v>0.0</v>
      </c>
      <c r="AD1017" s="94">
        <v>0.0</v>
      </c>
      <c r="AE1017" s="94">
        <v>0.0</v>
      </c>
      <c r="AF1017" s="94">
        <v>0.0</v>
      </c>
      <c r="AG1017" s="94">
        <v>0.0</v>
      </c>
      <c r="AH1017" s="94">
        <v>0.0</v>
      </c>
    </row>
    <row r="1018" hidden="1">
      <c r="A1018" s="109" t="s">
        <v>47</v>
      </c>
      <c r="B1018" s="84" t="s">
        <v>182</v>
      </c>
      <c r="C1018" s="85">
        <v>1.0</v>
      </c>
      <c r="D1018" s="85">
        <v>1.0</v>
      </c>
      <c r="E1018" s="96">
        <f t="shared" si="766"/>
        <v>14.8</v>
      </c>
      <c r="F1018" s="94">
        <v>0.0</v>
      </c>
      <c r="G1018" s="85">
        <v>57.0</v>
      </c>
      <c r="H1018" s="85">
        <v>1.0</v>
      </c>
      <c r="I1018" s="85">
        <v>74.0</v>
      </c>
      <c r="J1018" s="95">
        <f t="shared" si="767"/>
        <v>-17</v>
      </c>
      <c r="K1018" s="87">
        <f t="shared" si="768"/>
        <v>0.7702702703</v>
      </c>
      <c r="L1018" s="85">
        <v>12.0</v>
      </c>
      <c r="M1018" s="85">
        <v>78.0</v>
      </c>
      <c r="N1018" s="85">
        <v>1.0</v>
      </c>
      <c r="O1018" s="110">
        <f t="shared" si="769"/>
        <v>14.8</v>
      </c>
      <c r="P1018" s="85">
        <v>2.0</v>
      </c>
      <c r="Q1018" s="94">
        <v>0.0</v>
      </c>
      <c r="R1018" s="85">
        <v>7.0</v>
      </c>
      <c r="S1018" s="85">
        <v>1.0</v>
      </c>
      <c r="T1018" s="85">
        <v>10.0</v>
      </c>
      <c r="U1018" s="85">
        <v>3.0</v>
      </c>
      <c r="V1018" s="94">
        <v>0.0</v>
      </c>
      <c r="W1018" s="94">
        <v>0.0</v>
      </c>
      <c r="X1018" s="94">
        <v>0.0</v>
      </c>
      <c r="Y1018" s="94">
        <v>0.0</v>
      </c>
      <c r="Z1018" s="94">
        <v>0.0</v>
      </c>
      <c r="AA1018" s="94">
        <v>0.0</v>
      </c>
      <c r="AB1018" s="94">
        <v>0.0</v>
      </c>
      <c r="AC1018" s="94">
        <v>0.0</v>
      </c>
      <c r="AD1018" s="94">
        <v>0.0</v>
      </c>
      <c r="AE1018" s="94">
        <v>0.0</v>
      </c>
      <c r="AF1018" s="94">
        <v>0.0</v>
      </c>
      <c r="AG1018" s="94">
        <v>0.0</v>
      </c>
      <c r="AH1018" s="94">
        <v>0.0</v>
      </c>
    </row>
    <row r="1019" hidden="1">
      <c r="A1019" s="89"/>
      <c r="B1019" s="111"/>
      <c r="C1019" s="111">
        <f t="shared" ref="C1019:D1019" si="770">SUM(C1013:C1018)/4</f>
        <v>1</v>
      </c>
      <c r="D1019" s="111">
        <f t="shared" si="770"/>
        <v>1</v>
      </c>
      <c r="E1019" s="91">
        <f t="shared" ref="E1019:G1019" si="771">SUM(E1013:E1018)</f>
        <v>60.06666667</v>
      </c>
      <c r="F1019" s="111">
        <f t="shared" si="771"/>
        <v>5</v>
      </c>
      <c r="G1019" s="111">
        <f t="shared" si="771"/>
        <v>243</v>
      </c>
      <c r="H1019" s="111"/>
      <c r="I1019" s="111">
        <f>SUM(I1013:I1018)</f>
        <v>275</v>
      </c>
      <c r="J1019" s="111">
        <f t="shared" si="767"/>
        <v>-32</v>
      </c>
      <c r="K1019" s="92">
        <f t="shared" si="768"/>
        <v>0.8836363636</v>
      </c>
      <c r="L1019" s="111">
        <f t="shared" ref="L1019:M1019" si="772">SUM(L1013:L1018)</f>
        <v>53</v>
      </c>
      <c r="M1019" s="111">
        <f t="shared" si="772"/>
        <v>336</v>
      </c>
      <c r="N1019" s="111"/>
      <c r="O1019" s="112"/>
      <c r="P1019" s="111">
        <f t="shared" ref="P1019:AH1019" si="773">SUM(P1013:P1018)</f>
        <v>13</v>
      </c>
      <c r="Q1019" s="111">
        <f t="shared" si="773"/>
        <v>2</v>
      </c>
      <c r="R1019" s="111">
        <f t="shared" si="773"/>
        <v>19</v>
      </c>
      <c r="S1019" s="111">
        <f t="shared" si="773"/>
        <v>9</v>
      </c>
      <c r="T1019" s="111">
        <f t="shared" si="773"/>
        <v>42</v>
      </c>
      <c r="U1019" s="111">
        <f t="shared" si="773"/>
        <v>8</v>
      </c>
      <c r="V1019" s="111">
        <f t="shared" si="773"/>
        <v>1</v>
      </c>
      <c r="W1019" s="111">
        <f t="shared" si="773"/>
        <v>0</v>
      </c>
      <c r="X1019" s="111">
        <f t="shared" si="773"/>
        <v>0</v>
      </c>
      <c r="Y1019" s="111">
        <f t="shared" si="773"/>
        <v>0</v>
      </c>
      <c r="Z1019" s="111">
        <f t="shared" si="773"/>
        <v>0</v>
      </c>
      <c r="AA1019" s="111">
        <f t="shared" si="773"/>
        <v>0</v>
      </c>
      <c r="AB1019" s="111">
        <f t="shared" si="773"/>
        <v>0</v>
      </c>
      <c r="AC1019" s="111">
        <f t="shared" si="773"/>
        <v>3</v>
      </c>
      <c r="AD1019" s="111">
        <f t="shared" si="773"/>
        <v>0</v>
      </c>
      <c r="AE1019" s="111">
        <f t="shared" si="773"/>
        <v>0</v>
      </c>
      <c r="AF1019" s="111">
        <f t="shared" si="773"/>
        <v>0</v>
      </c>
      <c r="AG1019" s="111">
        <f t="shared" si="773"/>
        <v>0</v>
      </c>
      <c r="AH1019" s="111">
        <f t="shared" si="773"/>
        <v>0</v>
      </c>
    </row>
    <row r="1020" hidden="1">
      <c r="A1020" s="109" t="s">
        <v>58</v>
      </c>
      <c r="B1020" s="93" t="s">
        <v>209</v>
      </c>
      <c r="C1020" s="85">
        <v>1.0</v>
      </c>
      <c r="D1020" s="94">
        <v>0.0</v>
      </c>
      <c r="E1020" s="96">
        <f t="shared" ref="E1020:E1025" si="774">SUM(L1020*I1020)/60</f>
        <v>14.11666667</v>
      </c>
      <c r="F1020" s="94">
        <v>0.0</v>
      </c>
      <c r="G1020" s="85">
        <v>90.0</v>
      </c>
      <c r="H1020" s="85">
        <v>0.0</v>
      </c>
      <c r="I1020" s="85">
        <v>77.0</v>
      </c>
      <c r="J1020" s="95">
        <f t="shared" si="767"/>
        <v>13</v>
      </c>
      <c r="K1020" s="87">
        <f t="shared" si="768"/>
        <v>1.168831169</v>
      </c>
      <c r="L1020" s="85">
        <v>11.0</v>
      </c>
      <c r="M1020" s="85">
        <v>110.0</v>
      </c>
      <c r="N1020" s="85">
        <v>1.0</v>
      </c>
      <c r="O1020" s="110">
        <f t="shared" ref="O1020:O1025" si="775">(E1020*N1020)</f>
        <v>14.11666667</v>
      </c>
      <c r="P1020" s="85">
        <v>2.0</v>
      </c>
      <c r="Q1020" s="94">
        <v>0.0</v>
      </c>
      <c r="R1020" s="85">
        <v>5.0</v>
      </c>
      <c r="S1020" s="85">
        <v>1.0</v>
      </c>
      <c r="T1020" s="85">
        <v>15.0</v>
      </c>
      <c r="U1020" s="85">
        <v>2.0</v>
      </c>
      <c r="V1020" s="85">
        <v>2.0</v>
      </c>
      <c r="W1020" s="94">
        <v>0.0</v>
      </c>
      <c r="X1020" s="94">
        <v>0.0</v>
      </c>
      <c r="Y1020" s="94">
        <v>0.0</v>
      </c>
      <c r="Z1020" s="94">
        <v>0.0</v>
      </c>
      <c r="AA1020" s="94">
        <v>0.0</v>
      </c>
      <c r="AB1020" s="94">
        <v>0.0</v>
      </c>
      <c r="AC1020" s="85">
        <v>5.0</v>
      </c>
      <c r="AD1020" s="94">
        <v>0.0</v>
      </c>
      <c r="AE1020" s="94">
        <v>0.0</v>
      </c>
      <c r="AF1020" s="94">
        <v>0.0</v>
      </c>
      <c r="AG1020" s="94">
        <v>0.0</v>
      </c>
      <c r="AH1020" s="94">
        <v>0.0</v>
      </c>
    </row>
    <row r="1021" hidden="1">
      <c r="A1021" s="109" t="s">
        <v>58</v>
      </c>
      <c r="B1021" s="93" t="s">
        <v>210</v>
      </c>
      <c r="C1021" s="85">
        <v>1.0</v>
      </c>
      <c r="D1021" s="94">
        <v>0.0</v>
      </c>
      <c r="E1021" s="96">
        <f t="shared" si="774"/>
        <v>13.93333333</v>
      </c>
      <c r="F1021" s="85">
        <v>1.0</v>
      </c>
      <c r="G1021" s="85">
        <v>61.0</v>
      </c>
      <c r="H1021" s="85">
        <v>1.0</v>
      </c>
      <c r="I1021" s="85">
        <v>76.0</v>
      </c>
      <c r="J1021" s="95">
        <f t="shared" si="767"/>
        <v>-15</v>
      </c>
      <c r="K1021" s="87">
        <f t="shared" si="768"/>
        <v>0.8026315789</v>
      </c>
      <c r="L1021" s="85">
        <v>11.0</v>
      </c>
      <c r="M1021" s="85">
        <v>74.0</v>
      </c>
      <c r="N1021" s="85">
        <v>1.0</v>
      </c>
      <c r="O1021" s="110">
        <f t="shared" si="775"/>
        <v>13.93333333</v>
      </c>
      <c r="P1021" s="85">
        <v>5.0</v>
      </c>
      <c r="Q1021" s="85">
        <v>1.0</v>
      </c>
      <c r="R1021" s="85">
        <v>3.0</v>
      </c>
      <c r="S1021" s="94">
        <v>0.0</v>
      </c>
      <c r="T1021" s="85">
        <v>9.0</v>
      </c>
      <c r="U1021" s="85">
        <v>1.0</v>
      </c>
      <c r="V1021" s="94">
        <v>0.0</v>
      </c>
      <c r="W1021" s="94">
        <v>0.0</v>
      </c>
      <c r="X1021" s="94">
        <v>0.0</v>
      </c>
      <c r="Y1021" s="94">
        <v>0.0</v>
      </c>
      <c r="Z1021" s="94">
        <v>0.0</v>
      </c>
      <c r="AA1021" s="94">
        <v>0.0</v>
      </c>
      <c r="AB1021" s="94">
        <v>0.0</v>
      </c>
      <c r="AC1021" s="94">
        <v>0.0</v>
      </c>
      <c r="AD1021" s="94">
        <v>0.0</v>
      </c>
      <c r="AE1021" s="94">
        <v>0.0</v>
      </c>
      <c r="AF1021" s="94">
        <v>0.0</v>
      </c>
      <c r="AG1021" s="94">
        <v>0.0</v>
      </c>
      <c r="AH1021" s="94">
        <v>0.0</v>
      </c>
    </row>
    <row r="1022" hidden="1">
      <c r="A1022" s="109" t="s">
        <v>58</v>
      </c>
      <c r="B1022" s="93" t="s">
        <v>211</v>
      </c>
      <c r="C1022" s="85">
        <v>1.0</v>
      </c>
      <c r="D1022" s="94">
        <v>0.0</v>
      </c>
      <c r="E1022" s="96">
        <f t="shared" si="774"/>
        <v>15.2</v>
      </c>
      <c r="F1022" s="85">
        <v>1.0</v>
      </c>
      <c r="G1022" s="85">
        <v>61.0</v>
      </c>
      <c r="H1022" s="94">
        <v>0.0</v>
      </c>
      <c r="I1022" s="85">
        <v>57.0</v>
      </c>
      <c r="J1022" s="95">
        <f t="shared" si="767"/>
        <v>4</v>
      </c>
      <c r="K1022" s="87">
        <f t="shared" si="768"/>
        <v>1.070175439</v>
      </c>
      <c r="L1022" s="85">
        <v>16.0</v>
      </c>
      <c r="M1022" s="85">
        <v>75.0</v>
      </c>
      <c r="N1022" s="85">
        <v>1.0</v>
      </c>
      <c r="O1022" s="110">
        <f t="shared" si="775"/>
        <v>15.2</v>
      </c>
      <c r="P1022" s="85">
        <v>4.0</v>
      </c>
      <c r="Q1022" s="85">
        <v>1.0</v>
      </c>
      <c r="R1022" s="85">
        <v>2.0</v>
      </c>
      <c r="S1022" s="85">
        <v>2.0</v>
      </c>
      <c r="T1022" s="85">
        <v>10.0</v>
      </c>
      <c r="U1022" s="85">
        <v>0.0</v>
      </c>
      <c r="V1022" s="94">
        <v>0.0</v>
      </c>
      <c r="W1022" s="94">
        <v>0.0</v>
      </c>
      <c r="X1022" s="94">
        <v>0.0</v>
      </c>
      <c r="Y1022" s="94">
        <v>0.0</v>
      </c>
      <c r="Z1022" s="94">
        <v>0.0</v>
      </c>
      <c r="AA1022" s="94">
        <v>0.0</v>
      </c>
      <c r="AB1022" s="94">
        <v>0.0</v>
      </c>
      <c r="AC1022" s="85">
        <v>1.0</v>
      </c>
      <c r="AD1022" s="94">
        <v>0.0</v>
      </c>
      <c r="AE1022" s="94">
        <v>0.0</v>
      </c>
      <c r="AF1022" s="94">
        <v>0.0</v>
      </c>
      <c r="AG1022" s="94">
        <v>0.0</v>
      </c>
      <c r="AH1022" s="94">
        <v>0.0</v>
      </c>
    </row>
    <row r="1023" hidden="1">
      <c r="A1023" s="109" t="s">
        <v>58</v>
      </c>
      <c r="B1023" s="93" t="s">
        <v>212</v>
      </c>
      <c r="C1023" s="85">
        <v>1.0</v>
      </c>
      <c r="D1023" s="94">
        <v>0.0</v>
      </c>
      <c r="E1023" s="96">
        <f t="shared" si="774"/>
        <v>16.48333333</v>
      </c>
      <c r="F1023" s="85">
        <v>1.0</v>
      </c>
      <c r="G1023" s="85">
        <v>51.0</v>
      </c>
      <c r="H1023" s="85">
        <v>1.0</v>
      </c>
      <c r="I1023" s="85">
        <v>43.0</v>
      </c>
      <c r="J1023" s="95">
        <f t="shared" si="767"/>
        <v>8</v>
      </c>
      <c r="K1023" s="87">
        <f t="shared" si="768"/>
        <v>1.186046512</v>
      </c>
      <c r="L1023" s="85">
        <v>23.0</v>
      </c>
      <c r="M1023" s="85">
        <v>69.0</v>
      </c>
      <c r="N1023" s="85">
        <v>1.0</v>
      </c>
      <c r="O1023" s="110">
        <f t="shared" si="775"/>
        <v>16.48333333</v>
      </c>
      <c r="P1023" s="85">
        <v>3.0</v>
      </c>
      <c r="Q1023" s="85">
        <v>2.0</v>
      </c>
      <c r="R1023" s="85">
        <v>1.0</v>
      </c>
      <c r="S1023" s="94">
        <v>0.0</v>
      </c>
      <c r="T1023" s="85">
        <v>5.0</v>
      </c>
      <c r="U1023" s="85">
        <v>2.0</v>
      </c>
      <c r="V1023" s="85">
        <v>1.0</v>
      </c>
      <c r="W1023" s="85">
        <v>1.0</v>
      </c>
      <c r="X1023" s="85">
        <v>1.0</v>
      </c>
      <c r="Y1023" s="85">
        <v>1.0</v>
      </c>
      <c r="Z1023" s="94">
        <v>0.0</v>
      </c>
      <c r="AA1023" s="94">
        <v>0.0</v>
      </c>
      <c r="AB1023" s="94">
        <v>0.0</v>
      </c>
      <c r="AC1023" s="85">
        <v>5.0</v>
      </c>
      <c r="AD1023" s="85">
        <v>0.0</v>
      </c>
      <c r="AE1023" s="94">
        <v>0.0</v>
      </c>
      <c r="AF1023" s="94">
        <v>0.0</v>
      </c>
      <c r="AG1023" s="85">
        <v>1.0</v>
      </c>
      <c r="AH1023" s="94">
        <v>0.0</v>
      </c>
    </row>
    <row r="1024" hidden="1">
      <c r="A1024" s="109" t="s">
        <v>58</v>
      </c>
      <c r="B1024" s="93" t="s">
        <v>213</v>
      </c>
      <c r="C1024" s="94">
        <v>0.0</v>
      </c>
      <c r="D1024" s="94">
        <v>0.0</v>
      </c>
      <c r="E1024" s="96">
        <f t="shared" si="774"/>
        <v>0</v>
      </c>
      <c r="F1024" s="94">
        <v>0.0</v>
      </c>
      <c r="G1024" s="94">
        <v>0.0</v>
      </c>
      <c r="H1024" s="94">
        <v>0.0</v>
      </c>
      <c r="I1024" s="94">
        <v>0.0</v>
      </c>
      <c r="J1024" s="95">
        <f t="shared" si="767"/>
        <v>0</v>
      </c>
      <c r="K1024" s="87" t="str">
        <f t="shared" si="768"/>
        <v>#DIV/0!</v>
      </c>
      <c r="L1024" s="94">
        <v>0.0</v>
      </c>
      <c r="M1024" s="94">
        <v>0.0</v>
      </c>
      <c r="N1024" s="85">
        <v>0.0</v>
      </c>
      <c r="O1024" s="110">
        <f t="shared" si="775"/>
        <v>0</v>
      </c>
      <c r="P1024" s="94">
        <v>0.0</v>
      </c>
      <c r="Q1024" s="94">
        <v>0.0</v>
      </c>
      <c r="R1024" s="94">
        <v>0.0</v>
      </c>
      <c r="S1024" s="94">
        <v>0.0</v>
      </c>
      <c r="T1024" s="94">
        <v>0.0</v>
      </c>
      <c r="U1024" s="94">
        <v>0.0</v>
      </c>
      <c r="V1024" s="94">
        <v>0.0</v>
      </c>
      <c r="W1024" s="94">
        <v>0.0</v>
      </c>
      <c r="X1024" s="94">
        <v>0.0</v>
      </c>
      <c r="Y1024" s="94">
        <v>0.0</v>
      </c>
      <c r="Z1024" s="94">
        <v>0.0</v>
      </c>
      <c r="AA1024" s="94">
        <v>0.0</v>
      </c>
      <c r="AB1024" s="94">
        <v>0.0</v>
      </c>
      <c r="AC1024" s="94">
        <v>0.0</v>
      </c>
      <c r="AD1024" s="94">
        <v>0.0</v>
      </c>
      <c r="AE1024" s="94">
        <v>0.0</v>
      </c>
      <c r="AF1024" s="94">
        <v>0.0</v>
      </c>
      <c r="AG1024" s="94">
        <v>0.0</v>
      </c>
      <c r="AH1024" s="94">
        <v>0.0</v>
      </c>
    </row>
    <row r="1025" hidden="1">
      <c r="A1025" s="109" t="s">
        <v>214</v>
      </c>
      <c r="B1025" s="93" t="s">
        <v>189</v>
      </c>
      <c r="C1025" s="94">
        <v>0.0</v>
      </c>
      <c r="D1025" s="94">
        <v>0.0</v>
      </c>
      <c r="E1025" s="96">
        <f t="shared" si="774"/>
        <v>0</v>
      </c>
      <c r="F1025" s="94">
        <v>0.0</v>
      </c>
      <c r="G1025" s="94">
        <v>0.0</v>
      </c>
      <c r="H1025" s="94">
        <v>0.0</v>
      </c>
      <c r="I1025" s="94">
        <v>0.0</v>
      </c>
      <c r="J1025" s="95">
        <f t="shared" si="767"/>
        <v>0</v>
      </c>
      <c r="K1025" s="87" t="str">
        <f t="shared" si="768"/>
        <v>#DIV/0!</v>
      </c>
      <c r="L1025" s="94">
        <v>0.0</v>
      </c>
      <c r="M1025" s="94">
        <v>0.0</v>
      </c>
      <c r="N1025" s="85">
        <v>0.0</v>
      </c>
      <c r="O1025" s="110">
        <f t="shared" si="775"/>
        <v>0</v>
      </c>
      <c r="P1025" s="94">
        <v>0.0</v>
      </c>
      <c r="Q1025" s="94">
        <v>0.0</v>
      </c>
      <c r="R1025" s="94">
        <v>0.0</v>
      </c>
      <c r="S1025" s="94">
        <v>0.0</v>
      </c>
      <c r="T1025" s="94">
        <v>0.0</v>
      </c>
      <c r="U1025" s="94">
        <v>0.0</v>
      </c>
      <c r="V1025" s="94">
        <v>0.0</v>
      </c>
      <c r="W1025" s="94">
        <v>0.0</v>
      </c>
      <c r="X1025" s="94">
        <v>0.0</v>
      </c>
      <c r="Y1025" s="94">
        <v>0.0</v>
      </c>
      <c r="Z1025" s="94">
        <v>0.0</v>
      </c>
      <c r="AA1025" s="94">
        <v>0.0</v>
      </c>
      <c r="AB1025" s="94">
        <v>0.0</v>
      </c>
      <c r="AC1025" s="94">
        <v>0.0</v>
      </c>
      <c r="AD1025" s="94">
        <v>0.0</v>
      </c>
      <c r="AE1025" s="94">
        <v>0.0</v>
      </c>
      <c r="AF1025" s="94">
        <v>0.0</v>
      </c>
      <c r="AG1025" s="94">
        <v>0.0</v>
      </c>
      <c r="AH1025" s="94">
        <v>0.0</v>
      </c>
    </row>
    <row r="1026" hidden="1">
      <c r="A1026" s="89" t="s">
        <v>185</v>
      </c>
      <c r="B1026" s="111"/>
      <c r="C1026" s="111">
        <f>SUM(C1020:C1025)</f>
        <v>4</v>
      </c>
      <c r="D1026" s="111">
        <f t="shared" ref="D1026:E1026" si="776">SUM(D1020:D1025)/4</f>
        <v>0</v>
      </c>
      <c r="E1026" s="91">
        <f t="shared" si="776"/>
        <v>14.93333333</v>
      </c>
      <c r="F1026" s="111">
        <f t="shared" ref="F1026:G1026" si="777">SUM(F1020:F1025)</f>
        <v>3</v>
      </c>
      <c r="G1026" s="111">
        <f t="shared" si="777"/>
        <v>263</v>
      </c>
      <c r="H1026" s="111"/>
      <c r="I1026" s="111">
        <f>SUM(I1020:I1025)</f>
        <v>253</v>
      </c>
      <c r="J1026" s="111">
        <f t="shared" si="767"/>
        <v>10</v>
      </c>
      <c r="K1026" s="92">
        <f t="shared" si="768"/>
        <v>1.039525692</v>
      </c>
      <c r="L1026" s="111">
        <f t="shared" ref="L1026:M1026" si="778">SUM(L1020:L1025)</f>
        <v>61</v>
      </c>
      <c r="M1026" s="111">
        <f t="shared" si="778"/>
        <v>328</v>
      </c>
      <c r="N1026" s="111"/>
      <c r="O1026" s="112"/>
      <c r="P1026" s="111">
        <f t="shared" ref="P1026:AH1026" si="779">SUM(P1020:P1025)</f>
        <v>14</v>
      </c>
      <c r="Q1026" s="111">
        <f t="shared" si="779"/>
        <v>4</v>
      </c>
      <c r="R1026" s="111">
        <f t="shared" si="779"/>
        <v>11</v>
      </c>
      <c r="S1026" s="111">
        <f t="shared" si="779"/>
        <v>3</v>
      </c>
      <c r="T1026" s="111">
        <f t="shared" si="779"/>
        <v>39</v>
      </c>
      <c r="U1026" s="111">
        <f t="shared" si="779"/>
        <v>5</v>
      </c>
      <c r="V1026" s="111">
        <f t="shared" si="779"/>
        <v>3</v>
      </c>
      <c r="W1026" s="111">
        <f t="shared" si="779"/>
        <v>1</v>
      </c>
      <c r="X1026" s="111">
        <f t="shared" si="779"/>
        <v>1</v>
      </c>
      <c r="Y1026" s="111">
        <f t="shared" si="779"/>
        <v>1</v>
      </c>
      <c r="Z1026" s="111">
        <f t="shared" si="779"/>
        <v>0</v>
      </c>
      <c r="AA1026" s="111">
        <f t="shared" si="779"/>
        <v>0</v>
      </c>
      <c r="AB1026" s="111">
        <f t="shared" si="779"/>
        <v>0</v>
      </c>
      <c r="AC1026" s="111">
        <f t="shared" si="779"/>
        <v>11</v>
      </c>
      <c r="AD1026" s="111">
        <f t="shared" si="779"/>
        <v>0</v>
      </c>
      <c r="AE1026" s="111">
        <f t="shared" si="779"/>
        <v>0</v>
      </c>
      <c r="AF1026" s="111">
        <f t="shared" si="779"/>
        <v>0</v>
      </c>
      <c r="AG1026" s="111">
        <f t="shared" si="779"/>
        <v>1</v>
      </c>
      <c r="AH1026" s="111">
        <f t="shared" si="779"/>
        <v>0</v>
      </c>
    </row>
    <row r="1027">
      <c r="A1027" s="104" t="s">
        <v>313</v>
      </c>
    </row>
    <row r="1029" hidden="1">
      <c r="A1029" s="105"/>
      <c r="F1029" s="106" t="s">
        <v>251</v>
      </c>
      <c r="L1029" s="107" t="s">
        <v>252</v>
      </c>
      <c r="N1029" s="108" t="s">
        <v>253</v>
      </c>
    </row>
    <row r="1030" hidden="1">
      <c r="A1030" s="76" t="s">
        <v>148</v>
      </c>
      <c r="B1030" s="76" t="s">
        <v>149</v>
      </c>
      <c r="C1030" s="76" t="s">
        <v>150</v>
      </c>
      <c r="D1030" s="76" t="s">
        <v>13</v>
      </c>
      <c r="E1030" s="77" t="s">
        <v>151</v>
      </c>
      <c r="F1030" s="78" t="s">
        <v>15</v>
      </c>
      <c r="G1030" s="78" t="s">
        <v>152</v>
      </c>
      <c r="H1030" s="78" t="s">
        <v>153</v>
      </c>
      <c r="I1030" s="78" t="s">
        <v>154</v>
      </c>
      <c r="J1030" s="78" t="s">
        <v>155</v>
      </c>
      <c r="K1030" s="79" t="s">
        <v>156</v>
      </c>
      <c r="L1030" s="80" t="s">
        <v>157</v>
      </c>
      <c r="M1030" s="80" t="s">
        <v>158</v>
      </c>
      <c r="N1030" s="81" t="s">
        <v>254</v>
      </c>
      <c r="O1030" s="81" t="s">
        <v>151</v>
      </c>
      <c r="P1030" s="81" t="s">
        <v>160</v>
      </c>
      <c r="Q1030" s="81" t="s">
        <v>161</v>
      </c>
      <c r="R1030" s="81" t="s">
        <v>162</v>
      </c>
      <c r="S1030" s="81" t="s">
        <v>163</v>
      </c>
      <c r="T1030" s="81" t="s">
        <v>164</v>
      </c>
      <c r="U1030" s="81" t="s">
        <v>165</v>
      </c>
      <c r="V1030" s="81" t="s">
        <v>166</v>
      </c>
      <c r="W1030" s="81" t="s">
        <v>167</v>
      </c>
      <c r="X1030" s="81" t="s">
        <v>168</v>
      </c>
      <c r="Y1030" s="81" t="s">
        <v>169</v>
      </c>
      <c r="Z1030" s="81" t="s">
        <v>170</v>
      </c>
      <c r="AA1030" s="81" t="s">
        <v>171</v>
      </c>
      <c r="AB1030" s="81" t="s">
        <v>172</v>
      </c>
      <c r="AC1030" s="81" t="s">
        <v>173</v>
      </c>
      <c r="AD1030" s="81" t="s">
        <v>174</v>
      </c>
      <c r="AE1030" s="81" t="s">
        <v>175</v>
      </c>
      <c r="AF1030" s="81" t="s">
        <v>176</v>
      </c>
      <c r="AG1030" s="81" t="s">
        <v>177</v>
      </c>
      <c r="AH1030" s="81" t="s">
        <v>178</v>
      </c>
    </row>
    <row r="1031" hidden="1">
      <c r="A1031" s="109" t="s">
        <v>28</v>
      </c>
      <c r="B1031" s="93" t="s">
        <v>179</v>
      </c>
      <c r="C1031" s="85">
        <v>1.0</v>
      </c>
      <c r="D1031" s="85">
        <v>1.0</v>
      </c>
      <c r="E1031" s="86">
        <v>36.0</v>
      </c>
      <c r="F1031" s="85">
        <v>1.0</v>
      </c>
      <c r="G1031" s="85">
        <v>95.0</v>
      </c>
      <c r="H1031" s="94">
        <v>0.0</v>
      </c>
      <c r="I1031" s="85">
        <v>90.0</v>
      </c>
      <c r="J1031" s="95">
        <f t="shared" ref="J1031:J1044" si="780">SUM(G1031-I1031)</f>
        <v>5</v>
      </c>
      <c r="K1031" s="87">
        <f t="shared" ref="K1031:K1044" si="781">SUM(G1031/I1031)</f>
        <v>1.055555556</v>
      </c>
      <c r="L1031" s="85">
        <v>20.0</v>
      </c>
      <c r="M1031" s="85">
        <v>115.0</v>
      </c>
      <c r="N1031" s="85">
        <v>1.0</v>
      </c>
      <c r="O1031" s="110">
        <f t="shared" ref="O1031:O1036" si="782">(E1031*N1031)</f>
        <v>36</v>
      </c>
      <c r="P1031" s="85">
        <v>6.0</v>
      </c>
      <c r="Q1031" s="94">
        <v>0.0</v>
      </c>
      <c r="R1031" s="85">
        <v>6.0</v>
      </c>
      <c r="S1031" s="85">
        <v>1.0</v>
      </c>
      <c r="T1031" s="85">
        <v>9.0</v>
      </c>
      <c r="U1031" s="85">
        <v>1.0</v>
      </c>
      <c r="V1031" s="94">
        <v>0.0</v>
      </c>
      <c r="W1031" s="94">
        <v>0.0</v>
      </c>
      <c r="X1031" s="94">
        <v>0.0</v>
      </c>
      <c r="Y1031" s="94">
        <v>0.0</v>
      </c>
      <c r="Z1031" s="94">
        <v>0.0</v>
      </c>
      <c r="AA1031" s="94">
        <v>0.0</v>
      </c>
      <c r="AB1031" s="94">
        <v>0.0</v>
      </c>
      <c r="AC1031" s="85">
        <v>2.0</v>
      </c>
      <c r="AD1031" s="94">
        <v>0.0</v>
      </c>
      <c r="AE1031" s="94">
        <v>0.0</v>
      </c>
      <c r="AF1031" s="94">
        <v>0.0</v>
      </c>
      <c r="AG1031" s="94">
        <v>0.0</v>
      </c>
      <c r="AH1031" s="94">
        <v>0.0</v>
      </c>
    </row>
    <row r="1032" hidden="1">
      <c r="A1032" s="109" t="s">
        <v>28</v>
      </c>
      <c r="B1032" s="93" t="s">
        <v>180</v>
      </c>
      <c r="C1032" s="85">
        <v>1.0</v>
      </c>
      <c r="D1032" s="85">
        <v>1.0</v>
      </c>
      <c r="E1032" s="86">
        <v>36.0</v>
      </c>
      <c r="F1032" s="94">
        <v>0.0</v>
      </c>
      <c r="G1032" s="85">
        <v>150.0</v>
      </c>
      <c r="H1032" s="94">
        <v>0.0</v>
      </c>
      <c r="I1032" s="85">
        <v>105.0</v>
      </c>
      <c r="J1032" s="95">
        <f t="shared" si="780"/>
        <v>45</v>
      </c>
      <c r="K1032" s="87">
        <f t="shared" si="781"/>
        <v>1.428571429</v>
      </c>
      <c r="L1032" s="85">
        <v>17.0</v>
      </c>
      <c r="M1032" s="85">
        <v>214.0</v>
      </c>
      <c r="N1032" s="85">
        <v>1.0</v>
      </c>
      <c r="O1032" s="110">
        <f t="shared" si="782"/>
        <v>36</v>
      </c>
      <c r="P1032" s="85">
        <v>8.0</v>
      </c>
      <c r="Q1032" s="85">
        <v>3.0</v>
      </c>
      <c r="R1032" s="85">
        <v>17.0</v>
      </c>
      <c r="S1032" s="85">
        <v>2.0</v>
      </c>
      <c r="T1032" s="85">
        <v>25.0</v>
      </c>
      <c r="U1032" s="85">
        <v>5.0</v>
      </c>
      <c r="V1032" s="85">
        <v>2.0</v>
      </c>
      <c r="W1032" s="94">
        <v>0.0</v>
      </c>
      <c r="X1032" s="94">
        <v>0.0</v>
      </c>
      <c r="Y1032" s="94">
        <v>0.0</v>
      </c>
      <c r="Z1032" s="94">
        <v>0.0</v>
      </c>
      <c r="AA1032" s="94">
        <v>0.0</v>
      </c>
      <c r="AB1032" s="94">
        <v>0.0</v>
      </c>
      <c r="AC1032" s="85">
        <v>9.0</v>
      </c>
      <c r="AD1032" s="85">
        <v>1.0</v>
      </c>
      <c r="AE1032" s="94">
        <v>0.0</v>
      </c>
      <c r="AF1032" s="94">
        <v>0.0</v>
      </c>
      <c r="AG1032" s="94">
        <v>0.0</v>
      </c>
      <c r="AH1032" s="94">
        <v>0.0</v>
      </c>
    </row>
    <row r="1033" hidden="1">
      <c r="A1033" s="109" t="s">
        <v>28</v>
      </c>
      <c r="B1033" s="93" t="s">
        <v>181</v>
      </c>
      <c r="C1033" s="85">
        <v>1.0</v>
      </c>
      <c r="D1033" s="85">
        <v>1.0</v>
      </c>
      <c r="E1033" s="86">
        <v>36.0</v>
      </c>
      <c r="F1033" s="85">
        <v>1.0</v>
      </c>
      <c r="G1033" s="85">
        <v>150.0</v>
      </c>
      <c r="H1033" s="94">
        <v>0.0</v>
      </c>
      <c r="I1033" s="85">
        <v>118.0</v>
      </c>
      <c r="J1033" s="95">
        <f t="shared" si="780"/>
        <v>32</v>
      </c>
      <c r="K1033" s="87">
        <f t="shared" si="781"/>
        <v>1.271186441</v>
      </c>
      <c r="L1033" s="85">
        <v>15.0</v>
      </c>
      <c r="M1033" s="85">
        <v>195.0</v>
      </c>
      <c r="N1033" s="85">
        <v>1.0</v>
      </c>
      <c r="O1033" s="110">
        <f t="shared" si="782"/>
        <v>36</v>
      </c>
      <c r="P1033" s="85">
        <v>6.0</v>
      </c>
      <c r="Q1033" s="85">
        <v>2.0</v>
      </c>
      <c r="R1033" s="85">
        <v>12.0</v>
      </c>
      <c r="S1033" s="85">
        <v>2.0</v>
      </c>
      <c r="T1033" s="85">
        <v>21.0</v>
      </c>
      <c r="U1033" s="85">
        <v>3.0</v>
      </c>
      <c r="V1033" s="94">
        <v>0.0</v>
      </c>
      <c r="W1033" s="94">
        <v>0.0</v>
      </c>
      <c r="X1033" s="94">
        <v>0.0</v>
      </c>
      <c r="Y1033" s="94">
        <v>0.0</v>
      </c>
      <c r="Z1033" s="94">
        <v>0.0</v>
      </c>
      <c r="AA1033" s="94">
        <v>0.0</v>
      </c>
      <c r="AB1033" s="94">
        <v>0.0</v>
      </c>
      <c r="AC1033" s="85">
        <v>5.0</v>
      </c>
      <c r="AD1033" s="85">
        <v>1.0</v>
      </c>
      <c r="AE1033" s="94">
        <v>0.0</v>
      </c>
      <c r="AF1033" s="94">
        <v>0.0</v>
      </c>
      <c r="AG1033" s="94">
        <v>0.0</v>
      </c>
      <c r="AH1033" s="94">
        <v>0.0</v>
      </c>
    </row>
    <row r="1034" hidden="1">
      <c r="A1034" s="109" t="s">
        <v>28</v>
      </c>
      <c r="B1034" s="93" t="s">
        <v>182</v>
      </c>
      <c r="C1034" s="85">
        <v>1.0</v>
      </c>
      <c r="D1034" s="85">
        <v>1.0</v>
      </c>
      <c r="E1034" s="86">
        <v>36.0</v>
      </c>
      <c r="F1034" s="85">
        <v>3.0</v>
      </c>
      <c r="G1034" s="85">
        <v>89.0</v>
      </c>
      <c r="H1034" s="94">
        <v>0.0</v>
      </c>
      <c r="I1034" s="85">
        <v>89.0</v>
      </c>
      <c r="J1034" s="95">
        <f t="shared" si="780"/>
        <v>0</v>
      </c>
      <c r="K1034" s="87">
        <f t="shared" si="781"/>
        <v>1</v>
      </c>
      <c r="L1034" s="85">
        <v>21.0</v>
      </c>
      <c r="M1034" s="85">
        <v>123.0</v>
      </c>
      <c r="N1034" s="85">
        <v>1.0</v>
      </c>
      <c r="O1034" s="110">
        <f t="shared" si="782"/>
        <v>36</v>
      </c>
      <c r="P1034" s="85">
        <v>4.0</v>
      </c>
      <c r="Q1034" s="85">
        <v>4.0</v>
      </c>
      <c r="R1034" s="85">
        <v>8.0</v>
      </c>
      <c r="S1034" s="85">
        <v>2.0</v>
      </c>
      <c r="T1034" s="85">
        <v>15.0</v>
      </c>
      <c r="U1034" s="85">
        <v>2.0</v>
      </c>
      <c r="V1034" s="94">
        <v>0.0</v>
      </c>
      <c r="W1034" s="94">
        <v>0.0</v>
      </c>
      <c r="X1034" s="94">
        <v>0.0</v>
      </c>
      <c r="Y1034" s="94">
        <v>0.0</v>
      </c>
      <c r="Z1034" s="94">
        <v>0.0</v>
      </c>
      <c r="AA1034" s="94">
        <v>0.0</v>
      </c>
      <c r="AB1034" s="94">
        <v>0.0</v>
      </c>
      <c r="AC1034" s="85">
        <v>1.0</v>
      </c>
      <c r="AD1034" s="94">
        <v>0.0</v>
      </c>
      <c r="AE1034" s="94">
        <v>0.0</v>
      </c>
      <c r="AF1034" s="94">
        <v>0.0</v>
      </c>
      <c r="AG1034" s="94">
        <v>0.0</v>
      </c>
      <c r="AH1034" s="94">
        <v>0.0</v>
      </c>
    </row>
    <row r="1035" hidden="1">
      <c r="A1035" s="109" t="s">
        <v>28</v>
      </c>
      <c r="B1035" s="93" t="s">
        <v>183</v>
      </c>
      <c r="C1035" s="94">
        <v>0.0</v>
      </c>
      <c r="D1035" s="94">
        <v>0.0</v>
      </c>
      <c r="E1035" s="96">
        <f t="shared" ref="E1035:E1036" si="783">SUM(L1035*I1035)/60</f>
        <v>0</v>
      </c>
      <c r="F1035" s="94">
        <v>0.0</v>
      </c>
      <c r="G1035" s="94">
        <v>0.0</v>
      </c>
      <c r="H1035" s="94">
        <v>0.0</v>
      </c>
      <c r="I1035" s="94">
        <v>0.0</v>
      </c>
      <c r="J1035" s="95">
        <f t="shared" si="780"/>
        <v>0</v>
      </c>
      <c r="K1035" s="87" t="str">
        <f t="shared" si="781"/>
        <v>#DIV/0!</v>
      </c>
      <c r="L1035" s="94">
        <v>0.0</v>
      </c>
      <c r="M1035" s="94">
        <v>0.0</v>
      </c>
      <c r="N1035" s="85">
        <v>0.0</v>
      </c>
      <c r="O1035" s="110">
        <f t="shared" si="782"/>
        <v>0</v>
      </c>
      <c r="P1035" s="94">
        <v>0.0</v>
      </c>
      <c r="Q1035" s="94">
        <v>0.0</v>
      </c>
      <c r="R1035" s="94">
        <v>0.0</v>
      </c>
      <c r="S1035" s="94">
        <v>0.0</v>
      </c>
      <c r="T1035" s="94">
        <v>0.0</v>
      </c>
      <c r="U1035" s="94">
        <v>0.0</v>
      </c>
      <c r="V1035" s="94">
        <v>0.0</v>
      </c>
      <c r="W1035" s="94">
        <v>0.0</v>
      </c>
      <c r="X1035" s="94">
        <v>0.0</v>
      </c>
      <c r="Y1035" s="94">
        <v>0.0</v>
      </c>
      <c r="Z1035" s="94">
        <v>0.0</v>
      </c>
      <c r="AA1035" s="94">
        <v>0.0</v>
      </c>
      <c r="AB1035" s="94">
        <v>0.0</v>
      </c>
      <c r="AC1035" s="94">
        <v>0.0</v>
      </c>
      <c r="AD1035" s="94">
        <v>0.0</v>
      </c>
      <c r="AE1035" s="94">
        <v>0.0</v>
      </c>
      <c r="AF1035" s="94">
        <v>0.0</v>
      </c>
      <c r="AG1035" s="94">
        <v>0.0</v>
      </c>
      <c r="AH1035" s="94">
        <v>0.0</v>
      </c>
    </row>
    <row r="1036" hidden="1">
      <c r="A1036" s="109" t="s">
        <v>28</v>
      </c>
      <c r="B1036" s="93" t="s">
        <v>184</v>
      </c>
      <c r="C1036" s="94">
        <v>0.0</v>
      </c>
      <c r="D1036" s="94">
        <v>0.0</v>
      </c>
      <c r="E1036" s="96">
        <f t="shared" si="783"/>
        <v>0</v>
      </c>
      <c r="F1036" s="94">
        <v>0.0</v>
      </c>
      <c r="G1036" s="94">
        <v>0.0</v>
      </c>
      <c r="H1036" s="94">
        <v>0.0</v>
      </c>
      <c r="I1036" s="94">
        <v>0.0</v>
      </c>
      <c r="J1036" s="95">
        <f t="shared" si="780"/>
        <v>0</v>
      </c>
      <c r="K1036" s="87" t="str">
        <f t="shared" si="781"/>
        <v>#DIV/0!</v>
      </c>
      <c r="L1036" s="94">
        <v>0.0</v>
      </c>
      <c r="M1036" s="94">
        <v>0.0</v>
      </c>
      <c r="N1036" s="85">
        <v>0.0</v>
      </c>
      <c r="O1036" s="110">
        <f t="shared" si="782"/>
        <v>0</v>
      </c>
      <c r="P1036" s="94">
        <v>0.0</v>
      </c>
      <c r="Q1036" s="94">
        <v>0.0</v>
      </c>
      <c r="R1036" s="94">
        <v>0.0</v>
      </c>
      <c r="S1036" s="94">
        <v>0.0</v>
      </c>
      <c r="T1036" s="94">
        <v>0.0</v>
      </c>
      <c r="U1036" s="94">
        <v>0.0</v>
      </c>
      <c r="V1036" s="94">
        <v>0.0</v>
      </c>
      <c r="W1036" s="94">
        <v>0.0</v>
      </c>
      <c r="X1036" s="94">
        <v>0.0</v>
      </c>
      <c r="Y1036" s="94">
        <v>0.0</v>
      </c>
      <c r="Z1036" s="94">
        <v>0.0</v>
      </c>
      <c r="AA1036" s="94">
        <v>0.0</v>
      </c>
      <c r="AB1036" s="94">
        <v>0.0</v>
      </c>
      <c r="AC1036" s="94">
        <v>0.0</v>
      </c>
      <c r="AD1036" s="94">
        <v>0.0</v>
      </c>
      <c r="AE1036" s="94">
        <v>0.0</v>
      </c>
      <c r="AF1036" s="94">
        <v>0.0</v>
      </c>
      <c r="AG1036" s="94">
        <v>0.0</v>
      </c>
      <c r="AH1036" s="94">
        <v>0.0</v>
      </c>
    </row>
    <row r="1037" hidden="1">
      <c r="A1037" s="89"/>
      <c r="B1037" s="111"/>
      <c r="C1037" s="111">
        <f t="shared" ref="C1037:D1037" si="784">SUM(C1031:C1036)/4</f>
        <v>1</v>
      </c>
      <c r="D1037" s="111">
        <f t="shared" si="784"/>
        <v>1</v>
      </c>
      <c r="E1037" s="91">
        <f t="shared" ref="E1037:G1037" si="785">SUM(E1031:E1036)</f>
        <v>144</v>
      </c>
      <c r="F1037" s="111">
        <f t="shared" si="785"/>
        <v>5</v>
      </c>
      <c r="G1037" s="111">
        <f t="shared" si="785"/>
        <v>484</v>
      </c>
      <c r="H1037" s="111"/>
      <c r="I1037" s="111">
        <f>SUM(I1031:I1036)</f>
        <v>402</v>
      </c>
      <c r="J1037" s="111">
        <f t="shared" si="780"/>
        <v>82</v>
      </c>
      <c r="K1037" s="92">
        <f t="shared" si="781"/>
        <v>1.2039801</v>
      </c>
      <c r="L1037" s="111">
        <f t="shared" ref="L1037:M1037" si="786">SUM(L1031:L1036)</f>
        <v>73</v>
      </c>
      <c r="M1037" s="111">
        <f t="shared" si="786"/>
        <v>647</v>
      </c>
      <c r="N1037" s="111"/>
      <c r="O1037" s="112"/>
      <c r="P1037" s="111">
        <f t="shared" ref="P1037:AH1037" si="787">SUM(P1031:P1036)</f>
        <v>24</v>
      </c>
      <c r="Q1037" s="111">
        <f t="shared" si="787"/>
        <v>9</v>
      </c>
      <c r="R1037" s="111">
        <f t="shared" si="787"/>
        <v>43</v>
      </c>
      <c r="S1037" s="111">
        <f t="shared" si="787"/>
        <v>7</v>
      </c>
      <c r="T1037" s="111">
        <f t="shared" si="787"/>
        <v>70</v>
      </c>
      <c r="U1037" s="111">
        <f t="shared" si="787"/>
        <v>11</v>
      </c>
      <c r="V1037" s="111">
        <f t="shared" si="787"/>
        <v>2</v>
      </c>
      <c r="W1037" s="111">
        <f t="shared" si="787"/>
        <v>0</v>
      </c>
      <c r="X1037" s="111">
        <f t="shared" si="787"/>
        <v>0</v>
      </c>
      <c r="Y1037" s="111">
        <f t="shared" si="787"/>
        <v>0</v>
      </c>
      <c r="Z1037" s="111">
        <f t="shared" si="787"/>
        <v>0</v>
      </c>
      <c r="AA1037" s="111">
        <f t="shared" si="787"/>
        <v>0</v>
      </c>
      <c r="AB1037" s="111">
        <f t="shared" si="787"/>
        <v>0</v>
      </c>
      <c r="AC1037" s="111">
        <f t="shared" si="787"/>
        <v>17</v>
      </c>
      <c r="AD1037" s="111">
        <f t="shared" si="787"/>
        <v>2</v>
      </c>
      <c r="AE1037" s="111">
        <f t="shared" si="787"/>
        <v>0</v>
      </c>
      <c r="AF1037" s="111">
        <f t="shared" si="787"/>
        <v>0</v>
      </c>
      <c r="AG1037" s="111">
        <f t="shared" si="787"/>
        <v>0</v>
      </c>
      <c r="AH1037" s="111">
        <f t="shared" si="787"/>
        <v>0</v>
      </c>
    </row>
    <row r="1038" hidden="1">
      <c r="A1038" s="109" t="s">
        <v>53</v>
      </c>
      <c r="B1038" s="93" t="s">
        <v>192</v>
      </c>
      <c r="C1038" s="85">
        <v>1.0</v>
      </c>
      <c r="D1038" s="94">
        <v>0.0</v>
      </c>
      <c r="E1038" s="86">
        <v>36.0</v>
      </c>
      <c r="F1038" s="85">
        <v>1.0</v>
      </c>
      <c r="G1038" s="85">
        <v>47.0</v>
      </c>
      <c r="H1038" s="94">
        <v>0.0</v>
      </c>
      <c r="I1038" s="85">
        <v>123.0</v>
      </c>
      <c r="J1038" s="95">
        <f t="shared" si="780"/>
        <v>-76</v>
      </c>
      <c r="K1038" s="87">
        <f t="shared" si="781"/>
        <v>0.3821138211</v>
      </c>
      <c r="L1038" s="85">
        <v>14.0</v>
      </c>
      <c r="M1038" s="85">
        <v>64.0</v>
      </c>
      <c r="N1038" s="85">
        <v>1.0</v>
      </c>
      <c r="O1038" s="110">
        <f t="shared" ref="O1038:O1043" si="788">(E1038*N1038)</f>
        <v>36</v>
      </c>
      <c r="P1038" s="85">
        <v>11.0</v>
      </c>
      <c r="Q1038" s="94">
        <v>0.0</v>
      </c>
      <c r="R1038" s="85">
        <v>1.0</v>
      </c>
      <c r="S1038" s="85">
        <v>2.0</v>
      </c>
      <c r="T1038" s="85">
        <v>3.0</v>
      </c>
      <c r="U1038" s="85">
        <v>1.0</v>
      </c>
      <c r="V1038" s="94">
        <v>0.0</v>
      </c>
      <c r="W1038" s="94">
        <v>0.0</v>
      </c>
      <c r="X1038" s="94">
        <v>0.0</v>
      </c>
      <c r="Y1038" s="94">
        <v>0.0</v>
      </c>
      <c r="Z1038" s="94">
        <v>0.0</v>
      </c>
      <c r="AA1038" s="94">
        <v>0.0</v>
      </c>
      <c r="AB1038" s="94">
        <v>0.0</v>
      </c>
      <c r="AC1038" s="94">
        <v>0.0</v>
      </c>
      <c r="AD1038" s="94">
        <v>0.0</v>
      </c>
      <c r="AE1038" s="94">
        <v>0.0</v>
      </c>
      <c r="AF1038" s="94">
        <v>0.0</v>
      </c>
      <c r="AG1038" s="94">
        <v>0.0</v>
      </c>
      <c r="AH1038" s="94">
        <v>0.0</v>
      </c>
    </row>
    <row r="1039" hidden="1">
      <c r="A1039" s="109" t="s">
        <v>53</v>
      </c>
      <c r="B1039" s="93" t="s">
        <v>193</v>
      </c>
      <c r="C1039" s="85">
        <v>1.0</v>
      </c>
      <c r="D1039" s="94">
        <v>0.0</v>
      </c>
      <c r="E1039" s="86">
        <v>36.0</v>
      </c>
      <c r="F1039" s="94">
        <v>0.0</v>
      </c>
      <c r="G1039" s="85">
        <v>133.0</v>
      </c>
      <c r="H1039" s="85">
        <v>1.0</v>
      </c>
      <c r="I1039" s="85">
        <v>140.0</v>
      </c>
      <c r="J1039" s="95">
        <f t="shared" si="780"/>
        <v>-7</v>
      </c>
      <c r="K1039" s="87">
        <f t="shared" si="781"/>
        <v>0.95</v>
      </c>
      <c r="L1039" s="85">
        <v>12.0</v>
      </c>
      <c r="M1039" s="85">
        <v>184.0</v>
      </c>
      <c r="N1039" s="85">
        <v>1.0</v>
      </c>
      <c r="O1039" s="110">
        <f t="shared" si="788"/>
        <v>36</v>
      </c>
      <c r="P1039" s="85">
        <v>8.0</v>
      </c>
      <c r="Q1039" s="85">
        <v>2.0</v>
      </c>
      <c r="R1039" s="85">
        <v>4.0</v>
      </c>
      <c r="S1039" s="85">
        <v>7.0</v>
      </c>
      <c r="T1039" s="85">
        <v>24.0</v>
      </c>
      <c r="U1039" s="85">
        <v>4.0</v>
      </c>
      <c r="V1039" s="85">
        <v>2.0</v>
      </c>
      <c r="W1039" s="85">
        <v>1.0</v>
      </c>
      <c r="X1039" s="85">
        <v>1.0</v>
      </c>
      <c r="Y1039" s="85">
        <v>1.0</v>
      </c>
      <c r="Z1039" s="94">
        <v>0.0</v>
      </c>
      <c r="AA1039" s="94">
        <v>0.0</v>
      </c>
      <c r="AB1039" s="94">
        <v>0.0</v>
      </c>
      <c r="AC1039" s="85">
        <v>3.0</v>
      </c>
      <c r="AD1039" s="94">
        <v>0.0</v>
      </c>
      <c r="AE1039" s="94">
        <v>0.0</v>
      </c>
      <c r="AF1039" s="94">
        <v>0.0</v>
      </c>
      <c r="AG1039" s="85">
        <v>1.0</v>
      </c>
      <c r="AH1039" s="94">
        <v>0.0</v>
      </c>
    </row>
    <row r="1040" hidden="1">
      <c r="A1040" s="109" t="s">
        <v>53</v>
      </c>
      <c r="B1040" s="93" t="s">
        <v>194</v>
      </c>
      <c r="C1040" s="85">
        <v>1.0</v>
      </c>
      <c r="D1040" s="94">
        <v>0.0</v>
      </c>
      <c r="E1040" s="86">
        <v>36.0</v>
      </c>
      <c r="F1040" s="94">
        <v>0.0</v>
      </c>
      <c r="G1040" s="85">
        <v>122.0</v>
      </c>
      <c r="H1040" s="85">
        <v>1.0</v>
      </c>
      <c r="I1040" s="85">
        <v>126.0</v>
      </c>
      <c r="J1040" s="95">
        <f t="shared" si="780"/>
        <v>-4</v>
      </c>
      <c r="K1040" s="87">
        <f t="shared" si="781"/>
        <v>0.9682539683</v>
      </c>
      <c r="L1040" s="85">
        <v>14.0</v>
      </c>
      <c r="M1040" s="85">
        <v>156.0</v>
      </c>
      <c r="N1040" s="85">
        <v>1.0</v>
      </c>
      <c r="O1040" s="110">
        <f t="shared" si="788"/>
        <v>36</v>
      </c>
      <c r="P1040" s="85">
        <v>4.0</v>
      </c>
      <c r="Q1040" s="94">
        <v>0.0</v>
      </c>
      <c r="R1040" s="85">
        <v>11.0</v>
      </c>
      <c r="S1040" s="85">
        <v>3.0</v>
      </c>
      <c r="T1040" s="85">
        <v>16.0</v>
      </c>
      <c r="U1040" s="85">
        <v>2.0</v>
      </c>
      <c r="V1040" s="94">
        <v>0.0</v>
      </c>
      <c r="W1040" s="94">
        <v>0.0</v>
      </c>
      <c r="X1040" s="94">
        <v>0.0</v>
      </c>
      <c r="Y1040" s="94">
        <v>0.0</v>
      </c>
      <c r="Z1040" s="94">
        <v>0.0</v>
      </c>
      <c r="AA1040" s="94">
        <v>0.0</v>
      </c>
      <c r="AB1040" s="94">
        <v>0.0</v>
      </c>
      <c r="AC1040" s="85">
        <v>3.0</v>
      </c>
      <c r="AD1040" s="94">
        <v>0.0</v>
      </c>
      <c r="AE1040" s="94">
        <v>0.0</v>
      </c>
      <c r="AF1040" s="94">
        <v>0.0</v>
      </c>
      <c r="AG1040" s="94">
        <v>0.0</v>
      </c>
      <c r="AH1040" s="94">
        <v>0.0</v>
      </c>
    </row>
    <row r="1041" hidden="1">
      <c r="A1041" s="109" t="s">
        <v>53</v>
      </c>
      <c r="B1041" s="93" t="s">
        <v>195</v>
      </c>
      <c r="C1041" s="85">
        <v>1.0</v>
      </c>
      <c r="D1041" s="94">
        <v>0.0</v>
      </c>
      <c r="E1041" s="86">
        <v>36.0</v>
      </c>
      <c r="F1041" s="94">
        <v>0.0</v>
      </c>
      <c r="G1041" s="85">
        <v>83.0</v>
      </c>
      <c r="H1041" s="94">
        <v>0.0</v>
      </c>
      <c r="I1041" s="85">
        <v>108.0</v>
      </c>
      <c r="J1041" s="95">
        <f t="shared" si="780"/>
        <v>-25</v>
      </c>
      <c r="K1041" s="87">
        <f t="shared" si="781"/>
        <v>0.7685185185</v>
      </c>
      <c r="L1041" s="85">
        <v>17.0</v>
      </c>
      <c r="M1041" s="85">
        <v>100.0</v>
      </c>
      <c r="N1041" s="85">
        <v>1.0</v>
      </c>
      <c r="O1041" s="110">
        <f t="shared" si="788"/>
        <v>36</v>
      </c>
      <c r="P1041" s="85">
        <v>5.0</v>
      </c>
      <c r="Q1041" s="85">
        <v>4.0</v>
      </c>
      <c r="R1041" s="85">
        <v>5.0</v>
      </c>
      <c r="S1041" s="85">
        <v>4.0</v>
      </c>
      <c r="T1041" s="85">
        <v>7.0</v>
      </c>
      <c r="U1041" s="85">
        <v>1.0</v>
      </c>
      <c r="V1041" s="94">
        <v>0.0</v>
      </c>
      <c r="W1041" s="94">
        <v>0.0</v>
      </c>
      <c r="X1041" s="94">
        <v>0.0</v>
      </c>
      <c r="Y1041" s="94">
        <v>0.0</v>
      </c>
      <c r="Z1041" s="94">
        <v>0.0</v>
      </c>
      <c r="AA1041" s="94">
        <v>0.0</v>
      </c>
      <c r="AB1041" s="94">
        <v>0.0</v>
      </c>
      <c r="AC1041" s="85">
        <v>1.0</v>
      </c>
      <c r="AD1041" s="94">
        <v>0.0</v>
      </c>
      <c r="AE1041" s="94">
        <v>0.0</v>
      </c>
      <c r="AF1041" s="94">
        <v>0.0</v>
      </c>
      <c r="AG1041" s="94">
        <v>0.0</v>
      </c>
      <c r="AH1041" s="85">
        <v>1.0</v>
      </c>
    </row>
    <row r="1042" hidden="1">
      <c r="A1042" s="109" t="s">
        <v>53</v>
      </c>
      <c r="B1042" s="93" t="s">
        <v>196</v>
      </c>
      <c r="C1042" s="94">
        <v>0.0</v>
      </c>
      <c r="D1042" s="94">
        <v>0.0</v>
      </c>
      <c r="E1042" s="96">
        <f t="shared" ref="E1042:E1043" si="789">SUM(L1042*I1042)/60</f>
        <v>0</v>
      </c>
      <c r="F1042" s="94">
        <v>0.0</v>
      </c>
      <c r="G1042" s="94">
        <v>0.0</v>
      </c>
      <c r="H1042" s="94">
        <v>0.0</v>
      </c>
      <c r="I1042" s="94">
        <v>0.0</v>
      </c>
      <c r="J1042" s="95">
        <f t="shared" si="780"/>
        <v>0</v>
      </c>
      <c r="K1042" s="87" t="str">
        <f t="shared" si="781"/>
        <v>#DIV/0!</v>
      </c>
      <c r="L1042" s="94">
        <v>0.0</v>
      </c>
      <c r="M1042" s="94">
        <v>0.0</v>
      </c>
      <c r="N1042" s="85">
        <v>0.0</v>
      </c>
      <c r="O1042" s="110">
        <f t="shared" si="788"/>
        <v>0</v>
      </c>
      <c r="P1042" s="94">
        <v>0.0</v>
      </c>
      <c r="Q1042" s="94">
        <v>0.0</v>
      </c>
      <c r="R1042" s="94">
        <v>0.0</v>
      </c>
      <c r="S1042" s="94">
        <v>0.0</v>
      </c>
      <c r="T1042" s="94">
        <v>0.0</v>
      </c>
      <c r="U1042" s="94">
        <v>0.0</v>
      </c>
      <c r="V1042" s="94">
        <v>0.0</v>
      </c>
      <c r="W1042" s="94">
        <v>0.0</v>
      </c>
      <c r="X1042" s="94">
        <v>0.0</v>
      </c>
      <c r="Y1042" s="94">
        <v>0.0</v>
      </c>
      <c r="Z1042" s="94">
        <v>0.0</v>
      </c>
      <c r="AA1042" s="94">
        <v>0.0</v>
      </c>
      <c r="AB1042" s="94">
        <v>0.0</v>
      </c>
      <c r="AC1042" s="94">
        <v>0.0</v>
      </c>
      <c r="AD1042" s="94">
        <v>0.0</v>
      </c>
      <c r="AE1042" s="94">
        <v>0.0</v>
      </c>
      <c r="AF1042" s="94">
        <v>0.0</v>
      </c>
      <c r="AG1042" s="94">
        <v>0.0</v>
      </c>
      <c r="AH1042" s="94">
        <v>0.0</v>
      </c>
    </row>
    <row r="1043" hidden="1">
      <c r="A1043" s="109" t="s">
        <v>53</v>
      </c>
      <c r="B1043" s="116"/>
      <c r="C1043" s="94">
        <v>0.0</v>
      </c>
      <c r="D1043" s="94">
        <v>0.0</v>
      </c>
      <c r="E1043" s="96">
        <f t="shared" si="789"/>
        <v>0</v>
      </c>
      <c r="F1043" s="94">
        <v>0.0</v>
      </c>
      <c r="G1043" s="94">
        <v>0.0</v>
      </c>
      <c r="H1043" s="94">
        <v>0.0</v>
      </c>
      <c r="I1043" s="94">
        <v>0.0</v>
      </c>
      <c r="J1043" s="95">
        <f t="shared" si="780"/>
        <v>0</v>
      </c>
      <c r="K1043" s="87" t="str">
        <f t="shared" si="781"/>
        <v>#DIV/0!</v>
      </c>
      <c r="L1043" s="94">
        <v>0.0</v>
      </c>
      <c r="M1043" s="94">
        <v>0.0</v>
      </c>
      <c r="N1043" s="85">
        <v>0.0</v>
      </c>
      <c r="O1043" s="110">
        <f t="shared" si="788"/>
        <v>0</v>
      </c>
      <c r="P1043" s="94">
        <v>0.0</v>
      </c>
      <c r="Q1043" s="94">
        <v>0.0</v>
      </c>
      <c r="R1043" s="94">
        <v>0.0</v>
      </c>
      <c r="S1043" s="94">
        <v>0.0</v>
      </c>
      <c r="T1043" s="94">
        <v>0.0</v>
      </c>
      <c r="U1043" s="94">
        <v>0.0</v>
      </c>
      <c r="V1043" s="94">
        <v>0.0</v>
      </c>
      <c r="W1043" s="94">
        <v>0.0</v>
      </c>
      <c r="X1043" s="94">
        <v>0.0</v>
      </c>
      <c r="Y1043" s="94">
        <v>0.0</v>
      </c>
      <c r="Z1043" s="94">
        <v>0.0</v>
      </c>
      <c r="AA1043" s="94">
        <v>0.0</v>
      </c>
      <c r="AB1043" s="94">
        <v>0.0</v>
      </c>
      <c r="AC1043" s="94">
        <v>0.0</v>
      </c>
      <c r="AD1043" s="94">
        <v>0.0</v>
      </c>
      <c r="AE1043" s="94">
        <v>0.0</v>
      </c>
      <c r="AF1043" s="94">
        <v>0.0</v>
      </c>
      <c r="AG1043" s="94">
        <v>0.0</v>
      </c>
      <c r="AH1043" s="94">
        <v>0.0</v>
      </c>
    </row>
    <row r="1044" hidden="1">
      <c r="A1044" s="89" t="s">
        <v>185</v>
      </c>
      <c r="B1044" s="111"/>
      <c r="C1044" s="111">
        <f>SUM(C1038:C1043)</f>
        <v>4</v>
      </c>
      <c r="D1044" s="111">
        <f t="shared" ref="D1044:E1044" si="790">SUM(D1038:D1043)/4</f>
        <v>0</v>
      </c>
      <c r="E1044" s="91">
        <f t="shared" si="790"/>
        <v>36</v>
      </c>
      <c r="F1044" s="111">
        <f t="shared" ref="F1044:G1044" si="791">SUM(F1038:F1043)</f>
        <v>1</v>
      </c>
      <c r="G1044" s="111">
        <f t="shared" si="791"/>
        <v>385</v>
      </c>
      <c r="H1044" s="111"/>
      <c r="I1044" s="111">
        <f>SUM(I1038:I1043)</f>
        <v>497</v>
      </c>
      <c r="J1044" s="111">
        <f t="shared" si="780"/>
        <v>-112</v>
      </c>
      <c r="K1044" s="92">
        <f t="shared" si="781"/>
        <v>0.7746478873</v>
      </c>
      <c r="L1044" s="111">
        <f t="shared" ref="L1044:M1044" si="792">SUM(L1038:L1043)</f>
        <v>57</v>
      </c>
      <c r="M1044" s="111">
        <f t="shared" si="792"/>
        <v>504</v>
      </c>
      <c r="N1044" s="111"/>
      <c r="O1044" s="112"/>
      <c r="P1044" s="111">
        <f t="shared" ref="P1044:AH1044" si="793">SUM(P1038:P1043)</f>
        <v>28</v>
      </c>
      <c r="Q1044" s="111">
        <f t="shared" si="793"/>
        <v>6</v>
      </c>
      <c r="R1044" s="111">
        <f t="shared" si="793"/>
        <v>21</v>
      </c>
      <c r="S1044" s="111">
        <f t="shared" si="793"/>
        <v>16</v>
      </c>
      <c r="T1044" s="111">
        <f t="shared" si="793"/>
        <v>50</v>
      </c>
      <c r="U1044" s="111">
        <f t="shared" si="793"/>
        <v>8</v>
      </c>
      <c r="V1044" s="111">
        <f t="shared" si="793"/>
        <v>2</v>
      </c>
      <c r="W1044" s="111">
        <f t="shared" si="793"/>
        <v>1</v>
      </c>
      <c r="X1044" s="111">
        <f t="shared" si="793"/>
        <v>1</v>
      </c>
      <c r="Y1044" s="111">
        <f t="shared" si="793"/>
        <v>1</v>
      </c>
      <c r="Z1044" s="111">
        <f t="shared" si="793"/>
        <v>0</v>
      </c>
      <c r="AA1044" s="111">
        <f t="shared" si="793"/>
        <v>0</v>
      </c>
      <c r="AB1044" s="111">
        <f t="shared" si="793"/>
        <v>0</v>
      </c>
      <c r="AC1044" s="111">
        <f t="shared" si="793"/>
        <v>7</v>
      </c>
      <c r="AD1044" s="111">
        <f t="shared" si="793"/>
        <v>0</v>
      </c>
      <c r="AE1044" s="111">
        <f t="shared" si="793"/>
        <v>0</v>
      </c>
      <c r="AF1044" s="111">
        <f t="shared" si="793"/>
        <v>0</v>
      </c>
      <c r="AG1044" s="111">
        <f t="shared" si="793"/>
        <v>1</v>
      </c>
      <c r="AH1044" s="111">
        <f t="shared" si="793"/>
        <v>1</v>
      </c>
    </row>
    <row r="1045">
      <c r="A1045" s="104" t="s">
        <v>314</v>
      </c>
    </row>
    <row r="1047" hidden="1">
      <c r="A1047" s="105"/>
      <c r="F1047" s="106" t="s">
        <v>251</v>
      </c>
      <c r="L1047" s="107" t="s">
        <v>252</v>
      </c>
      <c r="N1047" s="108" t="s">
        <v>253</v>
      </c>
    </row>
    <row r="1048" hidden="1">
      <c r="A1048" s="76" t="s">
        <v>148</v>
      </c>
      <c r="B1048" s="76" t="s">
        <v>149</v>
      </c>
      <c r="C1048" s="76" t="s">
        <v>150</v>
      </c>
      <c r="D1048" s="76" t="s">
        <v>13</v>
      </c>
      <c r="E1048" s="77" t="s">
        <v>151</v>
      </c>
      <c r="F1048" s="78" t="s">
        <v>15</v>
      </c>
      <c r="G1048" s="78" t="s">
        <v>152</v>
      </c>
      <c r="H1048" s="78" t="s">
        <v>153</v>
      </c>
      <c r="I1048" s="78" t="s">
        <v>154</v>
      </c>
      <c r="J1048" s="78" t="s">
        <v>155</v>
      </c>
      <c r="K1048" s="79" t="s">
        <v>156</v>
      </c>
      <c r="L1048" s="80" t="s">
        <v>157</v>
      </c>
      <c r="M1048" s="80" t="s">
        <v>158</v>
      </c>
      <c r="N1048" s="81" t="s">
        <v>254</v>
      </c>
      <c r="O1048" s="81" t="s">
        <v>151</v>
      </c>
      <c r="P1048" s="81" t="s">
        <v>160</v>
      </c>
      <c r="Q1048" s="81" t="s">
        <v>161</v>
      </c>
      <c r="R1048" s="81" t="s">
        <v>162</v>
      </c>
      <c r="S1048" s="81" t="s">
        <v>163</v>
      </c>
      <c r="T1048" s="81" t="s">
        <v>164</v>
      </c>
      <c r="U1048" s="81" t="s">
        <v>165</v>
      </c>
      <c r="V1048" s="81" t="s">
        <v>166</v>
      </c>
      <c r="W1048" s="81" t="s">
        <v>167</v>
      </c>
      <c r="X1048" s="81" t="s">
        <v>168</v>
      </c>
      <c r="Y1048" s="81" t="s">
        <v>169</v>
      </c>
      <c r="Z1048" s="81" t="s">
        <v>170</v>
      </c>
      <c r="AA1048" s="81" t="s">
        <v>171</v>
      </c>
      <c r="AB1048" s="81" t="s">
        <v>172</v>
      </c>
      <c r="AC1048" s="81" t="s">
        <v>173</v>
      </c>
      <c r="AD1048" s="81" t="s">
        <v>174</v>
      </c>
      <c r="AE1048" s="81" t="s">
        <v>175</v>
      </c>
      <c r="AF1048" s="81" t="s">
        <v>176</v>
      </c>
      <c r="AG1048" s="81" t="s">
        <v>177</v>
      </c>
      <c r="AH1048" s="81" t="s">
        <v>178</v>
      </c>
    </row>
    <row r="1049" hidden="1">
      <c r="A1049" s="109" t="s">
        <v>28</v>
      </c>
      <c r="B1049" s="93" t="s">
        <v>179</v>
      </c>
      <c r="C1049" s="85">
        <v>1.0</v>
      </c>
      <c r="D1049" s="85">
        <v>0.0</v>
      </c>
      <c r="E1049" s="86">
        <v>41.0</v>
      </c>
      <c r="F1049" s="94">
        <v>0.0</v>
      </c>
      <c r="G1049" s="85">
        <v>158.0</v>
      </c>
      <c r="H1049" s="94">
        <v>0.0</v>
      </c>
      <c r="I1049" s="85">
        <v>173.0</v>
      </c>
      <c r="J1049" s="95">
        <f t="shared" ref="J1049:J1062" si="794">SUM(G1049-I1049)</f>
        <v>-15</v>
      </c>
      <c r="K1049" s="87">
        <f t="shared" ref="K1049:K1062" si="795">SUM(G1049/I1049)</f>
        <v>0.9132947977</v>
      </c>
      <c r="L1049" s="85">
        <v>20.0</v>
      </c>
      <c r="M1049" s="85">
        <v>210.0</v>
      </c>
      <c r="N1049" s="85">
        <v>1.0</v>
      </c>
      <c r="O1049" s="110">
        <f t="shared" ref="O1049:O1054" si="796">(E1049*N1049)</f>
        <v>41</v>
      </c>
      <c r="P1049" s="85">
        <v>2.0</v>
      </c>
      <c r="Q1049" s="85">
        <v>1.0</v>
      </c>
      <c r="R1049" s="85">
        <v>22.0</v>
      </c>
      <c r="S1049" s="85">
        <v>3.0</v>
      </c>
      <c r="T1049" s="85">
        <v>22.0</v>
      </c>
      <c r="U1049" s="85">
        <v>5.0</v>
      </c>
      <c r="V1049" s="85">
        <v>1.0</v>
      </c>
      <c r="W1049" s="94">
        <v>0.0</v>
      </c>
      <c r="X1049" s="94">
        <v>0.0</v>
      </c>
      <c r="Y1049" s="94">
        <v>0.0</v>
      </c>
      <c r="Z1049" s="94">
        <v>0.0</v>
      </c>
      <c r="AA1049" s="94">
        <v>0.0</v>
      </c>
      <c r="AB1049" s="94">
        <v>0.0</v>
      </c>
      <c r="AC1049" s="85">
        <v>2.0</v>
      </c>
      <c r="AD1049" s="94">
        <v>0.0</v>
      </c>
      <c r="AE1049" s="94">
        <v>0.0</v>
      </c>
      <c r="AF1049" s="94">
        <v>0.0</v>
      </c>
      <c r="AG1049" s="94">
        <v>0.0</v>
      </c>
      <c r="AH1049" s="94">
        <v>0.0</v>
      </c>
    </row>
    <row r="1050" hidden="1">
      <c r="A1050" s="109" t="s">
        <v>28</v>
      </c>
      <c r="B1050" s="93" t="s">
        <v>180</v>
      </c>
      <c r="C1050" s="85">
        <v>1.0</v>
      </c>
      <c r="D1050" s="85">
        <v>0.0</v>
      </c>
      <c r="E1050" s="86">
        <v>41.0</v>
      </c>
      <c r="F1050" s="94">
        <v>0.0</v>
      </c>
      <c r="G1050" s="85">
        <v>172.0</v>
      </c>
      <c r="H1050" s="85">
        <v>1.0</v>
      </c>
      <c r="I1050" s="85">
        <v>186.0</v>
      </c>
      <c r="J1050" s="95">
        <f t="shared" si="794"/>
        <v>-14</v>
      </c>
      <c r="K1050" s="87">
        <f t="shared" si="795"/>
        <v>0.9247311828</v>
      </c>
      <c r="L1050" s="85">
        <v>20.0</v>
      </c>
      <c r="M1050" s="85">
        <v>228.0</v>
      </c>
      <c r="N1050" s="85">
        <v>1.0</v>
      </c>
      <c r="O1050" s="110">
        <f t="shared" si="796"/>
        <v>41</v>
      </c>
      <c r="P1050" s="85">
        <v>10.0</v>
      </c>
      <c r="Q1050" s="85">
        <v>2.0</v>
      </c>
      <c r="R1050" s="85">
        <v>18.0</v>
      </c>
      <c r="S1050" s="85">
        <v>3.0</v>
      </c>
      <c r="T1050" s="85">
        <v>24.0</v>
      </c>
      <c r="U1050" s="85">
        <v>3.0</v>
      </c>
      <c r="V1050" s="85">
        <v>1.0</v>
      </c>
      <c r="W1050" s="85">
        <v>1.0</v>
      </c>
      <c r="X1050" s="94">
        <v>0.0</v>
      </c>
      <c r="Y1050" s="94">
        <v>0.0</v>
      </c>
      <c r="Z1050" s="94">
        <v>0.0</v>
      </c>
      <c r="AA1050" s="94">
        <v>0.0</v>
      </c>
      <c r="AB1050" s="94">
        <v>0.0</v>
      </c>
      <c r="AC1050" s="85">
        <v>3.0</v>
      </c>
      <c r="AD1050" s="94">
        <v>0.0</v>
      </c>
      <c r="AE1050" s="94">
        <v>0.0</v>
      </c>
      <c r="AF1050" s="94">
        <v>0.0</v>
      </c>
      <c r="AG1050" s="94">
        <v>0.0</v>
      </c>
      <c r="AH1050" s="94">
        <v>0.0</v>
      </c>
    </row>
    <row r="1051" hidden="1">
      <c r="A1051" s="109" t="s">
        <v>28</v>
      </c>
      <c r="B1051" s="93" t="s">
        <v>181</v>
      </c>
      <c r="C1051" s="85">
        <v>1.0</v>
      </c>
      <c r="D1051" s="85">
        <v>0.0</v>
      </c>
      <c r="E1051" s="86">
        <v>41.0</v>
      </c>
      <c r="F1051" s="85">
        <v>1.0</v>
      </c>
      <c r="G1051" s="85">
        <v>185.0</v>
      </c>
      <c r="H1051" s="85">
        <v>2.0</v>
      </c>
      <c r="I1051" s="85">
        <v>192.0</v>
      </c>
      <c r="J1051" s="95">
        <f t="shared" si="794"/>
        <v>-7</v>
      </c>
      <c r="K1051" s="87">
        <f t="shared" si="795"/>
        <v>0.9635416667</v>
      </c>
      <c r="L1051" s="85">
        <v>18.0</v>
      </c>
      <c r="M1051" s="85">
        <v>262.0</v>
      </c>
      <c r="N1051" s="85">
        <v>1.0</v>
      </c>
      <c r="O1051" s="110">
        <f t="shared" si="796"/>
        <v>41</v>
      </c>
      <c r="P1051" s="85">
        <v>6.0</v>
      </c>
      <c r="Q1051" s="85">
        <v>2.0</v>
      </c>
      <c r="R1051" s="85">
        <v>33.0</v>
      </c>
      <c r="S1051" s="85">
        <v>4.0</v>
      </c>
      <c r="T1051" s="85">
        <v>28.0</v>
      </c>
      <c r="U1051" s="85">
        <v>6.0</v>
      </c>
      <c r="V1051" s="85">
        <v>1.0</v>
      </c>
      <c r="W1051" s="94">
        <v>0.0</v>
      </c>
      <c r="X1051" s="94">
        <v>0.0</v>
      </c>
      <c r="Y1051" s="94">
        <v>0.0</v>
      </c>
      <c r="Z1051" s="94">
        <v>0.0</v>
      </c>
      <c r="AA1051" s="94">
        <v>0.0</v>
      </c>
      <c r="AB1051" s="94">
        <v>0.0</v>
      </c>
      <c r="AC1051" s="85">
        <v>4.0</v>
      </c>
      <c r="AD1051" s="94">
        <v>0.0</v>
      </c>
      <c r="AE1051" s="94">
        <v>0.0</v>
      </c>
      <c r="AF1051" s="94">
        <v>0.0</v>
      </c>
      <c r="AG1051" s="94">
        <v>0.0</v>
      </c>
      <c r="AH1051" s="94">
        <v>0.0</v>
      </c>
    </row>
    <row r="1052" hidden="1">
      <c r="A1052" s="109" t="s">
        <v>28</v>
      </c>
      <c r="B1052" s="93" t="s">
        <v>182</v>
      </c>
      <c r="C1052" s="85">
        <v>1.0</v>
      </c>
      <c r="D1052" s="85">
        <v>0.0</v>
      </c>
      <c r="E1052" s="86">
        <v>41.0</v>
      </c>
      <c r="F1052" s="85">
        <v>3.0</v>
      </c>
      <c r="G1052" s="85">
        <v>115.0</v>
      </c>
      <c r="H1052" s="94">
        <v>0.0</v>
      </c>
      <c r="I1052" s="85">
        <v>120.0</v>
      </c>
      <c r="J1052" s="95">
        <f t="shared" si="794"/>
        <v>-5</v>
      </c>
      <c r="K1052" s="87">
        <f t="shared" si="795"/>
        <v>0.9583333333</v>
      </c>
      <c r="L1052" s="85">
        <v>31.0</v>
      </c>
      <c r="M1052" s="85">
        <v>161.0</v>
      </c>
      <c r="N1052" s="85">
        <v>1.0</v>
      </c>
      <c r="O1052" s="110">
        <f t="shared" si="796"/>
        <v>41</v>
      </c>
      <c r="P1052" s="85">
        <v>6.0</v>
      </c>
      <c r="Q1052" s="85">
        <v>2.0</v>
      </c>
      <c r="R1052" s="85">
        <v>13.0</v>
      </c>
      <c r="S1052" s="85">
        <v>6.0</v>
      </c>
      <c r="T1052" s="85">
        <v>15.0</v>
      </c>
      <c r="U1052" s="85">
        <v>1.0</v>
      </c>
      <c r="V1052" s="85">
        <v>1.0</v>
      </c>
      <c r="W1052" s="94">
        <v>0.0</v>
      </c>
      <c r="X1052" s="94">
        <v>0.0</v>
      </c>
      <c r="Y1052" s="94">
        <v>0.0</v>
      </c>
      <c r="Z1052" s="94">
        <v>0.0</v>
      </c>
      <c r="AA1052" s="94">
        <v>0.0</v>
      </c>
      <c r="AB1052" s="94">
        <v>0.0</v>
      </c>
      <c r="AC1052" s="85">
        <v>2.0</v>
      </c>
      <c r="AD1052" s="94">
        <v>0.0</v>
      </c>
      <c r="AE1052" s="94">
        <v>0.0</v>
      </c>
      <c r="AF1052" s="94">
        <v>0.0</v>
      </c>
      <c r="AG1052" s="94">
        <v>0.0</v>
      </c>
      <c r="AH1052" s="94">
        <v>0.0</v>
      </c>
    </row>
    <row r="1053" hidden="1">
      <c r="A1053" s="109" t="s">
        <v>28</v>
      </c>
      <c r="B1053" s="93" t="s">
        <v>183</v>
      </c>
      <c r="C1053" s="94">
        <v>0.0</v>
      </c>
      <c r="D1053" s="94">
        <v>0.0</v>
      </c>
      <c r="E1053" s="96">
        <f t="shared" ref="E1053:E1054" si="797">SUM(L1053*I1053)/60</f>
        <v>0</v>
      </c>
      <c r="F1053" s="94">
        <v>0.0</v>
      </c>
      <c r="G1053" s="94">
        <v>0.0</v>
      </c>
      <c r="H1053" s="94">
        <v>0.0</v>
      </c>
      <c r="I1053" s="94">
        <v>0.0</v>
      </c>
      <c r="J1053" s="95">
        <f t="shared" si="794"/>
        <v>0</v>
      </c>
      <c r="K1053" s="87" t="str">
        <f t="shared" si="795"/>
        <v>#DIV/0!</v>
      </c>
      <c r="L1053" s="94">
        <v>0.0</v>
      </c>
      <c r="M1053" s="94">
        <v>0.0</v>
      </c>
      <c r="N1053" s="85">
        <v>0.0</v>
      </c>
      <c r="O1053" s="110">
        <f t="shared" si="796"/>
        <v>0</v>
      </c>
      <c r="P1053" s="94">
        <v>0.0</v>
      </c>
      <c r="Q1053" s="94">
        <v>0.0</v>
      </c>
      <c r="R1053" s="94">
        <v>0.0</v>
      </c>
      <c r="S1053" s="94">
        <v>0.0</v>
      </c>
      <c r="T1053" s="94">
        <v>0.0</v>
      </c>
      <c r="U1053" s="94">
        <v>0.0</v>
      </c>
      <c r="V1053" s="94">
        <v>0.0</v>
      </c>
      <c r="W1053" s="94">
        <v>0.0</v>
      </c>
      <c r="X1053" s="94">
        <v>0.0</v>
      </c>
      <c r="Y1053" s="94">
        <v>0.0</v>
      </c>
      <c r="Z1053" s="94">
        <v>0.0</v>
      </c>
      <c r="AA1053" s="94">
        <v>0.0</v>
      </c>
      <c r="AB1053" s="94">
        <v>0.0</v>
      </c>
      <c r="AC1053" s="94">
        <v>0.0</v>
      </c>
      <c r="AD1053" s="94">
        <v>0.0</v>
      </c>
      <c r="AE1053" s="94">
        <v>0.0</v>
      </c>
      <c r="AF1053" s="94">
        <v>0.0</v>
      </c>
      <c r="AG1053" s="94">
        <v>0.0</v>
      </c>
      <c r="AH1053" s="94">
        <v>0.0</v>
      </c>
    </row>
    <row r="1054" hidden="1">
      <c r="A1054" s="109" t="s">
        <v>28</v>
      </c>
      <c r="B1054" s="93" t="s">
        <v>184</v>
      </c>
      <c r="C1054" s="94">
        <v>0.0</v>
      </c>
      <c r="D1054" s="94">
        <v>0.0</v>
      </c>
      <c r="E1054" s="96">
        <f t="shared" si="797"/>
        <v>0</v>
      </c>
      <c r="F1054" s="94">
        <v>0.0</v>
      </c>
      <c r="G1054" s="94">
        <v>0.0</v>
      </c>
      <c r="H1054" s="94">
        <v>0.0</v>
      </c>
      <c r="I1054" s="94">
        <v>0.0</v>
      </c>
      <c r="J1054" s="95">
        <f t="shared" si="794"/>
        <v>0</v>
      </c>
      <c r="K1054" s="87" t="str">
        <f t="shared" si="795"/>
        <v>#DIV/0!</v>
      </c>
      <c r="L1054" s="94">
        <v>0.0</v>
      </c>
      <c r="M1054" s="94">
        <v>0.0</v>
      </c>
      <c r="N1054" s="85">
        <v>0.0</v>
      </c>
      <c r="O1054" s="110">
        <f t="shared" si="796"/>
        <v>0</v>
      </c>
      <c r="P1054" s="94">
        <v>0.0</v>
      </c>
      <c r="Q1054" s="94">
        <v>0.0</v>
      </c>
      <c r="R1054" s="94">
        <v>0.0</v>
      </c>
      <c r="S1054" s="94">
        <v>0.0</v>
      </c>
      <c r="T1054" s="94">
        <v>0.0</v>
      </c>
      <c r="U1054" s="94">
        <v>0.0</v>
      </c>
      <c r="V1054" s="94">
        <v>0.0</v>
      </c>
      <c r="W1054" s="94">
        <v>0.0</v>
      </c>
      <c r="X1054" s="94">
        <v>0.0</v>
      </c>
      <c r="Y1054" s="94">
        <v>0.0</v>
      </c>
      <c r="Z1054" s="94">
        <v>0.0</v>
      </c>
      <c r="AA1054" s="94">
        <v>0.0</v>
      </c>
      <c r="AB1054" s="94">
        <v>0.0</v>
      </c>
      <c r="AC1054" s="94">
        <v>0.0</v>
      </c>
      <c r="AD1054" s="94">
        <v>0.0</v>
      </c>
      <c r="AE1054" s="94">
        <v>0.0</v>
      </c>
      <c r="AF1054" s="94">
        <v>0.0</v>
      </c>
      <c r="AG1054" s="94">
        <v>0.0</v>
      </c>
      <c r="AH1054" s="94">
        <v>0.0</v>
      </c>
    </row>
    <row r="1055" hidden="1">
      <c r="A1055" s="89"/>
      <c r="B1055" s="111"/>
      <c r="C1055" s="111">
        <f t="shared" ref="C1055:D1055" si="798">SUM(C1049:C1054)/4</f>
        <v>1</v>
      </c>
      <c r="D1055" s="111">
        <f t="shared" si="798"/>
        <v>0</v>
      </c>
      <c r="E1055" s="91">
        <f t="shared" ref="E1055:G1055" si="799">SUM(E1049:E1054)</f>
        <v>164</v>
      </c>
      <c r="F1055" s="111">
        <f t="shared" si="799"/>
        <v>4</v>
      </c>
      <c r="G1055" s="111">
        <f t="shared" si="799"/>
        <v>630</v>
      </c>
      <c r="H1055" s="111"/>
      <c r="I1055" s="111">
        <f>SUM(I1049:I1054)</f>
        <v>671</v>
      </c>
      <c r="J1055" s="111">
        <f t="shared" si="794"/>
        <v>-41</v>
      </c>
      <c r="K1055" s="92">
        <f t="shared" si="795"/>
        <v>0.9388971684</v>
      </c>
      <c r="L1055" s="111">
        <f t="shared" ref="L1055:M1055" si="800">SUM(L1049:L1054)</f>
        <v>89</v>
      </c>
      <c r="M1055" s="111">
        <f t="shared" si="800"/>
        <v>861</v>
      </c>
      <c r="N1055" s="111"/>
      <c r="O1055" s="112"/>
      <c r="P1055" s="111">
        <f t="shared" ref="P1055:AH1055" si="801">SUM(P1049:P1054)</f>
        <v>24</v>
      </c>
      <c r="Q1055" s="111">
        <f t="shared" si="801"/>
        <v>7</v>
      </c>
      <c r="R1055" s="111">
        <f t="shared" si="801"/>
        <v>86</v>
      </c>
      <c r="S1055" s="111">
        <f t="shared" si="801"/>
        <v>16</v>
      </c>
      <c r="T1055" s="111">
        <f t="shared" si="801"/>
        <v>89</v>
      </c>
      <c r="U1055" s="111">
        <f t="shared" si="801"/>
        <v>15</v>
      </c>
      <c r="V1055" s="111">
        <f t="shared" si="801"/>
        <v>4</v>
      </c>
      <c r="W1055" s="111">
        <f t="shared" si="801"/>
        <v>1</v>
      </c>
      <c r="X1055" s="111">
        <f t="shared" si="801"/>
        <v>0</v>
      </c>
      <c r="Y1055" s="111">
        <f t="shared" si="801"/>
        <v>0</v>
      </c>
      <c r="Z1055" s="111">
        <f t="shared" si="801"/>
        <v>0</v>
      </c>
      <c r="AA1055" s="111">
        <f t="shared" si="801"/>
        <v>0</v>
      </c>
      <c r="AB1055" s="111">
        <f t="shared" si="801"/>
        <v>0</v>
      </c>
      <c r="AC1055" s="111">
        <f t="shared" si="801"/>
        <v>11</v>
      </c>
      <c r="AD1055" s="111">
        <f t="shared" si="801"/>
        <v>0</v>
      </c>
      <c r="AE1055" s="111">
        <f t="shared" si="801"/>
        <v>0</v>
      </c>
      <c r="AF1055" s="111">
        <f t="shared" si="801"/>
        <v>0</v>
      </c>
      <c r="AG1055" s="111">
        <f t="shared" si="801"/>
        <v>0</v>
      </c>
      <c r="AH1055" s="111">
        <f t="shared" si="801"/>
        <v>0</v>
      </c>
    </row>
    <row r="1056" hidden="1">
      <c r="A1056" s="109" t="s">
        <v>53</v>
      </c>
      <c r="B1056" s="93" t="s">
        <v>192</v>
      </c>
      <c r="C1056" s="85">
        <v>1.0</v>
      </c>
      <c r="D1056" s="85">
        <v>1.0</v>
      </c>
      <c r="E1056" s="86">
        <v>41.0</v>
      </c>
      <c r="F1056" s="85">
        <v>2.0</v>
      </c>
      <c r="G1056" s="85">
        <v>97.0</v>
      </c>
      <c r="H1056" s="94">
        <v>0.0</v>
      </c>
      <c r="I1056" s="85">
        <v>143.0</v>
      </c>
      <c r="J1056" s="95">
        <f t="shared" si="794"/>
        <v>-46</v>
      </c>
      <c r="K1056" s="87">
        <f t="shared" si="795"/>
        <v>0.6783216783</v>
      </c>
      <c r="L1056" s="85">
        <v>24.0</v>
      </c>
      <c r="M1056" s="85">
        <v>122.0</v>
      </c>
      <c r="N1056" s="85">
        <v>1.0</v>
      </c>
      <c r="O1056" s="110">
        <f t="shared" ref="O1056:O1061" si="802">(E1056*N1056)</f>
        <v>41</v>
      </c>
      <c r="P1056" s="85">
        <v>8.0</v>
      </c>
      <c r="Q1056" s="85">
        <v>1.0</v>
      </c>
      <c r="R1056" s="85">
        <v>5.0</v>
      </c>
      <c r="S1056" s="85">
        <v>4.0</v>
      </c>
      <c r="T1056" s="85">
        <v>9.0</v>
      </c>
      <c r="U1056" s="85">
        <v>2.0</v>
      </c>
      <c r="V1056" s="94">
        <v>0.0</v>
      </c>
      <c r="W1056" s="94">
        <v>0.0</v>
      </c>
      <c r="X1056" s="94">
        <v>0.0</v>
      </c>
      <c r="Y1056" s="94">
        <v>0.0</v>
      </c>
      <c r="Z1056" s="94">
        <v>0.0</v>
      </c>
      <c r="AA1056" s="94">
        <v>0.0</v>
      </c>
      <c r="AB1056" s="94">
        <v>0.0</v>
      </c>
      <c r="AC1056" s="85">
        <v>1.0</v>
      </c>
      <c r="AD1056" s="94">
        <v>0.0</v>
      </c>
      <c r="AE1056" s="94">
        <v>0.0</v>
      </c>
      <c r="AF1056" s="94">
        <v>0.0</v>
      </c>
      <c r="AG1056" s="94">
        <v>0.0</v>
      </c>
      <c r="AH1056" s="94">
        <v>0.0</v>
      </c>
    </row>
    <row r="1057" hidden="1">
      <c r="A1057" s="109" t="s">
        <v>53</v>
      </c>
      <c r="B1057" s="93" t="s">
        <v>193</v>
      </c>
      <c r="C1057" s="85">
        <v>1.0</v>
      </c>
      <c r="D1057" s="85">
        <v>1.0</v>
      </c>
      <c r="E1057" s="86">
        <v>41.0</v>
      </c>
      <c r="F1057" s="85">
        <v>2.0</v>
      </c>
      <c r="G1057" s="85">
        <v>197.0</v>
      </c>
      <c r="H1057" s="85">
        <v>3.0</v>
      </c>
      <c r="I1057" s="85">
        <v>193.0</v>
      </c>
      <c r="J1057" s="95">
        <f t="shared" si="794"/>
        <v>4</v>
      </c>
      <c r="K1057" s="87">
        <f t="shared" si="795"/>
        <v>1.020725389</v>
      </c>
      <c r="L1057" s="85">
        <v>18.0</v>
      </c>
      <c r="M1057" s="85">
        <v>249.0</v>
      </c>
      <c r="N1057" s="85">
        <v>1.0</v>
      </c>
      <c r="O1057" s="110">
        <f t="shared" si="802"/>
        <v>41</v>
      </c>
      <c r="P1057" s="85">
        <v>8.0</v>
      </c>
      <c r="Q1057" s="85">
        <v>1.0</v>
      </c>
      <c r="R1057" s="85">
        <v>6.0</v>
      </c>
      <c r="S1057" s="85">
        <v>2.0</v>
      </c>
      <c r="T1057" s="85">
        <v>27.0</v>
      </c>
      <c r="U1057" s="85">
        <v>6.0</v>
      </c>
      <c r="V1057" s="85">
        <v>2.0</v>
      </c>
      <c r="W1057" s="94">
        <v>0.0</v>
      </c>
      <c r="X1057" s="94">
        <v>0.0</v>
      </c>
      <c r="Y1057" s="94">
        <v>0.0</v>
      </c>
      <c r="Z1057" s="94">
        <v>0.0</v>
      </c>
      <c r="AA1057" s="94">
        <v>0.0</v>
      </c>
      <c r="AB1057" s="94">
        <v>0.0</v>
      </c>
      <c r="AC1057" s="85">
        <v>7.0</v>
      </c>
      <c r="AD1057" s="94">
        <v>0.0</v>
      </c>
      <c r="AE1057" s="94">
        <v>0.0</v>
      </c>
      <c r="AF1057" s="94">
        <v>0.0</v>
      </c>
      <c r="AG1057" s="94">
        <v>0.0</v>
      </c>
      <c r="AH1057" s="94">
        <v>0.0</v>
      </c>
    </row>
    <row r="1058" hidden="1">
      <c r="A1058" s="109" t="s">
        <v>53</v>
      </c>
      <c r="B1058" s="93" t="s">
        <v>194</v>
      </c>
      <c r="C1058" s="85">
        <v>1.0</v>
      </c>
      <c r="D1058" s="85">
        <v>1.0</v>
      </c>
      <c r="E1058" s="86">
        <v>41.0</v>
      </c>
      <c r="F1058" s="85">
        <v>1.0</v>
      </c>
      <c r="G1058" s="85">
        <v>189.0</v>
      </c>
      <c r="H1058" s="85">
        <v>2.0</v>
      </c>
      <c r="I1058" s="85">
        <v>134.0</v>
      </c>
      <c r="J1058" s="95">
        <f t="shared" si="794"/>
        <v>55</v>
      </c>
      <c r="K1058" s="87">
        <f t="shared" si="795"/>
        <v>1.410447761</v>
      </c>
      <c r="L1058" s="85">
        <v>25.0</v>
      </c>
      <c r="M1058" s="85">
        <v>232.0</v>
      </c>
      <c r="N1058" s="85">
        <v>1.0</v>
      </c>
      <c r="O1058" s="110">
        <f t="shared" si="802"/>
        <v>41</v>
      </c>
      <c r="P1058" s="85">
        <v>9.0</v>
      </c>
      <c r="Q1058" s="85">
        <v>4.0</v>
      </c>
      <c r="R1058" s="85">
        <v>6.0</v>
      </c>
      <c r="S1058" s="94">
        <v>0.0</v>
      </c>
      <c r="T1058" s="85">
        <v>31.0</v>
      </c>
      <c r="U1058" s="85">
        <v>5.0</v>
      </c>
      <c r="V1058" s="94">
        <v>0.0</v>
      </c>
      <c r="W1058" s="94">
        <v>0.0</v>
      </c>
      <c r="X1058" s="94">
        <v>0.0</v>
      </c>
      <c r="Y1058" s="94">
        <v>0.0</v>
      </c>
      <c r="Z1058" s="94">
        <v>0.0</v>
      </c>
      <c r="AA1058" s="94">
        <v>0.0</v>
      </c>
      <c r="AB1058" s="94">
        <v>0.0</v>
      </c>
      <c r="AC1058" s="85">
        <v>8.0</v>
      </c>
      <c r="AD1058" s="94">
        <v>0.0</v>
      </c>
      <c r="AE1058" s="94">
        <v>0.0</v>
      </c>
      <c r="AF1058" s="94">
        <v>0.0</v>
      </c>
      <c r="AG1058" s="94">
        <v>0.0</v>
      </c>
      <c r="AH1058" s="94">
        <v>0.0</v>
      </c>
    </row>
    <row r="1059" hidden="1">
      <c r="A1059" s="109" t="s">
        <v>53</v>
      </c>
      <c r="B1059" s="93" t="s">
        <v>195</v>
      </c>
      <c r="C1059" s="85">
        <v>1.0</v>
      </c>
      <c r="D1059" s="85">
        <v>1.0</v>
      </c>
      <c r="E1059" s="86">
        <v>41.0</v>
      </c>
      <c r="F1059" s="94">
        <v>0.0</v>
      </c>
      <c r="G1059" s="85">
        <v>166.0</v>
      </c>
      <c r="H1059" s="94">
        <v>0.0</v>
      </c>
      <c r="I1059" s="85">
        <v>176.0</v>
      </c>
      <c r="J1059" s="95">
        <f t="shared" si="794"/>
        <v>-10</v>
      </c>
      <c r="K1059" s="87">
        <f t="shared" si="795"/>
        <v>0.9431818182</v>
      </c>
      <c r="L1059" s="85">
        <v>17.0</v>
      </c>
      <c r="M1059" s="85">
        <v>199.0</v>
      </c>
      <c r="N1059" s="85">
        <v>1.0</v>
      </c>
      <c r="O1059" s="110">
        <f t="shared" si="802"/>
        <v>41</v>
      </c>
      <c r="P1059" s="85">
        <v>7.0</v>
      </c>
      <c r="Q1059" s="85">
        <v>8.0</v>
      </c>
      <c r="R1059" s="85">
        <v>3.0</v>
      </c>
      <c r="S1059" s="85">
        <v>5.0</v>
      </c>
      <c r="T1059" s="85">
        <v>20.0</v>
      </c>
      <c r="U1059" s="85">
        <v>3.0</v>
      </c>
      <c r="V1059" s="94">
        <v>0.0</v>
      </c>
      <c r="W1059" s="94">
        <v>0.0</v>
      </c>
      <c r="X1059" s="94">
        <v>0.0</v>
      </c>
      <c r="Y1059" s="94">
        <v>0.0</v>
      </c>
      <c r="Z1059" s="94">
        <v>0.0</v>
      </c>
      <c r="AA1059" s="94">
        <v>0.0</v>
      </c>
      <c r="AB1059" s="94">
        <v>0.0</v>
      </c>
      <c r="AC1059" s="94">
        <v>0.0</v>
      </c>
      <c r="AD1059" s="94">
        <v>0.0</v>
      </c>
      <c r="AE1059" s="94">
        <v>0.0</v>
      </c>
      <c r="AF1059" s="94">
        <v>0.0</v>
      </c>
      <c r="AG1059" s="94">
        <v>0.0</v>
      </c>
      <c r="AH1059" s="94">
        <v>0.0</v>
      </c>
    </row>
    <row r="1060" hidden="1">
      <c r="A1060" s="109" t="s">
        <v>53</v>
      </c>
      <c r="B1060" s="93" t="s">
        <v>196</v>
      </c>
      <c r="C1060" s="94">
        <v>0.0</v>
      </c>
      <c r="D1060" s="94">
        <v>0.0</v>
      </c>
      <c r="E1060" s="96">
        <f t="shared" ref="E1060:E1061" si="803">SUM(L1060*I1060)/60</f>
        <v>0</v>
      </c>
      <c r="F1060" s="94">
        <v>0.0</v>
      </c>
      <c r="G1060" s="94">
        <v>0.0</v>
      </c>
      <c r="H1060" s="94">
        <v>0.0</v>
      </c>
      <c r="I1060" s="94">
        <v>0.0</v>
      </c>
      <c r="J1060" s="95">
        <f t="shared" si="794"/>
        <v>0</v>
      </c>
      <c r="K1060" s="87" t="str">
        <f t="shared" si="795"/>
        <v>#DIV/0!</v>
      </c>
      <c r="L1060" s="94">
        <v>0.0</v>
      </c>
      <c r="M1060" s="94">
        <v>0.0</v>
      </c>
      <c r="N1060" s="85">
        <v>0.0</v>
      </c>
      <c r="O1060" s="110">
        <f t="shared" si="802"/>
        <v>0</v>
      </c>
      <c r="P1060" s="94">
        <v>0.0</v>
      </c>
      <c r="Q1060" s="94">
        <v>0.0</v>
      </c>
      <c r="R1060" s="94">
        <v>0.0</v>
      </c>
      <c r="S1060" s="94">
        <v>0.0</v>
      </c>
      <c r="T1060" s="94">
        <v>0.0</v>
      </c>
      <c r="U1060" s="94">
        <v>0.0</v>
      </c>
      <c r="V1060" s="94">
        <v>0.0</v>
      </c>
      <c r="W1060" s="94">
        <v>0.0</v>
      </c>
      <c r="X1060" s="94">
        <v>0.0</v>
      </c>
      <c r="Y1060" s="94">
        <v>0.0</v>
      </c>
      <c r="Z1060" s="94">
        <v>0.0</v>
      </c>
      <c r="AA1060" s="94">
        <v>0.0</v>
      </c>
      <c r="AB1060" s="94">
        <v>0.0</v>
      </c>
      <c r="AC1060" s="94">
        <v>0.0</v>
      </c>
      <c r="AD1060" s="94">
        <v>0.0</v>
      </c>
      <c r="AE1060" s="94">
        <v>0.0</v>
      </c>
      <c r="AF1060" s="94">
        <v>0.0</v>
      </c>
      <c r="AG1060" s="94">
        <v>0.0</v>
      </c>
      <c r="AH1060" s="94">
        <v>0.0</v>
      </c>
    </row>
    <row r="1061" hidden="1">
      <c r="A1061" s="109" t="s">
        <v>53</v>
      </c>
      <c r="B1061" s="116"/>
      <c r="C1061" s="94">
        <v>0.0</v>
      </c>
      <c r="D1061" s="94">
        <v>0.0</v>
      </c>
      <c r="E1061" s="96">
        <f t="shared" si="803"/>
        <v>0</v>
      </c>
      <c r="F1061" s="94">
        <v>0.0</v>
      </c>
      <c r="G1061" s="94">
        <v>0.0</v>
      </c>
      <c r="H1061" s="94">
        <v>0.0</v>
      </c>
      <c r="I1061" s="94">
        <v>0.0</v>
      </c>
      <c r="J1061" s="95">
        <f t="shared" si="794"/>
        <v>0</v>
      </c>
      <c r="K1061" s="87" t="str">
        <f t="shared" si="795"/>
        <v>#DIV/0!</v>
      </c>
      <c r="L1061" s="94">
        <v>0.0</v>
      </c>
      <c r="M1061" s="94">
        <v>0.0</v>
      </c>
      <c r="N1061" s="85">
        <v>0.0</v>
      </c>
      <c r="O1061" s="110">
        <f t="shared" si="802"/>
        <v>0</v>
      </c>
      <c r="P1061" s="94">
        <v>0.0</v>
      </c>
      <c r="Q1061" s="94">
        <v>0.0</v>
      </c>
      <c r="R1061" s="94">
        <v>0.0</v>
      </c>
      <c r="S1061" s="94">
        <v>0.0</v>
      </c>
      <c r="T1061" s="94">
        <v>0.0</v>
      </c>
      <c r="U1061" s="94">
        <v>0.0</v>
      </c>
      <c r="V1061" s="94">
        <v>0.0</v>
      </c>
      <c r="W1061" s="94">
        <v>0.0</v>
      </c>
      <c r="X1061" s="94">
        <v>0.0</v>
      </c>
      <c r="Y1061" s="94">
        <v>0.0</v>
      </c>
      <c r="Z1061" s="94">
        <v>0.0</v>
      </c>
      <c r="AA1061" s="94">
        <v>0.0</v>
      </c>
      <c r="AB1061" s="94">
        <v>0.0</v>
      </c>
      <c r="AC1061" s="94">
        <v>0.0</v>
      </c>
      <c r="AD1061" s="94">
        <v>0.0</v>
      </c>
      <c r="AE1061" s="94">
        <v>0.0</v>
      </c>
      <c r="AF1061" s="94">
        <v>0.0</v>
      </c>
      <c r="AG1061" s="94">
        <v>0.0</v>
      </c>
      <c r="AH1061" s="94">
        <v>0.0</v>
      </c>
    </row>
    <row r="1062" hidden="1">
      <c r="A1062" s="89" t="s">
        <v>185</v>
      </c>
      <c r="B1062" s="111"/>
      <c r="C1062" s="111">
        <f>SUM(C1056:C1061)</f>
        <v>4</v>
      </c>
      <c r="D1062" s="111">
        <f t="shared" ref="D1062:E1062" si="804">SUM(D1056:D1061)/4</f>
        <v>1</v>
      </c>
      <c r="E1062" s="91">
        <f t="shared" si="804"/>
        <v>41</v>
      </c>
      <c r="F1062" s="111">
        <f t="shared" ref="F1062:G1062" si="805">SUM(F1056:F1061)</f>
        <v>5</v>
      </c>
      <c r="G1062" s="111">
        <f t="shared" si="805"/>
        <v>649</v>
      </c>
      <c r="H1062" s="111"/>
      <c r="I1062" s="111">
        <f>SUM(I1056:I1061)</f>
        <v>646</v>
      </c>
      <c r="J1062" s="111">
        <f t="shared" si="794"/>
        <v>3</v>
      </c>
      <c r="K1062" s="92">
        <f t="shared" si="795"/>
        <v>1.004643963</v>
      </c>
      <c r="L1062" s="111">
        <f t="shared" ref="L1062:M1062" si="806">SUM(L1056:L1061)</f>
        <v>84</v>
      </c>
      <c r="M1062" s="111">
        <f t="shared" si="806"/>
        <v>802</v>
      </c>
      <c r="N1062" s="111"/>
      <c r="O1062" s="112"/>
      <c r="P1062" s="111">
        <f t="shared" ref="P1062:AH1062" si="807">SUM(P1056:P1061)</f>
        <v>32</v>
      </c>
      <c r="Q1062" s="111">
        <f t="shared" si="807"/>
        <v>14</v>
      </c>
      <c r="R1062" s="111">
        <f t="shared" si="807"/>
        <v>20</v>
      </c>
      <c r="S1062" s="111">
        <f t="shared" si="807"/>
        <v>11</v>
      </c>
      <c r="T1062" s="111">
        <f t="shared" si="807"/>
        <v>87</v>
      </c>
      <c r="U1062" s="111">
        <f t="shared" si="807"/>
        <v>16</v>
      </c>
      <c r="V1062" s="111">
        <f t="shared" si="807"/>
        <v>2</v>
      </c>
      <c r="W1062" s="111">
        <f t="shared" si="807"/>
        <v>0</v>
      </c>
      <c r="X1062" s="111">
        <f t="shared" si="807"/>
        <v>0</v>
      </c>
      <c r="Y1062" s="111">
        <f t="shared" si="807"/>
        <v>0</v>
      </c>
      <c r="Z1062" s="111">
        <f t="shared" si="807"/>
        <v>0</v>
      </c>
      <c r="AA1062" s="111">
        <f t="shared" si="807"/>
        <v>0</v>
      </c>
      <c r="AB1062" s="111">
        <f t="shared" si="807"/>
        <v>0</v>
      </c>
      <c r="AC1062" s="111">
        <f t="shared" si="807"/>
        <v>16</v>
      </c>
      <c r="AD1062" s="111">
        <f t="shared" si="807"/>
        <v>0</v>
      </c>
      <c r="AE1062" s="111">
        <f t="shared" si="807"/>
        <v>0</v>
      </c>
      <c r="AF1062" s="111">
        <f t="shared" si="807"/>
        <v>0</v>
      </c>
      <c r="AG1062" s="111">
        <f t="shared" si="807"/>
        <v>0</v>
      </c>
      <c r="AH1062" s="111">
        <f t="shared" si="807"/>
        <v>0</v>
      </c>
    </row>
    <row r="1063">
      <c r="A1063" s="104" t="s">
        <v>315</v>
      </c>
    </row>
    <row r="1065" hidden="1">
      <c r="A1065" s="105"/>
      <c r="F1065" s="106" t="s">
        <v>251</v>
      </c>
      <c r="L1065" s="107" t="s">
        <v>252</v>
      </c>
      <c r="N1065" s="108" t="s">
        <v>253</v>
      </c>
    </row>
    <row r="1066" hidden="1">
      <c r="A1066" s="76" t="s">
        <v>148</v>
      </c>
      <c r="B1066" s="76" t="s">
        <v>149</v>
      </c>
      <c r="C1066" s="76" t="s">
        <v>150</v>
      </c>
      <c r="D1066" s="76" t="s">
        <v>13</v>
      </c>
      <c r="E1066" s="77" t="s">
        <v>151</v>
      </c>
      <c r="F1066" s="78" t="s">
        <v>15</v>
      </c>
      <c r="G1066" s="78" t="s">
        <v>152</v>
      </c>
      <c r="H1066" s="78" t="s">
        <v>153</v>
      </c>
      <c r="I1066" s="78" t="s">
        <v>154</v>
      </c>
      <c r="J1066" s="78" t="s">
        <v>155</v>
      </c>
      <c r="K1066" s="79" t="s">
        <v>156</v>
      </c>
      <c r="L1066" s="80" t="s">
        <v>157</v>
      </c>
      <c r="M1066" s="80" t="s">
        <v>158</v>
      </c>
      <c r="N1066" s="81" t="s">
        <v>254</v>
      </c>
      <c r="O1066" s="81" t="s">
        <v>151</v>
      </c>
      <c r="P1066" s="81" t="s">
        <v>160</v>
      </c>
      <c r="Q1066" s="81" t="s">
        <v>161</v>
      </c>
      <c r="R1066" s="81" t="s">
        <v>162</v>
      </c>
      <c r="S1066" s="81" t="s">
        <v>163</v>
      </c>
      <c r="T1066" s="81" t="s">
        <v>164</v>
      </c>
      <c r="U1066" s="81" t="s">
        <v>165</v>
      </c>
      <c r="V1066" s="81" t="s">
        <v>166</v>
      </c>
      <c r="W1066" s="81" t="s">
        <v>167</v>
      </c>
      <c r="X1066" s="81" t="s">
        <v>168</v>
      </c>
      <c r="Y1066" s="81" t="s">
        <v>169</v>
      </c>
      <c r="Z1066" s="81" t="s">
        <v>170</v>
      </c>
      <c r="AA1066" s="81" t="s">
        <v>171</v>
      </c>
      <c r="AB1066" s="81" t="s">
        <v>172</v>
      </c>
      <c r="AC1066" s="81" t="s">
        <v>173</v>
      </c>
      <c r="AD1066" s="81" t="s">
        <v>174</v>
      </c>
      <c r="AE1066" s="81" t="s">
        <v>175</v>
      </c>
      <c r="AF1066" s="81" t="s">
        <v>176</v>
      </c>
      <c r="AG1066" s="81" t="s">
        <v>177</v>
      </c>
      <c r="AH1066" s="81" t="s">
        <v>178</v>
      </c>
    </row>
    <row r="1067" hidden="1">
      <c r="A1067" s="109" t="s">
        <v>40</v>
      </c>
      <c r="B1067" s="93" t="s">
        <v>216</v>
      </c>
      <c r="C1067" s="85">
        <v>1.0</v>
      </c>
      <c r="D1067" s="85">
        <v>1.0</v>
      </c>
      <c r="E1067" s="86">
        <v>17.0</v>
      </c>
      <c r="F1067" s="85">
        <v>4.0</v>
      </c>
      <c r="G1067" s="85">
        <v>40.0</v>
      </c>
      <c r="H1067" s="94">
        <v>0.0</v>
      </c>
      <c r="I1067" s="85">
        <v>38.0</v>
      </c>
      <c r="J1067" s="95">
        <f t="shared" ref="J1067:J1080" si="808">SUM(G1067-I1067)</f>
        <v>2</v>
      </c>
      <c r="K1067" s="87">
        <f t="shared" ref="K1067:K1080" si="809">SUM(G1067/I1067)</f>
        <v>1.052631579</v>
      </c>
      <c r="L1067" s="85">
        <v>23.0</v>
      </c>
      <c r="M1067" s="85">
        <v>49.0</v>
      </c>
      <c r="N1067" s="85">
        <v>1.0</v>
      </c>
      <c r="O1067" s="110">
        <f t="shared" ref="O1067:O1072" si="810">(E1067*N1067)</f>
        <v>17</v>
      </c>
      <c r="P1067" s="85">
        <v>4.0</v>
      </c>
      <c r="Q1067" s="85">
        <v>2.0</v>
      </c>
      <c r="R1067" s="85">
        <v>1.0</v>
      </c>
      <c r="S1067" s="94">
        <v>0.0</v>
      </c>
      <c r="T1067" s="85">
        <v>3.0</v>
      </c>
      <c r="U1067" s="94">
        <v>0.0</v>
      </c>
      <c r="V1067" s="94">
        <v>0.0</v>
      </c>
      <c r="W1067" s="94">
        <v>0.0</v>
      </c>
      <c r="X1067" s="94">
        <v>0.0</v>
      </c>
      <c r="Y1067" s="94">
        <v>0.0</v>
      </c>
      <c r="Z1067" s="94">
        <v>0.0</v>
      </c>
      <c r="AA1067" s="94">
        <v>0.0</v>
      </c>
      <c r="AB1067" s="94">
        <v>0.0</v>
      </c>
      <c r="AC1067" s="94">
        <v>0.0</v>
      </c>
      <c r="AD1067" s="94">
        <v>0.0</v>
      </c>
      <c r="AE1067" s="94">
        <v>0.0</v>
      </c>
      <c r="AF1067" s="94">
        <v>0.0</v>
      </c>
      <c r="AG1067" s="94">
        <v>0.0</v>
      </c>
      <c r="AH1067" s="94">
        <v>0.0</v>
      </c>
    </row>
    <row r="1068" hidden="1">
      <c r="A1068" s="109" t="s">
        <v>40</v>
      </c>
      <c r="B1068" s="93" t="s">
        <v>217</v>
      </c>
      <c r="C1068" s="85">
        <v>1.0</v>
      </c>
      <c r="D1068" s="85">
        <v>1.0</v>
      </c>
      <c r="E1068" s="86">
        <v>17.0</v>
      </c>
      <c r="F1068" s="94">
        <v>0.0</v>
      </c>
      <c r="G1068" s="85">
        <v>69.0</v>
      </c>
      <c r="H1068" s="85">
        <v>1.0</v>
      </c>
      <c r="I1068" s="85">
        <v>57.0</v>
      </c>
      <c r="J1068" s="95">
        <f t="shared" si="808"/>
        <v>12</v>
      </c>
      <c r="K1068" s="87">
        <f t="shared" si="809"/>
        <v>1.210526316</v>
      </c>
      <c r="L1068" s="85">
        <v>14.0</v>
      </c>
      <c r="M1068" s="85">
        <v>91.0</v>
      </c>
      <c r="N1068" s="85">
        <v>1.0</v>
      </c>
      <c r="O1068" s="110">
        <f t="shared" si="810"/>
        <v>17</v>
      </c>
      <c r="P1068" s="85">
        <v>5.0</v>
      </c>
      <c r="Q1068" s="85">
        <v>1.0</v>
      </c>
      <c r="R1068" s="85">
        <v>3.0</v>
      </c>
      <c r="S1068" s="85">
        <v>1.0</v>
      </c>
      <c r="T1068" s="85">
        <v>10.0</v>
      </c>
      <c r="U1068" s="85">
        <v>2.0</v>
      </c>
      <c r="V1068" s="85">
        <v>1.0</v>
      </c>
      <c r="W1068" s="94">
        <v>0.0</v>
      </c>
      <c r="X1068" s="94">
        <v>0.0</v>
      </c>
      <c r="Y1068" s="94">
        <v>0.0</v>
      </c>
      <c r="Z1068" s="94">
        <v>0.0</v>
      </c>
      <c r="AA1068" s="94">
        <v>0.0</v>
      </c>
      <c r="AB1068" s="94">
        <v>0.0</v>
      </c>
      <c r="AC1068" s="85">
        <v>2.0</v>
      </c>
      <c r="AD1068" s="94">
        <v>0.0</v>
      </c>
      <c r="AE1068" s="94">
        <v>0.0</v>
      </c>
      <c r="AF1068" s="94">
        <v>0.0</v>
      </c>
      <c r="AG1068" s="94">
        <v>0.0</v>
      </c>
      <c r="AH1068" s="94">
        <v>0.0</v>
      </c>
    </row>
    <row r="1069" hidden="1">
      <c r="A1069" s="109" t="s">
        <v>40</v>
      </c>
      <c r="B1069" s="93" t="s">
        <v>218</v>
      </c>
      <c r="C1069" s="85">
        <v>1.0</v>
      </c>
      <c r="D1069" s="85">
        <v>1.0</v>
      </c>
      <c r="E1069" s="86">
        <v>17.0</v>
      </c>
      <c r="F1069" s="94">
        <v>0.0</v>
      </c>
      <c r="G1069" s="85">
        <v>51.0</v>
      </c>
      <c r="H1069" s="94">
        <v>0.0</v>
      </c>
      <c r="I1069" s="85">
        <v>51.0</v>
      </c>
      <c r="J1069" s="95">
        <f t="shared" si="808"/>
        <v>0</v>
      </c>
      <c r="K1069" s="87">
        <f t="shared" si="809"/>
        <v>1</v>
      </c>
      <c r="L1069" s="85">
        <v>16.0</v>
      </c>
      <c r="M1069" s="85">
        <v>69.0</v>
      </c>
      <c r="N1069" s="85">
        <v>1.0</v>
      </c>
      <c r="O1069" s="110">
        <f t="shared" si="810"/>
        <v>17</v>
      </c>
      <c r="P1069" s="85">
        <v>3.0</v>
      </c>
      <c r="Q1069" s="85">
        <v>1.0</v>
      </c>
      <c r="R1069" s="85">
        <v>8.0</v>
      </c>
      <c r="S1069" s="94">
        <v>0.0</v>
      </c>
      <c r="T1069" s="85">
        <v>7.0</v>
      </c>
      <c r="U1069" s="85">
        <v>1.0</v>
      </c>
      <c r="V1069" s="94">
        <v>0.0</v>
      </c>
      <c r="W1069" s="94">
        <v>0.0</v>
      </c>
      <c r="X1069" s="94">
        <v>0.0</v>
      </c>
      <c r="Y1069" s="94">
        <v>0.0</v>
      </c>
      <c r="Z1069" s="94">
        <v>0.0</v>
      </c>
      <c r="AA1069" s="94">
        <v>0.0</v>
      </c>
      <c r="AB1069" s="94">
        <v>0.0</v>
      </c>
      <c r="AC1069" s="85">
        <v>1.0</v>
      </c>
      <c r="AD1069" s="94">
        <v>0.0</v>
      </c>
      <c r="AE1069" s="94">
        <v>0.0</v>
      </c>
      <c r="AF1069" s="94">
        <v>0.0</v>
      </c>
      <c r="AG1069" s="94">
        <v>0.0</v>
      </c>
      <c r="AH1069" s="94">
        <v>0.0</v>
      </c>
    </row>
    <row r="1070" hidden="1">
      <c r="A1070" s="109" t="s">
        <v>40</v>
      </c>
      <c r="B1070" s="93" t="s">
        <v>219</v>
      </c>
      <c r="C1070" s="94">
        <v>0.0</v>
      </c>
      <c r="D1070" s="94">
        <v>0.0</v>
      </c>
      <c r="E1070" s="96">
        <f>SUM(L1070*I1070)/60</f>
        <v>0</v>
      </c>
      <c r="F1070" s="94">
        <v>0.0</v>
      </c>
      <c r="G1070" s="94">
        <v>0.0</v>
      </c>
      <c r="H1070" s="94">
        <v>0.0</v>
      </c>
      <c r="I1070" s="94">
        <v>0.0</v>
      </c>
      <c r="J1070" s="95">
        <f t="shared" si="808"/>
        <v>0</v>
      </c>
      <c r="K1070" s="87" t="str">
        <f t="shared" si="809"/>
        <v>#DIV/0!</v>
      </c>
      <c r="L1070" s="94">
        <v>0.0</v>
      </c>
      <c r="M1070" s="94">
        <v>0.0</v>
      </c>
      <c r="N1070" s="85">
        <v>0.0</v>
      </c>
      <c r="O1070" s="110">
        <f t="shared" si="810"/>
        <v>0</v>
      </c>
      <c r="P1070" s="94">
        <v>0.0</v>
      </c>
      <c r="Q1070" s="94">
        <v>0.0</v>
      </c>
      <c r="R1070" s="94">
        <v>0.0</v>
      </c>
      <c r="S1070" s="94">
        <v>0.0</v>
      </c>
      <c r="T1070" s="94">
        <v>0.0</v>
      </c>
      <c r="U1070" s="94">
        <v>0.0</v>
      </c>
      <c r="V1070" s="94">
        <v>0.0</v>
      </c>
      <c r="W1070" s="94">
        <v>0.0</v>
      </c>
      <c r="X1070" s="94">
        <v>0.0</v>
      </c>
      <c r="Y1070" s="94">
        <v>0.0</v>
      </c>
      <c r="Z1070" s="94">
        <v>0.0</v>
      </c>
      <c r="AA1070" s="94">
        <v>0.0</v>
      </c>
      <c r="AB1070" s="94">
        <v>0.0</v>
      </c>
      <c r="AC1070" s="94">
        <v>0.0</v>
      </c>
      <c r="AD1070" s="94">
        <v>0.0</v>
      </c>
      <c r="AE1070" s="94">
        <v>0.0</v>
      </c>
      <c r="AF1070" s="94">
        <v>0.0</v>
      </c>
      <c r="AG1070" s="94">
        <v>0.0</v>
      </c>
      <c r="AH1070" s="94">
        <v>0.0</v>
      </c>
    </row>
    <row r="1071" hidden="1">
      <c r="A1071" s="109" t="s">
        <v>40</v>
      </c>
      <c r="B1071" s="93" t="s">
        <v>220</v>
      </c>
      <c r="C1071" s="85">
        <v>1.0</v>
      </c>
      <c r="D1071" s="85">
        <v>1.0</v>
      </c>
      <c r="E1071" s="86">
        <v>17.0</v>
      </c>
      <c r="F1071" s="85">
        <v>1.0</v>
      </c>
      <c r="G1071" s="85">
        <v>58.0</v>
      </c>
      <c r="H1071" s="94">
        <v>0.0</v>
      </c>
      <c r="I1071" s="85">
        <v>61.0</v>
      </c>
      <c r="J1071" s="95">
        <f t="shared" si="808"/>
        <v>-3</v>
      </c>
      <c r="K1071" s="87">
        <f t="shared" si="809"/>
        <v>0.9508196721</v>
      </c>
      <c r="L1071" s="85">
        <v>13.0</v>
      </c>
      <c r="M1071" s="85">
        <v>72.0</v>
      </c>
      <c r="N1071" s="85">
        <v>1.0</v>
      </c>
      <c r="O1071" s="110">
        <f t="shared" si="810"/>
        <v>17</v>
      </c>
      <c r="P1071" s="85">
        <v>4.0</v>
      </c>
      <c r="Q1071" s="85">
        <v>1.0</v>
      </c>
      <c r="R1071" s="85">
        <v>3.0</v>
      </c>
      <c r="S1071" s="94">
        <v>0.0</v>
      </c>
      <c r="T1071" s="85">
        <v>7.0</v>
      </c>
      <c r="U1071" s="85">
        <v>2.0</v>
      </c>
      <c r="V1071" s="94">
        <v>0.0</v>
      </c>
      <c r="W1071" s="94">
        <v>0.0</v>
      </c>
      <c r="X1071" s="94">
        <v>0.0</v>
      </c>
      <c r="Y1071" s="94">
        <v>0.0</v>
      </c>
      <c r="Z1071" s="94">
        <v>0.0</v>
      </c>
      <c r="AA1071" s="94">
        <v>0.0</v>
      </c>
      <c r="AB1071" s="94">
        <v>0.0</v>
      </c>
      <c r="AC1071" s="94">
        <v>0.0</v>
      </c>
      <c r="AD1071" s="94">
        <v>0.0</v>
      </c>
      <c r="AE1071" s="94">
        <v>0.0</v>
      </c>
      <c r="AF1071" s="94">
        <v>0.0</v>
      </c>
      <c r="AG1071" s="94">
        <v>0.0</v>
      </c>
      <c r="AH1071" s="94">
        <v>0.0</v>
      </c>
    </row>
    <row r="1072" hidden="1">
      <c r="A1072" s="109" t="s">
        <v>214</v>
      </c>
      <c r="B1072" s="93" t="s">
        <v>189</v>
      </c>
      <c r="C1072" s="94">
        <v>0.0</v>
      </c>
      <c r="D1072" s="94">
        <v>0.0</v>
      </c>
      <c r="E1072" s="96">
        <f>SUM(L1072*I1072)/60</f>
        <v>0</v>
      </c>
      <c r="F1072" s="94">
        <v>0.0</v>
      </c>
      <c r="G1072" s="94">
        <v>0.0</v>
      </c>
      <c r="H1072" s="94">
        <v>0.0</v>
      </c>
      <c r="I1072" s="94">
        <v>0.0</v>
      </c>
      <c r="J1072" s="95">
        <f t="shared" si="808"/>
        <v>0</v>
      </c>
      <c r="K1072" s="87" t="str">
        <f t="shared" si="809"/>
        <v>#DIV/0!</v>
      </c>
      <c r="L1072" s="94">
        <v>0.0</v>
      </c>
      <c r="M1072" s="94">
        <v>0.0</v>
      </c>
      <c r="N1072" s="85">
        <v>0.0</v>
      </c>
      <c r="O1072" s="110">
        <f t="shared" si="810"/>
        <v>0</v>
      </c>
      <c r="P1072" s="94">
        <v>0.0</v>
      </c>
      <c r="Q1072" s="94">
        <v>0.0</v>
      </c>
      <c r="R1072" s="94">
        <v>0.0</v>
      </c>
      <c r="S1072" s="94">
        <v>0.0</v>
      </c>
      <c r="T1072" s="94">
        <v>0.0</v>
      </c>
      <c r="U1072" s="94">
        <v>0.0</v>
      </c>
      <c r="V1072" s="94">
        <v>0.0</v>
      </c>
      <c r="W1072" s="94">
        <v>0.0</v>
      </c>
      <c r="X1072" s="94">
        <v>0.0</v>
      </c>
      <c r="Y1072" s="94">
        <v>0.0</v>
      </c>
      <c r="Z1072" s="94">
        <v>0.0</v>
      </c>
      <c r="AA1072" s="94">
        <v>0.0</v>
      </c>
      <c r="AB1072" s="94">
        <v>0.0</v>
      </c>
      <c r="AC1072" s="94">
        <v>0.0</v>
      </c>
      <c r="AD1072" s="94">
        <v>0.0</v>
      </c>
      <c r="AE1072" s="94">
        <v>0.0</v>
      </c>
      <c r="AF1072" s="94">
        <v>0.0</v>
      </c>
      <c r="AG1072" s="94">
        <v>0.0</v>
      </c>
      <c r="AH1072" s="94">
        <v>0.0</v>
      </c>
    </row>
    <row r="1073" hidden="1">
      <c r="A1073" s="89"/>
      <c r="B1073" s="111"/>
      <c r="C1073" s="111">
        <f t="shared" ref="C1073:D1073" si="811">SUM(C1067:C1072)/4</f>
        <v>1</v>
      </c>
      <c r="D1073" s="111">
        <f t="shared" si="811"/>
        <v>1</v>
      </c>
      <c r="E1073" s="91">
        <f t="shared" ref="E1073:G1073" si="812">SUM(E1067:E1072)</f>
        <v>68</v>
      </c>
      <c r="F1073" s="111">
        <f t="shared" si="812"/>
        <v>5</v>
      </c>
      <c r="G1073" s="111">
        <f t="shared" si="812"/>
        <v>218</v>
      </c>
      <c r="H1073" s="111"/>
      <c r="I1073" s="111">
        <f>SUM(I1067:I1072)</f>
        <v>207</v>
      </c>
      <c r="J1073" s="111">
        <f t="shared" si="808"/>
        <v>11</v>
      </c>
      <c r="K1073" s="92">
        <f t="shared" si="809"/>
        <v>1.053140097</v>
      </c>
      <c r="L1073" s="111">
        <f t="shared" ref="L1073:M1073" si="813">SUM(L1067:L1072)</f>
        <v>66</v>
      </c>
      <c r="M1073" s="111">
        <f t="shared" si="813"/>
        <v>281</v>
      </c>
      <c r="N1073" s="111"/>
      <c r="O1073" s="112"/>
      <c r="P1073" s="111">
        <f t="shared" ref="P1073:AH1073" si="814">SUM(P1067:P1072)</f>
        <v>16</v>
      </c>
      <c r="Q1073" s="111">
        <f t="shared" si="814"/>
        <v>5</v>
      </c>
      <c r="R1073" s="111">
        <f t="shared" si="814"/>
        <v>15</v>
      </c>
      <c r="S1073" s="111">
        <f t="shared" si="814"/>
        <v>1</v>
      </c>
      <c r="T1073" s="111">
        <f t="shared" si="814"/>
        <v>27</v>
      </c>
      <c r="U1073" s="111">
        <f t="shared" si="814"/>
        <v>5</v>
      </c>
      <c r="V1073" s="111">
        <f t="shared" si="814"/>
        <v>1</v>
      </c>
      <c r="W1073" s="111">
        <f t="shared" si="814"/>
        <v>0</v>
      </c>
      <c r="X1073" s="111">
        <f t="shared" si="814"/>
        <v>0</v>
      </c>
      <c r="Y1073" s="111">
        <f t="shared" si="814"/>
        <v>0</v>
      </c>
      <c r="Z1073" s="111">
        <f t="shared" si="814"/>
        <v>0</v>
      </c>
      <c r="AA1073" s="111">
        <f t="shared" si="814"/>
        <v>0</v>
      </c>
      <c r="AB1073" s="111">
        <f t="shared" si="814"/>
        <v>0</v>
      </c>
      <c r="AC1073" s="111">
        <f t="shared" si="814"/>
        <v>3</v>
      </c>
      <c r="AD1073" s="111">
        <f t="shared" si="814"/>
        <v>0</v>
      </c>
      <c r="AE1073" s="111">
        <f t="shared" si="814"/>
        <v>0</v>
      </c>
      <c r="AF1073" s="111">
        <f t="shared" si="814"/>
        <v>0</v>
      </c>
      <c r="AG1073" s="111">
        <f t="shared" si="814"/>
        <v>0</v>
      </c>
      <c r="AH1073" s="111">
        <f t="shared" si="814"/>
        <v>0</v>
      </c>
    </row>
    <row r="1074" hidden="1">
      <c r="A1074" s="109" t="s">
        <v>34</v>
      </c>
      <c r="B1074" s="93" t="s">
        <v>227</v>
      </c>
      <c r="C1074" s="85">
        <v>1.0</v>
      </c>
      <c r="D1074" s="94">
        <v>0.0</v>
      </c>
      <c r="E1074" s="86">
        <v>17.0</v>
      </c>
      <c r="F1074" s="85">
        <v>2.0</v>
      </c>
      <c r="G1074" s="85">
        <v>68.0</v>
      </c>
      <c r="H1074" s="94">
        <v>0.0</v>
      </c>
      <c r="I1074" s="85">
        <v>51.0</v>
      </c>
      <c r="J1074" s="95">
        <f t="shared" si="808"/>
        <v>17</v>
      </c>
      <c r="K1074" s="87">
        <f t="shared" si="809"/>
        <v>1.333333333</v>
      </c>
      <c r="L1074" s="85">
        <v>17.0</v>
      </c>
      <c r="M1074" s="85">
        <v>91.0</v>
      </c>
      <c r="N1074" s="85">
        <v>1.0</v>
      </c>
      <c r="O1074" s="110">
        <f t="shared" ref="O1074:O1079" si="815">(E1074*N1074)</f>
        <v>17</v>
      </c>
      <c r="P1074" s="85">
        <v>4.0</v>
      </c>
      <c r="Q1074" s="85">
        <v>2.0</v>
      </c>
      <c r="R1074" s="85">
        <v>2.0</v>
      </c>
      <c r="S1074" s="85">
        <v>2.0</v>
      </c>
      <c r="T1074" s="85">
        <v>12.0</v>
      </c>
      <c r="U1074" s="85">
        <v>4.0</v>
      </c>
      <c r="V1074" s="94">
        <v>0.0</v>
      </c>
      <c r="W1074" s="94">
        <v>0.0</v>
      </c>
      <c r="X1074" s="94">
        <v>0.0</v>
      </c>
      <c r="Y1074" s="94">
        <v>0.0</v>
      </c>
      <c r="Z1074" s="94">
        <v>0.0</v>
      </c>
      <c r="AA1074" s="94">
        <v>0.0</v>
      </c>
      <c r="AB1074" s="94">
        <v>0.0</v>
      </c>
      <c r="AC1074" s="85">
        <v>1.0</v>
      </c>
      <c r="AD1074" s="94">
        <v>0.0</v>
      </c>
      <c r="AE1074" s="94">
        <v>0.0</v>
      </c>
      <c r="AF1074" s="94">
        <v>0.0</v>
      </c>
      <c r="AG1074" s="94">
        <v>0.0</v>
      </c>
      <c r="AH1074" s="94">
        <v>0.0</v>
      </c>
    </row>
    <row r="1075" hidden="1">
      <c r="A1075" s="109" t="s">
        <v>34</v>
      </c>
      <c r="B1075" s="93" t="s">
        <v>228</v>
      </c>
      <c r="C1075" s="85">
        <v>1.0</v>
      </c>
      <c r="D1075" s="94">
        <v>0.0</v>
      </c>
      <c r="E1075" s="86">
        <v>17.0</v>
      </c>
      <c r="F1075" s="85">
        <v>1.0</v>
      </c>
      <c r="G1075" s="85">
        <v>52.0</v>
      </c>
      <c r="H1075" s="94">
        <v>0.0</v>
      </c>
      <c r="I1075" s="85">
        <v>68.0</v>
      </c>
      <c r="J1075" s="95">
        <f t="shared" si="808"/>
        <v>-16</v>
      </c>
      <c r="K1075" s="87">
        <f t="shared" si="809"/>
        <v>0.7647058824</v>
      </c>
      <c r="L1075" s="85">
        <v>11.0</v>
      </c>
      <c r="M1075" s="85">
        <v>66.0</v>
      </c>
      <c r="N1075" s="85">
        <v>1.0</v>
      </c>
      <c r="O1075" s="110">
        <f t="shared" si="815"/>
        <v>17</v>
      </c>
      <c r="P1075" s="85">
        <v>4.0</v>
      </c>
      <c r="Q1075" s="85">
        <v>5.0</v>
      </c>
      <c r="R1075" s="85">
        <v>3.0</v>
      </c>
      <c r="S1075" s="85">
        <v>1.0</v>
      </c>
      <c r="T1075" s="85">
        <v>4.0</v>
      </c>
      <c r="U1075" s="85">
        <v>1.0</v>
      </c>
      <c r="V1075" s="94">
        <v>0.0</v>
      </c>
      <c r="W1075" s="94">
        <v>0.0</v>
      </c>
      <c r="X1075" s="94">
        <v>0.0</v>
      </c>
      <c r="Y1075" s="94">
        <v>0.0</v>
      </c>
      <c r="Z1075" s="94">
        <v>0.0</v>
      </c>
      <c r="AA1075" s="94">
        <v>0.0</v>
      </c>
      <c r="AB1075" s="94">
        <v>0.0</v>
      </c>
      <c r="AC1075" s="94">
        <v>0.0</v>
      </c>
      <c r="AD1075" s="94">
        <v>0.0</v>
      </c>
      <c r="AE1075" s="94">
        <v>0.0</v>
      </c>
      <c r="AF1075" s="94">
        <v>0.0</v>
      </c>
      <c r="AG1075" s="94">
        <v>0.0</v>
      </c>
      <c r="AH1075" s="94">
        <v>0.0</v>
      </c>
    </row>
    <row r="1076" hidden="1">
      <c r="A1076" s="109" t="s">
        <v>34</v>
      </c>
      <c r="B1076" s="93" t="s">
        <v>229</v>
      </c>
      <c r="C1076" s="85">
        <v>1.0</v>
      </c>
      <c r="D1076" s="94">
        <v>0.0</v>
      </c>
      <c r="E1076" s="86">
        <v>17.0</v>
      </c>
      <c r="F1076" s="94">
        <v>0.0</v>
      </c>
      <c r="G1076" s="85">
        <v>39.0</v>
      </c>
      <c r="H1076" s="85">
        <v>1.0</v>
      </c>
      <c r="I1076" s="85">
        <v>48.0</v>
      </c>
      <c r="J1076" s="95">
        <f t="shared" si="808"/>
        <v>-9</v>
      </c>
      <c r="K1076" s="87">
        <f t="shared" si="809"/>
        <v>0.8125</v>
      </c>
      <c r="L1076" s="85">
        <v>17.0</v>
      </c>
      <c r="M1076" s="85">
        <v>50.0</v>
      </c>
      <c r="N1076" s="85">
        <v>1.0</v>
      </c>
      <c r="O1076" s="110">
        <f t="shared" si="815"/>
        <v>17</v>
      </c>
      <c r="P1076" s="85">
        <v>3.0</v>
      </c>
      <c r="Q1076" s="85">
        <v>1.0</v>
      </c>
      <c r="R1076" s="85">
        <v>4.0</v>
      </c>
      <c r="S1076" s="94">
        <v>0.0</v>
      </c>
      <c r="T1076" s="85">
        <v>6.0</v>
      </c>
      <c r="U1076" s="85">
        <v>1.0</v>
      </c>
      <c r="V1076" s="94">
        <v>0.0</v>
      </c>
      <c r="W1076" s="94">
        <v>0.0</v>
      </c>
      <c r="X1076" s="94">
        <v>0.0</v>
      </c>
      <c r="Y1076" s="94">
        <v>0.0</v>
      </c>
      <c r="Z1076" s="94">
        <v>0.0</v>
      </c>
      <c r="AA1076" s="94">
        <v>0.0</v>
      </c>
      <c r="AB1076" s="94">
        <v>0.0</v>
      </c>
      <c r="AC1076" s="94">
        <v>0.0</v>
      </c>
      <c r="AD1076" s="94">
        <v>0.0</v>
      </c>
      <c r="AE1076" s="94">
        <v>0.0</v>
      </c>
      <c r="AF1076" s="94">
        <v>0.0</v>
      </c>
      <c r="AG1076" s="94">
        <v>0.0</v>
      </c>
      <c r="AH1076" s="94">
        <v>0.0</v>
      </c>
    </row>
    <row r="1077" hidden="1">
      <c r="A1077" s="109" t="s">
        <v>34</v>
      </c>
      <c r="B1077" s="93" t="s">
        <v>230</v>
      </c>
      <c r="C1077" s="85">
        <v>1.0</v>
      </c>
      <c r="D1077" s="94">
        <v>0.0</v>
      </c>
      <c r="E1077" s="86">
        <v>17.0</v>
      </c>
      <c r="F1077" s="94">
        <v>0.0</v>
      </c>
      <c r="G1077" s="85">
        <v>40.0</v>
      </c>
      <c r="H1077" s="94">
        <v>0.0</v>
      </c>
      <c r="I1077" s="85">
        <v>60.0</v>
      </c>
      <c r="J1077" s="95">
        <f t="shared" si="808"/>
        <v>-20</v>
      </c>
      <c r="K1077" s="87">
        <f t="shared" si="809"/>
        <v>0.6666666667</v>
      </c>
      <c r="L1077" s="85">
        <v>14.0</v>
      </c>
      <c r="M1077" s="85">
        <v>48.0</v>
      </c>
      <c r="N1077" s="85">
        <v>1.0</v>
      </c>
      <c r="O1077" s="110">
        <f t="shared" si="815"/>
        <v>17</v>
      </c>
      <c r="P1077" s="85">
        <v>2.0</v>
      </c>
      <c r="Q1077" s="85">
        <v>1.0</v>
      </c>
      <c r="R1077" s="85">
        <v>2.0</v>
      </c>
      <c r="S1077" s="94">
        <v>0.0</v>
      </c>
      <c r="T1077" s="85">
        <v>4.0</v>
      </c>
      <c r="U1077" s="94">
        <v>0.0</v>
      </c>
      <c r="V1077" s="94">
        <v>0.0</v>
      </c>
      <c r="W1077" s="94">
        <v>0.0</v>
      </c>
      <c r="X1077" s="94">
        <v>0.0</v>
      </c>
      <c r="Y1077" s="94">
        <v>0.0</v>
      </c>
      <c r="Z1077" s="94">
        <v>0.0</v>
      </c>
      <c r="AA1077" s="94">
        <v>0.0</v>
      </c>
      <c r="AB1077" s="94">
        <v>0.0</v>
      </c>
      <c r="AC1077" s="94">
        <v>0.0</v>
      </c>
      <c r="AD1077" s="94">
        <v>0.0</v>
      </c>
      <c r="AE1077" s="94">
        <v>0.0</v>
      </c>
      <c r="AF1077" s="94">
        <v>0.0</v>
      </c>
      <c r="AG1077" s="94">
        <v>0.0</v>
      </c>
      <c r="AH1077" s="94">
        <v>0.0</v>
      </c>
    </row>
    <row r="1078" hidden="1">
      <c r="A1078" s="109" t="s">
        <v>34</v>
      </c>
      <c r="B1078" s="93" t="s">
        <v>231</v>
      </c>
      <c r="C1078" s="94">
        <v>0.0</v>
      </c>
      <c r="D1078" s="94">
        <v>0.0</v>
      </c>
      <c r="E1078" s="96">
        <f t="shared" ref="E1078:E1079" si="816">SUM(L1078*I1078)/60</f>
        <v>0</v>
      </c>
      <c r="F1078" s="94">
        <v>0.0</v>
      </c>
      <c r="G1078" s="94">
        <v>0.0</v>
      </c>
      <c r="H1078" s="94">
        <v>0.0</v>
      </c>
      <c r="I1078" s="94">
        <v>0.0</v>
      </c>
      <c r="J1078" s="95">
        <f t="shared" si="808"/>
        <v>0</v>
      </c>
      <c r="K1078" s="87" t="str">
        <f t="shared" si="809"/>
        <v>#DIV/0!</v>
      </c>
      <c r="L1078" s="94">
        <v>0.0</v>
      </c>
      <c r="M1078" s="94">
        <v>0.0</v>
      </c>
      <c r="N1078" s="85">
        <v>0.0</v>
      </c>
      <c r="O1078" s="110">
        <f t="shared" si="815"/>
        <v>0</v>
      </c>
      <c r="P1078" s="94">
        <v>0.0</v>
      </c>
      <c r="Q1078" s="94">
        <v>0.0</v>
      </c>
      <c r="R1078" s="94">
        <v>0.0</v>
      </c>
      <c r="S1078" s="94">
        <v>0.0</v>
      </c>
      <c r="T1078" s="94">
        <v>0.0</v>
      </c>
      <c r="U1078" s="94">
        <v>0.0</v>
      </c>
      <c r="V1078" s="94">
        <v>0.0</v>
      </c>
      <c r="W1078" s="94">
        <v>0.0</v>
      </c>
      <c r="X1078" s="94">
        <v>0.0</v>
      </c>
      <c r="Y1078" s="94">
        <v>0.0</v>
      </c>
      <c r="Z1078" s="94">
        <v>0.0</v>
      </c>
      <c r="AA1078" s="94">
        <v>0.0</v>
      </c>
      <c r="AB1078" s="94">
        <v>0.0</v>
      </c>
      <c r="AC1078" s="94">
        <v>0.0</v>
      </c>
      <c r="AD1078" s="94">
        <v>0.0</v>
      </c>
      <c r="AE1078" s="94">
        <v>0.0</v>
      </c>
      <c r="AF1078" s="94">
        <v>0.0</v>
      </c>
      <c r="AG1078" s="94">
        <v>0.0</v>
      </c>
      <c r="AH1078" s="94">
        <v>0.0</v>
      </c>
    </row>
    <row r="1079" hidden="1">
      <c r="A1079" s="109" t="s">
        <v>34</v>
      </c>
      <c r="B1079" s="116"/>
      <c r="C1079" s="94">
        <v>0.0</v>
      </c>
      <c r="D1079" s="94">
        <v>0.0</v>
      </c>
      <c r="E1079" s="96">
        <f t="shared" si="816"/>
        <v>0</v>
      </c>
      <c r="F1079" s="94">
        <v>0.0</v>
      </c>
      <c r="G1079" s="94">
        <v>0.0</v>
      </c>
      <c r="H1079" s="94">
        <v>0.0</v>
      </c>
      <c r="I1079" s="94">
        <v>0.0</v>
      </c>
      <c r="J1079" s="95">
        <f t="shared" si="808"/>
        <v>0</v>
      </c>
      <c r="K1079" s="87" t="str">
        <f t="shared" si="809"/>
        <v>#DIV/0!</v>
      </c>
      <c r="L1079" s="94">
        <v>0.0</v>
      </c>
      <c r="M1079" s="94">
        <v>0.0</v>
      </c>
      <c r="N1079" s="85">
        <v>0.0</v>
      </c>
      <c r="O1079" s="110">
        <f t="shared" si="815"/>
        <v>0</v>
      </c>
      <c r="P1079" s="94">
        <v>0.0</v>
      </c>
      <c r="Q1079" s="94">
        <v>0.0</v>
      </c>
      <c r="R1079" s="94">
        <v>0.0</v>
      </c>
      <c r="S1079" s="94">
        <v>0.0</v>
      </c>
      <c r="T1079" s="94">
        <v>0.0</v>
      </c>
      <c r="U1079" s="94">
        <v>0.0</v>
      </c>
      <c r="V1079" s="94">
        <v>0.0</v>
      </c>
      <c r="W1079" s="94">
        <v>0.0</v>
      </c>
      <c r="X1079" s="94">
        <v>0.0</v>
      </c>
      <c r="Y1079" s="94">
        <v>0.0</v>
      </c>
      <c r="Z1079" s="94">
        <v>0.0</v>
      </c>
      <c r="AA1079" s="94">
        <v>0.0</v>
      </c>
      <c r="AB1079" s="94">
        <v>0.0</v>
      </c>
      <c r="AC1079" s="94">
        <v>0.0</v>
      </c>
      <c r="AD1079" s="94">
        <v>0.0</v>
      </c>
      <c r="AE1079" s="94">
        <v>0.0</v>
      </c>
      <c r="AF1079" s="94">
        <v>0.0</v>
      </c>
      <c r="AG1079" s="94">
        <v>0.0</v>
      </c>
      <c r="AH1079" s="94">
        <v>0.0</v>
      </c>
    </row>
    <row r="1080" hidden="1">
      <c r="A1080" s="89" t="s">
        <v>185</v>
      </c>
      <c r="B1080" s="111"/>
      <c r="C1080" s="111">
        <f>SUM(C1074:C1079)</f>
        <v>4</v>
      </c>
      <c r="D1080" s="111">
        <f t="shared" ref="D1080:E1080" si="817">SUM(D1074:D1079)/4</f>
        <v>0</v>
      </c>
      <c r="E1080" s="91">
        <f t="shared" si="817"/>
        <v>17</v>
      </c>
      <c r="F1080" s="111">
        <f t="shared" ref="F1080:G1080" si="818">SUM(F1074:F1079)</f>
        <v>3</v>
      </c>
      <c r="G1080" s="111">
        <f t="shared" si="818"/>
        <v>199</v>
      </c>
      <c r="H1080" s="111"/>
      <c r="I1080" s="111">
        <f>SUM(I1074:I1079)</f>
        <v>227</v>
      </c>
      <c r="J1080" s="111">
        <f t="shared" si="808"/>
        <v>-28</v>
      </c>
      <c r="K1080" s="92">
        <f t="shared" si="809"/>
        <v>0.8766519824</v>
      </c>
      <c r="L1080" s="111">
        <f t="shared" ref="L1080:M1080" si="819">SUM(L1074:L1079)</f>
        <v>59</v>
      </c>
      <c r="M1080" s="111">
        <f t="shared" si="819"/>
        <v>255</v>
      </c>
      <c r="N1080" s="111"/>
      <c r="O1080" s="112"/>
      <c r="P1080" s="111">
        <f t="shared" ref="P1080:AH1080" si="820">SUM(P1074:P1079)</f>
        <v>13</v>
      </c>
      <c r="Q1080" s="111">
        <f t="shared" si="820"/>
        <v>9</v>
      </c>
      <c r="R1080" s="111">
        <f t="shared" si="820"/>
        <v>11</v>
      </c>
      <c r="S1080" s="111">
        <f t="shared" si="820"/>
        <v>3</v>
      </c>
      <c r="T1080" s="111">
        <f t="shared" si="820"/>
        <v>26</v>
      </c>
      <c r="U1080" s="111">
        <f t="shared" si="820"/>
        <v>6</v>
      </c>
      <c r="V1080" s="111">
        <f t="shared" si="820"/>
        <v>0</v>
      </c>
      <c r="W1080" s="111">
        <f t="shared" si="820"/>
        <v>0</v>
      </c>
      <c r="X1080" s="111">
        <f t="shared" si="820"/>
        <v>0</v>
      </c>
      <c r="Y1080" s="111">
        <f t="shared" si="820"/>
        <v>0</v>
      </c>
      <c r="Z1080" s="111">
        <f t="shared" si="820"/>
        <v>0</v>
      </c>
      <c r="AA1080" s="111">
        <f t="shared" si="820"/>
        <v>0</v>
      </c>
      <c r="AB1080" s="111">
        <f t="shared" si="820"/>
        <v>0</v>
      </c>
      <c r="AC1080" s="111">
        <f t="shared" si="820"/>
        <v>1</v>
      </c>
      <c r="AD1080" s="111">
        <f t="shared" si="820"/>
        <v>0</v>
      </c>
      <c r="AE1080" s="111">
        <f t="shared" si="820"/>
        <v>0</v>
      </c>
      <c r="AF1080" s="111">
        <f t="shared" si="820"/>
        <v>0</v>
      </c>
      <c r="AG1080" s="111">
        <f t="shared" si="820"/>
        <v>0</v>
      </c>
      <c r="AH1080" s="111">
        <f t="shared" si="820"/>
        <v>0</v>
      </c>
    </row>
    <row r="1081">
      <c r="A1081" s="104" t="s">
        <v>316</v>
      </c>
    </row>
    <row r="1083" hidden="1">
      <c r="A1083" s="105"/>
      <c r="F1083" s="106" t="s">
        <v>251</v>
      </c>
      <c r="L1083" s="107" t="s">
        <v>252</v>
      </c>
      <c r="N1083" s="108" t="s">
        <v>253</v>
      </c>
    </row>
    <row r="1084" hidden="1">
      <c r="A1084" s="76" t="s">
        <v>148</v>
      </c>
      <c r="B1084" s="76" t="s">
        <v>149</v>
      </c>
      <c r="C1084" s="76" t="s">
        <v>150</v>
      </c>
      <c r="D1084" s="76" t="s">
        <v>13</v>
      </c>
      <c r="E1084" s="77" t="s">
        <v>151</v>
      </c>
      <c r="F1084" s="78" t="s">
        <v>15</v>
      </c>
      <c r="G1084" s="78" t="s">
        <v>152</v>
      </c>
      <c r="H1084" s="78" t="s">
        <v>153</v>
      </c>
      <c r="I1084" s="78" t="s">
        <v>154</v>
      </c>
      <c r="J1084" s="78" t="s">
        <v>155</v>
      </c>
      <c r="K1084" s="79" t="s">
        <v>156</v>
      </c>
      <c r="L1084" s="80" t="s">
        <v>157</v>
      </c>
      <c r="M1084" s="80" t="s">
        <v>158</v>
      </c>
      <c r="N1084" s="81" t="s">
        <v>254</v>
      </c>
      <c r="O1084" s="81" t="s">
        <v>151</v>
      </c>
      <c r="P1084" s="81" t="s">
        <v>160</v>
      </c>
      <c r="Q1084" s="81" t="s">
        <v>161</v>
      </c>
      <c r="R1084" s="81" t="s">
        <v>162</v>
      </c>
      <c r="S1084" s="81" t="s">
        <v>163</v>
      </c>
      <c r="T1084" s="81" t="s">
        <v>164</v>
      </c>
      <c r="U1084" s="81" t="s">
        <v>165</v>
      </c>
      <c r="V1084" s="81" t="s">
        <v>166</v>
      </c>
      <c r="W1084" s="81" t="s">
        <v>167</v>
      </c>
      <c r="X1084" s="81" t="s">
        <v>168</v>
      </c>
      <c r="Y1084" s="81" t="s">
        <v>169</v>
      </c>
      <c r="Z1084" s="81" t="s">
        <v>170</v>
      </c>
      <c r="AA1084" s="81" t="s">
        <v>171</v>
      </c>
      <c r="AB1084" s="81" t="s">
        <v>172</v>
      </c>
      <c r="AC1084" s="81" t="s">
        <v>173</v>
      </c>
      <c r="AD1084" s="81" t="s">
        <v>174</v>
      </c>
      <c r="AE1084" s="81" t="s">
        <v>175</v>
      </c>
      <c r="AF1084" s="81" t="s">
        <v>176</v>
      </c>
      <c r="AG1084" s="81" t="s">
        <v>177</v>
      </c>
      <c r="AH1084" s="81" t="s">
        <v>178</v>
      </c>
    </row>
    <row r="1085" hidden="1">
      <c r="A1085" s="109" t="s">
        <v>40</v>
      </c>
      <c r="B1085" s="93" t="s">
        <v>216</v>
      </c>
      <c r="C1085" s="85">
        <v>1.0</v>
      </c>
      <c r="D1085" s="85">
        <v>1.0</v>
      </c>
      <c r="E1085" s="96">
        <f t="shared" ref="E1085:E1090" si="821">SUM(L1085*I1085)/60</f>
        <v>10.76666667</v>
      </c>
      <c r="F1085" s="85">
        <v>5.0</v>
      </c>
      <c r="G1085" s="85">
        <v>30.0</v>
      </c>
      <c r="H1085" s="94">
        <v>0.0</v>
      </c>
      <c r="I1085" s="85">
        <v>19.0</v>
      </c>
      <c r="J1085" s="95">
        <f t="shared" ref="J1085:J1098" si="822">SUM(G1085-I1085)</f>
        <v>11</v>
      </c>
      <c r="K1085" s="87">
        <f t="shared" ref="K1085:K1098" si="823">SUM(G1085/I1085)</f>
        <v>1.578947368</v>
      </c>
      <c r="L1085" s="85">
        <v>34.0</v>
      </c>
      <c r="M1085" s="85">
        <v>39.0</v>
      </c>
      <c r="N1085" s="85">
        <v>1.0</v>
      </c>
      <c r="O1085" s="110">
        <f t="shared" ref="O1085:O1090" si="824">(E1085*N1085)</f>
        <v>10.76666667</v>
      </c>
      <c r="P1085" s="85">
        <v>1.0</v>
      </c>
      <c r="Q1085" s="85">
        <v>3.0</v>
      </c>
      <c r="R1085" s="94">
        <v>0.0</v>
      </c>
      <c r="S1085" s="85">
        <v>0.0</v>
      </c>
      <c r="T1085" s="85">
        <v>1.0</v>
      </c>
      <c r="U1085" s="94">
        <v>0.0</v>
      </c>
      <c r="V1085" s="94">
        <v>0.0</v>
      </c>
      <c r="W1085" s="94">
        <v>0.0</v>
      </c>
      <c r="X1085" s="94">
        <v>0.0</v>
      </c>
      <c r="Y1085" s="94">
        <v>0.0</v>
      </c>
      <c r="Z1085" s="94">
        <v>0.0</v>
      </c>
      <c r="AA1085" s="94">
        <v>0.0</v>
      </c>
      <c r="AB1085" s="94">
        <v>0.0</v>
      </c>
      <c r="AC1085" s="85">
        <v>2.0</v>
      </c>
      <c r="AD1085" s="94">
        <v>0.0</v>
      </c>
      <c r="AE1085" s="94">
        <v>0.0</v>
      </c>
      <c r="AF1085" s="94">
        <v>0.0</v>
      </c>
      <c r="AG1085" s="94">
        <v>0.0</v>
      </c>
      <c r="AH1085" s="94">
        <v>0.0</v>
      </c>
    </row>
    <row r="1086" hidden="1">
      <c r="A1086" s="109" t="s">
        <v>40</v>
      </c>
      <c r="B1086" s="93" t="s">
        <v>217</v>
      </c>
      <c r="C1086" s="85">
        <v>1.0</v>
      </c>
      <c r="D1086" s="85">
        <v>1.0</v>
      </c>
      <c r="E1086" s="96">
        <f t="shared" si="821"/>
        <v>9.316666667</v>
      </c>
      <c r="F1086" s="94">
        <v>0.0</v>
      </c>
      <c r="G1086" s="85">
        <v>57.0</v>
      </c>
      <c r="H1086" s="85">
        <v>1.0</v>
      </c>
      <c r="I1086" s="85">
        <v>43.0</v>
      </c>
      <c r="J1086" s="95">
        <f t="shared" si="822"/>
        <v>14</v>
      </c>
      <c r="K1086" s="87">
        <f t="shared" si="823"/>
        <v>1.325581395</v>
      </c>
      <c r="L1086" s="85">
        <v>13.0</v>
      </c>
      <c r="M1086" s="85">
        <v>76.0</v>
      </c>
      <c r="N1086" s="85">
        <v>1.0</v>
      </c>
      <c r="O1086" s="110">
        <f t="shared" si="824"/>
        <v>9.316666667</v>
      </c>
      <c r="P1086" s="85">
        <v>3.0</v>
      </c>
      <c r="Q1086" s="85">
        <v>1.0</v>
      </c>
      <c r="R1086" s="85">
        <v>1.0</v>
      </c>
      <c r="S1086" s="85">
        <v>1.0</v>
      </c>
      <c r="T1086" s="85">
        <v>10.0</v>
      </c>
      <c r="U1086" s="85">
        <v>3.0</v>
      </c>
      <c r="V1086" s="85">
        <v>1.0</v>
      </c>
      <c r="W1086" s="85">
        <v>1.0</v>
      </c>
      <c r="X1086" s="94">
        <v>0.0</v>
      </c>
      <c r="Y1086" s="94">
        <v>0.0</v>
      </c>
      <c r="Z1086" s="94">
        <v>0.0</v>
      </c>
      <c r="AA1086" s="94">
        <v>0.0</v>
      </c>
      <c r="AB1086" s="94">
        <v>0.0</v>
      </c>
      <c r="AC1086" s="85">
        <v>1.0</v>
      </c>
      <c r="AD1086" s="94">
        <v>0.0</v>
      </c>
      <c r="AE1086" s="94">
        <v>0.0</v>
      </c>
      <c r="AF1086" s="94">
        <v>0.0</v>
      </c>
      <c r="AG1086" s="94">
        <v>0.0</v>
      </c>
      <c r="AH1086" s="94">
        <v>0.0</v>
      </c>
    </row>
    <row r="1087" hidden="1">
      <c r="A1087" s="109" t="s">
        <v>40</v>
      </c>
      <c r="B1087" s="93" t="s">
        <v>218</v>
      </c>
      <c r="C1087" s="85">
        <v>1.0</v>
      </c>
      <c r="D1087" s="85">
        <v>1.0</v>
      </c>
      <c r="E1087" s="96">
        <f t="shared" si="821"/>
        <v>9.866666667</v>
      </c>
      <c r="F1087" s="94">
        <v>0.0</v>
      </c>
      <c r="G1087" s="85">
        <v>49.0</v>
      </c>
      <c r="H1087" s="94">
        <v>0.0</v>
      </c>
      <c r="I1087" s="85">
        <v>37.0</v>
      </c>
      <c r="J1087" s="95">
        <f t="shared" si="822"/>
        <v>12</v>
      </c>
      <c r="K1087" s="87">
        <f t="shared" si="823"/>
        <v>1.324324324</v>
      </c>
      <c r="L1087" s="85">
        <v>16.0</v>
      </c>
      <c r="M1087" s="85">
        <v>62.0</v>
      </c>
      <c r="N1087" s="85">
        <v>1.0</v>
      </c>
      <c r="O1087" s="110">
        <f t="shared" si="824"/>
        <v>9.866666667</v>
      </c>
      <c r="P1087" s="85">
        <v>1.0</v>
      </c>
      <c r="Q1087" s="85">
        <v>2.0</v>
      </c>
      <c r="R1087" s="85">
        <v>5.0</v>
      </c>
      <c r="S1087" s="85">
        <v>1.0</v>
      </c>
      <c r="T1087" s="85">
        <v>8.0</v>
      </c>
      <c r="U1087" s="85">
        <v>1.0</v>
      </c>
      <c r="V1087" s="85">
        <v>1.0</v>
      </c>
      <c r="W1087" s="94">
        <v>0.0</v>
      </c>
      <c r="X1087" s="94">
        <v>0.0</v>
      </c>
      <c r="Y1087" s="94">
        <v>0.0</v>
      </c>
      <c r="Z1087" s="94">
        <v>0.0</v>
      </c>
      <c r="AA1087" s="94">
        <v>0.0</v>
      </c>
      <c r="AB1087" s="94">
        <v>0.0</v>
      </c>
      <c r="AC1087" s="85">
        <v>1.0</v>
      </c>
      <c r="AD1087" s="94">
        <v>0.0</v>
      </c>
      <c r="AE1087" s="94">
        <v>0.0</v>
      </c>
      <c r="AF1087" s="94">
        <v>0.0</v>
      </c>
      <c r="AG1087" s="94">
        <v>0.0</v>
      </c>
      <c r="AH1087" s="94">
        <v>0.0</v>
      </c>
    </row>
    <row r="1088" hidden="1">
      <c r="A1088" s="109" t="s">
        <v>40</v>
      </c>
      <c r="B1088" s="93" t="s">
        <v>219</v>
      </c>
      <c r="C1088" s="94">
        <v>0.0</v>
      </c>
      <c r="D1088" s="94">
        <v>0.0</v>
      </c>
      <c r="E1088" s="96">
        <f t="shared" si="821"/>
        <v>0</v>
      </c>
      <c r="F1088" s="94">
        <v>0.0</v>
      </c>
      <c r="G1088" s="94">
        <v>0.0</v>
      </c>
      <c r="H1088" s="94">
        <v>0.0</v>
      </c>
      <c r="I1088" s="94">
        <v>0.0</v>
      </c>
      <c r="J1088" s="95">
        <f t="shared" si="822"/>
        <v>0</v>
      </c>
      <c r="K1088" s="87" t="str">
        <f t="shared" si="823"/>
        <v>#DIV/0!</v>
      </c>
      <c r="L1088" s="94">
        <v>0.0</v>
      </c>
      <c r="M1088" s="94">
        <v>0.0</v>
      </c>
      <c r="N1088" s="85">
        <v>0.0</v>
      </c>
      <c r="O1088" s="110">
        <f t="shared" si="824"/>
        <v>0</v>
      </c>
      <c r="P1088" s="94">
        <v>0.0</v>
      </c>
      <c r="Q1088" s="94">
        <v>0.0</v>
      </c>
      <c r="R1088" s="94">
        <v>0.0</v>
      </c>
      <c r="S1088" s="94">
        <v>0.0</v>
      </c>
      <c r="T1088" s="94">
        <v>0.0</v>
      </c>
      <c r="U1088" s="94">
        <v>0.0</v>
      </c>
      <c r="V1088" s="94">
        <v>0.0</v>
      </c>
      <c r="W1088" s="94">
        <v>0.0</v>
      </c>
      <c r="X1088" s="94">
        <v>0.0</v>
      </c>
      <c r="Y1088" s="94">
        <v>0.0</v>
      </c>
      <c r="Z1088" s="94">
        <v>0.0</v>
      </c>
      <c r="AA1088" s="94">
        <v>0.0</v>
      </c>
      <c r="AB1088" s="94">
        <v>0.0</v>
      </c>
      <c r="AC1088" s="94">
        <v>0.0</v>
      </c>
      <c r="AD1088" s="94">
        <v>0.0</v>
      </c>
      <c r="AE1088" s="94">
        <v>0.0</v>
      </c>
      <c r="AF1088" s="94">
        <v>0.0</v>
      </c>
      <c r="AG1088" s="94">
        <v>0.0</v>
      </c>
      <c r="AH1088" s="94">
        <v>0.0</v>
      </c>
    </row>
    <row r="1089" hidden="1">
      <c r="A1089" s="109" t="s">
        <v>40</v>
      </c>
      <c r="B1089" s="93" t="s">
        <v>220</v>
      </c>
      <c r="C1089" s="85">
        <v>1.0</v>
      </c>
      <c r="D1089" s="85">
        <v>1.0</v>
      </c>
      <c r="E1089" s="96">
        <f t="shared" si="821"/>
        <v>9.333333333</v>
      </c>
      <c r="F1089" s="94">
        <v>0.0</v>
      </c>
      <c r="G1089" s="85">
        <v>44.0</v>
      </c>
      <c r="H1089" s="94">
        <v>0.0</v>
      </c>
      <c r="I1089" s="85">
        <v>40.0</v>
      </c>
      <c r="J1089" s="95">
        <f t="shared" si="822"/>
        <v>4</v>
      </c>
      <c r="K1089" s="87">
        <f t="shared" si="823"/>
        <v>1.1</v>
      </c>
      <c r="L1089" s="85">
        <v>14.0</v>
      </c>
      <c r="M1089" s="85">
        <v>60.0</v>
      </c>
      <c r="N1089" s="85">
        <v>1.0</v>
      </c>
      <c r="O1089" s="110">
        <f t="shared" si="824"/>
        <v>9.333333333</v>
      </c>
      <c r="P1089" s="85">
        <v>1.0</v>
      </c>
      <c r="Q1089" s="94">
        <v>0.0</v>
      </c>
      <c r="R1089" s="85">
        <v>6.0</v>
      </c>
      <c r="S1089" s="94">
        <v>0.0</v>
      </c>
      <c r="T1089" s="85">
        <v>8.0</v>
      </c>
      <c r="U1089" s="85">
        <v>2.0</v>
      </c>
      <c r="V1089" s="94">
        <v>0.0</v>
      </c>
      <c r="W1089" s="94">
        <v>0.0</v>
      </c>
      <c r="X1089" s="94">
        <v>0.0</v>
      </c>
      <c r="Y1089" s="94">
        <v>0.0</v>
      </c>
      <c r="Z1089" s="94">
        <v>0.0</v>
      </c>
      <c r="AA1089" s="94">
        <v>0.0</v>
      </c>
      <c r="AB1089" s="94">
        <v>0.0</v>
      </c>
      <c r="AC1089" s="85">
        <v>1.0</v>
      </c>
      <c r="AD1089" s="94">
        <v>0.0</v>
      </c>
      <c r="AE1089" s="94">
        <v>0.0</v>
      </c>
      <c r="AF1089" s="94">
        <v>0.0</v>
      </c>
      <c r="AG1089" s="94">
        <v>0.0</v>
      </c>
      <c r="AH1089" s="94">
        <v>0.0</v>
      </c>
    </row>
    <row r="1090" hidden="1">
      <c r="A1090" s="109" t="s">
        <v>214</v>
      </c>
      <c r="B1090" s="93" t="s">
        <v>189</v>
      </c>
      <c r="C1090" s="94">
        <v>0.0</v>
      </c>
      <c r="D1090" s="94">
        <v>0.0</v>
      </c>
      <c r="E1090" s="96">
        <f t="shared" si="821"/>
        <v>0</v>
      </c>
      <c r="F1090" s="94">
        <v>0.0</v>
      </c>
      <c r="G1090" s="94">
        <v>0.0</v>
      </c>
      <c r="H1090" s="94">
        <v>0.0</v>
      </c>
      <c r="I1090" s="94">
        <v>0.0</v>
      </c>
      <c r="J1090" s="95">
        <f t="shared" si="822"/>
        <v>0</v>
      </c>
      <c r="K1090" s="87" t="str">
        <f t="shared" si="823"/>
        <v>#DIV/0!</v>
      </c>
      <c r="L1090" s="94">
        <v>0.0</v>
      </c>
      <c r="M1090" s="94">
        <v>0.0</v>
      </c>
      <c r="N1090" s="85">
        <v>0.0</v>
      </c>
      <c r="O1090" s="110">
        <f t="shared" si="824"/>
        <v>0</v>
      </c>
      <c r="P1090" s="94">
        <v>0.0</v>
      </c>
      <c r="Q1090" s="94">
        <v>0.0</v>
      </c>
      <c r="R1090" s="94">
        <v>0.0</v>
      </c>
      <c r="S1090" s="94">
        <v>0.0</v>
      </c>
      <c r="T1090" s="94">
        <v>0.0</v>
      </c>
      <c r="U1090" s="94">
        <v>0.0</v>
      </c>
      <c r="V1090" s="94">
        <v>0.0</v>
      </c>
      <c r="W1090" s="94">
        <v>0.0</v>
      </c>
      <c r="X1090" s="94">
        <v>0.0</v>
      </c>
      <c r="Y1090" s="94">
        <v>0.0</v>
      </c>
      <c r="Z1090" s="94">
        <v>0.0</v>
      </c>
      <c r="AA1090" s="94">
        <v>0.0</v>
      </c>
      <c r="AB1090" s="94">
        <v>0.0</v>
      </c>
      <c r="AC1090" s="94">
        <v>0.0</v>
      </c>
      <c r="AD1090" s="94">
        <v>0.0</v>
      </c>
      <c r="AE1090" s="94">
        <v>0.0</v>
      </c>
      <c r="AF1090" s="94">
        <v>0.0</v>
      </c>
      <c r="AG1090" s="94">
        <v>0.0</v>
      </c>
      <c r="AH1090" s="94">
        <v>0.0</v>
      </c>
    </row>
    <row r="1091" hidden="1">
      <c r="A1091" s="89"/>
      <c r="B1091" s="111"/>
      <c r="C1091" s="111">
        <f t="shared" ref="C1091:D1091" si="825">SUM(C1085:C1090)/4</f>
        <v>1</v>
      </c>
      <c r="D1091" s="111">
        <f t="shared" si="825"/>
        <v>1</v>
      </c>
      <c r="E1091" s="91">
        <f t="shared" ref="E1091:G1091" si="826">SUM(E1085:E1090)</f>
        <v>39.28333333</v>
      </c>
      <c r="F1091" s="111">
        <f t="shared" si="826"/>
        <v>5</v>
      </c>
      <c r="G1091" s="111">
        <f t="shared" si="826"/>
        <v>180</v>
      </c>
      <c r="H1091" s="111"/>
      <c r="I1091" s="111">
        <f>SUM(I1085:I1090)</f>
        <v>139</v>
      </c>
      <c r="J1091" s="111">
        <f t="shared" si="822"/>
        <v>41</v>
      </c>
      <c r="K1091" s="92">
        <f t="shared" si="823"/>
        <v>1.294964029</v>
      </c>
      <c r="L1091" s="111">
        <f t="shared" ref="L1091:M1091" si="827">SUM(L1085:L1090)</f>
        <v>77</v>
      </c>
      <c r="M1091" s="111">
        <f t="shared" si="827"/>
        <v>237</v>
      </c>
      <c r="N1091" s="111"/>
      <c r="O1091" s="112"/>
      <c r="P1091" s="111">
        <f t="shared" ref="P1091:AH1091" si="828">SUM(P1085:P1090)</f>
        <v>6</v>
      </c>
      <c r="Q1091" s="111">
        <f t="shared" si="828"/>
        <v>6</v>
      </c>
      <c r="R1091" s="111">
        <f t="shared" si="828"/>
        <v>12</v>
      </c>
      <c r="S1091" s="111">
        <f t="shared" si="828"/>
        <v>2</v>
      </c>
      <c r="T1091" s="111">
        <f t="shared" si="828"/>
        <v>27</v>
      </c>
      <c r="U1091" s="111">
        <f t="shared" si="828"/>
        <v>6</v>
      </c>
      <c r="V1091" s="111">
        <f t="shared" si="828"/>
        <v>2</v>
      </c>
      <c r="W1091" s="111">
        <f t="shared" si="828"/>
        <v>1</v>
      </c>
      <c r="X1091" s="111">
        <f t="shared" si="828"/>
        <v>0</v>
      </c>
      <c r="Y1091" s="111">
        <f t="shared" si="828"/>
        <v>0</v>
      </c>
      <c r="Z1091" s="111">
        <f t="shared" si="828"/>
        <v>0</v>
      </c>
      <c r="AA1091" s="111">
        <f t="shared" si="828"/>
        <v>0</v>
      </c>
      <c r="AB1091" s="111">
        <f t="shared" si="828"/>
        <v>0</v>
      </c>
      <c r="AC1091" s="111">
        <f t="shared" si="828"/>
        <v>5</v>
      </c>
      <c r="AD1091" s="111">
        <f t="shared" si="828"/>
        <v>0</v>
      </c>
      <c r="AE1091" s="111">
        <f t="shared" si="828"/>
        <v>0</v>
      </c>
      <c r="AF1091" s="111">
        <f t="shared" si="828"/>
        <v>0</v>
      </c>
      <c r="AG1091" s="111">
        <f t="shared" si="828"/>
        <v>0</v>
      </c>
      <c r="AH1091" s="111">
        <f t="shared" si="828"/>
        <v>0</v>
      </c>
    </row>
    <row r="1092" hidden="1">
      <c r="A1092" s="109" t="s">
        <v>34</v>
      </c>
      <c r="B1092" s="93" t="s">
        <v>227</v>
      </c>
      <c r="C1092" s="85">
        <v>1.0</v>
      </c>
      <c r="D1092" s="94">
        <v>0.0</v>
      </c>
      <c r="E1092" s="96">
        <f t="shared" ref="E1092:E1097" si="829">SUM(L1092*I1092)/60</f>
        <v>8.666666667</v>
      </c>
      <c r="F1092" s="94">
        <v>0.0</v>
      </c>
      <c r="G1092" s="85">
        <v>38.0</v>
      </c>
      <c r="H1092" s="94">
        <v>0.0</v>
      </c>
      <c r="I1092" s="85">
        <v>52.0</v>
      </c>
      <c r="J1092" s="95">
        <f t="shared" si="822"/>
        <v>-14</v>
      </c>
      <c r="K1092" s="87">
        <f t="shared" si="823"/>
        <v>0.7307692308</v>
      </c>
      <c r="L1092" s="85">
        <v>10.0</v>
      </c>
      <c r="M1092" s="85">
        <v>52.0</v>
      </c>
      <c r="N1092" s="85">
        <v>1.0</v>
      </c>
      <c r="O1092" s="110">
        <f t="shared" ref="O1092:O1097" si="830">(E1092*N1092)</f>
        <v>8.666666667</v>
      </c>
      <c r="P1092" s="85">
        <v>3.0</v>
      </c>
      <c r="Q1092" s="85">
        <v>1.0</v>
      </c>
      <c r="R1092" s="85">
        <v>2.0</v>
      </c>
      <c r="S1092" s="85">
        <v>3.0</v>
      </c>
      <c r="T1092" s="85">
        <v>6.0</v>
      </c>
      <c r="U1092" s="85">
        <v>1.0</v>
      </c>
      <c r="V1092" s="94">
        <v>0.0</v>
      </c>
      <c r="W1092" s="94">
        <v>0.0</v>
      </c>
      <c r="X1092" s="94">
        <v>0.0</v>
      </c>
      <c r="Y1092" s="94">
        <v>0.0</v>
      </c>
      <c r="Z1092" s="94">
        <v>0.0</v>
      </c>
      <c r="AA1092" s="94">
        <v>0.0</v>
      </c>
      <c r="AB1092" s="94">
        <v>0.0</v>
      </c>
      <c r="AC1092" s="85">
        <v>1.0</v>
      </c>
      <c r="AD1092" s="94">
        <v>0.0</v>
      </c>
      <c r="AE1092" s="94">
        <v>0.0</v>
      </c>
      <c r="AF1092" s="94">
        <v>0.0</v>
      </c>
      <c r="AG1092" s="94">
        <v>0.0</v>
      </c>
      <c r="AH1092" s="94">
        <v>0.0</v>
      </c>
    </row>
    <row r="1093" hidden="1">
      <c r="A1093" s="109" t="s">
        <v>34</v>
      </c>
      <c r="B1093" s="93" t="s">
        <v>228</v>
      </c>
      <c r="C1093" s="85">
        <v>1.0</v>
      </c>
      <c r="D1093" s="94">
        <v>0.0</v>
      </c>
      <c r="E1093" s="96">
        <f t="shared" si="829"/>
        <v>9.8</v>
      </c>
      <c r="F1093" s="94">
        <v>0.0</v>
      </c>
      <c r="G1093" s="85">
        <v>38.0</v>
      </c>
      <c r="H1093" s="94">
        <v>0.0</v>
      </c>
      <c r="I1093" s="85">
        <v>42.0</v>
      </c>
      <c r="J1093" s="95">
        <f t="shared" si="822"/>
        <v>-4</v>
      </c>
      <c r="K1093" s="87">
        <f t="shared" si="823"/>
        <v>0.9047619048</v>
      </c>
      <c r="L1093" s="85">
        <v>14.0</v>
      </c>
      <c r="M1093" s="85">
        <v>43.0</v>
      </c>
      <c r="N1093" s="85">
        <v>1.0</v>
      </c>
      <c r="O1093" s="110">
        <f t="shared" si="830"/>
        <v>9.8</v>
      </c>
      <c r="P1093" s="94">
        <v>0.0</v>
      </c>
      <c r="Q1093" s="85">
        <v>1.0</v>
      </c>
      <c r="R1093" s="85">
        <v>1.0</v>
      </c>
      <c r="S1093" s="94">
        <v>0.0</v>
      </c>
      <c r="T1093" s="85">
        <v>5.0</v>
      </c>
      <c r="U1093" s="85">
        <v>1.0</v>
      </c>
      <c r="V1093" s="94">
        <v>0.0</v>
      </c>
      <c r="W1093" s="94">
        <v>0.0</v>
      </c>
      <c r="X1093" s="94">
        <v>0.0</v>
      </c>
      <c r="Y1093" s="94">
        <v>0.0</v>
      </c>
      <c r="Z1093" s="94">
        <v>0.0</v>
      </c>
      <c r="AA1093" s="94">
        <v>0.0</v>
      </c>
      <c r="AB1093" s="94">
        <v>0.0</v>
      </c>
      <c r="AC1093" s="94">
        <v>0.0</v>
      </c>
      <c r="AD1093" s="94">
        <v>0.0</v>
      </c>
      <c r="AE1093" s="94">
        <v>0.0</v>
      </c>
      <c r="AF1093" s="94">
        <v>0.0</v>
      </c>
      <c r="AG1093" s="94">
        <v>0.0</v>
      </c>
      <c r="AH1093" s="94">
        <v>0.0</v>
      </c>
    </row>
    <row r="1094" hidden="1">
      <c r="A1094" s="109" t="s">
        <v>34</v>
      </c>
      <c r="B1094" s="93" t="s">
        <v>229</v>
      </c>
      <c r="C1094" s="85">
        <v>1.0</v>
      </c>
      <c r="D1094" s="94">
        <v>0.0</v>
      </c>
      <c r="E1094" s="96">
        <f t="shared" si="829"/>
        <v>9.8</v>
      </c>
      <c r="F1094" s="94">
        <v>0.0</v>
      </c>
      <c r="G1094" s="85">
        <v>25.0</v>
      </c>
      <c r="H1094" s="94">
        <v>0.0</v>
      </c>
      <c r="I1094" s="85">
        <v>42.0</v>
      </c>
      <c r="J1094" s="95">
        <f t="shared" si="822"/>
        <v>-17</v>
      </c>
      <c r="K1094" s="87">
        <f t="shared" si="823"/>
        <v>0.5952380952</v>
      </c>
      <c r="L1094" s="85">
        <v>14.0</v>
      </c>
      <c r="M1094" s="85">
        <v>28.0</v>
      </c>
      <c r="N1094" s="85">
        <v>1.0</v>
      </c>
      <c r="O1094" s="110">
        <f t="shared" si="830"/>
        <v>9.8</v>
      </c>
      <c r="P1094" s="94">
        <v>0.0</v>
      </c>
      <c r="Q1094" s="85">
        <v>2.0</v>
      </c>
      <c r="R1094" s="94">
        <v>0.0</v>
      </c>
      <c r="S1094" s="85">
        <v>1.0</v>
      </c>
      <c r="T1094" s="85">
        <v>3.0</v>
      </c>
      <c r="U1094" s="94">
        <v>0.0</v>
      </c>
      <c r="V1094" s="94">
        <v>0.0</v>
      </c>
      <c r="W1094" s="94">
        <v>0.0</v>
      </c>
      <c r="X1094" s="94">
        <v>0.0</v>
      </c>
      <c r="Y1094" s="94">
        <v>0.0</v>
      </c>
      <c r="Z1094" s="94">
        <v>0.0</v>
      </c>
      <c r="AA1094" s="94">
        <v>0.0</v>
      </c>
      <c r="AB1094" s="94">
        <v>0.0</v>
      </c>
      <c r="AC1094" s="94">
        <v>0.0</v>
      </c>
      <c r="AD1094" s="94">
        <v>0.0</v>
      </c>
      <c r="AE1094" s="94">
        <v>0.0</v>
      </c>
      <c r="AF1094" s="94">
        <v>0.0</v>
      </c>
      <c r="AG1094" s="94">
        <v>0.0</v>
      </c>
      <c r="AH1094" s="94">
        <v>0.0</v>
      </c>
    </row>
    <row r="1095" hidden="1">
      <c r="A1095" s="109" t="s">
        <v>34</v>
      </c>
      <c r="B1095" s="93" t="s">
        <v>230</v>
      </c>
      <c r="C1095" s="85">
        <v>1.0</v>
      </c>
      <c r="D1095" s="94">
        <v>0.0</v>
      </c>
      <c r="E1095" s="96">
        <f t="shared" si="829"/>
        <v>9.166666667</v>
      </c>
      <c r="F1095" s="94">
        <v>0.0</v>
      </c>
      <c r="G1095" s="85">
        <v>36.0</v>
      </c>
      <c r="H1095" s="94">
        <v>0.0</v>
      </c>
      <c r="I1095" s="85">
        <v>50.0</v>
      </c>
      <c r="J1095" s="95">
        <f t="shared" si="822"/>
        <v>-14</v>
      </c>
      <c r="K1095" s="87">
        <f t="shared" si="823"/>
        <v>0.72</v>
      </c>
      <c r="L1095" s="85">
        <v>11.0</v>
      </c>
      <c r="M1095" s="85">
        <v>44.0</v>
      </c>
      <c r="N1095" s="85">
        <v>1.0</v>
      </c>
      <c r="O1095" s="110">
        <f t="shared" si="830"/>
        <v>9.166666667</v>
      </c>
      <c r="P1095" s="94">
        <v>0.0</v>
      </c>
      <c r="Q1095" s="94">
        <v>0.0</v>
      </c>
      <c r="R1095" s="85">
        <v>1.0</v>
      </c>
      <c r="S1095" s="85">
        <v>1.0</v>
      </c>
      <c r="T1095" s="85">
        <v>5.0</v>
      </c>
      <c r="U1095" s="94">
        <v>0.0</v>
      </c>
      <c r="V1095" s="94">
        <v>0.0</v>
      </c>
      <c r="W1095" s="94">
        <v>0.0</v>
      </c>
      <c r="X1095" s="94">
        <v>0.0</v>
      </c>
      <c r="Y1095" s="94">
        <v>0.0</v>
      </c>
      <c r="Z1095" s="94">
        <v>0.0</v>
      </c>
      <c r="AA1095" s="94">
        <v>0.0</v>
      </c>
      <c r="AB1095" s="85">
        <v>0.0</v>
      </c>
      <c r="AC1095" s="85">
        <v>1.0</v>
      </c>
      <c r="AD1095" s="94">
        <v>0.0</v>
      </c>
      <c r="AE1095" s="94">
        <v>0.0</v>
      </c>
      <c r="AF1095" s="94">
        <v>0.0</v>
      </c>
      <c r="AG1095" s="94">
        <v>0.0</v>
      </c>
      <c r="AH1095" s="94">
        <v>0.0</v>
      </c>
    </row>
    <row r="1096" hidden="1">
      <c r="A1096" s="109" t="s">
        <v>34</v>
      </c>
      <c r="B1096" s="93" t="s">
        <v>231</v>
      </c>
      <c r="C1096" s="94">
        <v>0.0</v>
      </c>
      <c r="D1096" s="94">
        <v>0.0</v>
      </c>
      <c r="E1096" s="96">
        <f t="shared" si="829"/>
        <v>0</v>
      </c>
      <c r="F1096" s="94">
        <v>0.0</v>
      </c>
      <c r="G1096" s="94">
        <v>0.0</v>
      </c>
      <c r="H1096" s="94">
        <v>0.0</v>
      </c>
      <c r="I1096" s="94">
        <v>0.0</v>
      </c>
      <c r="J1096" s="95">
        <f t="shared" si="822"/>
        <v>0</v>
      </c>
      <c r="K1096" s="87" t="str">
        <f t="shared" si="823"/>
        <v>#DIV/0!</v>
      </c>
      <c r="L1096" s="94">
        <v>0.0</v>
      </c>
      <c r="M1096" s="94">
        <v>0.0</v>
      </c>
      <c r="N1096" s="85">
        <v>0.0</v>
      </c>
      <c r="O1096" s="110">
        <f t="shared" si="830"/>
        <v>0</v>
      </c>
      <c r="P1096" s="94">
        <v>0.0</v>
      </c>
      <c r="Q1096" s="94">
        <v>0.0</v>
      </c>
      <c r="R1096" s="94">
        <v>0.0</v>
      </c>
      <c r="S1096" s="94">
        <v>0.0</v>
      </c>
      <c r="T1096" s="94">
        <v>0.0</v>
      </c>
      <c r="U1096" s="94">
        <v>0.0</v>
      </c>
      <c r="V1096" s="94">
        <v>0.0</v>
      </c>
      <c r="W1096" s="94">
        <v>0.0</v>
      </c>
      <c r="X1096" s="94">
        <v>0.0</v>
      </c>
      <c r="Y1096" s="94">
        <v>0.0</v>
      </c>
      <c r="Z1096" s="94">
        <v>0.0</v>
      </c>
      <c r="AA1096" s="94">
        <v>0.0</v>
      </c>
      <c r="AB1096" s="94">
        <v>0.0</v>
      </c>
      <c r="AC1096" s="94">
        <v>0.0</v>
      </c>
      <c r="AD1096" s="94">
        <v>0.0</v>
      </c>
      <c r="AE1096" s="94">
        <v>0.0</v>
      </c>
      <c r="AF1096" s="94">
        <v>0.0</v>
      </c>
      <c r="AG1096" s="94">
        <v>0.0</v>
      </c>
      <c r="AH1096" s="94">
        <v>0.0</v>
      </c>
    </row>
    <row r="1097" hidden="1">
      <c r="A1097" s="109" t="s">
        <v>34</v>
      </c>
      <c r="B1097" s="116"/>
      <c r="C1097" s="94">
        <v>0.0</v>
      </c>
      <c r="D1097" s="94">
        <v>0.0</v>
      </c>
      <c r="E1097" s="96">
        <f t="shared" si="829"/>
        <v>0</v>
      </c>
      <c r="F1097" s="94">
        <v>0.0</v>
      </c>
      <c r="G1097" s="94">
        <v>0.0</v>
      </c>
      <c r="H1097" s="94">
        <v>0.0</v>
      </c>
      <c r="I1097" s="94">
        <v>0.0</v>
      </c>
      <c r="J1097" s="95">
        <f t="shared" si="822"/>
        <v>0</v>
      </c>
      <c r="K1097" s="87" t="str">
        <f t="shared" si="823"/>
        <v>#DIV/0!</v>
      </c>
      <c r="L1097" s="94">
        <v>0.0</v>
      </c>
      <c r="M1097" s="94">
        <v>0.0</v>
      </c>
      <c r="N1097" s="85">
        <v>0.0</v>
      </c>
      <c r="O1097" s="110">
        <f t="shared" si="830"/>
        <v>0</v>
      </c>
      <c r="P1097" s="94">
        <v>0.0</v>
      </c>
      <c r="Q1097" s="94">
        <v>0.0</v>
      </c>
      <c r="R1097" s="94">
        <v>0.0</v>
      </c>
      <c r="S1097" s="94">
        <v>0.0</v>
      </c>
      <c r="T1097" s="94">
        <v>0.0</v>
      </c>
      <c r="U1097" s="94">
        <v>0.0</v>
      </c>
      <c r="V1097" s="94">
        <v>0.0</v>
      </c>
      <c r="W1097" s="94">
        <v>0.0</v>
      </c>
      <c r="X1097" s="94">
        <v>0.0</v>
      </c>
      <c r="Y1097" s="94">
        <v>0.0</v>
      </c>
      <c r="Z1097" s="94">
        <v>0.0</v>
      </c>
      <c r="AA1097" s="94">
        <v>0.0</v>
      </c>
      <c r="AB1097" s="94">
        <v>0.0</v>
      </c>
      <c r="AC1097" s="94">
        <v>0.0</v>
      </c>
      <c r="AD1097" s="94">
        <v>0.0</v>
      </c>
      <c r="AE1097" s="94">
        <v>0.0</v>
      </c>
      <c r="AF1097" s="94">
        <v>0.0</v>
      </c>
      <c r="AG1097" s="94">
        <v>0.0</v>
      </c>
      <c r="AH1097" s="94">
        <v>0.0</v>
      </c>
    </row>
    <row r="1098" hidden="1">
      <c r="A1098" s="89" t="s">
        <v>185</v>
      </c>
      <c r="B1098" s="111"/>
      <c r="C1098" s="111">
        <f>SUM(C1092:C1097)</f>
        <v>4</v>
      </c>
      <c r="D1098" s="111">
        <f t="shared" ref="D1098:E1098" si="831">SUM(D1092:D1097)/4</f>
        <v>0</v>
      </c>
      <c r="E1098" s="91">
        <f t="shared" si="831"/>
        <v>9.358333333</v>
      </c>
      <c r="F1098" s="111">
        <f t="shared" ref="F1098:G1098" si="832">SUM(F1092:F1097)</f>
        <v>0</v>
      </c>
      <c r="G1098" s="111">
        <f t="shared" si="832"/>
        <v>137</v>
      </c>
      <c r="H1098" s="111"/>
      <c r="I1098" s="111">
        <f>SUM(I1092:I1097)</f>
        <v>186</v>
      </c>
      <c r="J1098" s="111">
        <f t="shared" si="822"/>
        <v>-49</v>
      </c>
      <c r="K1098" s="92">
        <f t="shared" si="823"/>
        <v>0.7365591398</v>
      </c>
      <c r="L1098" s="111">
        <f t="shared" ref="L1098:M1098" si="833">SUM(L1092:L1097)</f>
        <v>49</v>
      </c>
      <c r="M1098" s="111">
        <f t="shared" si="833"/>
        <v>167</v>
      </c>
      <c r="N1098" s="111"/>
      <c r="O1098" s="112"/>
      <c r="P1098" s="111">
        <f t="shared" ref="P1098:AH1098" si="834">SUM(P1092:P1097)</f>
        <v>3</v>
      </c>
      <c r="Q1098" s="111">
        <f t="shared" si="834"/>
        <v>4</v>
      </c>
      <c r="R1098" s="111">
        <f t="shared" si="834"/>
        <v>4</v>
      </c>
      <c r="S1098" s="111">
        <f t="shared" si="834"/>
        <v>5</v>
      </c>
      <c r="T1098" s="111">
        <f t="shared" si="834"/>
        <v>19</v>
      </c>
      <c r="U1098" s="111">
        <f t="shared" si="834"/>
        <v>2</v>
      </c>
      <c r="V1098" s="111">
        <f t="shared" si="834"/>
        <v>0</v>
      </c>
      <c r="W1098" s="111">
        <f t="shared" si="834"/>
        <v>0</v>
      </c>
      <c r="X1098" s="111">
        <f t="shared" si="834"/>
        <v>0</v>
      </c>
      <c r="Y1098" s="111">
        <f t="shared" si="834"/>
        <v>0</v>
      </c>
      <c r="Z1098" s="111">
        <f t="shared" si="834"/>
        <v>0</v>
      </c>
      <c r="AA1098" s="111">
        <f t="shared" si="834"/>
        <v>0</v>
      </c>
      <c r="AB1098" s="111">
        <f t="shared" si="834"/>
        <v>0</v>
      </c>
      <c r="AC1098" s="111">
        <f t="shared" si="834"/>
        <v>2</v>
      </c>
      <c r="AD1098" s="111">
        <f t="shared" si="834"/>
        <v>0</v>
      </c>
      <c r="AE1098" s="111">
        <f t="shared" si="834"/>
        <v>0</v>
      </c>
      <c r="AF1098" s="111">
        <f t="shared" si="834"/>
        <v>0</v>
      </c>
      <c r="AG1098" s="111">
        <f t="shared" si="834"/>
        <v>0</v>
      </c>
      <c r="AH1098" s="111">
        <f t="shared" si="834"/>
        <v>0</v>
      </c>
    </row>
    <row r="1099">
      <c r="A1099" s="104" t="s">
        <v>317</v>
      </c>
    </row>
    <row r="1101" hidden="1">
      <c r="A1101" s="105"/>
      <c r="F1101" s="106" t="s">
        <v>251</v>
      </c>
      <c r="L1101" s="107" t="s">
        <v>252</v>
      </c>
      <c r="N1101" s="108" t="s">
        <v>253</v>
      </c>
    </row>
    <row r="1102" hidden="1">
      <c r="A1102" s="76" t="s">
        <v>148</v>
      </c>
      <c r="B1102" s="76" t="s">
        <v>149</v>
      </c>
      <c r="C1102" s="76" t="s">
        <v>150</v>
      </c>
      <c r="D1102" s="76" t="s">
        <v>13</v>
      </c>
      <c r="E1102" s="77" t="s">
        <v>151</v>
      </c>
      <c r="F1102" s="78" t="s">
        <v>15</v>
      </c>
      <c r="G1102" s="78" t="s">
        <v>152</v>
      </c>
      <c r="H1102" s="78" t="s">
        <v>153</v>
      </c>
      <c r="I1102" s="78" t="s">
        <v>154</v>
      </c>
      <c r="J1102" s="78" t="s">
        <v>155</v>
      </c>
      <c r="K1102" s="79" t="s">
        <v>156</v>
      </c>
      <c r="L1102" s="80" t="s">
        <v>157</v>
      </c>
      <c r="M1102" s="80" t="s">
        <v>158</v>
      </c>
      <c r="N1102" s="81" t="s">
        <v>254</v>
      </c>
      <c r="O1102" s="81" t="s">
        <v>151</v>
      </c>
      <c r="P1102" s="81" t="s">
        <v>160</v>
      </c>
      <c r="Q1102" s="81" t="s">
        <v>161</v>
      </c>
      <c r="R1102" s="81" t="s">
        <v>162</v>
      </c>
      <c r="S1102" s="81" t="s">
        <v>163</v>
      </c>
      <c r="T1102" s="81" t="s">
        <v>164</v>
      </c>
      <c r="U1102" s="81" t="s">
        <v>165</v>
      </c>
      <c r="V1102" s="81" t="s">
        <v>166</v>
      </c>
      <c r="W1102" s="81" t="s">
        <v>167</v>
      </c>
      <c r="X1102" s="81" t="s">
        <v>168</v>
      </c>
      <c r="Y1102" s="81" t="s">
        <v>169</v>
      </c>
      <c r="Z1102" s="81" t="s">
        <v>170</v>
      </c>
      <c r="AA1102" s="81" t="s">
        <v>171</v>
      </c>
      <c r="AB1102" s="81" t="s">
        <v>172</v>
      </c>
      <c r="AC1102" s="81" t="s">
        <v>173</v>
      </c>
      <c r="AD1102" s="81" t="s">
        <v>174</v>
      </c>
      <c r="AE1102" s="81" t="s">
        <v>175</v>
      </c>
      <c r="AF1102" s="81" t="s">
        <v>176</v>
      </c>
      <c r="AG1102" s="81" t="s">
        <v>177</v>
      </c>
      <c r="AH1102" s="81" t="s">
        <v>178</v>
      </c>
    </row>
    <row r="1103" hidden="1">
      <c r="A1103" s="109" t="s">
        <v>49</v>
      </c>
      <c r="B1103" s="93" t="s">
        <v>198</v>
      </c>
      <c r="C1103" s="85">
        <v>1.0</v>
      </c>
      <c r="D1103" s="94">
        <v>0.0</v>
      </c>
      <c r="E1103" s="86">
        <v>24.0</v>
      </c>
      <c r="F1103" s="94">
        <v>0.0</v>
      </c>
      <c r="G1103" s="85">
        <v>59.0</v>
      </c>
      <c r="H1103" s="94">
        <v>0.0</v>
      </c>
      <c r="I1103" s="85">
        <v>54.0</v>
      </c>
      <c r="J1103" s="95">
        <f t="shared" ref="J1103:J1116" si="835">SUM(G1103-I1103)</f>
        <v>5</v>
      </c>
      <c r="K1103" s="87">
        <f t="shared" ref="K1103:K1116" si="836">SUM(G1103/I1103)</f>
        <v>1.092592593</v>
      </c>
      <c r="L1103" s="85">
        <v>23.0</v>
      </c>
      <c r="M1103" s="85">
        <v>77.0</v>
      </c>
      <c r="N1103" s="85">
        <v>1.0</v>
      </c>
      <c r="O1103" s="110">
        <f t="shared" ref="O1103:O1108" si="837">(E1103*N1103)</f>
        <v>24</v>
      </c>
      <c r="P1103" s="85">
        <v>3.0</v>
      </c>
      <c r="Q1103" s="85">
        <v>1.0</v>
      </c>
      <c r="R1103" s="85">
        <v>4.0</v>
      </c>
      <c r="S1103" s="85">
        <v>5.0</v>
      </c>
      <c r="T1103" s="85">
        <v>8.0</v>
      </c>
      <c r="U1103" s="85">
        <v>1.0</v>
      </c>
      <c r="V1103" s="94">
        <v>0.0</v>
      </c>
      <c r="W1103" s="94">
        <v>0.0</v>
      </c>
      <c r="X1103" s="94">
        <v>0.0</v>
      </c>
      <c r="Y1103" s="94">
        <v>0.0</v>
      </c>
      <c r="Z1103" s="94">
        <v>0.0</v>
      </c>
      <c r="AA1103" s="94">
        <v>0.0</v>
      </c>
      <c r="AB1103" s="94">
        <v>0.0</v>
      </c>
      <c r="AC1103" s="85">
        <v>1.0</v>
      </c>
      <c r="AD1103" s="94">
        <v>0.0</v>
      </c>
      <c r="AE1103" s="94">
        <v>0.0</v>
      </c>
      <c r="AF1103" s="94">
        <v>0.0</v>
      </c>
      <c r="AG1103" s="94">
        <v>0.0</v>
      </c>
      <c r="AH1103" s="94">
        <v>0.0</v>
      </c>
    </row>
    <row r="1104" hidden="1">
      <c r="A1104" s="109" t="s">
        <v>49</v>
      </c>
      <c r="B1104" s="93" t="s">
        <v>199</v>
      </c>
      <c r="C1104" s="85">
        <v>1.0</v>
      </c>
      <c r="D1104" s="94">
        <v>0.0</v>
      </c>
      <c r="E1104" s="86">
        <v>24.0</v>
      </c>
      <c r="F1104" s="94">
        <v>0.0</v>
      </c>
      <c r="G1104" s="85">
        <v>95.0</v>
      </c>
      <c r="H1104" s="94">
        <v>0.0</v>
      </c>
      <c r="I1104" s="85">
        <v>79.0</v>
      </c>
      <c r="J1104" s="95">
        <f t="shared" si="835"/>
        <v>16</v>
      </c>
      <c r="K1104" s="87">
        <f t="shared" si="836"/>
        <v>1.202531646</v>
      </c>
      <c r="L1104" s="85">
        <v>15.0</v>
      </c>
      <c r="M1104" s="85">
        <v>121.0</v>
      </c>
      <c r="N1104" s="85">
        <v>1.0</v>
      </c>
      <c r="O1104" s="110">
        <f t="shared" si="837"/>
        <v>24</v>
      </c>
      <c r="P1104" s="85">
        <v>2.0</v>
      </c>
      <c r="Q1104" s="85">
        <v>3.0</v>
      </c>
      <c r="R1104" s="85">
        <v>8.0</v>
      </c>
      <c r="S1104" s="94">
        <v>0.0</v>
      </c>
      <c r="T1104" s="85">
        <v>10.0</v>
      </c>
      <c r="U1104" s="85">
        <v>2.0</v>
      </c>
      <c r="V1104" s="85">
        <v>2.0</v>
      </c>
      <c r="W1104" s="94">
        <v>0.0</v>
      </c>
      <c r="X1104" s="94">
        <v>0.0</v>
      </c>
      <c r="Y1104" s="94">
        <v>0.0</v>
      </c>
      <c r="Z1104" s="94">
        <v>0.0</v>
      </c>
      <c r="AA1104" s="94">
        <v>0.0</v>
      </c>
      <c r="AB1104" s="94">
        <v>0.0</v>
      </c>
      <c r="AC1104" s="85">
        <v>5.0</v>
      </c>
      <c r="AD1104" s="94">
        <v>0.0</v>
      </c>
      <c r="AE1104" s="94">
        <v>0.0</v>
      </c>
      <c r="AF1104" s="94">
        <v>0.0</v>
      </c>
      <c r="AG1104" s="94">
        <v>0.0</v>
      </c>
      <c r="AH1104" s="94">
        <v>0.0</v>
      </c>
    </row>
    <row r="1105" hidden="1">
      <c r="A1105" s="109" t="s">
        <v>49</v>
      </c>
      <c r="B1105" s="93" t="s">
        <v>200</v>
      </c>
      <c r="C1105" s="85">
        <v>1.0</v>
      </c>
      <c r="D1105" s="94">
        <v>0.0</v>
      </c>
      <c r="E1105" s="86">
        <v>24.0</v>
      </c>
      <c r="F1105" s="94">
        <v>0.0</v>
      </c>
      <c r="G1105" s="85">
        <v>57.0</v>
      </c>
      <c r="H1105" s="94">
        <v>0.0</v>
      </c>
      <c r="I1105" s="85">
        <v>72.0</v>
      </c>
      <c r="J1105" s="95">
        <f t="shared" si="835"/>
        <v>-15</v>
      </c>
      <c r="K1105" s="87">
        <f t="shared" si="836"/>
        <v>0.7916666667</v>
      </c>
      <c r="L1105" s="85">
        <v>17.0</v>
      </c>
      <c r="M1105" s="85">
        <v>72.0</v>
      </c>
      <c r="N1105" s="85">
        <v>1.0</v>
      </c>
      <c r="O1105" s="110">
        <f t="shared" si="837"/>
        <v>24</v>
      </c>
      <c r="P1105" s="85">
        <v>4.0</v>
      </c>
      <c r="Q1105" s="85">
        <v>2.0</v>
      </c>
      <c r="R1105" s="94">
        <v>0.0</v>
      </c>
      <c r="S1105" s="94">
        <v>0.0</v>
      </c>
      <c r="T1105" s="85">
        <v>9.0</v>
      </c>
      <c r="U1105" s="85">
        <v>2.0</v>
      </c>
      <c r="V1105" s="85">
        <v>1.0</v>
      </c>
      <c r="W1105" s="94">
        <v>0.0</v>
      </c>
      <c r="X1105" s="94">
        <v>0.0</v>
      </c>
      <c r="Y1105" s="94">
        <v>0.0</v>
      </c>
      <c r="Z1105" s="94">
        <v>0.0</v>
      </c>
      <c r="AA1105" s="94">
        <v>0.0</v>
      </c>
      <c r="AB1105" s="94">
        <v>0.0</v>
      </c>
      <c r="AC1105" s="94">
        <v>0.0</v>
      </c>
      <c r="AD1105" s="94">
        <v>0.0</v>
      </c>
      <c r="AE1105" s="94">
        <v>0.0</v>
      </c>
      <c r="AF1105" s="94">
        <v>0.0</v>
      </c>
      <c r="AG1105" s="94">
        <v>0.0</v>
      </c>
      <c r="AH1105" s="94">
        <v>0.0</v>
      </c>
    </row>
    <row r="1106" hidden="1">
      <c r="A1106" s="109" t="s">
        <v>49</v>
      </c>
      <c r="B1106" s="93" t="s">
        <v>201</v>
      </c>
      <c r="C1106" s="94">
        <v>0.0</v>
      </c>
      <c r="D1106" s="94">
        <v>0.0</v>
      </c>
      <c r="E1106" s="86">
        <v>24.0</v>
      </c>
      <c r="F1106" s="94">
        <v>0.0</v>
      </c>
      <c r="G1106" s="94">
        <v>0.0</v>
      </c>
      <c r="H1106" s="94">
        <v>0.0</v>
      </c>
      <c r="I1106" s="94">
        <v>0.0</v>
      </c>
      <c r="J1106" s="95">
        <f t="shared" si="835"/>
        <v>0</v>
      </c>
      <c r="K1106" s="87" t="str">
        <f t="shared" si="836"/>
        <v>#DIV/0!</v>
      </c>
      <c r="L1106" s="85">
        <v>9.0</v>
      </c>
      <c r="M1106" s="85">
        <v>118.0</v>
      </c>
      <c r="N1106" s="85">
        <v>1.0</v>
      </c>
      <c r="O1106" s="110">
        <f t="shared" si="837"/>
        <v>24</v>
      </c>
      <c r="P1106" s="85">
        <v>7.0</v>
      </c>
      <c r="Q1106" s="85">
        <v>1.0</v>
      </c>
      <c r="R1106" s="85">
        <v>9.0</v>
      </c>
      <c r="S1106" s="85">
        <v>1.0</v>
      </c>
      <c r="T1106" s="85">
        <v>13.0</v>
      </c>
      <c r="U1106" s="85">
        <v>2.0</v>
      </c>
      <c r="V1106" s="94">
        <v>0.0</v>
      </c>
      <c r="W1106" s="94">
        <v>0.0</v>
      </c>
      <c r="X1106" s="94">
        <v>0.0</v>
      </c>
      <c r="Y1106" s="94">
        <v>0.0</v>
      </c>
      <c r="Z1106" s="94">
        <v>0.0</v>
      </c>
      <c r="AA1106" s="94">
        <v>0.0</v>
      </c>
      <c r="AB1106" s="94">
        <v>0.0</v>
      </c>
      <c r="AC1106" s="94">
        <v>0.0</v>
      </c>
      <c r="AD1106" s="94">
        <v>0.0</v>
      </c>
      <c r="AE1106" s="94">
        <v>0.0</v>
      </c>
      <c r="AF1106" s="94">
        <v>0.0</v>
      </c>
      <c r="AG1106" s="94">
        <v>0.0</v>
      </c>
      <c r="AH1106" s="94">
        <v>0.0</v>
      </c>
    </row>
    <row r="1107" hidden="1">
      <c r="A1107" s="109" t="s">
        <v>49</v>
      </c>
      <c r="B1107" s="93" t="s">
        <v>202</v>
      </c>
      <c r="C1107" s="85">
        <v>1.0</v>
      </c>
      <c r="D1107" s="94">
        <v>0.0</v>
      </c>
      <c r="E1107" s="96">
        <f t="shared" ref="E1107:E1108" si="838">SUM(L1107*I1107)/60</f>
        <v>0</v>
      </c>
      <c r="F1107" s="94">
        <v>0.0</v>
      </c>
      <c r="G1107" s="85">
        <v>90.0</v>
      </c>
      <c r="H1107" s="85">
        <v>1.0</v>
      </c>
      <c r="I1107" s="85">
        <v>116.0</v>
      </c>
      <c r="J1107" s="95">
        <f t="shared" si="835"/>
        <v>-26</v>
      </c>
      <c r="K1107" s="87">
        <f t="shared" si="836"/>
        <v>0.775862069</v>
      </c>
      <c r="L1107" s="94">
        <v>0.0</v>
      </c>
      <c r="M1107" s="94">
        <v>0.0</v>
      </c>
      <c r="N1107" s="85">
        <v>0.0</v>
      </c>
      <c r="O1107" s="110">
        <f t="shared" si="837"/>
        <v>0</v>
      </c>
      <c r="P1107" s="94">
        <v>0.0</v>
      </c>
      <c r="Q1107" s="94">
        <v>0.0</v>
      </c>
      <c r="R1107" s="94">
        <v>0.0</v>
      </c>
      <c r="S1107" s="94">
        <v>0.0</v>
      </c>
      <c r="T1107" s="94">
        <v>0.0</v>
      </c>
      <c r="U1107" s="94">
        <v>0.0</v>
      </c>
      <c r="V1107" s="94">
        <v>0.0</v>
      </c>
      <c r="W1107" s="94">
        <v>0.0</v>
      </c>
      <c r="X1107" s="94">
        <v>0.0</v>
      </c>
      <c r="Y1107" s="94">
        <v>0.0</v>
      </c>
      <c r="Z1107" s="94">
        <v>0.0</v>
      </c>
      <c r="AA1107" s="94">
        <v>0.0</v>
      </c>
      <c r="AB1107" s="94">
        <v>0.0</v>
      </c>
      <c r="AC1107" s="94">
        <v>0.0</v>
      </c>
      <c r="AD1107" s="94">
        <v>0.0</v>
      </c>
      <c r="AE1107" s="94">
        <v>0.0</v>
      </c>
      <c r="AF1107" s="94">
        <v>0.0</v>
      </c>
      <c r="AG1107" s="94">
        <v>0.0</v>
      </c>
      <c r="AH1107" s="94">
        <v>0.0</v>
      </c>
    </row>
    <row r="1108" hidden="1">
      <c r="A1108" s="109" t="s">
        <v>49</v>
      </c>
      <c r="B1108" s="116"/>
      <c r="C1108" s="94">
        <v>0.0</v>
      </c>
      <c r="D1108" s="94">
        <v>0.0</v>
      </c>
      <c r="E1108" s="96">
        <f t="shared" si="838"/>
        <v>0</v>
      </c>
      <c r="F1108" s="94">
        <v>0.0</v>
      </c>
      <c r="G1108" s="94">
        <v>0.0</v>
      </c>
      <c r="H1108" s="94">
        <v>0.0</v>
      </c>
      <c r="I1108" s="94">
        <v>0.0</v>
      </c>
      <c r="J1108" s="95">
        <f t="shared" si="835"/>
        <v>0</v>
      </c>
      <c r="K1108" s="87" t="str">
        <f t="shared" si="836"/>
        <v>#DIV/0!</v>
      </c>
      <c r="L1108" s="94">
        <v>0.0</v>
      </c>
      <c r="M1108" s="94">
        <v>0.0</v>
      </c>
      <c r="N1108" s="85">
        <v>0.0</v>
      </c>
      <c r="O1108" s="110">
        <f t="shared" si="837"/>
        <v>0</v>
      </c>
      <c r="P1108" s="94">
        <v>0.0</v>
      </c>
      <c r="Q1108" s="94">
        <v>0.0</v>
      </c>
      <c r="R1108" s="94">
        <v>0.0</v>
      </c>
      <c r="S1108" s="94">
        <v>0.0</v>
      </c>
      <c r="T1108" s="94">
        <v>0.0</v>
      </c>
      <c r="U1108" s="94">
        <v>0.0</v>
      </c>
      <c r="V1108" s="94">
        <v>0.0</v>
      </c>
      <c r="W1108" s="94">
        <v>0.0</v>
      </c>
      <c r="X1108" s="94">
        <v>0.0</v>
      </c>
      <c r="Y1108" s="94">
        <v>0.0</v>
      </c>
      <c r="Z1108" s="94">
        <v>0.0</v>
      </c>
      <c r="AA1108" s="94">
        <v>0.0</v>
      </c>
      <c r="AB1108" s="94">
        <v>0.0</v>
      </c>
      <c r="AC1108" s="94">
        <v>0.0</v>
      </c>
      <c r="AD1108" s="94">
        <v>0.0</v>
      </c>
      <c r="AE1108" s="94">
        <v>0.0</v>
      </c>
      <c r="AF1108" s="94">
        <v>0.0</v>
      </c>
      <c r="AG1108" s="94">
        <v>0.0</v>
      </c>
      <c r="AH1108" s="94">
        <v>0.0</v>
      </c>
    </row>
    <row r="1109" hidden="1">
      <c r="A1109" s="89"/>
      <c r="B1109" s="111"/>
      <c r="C1109" s="111">
        <f t="shared" ref="C1109:D1109" si="839">SUM(C1103:C1108)/4</f>
        <v>1</v>
      </c>
      <c r="D1109" s="111">
        <f t="shared" si="839"/>
        <v>0</v>
      </c>
      <c r="E1109" s="91">
        <f t="shared" ref="E1109:G1109" si="840">SUM(E1103:E1108)</f>
        <v>96</v>
      </c>
      <c r="F1109" s="111">
        <f t="shared" si="840"/>
        <v>0</v>
      </c>
      <c r="G1109" s="111">
        <f t="shared" si="840"/>
        <v>301</v>
      </c>
      <c r="H1109" s="111"/>
      <c r="I1109" s="111">
        <f>SUM(I1103:I1108)</f>
        <v>321</v>
      </c>
      <c r="J1109" s="111">
        <f t="shared" si="835"/>
        <v>-20</v>
      </c>
      <c r="K1109" s="92">
        <f t="shared" si="836"/>
        <v>0.937694704</v>
      </c>
      <c r="L1109" s="111">
        <f t="shared" ref="L1109:M1109" si="841">SUM(L1103:L1108)</f>
        <v>64</v>
      </c>
      <c r="M1109" s="111">
        <f t="shared" si="841"/>
        <v>388</v>
      </c>
      <c r="N1109" s="111"/>
      <c r="O1109" s="112"/>
      <c r="P1109" s="111">
        <f t="shared" ref="P1109:AH1109" si="842">SUM(P1103:P1108)</f>
        <v>16</v>
      </c>
      <c r="Q1109" s="111">
        <f t="shared" si="842"/>
        <v>7</v>
      </c>
      <c r="R1109" s="111">
        <f t="shared" si="842"/>
        <v>21</v>
      </c>
      <c r="S1109" s="111">
        <f t="shared" si="842"/>
        <v>6</v>
      </c>
      <c r="T1109" s="111">
        <f t="shared" si="842"/>
        <v>40</v>
      </c>
      <c r="U1109" s="111">
        <f t="shared" si="842"/>
        <v>7</v>
      </c>
      <c r="V1109" s="111">
        <f t="shared" si="842"/>
        <v>3</v>
      </c>
      <c r="W1109" s="111">
        <f t="shared" si="842"/>
        <v>0</v>
      </c>
      <c r="X1109" s="111">
        <f t="shared" si="842"/>
        <v>0</v>
      </c>
      <c r="Y1109" s="111">
        <f t="shared" si="842"/>
        <v>0</v>
      </c>
      <c r="Z1109" s="111">
        <f t="shared" si="842"/>
        <v>0</v>
      </c>
      <c r="AA1109" s="111">
        <f t="shared" si="842"/>
        <v>0</v>
      </c>
      <c r="AB1109" s="111">
        <f t="shared" si="842"/>
        <v>0</v>
      </c>
      <c r="AC1109" s="111">
        <f t="shared" si="842"/>
        <v>6</v>
      </c>
      <c r="AD1109" s="111">
        <f t="shared" si="842"/>
        <v>0</v>
      </c>
      <c r="AE1109" s="111">
        <f t="shared" si="842"/>
        <v>0</v>
      </c>
      <c r="AF1109" s="111">
        <f t="shared" si="842"/>
        <v>0</v>
      </c>
      <c r="AG1109" s="111">
        <f t="shared" si="842"/>
        <v>0</v>
      </c>
      <c r="AH1109" s="111">
        <f t="shared" si="842"/>
        <v>0</v>
      </c>
    </row>
    <row r="1110" hidden="1">
      <c r="A1110" s="109" t="s">
        <v>47</v>
      </c>
      <c r="B1110" s="93" t="s">
        <v>237</v>
      </c>
      <c r="C1110" s="85">
        <v>1.0</v>
      </c>
      <c r="D1110" s="85">
        <v>1.0</v>
      </c>
      <c r="E1110" s="86">
        <v>24.0</v>
      </c>
      <c r="F1110" s="94">
        <v>0.0</v>
      </c>
      <c r="G1110" s="85">
        <v>108.0</v>
      </c>
      <c r="H1110" s="94">
        <v>0.0</v>
      </c>
      <c r="I1110" s="85">
        <v>82.0</v>
      </c>
      <c r="J1110" s="95">
        <f t="shared" si="835"/>
        <v>26</v>
      </c>
      <c r="K1110" s="87">
        <f t="shared" si="836"/>
        <v>1.317073171</v>
      </c>
      <c r="L1110" s="85">
        <v>14.0</v>
      </c>
      <c r="M1110" s="85">
        <v>139.0</v>
      </c>
      <c r="N1110" s="85">
        <v>1.0</v>
      </c>
      <c r="O1110" s="110">
        <f t="shared" ref="O1110:O1115" si="843">(E1110*N1110)</f>
        <v>24</v>
      </c>
      <c r="P1110" s="85">
        <v>2.0</v>
      </c>
      <c r="Q1110" s="85">
        <v>1.0</v>
      </c>
      <c r="R1110" s="85">
        <v>3.0</v>
      </c>
      <c r="S1110" s="85">
        <v>1.0</v>
      </c>
      <c r="T1110" s="85">
        <v>19.0</v>
      </c>
      <c r="U1110" s="85">
        <v>6.0</v>
      </c>
      <c r="V1110" s="85">
        <v>1.0</v>
      </c>
      <c r="W1110" s="94">
        <v>0.0</v>
      </c>
      <c r="X1110" s="94">
        <v>0.0</v>
      </c>
      <c r="Y1110" s="94">
        <v>0.0</v>
      </c>
      <c r="Z1110" s="94">
        <v>0.0</v>
      </c>
      <c r="AA1110" s="94">
        <v>0.0</v>
      </c>
      <c r="AB1110" s="94">
        <v>0.0</v>
      </c>
      <c r="AC1110" s="85">
        <v>3.0</v>
      </c>
      <c r="AD1110" s="94">
        <v>0.0</v>
      </c>
      <c r="AE1110" s="94">
        <v>0.0</v>
      </c>
      <c r="AF1110" s="94">
        <v>0.0</v>
      </c>
      <c r="AG1110" s="94">
        <v>0.0</v>
      </c>
      <c r="AH1110" s="94">
        <v>0.0</v>
      </c>
    </row>
    <row r="1111" hidden="1">
      <c r="A1111" s="109" t="s">
        <v>47</v>
      </c>
      <c r="B1111" s="93" t="s">
        <v>238</v>
      </c>
      <c r="C1111" s="85">
        <v>1.0</v>
      </c>
      <c r="D1111" s="85">
        <v>1.0</v>
      </c>
      <c r="E1111" s="86">
        <v>24.0</v>
      </c>
      <c r="F1111" s="85">
        <v>4.0</v>
      </c>
      <c r="G1111" s="85">
        <v>74.0</v>
      </c>
      <c r="H1111" s="94">
        <v>0.0</v>
      </c>
      <c r="I1111" s="85">
        <v>77.0</v>
      </c>
      <c r="J1111" s="95">
        <f t="shared" si="835"/>
        <v>-3</v>
      </c>
      <c r="K1111" s="87">
        <f t="shared" si="836"/>
        <v>0.961038961</v>
      </c>
      <c r="L1111" s="85">
        <v>16.0</v>
      </c>
      <c r="M1111" s="85">
        <v>99.0</v>
      </c>
      <c r="N1111" s="85">
        <v>1.0</v>
      </c>
      <c r="O1111" s="110">
        <f t="shared" si="843"/>
        <v>24</v>
      </c>
      <c r="P1111" s="85">
        <v>7.0</v>
      </c>
      <c r="Q1111" s="85">
        <v>1.0</v>
      </c>
      <c r="R1111" s="94">
        <v>0.0</v>
      </c>
      <c r="S1111" s="85">
        <v>2.0</v>
      </c>
      <c r="T1111" s="85">
        <v>12.0</v>
      </c>
      <c r="U1111" s="85">
        <v>1.0</v>
      </c>
      <c r="V1111" s="94">
        <v>0.0</v>
      </c>
      <c r="W1111" s="94">
        <v>0.0</v>
      </c>
      <c r="X1111" s="94">
        <v>0.0</v>
      </c>
      <c r="Y1111" s="94">
        <v>0.0</v>
      </c>
      <c r="Z1111" s="94">
        <v>0.0</v>
      </c>
      <c r="AA1111" s="94">
        <v>0.0</v>
      </c>
      <c r="AB1111" s="94">
        <v>0.0</v>
      </c>
      <c r="AC1111" s="85">
        <v>1.0</v>
      </c>
      <c r="AD1111" s="94">
        <v>0.0</v>
      </c>
      <c r="AE1111" s="94">
        <v>0.0</v>
      </c>
      <c r="AF1111" s="94">
        <v>0.0</v>
      </c>
      <c r="AG1111" s="94">
        <v>0.0</v>
      </c>
      <c r="AH1111" s="94">
        <v>0.0</v>
      </c>
    </row>
    <row r="1112" hidden="1">
      <c r="A1112" s="109" t="s">
        <v>47</v>
      </c>
      <c r="B1112" s="93" t="s">
        <v>239</v>
      </c>
      <c r="C1112" s="85">
        <v>1.0</v>
      </c>
      <c r="D1112" s="85">
        <v>1.0</v>
      </c>
      <c r="E1112" s="86">
        <v>24.0</v>
      </c>
      <c r="F1112" s="94">
        <v>0.0</v>
      </c>
      <c r="G1112" s="85">
        <v>64.0</v>
      </c>
      <c r="H1112" s="94">
        <v>0.0</v>
      </c>
      <c r="I1112" s="85">
        <v>80.0</v>
      </c>
      <c r="J1112" s="95">
        <f t="shared" si="835"/>
        <v>-16</v>
      </c>
      <c r="K1112" s="87">
        <f t="shared" si="836"/>
        <v>0.8</v>
      </c>
      <c r="L1112" s="85">
        <v>15.0</v>
      </c>
      <c r="M1112" s="85">
        <v>83.0</v>
      </c>
      <c r="N1112" s="85">
        <v>1.0</v>
      </c>
      <c r="O1112" s="110">
        <f t="shared" si="843"/>
        <v>24</v>
      </c>
      <c r="P1112" s="85">
        <v>3.0</v>
      </c>
      <c r="Q1112" s="85">
        <v>1.0</v>
      </c>
      <c r="R1112" s="85">
        <v>4.0</v>
      </c>
      <c r="S1112" s="94">
        <v>0.0</v>
      </c>
      <c r="T1112" s="85">
        <v>7.0</v>
      </c>
      <c r="U1112" s="85">
        <v>4.0</v>
      </c>
      <c r="V1112" s="85">
        <v>2.0</v>
      </c>
      <c r="W1112" s="85">
        <v>1.0</v>
      </c>
      <c r="X1112" s="94">
        <v>0.0</v>
      </c>
      <c r="Y1112" s="94">
        <v>0.0</v>
      </c>
      <c r="Z1112" s="94">
        <v>0.0</v>
      </c>
      <c r="AA1112" s="94">
        <v>0.0</v>
      </c>
      <c r="AB1112" s="94">
        <v>0.0</v>
      </c>
      <c r="AC1112" s="85">
        <v>1.0</v>
      </c>
      <c r="AD1112" s="94">
        <v>0.0</v>
      </c>
      <c r="AE1112" s="94">
        <v>0.0</v>
      </c>
      <c r="AF1112" s="94">
        <v>0.0</v>
      </c>
      <c r="AG1112" s="85">
        <v>1.0</v>
      </c>
      <c r="AH1112" s="94">
        <v>0.0</v>
      </c>
    </row>
    <row r="1113" hidden="1">
      <c r="A1113" s="109" t="s">
        <v>47</v>
      </c>
      <c r="B1113" s="93" t="s">
        <v>240</v>
      </c>
      <c r="C1113" s="85">
        <v>1.0</v>
      </c>
      <c r="D1113" s="85">
        <v>1.0</v>
      </c>
      <c r="E1113" s="86">
        <v>24.0</v>
      </c>
      <c r="F1113" s="85">
        <v>1.0</v>
      </c>
      <c r="G1113" s="85">
        <v>69.0</v>
      </c>
      <c r="H1113" s="94">
        <v>0.0</v>
      </c>
      <c r="I1113" s="85">
        <v>94.0</v>
      </c>
      <c r="J1113" s="95">
        <f t="shared" si="835"/>
        <v>-25</v>
      </c>
      <c r="K1113" s="87">
        <f t="shared" si="836"/>
        <v>0.7340425532</v>
      </c>
      <c r="L1113" s="85">
        <v>19.0</v>
      </c>
      <c r="M1113" s="85">
        <v>77.0</v>
      </c>
      <c r="N1113" s="85">
        <v>1.0</v>
      </c>
      <c r="O1113" s="110">
        <f t="shared" si="843"/>
        <v>24</v>
      </c>
      <c r="P1113" s="94">
        <v>0.0</v>
      </c>
      <c r="Q1113" s="85">
        <v>1.0</v>
      </c>
      <c r="R1113" s="85">
        <v>1.0</v>
      </c>
      <c r="S1113" s="85">
        <v>3.0</v>
      </c>
      <c r="T1113" s="85">
        <v>8.0</v>
      </c>
      <c r="U1113" s="94">
        <v>0.0</v>
      </c>
      <c r="V1113" s="94">
        <v>0.0</v>
      </c>
      <c r="W1113" s="94">
        <v>0.0</v>
      </c>
      <c r="X1113" s="94">
        <v>0.0</v>
      </c>
      <c r="Y1113" s="94">
        <v>0.0</v>
      </c>
      <c r="Z1113" s="94">
        <v>0.0</v>
      </c>
      <c r="AA1113" s="94">
        <v>0.0</v>
      </c>
      <c r="AB1113" s="94">
        <v>0.0</v>
      </c>
      <c r="AC1113" s="85">
        <v>1.0</v>
      </c>
      <c r="AD1113" s="94">
        <v>0.0</v>
      </c>
      <c r="AE1113" s="94">
        <v>0.0</v>
      </c>
      <c r="AF1113" s="94">
        <v>0.0</v>
      </c>
      <c r="AG1113" s="94">
        <v>0.0</v>
      </c>
      <c r="AH1113" s="94">
        <v>0.0</v>
      </c>
    </row>
    <row r="1114" hidden="1">
      <c r="A1114" s="109" t="s">
        <v>47</v>
      </c>
      <c r="B1114" s="93" t="s">
        <v>241</v>
      </c>
      <c r="C1114" s="94">
        <v>0.0</v>
      </c>
      <c r="D1114" s="94">
        <v>0.0</v>
      </c>
      <c r="E1114" s="96">
        <f t="shared" ref="E1114:E1115" si="844">SUM(L1114*I1114)/60</f>
        <v>0</v>
      </c>
      <c r="F1114" s="94">
        <v>0.0</v>
      </c>
      <c r="G1114" s="94">
        <v>0.0</v>
      </c>
      <c r="H1114" s="94">
        <v>0.0</v>
      </c>
      <c r="I1114" s="94">
        <v>0.0</v>
      </c>
      <c r="J1114" s="95">
        <f t="shared" si="835"/>
        <v>0</v>
      </c>
      <c r="K1114" s="87" t="str">
        <f t="shared" si="836"/>
        <v>#DIV/0!</v>
      </c>
      <c r="L1114" s="94">
        <v>0.0</v>
      </c>
      <c r="M1114" s="94">
        <v>0.0</v>
      </c>
      <c r="N1114" s="85">
        <v>0.0</v>
      </c>
      <c r="O1114" s="110">
        <f t="shared" si="843"/>
        <v>0</v>
      </c>
      <c r="P1114" s="94">
        <v>0.0</v>
      </c>
      <c r="Q1114" s="94">
        <v>0.0</v>
      </c>
      <c r="R1114" s="94">
        <v>0.0</v>
      </c>
      <c r="S1114" s="94">
        <v>0.0</v>
      </c>
      <c r="T1114" s="94">
        <v>0.0</v>
      </c>
      <c r="U1114" s="94">
        <v>0.0</v>
      </c>
      <c r="V1114" s="94">
        <v>0.0</v>
      </c>
      <c r="W1114" s="94">
        <v>0.0</v>
      </c>
      <c r="X1114" s="94">
        <v>0.0</v>
      </c>
      <c r="Y1114" s="94">
        <v>0.0</v>
      </c>
      <c r="Z1114" s="94">
        <v>0.0</v>
      </c>
      <c r="AA1114" s="94">
        <v>0.0</v>
      </c>
      <c r="AB1114" s="94">
        <v>0.0</v>
      </c>
      <c r="AC1114" s="94">
        <v>0.0</v>
      </c>
      <c r="AD1114" s="94">
        <v>0.0</v>
      </c>
      <c r="AE1114" s="94">
        <v>0.0</v>
      </c>
      <c r="AF1114" s="94">
        <v>0.0</v>
      </c>
      <c r="AG1114" s="94">
        <v>0.0</v>
      </c>
      <c r="AH1114" s="94">
        <v>0.0</v>
      </c>
    </row>
    <row r="1115" hidden="1">
      <c r="A1115" s="109" t="s">
        <v>214</v>
      </c>
      <c r="B1115" s="93" t="s">
        <v>182</v>
      </c>
      <c r="C1115" s="94">
        <v>0.0</v>
      </c>
      <c r="D1115" s="94">
        <v>0.0</v>
      </c>
      <c r="E1115" s="96">
        <f t="shared" si="844"/>
        <v>0</v>
      </c>
      <c r="F1115" s="94">
        <v>0.0</v>
      </c>
      <c r="G1115" s="94">
        <v>0.0</v>
      </c>
      <c r="H1115" s="94">
        <v>0.0</v>
      </c>
      <c r="I1115" s="94">
        <v>0.0</v>
      </c>
      <c r="J1115" s="95">
        <f t="shared" si="835"/>
        <v>0</v>
      </c>
      <c r="K1115" s="87" t="str">
        <f t="shared" si="836"/>
        <v>#DIV/0!</v>
      </c>
      <c r="L1115" s="94">
        <v>0.0</v>
      </c>
      <c r="M1115" s="94">
        <v>0.0</v>
      </c>
      <c r="N1115" s="85">
        <v>0.0</v>
      </c>
      <c r="O1115" s="110">
        <f t="shared" si="843"/>
        <v>0</v>
      </c>
      <c r="P1115" s="94">
        <v>0.0</v>
      </c>
      <c r="Q1115" s="94">
        <v>0.0</v>
      </c>
      <c r="R1115" s="94">
        <v>0.0</v>
      </c>
      <c r="S1115" s="94">
        <v>0.0</v>
      </c>
      <c r="T1115" s="94">
        <v>0.0</v>
      </c>
      <c r="U1115" s="94">
        <v>0.0</v>
      </c>
      <c r="V1115" s="94">
        <v>0.0</v>
      </c>
      <c r="W1115" s="94">
        <v>0.0</v>
      </c>
      <c r="X1115" s="94">
        <v>0.0</v>
      </c>
      <c r="Y1115" s="94">
        <v>0.0</v>
      </c>
      <c r="Z1115" s="94">
        <v>0.0</v>
      </c>
      <c r="AA1115" s="94">
        <v>0.0</v>
      </c>
      <c r="AB1115" s="94">
        <v>0.0</v>
      </c>
      <c r="AC1115" s="94">
        <v>0.0</v>
      </c>
      <c r="AD1115" s="94">
        <v>0.0</v>
      </c>
      <c r="AE1115" s="94">
        <v>0.0</v>
      </c>
      <c r="AF1115" s="94">
        <v>0.0</v>
      </c>
      <c r="AG1115" s="94">
        <v>0.0</v>
      </c>
      <c r="AH1115" s="94">
        <v>0.0</v>
      </c>
    </row>
    <row r="1116" hidden="1">
      <c r="A1116" s="89" t="s">
        <v>185</v>
      </c>
      <c r="B1116" s="111"/>
      <c r="C1116" s="111">
        <f>SUM(C1110:C1115)</f>
        <v>4</v>
      </c>
      <c r="D1116" s="111">
        <f t="shared" ref="D1116:E1116" si="845">SUM(D1110:D1115)/4</f>
        <v>1</v>
      </c>
      <c r="E1116" s="91">
        <f t="shared" si="845"/>
        <v>24</v>
      </c>
      <c r="F1116" s="111">
        <f t="shared" ref="F1116:G1116" si="846">SUM(F1110:F1115)</f>
        <v>5</v>
      </c>
      <c r="G1116" s="111">
        <f t="shared" si="846"/>
        <v>315</v>
      </c>
      <c r="H1116" s="111"/>
      <c r="I1116" s="111">
        <f>SUM(I1110:I1115)</f>
        <v>333</v>
      </c>
      <c r="J1116" s="111">
        <f t="shared" si="835"/>
        <v>-18</v>
      </c>
      <c r="K1116" s="92">
        <f t="shared" si="836"/>
        <v>0.9459459459</v>
      </c>
      <c r="L1116" s="111">
        <f t="shared" ref="L1116:M1116" si="847">SUM(L1110:L1115)</f>
        <v>64</v>
      </c>
      <c r="M1116" s="111">
        <f t="shared" si="847"/>
        <v>398</v>
      </c>
      <c r="N1116" s="111"/>
      <c r="O1116" s="112"/>
      <c r="P1116" s="111">
        <f t="shared" ref="P1116:AH1116" si="848">SUM(P1110:P1115)</f>
        <v>12</v>
      </c>
      <c r="Q1116" s="111">
        <f t="shared" si="848"/>
        <v>4</v>
      </c>
      <c r="R1116" s="111">
        <f t="shared" si="848"/>
        <v>8</v>
      </c>
      <c r="S1116" s="111">
        <f t="shared" si="848"/>
        <v>6</v>
      </c>
      <c r="T1116" s="111">
        <f t="shared" si="848"/>
        <v>46</v>
      </c>
      <c r="U1116" s="111">
        <f t="shared" si="848"/>
        <v>11</v>
      </c>
      <c r="V1116" s="111">
        <f t="shared" si="848"/>
        <v>3</v>
      </c>
      <c r="W1116" s="111">
        <f t="shared" si="848"/>
        <v>1</v>
      </c>
      <c r="X1116" s="111">
        <f t="shared" si="848"/>
        <v>0</v>
      </c>
      <c r="Y1116" s="111">
        <f t="shared" si="848"/>
        <v>0</v>
      </c>
      <c r="Z1116" s="111">
        <f t="shared" si="848"/>
        <v>0</v>
      </c>
      <c r="AA1116" s="111">
        <f t="shared" si="848"/>
        <v>0</v>
      </c>
      <c r="AB1116" s="111">
        <f t="shared" si="848"/>
        <v>0</v>
      </c>
      <c r="AC1116" s="111">
        <f t="shared" si="848"/>
        <v>6</v>
      </c>
      <c r="AD1116" s="111">
        <f t="shared" si="848"/>
        <v>0</v>
      </c>
      <c r="AE1116" s="111">
        <f t="shared" si="848"/>
        <v>0</v>
      </c>
      <c r="AF1116" s="111">
        <f t="shared" si="848"/>
        <v>0</v>
      </c>
      <c r="AG1116" s="111">
        <f t="shared" si="848"/>
        <v>1</v>
      </c>
      <c r="AH1116" s="111">
        <f t="shared" si="848"/>
        <v>0</v>
      </c>
    </row>
    <row r="1117">
      <c r="A1117" s="104" t="s">
        <v>318</v>
      </c>
    </row>
    <row r="1119" hidden="1">
      <c r="A1119" s="105"/>
      <c r="F1119" s="106" t="s">
        <v>251</v>
      </c>
      <c r="L1119" s="107" t="s">
        <v>252</v>
      </c>
      <c r="N1119" s="108" t="s">
        <v>253</v>
      </c>
    </row>
    <row r="1120" hidden="1">
      <c r="A1120" s="76" t="s">
        <v>148</v>
      </c>
      <c r="B1120" s="76" t="s">
        <v>149</v>
      </c>
      <c r="C1120" s="76" t="s">
        <v>150</v>
      </c>
      <c r="D1120" s="76" t="s">
        <v>13</v>
      </c>
      <c r="E1120" s="77" t="s">
        <v>151</v>
      </c>
      <c r="F1120" s="78" t="s">
        <v>15</v>
      </c>
      <c r="G1120" s="78" t="s">
        <v>152</v>
      </c>
      <c r="H1120" s="78" t="s">
        <v>153</v>
      </c>
      <c r="I1120" s="78" t="s">
        <v>154</v>
      </c>
      <c r="J1120" s="78" t="s">
        <v>155</v>
      </c>
      <c r="K1120" s="79" t="s">
        <v>156</v>
      </c>
      <c r="L1120" s="80" t="s">
        <v>157</v>
      </c>
      <c r="M1120" s="80" t="s">
        <v>158</v>
      </c>
      <c r="N1120" s="81" t="s">
        <v>254</v>
      </c>
      <c r="O1120" s="81" t="s">
        <v>151</v>
      </c>
      <c r="P1120" s="81" t="s">
        <v>160</v>
      </c>
      <c r="Q1120" s="81" t="s">
        <v>161</v>
      </c>
      <c r="R1120" s="81" t="s">
        <v>162</v>
      </c>
      <c r="S1120" s="81" t="s">
        <v>163</v>
      </c>
      <c r="T1120" s="81" t="s">
        <v>164</v>
      </c>
      <c r="U1120" s="81" t="s">
        <v>165</v>
      </c>
      <c r="V1120" s="81" t="s">
        <v>166</v>
      </c>
      <c r="W1120" s="81" t="s">
        <v>167</v>
      </c>
      <c r="X1120" s="81" t="s">
        <v>168</v>
      </c>
      <c r="Y1120" s="81" t="s">
        <v>169</v>
      </c>
      <c r="Z1120" s="81" t="s">
        <v>170</v>
      </c>
      <c r="AA1120" s="81" t="s">
        <v>171</v>
      </c>
      <c r="AB1120" s="81" t="s">
        <v>172</v>
      </c>
      <c r="AC1120" s="81" t="s">
        <v>173</v>
      </c>
      <c r="AD1120" s="81" t="s">
        <v>174</v>
      </c>
      <c r="AE1120" s="81" t="s">
        <v>175</v>
      </c>
      <c r="AF1120" s="81" t="s">
        <v>176</v>
      </c>
      <c r="AG1120" s="81" t="s">
        <v>177</v>
      </c>
      <c r="AH1120" s="81" t="s">
        <v>178</v>
      </c>
    </row>
    <row r="1121" hidden="1">
      <c r="A1121" s="109" t="s">
        <v>49</v>
      </c>
      <c r="B1121" s="93" t="s">
        <v>198</v>
      </c>
      <c r="C1121" s="85">
        <v>1.0</v>
      </c>
      <c r="D1121" s="85">
        <v>1.0</v>
      </c>
      <c r="E1121" s="86">
        <v>15.0</v>
      </c>
      <c r="F1121" s="85">
        <v>3.0</v>
      </c>
      <c r="G1121" s="85">
        <v>36.0</v>
      </c>
      <c r="H1121" s="94">
        <v>0.0</v>
      </c>
      <c r="I1121" s="85">
        <v>28.0</v>
      </c>
      <c r="J1121" s="95">
        <f t="shared" ref="J1121:J1134" si="849">SUM(G1121-I1121)</f>
        <v>8</v>
      </c>
      <c r="K1121" s="87">
        <f t="shared" ref="K1121:K1134" si="850">SUM(G1121/I1121)</f>
        <v>1.285714286</v>
      </c>
      <c r="L1121" s="85">
        <v>28.0</v>
      </c>
      <c r="M1121" s="85">
        <v>48.0</v>
      </c>
      <c r="N1121" s="85">
        <v>1.0</v>
      </c>
      <c r="O1121" s="110">
        <f t="shared" ref="O1121:O1126" si="851">(E1121*N1121)</f>
        <v>15</v>
      </c>
      <c r="P1121" s="94">
        <v>0.0</v>
      </c>
      <c r="Q1121" s="94">
        <v>0.0</v>
      </c>
      <c r="R1121" s="85">
        <v>3.0</v>
      </c>
      <c r="S1121" s="94">
        <v>0.0</v>
      </c>
      <c r="T1121" s="85">
        <v>5.0</v>
      </c>
      <c r="U1121" s="85">
        <v>1.0</v>
      </c>
      <c r="V1121" s="85">
        <v>1.0</v>
      </c>
      <c r="W1121" s="85">
        <v>1.0</v>
      </c>
      <c r="X1121" s="85">
        <v>1.0</v>
      </c>
      <c r="Y1121" s="94">
        <v>0.0</v>
      </c>
      <c r="Z1121" s="94">
        <v>0.0</v>
      </c>
      <c r="AA1121" s="94">
        <v>0.0</v>
      </c>
      <c r="AB1121" s="94">
        <v>0.0</v>
      </c>
      <c r="AC1121" s="85">
        <v>2.0</v>
      </c>
      <c r="AD1121" s="94">
        <v>0.0</v>
      </c>
      <c r="AE1121" s="94">
        <v>0.0</v>
      </c>
      <c r="AF1121" s="94">
        <v>0.0</v>
      </c>
      <c r="AG1121" s="94">
        <v>0.0</v>
      </c>
      <c r="AH1121" s="94">
        <v>0.0</v>
      </c>
    </row>
    <row r="1122" hidden="1">
      <c r="A1122" s="109" t="s">
        <v>49</v>
      </c>
      <c r="B1122" s="93" t="s">
        <v>199</v>
      </c>
      <c r="C1122" s="85">
        <v>1.0</v>
      </c>
      <c r="D1122" s="85">
        <v>1.0</v>
      </c>
      <c r="E1122" s="86">
        <v>15.0</v>
      </c>
      <c r="F1122" s="94">
        <v>0.0</v>
      </c>
      <c r="G1122" s="85">
        <v>51.0</v>
      </c>
      <c r="H1122" s="94">
        <v>0.0</v>
      </c>
      <c r="I1122" s="85">
        <v>34.0</v>
      </c>
      <c r="J1122" s="95">
        <f t="shared" si="849"/>
        <v>17</v>
      </c>
      <c r="K1122" s="87">
        <f t="shared" si="850"/>
        <v>1.5</v>
      </c>
      <c r="L1122" s="85">
        <v>22.0</v>
      </c>
      <c r="M1122" s="85">
        <v>66.0</v>
      </c>
      <c r="N1122" s="85">
        <v>1.0</v>
      </c>
      <c r="O1122" s="110">
        <f t="shared" si="851"/>
        <v>15</v>
      </c>
      <c r="P1122" s="85">
        <v>1.0</v>
      </c>
      <c r="Q1122" s="85">
        <v>3.0</v>
      </c>
      <c r="R1122" s="85">
        <v>4.0</v>
      </c>
      <c r="S1122" s="94">
        <v>0.0</v>
      </c>
      <c r="T1122" s="85">
        <v>7.0</v>
      </c>
      <c r="U1122" s="85">
        <v>3.0</v>
      </c>
      <c r="V1122" s="94">
        <v>0.0</v>
      </c>
      <c r="W1122" s="94">
        <v>0.0</v>
      </c>
      <c r="X1122" s="94">
        <v>0.0</v>
      </c>
      <c r="Y1122" s="94">
        <v>0.0</v>
      </c>
      <c r="Z1122" s="94">
        <v>0.0</v>
      </c>
      <c r="AA1122" s="94">
        <v>0.0</v>
      </c>
      <c r="AB1122" s="94">
        <v>0.0</v>
      </c>
      <c r="AC1122" s="85">
        <v>2.0</v>
      </c>
      <c r="AD1122" s="94">
        <v>0.0</v>
      </c>
      <c r="AE1122" s="94">
        <v>0.0</v>
      </c>
      <c r="AF1122" s="94">
        <v>0.0</v>
      </c>
      <c r="AG1122" s="94">
        <v>0.0</v>
      </c>
      <c r="AH1122" s="94">
        <v>0.0</v>
      </c>
    </row>
    <row r="1123" hidden="1">
      <c r="A1123" s="109" t="s">
        <v>49</v>
      </c>
      <c r="B1123" s="93" t="s">
        <v>200</v>
      </c>
      <c r="C1123" s="85">
        <v>1.0</v>
      </c>
      <c r="D1123" s="85">
        <v>1.0</v>
      </c>
      <c r="E1123" s="86">
        <v>15.0</v>
      </c>
      <c r="F1123" s="85">
        <v>1.0</v>
      </c>
      <c r="G1123" s="85">
        <v>81.0</v>
      </c>
      <c r="H1123" s="94">
        <v>0.0</v>
      </c>
      <c r="I1123" s="85">
        <v>43.0</v>
      </c>
      <c r="J1123" s="95">
        <f t="shared" si="849"/>
        <v>38</v>
      </c>
      <c r="K1123" s="87">
        <f t="shared" si="850"/>
        <v>1.88372093</v>
      </c>
      <c r="L1123" s="85">
        <v>17.0</v>
      </c>
      <c r="M1123" s="85">
        <v>118.0</v>
      </c>
      <c r="N1123" s="85">
        <v>1.0</v>
      </c>
      <c r="O1123" s="110">
        <f t="shared" si="851"/>
        <v>15</v>
      </c>
      <c r="P1123" s="85">
        <v>5.0</v>
      </c>
      <c r="Q1123" s="85">
        <v>3.0</v>
      </c>
      <c r="R1123" s="85">
        <v>5.0</v>
      </c>
      <c r="S1123" s="94">
        <v>0.0</v>
      </c>
      <c r="T1123" s="85">
        <v>10.0</v>
      </c>
      <c r="U1123" s="85">
        <v>4.0</v>
      </c>
      <c r="V1123" s="85">
        <v>2.0</v>
      </c>
      <c r="W1123" s="85">
        <v>2.0</v>
      </c>
      <c r="X1123" s="85">
        <v>1.0</v>
      </c>
      <c r="Y1123" s="85">
        <v>1.0</v>
      </c>
      <c r="Z1123" s="94">
        <v>0.0</v>
      </c>
      <c r="AA1123" s="94">
        <v>0.0</v>
      </c>
      <c r="AB1123" s="94">
        <v>0.0</v>
      </c>
      <c r="AC1123" s="94">
        <v>0.0</v>
      </c>
      <c r="AD1123" s="85">
        <v>4.0</v>
      </c>
      <c r="AE1123" s="94">
        <v>0.0</v>
      </c>
      <c r="AF1123" s="94">
        <v>0.0</v>
      </c>
      <c r="AG1123" s="85">
        <v>2.0</v>
      </c>
      <c r="AH1123" s="85">
        <v>1.0</v>
      </c>
    </row>
    <row r="1124" hidden="1">
      <c r="A1124" s="109" t="s">
        <v>49</v>
      </c>
      <c r="B1124" s="93" t="s">
        <v>201</v>
      </c>
      <c r="C1124" s="94">
        <v>0.0</v>
      </c>
      <c r="D1124" s="94">
        <v>0.0</v>
      </c>
      <c r="E1124" s="96">
        <f>SUM(L1124*I1124)/60</f>
        <v>0</v>
      </c>
      <c r="F1124" s="94">
        <v>0.0</v>
      </c>
      <c r="G1124" s="94">
        <v>0.0</v>
      </c>
      <c r="H1124" s="94">
        <v>0.0</v>
      </c>
      <c r="I1124" s="94">
        <v>0.0</v>
      </c>
      <c r="J1124" s="95">
        <f t="shared" si="849"/>
        <v>0</v>
      </c>
      <c r="K1124" s="87" t="str">
        <f t="shared" si="850"/>
        <v>#DIV/0!</v>
      </c>
      <c r="L1124" s="94">
        <v>0.0</v>
      </c>
      <c r="M1124" s="94">
        <v>0.0</v>
      </c>
      <c r="N1124" s="85">
        <v>0.0</v>
      </c>
      <c r="O1124" s="110">
        <f t="shared" si="851"/>
        <v>0</v>
      </c>
      <c r="P1124" s="94">
        <v>0.0</v>
      </c>
      <c r="Q1124" s="94">
        <v>0.0</v>
      </c>
      <c r="R1124" s="94">
        <v>0.0</v>
      </c>
      <c r="S1124" s="94">
        <v>0.0</v>
      </c>
      <c r="T1124" s="94">
        <v>0.0</v>
      </c>
      <c r="U1124" s="94">
        <v>0.0</v>
      </c>
      <c r="V1124" s="94">
        <v>0.0</v>
      </c>
      <c r="W1124" s="94">
        <v>0.0</v>
      </c>
      <c r="X1124" s="94">
        <v>0.0</v>
      </c>
      <c r="Y1124" s="94">
        <v>0.0</v>
      </c>
      <c r="Z1124" s="94">
        <v>0.0</v>
      </c>
      <c r="AA1124" s="94">
        <v>0.0</v>
      </c>
      <c r="AB1124" s="94">
        <v>0.0</v>
      </c>
      <c r="AC1124" s="94">
        <v>0.0</v>
      </c>
      <c r="AD1124" s="94">
        <v>0.0</v>
      </c>
      <c r="AE1124" s="94">
        <v>0.0</v>
      </c>
      <c r="AF1124" s="94">
        <v>0.0</v>
      </c>
      <c r="AG1124" s="94">
        <v>0.0</v>
      </c>
      <c r="AH1124" s="94">
        <v>0.0</v>
      </c>
    </row>
    <row r="1125" hidden="1">
      <c r="A1125" s="109" t="s">
        <v>49</v>
      </c>
      <c r="B1125" s="93" t="s">
        <v>202</v>
      </c>
      <c r="C1125" s="85">
        <v>1.0</v>
      </c>
      <c r="D1125" s="85">
        <v>1.0</v>
      </c>
      <c r="E1125" s="86">
        <v>15.0</v>
      </c>
      <c r="F1125" s="85">
        <v>1.0</v>
      </c>
      <c r="G1125" s="85">
        <v>67.0</v>
      </c>
      <c r="H1125" s="94">
        <v>0.0</v>
      </c>
      <c r="I1125" s="85">
        <v>46.0</v>
      </c>
      <c r="J1125" s="95">
        <f t="shared" si="849"/>
        <v>21</v>
      </c>
      <c r="K1125" s="87">
        <f t="shared" si="850"/>
        <v>1.456521739</v>
      </c>
      <c r="L1125" s="85">
        <v>16.0</v>
      </c>
      <c r="M1125" s="85">
        <v>97.0</v>
      </c>
      <c r="N1125" s="85">
        <v>1.0</v>
      </c>
      <c r="O1125" s="110">
        <f t="shared" si="851"/>
        <v>15</v>
      </c>
      <c r="P1125" s="85">
        <v>2.0</v>
      </c>
      <c r="Q1125" s="85">
        <v>2.0</v>
      </c>
      <c r="R1125" s="94">
        <v>0.0</v>
      </c>
      <c r="S1125" s="85">
        <v>1.0</v>
      </c>
      <c r="T1125" s="85">
        <v>11.0</v>
      </c>
      <c r="U1125" s="85">
        <v>9.0</v>
      </c>
      <c r="V1125" s="85">
        <v>3.0</v>
      </c>
      <c r="W1125" s="85">
        <v>2.0</v>
      </c>
      <c r="X1125" s="94">
        <v>0.0</v>
      </c>
      <c r="Y1125" s="94">
        <v>0.0</v>
      </c>
      <c r="Z1125" s="94">
        <v>0.0</v>
      </c>
      <c r="AA1125" s="94">
        <v>0.0</v>
      </c>
      <c r="AB1125" s="94">
        <v>0.0</v>
      </c>
      <c r="AC1125" s="85">
        <v>4.0</v>
      </c>
      <c r="AD1125" s="94">
        <v>0.0</v>
      </c>
      <c r="AE1125" s="94">
        <v>0.0</v>
      </c>
      <c r="AF1125" s="94">
        <v>0.0</v>
      </c>
      <c r="AG1125" s="85">
        <v>1.0</v>
      </c>
      <c r="AH1125" s="94">
        <v>0.0</v>
      </c>
    </row>
    <row r="1126" hidden="1">
      <c r="A1126" s="109" t="s">
        <v>49</v>
      </c>
      <c r="B1126" s="116"/>
      <c r="C1126" s="94">
        <v>0.0</v>
      </c>
      <c r="D1126" s="94">
        <v>0.0</v>
      </c>
      <c r="E1126" s="96">
        <f>SUM(L1126*I1126)/60</f>
        <v>0</v>
      </c>
      <c r="F1126" s="94">
        <v>0.0</v>
      </c>
      <c r="G1126" s="94">
        <v>0.0</v>
      </c>
      <c r="H1126" s="94">
        <v>0.0</v>
      </c>
      <c r="I1126" s="94">
        <v>0.0</v>
      </c>
      <c r="J1126" s="95">
        <f t="shared" si="849"/>
        <v>0</v>
      </c>
      <c r="K1126" s="87" t="str">
        <f t="shared" si="850"/>
        <v>#DIV/0!</v>
      </c>
      <c r="L1126" s="94">
        <v>0.0</v>
      </c>
      <c r="M1126" s="94">
        <v>0.0</v>
      </c>
      <c r="N1126" s="85">
        <v>0.0</v>
      </c>
      <c r="O1126" s="110">
        <f t="shared" si="851"/>
        <v>0</v>
      </c>
      <c r="P1126" s="94">
        <v>0.0</v>
      </c>
      <c r="Q1126" s="94">
        <v>0.0</v>
      </c>
      <c r="R1126" s="94">
        <v>0.0</v>
      </c>
      <c r="S1126" s="94">
        <v>0.0</v>
      </c>
      <c r="T1126" s="94">
        <v>0.0</v>
      </c>
      <c r="U1126" s="94">
        <v>0.0</v>
      </c>
      <c r="V1126" s="94">
        <v>0.0</v>
      </c>
      <c r="W1126" s="94">
        <v>0.0</v>
      </c>
      <c r="X1126" s="94">
        <v>0.0</v>
      </c>
      <c r="Y1126" s="94">
        <v>0.0</v>
      </c>
      <c r="Z1126" s="94">
        <v>0.0</v>
      </c>
      <c r="AA1126" s="94">
        <v>0.0</v>
      </c>
      <c r="AB1126" s="94">
        <v>0.0</v>
      </c>
      <c r="AC1126" s="94">
        <v>0.0</v>
      </c>
      <c r="AD1126" s="94">
        <v>0.0</v>
      </c>
      <c r="AE1126" s="94">
        <v>0.0</v>
      </c>
      <c r="AF1126" s="94">
        <v>0.0</v>
      </c>
      <c r="AG1126" s="94">
        <v>0.0</v>
      </c>
      <c r="AH1126" s="94">
        <v>0.0</v>
      </c>
    </row>
    <row r="1127" hidden="1">
      <c r="A1127" s="89"/>
      <c r="B1127" s="111"/>
      <c r="C1127" s="111">
        <f t="shared" ref="C1127:D1127" si="852">SUM(C1121:C1126)/4</f>
        <v>1</v>
      </c>
      <c r="D1127" s="111">
        <f t="shared" si="852"/>
        <v>1</v>
      </c>
      <c r="E1127" s="91">
        <f t="shared" ref="E1127:G1127" si="853">SUM(E1121:E1126)</f>
        <v>60</v>
      </c>
      <c r="F1127" s="111">
        <f t="shared" si="853"/>
        <v>5</v>
      </c>
      <c r="G1127" s="111">
        <f t="shared" si="853"/>
        <v>235</v>
      </c>
      <c r="H1127" s="111"/>
      <c r="I1127" s="111">
        <f>SUM(I1121:I1126)</f>
        <v>151</v>
      </c>
      <c r="J1127" s="111">
        <f t="shared" si="849"/>
        <v>84</v>
      </c>
      <c r="K1127" s="92">
        <f t="shared" si="850"/>
        <v>1.556291391</v>
      </c>
      <c r="L1127" s="111">
        <f t="shared" ref="L1127:M1127" si="854">SUM(L1121:L1126)</f>
        <v>83</v>
      </c>
      <c r="M1127" s="111">
        <f t="shared" si="854"/>
        <v>329</v>
      </c>
      <c r="N1127" s="111"/>
      <c r="O1127" s="112"/>
      <c r="P1127" s="111">
        <f t="shared" ref="P1127:AH1127" si="855">SUM(P1121:P1126)</f>
        <v>8</v>
      </c>
      <c r="Q1127" s="111">
        <f t="shared" si="855"/>
        <v>8</v>
      </c>
      <c r="R1127" s="111">
        <f t="shared" si="855"/>
        <v>12</v>
      </c>
      <c r="S1127" s="111">
        <f t="shared" si="855"/>
        <v>1</v>
      </c>
      <c r="T1127" s="111">
        <f t="shared" si="855"/>
        <v>33</v>
      </c>
      <c r="U1127" s="111">
        <f t="shared" si="855"/>
        <v>17</v>
      </c>
      <c r="V1127" s="111">
        <f t="shared" si="855"/>
        <v>6</v>
      </c>
      <c r="W1127" s="111">
        <f t="shared" si="855"/>
        <v>5</v>
      </c>
      <c r="X1127" s="111">
        <f t="shared" si="855"/>
        <v>2</v>
      </c>
      <c r="Y1127" s="111">
        <f t="shared" si="855"/>
        <v>1</v>
      </c>
      <c r="Z1127" s="111">
        <f t="shared" si="855"/>
        <v>0</v>
      </c>
      <c r="AA1127" s="111">
        <f t="shared" si="855"/>
        <v>0</v>
      </c>
      <c r="AB1127" s="111">
        <f t="shared" si="855"/>
        <v>0</v>
      </c>
      <c r="AC1127" s="111">
        <f t="shared" si="855"/>
        <v>8</v>
      </c>
      <c r="AD1127" s="111">
        <f t="shared" si="855"/>
        <v>4</v>
      </c>
      <c r="AE1127" s="111">
        <f t="shared" si="855"/>
        <v>0</v>
      </c>
      <c r="AF1127" s="111">
        <f t="shared" si="855"/>
        <v>0</v>
      </c>
      <c r="AG1127" s="111">
        <f t="shared" si="855"/>
        <v>3</v>
      </c>
      <c r="AH1127" s="111">
        <f t="shared" si="855"/>
        <v>1</v>
      </c>
    </row>
    <row r="1128" hidden="1">
      <c r="A1128" s="109" t="s">
        <v>47</v>
      </c>
      <c r="B1128" s="93" t="s">
        <v>237</v>
      </c>
      <c r="C1128" s="85">
        <v>1.0</v>
      </c>
      <c r="D1128" s="94">
        <v>0.0</v>
      </c>
      <c r="E1128" s="86">
        <v>15.0</v>
      </c>
      <c r="F1128" s="94">
        <v>0.0</v>
      </c>
      <c r="G1128" s="85">
        <v>49.0</v>
      </c>
      <c r="H1128" s="94">
        <v>0.0</v>
      </c>
      <c r="I1128" s="85">
        <v>64.0</v>
      </c>
      <c r="J1128" s="95">
        <f t="shared" si="849"/>
        <v>-15</v>
      </c>
      <c r="K1128" s="87">
        <f t="shared" si="850"/>
        <v>0.765625</v>
      </c>
      <c r="L1128" s="85">
        <v>10.0</v>
      </c>
      <c r="M1128" s="85">
        <v>59.0</v>
      </c>
      <c r="N1128" s="85">
        <v>1.0</v>
      </c>
      <c r="O1128" s="110">
        <f t="shared" ref="O1128:O1133" si="856">(E1128*N1128)</f>
        <v>15</v>
      </c>
      <c r="P1128" s="85">
        <v>1.0</v>
      </c>
      <c r="Q1128" s="85">
        <v>1.0</v>
      </c>
      <c r="R1128" s="94">
        <v>0.0</v>
      </c>
      <c r="S1128" s="85">
        <v>3.0</v>
      </c>
      <c r="T1128" s="85">
        <v>3.0</v>
      </c>
      <c r="U1128" s="94">
        <v>0.0</v>
      </c>
      <c r="V1128" s="94">
        <v>0.0</v>
      </c>
      <c r="W1128" s="94">
        <v>0.0</v>
      </c>
      <c r="X1128" s="94">
        <v>0.0</v>
      </c>
      <c r="Y1128" s="94">
        <v>0.0</v>
      </c>
      <c r="Z1128" s="94">
        <v>0.0</v>
      </c>
      <c r="AA1128" s="94">
        <v>0.0</v>
      </c>
      <c r="AB1128" s="94">
        <v>0.0</v>
      </c>
      <c r="AC1128" s="94">
        <v>0.0</v>
      </c>
      <c r="AD1128" s="94">
        <v>0.0</v>
      </c>
      <c r="AE1128" s="94">
        <v>0.0</v>
      </c>
      <c r="AF1128" s="94">
        <v>0.0</v>
      </c>
      <c r="AG1128" s="94">
        <v>0.0</v>
      </c>
      <c r="AH1128" s="94">
        <v>0.0</v>
      </c>
    </row>
    <row r="1129" hidden="1">
      <c r="A1129" s="109" t="s">
        <v>47</v>
      </c>
      <c r="B1129" s="93" t="s">
        <v>238</v>
      </c>
      <c r="C1129" s="85">
        <v>1.0</v>
      </c>
      <c r="D1129" s="94">
        <v>0.0</v>
      </c>
      <c r="E1129" s="86">
        <v>15.0</v>
      </c>
      <c r="F1129" s="85">
        <v>1.0</v>
      </c>
      <c r="G1129" s="85">
        <v>26.0</v>
      </c>
      <c r="H1129" s="85">
        <v>1.0</v>
      </c>
      <c r="I1129" s="85">
        <v>58.0</v>
      </c>
      <c r="J1129" s="95">
        <f t="shared" si="849"/>
        <v>-32</v>
      </c>
      <c r="K1129" s="87">
        <f t="shared" si="850"/>
        <v>0.4482758621</v>
      </c>
      <c r="L1129" s="85">
        <v>12.0</v>
      </c>
      <c r="M1129" s="85">
        <v>32.0</v>
      </c>
      <c r="N1129" s="85">
        <v>1.0</v>
      </c>
      <c r="O1129" s="110">
        <f t="shared" si="856"/>
        <v>15</v>
      </c>
      <c r="P1129" s="85">
        <v>3.0</v>
      </c>
      <c r="Q1129" s="85">
        <v>1.0</v>
      </c>
      <c r="R1129" s="85">
        <v>4.0</v>
      </c>
      <c r="S1129" s="85">
        <v>1.0</v>
      </c>
      <c r="T1129" s="85">
        <v>5.0</v>
      </c>
      <c r="U1129" s="94">
        <v>0.0</v>
      </c>
      <c r="V1129" s="94">
        <v>0.0</v>
      </c>
      <c r="W1129" s="94">
        <v>0.0</v>
      </c>
      <c r="X1129" s="94">
        <v>0.0</v>
      </c>
      <c r="Y1129" s="94">
        <v>0.0</v>
      </c>
      <c r="Z1129" s="94">
        <v>0.0</v>
      </c>
      <c r="AA1129" s="94">
        <v>0.0</v>
      </c>
      <c r="AB1129" s="94">
        <v>0.0</v>
      </c>
      <c r="AC1129" s="94">
        <v>0.0</v>
      </c>
      <c r="AD1129" s="94">
        <v>0.0</v>
      </c>
      <c r="AE1129" s="94">
        <v>0.0</v>
      </c>
      <c r="AF1129" s="94">
        <v>0.0</v>
      </c>
      <c r="AG1129" s="94">
        <v>0.0</v>
      </c>
      <c r="AH1129" s="94">
        <v>0.0</v>
      </c>
    </row>
    <row r="1130" hidden="1">
      <c r="A1130" s="109" t="s">
        <v>47</v>
      </c>
      <c r="B1130" s="93" t="s">
        <v>239</v>
      </c>
      <c r="C1130" s="85">
        <v>1.0</v>
      </c>
      <c r="D1130" s="94">
        <v>0.0</v>
      </c>
      <c r="E1130" s="86">
        <v>15.0</v>
      </c>
      <c r="F1130" s="94">
        <v>0.0</v>
      </c>
      <c r="G1130" s="85">
        <v>38.0</v>
      </c>
      <c r="H1130" s="94">
        <v>0.0</v>
      </c>
      <c r="I1130" s="85">
        <v>59.0</v>
      </c>
      <c r="J1130" s="95">
        <f t="shared" si="849"/>
        <v>-21</v>
      </c>
      <c r="K1130" s="87">
        <f t="shared" si="850"/>
        <v>0.6440677966</v>
      </c>
      <c r="L1130" s="85">
        <v>12.0</v>
      </c>
      <c r="M1130" s="85">
        <v>48.0</v>
      </c>
      <c r="N1130" s="85">
        <v>1.0</v>
      </c>
      <c r="O1130" s="110">
        <f t="shared" si="856"/>
        <v>15</v>
      </c>
      <c r="P1130" s="85">
        <v>5.0</v>
      </c>
      <c r="Q1130" s="94">
        <v>0.0</v>
      </c>
      <c r="R1130" s="85">
        <v>1.0</v>
      </c>
      <c r="S1130" s="85">
        <v>3.0</v>
      </c>
      <c r="T1130" s="85">
        <v>5.0</v>
      </c>
      <c r="U1130" s="94">
        <v>0.0</v>
      </c>
      <c r="V1130" s="94">
        <v>0.0</v>
      </c>
      <c r="W1130" s="94">
        <v>0.0</v>
      </c>
      <c r="X1130" s="94">
        <v>0.0</v>
      </c>
      <c r="Y1130" s="94">
        <v>0.0</v>
      </c>
      <c r="Z1130" s="94">
        <v>0.0</v>
      </c>
      <c r="AA1130" s="94">
        <v>0.0</v>
      </c>
      <c r="AB1130" s="94">
        <v>0.0</v>
      </c>
      <c r="AC1130" s="94">
        <v>0.0</v>
      </c>
      <c r="AD1130" s="94">
        <v>0.0</v>
      </c>
      <c r="AE1130" s="94">
        <v>0.0</v>
      </c>
      <c r="AF1130" s="94">
        <v>0.0</v>
      </c>
      <c r="AG1130" s="94">
        <v>0.0</v>
      </c>
      <c r="AH1130" s="94">
        <v>0.0</v>
      </c>
    </row>
    <row r="1131" hidden="1">
      <c r="A1131" s="109" t="s">
        <v>47</v>
      </c>
      <c r="B1131" s="93" t="s">
        <v>240</v>
      </c>
      <c r="C1131" s="85">
        <v>1.0</v>
      </c>
      <c r="D1131" s="94">
        <v>0.0</v>
      </c>
      <c r="E1131" s="86">
        <v>15.0</v>
      </c>
      <c r="F1131" s="94">
        <v>0.0</v>
      </c>
      <c r="G1131" s="85">
        <v>35.0</v>
      </c>
      <c r="H1131" s="94">
        <v>0.0</v>
      </c>
      <c r="I1131" s="85">
        <v>57.0</v>
      </c>
      <c r="J1131" s="95">
        <f t="shared" si="849"/>
        <v>-22</v>
      </c>
      <c r="K1131" s="87">
        <f t="shared" si="850"/>
        <v>0.6140350877</v>
      </c>
      <c r="L1131" s="85">
        <v>12.0</v>
      </c>
      <c r="M1131" s="85">
        <v>45.0</v>
      </c>
      <c r="N1131" s="85">
        <v>1.0</v>
      </c>
      <c r="O1131" s="110">
        <f t="shared" si="856"/>
        <v>15</v>
      </c>
      <c r="P1131" s="85">
        <v>2.0</v>
      </c>
      <c r="Q1131" s="85">
        <v>1.0</v>
      </c>
      <c r="R1131" s="85">
        <v>1.0</v>
      </c>
      <c r="S1131" s="85">
        <v>4.0</v>
      </c>
      <c r="T1131" s="85">
        <v>4.0</v>
      </c>
      <c r="U1131" s="94">
        <v>0.0</v>
      </c>
      <c r="V1131" s="94">
        <v>0.0</v>
      </c>
      <c r="W1131" s="94">
        <v>0.0</v>
      </c>
      <c r="X1131" s="94">
        <v>0.0</v>
      </c>
      <c r="Y1131" s="94">
        <v>0.0</v>
      </c>
      <c r="Z1131" s="94">
        <v>0.0</v>
      </c>
      <c r="AA1131" s="94">
        <v>0.0</v>
      </c>
      <c r="AB1131" s="85">
        <v>0.0</v>
      </c>
      <c r="AC1131" s="85">
        <v>1.0</v>
      </c>
      <c r="AD1131" s="94">
        <v>0.0</v>
      </c>
      <c r="AE1131" s="94">
        <v>0.0</v>
      </c>
      <c r="AF1131" s="94">
        <v>0.0</v>
      </c>
      <c r="AG1131" s="94">
        <v>0.0</v>
      </c>
      <c r="AH1131" s="94">
        <v>0.0</v>
      </c>
    </row>
    <row r="1132" hidden="1">
      <c r="A1132" s="109" t="s">
        <v>47</v>
      </c>
      <c r="B1132" s="93" t="s">
        <v>241</v>
      </c>
      <c r="C1132" s="94">
        <v>0.0</v>
      </c>
      <c r="D1132" s="94">
        <v>0.0</v>
      </c>
      <c r="E1132" s="96">
        <f t="shared" ref="E1132:E1133" si="857">SUM(L1132*I1132)/60</f>
        <v>0</v>
      </c>
      <c r="F1132" s="94">
        <v>0.0</v>
      </c>
      <c r="G1132" s="94">
        <v>0.0</v>
      </c>
      <c r="H1132" s="94">
        <v>0.0</v>
      </c>
      <c r="I1132" s="94">
        <v>0.0</v>
      </c>
      <c r="J1132" s="95">
        <f t="shared" si="849"/>
        <v>0</v>
      </c>
      <c r="K1132" s="87" t="str">
        <f t="shared" si="850"/>
        <v>#DIV/0!</v>
      </c>
      <c r="L1132" s="94">
        <v>0.0</v>
      </c>
      <c r="M1132" s="94">
        <v>0.0</v>
      </c>
      <c r="N1132" s="85">
        <v>0.0</v>
      </c>
      <c r="O1132" s="110">
        <f t="shared" si="856"/>
        <v>0</v>
      </c>
      <c r="P1132" s="94">
        <v>0.0</v>
      </c>
      <c r="Q1132" s="94">
        <v>0.0</v>
      </c>
      <c r="R1132" s="94">
        <v>0.0</v>
      </c>
      <c r="S1132" s="94">
        <v>0.0</v>
      </c>
      <c r="T1132" s="94">
        <v>0.0</v>
      </c>
      <c r="U1132" s="94">
        <v>0.0</v>
      </c>
      <c r="V1132" s="94">
        <v>0.0</v>
      </c>
      <c r="W1132" s="94">
        <v>0.0</v>
      </c>
      <c r="X1132" s="94">
        <v>0.0</v>
      </c>
      <c r="Y1132" s="94">
        <v>0.0</v>
      </c>
      <c r="Z1132" s="94">
        <v>0.0</v>
      </c>
      <c r="AA1132" s="94">
        <v>0.0</v>
      </c>
      <c r="AB1132" s="94">
        <v>0.0</v>
      </c>
      <c r="AC1132" s="94">
        <v>0.0</v>
      </c>
      <c r="AD1132" s="94">
        <v>0.0</v>
      </c>
      <c r="AE1132" s="94">
        <v>0.0</v>
      </c>
      <c r="AF1132" s="94">
        <v>0.0</v>
      </c>
      <c r="AG1132" s="94">
        <v>0.0</v>
      </c>
      <c r="AH1132" s="94">
        <v>0.0</v>
      </c>
    </row>
    <row r="1133" hidden="1">
      <c r="A1133" s="109" t="s">
        <v>214</v>
      </c>
      <c r="B1133" s="93" t="s">
        <v>182</v>
      </c>
      <c r="C1133" s="94">
        <v>0.0</v>
      </c>
      <c r="D1133" s="94">
        <v>0.0</v>
      </c>
      <c r="E1133" s="96">
        <f t="shared" si="857"/>
        <v>0</v>
      </c>
      <c r="F1133" s="94">
        <v>0.0</v>
      </c>
      <c r="G1133" s="94">
        <v>0.0</v>
      </c>
      <c r="H1133" s="94">
        <v>0.0</v>
      </c>
      <c r="I1133" s="94">
        <v>0.0</v>
      </c>
      <c r="J1133" s="95">
        <f t="shared" si="849"/>
        <v>0</v>
      </c>
      <c r="K1133" s="87" t="str">
        <f t="shared" si="850"/>
        <v>#DIV/0!</v>
      </c>
      <c r="L1133" s="94">
        <v>0.0</v>
      </c>
      <c r="M1133" s="94">
        <v>0.0</v>
      </c>
      <c r="N1133" s="85">
        <v>0.0</v>
      </c>
      <c r="O1133" s="110">
        <f t="shared" si="856"/>
        <v>0</v>
      </c>
      <c r="P1133" s="94">
        <v>0.0</v>
      </c>
      <c r="Q1133" s="94">
        <v>0.0</v>
      </c>
      <c r="R1133" s="94">
        <v>0.0</v>
      </c>
      <c r="S1133" s="94">
        <v>0.0</v>
      </c>
      <c r="T1133" s="94">
        <v>0.0</v>
      </c>
      <c r="U1133" s="94">
        <v>0.0</v>
      </c>
      <c r="V1133" s="94">
        <v>0.0</v>
      </c>
      <c r="W1133" s="94">
        <v>0.0</v>
      </c>
      <c r="X1133" s="94">
        <v>0.0</v>
      </c>
      <c r="Y1133" s="94">
        <v>0.0</v>
      </c>
      <c r="Z1133" s="94">
        <v>0.0</v>
      </c>
      <c r="AA1133" s="94">
        <v>0.0</v>
      </c>
      <c r="AB1133" s="94">
        <v>0.0</v>
      </c>
      <c r="AC1133" s="94">
        <v>0.0</v>
      </c>
      <c r="AD1133" s="94">
        <v>0.0</v>
      </c>
      <c r="AE1133" s="94">
        <v>0.0</v>
      </c>
      <c r="AF1133" s="94">
        <v>0.0</v>
      </c>
      <c r="AG1133" s="94">
        <v>0.0</v>
      </c>
      <c r="AH1133" s="94">
        <v>0.0</v>
      </c>
    </row>
    <row r="1134" hidden="1">
      <c r="A1134" s="89" t="s">
        <v>185</v>
      </c>
      <c r="B1134" s="111"/>
      <c r="C1134" s="111">
        <f>SUM(C1128:C1133)</f>
        <v>4</v>
      </c>
      <c r="D1134" s="111">
        <f t="shared" ref="D1134:E1134" si="858">SUM(D1128:D1133)/4</f>
        <v>0</v>
      </c>
      <c r="E1134" s="91">
        <f t="shared" si="858"/>
        <v>15</v>
      </c>
      <c r="F1134" s="111">
        <f t="shared" ref="F1134:G1134" si="859">SUM(F1128:F1133)</f>
        <v>1</v>
      </c>
      <c r="G1134" s="111">
        <f t="shared" si="859"/>
        <v>148</v>
      </c>
      <c r="H1134" s="111"/>
      <c r="I1134" s="111">
        <f>SUM(I1128:I1133)</f>
        <v>238</v>
      </c>
      <c r="J1134" s="111">
        <f t="shared" si="849"/>
        <v>-90</v>
      </c>
      <c r="K1134" s="92">
        <f t="shared" si="850"/>
        <v>0.6218487395</v>
      </c>
      <c r="L1134" s="111">
        <f t="shared" ref="L1134:M1134" si="860">SUM(L1128:L1133)</f>
        <v>46</v>
      </c>
      <c r="M1134" s="111">
        <f t="shared" si="860"/>
        <v>184</v>
      </c>
      <c r="N1134" s="111"/>
      <c r="O1134" s="112"/>
      <c r="P1134" s="111">
        <f t="shared" ref="P1134:AH1134" si="861">SUM(P1128:P1133)</f>
        <v>11</v>
      </c>
      <c r="Q1134" s="111">
        <f t="shared" si="861"/>
        <v>3</v>
      </c>
      <c r="R1134" s="111">
        <f t="shared" si="861"/>
        <v>6</v>
      </c>
      <c r="S1134" s="111">
        <f t="shared" si="861"/>
        <v>11</v>
      </c>
      <c r="T1134" s="111">
        <f t="shared" si="861"/>
        <v>17</v>
      </c>
      <c r="U1134" s="111">
        <f t="shared" si="861"/>
        <v>0</v>
      </c>
      <c r="V1134" s="111">
        <f t="shared" si="861"/>
        <v>0</v>
      </c>
      <c r="W1134" s="111">
        <f t="shared" si="861"/>
        <v>0</v>
      </c>
      <c r="X1134" s="111">
        <f t="shared" si="861"/>
        <v>0</v>
      </c>
      <c r="Y1134" s="111">
        <f t="shared" si="861"/>
        <v>0</v>
      </c>
      <c r="Z1134" s="111">
        <f t="shared" si="861"/>
        <v>0</v>
      </c>
      <c r="AA1134" s="111">
        <f t="shared" si="861"/>
        <v>0</v>
      </c>
      <c r="AB1134" s="111">
        <f t="shared" si="861"/>
        <v>0</v>
      </c>
      <c r="AC1134" s="111">
        <f t="shared" si="861"/>
        <v>1</v>
      </c>
      <c r="AD1134" s="111">
        <f t="shared" si="861"/>
        <v>0</v>
      </c>
      <c r="AE1134" s="111">
        <f t="shared" si="861"/>
        <v>0</v>
      </c>
      <c r="AF1134" s="111">
        <f t="shared" si="861"/>
        <v>0</v>
      </c>
      <c r="AG1134" s="111">
        <f t="shared" si="861"/>
        <v>0</v>
      </c>
      <c r="AH1134" s="111">
        <f t="shared" si="861"/>
        <v>0</v>
      </c>
    </row>
    <row r="1135">
      <c r="A1135" s="113" t="s">
        <v>319</v>
      </c>
    </row>
    <row r="1137" hidden="1">
      <c r="A1137" s="105"/>
      <c r="F1137" s="106" t="s">
        <v>251</v>
      </c>
      <c r="L1137" s="107" t="s">
        <v>252</v>
      </c>
      <c r="N1137" s="108" t="s">
        <v>253</v>
      </c>
    </row>
    <row r="1138" hidden="1">
      <c r="A1138" s="76" t="s">
        <v>148</v>
      </c>
      <c r="B1138" s="76" t="s">
        <v>149</v>
      </c>
      <c r="C1138" s="76" t="s">
        <v>150</v>
      </c>
      <c r="D1138" s="76" t="s">
        <v>13</v>
      </c>
      <c r="E1138" s="77" t="s">
        <v>151</v>
      </c>
      <c r="F1138" s="78" t="s">
        <v>15</v>
      </c>
      <c r="G1138" s="78" t="s">
        <v>152</v>
      </c>
      <c r="H1138" s="78" t="s">
        <v>153</v>
      </c>
      <c r="I1138" s="78" t="s">
        <v>154</v>
      </c>
      <c r="J1138" s="78" t="s">
        <v>155</v>
      </c>
      <c r="K1138" s="79" t="s">
        <v>156</v>
      </c>
      <c r="L1138" s="80" t="s">
        <v>157</v>
      </c>
      <c r="M1138" s="80" t="s">
        <v>158</v>
      </c>
      <c r="N1138" s="81" t="s">
        <v>254</v>
      </c>
      <c r="O1138" s="81" t="s">
        <v>151</v>
      </c>
      <c r="P1138" s="81" t="s">
        <v>160</v>
      </c>
      <c r="Q1138" s="81" t="s">
        <v>161</v>
      </c>
      <c r="R1138" s="81" t="s">
        <v>162</v>
      </c>
      <c r="S1138" s="81" t="s">
        <v>163</v>
      </c>
      <c r="T1138" s="81" t="s">
        <v>164</v>
      </c>
      <c r="U1138" s="81" t="s">
        <v>165</v>
      </c>
      <c r="V1138" s="81" t="s">
        <v>166</v>
      </c>
      <c r="W1138" s="81" t="s">
        <v>167</v>
      </c>
      <c r="X1138" s="81" t="s">
        <v>168</v>
      </c>
      <c r="Y1138" s="81" t="s">
        <v>169</v>
      </c>
      <c r="Z1138" s="81" t="s">
        <v>170</v>
      </c>
      <c r="AA1138" s="81" t="s">
        <v>171</v>
      </c>
      <c r="AB1138" s="81" t="s">
        <v>172</v>
      </c>
      <c r="AC1138" s="81" t="s">
        <v>173</v>
      </c>
      <c r="AD1138" s="81" t="s">
        <v>174</v>
      </c>
      <c r="AE1138" s="81" t="s">
        <v>175</v>
      </c>
      <c r="AF1138" s="81" t="s">
        <v>176</v>
      </c>
      <c r="AG1138" s="81" t="s">
        <v>177</v>
      </c>
      <c r="AH1138" s="81" t="s">
        <v>178</v>
      </c>
    </row>
    <row r="1139" hidden="1">
      <c r="A1139" s="83" t="s">
        <v>51</v>
      </c>
      <c r="B1139" s="84" t="s">
        <v>222</v>
      </c>
      <c r="C1139" s="85">
        <v>1.0</v>
      </c>
      <c r="D1139" s="94">
        <v>0.0</v>
      </c>
      <c r="E1139" s="86">
        <v>7.0</v>
      </c>
      <c r="F1139" s="94">
        <v>0.0</v>
      </c>
      <c r="G1139" s="85">
        <v>17.0</v>
      </c>
      <c r="H1139" s="94">
        <v>0.0</v>
      </c>
      <c r="I1139" s="85">
        <v>23.0</v>
      </c>
      <c r="J1139" s="95">
        <f t="shared" ref="J1139:J1152" si="862">SUM(G1139-I1139)</f>
        <v>-6</v>
      </c>
      <c r="K1139" s="87">
        <f t="shared" ref="K1139:K1152" si="863">SUM(G1139/I1139)</f>
        <v>0.7391304348</v>
      </c>
      <c r="L1139" s="85">
        <v>15.0</v>
      </c>
      <c r="M1139" s="85">
        <v>20.0</v>
      </c>
      <c r="N1139" s="85">
        <v>1.0</v>
      </c>
      <c r="O1139" s="110">
        <f t="shared" ref="O1139:O1144" si="864">(E1139*N1139)</f>
        <v>7</v>
      </c>
      <c r="P1139" s="85">
        <v>2.0</v>
      </c>
      <c r="Q1139" s="94">
        <v>0.0</v>
      </c>
      <c r="R1139" s="85">
        <v>1.0</v>
      </c>
      <c r="S1139" s="94">
        <v>0.0</v>
      </c>
      <c r="T1139" s="85">
        <v>2.0</v>
      </c>
      <c r="U1139" s="94">
        <v>0.0</v>
      </c>
      <c r="V1139" s="94">
        <v>0.0</v>
      </c>
      <c r="W1139" s="94">
        <v>0.0</v>
      </c>
      <c r="X1139" s="94">
        <v>0.0</v>
      </c>
      <c r="Y1139" s="94">
        <v>0.0</v>
      </c>
      <c r="Z1139" s="94">
        <v>0.0</v>
      </c>
      <c r="AA1139" s="94">
        <v>0.0</v>
      </c>
      <c r="AB1139" s="94">
        <v>0.0</v>
      </c>
      <c r="AC1139" s="94">
        <v>0.0</v>
      </c>
      <c r="AD1139" s="94">
        <v>0.0</v>
      </c>
      <c r="AE1139" s="94">
        <v>0.0</v>
      </c>
      <c r="AF1139" s="94">
        <v>0.0</v>
      </c>
      <c r="AG1139" s="94">
        <v>0.0</v>
      </c>
      <c r="AH1139" s="94">
        <v>0.0</v>
      </c>
    </row>
    <row r="1140" hidden="1">
      <c r="A1140" s="83" t="s">
        <v>51</v>
      </c>
      <c r="B1140" s="84" t="s">
        <v>223</v>
      </c>
      <c r="C1140" s="85">
        <v>1.0</v>
      </c>
      <c r="D1140" s="94">
        <v>0.0</v>
      </c>
      <c r="E1140" s="86">
        <v>7.0</v>
      </c>
      <c r="F1140" s="94">
        <v>0.0</v>
      </c>
      <c r="G1140" s="85">
        <v>24.0</v>
      </c>
      <c r="H1140" s="94">
        <v>0.0</v>
      </c>
      <c r="I1140" s="85">
        <v>24.0</v>
      </c>
      <c r="J1140" s="95">
        <f t="shared" si="862"/>
        <v>0</v>
      </c>
      <c r="K1140" s="87">
        <f t="shared" si="863"/>
        <v>1</v>
      </c>
      <c r="L1140" s="85">
        <v>14.0</v>
      </c>
      <c r="M1140" s="85">
        <v>30.0</v>
      </c>
      <c r="N1140" s="85">
        <v>1.0</v>
      </c>
      <c r="O1140" s="110">
        <f t="shared" si="864"/>
        <v>7</v>
      </c>
      <c r="P1140" s="85">
        <v>1.0</v>
      </c>
      <c r="Q1140" s="85">
        <v>4.0</v>
      </c>
      <c r="R1140" s="85">
        <v>1.0</v>
      </c>
      <c r="S1140" s="85">
        <v>2.0</v>
      </c>
      <c r="T1140" s="85">
        <v>3.0</v>
      </c>
      <c r="U1140" s="94">
        <v>0.0</v>
      </c>
      <c r="V1140" s="94">
        <v>0.0</v>
      </c>
      <c r="W1140" s="94">
        <v>0.0</v>
      </c>
      <c r="X1140" s="94">
        <v>0.0</v>
      </c>
      <c r="Y1140" s="94">
        <v>0.0</v>
      </c>
      <c r="Z1140" s="94">
        <v>0.0</v>
      </c>
      <c r="AA1140" s="94">
        <v>0.0</v>
      </c>
      <c r="AB1140" s="94">
        <v>0.0</v>
      </c>
      <c r="AC1140" s="94">
        <v>0.0</v>
      </c>
      <c r="AD1140" s="94">
        <v>0.0</v>
      </c>
      <c r="AE1140" s="94">
        <v>0.0</v>
      </c>
      <c r="AF1140" s="94">
        <v>0.0</v>
      </c>
      <c r="AG1140" s="94">
        <v>0.0</v>
      </c>
      <c r="AH1140" s="94">
        <v>0.0</v>
      </c>
    </row>
    <row r="1141" hidden="1">
      <c r="A1141" s="83" t="s">
        <v>51</v>
      </c>
      <c r="B1141" s="84" t="s">
        <v>224</v>
      </c>
      <c r="C1141" s="85">
        <v>1.0</v>
      </c>
      <c r="D1141" s="94">
        <v>0.0</v>
      </c>
      <c r="E1141" s="86">
        <v>7.0</v>
      </c>
      <c r="F1141" s="94">
        <v>0.0</v>
      </c>
      <c r="G1141" s="85">
        <v>26.0</v>
      </c>
      <c r="H1141" s="94">
        <v>0.0</v>
      </c>
      <c r="I1141" s="85">
        <v>29.0</v>
      </c>
      <c r="J1141" s="95">
        <f t="shared" si="862"/>
        <v>-3</v>
      </c>
      <c r="K1141" s="87">
        <f t="shared" si="863"/>
        <v>0.8965517241</v>
      </c>
      <c r="L1141" s="85">
        <v>11.0</v>
      </c>
      <c r="M1141" s="85">
        <v>33.0</v>
      </c>
      <c r="N1141" s="85">
        <v>1.0</v>
      </c>
      <c r="O1141" s="110">
        <f t="shared" si="864"/>
        <v>7</v>
      </c>
      <c r="P1141" s="85">
        <v>2.0</v>
      </c>
      <c r="Q1141" s="85">
        <v>1.0</v>
      </c>
      <c r="R1141" s="85">
        <v>1.0</v>
      </c>
      <c r="S1141" s="85">
        <v>1.0</v>
      </c>
      <c r="T1141" s="85">
        <v>5.0</v>
      </c>
      <c r="U1141" s="85">
        <v>1.0</v>
      </c>
      <c r="V1141" s="94">
        <v>0.0</v>
      </c>
      <c r="W1141" s="94">
        <v>0.0</v>
      </c>
      <c r="X1141" s="94">
        <v>0.0</v>
      </c>
      <c r="Y1141" s="94">
        <v>0.0</v>
      </c>
      <c r="Z1141" s="94">
        <v>0.0</v>
      </c>
      <c r="AA1141" s="94">
        <v>0.0</v>
      </c>
      <c r="AB1141" s="94">
        <v>0.0</v>
      </c>
      <c r="AC1141" s="94">
        <v>0.0</v>
      </c>
      <c r="AD1141" s="94">
        <v>0.0</v>
      </c>
      <c r="AE1141" s="94">
        <v>0.0</v>
      </c>
      <c r="AF1141" s="94">
        <v>0.0</v>
      </c>
      <c r="AG1141" s="94">
        <v>0.0</v>
      </c>
      <c r="AH1141" s="94">
        <v>0.0</v>
      </c>
    </row>
    <row r="1142" hidden="1">
      <c r="A1142" s="83" t="s">
        <v>51</v>
      </c>
      <c r="B1142" s="84" t="s">
        <v>225</v>
      </c>
      <c r="C1142" s="85">
        <v>1.0</v>
      </c>
      <c r="D1142" s="94">
        <v>0.0</v>
      </c>
      <c r="E1142" s="86">
        <v>7.0</v>
      </c>
      <c r="F1142" s="94">
        <v>0.0</v>
      </c>
      <c r="G1142" s="85">
        <v>19.0</v>
      </c>
      <c r="H1142" s="85">
        <v>1.0</v>
      </c>
      <c r="I1142" s="85">
        <v>33.0</v>
      </c>
      <c r="J1142" s="95">
        <f t="shared" si="862"/>
        <v>-14</v>
      </c>
      <c r="K1142" s="87">
        <f t="shared" si="863"/>
        <v>0.5757575758</v>
      </c>
      <c r="L1142" s="85">
        <v>10.0</v>
      </c>
      <c r="M1142" s="85">
        <v>21.0</v>
      </c>
      <c r="N1142" s="85">
        <v>1.0</v>
      </c>
      <c r="O1142" s="110">
        <f t="shared" si="864"/>
        <v>7</v>
      </c>
      <c r="P1142" s="94">
        <v>0.0</v>
      </c>
      <c r="Q1142" s="85">
        <v>1.0</v>
      </c>
      <c r="R1142" s="85">
        <v>1.0</v>
      </c>
      <c r="S1142" s="94">
        <v>0.0</v>
      </c>
      <c r="T1142" s="85">
        <v>1.0</v>
      </c>
      <c r="U1142" s="94">
        <v>0.0</v>
      </c>
      <c r="V1142" s="94">
        <v>0.0</v>
      </c>
      <c r="W1142" s="94">
        <v>0.0</v>
      </c>
      <c r="X1142" s="94">
        <v>0.0</v>
      </c>
      <c r="Y1142" s="94">
        <v>0.0</v>
      </c>
      <c r="Z1142" s="94">
        <v>0.0</v>
      </c>
      <c r="AA1142" s="94">
        <v>0.0</v>
      </c>
      <c r="AB1142" s="94">
        <v>0.0</v>
      </c>
      <c r="AC1142" s="94">
        <v>0.0</v>
      </c>
      <c r="AD1142" s="94">
        <v>0.0</v>
      </c>
      <c r="AE1142" s="94">
        <v>0.0</v>
      </c>
      <c r="AF1142" s="94">
        <v>0.0</v>
      </c>
      <c r="AG1142" s="94">
        <v>0.0</v>
      </c>
      <c r="AH1142" s="94">
        <v>0.0</v>
      </c>
    </row>
    <row r="1143" hidden="1">
      <c r="A1143" s="83" t="s">
        <v>51</v>
      </c>
      <c r="B1143" s="84" t="s">
        <v>226</v>
      </c>
      <c r="C1143" s="94">
        <v>0.0</v>
      </c>
      <c r="D1143" s="94">
        <v>0.0</v>
      </c>
      <c r="E1143" s="96">
        <f t="shared" ref="E1143:E1144" si="865">SUM(L1143*I1143)/60</f>
        <v>0</v>
      </c>
      <c r="F1143" s="94">
        <v>0.0</v>
      </c>
      <c r="G1143" s="94">
        <v>0.0</v>
      </c>
      <c r="H1143" s="94">
        <v>0.0</v>
      </c>
      <c r="I1143" s="94">
        <v>0.0</v>
      </c>
      <c r="J1143" s="95">
        <f t="shared" si="862"/>
        <v>0</v>
      </c>
      <c r="K1143" s="87" t="str">
        <f t="shared" si="863"/>
        <v>#DIV/0!</v>
      </c>
      <c r="L1143" s="94">
        <v>0.0</v>
      </c>
      <c r="M1143" s="94">
        <v>0.0</v>
      </c>
      <c r="N1143" s="85">
        <v>0.0</v>
      </c>
      <c r="O1143" s="110">
        <f t="shared" si="864"/>
        <v>0</v>
      </c>
      <c r="P1143" s="94">
        <v>0.0</v>
      </c>
      <c r="Q1143" s="94">
        <v>0.0</v>
      </c>
      <c r="R1143" s="94">
        <v>0.0</v>
      </c>
      <c r="S1143" s="94">
        <v>0.0</v>
      </c>
      <c r="T1143" s="94">
        <v>0.0</v>
      </c>
      <c r="U1143" s="94">
        <v>0.0</v>
      </c>
      <c r="V1143" s="94">
        <v>0.0</v>
      </c>
      <c r="W1143" s="94">
        <v>0.0</v>
      </c>
      <c r="X1143" s="94">
        <v>0.0</v>
      </c>
      <c r="Y1143" s="94">
        <v>0.0</v>
      </c>
      <c r="Z1143" s="94">
        <v>0.0</v>
      </c>
      <c r="AA1143" s="94">
        <v>0.0</v>
      </c>
      <c r="AB1143" s="94">
        <v>0.0</v>
      </c>
      <c r="AC1143" s="94">
        <v>0.0</v>
      </c>
      <c r="AD1143" s="94">
        <v>0.0</v>
      </c>
      <c r="AE1143" s="94">
        <v>0.0</v>
      </c>
      <c r="AF1143" s="94">
        <v>0.0</v>
      </c>
      <c r="AG1143" s="94">
        <v>0.0</v>
      </c>
      <c r="AH1143" s="94">
        <v>0.0</v>
      </c>
    </row>
    <row r="1144" hidden="1">
      <c r="A1144" s="83" t="s">
        <v>51</v>
      </c>
      <c r="B1144" s="93"/>
      <c r="C1144" s="94">
        <v>0.0</v>
      </c>
      <c r="D1144" s="94">
        <v>0.0</v>
      </c>
      <c r="E1144" s="96">
        <f t="shared" si="865"/>
        <v>0</v>
      </c>
      <c r="F1144" s="94">
        <v>0.0</v>
      </c>
      <c r="G1144" s="94">
        <v>0.0</v>
      </c>
      <c r="H1144" s="94">
        <v>0.0</v>
      </c>
      <c r="I1144" s="94">
        <v>0.0</v>
      </c>
      <c r="J1144" s="95">
        <f t="shared" si="862"/>
        <v>0</v>
      </c>
      <c r="K1144" s="87" t="str">
        <f t="shared" si="863"/>
        <v>#DIV/0!</v>
      </c>
      <c r="L1144" s="94">
        <v>0.0</v>
      </c>
      <c r="M1144" s="94">
        <v>0.0</v>
      </c>
      <c r="N1144" s="85">
        <v>0.0</v>
      </c>
      <c r="O1144" s="110">
        <f t="shared" si="864"/>
        <v>0</v>
      </c>
      <c r="P1144" s="94">
        <v>0.0</v>
      </c>
      <c r="Q1144" s="94">
        <v>0.0</v>
      </c>
      <c r="R1144" s="94">
        <v>0.0</v>
      </c>
      <c r="S1144" s="94">
        <v>0.0</v>
      </c>
      <c r="T1144" s="94">
        <v>0.0</v>
      </c>
      <c r="U1144" s="94">
        <v>0.0</v>
      </c>
      <c r="V1144" s="94">
        <v>0.0</v>
      </c>
      <c r="W1144" s="94">
        <v>0.0</v>
      </c>
      <c r="X1144" s="94">
        <v>0.0</v>
      </c>
      <c r="Y1144" s="94">
        <v>0.0</v>
      </c>
      <c r="Z1144" s="94">
        <v>0.0</v>
      </c>
      <c r="AA1144" s="94">
        <v>0.0</v>
      </c>
      <c r="AB1144" s="94">
        <v>0.0</v>
      </c>
      <c r="AC1144" s="94">
        <v>0.0</v>
      </c>
      <c r="AD1144" s="94">
        <v>0.0</v>
      </c>
      <c r="AE1144" s="94">
        <v>0.0</v>
      </c>
      <c r="AF1144" s="94">
        <v>0.0</v>
      </c>
      <c r="AG1144" s="94">
        <v>0.0</v>
      </c>
      <c r="AH1144" s="94">
        <v>0.0</v>
      </c>
    </row>
    <row r="1145" hidden="1">
      <c r="A1145" s="89"/>
      <c r="B1145" s="111"/>
      <c r="C1145" s="111">
        <f t="shared" ref="C1145:D1145" si="866">SUM(C1139:C1144)/4</f>
        <v>1</v>
      </c>
      <c r="D1145" s="111">
        <f t="shared" si="866"/>
        <v>0</v>
      </c>
      <c r="E1145" s="91">
        <f t="shared" ref="E1145:G1145" si="867">SUM(E1139:E1144)</f>
        <v>28</v>
      </c>
      <c r="F1145" s="111">
        <f t="shared" si="867"/>
        <v>0</v>
      </c>
      <c r="G1145" s="111">
        <f t="shared" si="867"/>
        <v>86</v>
      </c>
      <c r="H1145" s="111"/>
      <c r="I1145" s="111">
        <f>SUM(I1139:I1144)</f>
        <v>109</v>
      </c>
      <c r="J1145" s="111">
        <f t="shared" si="862"/>
        <v>-23</v>
      </c>
      <c r="K1145" s="92">
        <f t="shared" si="863"/>
        <v>0.7889908257</v>
      </c>
      <c r="L1145" s="111">
        <f t="shared" ref="L1145:M1145" si="868">SUM(L1139:L1144)</f>
        <v>50</v>
      </c>
      <c r="M1145" s="111">
        <f t="shared" si="868"/>
        <v>104</v>
      </c>
      <c r="N1145" s="111"/>
      <c r="O1145" s="112"/>
      <c r="P1145" s="111">
        <f t="shared" ref="P1145:AH1145" si="869">SUM(P1139:P1144)</f>
        <v>5</v>
      </c>
      <c r="Q1145" s="111">
        <f t="shared" si="869"/>
        <v>6</v>
      </c>
      <c r="R1145" s="111">
        <f t="shared" si="869"/>
        <v>4</v>
      </c>
      <c r="S1145" s="111">
        <f t="shared" si="869"/>
        <v>3</v>
      </c>
      <c r="T1145" s="111">
        <f t="shared" si="869"/>
        <v>11</v>
      </c>
      <c r="U1145" s="111">
        <f t="shared" si="869"/>
        <v>1</v>
      </c>
      <c r="V1145" s="111">
        <f t="shared" si="869"/>
        <v>0</v>
      </c>
      <c r="W1145" s="111">
        <f t="shared" si="869"/>
        <v>0</v>
      </c>
      <c r="X1145" s="111">
        <f t="shared" si="869"/>
        <v>0</v>
      </c>
      <c r="Y1145" s="111">
        <f t="shared" si="869"/>
        <v>0</v>
      </c>
      <c r="Z1145" s="111">
        <f t="shared" si="869"/>
        <v>0</v>
      </c>
      <c r="AA1145" s="111">
        <f t="shared" si="869"/>
        <v>0</v>
      </c>
      <c r="AB1145" s="111">
        <f t="shared" si="869"/>
        <v>0</v>
      </c>
      <c r="AC1145" s="111">
        <f t="shared" si="869"/>
        <v>0</v>
      </c>
      <c r="AD1145" s="111">
        <f t="shared" si="869"/>
        <v>0</v>
      </c>
      <c r="AE1145" s="111">
        <f t="shared" si="869"/>
        <v>0</v>
      </c>
      <c r="AF1145" s="111">
        <f t="shared" si="869"/>
        <v>0</v>
      </c>
      <c r="AG1145" s="111">
        <f t="shared" si="869"/>
        <v>0</v>
      </c>
      <c r="AH1145" s="111">
        <f t="shared" si="869"/>
        <v>0</v>
      </c>
    </row>
    <row r="1146" hidden="1">
      <c r="A1146" s="83" t="s">
        <v>34</v>
      </c>
      <c r="B1146" s="84" t="s">
        <v>227</v>
      </c>
      <c r="C1146" s="85">
        <v>1.0</v>
      </c>
      <c r="D1146" s="85">
        <v>1.0</v>
      </c>
      <c r="E1146" s="86">
        <v>7.0</v>
      </c>
      <c r="F1146" s="85">
        <v>2.0</v>
      </c>
      <c r="G1146" s="85">
        <v>36.0</v>
      </c>
      <c r="H1146" s="94">
        <v>0.0</v>
      </c>
      <c r="I1146" s="85">
        <v>21.0</v>
      </c>
      <c r="J1146" s="95">
        <f t="shared" si="862"/>
        <v>15</v>
      </c>
      <c r="K1146" s="87">
        <f t="shared" si="863"/>
        <v>1.714285714</v>
      </c>
      <c r="L1146" s="85">
        <v>16.0</v>
      </c>
      <c r="M1146" s="85">
        <v>49.0</v>
      </c>
      <c r="N1146" s="85">
        <v>1.0</v>
      </c>
      <c r="O1146" s="110">
        <f t="shared" ref="O1146:O1151" si="870">(E1146*N1146)</f>
        <v>7</v>
      </c>
      <c r="P1146" s="85">
        <v>2.0</v>
      </c>
      <c r="Q1146" s="85">
        <v>2.0</v>
      </c>
      <c r="R1146" s="85">
        <v>2.0</v>
      </c>
      <c r="S1146" s="94">
        <v>0.0</v>
      </c>
      <c r="T1146" s="85">
        <v>6.0</v>
      </c>
      <c r="U1146" s="94">
        <v>0.0</v>
      </c>
      <c r="V1146" s="94">
        <v>0.0</v>
      </c>
      <c r="W1146" s="94">
        <v>0.0</v>
      </c>
      <c r="X1146" s="94">
        <v>0.0</v>
      </c>
      <c r="Y1146" s="94">
        <v>0.0</v>
      </c>
      <c r="Z1146" s="94">
        <v>0.0</v>
      </c>
      <c r="AA1146" s="94">
        <v>0.0</v>
      </c>
      <c r="AB1146" s="94">
        <v>0.0</v>
      </c>
      <c r="AC1146" s="85">
        <v>2.0</v>
      </c>
      <c r="AD1146" s="94">
        <v>0.0</v>
      </c>
      <c r="AE1146" s="94">
        <v>0.0</v>
      </c>
      <c r="AF1146" s="94">
        <v>0.0</v>
      </c>
      <c r="AG1146" s="94">
        <v>0.0</v>
      </c>
      <c r="AH1146" s="94">
        <v>0.0</v>
      </c>
    </row>
    <row r="1147" hidden="1">
      <c r="A1147" s="83" t="s">
        <v>34</v>
      </c>
      <c r="B1147" s="84" t="s">
        <v>228</v>
      </c>
      <c r="C1147" s="85">
        <v>1.0</v>
      </c>
      <c r="D1147" s="85">
        <v>1.0</v>
      </c>
      <c r="E1147" s="86">
        <v>7.0</v>
      </c>
      <c r="F1147" s="85">
        <v>0.0</v>
      </c>
      <c r="G1147" s="85">
        <v>32.0</v>
      </c>
      <c r="H1147" s="94">
        <v>0.0</v>
      </c>
      <c r="I1147" s="85">
        <v>27.0</v>
      </c>
      <c r="J1147" s="95">
        <f t="shared" si="862"/>
        <v>5</v>
      </c>
      <c r="K1147" s="87">
        <f t="shared" si="863"/>
        <v>1.185185185</v>
      </c>
      <c r="L1147" s="85">
        <v>12.0</v>
      </c>
      <c r="M1147" s="85">
        <v>41.0</v>
      </c>
      <c r="N1147" s="85">
        <v>1.0</v>
      </c>
      <c r="O1147" s="110">
        <f t="shared" si="870"/>
        <v>7</v>
      </c>
      <c r="P1147" s="85">
        <v>2.0</v>
      </c>
      <c r="Q1147" s="85">
        <v>2.0</v>
      </c>
      <c r="R1147" s="85">
        <v>1.0</v>
      </c>
      <c r="S1147" s="94">
        <v>0.0</v>
      </c>
      <c r="T1147" s="85">
        <v>8.0</v>
      </c>
      <c r="U1147" s="85">
        <v>1.0</v>
      </c>
      <c r="V1147" s="85">
        <v>1.0</v>
      </c>
      <c r="W1147" s="94">
        <v>0.0</v>
      </c>
      <c r="X1147" s="94">
        <v>0.0</v>
      </c>
      <c r="Y1147" s="94">
        <v>0.0</v>
      </c>
      <c r="Z1147" s="94">
        <v>0.0</v>
      </c>
      <c r="AA1147" s="94">
        <v>0.0</v>
      </c>
      <c r="AB1147" s="94">
        <v>0.0</v>
      </c>
      <c r="AC1147" s="94">
        <v>0.0</v>
      </c>
      <c r="AD1147" s="94">
        <v>0.0</v>
      </c>
      <c r="AE1147" s="94">
        <v>0.0</v>
      </c>
      <c r="AF1147" s="94">
        <v>0.0</v>
      </c>
      <c r="AG1147" s="94">
        <v>0.0</v>
      </c>
      <c r="AH1147" s="94">
        <v>0.0</v>
      </c>
    </row>
    <row r="1148" hidden="1">
      <c r="A1148" s="83" t="s">
        <v>34</v>
      </c>
      <c r="B1148" s="84" t="s">
        <v>229</v>
      </c>
      <c r="C1148" s="85">
        <v>1.0</v>
      </c>
      <c r="D1148" s="85">
        <v>1.0</v>
      </c>
      <c r="E1148" s="86">
        <v>7.0</v>
      </c>
      <c r="F1148" s="85">
        <v>3.0</v>
      </c>
      <c r="G1148" s="85">
        <v>14.0</v>
      </c>
      <c r="H1148" s="94">
        <v>0.0</v>
      </c>
      <c r="I1148" s="85">
        <v>17.0</v>
      </c>
      <c r="J1148" s="95">
        <f t="shared" si="862"/>
        <v>-3</v>
      </c>
      <c r="K1148" s="87">
        <f t="shared" si="863"/>
        <v>0.8235294118</v>
      </c>
      <c r="L1148" s="85">
        <v>21.0</v>
      </c>
      <c r="M1148" s="85">
        <v>20.0</v>
      </c>
      <c r="N1148" s="85">
        <v>1.0</v>
      </c>
      <c r="O1148" s="110">
        <f t="shared" si="870"/>
        <v>7</v>
      </c>
      <c r="P1148" s="94">
        <v>0.0</v>
      </c>
      <c r="Q1148" s="94">
        <v>0.0</v>
      </c>
      <c r="R1148" s="85">
        <v>1.0</v>
      </c>
      <c r="S1148" s="94">
        <v>0.0</v>
      </c>
      <c r="T1148" s="85">
        <v>2.0</v>
      </c>
      <c r="U1148" s="94">
        <v>0.0</v>
      </c>
      <c r="V1148" s="94">
        <v>0.0</v>
      </c>
      <c r="W1148" s="94">
        <v>0.0</v>
      </c>
      <c r="X1148" s="94">
        <v>0.0</v>
      </c>
      <c r="Y1148" s="94">
        <v>0.0</v>
      </c>
      <c r="Z1148" s="94">
        <v>0.0</v>
      </c>
      <c r="AA1148" s="94">
        <v>0.0</v>
      </c>
      <c r="AB1148" s="94">
        <v>0.0</v>
      </c>
      <c r="AC1148" s="94">
        <v>0.0</v>
      </c>
      <c r="AD1148" s="94">
        <v>0.0</v>
      </c>
      <c r="AE1148" s="94">
        <v>0.0</v>
      </c>
      <c r="AF1148" s="94">
        <v>0.0</v>
      </c>
      <c r="AG1148" s="94">
        <v>0.0</v>
      </c>
      <c r="AH1148" s="94">
        <v>0.0</v>
      </c>
    </row>
    <row r="1149" hidden="1">
      <c r="A1149" s="83" t="s">
        <v>34</v>
      </c>
      <c r="B1149" s="84" t="s">
        <v>230</v>
      </c>
      <c r="C1149" s="85">
        <v>1.0</v>
      </c>
      <c r="D1149" s="85">
        <v>1.0</v>
      </c>
      <c r="E1149" s="86">
        <v>7.0</v>
      </c>
      <c r="F1149" s="94">
        <v>0.0</v>
      </c>
      <c r="G1149" s="85">
        <v>18.0</v>
      </c>
      <c r="H1149" s="94">
        <v>0.0</v>
      </c>
      <c r="I1149" s="85">
        <v>23.0</v>
      </c>
      <c r="J1149" s="95">
        <f t="shared" si="862"/>
        <v>-5</v>
      </c>
      <c r="K1149" s="87">
        <f t="shared" si="863"/>
        <v>0.7826086957</v>
      </c>
      <c r="L1149" s="85">
        <v>15.0</v>
      </c>
      <c r="M1149" s="85">
        <v>21.0</v>
      </c>
      <c r="N1149" s="85">
        <v>1.0</v>
      </c>
      <c r="O1149" s="110">
        <f t="shared" si="870"/>
        <v>7</v>
      </c>
      <c r="P1149" s="85">
        <v>2.0</v>
      </c>
      <c r="Q1149" s="94">
        <v>0.0</v>
      </c>
      <c r="R1149" s="94">
        <v>0.0</v>
      </c>
      <c r="S1149" s="94">
        <v>0.0</v>
      </c>
      <c r="T1149" s="85">
        <v>2.0</v>
      </c>
      <c r="U1149" s="85">
        <v>1.0</v>
      </c>
      <c r="V1149" s="94">
        <v>0.0</v>
      </c>
      <c r="W1149" s="94">
        <v>0.0</v>
      </c>
      <c r="X1149" s="94">
        <v>0.0</v>
      </c>
      <c r="Y1149" s="94">
        <v>0.0</v>
      </c>
      <c r="Z1149" s="94">
        <v>0.0</v>
      </c>
      <c r="AA1149" s="94">
        <v>0.0</v>
      </c>
      <c r="AB1149" s="94">
        <v>0.0</v>
      </c>
      <c r="AC1149" s="85">
        <v>1.0</v>
      </c>
      <c r="AD1149" s="94">
        <v>0.0</v>
      </c>
      <c r="AE1149" s="94">
        <v>0.0</v>
      </c>
      <c r="AF1149" s="94">
        <v>0.0</v>
      </c>
      <c r="AG1149" s="94">
        <v>0.0</v>
      </c>
      <c r="AH1149" s="94">
        <v>0.0</v>
      </c>
    </row>
    <row r="1150" hidden="1">
      <c r="A1150" s="83" t="s">
        <v>34</v>
      </c>
      <c r="B1150" s="84" t="s">
        <v>231</v>
      </c>
      <c r="C1150" s="94">
        <v>0.0</v>
      </c>
      <c r="D1150" s="94">
        <v>0.0</v>
      </c>
      <c r="E1150" s="96">
        <f t="shared" ref="E1150:E1151" si="871">SUM(L1150*I1150)/60</f>
        <v>0</v>
      </c>
      <c r="F1150" s="94">
        <v>0.0</v>
      </c>
      <c r="G1150" s="94">
        <v>0.0</v>
      </c>
      <c r="H1150" s="94">
        <v>0.0</v>
      </c>
      <c r="I1150" s="94">
        <v>0.0</v>
      </c>
      <c r="J1150" s="95">
        <f t="shared" si="862"/>
        <v>0</v>
      </c>
      <c r="K1150" s="87" t="str">
        <f t="shared" si="863"/>
        <v>#DIV/0!</v>
      </c>
      <c r="L1150" s="94">
        <v>0.0</v>
      </c>
      <c r="M1150" s="94">
        <v>0.0</v>
      </c>
      <c r="N1150" s="85">
        <v>0.0</v>
      </c>
      <c r="O1150" s="110">
        <f t="shared" si="870"/>
        <v>0</v>
      </c>
      <c r="P1150" s="94">
        <v>0.0</v>
      </c>
      <c r="Q1150" s="94">
        <v>0.0</v>
      </c>
      <c r="R1150" s="94">
        <v>0.0</v>
      </c>
      <c r="S1150" s="94">
        <v>0.0</v>
      </c>
      <c r="T1150" s="94">
        <v>0.0</v>
      </c>
      <c r="U1150" s="94">
        <v>0.0</v>
      </c>
      <c r="V1150" s="94">
        <v>0.0</v>
      </c>
      <c r="W1150" s="94">
        <v>0.0</v>
      </c>
      <c r="X1150" s="94">
        <v>0.0</v>
      </c>
      <c r="Y1150" s="94">
        <v>0.0</v>
      </c>
      <c r="Z1150" s="94">
        <v>0.0</v>
      </c>
      <c r="AA1150" s="94">
        <v>0.0</v>
      </c>
      <c r="AB1150" s="94">
        <v>0.0</v>
      </c>
      <c r="AC1150" s="94">
        <v>0.0</v>
      </c>
      <c r="AD1150" s="94">
        <v>0.0</v>
      </c>
      <c r="AE1150" s="94">
        <v>0.0</v>
      </c>
      <c r="AF1150" s="94">
        <v>0.0</v>
      </c>
      <c r="AG1150" s="94">
        <v>0.0</v>
      </c>
      <c r="AH1150" s="94">
        <v>0.0</v>
      </c>
    </row>
    <row r="1151" hidden="1">
      <c r="A1151" s="83" t="s">
        <v>34</v>
      </c>
      <c r="B1151" s="93"/>
      <c r="C1151" s="94">
        <v>0.0</v>
      </c>
      <c r="D1151" s="94">
        <v>0.0</v>
      </c>
      <c r="E1151" s="96">
        <f t="shared" si="871"/>
        <v>0</v>
      </c>
      <c r="F1151" s="94">
        <v>0.0</v>
      </c>
      <c r="G1151" s="94">
        <v>0.0</v>
      </c>
      <c r="H1151" s="94">
        <v>0.0</v>
      </c>
      <c r="I1151" s="94">
        <v>0.0</v>
      </c>
      <c r="J1151" s="95">
        <f t="shared" si="862"/>
        <v>0</v>
      </c>
      <c r="K1151" s="87" t="str">
        <f t="shared" si="863"/>
        <v>#DIV/0!</v>
      </c>
      <c r="L1151" s="94">
        <v>0.0</v>
      </c>
      <c r="M1151" s="94">
        <v>0.0</v>
      </c>
      <c r="N1151" s="85">
        <v>0.0</v>
      </c>
      <c r="O1151" s="110">
        <f t="shared" si="870"/>
        <v>0</v>
      </c>
      <c r="P1151" s="94">
        <v>0.0</v>
      </c>
      <c r="Q1151" s="94">
        <v>0.0</v>
      </c>
      <c r="R1151" s="94">
        <v>0.0</v>
      </c>
      <c r="S1151" s="94">
        <v>0.0</v>
      </c>
      <c r="T1151" s="94">
        <v>0.0</v>
      </c>
      <c r="U1151" s="94">
        <v>0.0</v>
      </c>
      <c r="V1151" s="94">
        <v>0.0</v>
      </c>
      <c r="W1151" s="94">
        <v>0.0</v>
      </c>
      <c r="X1151" s="94">
        <v>0.0</v>
      </c>
      <c r="Y1151" s="94">
        <v>0.0</v>
      </c>
      <c r="Z1151" s="94">
        <v>0.0</v>
      </c>
      <c r="AA1151" s="94">
        <v>0.0</v>
      </c>
      <c r="AB1151" s="94">
        <v>0.0</v>
      </c>
      <c r="AC1151" s="94">
        <v>0.0</v>
      </c>
      <c r="AD1151" s="94">
        <v>0.0</v>
      </c>
      <c r="AE1151" s="94">
        <v>0.0</v>
      </c>
      <c r="AF1151" s="94">
        <v>0.0</v>
      </c>
      <c r="AG1151" s="94">
        <v>0.0</v>
      </c>
      <c r="AH1151" s="94">
        <v>0.0</v>
      </c>
    </row>
    <row r="1152" hidden="1">
      <c r="A1152" s="89" t="s">
        <v>185</v>
      </c>
      <c r="B1152" s="111"/>
      <c r="C1152" s="111">
        <f>SUM(C1146:C1151)</f>
        <v>4</v>
      </c>
      <c r="D1152" s="111">
        <f t="shared" ref="D1152:E1152" si="872">SUM(D1146:D1151)/4</f>
        <v>1</v>
      </c>
      <c r="E1152" s="91">
        <f t="shared" si="872"/>
        <v>7</v>
      </c>
      <c r="F1152" s="111">
        <f t="shared" ref="F1152:G1152" si="873">SUM(F1146:F1151)</f>
        <v>5</v>
      </c>
      <c r="G1152" s="111">
        <f t="shared" si="873"/>
        <v>100</v>
      </c>
      <c r="H1152" s="111"/>
      <c r="I1152" s="111">
        <f>SUM(I1146:I1151)</f>
        <v>88</v>
      </c>
      <c r="J1152" s="111">
        <f t="shared" si="862"/>
        <v>12</v>
      </c>
      <c r="K1152" s="92">
        <f t="shared" si="863"/>
        <v>1.136363636</v>
      </c>
      <c r="L1152" s="111">
        <f t="shared" ref="L1152:M1152" si="874">SUM(L1146:L1151)</f>
        <v>64</v>
      </c>
      <c r="M1152" s="111">
        <f t="shared" si="874"/>
        <v>131</v>
      </c>
      <c r="N1152" s="111"/>
      <c r="O1152" s="112"/>
      <c r="P1152" s="111">
        <f t="shared" ref="P1152:AH1152" si="875">SUM(P1146:P1151)</f>
        <v>6</v>
      </c>
      <c r="Q1152" s="111">
        <f t="shared" si="875"/>
        <v>4</v>
      </c>
      <c r="R1152" s="111">
        <f t="shared" si="875"/>
        <v>4</v>
      </c>
      <c r="S1152" s="111">
        <f t="shared" si="875"/>
        <v>0</v>
      </c>
      <c r="T1152" s="111">
        <f t="shared" si="875"/>
        <v>18</v>
      </c>
      <c r="U1152" s="111">
        <f t="shared" si="875"/>
        <v>2</v>
      </c>
      <c r="V1152" s="111">
        <f t="shared" si="875"/>
        <v>1</v>
      </c>
      <c r="W1152" s="111">
        <f t="shared" si="875"/>
        <v>0</v>
      </c>
      <c r="X1152" s="111">
        <f t="shared" si="875"/>
        <v>0</v>
      </c>
      <c r="Y1152" s="111">
        <f t="shared" si="875"/>
        <v>0</v>
      </c>
      <c r="Z1152" s="111">
        <f t="shared" si="875"/>
        <v>0</v>
      </c>
      <c r="AA1152" s="111">
        <f t="shared" si="875"/>
        <v>0</v>
      </c>
      <c r="AB1152" s="111">
        <f t="shared" si="875"/>
        <v>0</v>
      </c>
      <c r="AC1152" s="111">
        <f t="shared" si="875"/>
        <v>3</v>
      </c>
      <c r="AD1152" s="111">
        <f t="shared" si="875"/>
        <v>0</v>
      </c>
      <c r="AE1152" s="111">
        <f t="shared" si="875"/>
        <v>0</v>
      </c>
      <c r="AF1152" s="111">
        <f t="shared" si="875"/>
        <v>0</v>
      </c>
      <c r="AG1152" s="111">
        <f t="shared" si="875"/>
        <v>0</v>
      </c>
      <c r="AH1152" s="111">
        <f t="shared" si="875"/>
        <v>0</v>
      </c>
    </row>
    <row r="1153">
      <c r="A1153" s="115" t="s">
        <v>320</v>
      </c>
    </row>
    <row r="1155" hidden="1">
      <c r="A1155" s="105"/>
      <c r="F1155" s="106" t="s">
        <v>251</v>
      </c>
      <c r="L1155" s="107" t="s">
        <v>252</v>
      </c>
      <c r="N1155" s="108" t="s">
        <v>253</v>
      </c>
    </row>
    <row r="1156" hidden="1">
      <c r="A1156" s="76" t="s">
        <v>148</v>
      </c>
      <c r="B1156" s="76" t="s">
        <v>149</v>
      </c>
      <c r="C1156" s="76" t="s">
        <v>150</v>
      </c>
      <c r="D1156" s="76" t="s">
        <v>13</v>
      </c>
      <c r="E1156" s="77" t="s">
        <v>151</v>
      </c>
      <c r="F1156" s="78" t="s">
        <v>15</v>
      </c>
      <c r="G1156" s="78" t="s">
        <v>152</v>
      </c>
      <c r="H1156" s="78" t="s">
        <v>153</v>
      </c>
      <c r="I1156" s="78" t="s">
        <v>154</v>
      </c>
      <c r="J1156" s="78" t="s">
        <v>155</v>
      </c>
      <c r="K1156" s="79" t="s">
        <v>156</v>
      </c>
      <c r="L1156" s="80" t="s">
        <v>157</v>
      </c>
      <c r="M1156" s="80" t="s">
        <v>158</v>
      </c>
      <c r="N1156" s="81" t="s">
        <v>254</v>
      </c>
      <c r="O1156" s="81" t="s">
        <v>151</v>
      </c>
      <c r="P1156" s="81" t="s">
        <v>160</v>
      </c>
      <c r="Q1156" s="81" t="s">
        <v>161</v>
      </c>
      <c r="R1156" s="81" t="s">
        <v>162</v>
      </c>
      <c r="S1156" s="81" t="s">
        <v>163</v>
      </c>
      <c r="T1156" s="81" t="s">
        <v>164</v>
      </c>
      <c r="U1156" s="81" t="s">
        <v>165</v>
      </c>
      <c r="V1156" s="81" t="s">
        <v>166</v>
      </c>
      <c r="W1156" s="81" t="s">
        <v>167</v>
      </c>
      <c r="X1156" s="81" t="s">
        <v>168</v>
      </c>
      <c r="Y1156" s="81" t="s">
        <v>169</v>
      </c>
      <c r="Z1156" s="81" t="s">
        <v>170</v>
      </c>
      <c r="AA1156" s="81" t="s">
        <v>171</v>
      </c>
      <c r="AB1156" s="81" t="s">
        <v>172</v>
      </c>
      <c r="AC1156" s="81" t="s">
        <v>173</v>
      </c>
      <c r="AD1156" s="81" t="s">
        <v>174</v>
      </c>
      <c r="AE1156" s="81" t="s">
        <v>175</v>
      </c>
      <c r="AF1156" s="81" t="s">
        <v>176</v>
      </c>
      <c r="AG1156" s="81" t="s">
        <v>177</v>
      </c>
      <c r="AH1156" s="81" t="s">
        <v>178</v>
      </c>
    </row>
    <row r="1157" hidden="1">
      <c r="A1157" s="83" t="s">
        <v>51</v>
      </c>
      <c r="B1157" s="84" t="s">
        <v>222</v>
      </c>
      <c r="C1157" s="85">
        <v>1.0</v>
      </c>
      <c r="D1157" s="94">
        <v>0.0</v>
      </c>
      <c r="E1157" s="86">
        <v>12.0</v>
      </c>
      <c r="F1157" s="94">
        <v>0.0</v>
      </c>
      <c r="G1157" s="85">
        <v>46.0</v>
      </c>
      <c r="H1157" s="85">
        <v>1.0</v>
      </c>
      <c r="I1157" s="85">
        <v>62.0</v>
      </c>
      <c r="J1157" s="95">
        <f t="shared" ref="J1157:J1170" si="876">SUM(G1157-I1157)</f>
        <v>-16</v>
      </c>
      <c r="K1157" s="87">
        <f t="shared" ref="K1157:K1170" si="877">SUM(G1157/I1157)</f>
        <v>0.7419354839</v>
      </c>
      <c r="L1157" s="85">
        <v>19.0</v>
      </c>
      <c r="M1157" s="85">
        <v>54.0</v>
      </c>
      <c r="N1157" s="85">
        <v>1.0</v>
      </c>
      <c r="O1157" s="110">
        <f t="shared" ref="O1157:O1162" si="878">(E1157*N1157)</f>
        <v>12</v>
      </c>
      <c r="P1157" s="85">
        <v>4.0</v>
      </c>
      <c r="Q1157" s="94">
        <v>0.0</v>
      </c>
      <c r="R1157" s="85">
        <v>1.0</v>
      </c>
      <c r="S1157" s="94">
        <v>0.0</v>
      </c>
      <c r="T1157" s="85">
        <v>3.0</v>
      </c>
      <c r="U1157" s="94">
        <v>0.0</v>
      </c>
      <c r="V1157" s="94">
        <v>0.0</v>
      </c>
      <c r="W1157" s="94">
        <v>0.0</v>
      </c>
      <c r="X1157" s="94">
        <v>0.0</v>
      </c>
      <c r="Y1157" s="94">
        <v>0.0</v>
      </c>
      <c r="Z1157" s="94">
        <v>0.0</v>
      </c>
      <c r="AA1157" s="94">
        <v>0.0</v>
      </c>
      <c r="AB1157" s="94">
        <v>0.0</v>
      </c>
      <c r="AC1157" s="85">
        <v>1.0</v>
      </c>
      <c r="AD1157" s="94">
        <v>0.0</v>
      </c>
      <c r="AE1157" s="94">
        <v>0.0</v>
      </c>
      <c r="AF1157" s="94">
        <v>0.0</v>
      </c>
      <c r="AG1157" s="94">
        <v>0.0</v>
      </c>
      <c r="AH1157" s="94">
        <v>0.0</v>
      </c>
    </row>
    <row r="1158" hidden="1">
      <c r="A1158" s="83" t="s">
        <v>51</v>
      </c>
      <c r="B1158" s="84" t="s">
        <v>223</v>
      </c>
      <c r="C1158" s="85">
        <v>1.0</v>
      </c>
      <c r="D1158" s="94">
        <v>0.0</v>
      </c>
      <c r="E1158" s="86">
        <v>12.0</v>
      </c>
      <c r="F1158" s="85">
        <v>1.0</v>
      </c>
      <c r="G1158" s="85">
        <v>82.0</v>
      </c>
      <c r="H1158" s="85">
        <v>1.0</v>
      </c>
      <c r="I1158" s="85">
        <v>82.0</v>
      </c>
      <c r="J1158" s="95">
        <f t="shared" si="876"/>
        <v>0</v>
      </c>
      <c r="K1158" s="87">
        <f t="shared" si="877"/>
        <v>1</v>
      </c>
      <c r="L1158" s="85">
        <v>14.0</v>
      </c>
      <c r="M1158" s="85">
        <v>109.0</v>
      </c>
      <c r="N1158" s="85">
        <v>1.0</v>
      </c>
      <c r="O1158" s="110">
        <f t="shared" si="878"/>
        <v>12</v>
      </c>
      <c r="P1158" s="85">
        <v>8.0</v>
      </c>
      <c r="Q1158" s="85">
        <v>5.0</v>
      </c>
      <c r="R1158" s="85">
        <v>3.0</v>
      </c>
      <c r="S1158" s="85">
        <v>2.0</v>
      </c>
      <c r="T1158" s="85">
        <v>13.0</v>
      </c>
      <c r="U1158" s="85">
        <v>1.0</v>
      </c>
      <c r="V1158" s="94">
        <v>0.0</v>
      </c>
      <c r="W1158" s="94">
        <v>0.0</v>
      </c>
      <c r="X1158" s="94">
        <v>0.0</v>
      </c>
      <c r="Y1158" s="94">
        <v>0.0</v>
      </c>
      <c r="Z1158" s="94">
        <v>0.0</v>
      </c>
      <c r="AA1158" s="94">
        <v>0.0</v>
      </c>
      <c r="AB1158" s="94">
        <v>0.0</v>
      </c>
      <c r="AC1158" s="85">
        <v>2.0</v>
      </c>
      <c r="AD1158" s="94">
        <v>0.0</v>
      </c>
      <c r="AE1158" s="94">
        <v>0.0</v>
      </c>
      <c r="AF1158" s="94">
        <v>0.0</v>
      </c>
      <c r="AG1158" s="94">
        <v>0.0</v>
      </c>
      <c r="AH1158" s="94">
        <v>0.0</v>
      </c>
    </row>
    <row r="1159" hidden="1">
      <c r="A1159" s="83" t="s">
        <v>51</v>
      </c>
      <c r="B1159" s="84" t="s">
        <v>224</v>
      </c>
      <c r="C1159" s="85">
        <v>1.0</v>
      </c>
      <c r="D1159" s="85">
        <v>0.0</v>
      </c>
      <c r="E1159" s="86">
        <v>12.0</v>
      </c>
      <c r="F1159" s="94">
        <v>0.0</v>
      </c>
      <c r="G1159" s="85">
        <v>94.0</v>
      </c>
      <c r="H1159" s="85">
        <v>1.0</v>
      </c>
      <c r="I1159" s="85">
        <v>91.0</v>
      </c>
      <c r="J1159" s="95">
        <f t="shared" si="876"/>
        <v>3</v>
      </c>
      <c r="K1159" s="87">
        <f t="shared" si="877"/>
        <v>1.032967033</v>
      </c>
      <c r="L1159" s="85">
        <v>12.0</v>
      </c>
      <c r="M1159" s="85">
        <v>124.0</v>
      </c>
      <c r="N1159" s="85">
        <v>1.0</v>
      </c>
      <c r="O1159" s="110">
        <f t="shared" si="878"/>
        <v>12</v>
      </c>
      <c r="P1159" s="85">
        <v>5.0</v>
      </c>
      <c r="Q1159" s="85">
        <v>2.0</v>
      </c>
      <c r="R1159" s="85">
        <v>6.0</v>
      </c>
      <c r="S1159" s="85">
        <v>1.0</v>
      </c>
      <c r="T1159" s="85">
        <v>17.0</v>
      </c>
      <c r="U1159" s="85">
        <v>3.0</v>
      </c>
      <c r="V1159" s="94">
        <v>0.0</v>
      </c>
      <c r="W1159" s="94">
        <v>0.0</v>
      </c>
      <c r="X1159" s="94">
        <v>0.0</v>
      </c>
      <c r="Y1159" s="94">
        <v>0.0</v>
      </c>
      <c r="Z1159" s="94">
        <v>0.0</v>
      </c>
      <c r="AA1159" s="94">
        <v>0.0</v>
      </c>
      <c r="AB1159" s="94">
        <v>0.0</v>
      </c>
      <c r="AC1159" s="85">
        <v>2.0</v>
      </c>
      <c r="AD1159" s="94">
        <v>0.0</v>
      </c>
      <c r="AE1159" s="94">
        <v>0.0</v>
      </c>
      <c r="AF1159" s="94">
        <v>0.0</v>
      </c>
      <c r="AG1159" s="94">
        <v>0.0</v>
      </c>
      <c r="AH1159" s="94">
        <v>0.0</v>
      </c>
    </row>
    <row r="1160" hidden="1">
      <c r="A1160" s="83" t="s">
        <v>51</v>
      </c>
      <c r="B1160" s="84" t="s">
        <v>225</v>
      </c>
      <c r="C1160" s="85">
        <v>1.0</v>
      </c>
      <c r="D1160" s="85">
        <v>0.0</v>
      </c>
      <c r="E1160" s="86">
        <v>12.0</v>
      </c>
      <c r="F1160" s="94">
        <v>0.0</v>
      </c>
      <c r="G1160" s="85">
        <v>76.0</v>
      </c>
      <c r="H1160" s="94">
        <v>0.0</v>
      </c>
      <c r="I1160" s="85">
        <v>90.0</v>
      </c>
      <c r="J1160" s="95">
        <f t="shared" si="876"/>
        <v>-14</v>
      </c>
      <c r="K1160" s="87">
        <f t="shared" si="877"/>
        <v>0.8444444444</v>
      </c>
      <c r="L1160" s="85">
        <v>12.0</v>
      </c>
      <c r="M1160" s="85">
        <v>98.0</v>
      </c>
      <c r="N1160" s="85">
        <v>1.0</v>
      </c>
      <c r="O1160" s="110">
        <f t="shared" si="878"/>
        <v>12</v>
      </c>
      <c r="P1160" s="85">
        <v>5.0</v>
      </c>
      <c r="Q1160" s="85">
        <v>1.0</v>
      </c>
      <c r="R1160" s="85">
        <v>4.0</v>
      </c>
      <c r="S1160" s="85">
        <v>3.0</v>
      </c>
      <c r="T1160" s="85">
        <v>9.0</v>
      </c>
      <c r="U1160" s="85">
        <v>2.0</v>
      </c>
      <c r="V1160" s="94">
        <v>0.0</v>
      </c>
      <c r="W1160" s="94">
        <v>0.0</v>
      </c>
      <c r="X1160" s="94">
        <v>0.0</v>
      </c>
      <c r="Y1160" s="94">
        <v>0.0</v>
      </c>
      <c r="Z1160" s="94">
        <v>0.0</v>
      </c>
      <c r="AA1160" s="94">
        <v>0.0</v>
      </c>
      <c r="AB1160" s="94">
        <v>0.0</v>
      </c>
      <c r="AC1160" s="85">
        <v>2.0</v>
      </c>
      <c r="AD1160" s="94">
        <v>0.0</v>
      </c>
      <c r="AE1160" s="94">
        <v>0.0</v>
      </c>
      <c r="AF1160" s="94">
        <v>0.0</v>
      </c>
      <c r="AG1160" s="94">
        <v>0.0</v>
      </c>
      <c r="AH1160" s="94">
        <v>0.0</v>
      </c>
    </row>
    <row r="1161" hidden="1">
      <c r="A1161" s="83" t="s">
        <v>51</v>
      </c>
      <c r="B1161" s="84" t="s">
        <v>226</v>
      </c>
      <c r="C1161" s="94">
        <v>0.0</v>
      </c>
      <c r="D1161" s="94">
        <v>0.0</v>
      </c>
      <c r="E1161" s="96">
        <f t="shared" ref="E1161:E1162" si="879">SUM(L1161*I1161)/60</f>
        <v>0</v>
      </c>
      <c r="F1161" s="94">
        <v>0.0</v>
      </c>
      <c r="G1161" s="94">
        <v>0.0</v>
      </c>
      <c r="H1161" s="94">
        <v>0.0</v>
      </c>
      <c r="I1161" s="94">
        <v>0.0</v>
      </c>
      <c r="J1161" s="95">
        <f t="shared" si="876"/>
        <v>0</v>
      </c>
      <c r="K1161" s="87" t="str">
        <f t="shared" si="877"/>
        <v>#DIV/0!</v>
      </c>
      <c r="L1161" s="94">
        <v>0.0</v>
      </c>
      <c r="M1161" s="94">
        <v>0.0</v>
      </c>
      <c r="N1161" s="85">
        <v>0.0</v>
      </c>
      <c r="O1161" s="110">
        <f t="shared" si="878"/>
        <v>0</v>
      </c>
      <c r="P1161" s="94">
        <v>0.0</v>
      </c>
      <c r="Q1161" s="94">
        <v>0.0</v>
      </c>
      <c r="R1161" s="94">
        <v>0.0</v>
      </c>
      <c r="S1161" s="94">
        <v>0.0</v>
      </c>
      <c r="T1161" s="94">
        <v>0.0</v>
      </c>
      <c r="U1161" s="94">
        <v>0.0</v>
      </c>
      <c r="V1161" s="94">
        <v>0.0</v>
      </c>
      <c r="W1161" s="94">
        <v>0.0</v>
      </c>
      <c r="X1161" s="94">
        <v>0.0</v>
      </c>
      <c r="Y1161" s="94">
        <v>0.0</v>
      </c>
      <c r="Z1161" s="94">
        <v>0.0</v>
      </c>
      <c r="AA1161" s="94">
        <v>0.0</v>
      </c>
      <c r="AB1161" s="94">
        <v>0.0</v>
      </c>
      <c r="AC1161" s="94">
        <v>0.0</v>
      </c>
      <c r="AD1161" s="94">
        <v>0.0</v>
      </c>
      <c r="AE1161" s="94">
        <v>0.0</v>
      </c>
      <c r="AF1161" s="94">
        <v>0.0</v>
      </c>
      <c r="AG1161" s="94">
        <v>0.0</v>
      </c>
      <c r="AH1161" s="94">
        <v>0.0</v>
      </c>
    </row>
    <row r="1162" hidden="1">
      <c r="A1162" s="83" t="s">
        <v>51</v>
      </c>
      <c r="B1162" s="93"/>
      <c r="C1162" s="94">
        <v>0.0</v>
      </c>
      <c r="D1162" s="94">
        <v>0.0</v>
      </c>
      <c r="E1162" s="96">
        <f t="shared" si="879"/>
        <v>0</v>
      </c>
      <c r="F1162" s="94">
        <v>0.0</v>
      </c>
      <c r="G1162" s="94">
        <v>0.0</v>
      </c>
      <c r="H1162" s="94">
        <v>0.0</v>
      </c>
      <c r="I1162" s="94">
        <v>0.0</v>
      </c>
      <c r="J1162" s="95">
        <f t="shared" si="876"/>
        <v>0</v>
      </c>
      <c r="K1162" s="87" t="str">
        <f t="shared" si="877"/>
        <v>#DIV/0!</v>
      </c>
      <c r="L1162" s="94">
        <v>0.0</v>
      </c>
      <c r="M1162" s="94">
        <v>0.0</v>
      </c>
      <c r="N1162" s="85">
        <v>0.0</v>
      </c>
      <c r="O1162" s="110">
        <f t="shared" si="878"/>
        <v>0</v>
      </c>
      <c r="P1162" s="94">
        <v>0.0</v>
      </c>
      <c r="Q1162" s="94">
        <v>0.0</v>
      </c>
      <c r="R1162" s="94">
        <v>0.0</v>
      </c>
      <c r="S1162" s="94">
        <v>0.0</v>
      </c>
      <c r="T1162" s="94">
        <v>0.0</v>
      </c>
      <c r="U1162" s="94">
        <v>0.0</v>
      </c>
      <c r="V1162" s="94">
        <v>0.0</v>
      </c>
      <c r="W1162" s="94">
        <v>0.0</v>
      </c>
      <c r="X1162" s="94">
        <v>0.0</v>
      </c>
      <c r="Y1162" s="94">
        <v>0.0</v>
      </c>
      <c r="Z1162" s="94">
        <v>0.0</v>
      </c>
      <c r="AA1162" s="94">
        <v>0.0</v>
      </c>
      <c r="AB1162" s="94">
        <v>0.0</v>
      </c>
      <c r="AC1162" s="94">
        <v>0.0</v>
      </c>
      <c r="AD1162" s="94">
        <v>0.0</v>
      </c>
      <c r="AE1162" s="94">
        <v>0.0</v>
      </c>
      <c r="AF1162" s="94">
        <v>0.0</v>
      </c>
      <c r="AG1162" s="94">
        <v>0.0</v>
      </c>
      <c r="AH1162" s="94">
        <v>0.0</v>
      </c>
    </row>
    <row r="1163" hidden="1">
      <c r="A1163" s="89"/>
      <c r="B1163" s="111"/>
      <c r="C1163" s="111">
        <f t="shared" ref="C1163:D1163" si="880">SUM(C1157:C1162)/4</f>
        <v>1</v>
      </c>
      <c r="D1163" s="111">
        <f t="shared" si="880"/>
        <v>0</v>
      </c>
      <c r="E1163" s="91">
        <f t="shared" ref="E1163:G1163" si="881">SUM(E1157:E1162)</f>
        <v>48</v>
      </c>
      <c r="F1163" s="111">
        <f t="shared" si="881"/>
        <v>1</v>
      </c>
      <c r="G1163" s="111">
        <f t="shared" si="881"/>
        <v>298</v>
      </c>
      <c r="H1163" s="111"/>
      <c r="I1163" s="111">
        <f>SUM(I1157:I1162)</f>
        <v>325</v>
      </c>
      <c r="J1163" s="111">
        <f t="shared" si="876"/>
        <v>-27</v>
      </c>
      <c r="K1163" s="92">
        <f t="shared" si="877"/>
        <v>0.9169230769</v>
      </c>
      <c r="L1163" s="111">
        <f t="shared" ref="L1163:M1163" si="882">SUM(L1157:L1162)</f>
        <v>57</v>
      </c>
      <c r="M1163" s="111">
        <f t="shared" si="882"/>
        <v>385</v>
      </c>
      <c r="N1163" s="111"/>
      <c r="O1163" s="112"/>
      <c r="P1163" s="111">
        <f t="shared" ref="P1163:AH1163" si="883">SUM(P1157:P1162)</f>
        <v>22</v>
      </c>
      <c r="Q1163" s="111">
        <f t="shared" si="883"/>
        <v>8</v>
      </c>
      <c r="R1163" s="111">
        <f t="shared" si="883"/>
        <v>14</v>
      </c>
      <c r="S1163" s="111">
        <f t="shared" si="883"/>
        <v>6</v>
      </c>
      <c r="T1163" s="111">
        <f t="shared" si="883"/>
        <v>42</v>
      </c>
      <c r="U1163" s="111">
        <f t="shared" si="883"/>
        <v>6</v>
      </c>
      <c r="V1163" s="111">
        <f t="shared" si="883"/>
        <v>0</v>
      </c>
      <c r="W1163" s="111">
        <f t="shared" si="883"/>
        <v>0</v>
      </c>
      <c r="X1163" s="111">
        <f t="shared" si="883"/>
        <v>0</v>
      </c>
      <c r="Y1163" s="111">
        <f t="shared" si="883"/>
        <v>0</v>
      </c>
      <c r="Z1163" s="111">
        <f t="shared" si="883"/>
        <v>0</v>
      </c>
      <c r="AA1163" s="111">
        <f t="shared" si="883"/>
        <v>0</v>
      </c>
      <c r="AB1163" s="111">
        <f t="shared" si="883"/>
        <v>0</v>
      </c>
      <c r="AC1163" s="111">
        <f t="shared" si="883"/>
        <v>7</v>
      </c>
      <c r="AD1163" s="111">
        <f t="shared" si="883"/>
        <v>0</v>
      </c>
      <c r="AE1163" s="111">
        <f t="shared" si="883"/>
        <v>0</v>
      </c>
      <c r="AF1163" s="111">
        <f t="shared" si="883"/>
        <v>0</v>
      </c>
      <c r="AG1163" s="111">
        <f t="shared" si="883"/>
        <v>0</v>
      </c>
      <c r="AH1163" s="111">
        <f t="shared" si="883"/>
        <v>0</v>
      </c>
    </row>
    <row r="1164" hidden="1">
      <c r="A1164" s="83" t="s">
        <v>34</v>
      </c>
      <c r="B1164" s="84" t="s">
        <v>227</v>
      </c>
      <c r="C1164" s="85">
        <v>1.0</v>
      </c>
      <c r="D1164" s="85">
        <v>1.0</v>
      </c>
      <c r="E1164" s="86">
        <v>12.0</v>
      </c>
      <c r="F1164" s="85">
        <v>3.0</v>
      </c>
      <c r="G1164" s="85">
        <v>84.0</v>
      </c>
      <c r="H1164" s="94">
        <v>0.0</v>
      </c>
      <c r="I1164" s="85">
        <v>78.0</v>
      </c>
      <c r="J1164" s="95">
        <f t="shared" si="876"/>
        <v>6</v>
      </c>
      <c r="K1164" s="87">
        <f t="shared" si="877"/>
        <v>1.076923077</v>
      </c>
      <c r="L1164" s="85">
        <v>14.0</v>
      </c>
      <c r="M1164" s="85">
        <v>111.0</v>
      </c>
      <c r="N1164" s="85">
        <v>1.0</v>
      </c>
      <c r="O1164" s="110">
        <f t="shared" ref="O1164:O1169" si="884">(E1164*N1164)</f>
        <v>12</v>
      </c>
      <c r="P1164" s="85">
        <v>4.0</v>
      </c>
      <c r="Q1164" s="85">
        <v>2.0</v>
      </c>
      <c r="R1164" s="85">
        <v>1.0</v>
      </c>
      <c r="S1164" s="85">
        <v>2.0</v>
      </c>
      <c r="T1164" s="85">
        <v>14.0</v>
      </c>
      <c r="U1164" s="85">
        <v>2.0</v>
      </c>
      <c r="V1164" s="85">
        <v>2.0</v>
      </c>
      <c r="W1164" s="94">
        <v>0.0</v>
      </c>
      <c r="X1164" s="94">
        <v>0.0</v>
      </c>
      <c r="Y1164" s="94">
        <v>0.0</v>
      </c>
      <c r="Z1164" s="94">
        <v>0.0</v>
      </c>
      <c r="AA1164" s="94">
        <v>0.0</v>
      </c>
      <c r="AB1164" s="94">
        <v>0.0</v>
      </c>
      <c r="AC1164" s="85">
        <v>3.0</v>
      </c>
      <c r="AD1164" s="94">
        <v>0.0</v>
      </c>
      <c r="AE1164" s="94">
        <v>0.0</v>
      </c>
      <c r="AF1164" s="94">
        <v>0.0</v>
      </c>
      <c r="AG1164" s="94">
        <v>0.0</v>
      </c>
      <c r="AH1164" s="94">
        <v>0.0</v>
      </c>
    </row>
    <row r="1165" hidden="1">
      <c r="A1165" s="83" t="s">
        <v>34</v>
      </c>
      <c r="B1165" s="84" t="s">
        <v>228</v>
      </c>
      <c r="C1165" s="85">
        <v>1.0</v>
      </c>
      <c r="D1165" s="85">
        <v>1.0</v>
      </c>
      <c r="E1165" s="86">
        <v>12.0</v>
      </c>
      <c r="F1165" s="85">
        <v>2.0</v>
      </c>
      <c r="G1165" s="85">
        <v>102.0</v>
      </c>
      <c r="H1165" s="94">
        <v>0.0</v>
      </c>
      <c r="I1165" s="85">
        <v>83.0</v>
      </c>
      <c r="J1165" s="95">
        <f t="shared" si="876"/>
        <v>19</v>
      </c>
      <c r="K1165" s="87">
        <f t="shared" si="877"/>
        <v>1.228915663</v>
      </c>
      <c r="L1165" s="85">
        <v>13.0</v>
      </c>
      <c r="M1165" s="85">
        <v>133.0</v>
      </c>
      <c r="N1165" s="85">
        <v>1.0</v>
      </c>
      <c r="O1165" s="110">
        <f t="shared" si="884"/>
        <v>12</v>
      </c>
      <c r="P1165" s="85">
        <v>6.0</v>
      </c>
      <c r="Q1165" s="85">
        <v>1.0</v>
      </c>
      <c r="R1165" s="85">
        <v>5.0</v>
      </c>
      <c r="S1165" s="94">
        <v>0.0</v>
      </c>
      <c r="T1165" s="85">
        <v>18.0</v>
      </c>
      <c r="U1165" s="85">
        <v>5.0</v>
      </c>
      <c r="V1165" s="85">
        <v>2.0</v>
      </c>
      <c r="W1165" s="85">
        <v>1.0</v>
      </c>
      <c r="X1165" s="94">
        <v>0.0</v>
      </c>
      <c r="Y1165" s="94">
        <v>0.0</v>
      </c>
      <c r="Z1165" s="94">
        <v>0.0</v>
      </c>
      <c r="AA1165" s="94">
        <v>0.0</v>
      </c>
      <c r="AB1165" s="94">
        <v>0.0</v>
      </c>
      <c r="AC1165" s="85">
        <v>3.0</v>
      </c>
      <c r="AD1165" s="94">
        <v>0.0</v>
      </c>
      <c r="AE1165" s="94">
        <v>0.0</v>
      </c>
      <c r="AF1165" s="94">
        <v>0.0</v>
      </c>
      <c r="AG1165" s="94">
        <v>0.0</v>
      </c>
      <c r="AH1165" s="94">
        <v>0.0</v>
      </c>
    </row>
    <row r="1166" hidden="1">
      <c r="A1166" s="83" t="s">
        <v>34</v>
      </c>
      <c r="B1166" s="84" t="s">
        <v>229</v>
      </c>
      <c r="C1166" s="85">
        <v>1.0</v>
      </c>
      <c r="D1166" s="85">
        <v>1.0</v>
      </c>
      <c r="E1166" s="86">
        <v>12.0</v>
      </c>
      <c r="F1166" s="94">
        <v>0.0</v>
      </c>
      <c r="G1166" s="85">
        <v>57.0</v>
      </c>
      <c r="H1166" s="85">
        <v>1.0</v>
      </c>
      <c r="I1166" s="85">
        <v>62.0</v>
      </c>
      <c r="J1166" s="95">
        <f t="shared" si="876"/>
        <v>-5</v>
      </c>
      <c r="K1166" s="87">
        <f t="shared" si="877"/>
        <v>0.9193548387</v>
      </c>
      <c r="L1166" s="85">
        <v>19.0</v>
      </c>
      <c r="M1166" s="85">
        <v>74.0</v>
      </c>
      <c r="N1166" s="85">
        <v>1.0</v>
      </c>
      <c r="O1166" s="110">
        <f t="shared" si="884"/>
        <v>12</v>
      </c>
      <c r="P1166" s="85">
        <v>4.0</v>
      </c>
      <c r="Q1166" s="85">
        <v>1.0</v>
      </c>
      <c r="R1166" s="85">
        <v>4.0</v>
      </c>
      <c r="S1166" s="85">
        <v>4.0</v>
      </c>
      <c r="T1166" s="85">
        <v>5.0</v>
      </c>
      <c r="U1166" s="85">
        <v>1.0</v>
      </c>
      <c r="V1166" s="94">
        <v>0.0</v>
      </c>
      <c r="W1166" s="94">
        <v>0.0</v>
      </c>
      <c r="X1166" s="94">
        <v>0.0</v>
      </c>
      <c r="Y1166" s="94">
        <v>0.0</v>
      </c>
      <c r="Z1166" s="94">
        <v>0.0</v>
      </c>
      <c r="AA1166" s="94">
        <v>0.0</v>
      </c>
      <c r="AB1166" s="94">
        <v>0.0</v>
      </c>
      <c r="AC1166" s="94">
        <v>0.0</v>
      </c>
      <c r="AD1166" s="94">
        <v>0.0</v>
      </c>
      <c r="AE1166" s="94">
        <v>0.0</v>
      </c>
      <c r="AF1166" s="94">
        <v>0.0</v>
      </c>
      <c r="AG1166" s="94">
        <v>0.0</v>
      </c>
      <c r="AH1166" s="94">
        <v>0.0</v>
      </c>
    </row>
    <row r="1167" hidden="1">
      <c r="A1167" s="83" t="s">
        <v>34</v>
      </c>
      <c r="B1167" s="84" t="s">
        <v>230</v>
      </c>
      <c r="C1167" s="85">
        <v>1.0</v>
      </c>
      <c r="D1167" s="85">
        <v>1.0</v>
      </c>
      <c r="E1167" s="86">
        <v>12.0</v>
      </c>
      <c r="F1167" s="94">
        <v>0.0</v>
      </c>
      <c r="G1167" s="85">
        <v>72.0</v>
      </c>
      <c r="H1167" s="94">
        <v>0.0</v>
      </c>
      <c r="I1167" s="85">
        <v>85.0</v>
      </c>
      <c r="J1167" s="95">
        <f t="shared" si="876"/>
        <v>-13</v>
      </c>
      <c r="K1167" s="87">
        <f t="shared" si="877"/>
        <v>0.8470588235</v>
      </c>
      <c r="L1167" s="85">
        <v>13.0</v>
      </c>
      <c r="M1167" s="85">
        <v>90.0</v>
      </c>
      <c r="N1167" s="85">
        <v>1.0</v>
      </c>
      <c r="O1167" s="110">
        <f t="shared" si="884"/>
        <v>12</v>
      </c>
      <c r="P1167" s="85">
        <v>1.0</v>
      </c>
      <c r="Q1167" s="85">
        <v>4.0</v>
      </c>
      <c r="R1167" s="85">
        <v>8.0</v>
      </c>
      <c r="S1167" s="85">
        <v>1.0</v>
      </c>
      <c r="T1167" s="85">
        <v>9.0</v>
      </c>
      <c r="U1167" s="85">
        <v>1.0</v>
      </c>
      <c r="V1167" s="85">
        <v>1.0</v>
      </c>
      <c r="W1167" s="94">
        <v>0.0</v>
      </c>
      <c r="X1167" s="94">
        <v>0.0</v>
      </c>
      <c r="Y1167" s="94">
        <v>0.0</v>
      </c>
      <c r="Z1167" s="94">
        <v>0.0</v>
      </c>
      <c r="AA1167" s="94">
        <v>0.0</v>
      </c>
      <c r="AB1167" s="94">
        <v>0.0</v>
      </c>
      <c r="AC1167" s="85">
        <v>1.0</v>
      </c>
      <c r="AD1167" s="94">
        <v>0.0</v>
      </c>
      <c r="AE1167" s="94">
        <v>0.0</v>
      </c>
      <c r="AF1167" s="94">
        <v>0.0</v>
      </c>
      <c r="AG1167" s="94">
        <v>0.0</v>
      </c>
      <c r="AH1167" s="94">
        <v>0.0</v>
      </c>
    </row>
    <row r="1168" hidden="1">
      <c r="A1168" s="83" t="s">
        <v>34</v>
      </c>
      <c r="B1168" s="84" t="s">
        <v>231</v>
      </c>
      <c r="C1168" s="94">
        <v>0.0</v>
      </c>
      <c r="D1168" s="85">
        <v>0.0</v>
      </c>
      <c r="E1168" s="96">
        <f t="shared" ref="E1168:E1169" si="885">SUM(L1168*I1168)/60</f>
        <v>0</v>
      </c>
      <c r="F1168" s="94">
        <v>0.0</v>
      </c>
      <c r="G1168" s="94">
        <v>0.0</v>
      </c>
      <c r="H1168" s="94">
        <v>0.0</v>
      </c>
      <c r="I1168" s="94">
        <v>0.0</v>
      </c>
      <c r="J1168" s="95">
        <f t="shared" si="876"/>
        <v>0</v>
      </c>
      <c r="K1168" s="87" t="str">
        <f t="shared" si="877"/>
        <v>#DIV/0!</v>
      </c>
      <c r="L1168" s="94">
        <v>0.0</v>
      </c>
      <c r="M1168" s="94">
        <v>0.0</v>
      </c>
      <c r="N1168" s="85">
        <v>0.0</v>
      </c>
      <c r="O1168" s="110">
        <f t="shared" si="884"/>
        <v>0</v>
      </c>
      <c r="P1168" s="94">
        <v>0.0</v>
      </c>
      <c r="Q1168" s="94">
        <v>0.0</v>
      </c>
      <c r="R1168" s="94">
        <v>0.0</v>
      </c>
      <c r="S1168" s="94">
        <v>0.0</v>
      </c>
      <c r="T1168" s="94">
        <v>0.0</v>
      </c>
      <c r="U1168" s="94">
        <v>0.0</v>
      </c>
      <c r="V1168" s="94">
        <v>0.0</v>
      </c>
      <c r="W1168" s="94">
        <v>0.0</v>
      </c>
      <c r="X1168" s="94">
        <v>0.0</v>
      </c>
      <c r="Y1168" s="94">
        <v>0.0</v>
      </c>
      <c r="Z1168" s="94">
        <v>0.0</v>
      </c>
      <c r="AA1168" s="94">
        <v>0.0</v>
      </c>
      <c r="AB1168" s="94">
        <v>0.0</v>
      </c>
      <c r="AC1168" s="94">
        <v>0.0</v>
      </c>
      <c r="AD1168" s="94">
        <v>0.0</v>
      </c>
      <c r="AE1168" s="94">
        <v>0.0</v>
      </c>
      <c r="AF1168" s="94">
        <v>0.0</v>
      </c>
      <c r="AG1168" s="94">
        <v>0.0</v>
      </c>
      <c r="AH1168" s="94">
        <v>0.0</v>
      </c>
    </row>
    <row r="1169" hidden="1">
      <c r="A1169" s="83" t="s">
        <v>34</v>
      </c>
      <c r="B1169" s="93"/>
      <c r="C1169" s="94">
        <v>0.0</v>
      </c>
      <c r="D1169" s="94">
        <v>0.0</v>
      </c>
      <c r="E1169" s="96">
        <f t="shared" si="885"/>
        <v>0</v>
      </c>
      <c r="F1169" s="94">
        <v>0.0</v>
      </c>
      <c r="G1169" s="94">
        <v>0.0</v>
      </c>
      <c r="H1169" s="94">
        <v>0.0</v>
      </c>
      <c r="I1169" s="94">
        <v>0.0</v>
      </c>
      <c r="J1169" s="95">
        <f t="shared" si="876"/>
        <v>0</v>
      </c>
      <c r="K1169" s="87" t="str">
        <f t="shared" si="877"/>
        <v>#DIV/0!</v>
      </c>
      <c r="L1169" s="94">
        <v>0.0</v>
      </c>
      <c r="M1169" s="94">
        <v>0.0</v>
      </c>
      <c r="N1169" s="85">
        <v>0.0</v>
      </c>
      <c r="O1169" s="110">
        <f t="shared" si="884"/>
        <v>0</v>
      </c>
      <c r="P1169" s="94">
        <v>0.0</v>
      </c>
      <c r="Q1169" s="94">
        <v>0.0</v>
      </c>
      <c r="R1169" s="94">
        <v>0.0</v>
      </c>
      <c r="S1169" s="94">
        <v>0.0</v>
      </c>
      <c r="T1169" s="94">
        <v>0.0</v>
      </c>
      <c r="U1169" s="94">
        <v>0.0</v>
      </c>
      <c r="V1169" s="94">
        <v>0.0</v>
      </c>
      <c r="W1169" s="94">
        <v>0.0</v>
      </c>
      <c r="X1169" s="94">
        <v>0.0</v>
      </c>
      <c r="Y1169" s="94">
        <v>0.0</v>
      </c>
      <c r="Z1169" s="94">
        <v>0.0</v>
      </c>
      <c r="AA1169" s="94">
        <v>0.0</v>
      </c>
      <c r="AB1169" s="94">
        <v>0.0</v>
      </c>
      <c r="AC1169" s="94">
        <v>0.0</v>
      </c>
      <c r="AD1169" s="94">
        <v>0.0</v>
      </c>
      <c r="AE1169" s="94">
        <v>0.0</v>
      </c>
      <c r="AF1169" s="94">
        <v>0.0</v>
      </c>
      <c r="AG1169" s="94">
        <v>0.0</v>
      </c>
      <c r="AH1169" s="94">
        <v>0.0</v>
      </c>
    </row>
    <row r="1170" hidden="1">
      <c r="A1170" s="89" t="s">
        <v>185</v>
      </c>
      <c r="B1170" s="111"/>
      <c r="C1170" s="111">
        <f>SUM(C1164:C1169)</f>
        <v>4</v>
      </c>
      <c r="D1170" s="111">
        <f t="shared" ref="D1170:E1170" si="886">SUM(D1164:D1169)/4</f>
        <v>1</v>
      </c>
      <c r="E1170" s="91">
        <f t="shared" si="886"/>
        <v>12</v>
      </c>
      <c r="F1170" s="111">
        <f t="shared" ref="F1170:G1170" si="887">SUM(F1164:F1169)</f>
        <v>5</v>
      </c>
      <c r="G1170" s="111">
        <f t="shared" si="887"/>
        <v>315</v>
      </c>
      <c r="H1170" s="111"/>
      <c r="I1170" s="111">
        <f>SUM(I1164:I1169)</f>
        <v>308</v>
      </c>
      <c r="J1170" s="111">
        <f t="shared" si="876"/>
        <v>7</v>
      </c>
      <c r="K1170" s="92">
        <f t="shared" si="877"/>
        <v>1.022727273</v>
      </c>
      <c r="L1170" s="111">
        <f t="shared" ref="L1170:M1170" si="888">SUM(L1164:L1169)</f>
        <v>59</v>
      </c>
      <c r="M1170" s="111">
        <f t="shared" si="888"/>
        <v>408</v>
      </c>
      <c r="N1170" s="111"/>
      <c r="O1170" s="112"/>
      <c r="P1170" s="111">
        <f t="shared" ref="P1170:AH1170" si="889">SUM(P1164:P1169)</f>
        <v>15</v>
      </c>
      <c r="Q1170" s="111">
        <f t="shared" si="889"/>
        <v>8</v>
      </c>
      <c r="R1170" s="111">
        <f t="shared" si="889"/>
        <v>18</v>
      </c>
      <c r="S1170" s="111">
        <f t="shared" si="889"/>
        <v>7</v>
      </c>
      <c r="T1170" s="111">
        <f t="shared" si="889"/>
        <v>46</v>
      </c>
      <c r="U1170" s="111">
        <f t="shared" si="889"/>
        <v>9</v>
      </c>
      <c r="V1170" s="111">
        <f t="shared" si="889"/>
        <v>5</v>
      </c>
      <c r="W1170" s="111">
        <f t="shared" si="889"/>
        <v>1</v>
      </c>
      <c r="X1170" s="111">
        <f t="shared" si="889"/>
        <v>0</v>
      </c>
      <c r="Y1170" s="111">
        <f t="shared" si="889"/>
        <v>0</v>
      </c>
      <c r="Z1170" s="111">
        <f t="shared" si="889"/>
        <v>0</v>
      </c>
      <c r="AA1170" s="111">
        <f t="shared" si="889"/>
        <v>0</v>
      </c>
      <c r="AB1170" s="111">
        <f t="shared" si="889"/>
        <v>0</v>
      </c>
      <c r="AC1170" s="111">
        <f t="shared" si="889"/>
        <v>7</v>
      </c>
      <c r="AD1170" s="111">
        <f t="shared" si="889"/>
        <v>0</v>
      </c>
      <c r="AE1170" s="111">
        <f t="shared" si="889"/>
        <v>0</v>
      </c>
      <c r="AF1170" s="111">
        <f t="shared" si="889"/>
        <v>0</v>
      </c>
      <c r="AG1170" s="111">
        <f t="shared" si="889"/>
        <v>0</v>
      </c>
      <c r="AH1170" s="111">
        <f t="shared" si="889"/>
        <v>0</v>
      </c>
    </row>
    <row r="1171">
      <c r="A1171" s="104" t="s">
        <v>321</v>
      </c>
    </row>
    <row r="1173" hidden="1">
      <c r="A1173" s="105"/>
      <c r="F1173" s="106" t="s">
        <v>251</v>
      </c>
      <c r="L1173" s="107" t="s">
        <v>252</v>
      </c>
      <c r="N1173" s="108" t="s">
        <v>253</v>
      </c>
    </row>
    <row r="1174" hidden="1">
      <c r="A1174" s="76" t="s">
        <v>148</v>
      </c>
      <c r="B1174" s="76" t="s">
        <v>149</v>
      </c>
      <c r="C1174" s="76" t="s">
        <v>150</v>
      </c>
      <c r="D1174" s="76" t="s">
        <v>13</v>
      </c>
      <c r="E1174" s="77" t="s">
        <v>151</v>
      </c>
      <c r="F1174" s="78" t="s">
        <v>15</v>
      </c>
      <c r="G1174" s="78" t="s">
        <v>152</v>
      </c>
      <c r="H1174" s="78" t="s">
        <v>153</v>
      </c>
      <c r="I1174" s="78" t="s">
        <v>154</v>
      </c>
      <c r="J1174" s="78" t="s">
        <v>155</v>
      </c>
      <c r="K1174" s="79" t="s">
        <v>156</v>
      </c>
      <c r="L1174" s="80" t="s">
        <v>157</v>
      </c>
      <c r="M1174" s="80" t="s">
        <v>158</v>
      </c>
      <c r="N1174" s="81" t="s">
        <v>254</v>
      </c>
      <c r="O1174" s="81" t="s">
        <v>151</v>
      </c>
      <c r="P1174" s="81" t="s">
        <v>160</v>
      </c>
      <c r="Q1174" s="81" t="s">
        <v>161</v>
      </c>
      <c r="R1174" s="81" t="s">
        <v>162</v>
      </c>
      <c r="S1174" s="81" t="s">
        <v>163</v>
      </c>
      <c r="T1174" s="81" t="s">
        <v>164</v>
      </c>
      <c r="U1174" s="81" t="s">
        <v>165</v>
      </c>
      <c r="V1174" s="81" t="s">
        <v>166</v>
      </c>
      <c r="W1174" s="81" t="s">
        <v>167</v>
      </c>
      <c r="X1174" s="81" t="s">
        <v>168</v>
      </c>
      <c r="Y1174" s="81" t="s">
        <v>169</v>
      </c>
      <c r="Z1174" s="81" t="s">
        <v>170</v>
      </c>
      <c r="AA1174" s="81" t="s">
        <v>171</v>
      </c>
      <c r="AB1174" s="81" t="s">
        <v>172</v>
      </c>
      <c r="AC1174" s="81" t="s">
        <v>173</v>
      </c>
      <c r="AD1174" s="81" t="s">
        <v>174</v>
      </c>
      <c r="AE1174" s="81" t="s">
        <v>175</v>
      </c>
      <c r="AF1174" s="81" t="s">
        <v>176</v>
      </c>
      <c r="AG1174" s="81" t="s">
        <v>177</v>
      </c>
      <c r="AH1174" s="81" t="s">
        <v>178</v>
      </c>
    </row>
    <row r="1175" hidden="1">
      <c r="A1175" s="109" t="s">
        <v>56</v>
      </c>
      <c r="B1175" s="93" t="s">
        <v>203</v>
      </c>
      <c r="C1175" s="85">
        <v>1.0</v>
      </c>
      <c r="D1175" s="94">
        <v>0.0</v>
      </c>
      <c r="E1175" s="96">
        <f t="shared" ref="E1175:E1180" si="890">SUM(L1175*I1175)/60</f>
        <v>7.2</v>
      </c>
      <c r="F1175" s="94">
        <v>0.0</v>
      </c>
      <c r="G1175" s="85">
        <v>40.0</v>
      </c>
      <c r="H1175" s="94">
        <v>0.0</v>
      </c>
      <c r="I1175" s="85">
        <v>48.0</v>
      </c>
      <c r="J1175" s="95">
        <f t="shared" ref="J1175:J1188" si="891">SUM(G1175-I1175)</f>
        <v>-8</v>
      </c>
      <c r="K1175" s="87">
        <f t="shared" ref="K1175:K1188" si="892">SUM(G1175/I1175)</f>
        <v>0.8333333333</v>
      </c>
      <c r="L1175" s="85">
        <v>9.0</v>
      </c>
      <c r="M1175" s="85">
        <v>43.0</v>
      </c>
      <c r="N1175" s="85">
        <v>1.0</v>
      </c>
      <c r="O1175" s="110">
        <f t="shared" ref="O1175:O1180" si="893">(E1175*N1175)</f>
        <v>7.2</v>
      </c>
      <c r="P1175" s="85">
        <v>2.0</v>
      </c>
      <c r="Q1175" s="94">
        <v>0.0</v>
      </c>
      <c r="R1175" s="94">
        <v>0.0</v>
      </c>
      <c r="S1175" s="94">
        <v>0.0</v>
      </c>
      <c r="T1175" s="85">
        <v>3.0</v>
      </c>
      <c r="U1175" s="94">
        <v>0.0</v>
      </c>
      <c r="V1175" s="94">
        <v>0.0</v>
      </c>
      <c r="W1175" s="94">
        <v>0.0</v>
      </c>
      <c r="X1175" s="94">
        <v>0.0</v>
      </c>
      <c r="Y1175" s="94">
        <v>0.0</v>
      </c>
      <c r="Z1175" s="94">
        <v>0.0</v>
      </c>
      <c r="AA1175" s="94">
        <v>0.0</v>
      </c>
      <c r="AB1175" s="94">
        <v>0.0</v>
      </c>
      <c r="AC1175" s="94">
        <v>0.0</v>
      </c>
      <c r="AD1175" s="94">
        <v>0.0</v>
      </c>
      <c r="AE1175" s="94">
        <v>0.0</v>
      </c>
      <c r="AF1175" s="94">
        <v>0.0</v>
      </c>
      <c r="AG1175" s="94">
        <v>0.0</v>
      </c>
      <c r="AH1175" s="94">
        <v>0.0</v>
      </c>
    </row>
    <row r="1176" hidden="1">
      <c r="A1176" s="109" t="s">
        <v>56</v>
      </c>
      <c r="B1176" s="93" t="s">
        <v>204</v>
      </c>
      <c r="C1176" s="85">
        <v>1.0</v>
      </c>
      <c r="D1176" s="94">
        <v>0.0</v>
      </c>
      <c r="E1176" s="96">
        <f t="shared" si="890"/>
        <v>8.4</v>
      </c>
      <c r="F1176" s="94">
        <v>0.0</v>
      </c>
      <c r="G1176" s="85">
        <v>31.0</v>
      </c>
      <c r="H1176" s="94">
        <v>0.0</v>
      </c>
      <c r="I1176" s="85">
        <v>56.0</v>
      </c>
      <c r="J1176" s="95">
        <f t="shared" si="891"/>
        <v>-25</v>
      </c>
      <c r="K1176" s="87">
        <f t="shared" si="892"/>
        <v>0.5535714286</v>
      </c>
      <c r="L1176" s="85">
        <v>9.0</v>
      </c>
      <c r="M1176" s="85">
        <v>33.0</v>
      </c>
      <c r="N1176" s="85">
        <v>1.0</v>
      </c>
      <c r="O1176" s="110">
        <f t="shared" si="893"/>
        <v>8.4</v>
      </c>
      <c r="P1176" s="85">
        <v>3.0</v>
      </c>
      <c r="Q1176" s="94">
        <v>0.0</v>
      </c>
      <c r="R1176" s="94">
        <v>0.0</v>
      </c>
      <c r="S1176" s="94">
        <v>0.0</v>
      </c>
      <c r="T1176" s="85">
        <v>1.0</v>
      </c>
      <c r="U1176" s="94">
        <v>0.0</v>
      </c>
      <c r="V1176" s="94">
        <v>0.0</v>
      </c>
      <c r="W1176" s="94">
        <v>0.0</v>
      </c>
      <c r="X1176" s="94">
        <v>0.0</v>
      </c>
      <c r="Y1176" s="94">
        <v>0.0</v>
      </c>
      <c r="Z1176" s="94">
        <v>0.0</v>
      </c>
      <c r="AA1176" s="94">
        <v>0.0</v>
      </c>
      <c r="AB1176" s="94">
        <v>0.0</v>
      </c>
      <c r="AC1176" s="94">
        <v>0.0</v>
      </c>
      <c r="AD1176" s="94">
        <v>0.0</v>
      </c>
      <c r="AE1176" s="94">
        <v>0.0</v>
      </c>
      <c r="AF1176" s="94">
        <v>0.0</v>
      </c>
      <c r="AG1176" s="94">
        <v>0.0</v>
      </c>
      <c r="AH1176" s="94">
        <v>0.0</v>
      </c>
    </row>
    <row r="1177" hidden="1">
      <c r="A1177" s="109" t="s">
        <v>56</v>
      </c>
      <c r="B1177" s="93" t="s">
        <v>205</v>
      </c>
      <c r="C1177" s="85">
        <v>1.0</v>
      </c>
      <c r="D1177" s="94">
        <v>0.0</v>
      </c>
      <c r="E1177" s="96">
        <f t="shared" si="890"/>
        <v>8.333333333</v>
      </c>
      <c r="F1177" s="94">
        <v>0.0</v>
      </c>
      <c r="G1177" s="85">
        <v>32.0</v>
      </c>
      <c r="H1177" s="94">
        <v>0.0</v>
      </c>
      <c r="I1177" s="85">
        <v>50.0</v>
      </c>
      <c r="J1177" s="95">
        <f t="shared" si="891"/>
        <v>-18</v>
      </c>
      <c r="K1177" s="87">
        <f t="shared" si="892"/>
        <v>0.64</v>
      </c>
      <c r="L1177" s="85">
        <v>10.0</v>
      </c>
      <c r="M1177" s="85">
        <v>36.0</v>
      </c>
      <c r="N1177" s="85">
        <v>1.0</v>
      </c>
      <c r="O1177" s="110">
        <f t="shared" si="893"/>
        <v>8.333333333</v>
      </c>
      <c r="P1177" s="85">
        <v>1.0</v>
      </c>
      <c r="Q1177" s="94">
        <v>0.0</v>
      </c>
      <c r="R1177" s="94">
        <v>0.0</v>
      </c>
      <c r="S1177" s="85">
        <v>3.0</v>
      </c>
      <c r="T1177" s="85">
        <v>4.0</v>
      </c>
      <c r="U1177" s="94">
        <v>0.0</v>
      </c>
      <c r="V1177" s="94">
        <v>0.0</v>
      </c>
      <c r="W1177" s="94">
        <v>0.0</v>
      </c>
      <c r="X1177" s="94">
        <v>0.0</v>
      </c>
      <c r="Y1177" s="94">
        <v>0.0</v>
      </c>
      <c r="Z1177" s="94">
        <v>0.0</v>
      </c>
      <c r="AA1177" s="94">
        <v>0.0</v>
      </c>
      <c r="AB1177" s="94">
        <v>0.0</v>
      </c>
      <c r="AC1177" s="94">
        <v>0.0</v>
      </c>
      <c r="AD1177" s="94">
        <v>0.0</v>
      </c>
      <c r="AE1177" s="94">
        <v>0.0</v>
      </c>
      <c r="AF1177" s="94">
        <v>0.0</v>
      </c>
      <c r="AG1177" s="94">
        <v>0.0</v>
      </c>
      <c r="AH1177" s="94">
        <v>0.0</v>
      </c>
    </row>
    <row r="1178" hidden="1">
      <c r="A1178" s="109" t="s">
        <v>56</v>
      </c>
      <c r="B1178" s="93" t="s">
        <v>206</v>
      </c>
      <c r="C1178" s="94">
        <v>0.0</v>
      </c>
      <c r="D1178" s="94">
        <v>0.0</v>
      </c>
      <c r="E1178" s="96">
        <f t="shared" si="890"/>
        <v>0</v>
      </c>
      <c r="F1178" s="94">
        <v>0.0</v>
      </c>
      <c r="G1178" s="94">
        <v>0.0</v>
      </c>
      <c r="H1178" s="94">
        <v>0.0</v>
      </c>
      <c r="I1178" s="94">
        <v>0.0</v>
      </c>
      <c r="J1178" s="95">
        <f t="shared" si="891"/>
        <v>0</v>
      </c>
      <c r="K1178" s="87" t="str">
        <f t="shared" si="892"/>
        <v>#DIV/0!</v>
      </c>
      <c r="L1178" s="94">
        <v>0.0</v>
      </c>
      <c r="M1178" s="94">
        <v>0.0</v>
      </c>
      <c r="N1178" s="85">
        <v>0.0</v>
      </c>
      <c r="O1178" s="110">
        <f t="shared" si="893"/>
        <v>0</v>
      </c>
      <c r="P1178" s="94">
        <v>0.0</v>
      </c>
      <c r="Q1178" s="94">
        <v>0.0</v>
      </c>
      <c r="R1178" s="94">
        <v>0.0</v>
      </c>
      <c r="S1178" s="94">
        <v>0.0</v>
      </c>
      <c r="T1178" s="94">
        <v>0.0</v>
      </c>
      <c r="U1178" s="94">
        <v>0.0</v>
      </c>
      <c r="V1178" s="94">
        <v>0.0</v>
      </c>
      <c r="W1178" s="94">
        <v>0.0</v>
      </c>
      <c r="X1178" s="94">
        <v>0.0</v>
      </c>
      <c r="Y1178" s="94">
        <v>0.0</v>
      </c>
      <c r="Z1178" s="94">
        <v>0.0</v>
      </c>
      <c r="AA1178" s="94">
        <v>0.0</v>
      </c>
      <c r="AB1178" s="94">
        <v>0.0</v>
      </c>
      <c r="AC1178" s="94">
        <v>0.0</v>
      </c>
      <c r="AD1178" s="94">
        <v>0.0</v>
      </c>
      <c r="AE1178" s="94">
        <v>0.0</v>
      </c>
      <c r="AF1178" s="94">
        <v>0.0</v>
      </c>
      <c r="AG1178" s="94">
        <v>0.0</v>
      </c>
      <c r="AH1178" s="94">
        <v>0.0</v>
      </c>
    </row>
    <row r="1179" hidden="1">
      <c r="A1179" s="109" t="s">
        <v>56</v>
      </c>
      <c r="B1179" s="93" t="s">
        <v>207</v>
      </c>
      <c r="C1179" s="85">
        <v>1.0</v>
      </c>
      <c r="D1179" s="94">
        <v>0.0</v>
      </c>
      <c r="E1179" s="96">
        <f t="shared" si="890"/>
        <v>9</v>
      </c>
      <c r="F1179" s="94">
        <v>0.0</v>
      </c>
      <c r="G1179" s="85">
        <v>24.0</v>
      </c>
      <c r="H1179" s="94">
        <v>0.0</v>
      </c>
      <c r="I1179" s="85">
        <v>45.0</v>
      </c>
      <c r="J1179" s="95">
        <f t="shared" si="891"/>
        <v>-21</v>
      </c>
      <c r="K1179" s="87">
        <f t="shared" si="892"/>
        <v>0.5333333333</v>
      </c>
      <c r="L1179" s="85">
        <v>12.0</v>
      </c>
      <c r="M1179" s="85">
        <v>28.0</v>
      </c>
      <c r="N1179" s="85">
        <v>1.0</v>
      </c>
      <c r="O1179" s="110">
        <f t="shared" si="893"/>
        <v>9</v>
      </c>
      <c r="P1179" s="85">
        <v>2.0</v>
      </c>
      <c r="Q1179" s="94">
        <v>0.0</v>
      </c>
      <c r="R1179" s="94">
        <v>0.0</v>
      </c>
      <c r="S1179" s="85">
        <v>1.0</v>
      </c>
      <c r="T1179" s="85">
        <v>3.0</v>
      </c>
      <c r="U1179" s="94">
        <v>0.0</v>
      </c>
      <c r="V1179" s="94">
        <v>0.0</v>
      </c>
      <c r="W1179" s="94">
        <v>0.0</v>
      </c>
      <c r="X1179" s="94">
        <v>0.0</v>
      </c>
      <c r="Y1179" s="94">
        <v>0.0</v>
      </c>
      <c r="Z1179" s="94">
        <v>0.0</v>
      </c>
      <c r="AA1179" s="94">
        <v>0.0</v>
      </c>
      <c r="AB1179" s="94">
        <v>0.0</v>
      </c>
      <c r="AC1179" s="94">
        <v>0.0</v>
      </c>
      <c r="AD1179" s="94">
        <v>0.0</v>
      </c>
      <c r="AE1179" s="94">
        <v>0.0</v>
      </c>
      <c r="AF1179" s="94">
        <v>0.0</v>
      </c>
      <c r="AG1179" s="94">
        <v>0.0</v>
      </c>
      <c r="AH1179" s="94">
        <v>0.0</v>
      </c>
    </row>
    <row r="1180" hidden="1">
      <c r="A1180" s="109" t="s">
        <v>56</v>
      </c>
      <c r="B1180" s="116"/>
      <c r="C1180" s="94">
        <v>0.0</v>
      </c>
      <c r="D1180" s="94">
        <v>0.0</v>
      </c>
      <c r="E1180" s="96">
        <f t="shared" si="890"/>
        <v>0</v>
      </c>
      <c r="F1180" s="94">
        <v>0.0</v>
      </c>
      <c r="G1180" s="94">
        <v>0.0</v>
      </c>
      <c r="H1180" s="94">
        <v>0.0</v>
      </c>
      <c r="I1180" s="94">
        <v>0.0</v>
      </c>
      <c r="J1180" s="95">
        <f t="shared" si="891"/>
        <v>0</v>
      </c>
      <c r="K1180" s="87" t="str">
        <f t="shared" si="892"/>
        <v>#DIV/0!</v>
      </c>
      <c r="L1180" s="94">
        <v>0.0</v>
      </c>
      <c r="M1180" s="94">
        <v>0.0</v>
      </c>
      <c r="N1180" s="85">
        <v>0.0</v>
      </c>
      <c r="O1180" s="110">
        <f t="shared" si="893"/>
        <v>0</v>
      </c>
      <c r="P1180" s="94">
        <v>0.0</v>
      </c>
      <c r="Q1180" s="94">
        <v>0.0</v>
      </c>
      <c r="R1180" s="94">
        <v>0.0</v>
      </c>
      <c r="S1180" s="94">
        <v>0.0</v>
      </c>
      <c r="T1180" s="94">
        <v>0.0</v>
      </c>
      <c r="U1180" s="94">
        <v>0.0</v>
      </c>
      <c r="V1180" s="94">
        <v>0.0</v>
      </c>
      <c r="W1180" s="94">
        <v>0.0</v>
      </c>
      <c r="X1180" s="94">
        <v>0.0</v>
      </c>
      <c r="Y1180" s="94">
        <v>0.0</v>
      </c>
      <c r="Z1180" s="94">
        <v>0.0</v>
      </c>
      <c r="AA1180" s="94">
        <v>0.0</v>
      </c>
      <c r="AB1180" s="94">
        <v>0.0</v>
      </c>
      <c r="AC1180" s="94">
        <v>0.0</v>
      </c>
      <c r="AD1180" s="94">
        <v>0.0</v>
      </c>
      <c r="AE1180" s="94">
        <v>0.0</v>
      </c>
      <c r="AF1180" s="94">
        <v>0.0</v>
      </c>
      <c r="AG1180" s="94">
        <v>0.0</v>
      </c>
      <c r="AH1180" s="94">
        <v>0.0</v>
      </c>
    </row>
    <row r="1181" hidden="1">
      <c r="A1181" s="89"/>
      <c r="B1181" s="111"/>
      <c r="C1181" s="111">
        <f t="shared" ref="C1181:D1181" si="894">SUM(C1175:C1180)/4</f>
        <v>1</v>
      </c>
      <c r="D1181" s="111">
        <f t="shared" si="894"/>
        <v>0</v>
      </c>
      <c r="E1181" s="91">
        <f t="shared" ref="E1181:G1181" si="895">SUM(E1175:E1180)</f>
        <v>32.93333333</v>
      </c>
      <c r="F1181" s="111">
        <f t="shared" si="895"/>
        <v>0</v>
      </c>
      <c r="G1181" s="111">
        <f t="shared" si="895"/>
        <v>127</v>
      </c>
      <c r="H1181" s="111"/>
      <c r="I1181" s="111">
        <f>SUM(I1175:I1180)</f>
        <v>199</v>
      </c>
      <c r="J1181" s="111">
        <f t="shared" si="891"/>
        <v>-72</v>
      </c>
      <c r="K1181" s="92">
        <f t="shared" si="892"/>
        <v>0.6381909548</v>
      </c>
      <c r="L1181" s="111">
        <f t="shared" ref="L1181:M1181" si="896">SUM(L1175:L1180)</f>
        <v>40</v>
      </c>
      <c r="M1181" s="111">
        <f t="shared" si="896"/>
        <v>140</v>
      </c>
      <c r="N1181" s="111"/>
      <c r="O1181" s="112"/>
      <c r="P1181" s="111">
        <f t="shared" ref="P1181:AH1181" si="897">SUM(P1175:P1180)</f>
        <v>8</v>
      </c>
      <c r="Q1181" s="111">
        <f t="shared" si="897"/>
        <v>0</v>
      </c>
      <c r="R1181" s="111">
        <f t="shared" si="897"/>
        <v>0</v>
      </c>
      <c r="S1181" s="111">
        <f t="shared" si="897"/>
        <v>4</v>
      </c>
      <c r="T1181" s="111">
        <f t="shared" si="897"/>
        <v>11</v>
      </c>
      <c r="U1181" s="111">
        <f t="shared" si="897"/>
        <v>0</v>
      </c>
      <c r="V1181" s="111">
        <f t="shared" si="897"/>
        <v>0</v>
      </c>
      <c r="W1181" s="111">
        <f t="shared" si="897"/>
        <v>0</v>
      </c>
      <c r="X1181" s="111">
        <f t="shared" si="897"/>
        <v>0</v>
      </c>
      <c r="Y1181" s="111">
        <f t="shared" si="897"/>
        <v>0</v>
      </c>
      <c r="Z1181" s="111">
        <f t="shared" si="897"/>
        <v>0</v>
      </c>
      <c r="AA1181" s="111">
        <f t="shared" si="897"/>
        <v>0</v>
      </c>
      <c r="AB1181" s="111">
        <f t="shared" si="897"/>
        <v>0</v>
      </c>
      <c r="AC1181" s="111">
        <f t="shared" si="897"/>
        <v>0</v>
      </c>
      <c r="AD1181" s="111">
        <f t="shared" si="897"/>
        <v>0</v>
      </c>
      <c r="AE1181" s="111">
        <f t="shared" si="897"/>
        <v>0</v>
      </c>
      <c r="AF1181" s="111">
        <f t="shared" si="897"/>
        <v>0</v>
      </c>
      <c r="AG1181" s="111">
        <f t="shared" si="897"/>
        <v>0</v>
      </c>
      <c r="AH1181" s="111">
        <f t="shared" si="897"/>
        <v>0</v>
      </c>
    </row>
    <row r="1182" hidden="1">
      <c r="A1182" s="109" t="s">
        <v>20</v>
      </c>
      <c r="B1182" s="93" t="s">
        <v>232</v>
      </c>
      <c r="C1182" s="85">
        <v>1.0</v>
      </c>
      <c r="D1182" s="85">
        <v>1.0</v>
      </c>
      <c r="E1182" s="96">
        <f t="shared" ref="E1182:E1187" si="898">SUM(L1182*I1182)/60</f>
        <v>9.35</v>
      </c>
      <c r="F1182" s="94">
        <v>0.0</v>
      </c>
      <c r="G1182" s="85">
        <v>65.0</v>
      </c>
      <c r="H1182" s="94">
        <v>0.0</v>
      </c>
      <c r="I1182" s="85">
        <v>33.0</v>
      </c>
      <c r="J1182" s="95">
        <f t="shared" si="891"/>
        <v>32</v>
      </c>
      <c r="K1182" s="87">
        <f t="shared" si="892"/>
        <v>1.96969697</v>
      </c>
      <c r="L1182" s="85">
        <v>17.0</v>
      </c>
      <c r="M1182" s="85">
        <v>101.0</v>
      </c>
      <c r="N1182" s="85">
        <v>1.0</v>
      </c>
      <c r="O1182" s="110">
        <f t="shared" ref="O1182:O1187" si="899">(E1182*N1182)</f>
        <v>9.35</v>
      </c>
      <c r="P1182" s="85">
        <v>1.0</v>
      </c>
      <c r="Q1182" s="85">
        <v>1.0</v>
      </c>
      <c r="R1182" s="85">
        <v>10.0</v>
      </c>
      <c r="S1182" s="94">
        <v>0.0</v>
      </c>
      <c r="T1182" s="85">
        <v>16.0</v>
      </c>
      <c r="U1182" s="85">
        <v>2.0</v>
      </c>
      <c r="V1182" s="85">
        <v>2.0</v>
      </c>
      <c r="W1182" s="85">
        <v>2.0</v>
      </c>
      <c r="X1182" s="85">
        <v>1.0</v>
      </c>
      <c r="Y1182" s="85">
        <v>1.0</v>
      </c>
      <c r="Z1182" s="94">
        <v>0.0</v>
      </c>
      <c r="AA1182" s="94">
        <v>0.0</v>
      </c>
      <c r="AB1182" s="94">
        <v>0.0</v>
      </c>
      <c r="AC1182" s="85">
        <v>3.0</v>
      </c>
      <c r="AD1182" s="94">
        <v>0.0</v>
      </c>
      <c r="AE1182" s="94">
        <v>0.0</v>
      </c>
      <c r="AF1182" s="94">
        <v>0.0</v>
      </c>
      <c r="AG1182" s="94">
        <v>0.0</v>
      </c>
      <c r="AH1182" s="94">
        <v>0.0</v>
      </c>
    </row>
    <row r="1183" hidden="1">
      <c r="A1183" s="109" t="s">
        <v>20</v>
      </c>
      <c r="B1183" s="93" t="s">
        <v>233</v>
      </c>
      <c r="C1183" s="85">
        <v>1.0</v>
      </c>
      <c r="D1183" s="85">
        <v>1.0</v>
      </c>
      <c r="E1183" s="96">
        <f t="shared" si="898"/>
        <v>8.8</v>
      </c>
      <c r="F1183" s="85">
        <v>1.0</v>
      </c>
      <c r="G1183" s="85">
        <v>70.0</v>
      </c>
      <c r="H1183" s="94">
        <v>0.0</v>
      </c>
      <c r="I1183" s="85">
        <v>44.0</v>
      </c>
      <c r="J1183" s="95">
        <f t="shared" si="891"/>
        <v>26</v>
      </c>
      <c r="K1183" s="87">
        <f t="shared" si="892"/>
        <v>1.590909091</v>
      </c>
      <c r="L1183" s="85">
        <v>12.0</v>
      </c>
      <c r="M1183" s="85">
        <v>104.0</v>
      </c>
      <c r="N1183" s="85">
        <v>1.0</v>
      </c>
      <c r="O1183" s="110">
        <f t="shared" si="899"/>
        <v>8.8</v>
      </c>
      <c r="P1183" s="85">
        <v>2.0</v>
      </c>
      <c r="Q1183" s="94">
        <v>0.0</v>
      </c>
      <c r="R1183" s="85">
        <v>7.0</v>
      </c>
      <c r="S1183" s="94">
        <v>0.0</v>
      </c>
      <c r="T1183" s="85">
        <v>13.0</v>
      </c>
      <c r="U1183" s="85">
        <v>7.0</v>
      </c>
      <c r="V1183" s="85">
        <v>3.0</v>
      </c>
      <c r="W1183" s="85">
        <v>1.0</v>
      </c>
      <c r="X1183" s="85">
        <v>1.0</v>
      </c>
      <c r="Y1183" s="94">
        <v>0.0</v>
      </c>
      <c r="Z1183" s="94">
        <v>0.0</v>
      </c>
      <c r="AA1183" s="94">
        <v>0.0</v>
      </c>
      <c r="AB1183" s="94">
        <v>0.0</v>
      </c>
      <c r="AC1183" s="85">
        <v>1.0</v>
      </c>
      <c r="AD1183" s="85">
        <v>1.0</v>
      </c>
      <c r="AE1183" s="94">
        <v>0.0</v>
      </c>
      <c r="AF1183" s="94">
        <v>0.0</v>
      </c>
      <c r="AG1183" s="94">
        <v>0.0</v>
      </c>
      <c r="AH1183" s="94">
        <v>0.0</v>
      </c>
    </row>
    <row r="1184" hidden="1">
      <c r="A1184" s="109" t="s">
        <v>20</v>
      </c>
      <c r="B1184" s="93" t="s">
        <v>234</v>
      </c>
      <c r="C1184" s="85">
        <v>1.0</v>
      </c>
      <c r="D1184" s="85">
        <v>1.0</v>
      </c>
      <c r="E1184" s="96">
        <f t="shared" si="898"/>
        <v>9.333333333</v>
      </c>
      <c r="F1184" s="94">
        <v>0.0</v>
      </c>
      <c r="G1184" s="85">
        <v>44.0</v>
      </c>
      <c r="H1184" s="94">
        <v>0.0</v>
      </c>
      <c r="I1184" s="85">
        <v>35.0</v>
      </c>
      <c r="J1184" s="95">
        <f t="shared" si="891"/>
        <v>9</v>
      </c>
      <c r="K1184" s="87">
        <f t="shared" si="892"/>
        <v>1.257142857</v>
      </c>
      <c r="L1184" s="85">
        <v>16.0</v>
      </c>
      <c r="M1184" s="85">
        <v>53.0</v>
      </c>
      <c r="N1184" s="85">
        <v>1.0</v>
      </c>
      <c r="O1184" s="110">
        <f t="shared" si="899"/>
        <v>9.333333333</v>
      </c>
      <c r="P1184" s="94">
        <v>0.0</v>
      </c>
      <c r="Q1184" s="94">
        <v>0.0</v>
      </c>
      <c r="R1184" s="85">
        <v>5.0</v>
      </c>
      <c r="S1184" s="94">
        <v>0.0</v>
      </c>
      <c r="T1184" s="85">
        <v>6.0</v>
      </c>
      <c r="U1184" s="85">
        <v>2.0</v>
      </c>
      <c r="V1184" s="85">
        <v>1.0</v>
      </c>
      <c r="W1184" s="94">
        <v>0.0</v>
      </c>
      <c r="X1184" s="94">
        <v>0.0</v>
      </c>
      <c r="Y1184" s="94">
        <v>0.0</v>
      </c>
      <c r="Z1184" s="94">
        <v>0.0</v>
      </c>
      <c r="AA1184" s="94">
        <v>0.0</v>
      </c>
      <c r="AB1184" s="94">
        <v>0.0</v>
      </c>
      <c r="AC1184" s="85">
        <v>1.0</v>
      </c>
      <c r="AD1184" s="94">
        <v>0.0</v>
      </c>
      <c r="AE1184" s="94">
        <v>0.0</v>
      </c>
      <c r="AF1184" s="94">
        <v>0.0</v>
      </c>
      <c r="AG1184" s="94">
        <v>0.0</v>
      </c>
      <c r="AH1184" s="94">
        <v>0.0</v>
      </c>
    </row>
    <row r="1185" hidden="1">
      <c r="A1185" s="109" t="s">
        <v>20</v>
      </c>
      <c r="B1185" s="93" t="s">
        <v>235</v>
      </c>
      <c r="C1185" s="85">
        <v>1.0</v>
      </c>
      <c r="D1185" s="85">
        <v>1.0</v>
      </c>
      <c r="E1185" s="96">
        <f t="shared" si="898"/>
        <v>10.2</v>
      </c>
      <c r="F1185" s="85">
        <v>4.0</v>
      </c>
      <c r="G1185" s="85">
        <v>23.0</v>
      </c>
      <c r="H1185" s="94">
        <v>0.0</v>
      </c>
      <c r="I1185" s="85">
        <v>17.0</v>
      </c>
      <c r="J1185" s="95">
        <f t="shared" si="891"/>
        <v>6</v>
      </c>
      <c r="K1185" s="87">
        <f t="shared" si="892"/>
        <v>1.352941176</v>
      </c>
      <c r="L1185" s="85">
        <v>36.0</v>
      </c>
      <c r="M1185" s="85">
        <v>34.0</v>
      </c>
      <c r="N1185" s="85">
        <v>1.0</v>
      </c>
      <c r="O1185" s="110">
        <f t="shared" si="899"/>
        <v>10.2</v>
      </c>
      <c r="P1185" s="85">
        <v>3.0</v>
      </c>
      <c r="Q1185" s="94">
        <v>0.0</v>
      </c>
      <c r="R1185" s="94">
        <v>0.0</v>
      </c>
      <c r="S1185" s="94">
        <v>0.0</v>
      </c>
      <c r="T1185" s="85">
        <v>3.0</v>
      </c>
      <c r="U1185" s="85">
        <v>1.0</v>
      </c>
      <c r="V1185" s="94">
        <v>0.0</v>
      </c>
      <c r="W1185" s="94">
        <v>0.0</v>
      </c>
      <c r="X1185" s="94">
        <v>0.0</v>
      </c>
      <c r="Y1185" s="94">
        <v>0.0</v>
      </c>
      <c r="Z1185" s="94">
        <v>0.0</v>
      </c>
      <c r="AA1185" s="94">
        <v>0.0</v>
      </c>
      <c r="AB1185" s="94">
        <v>0.0</v>
      </c>
      <c r="AC1185" s="94">
        <v>0.0</v>
      </c>
      <c r="AD1185" s="94">
        <v>0.0</v>
      </c>
      <c r="AE1185" s="94">
        <v>0.0</v>
      </c>
      <c r="AF1185" s="94">
        <v>0.0</v>
      </c>
      <c r="AG1185" s="94">
        <v>0.0</v>
      </c>
      <c r="AH1185" s="94">
        <v>0.0</v>
      </c>
    </row>
    <row r="1186" hidden="1">
      <c r="A1186" s="109" t="s">
        <v>20</v>
      </c>
      <c r="B1186" s="93" t="s">
        <v>236</v>
      </c>
      <c r="C1186" s="94">
        <v>0.0</v>
      </c>
      <c r="D1186" s="94">
        <v>0.0</v>
      </c>
      <c r="E1186" s="96">
        <f t="shared" si="898"/>
        <v>0</v>
      </c>
      <c r="F1186" s="94">
        <v>0.0</v>
      </c>
      <c r="G1186" s="94">
        <v>0.0</v>
      </c>
      <c r="H1186" s="94">
        <v>0.0</v>
      </c>
      <c r="I1186" s="94">
        <v>0.0</v>
      </c>
      <c r="J1186" s="95">
        <f t="shared" si="891"/>
        <v>0</v>
      </c>
      <c r="K1186" s="87" t="str">
        <f t="shared" si="892"/>
        <v>#DIV/0!</v>
      </c>
      <c r="L1186" s="94">
        <v>0.0</v>
      </c>
      <c r="M1186" s="94">
        <v>0.0</v>
      </c>
      <c r="N1186" s="85">
        <v>0.0</v>
      </c>
      <c r="O1186" s="110">
        <f t="shared" si="899"/>
        <v>0</v>
      </c>
      <c r="P1186" s="94">
        <v>0.0</v>
      </c>
      <c r="Q1186" s="94">
        <v>0.0</v>
      </c>
      <c r="R1186" s="94">
        <v>0.0</v>
      </c>
      <c r="S1186" s="94">
        <v>0.0</v>
      </c>
      <c r="T1186" s="94">
        <v>0.0</v>
      </c>
      <c r="U1186" s="94">
        <v>0.0</v>
      </c>
      <c r="V1186" s="94">
        <v>0.0</v>
      </c>
      <c r="W1186" s="94">
        <v>0.0</v>
      </c>
      <c r="X1186" s="94">
        <v>0.0</v>
      </c>
      <c r="Y1186" s="94">
        <v>0.0</v>
      </c>
      <c r="Z1186" s="94">
        <v>0.0</v>
      </c>
      <c r="AA1186" s="94">
        <v>0.0</v>
      </c>
      <c r="AB1186" s="94">
        <v>0.0</v>
      </c>
      <c r="AC1186" s="94">
        <v>0.0</v>
      </c>
      <c r="AD1186" s="94">
        <v>0.0</v>
      </c>
      <c r="AE1186" s="94">
        <v>0.0</v>
      </c>
      <c r="AF1186" s="94">
        <v>0.0</v>
      </c>
      <c r="AG1186" s="94">
        <v>0.0</v>
      </c>
      <c r="AH1186" s="94">
        <v>0.0</v>
      </c>
    </row>
    <row r="1187" hidden="1">
      <c r="A1187" s="109" t="s">
        <v>20</v>
      </c>
      <c r="B1187" s="116"/>
      <c r="C1187" s="94">
        <v>0.0</v>
      </c>
      <c r="D1187" s="94">
        <v>0.0</v>
      </c>
      <c r="E1187" s="96">
        <f t="shared" si="898"/>
        <v>0</v>
      </c>
      <c r="F1187" s="94">
        <v>0.0</v>
      </c>
      <c r="G1187" s="94">
        <v>0.0</v>
      </c>
      <c r="H1187" s="94">
        <v>0.0</v>
      </c>
      <c r="I1187" s="94">
        <v>0.0</v>
      </c>
      <c r="J1187" s="95">
        <f t="shared" si="891"/>
        <v>0</v>
      </c>
      <c r="K1187" s="87" t="str">
        <f t="shared" si="892"/>
        <v>#DIV/0!</v>
      </c>
      <c r="L1187" s="94">
        <v>0.0</v>
      </c>
      <c r="M1187" s="94">
        <v>0.0</v>
      </c>
      <c r="N1187" s="85">
        <v>0.0</v>
      </c>
      <c r="O1187" s="110">
        <f t="shared" si="899"/>
        <v>0</v>
      </c>
      <c r="P1187" s="94">
        <v>0.0</v>
      </c>
      <c r="Q1187" s="94">
        <v>0.0</v>
      </c>
      <c r="R1187" s="94">
        <v>0.0</v>
      </c>
      <c r="S1187" s="94">
        <v>0.0</v>
      </c>
      <c r="T1187" s="94">
        <v>0.0</v>
      </c>
      <c r="U1187" s="94">
        <v>0.0</v>
      </c>
      <c r="V1187" s="94">
        <v>0.0</v>
      </c>
      <c r="W1187" s="94">
        <v>0.0</v>
      </c>
      <c r="X1187" s="94">
        <v>0.0</v>
      </c>
      <c r="Y1187" s="94">
        <v>0.0</v>
      </c>
      <c r="Z1187" s="94">
        <v>0.0</v>
      </c>
      <c r="AA1187" s="94">
        <v>0.0</v>
      </c>
      <c r="AB1187" s="94">
        <v>0.0</v>
      </c>
      <c r="AC1187" s="94">
        <v>0.0</v>
      </c>
      <c r="AD1187" s="94">
        <v>0.0</v>
      </c>
      <c r="AE1187" s="94">
        <v>0.0</v>
      </c>
      <c r="AF1187" s="94">
        <v>0.0</v>
      </c>
      <c r="AG1187" s="94">
        <v>0.0</v>
      </c>
      <c r="AH1187" s="94">
        <v>0.0</v>
      </c>
    </row>
    <row r="1188" hidden="1">
      <c r="A1188" s="89" t="s">
        <v>185</v>
      </c>
      <c r="B1188" s="111"/>
      <c r="C1188" s="111">
        <f>SUM(C1182:C1187)</f>
        <v>4</v>
      </c>
      <c r="D1188" s="111">
        <f t="shared" ref="D1188:E1188" si="900">SUM(D1182:D1187)/4</f>
        <v>1</v>
      </c>
      <c r="E1188" s="91">
        <f t="shared" si="900"/>
        <v>9.420833333</v>
      </c>
      <c r="F1188" s="111">
        <f t="shared" ref="F1188:G1188" si="901">SUM(F1182:F1187)</f>
        <v>5</v>
      </c>
      <c r="G1188" s="111">
        <f t="shared" si="901"/>
        <v>202</v>
      </c>
      <c r="H1188" s="111"/>
      <c r="I1188" s="111">
        <f>SUM(I1182:I1187)</f>
        <v>129</v>
      </c>
      <c r="J1188" s="111">
        <f t="shared" si="891"/>
        <v>73</v>
      </c>
      <c r="K1188" s="92">
        <f t="shared" si="892"/>
        <v>1.565891473</v>
      </c>
      <c r="L1188" s="111">
        <f t="shared" ref="L1188:M1188" si="902">SUM(L1182:L1187)</f>
        <v>81</v>
      </c>
      <c r="M1188" s="111">
        <f t="shared" si="902"/>
        <v>292</v>
      </c>
      <c r="N1188" s="111"/>
      <c r="O1188" s="112"/>
      <c r="P1188" s="111">
        <f t="shared" ref="P1188:AH1188" si="903">SUM(P1182:P1187)</f>
        <v>6</v>
      </c>
      <c r="Q1188" s="111">
        <f t="shared" si="903"/>
        <v>1</v>
      </c>
      <c r="R1188" s="111">
        <f t="shared" si="903"/>
        <v>22</v>
      </c>
      <c r="S1188" s="111">
        <f t="shared" si="903"/>
        <v>0</v>
      </c>
      <c r="T1188" s="111">
        <f t="shared" si="903"/>
        <v>38</v>
      </c>
      <c r="U1188" s="111">
        <f t="shared" si="903"/>
        <v>12</v>
      </c>
      <c r="V1188" s="111">
        <f t="shared" si="903"/>
        <v>6</v>
      </c>
      <c r="W1188" s="111">
        <f t="shared" si="903"/>
        <v>3</v>
      </c>
      <c r="X1188" s="111">
        <f t="shared" si="903"/>
        <v>2</v>
      </c>
      <c r="Y1188" s="111">
        <f t="shared" si="903"/>
        <v>1</v>
      </c>
      <c r="Z1188" s="111">
        <f t="shared" si="903"/>
        <v>0</v>
      </c>
      <c r="AA1188" s="111">
        <f t="shared" si="903"/>
        <v>0</v>
      </c>
      <c r="AB1188" s="111">
        <f t="shared" si="903"/>
        <v>0</v>
      </c>
      <c r="AC1188" s="111">
        <f t="shared" si="903"/>
        <v>5</v>
      </c>
      <c r="AD1188" s="111">
        <f t="shared" si="903"/>
        <v>1</v>
      </c>
      <c r="AE1188" s="111">
        <f t="shared" si="903"/>
        <v>0</v>
      </c>
      <c r="AF1188" s="111">
        <f t="shared" si="903"/>
        <v>0</v>
      </c>
      <c r="AG1188" s="111">
        <f t="shared" si="903"/>
        <v>0</v>
      </c>
      <c r="AH1188" s="111">
        <f t="shared" si="903"/>
        <v>0</v>
      </c>
    </row>
    <row r="1189">
      <c r="A1189" s="104" t="s">
        <v>322</v>
      </c>
    </row>
    <row r="1191" hidden="1">
      <c r="A1191" s="105"/>
      <c r="F1191" s="106" t="s">
        <v>251</v>
      </c>
      <c r="L1191" s="107" t="s">
        <v>252</v>
      </c>
      <c r="N1191" s="108" t="s">
        <v>253</v>
      </c>
    </row>
    <row r="1192" hidden="1">
      <c r="A1192" s="76" t="s">
        <v>148</v>
      </c>
      <c r="B1192" s="76" t="s">
        <v>149</v>
      </c>
      <c r="C1192" s="76" t="s">
        <v>150</v>
      </c>
      <c r="D1192" s="76" t="s">
        <v>13</v>
      </c>
      <c r="E1192" s="77" t="s">
        <v>151</v>
      </c>
      <c r="F1192" s="78" t="s">
        <v>15</v>
      </c>
      <c r="G1192" s="78" t="s">
        <v>152</v>
      </c>
      <c r="H1192" s="78" t="s">
        <v>153</v>
      </c>
      <c r="I1192" s="78" t="s">
        <v>154</v>
      </c>
      <c r="J1192" s="78" t="s">
        <v>155</v>
      </c>
      <c r="K1192" s="79" t="s">
        <v>156</v>
      </c>
      <c r="L1192" s="80" t="s">
        <v>157</v>
      </c>
      <c r="M1192" s="80" t="s">
        <v>158</v>
      </c>
      <c r="N1192" s="81" t="s">
        <v>254</v>
      </c>
      <c r="O1192" s="81" t="s">
        <v>151</v>
      </c>
      <c r="P1192" s="81" t="s">
        <v>160</v>
      </c>
      <c r="Q1192" s="81" t="s">
        <v>161</v>
      </c>
      <c r="R1192" s="81" t="s">
        <v>162</v>
      </c>
      <c r="S1192" s="81" t="s">
        <v>163</v>
      </c>
      <c r="T1192" s="81" t="s">
        <v>164</v>
      </c>
      <c r="U1192" s="81" t="s">
        <v>165</v>
      </c>
      <c r="V1192" s="81" t="s">
        <v>166</v>
      </c>
      <c r="W1192" s="81" t="s">
        <v>167</v>
      </c>
      <c r="X1192" s="81" t="s">
        <v>168</v>
      </c>
      <c r="Y1192" s="81" t="s">
        <v>169</v>
      </c>
      <c r="Z1192" s="81" t="s">
        <v>170</v>
      </c>
      <c r="AA1192" s="81" t="s">
        <v>171</v>
      </c>
      <c r="AB1192" s="81" t="s">
        <v>172</v>
      </c>
      <c r="AC1192" s="81" t="s">
        <v>173</v>
      </c>
      <c r="AD1192" s="81" t="s">
        <v>174</v>
      </c>
      <c r="AE1192" s="81" t="s">
        <v>175</v>
      </c>
      <c r="AF1192" s="81" t="s">
        <v>176</v>
      </c>
      <c r="AG1192" s="81" t="s">
        <v>177</v>
      </c>
      <c r="AH1192" s="81" t="s">
        <v>178</v>
      </c>
    </row>
    <row r="1193" hidden="1">
      <c r="A1193" s="109" t="s">
        <v>56</v>
      </c>
      <c r="B1193" s="93" t="s">
        <v>203</v>
      </c>
      <c r="C1193" s="85">
        <v>1.0</v>
      </c>
      <c r="D1193" s="94">
        <v>0.0</v>
      </c>
      <c r="E1193" s="96">
        <f t="shared" ref="E1193:E1198" si="904">SUM(L1193*I1193)/60</f>
        <v>9.333333333</v>
      </c>
      <c r="F1193" s="94">
        <v>0.0</v>
      </c>
      <c r="G1193" s="85">
        <v>42.0</v>
      </c>
      <c r="H1193" s="94">
        <v>0.0</v>
      </c>
      <c r="I1193" s="85">
        <v>56.0</v>
      </c>
      <c r="J1193" s="95">
        <f t="shared" ref="J1193:J1206" si="905">SUM(G1193-I1193)</f>
        <v>-14</v>
      </c>
      <c r="K1193" s="87">
        <f t="shared" ref="K1193:K1206" si="906">SUM(G1193/I1193)</f>
        <v>0.75</v>
      </c>
      <c r="L1193" s="85">
        <v>10.0</v>
      </c>
      <c r="M1193" s="85">
        <v>53.0</v>
      </c>
      <c r="N1193" s="85">
        <v>1.0</v>
      </c>
      <c r="O1193" s="110">
        <f t="shared" ref="O1193:O1198" si="907">(E1193*N1193)</f>
        <v>9.333333333</v>
      </c>
      <c r="P1193" s="94">
        <v>0.0</v>
      </c>
      <c r="Q1193" s="85">
        <v>2.0</v>
      </c>
      <c r="R1193" s="85">
        <v>3.0</v>
      </c>
      <c r="S1193" s="85">
        <v>3.0</v>
      </c>
      <c r="T1193" s="85">
        <v>7.0</v>
      </c>
      <c r="U1193" s="94">
        <v>0.0</v>
      </c>
      <c r="V1193" s="94">
        <v>0.0</v>
      </c>
      <c r="W1193" s="94">
        <v>0.0</v>
      </c>
      <c r="X1193" s="94">
        <v>0.0</v>
      </c>
      <c r="Y1193" s="94">
        <v>0.0</v>
      </c>
      <c r="Z1193" s="94">
        <v>0.0</v>
      </c>
      <c r="AA1193" s="94">
        <v>0.0</v>
      </c>
      <c r="AB1193" s="94">
        <v>0.0</v>
      </c>
      <c r="AC1193" s="85">
        <v>1.0</v>
      </c>
      <c r="AD1193" s="94">
        <v>0.0</v>
      </c>
      <c r="AE1193" s="94">
        <v>0.0</v>
      </c>
      <c r="AF1193" s="94">
        <v>0.0</v>
      </c>
      <c r="AG1193" s="94">
        <v>0.0</v>
      </c>
      <c r="AH1193" s="94">
        <v>0.0</v>
      </c>
    </row>
    <row r="1194" hidden="1">
      <c r="A1194" s="109" t="s">
        <v>56</v>
      </c>
      <c r="B1194" s="93" t="s">
        <v>204</v>
      </c>
      <c r="C1194" s="85">
        <v>1.0</v>
      </c>
      <c r="D1194" s="94">
        <v>0.0</v>
      </c>
      <c r="E1194" s="96">
        <f t="shared" si="904"/>
        <v>10.18333333</v>
      </c>
      <c r="F1194" s="94">
        <v>0.0</v>
      </c>
      <c r="G1194" s="85">
        <v>52.0</v>
      </c>
      <c r="H1194" s="94">
        <v>0.0</v>
      </c>
      <c r="I1194" s="85">
        <v>47.0</v>
      </c>
      <c r="J1194" s="95">
        <f t="shared" si="905"/>
        <v>5</v>
      </c>
      <c r="K1194" s="87">
        <f t="shared" si="906"/>
        <v>1.106382979</v>
      </c>
      <c r="L1194" s="85">
        <v>13.0</v>
      </c>
      <c r="M1194" s="85">
        <v>60.0</v>
      </c>
      <c r="N1194" s="85">
        <v>1.0</v>
      </c>
      <c r="O1194" s="110">
        <f t="shared" si="907"/>
        <v>10.18333333</v>
      </c>
      <c r="P1194" s="85">
        <v>1.0</v>
      </c>
      <c r="Q1194" s="85">
        <v>1.0</v>
      </c>
      <c r="R1194" s="85">
        <v>4.0</v>
      </c>
      <c r="S1194" s="85">
        <v>1.0</v>
      </c>
      <c r="T1194" s="85">
        <v>5.0</v>
      </c>
      <c r="U1194" s="94">
        <v>0.0</v>
      </c>
      <c r="V1194" s="94">
        <v>0.0</v>
      </c>
      <c r="W1194" s="94">
        <v>0.0</v>
      </c>
      <c r="X1194" s="94">
        <v>0.0</v>
      </c>
      <c r="Y1194" s="94">
        <v>0.0</v>
      </c>
      <c r="Z1194" s="94">
        <v>0.0</v>
      </c>
      <c r="AA1194" s="94">
        <v>0.0</v>
      </c>
      <c r="AB1194" s="94">
        <v>0.0</v>
      </c>
      <c r="AC1194" s="94">
        <v>0.0</v>
      </c>
      <c r="AD1194" s="94">
        <v>0.0</v>
      </c>
      <c r="AE1194" s="94">
        <v>0.0</v>
      </c>
      <c r="AF1194" s="94">
        <v>0.0</v>
      </c>
      <c r="AG1194" s="94">
        <v>0.0</v>
      </c>
      <c r="AH1194" s="94">
        <v>0.0</v>
      </c>
    </row>
    <row r="1195" hidden="1">
      <c r="A1195" s="109" t="s">
        <v>56</v>
      </c>
      <c r="B1195" s="93" t="s">
        <v>205</v>
      </c>
      <c r="C1195" s="85">
        <v>1.0</v>
      </c>
      <c r="D1195" s="94">
        <v>0.0</v>
      </c>
      <c r="E1195" s="96">
        <f t="shared" si="904"/>
        <v>10.2</v>
      </c>
      <c r="F1195" s="85">
        <v>1.0</v>
      </c>
      <c r="G1195" s="85">
        <v>53.0</v>
      </c>
      <c r="H1195" s="94">
        <v>0.0</v>
      </c>
      <c r="I1195" s="85">
        <v>51.0</v>
      </c>
      <c r="J1195" s="95">
        <f t="shared" si="905"/>
        <v>2</v>
      </c>
      <c r="K1195" s="87">
        <f t="shared" si="906"/>
        <v>1.039215686</v>
      </c>
      <c r="L1195" s="85">
        <v>12.0</v>
      </c>
      <c r="M1195" s="85">
        <v>77.0</v>
      </c>
      <c r="N1195" s="85">
        <v>1.0</v>
      </c>
      <c r="O1195" s="110">
        <f t="shared" si="907"/>
        <v>10.2</v>
      </c>
      <c r="P1195" s="85">
        <v>2.0</v>
      </c>
      <c r="Q1195" s="85">
        <v>1.0</v>
      </c>
      <c r="R1195" s="85">
        <v>3.0</v>
      </c>
      <c r="S1195" s="85">
        <v>2.0</v>
      </c>
      <c r="T1195" s="85">
        <v>10.0</v>
      </c>
      <c r="U1195" s="85">
        <v>4.0</v>
      </c>
      <c r="V1195" s="94">
        <v>0.0</v>
      </c>
      <c r="W1195" s="94">
        <v>0.0</v>
      </c>
      <c r="X1195" s="94">
        <v>0.0</v>
      </c>
      <c r="Y1195" s="94">
        <v>0.0</v>
      </c>
      <c r="Z1195" s="94">
        <v>0.0</v>
      </c>
      <c r="AA1195" s="94">
        <v>0.0</v>
      </c>
      <c r="AB1195" s="94">
        <v>0.0</v>
      </c>
      <c r="AC1195" s="85">
        <v>2.0</v>
      </c>
      <c r="AD1195" s="94">
        <v>0.0</v>
      </c>
      <c r="AE1195" s="94">
        <v>0.0</v>
      </c>
      <c r="AF1195" s="94">
        <v>0.0</v>
      </c>
      <c r="AG1195" s="94">
        <v>0.0</v>
      </c>
      <c r="AH1195" s="94">
        <v>0.0</v>
      </c>
    </row>
    <row r="1196" hidden="1">
      <c r="A1196" s="109" t="s">
        <v>56</v>
      </c>
      <c r="B1196" s="93" t="s">
        <v>206</v>
      </c>
      <c r="C1196" s="94">
        <v>0.0</v>
      </c>
      <c r="D1196" s="94">
        <v>0.0</v>
      </c>
      <c r="E1196" s="96">
        <f t="shared" si="904"/>
        <v>0</v>
      </c>
      <c r="F1196" s="94">
        <v>0.0</v>
      </c>
      <c r="G1196" s="94">
        <v>0.0</v>
      </c>
      <c r="H1196" s="94">
        <v>0.0</v>
      </c>
      <c r="I1196" s="94">
        <v>0.0</v>
      </c>
      <c r="J1196" s="95">
        <f t="shared" si="905"/>
        <v>0</v>
      </c>
      <c r="K1196" s="87" t="str">
        <f t="shared" si="906"/>
        <v>#DIV/0!</v>
      </c>
      <c r="L1196" s="94">
        <v>0.0</v>
      </c>
      <c r="M1196" s="94">
        <v>0.0</v>
      </c>
      <c r="N1196" s="85">
        <v>0.0</v>
      </c>
      <c r="O1196" s="110">
        <f t="shared" si="907"/>
        <v>0</v>
      </c>
      <c r="P1196" s="94">
        <v>0.0</v>
      </c>
      <c r="Q1196" s="94">
        <v>0.0</v>
      </c>
      <c r="R1196" s="94">
        <v>0.0</v>
      </c>
      <c r="S1196" s="94">
        <v>0.0</v>
      </c>
      <c r="T1196" s="94">
        <v>0.0</v>
      </c>
      <c r="U1196" s="94">
        <v>0.0</v>
      </c>
      <c r="V1196" s="94">
        <v>0.0</v>
      </c>
      <c r="W1196" s="94">
        <v>0.0</v>
      </c>
      <c r="X1196" s="94">
        <v>0.0</v>
      </c>
      <c r="Y1196" s="94">
        <v>0.0</v>
      </c>
      <c r="Z1196" s="94">
        <v>0.0</v>
      </c>
      <c r="AA1196" s="94">
        <v>0.0</v>
      </c>
      <c r="AB1196" s="94">
        <v>0.0</v>
      </c>
      <c r="AC1196" s="94">
        <v>0.0</v>
      </c>
      <c r="AD1196" s="94">
        <v>0.0</v>
      </c>
      <c r="AE1196" s="94">
        <v>0.0</v>
      </c>
      <c r="AF1196" s="94">
        <v>0.0</v>
      </c>
      <c r="AG1196" s="94">
        <v>0.0</v>
      </c>
      <c r="AH1196" s="94">
        <v>0.0</v>
      </c>
    </row>
    <row r="1197" hidden="1">
      <c r="A1197" s="109" t="s">
        <v>56</v>
      </c>
      <c r="B1197" s="93" t="s">
        <v>207</v>
      </c>
      <c r="C1197" s="85">
        <v>1.0</v>
      </c>
      <c r="D1197" s="94">
        <v>0.0</v>
      </c>
      <c r="E1197" s="96">
        <f t="shared" si="904"/>
        <v>10.48333333</v>
      </c>
      <c r="F1197" s="94">
        <v>0.0</v>
      </c>
      <c r="G1197" s="85">
        <v>19.0</v>
      </c>
      <c r="H1197" s="94">
        <v>0.0</v>
      </c>
      <c r="I1197" s="85">
        <v>37.0</v>
      </c>
      <c r="J1197" s="95">
        <f t="shared" si="905"/>
        <v>-18</v>
      </c>
      <c r="K1197" s="87">
        <f t="shared" si="906"/>
        <v>0.5135135135</v>
      </c>
      <c r="L1197" s="85">
        <v>17.0</v>
      </c>
      <c r="M1197" s="85">
        <v>25.0</v>
      </c>
      <c r="N1197" s="85">
        <v>1.0</v>
      </c>
      <c r="O1197" s="110">
        <f t="shared" si="907"/>
        <v>10.48333333</v>
      </c>
      <c r="P1197" s="85">
        <v>3.0</v>
      </c>
      <c r="Q1197" s="94">
        <v>0.0</v>
      </c>
      <c r="R1197" s="94">
        <v>0.0</v>
      </c>
      <c r="S1197" s="94">
        <v>0.0</v>
      </c>
      <c r="T1197" s="85">
        <v>4.0</v>
      </c>
      <c r="U1197" s="94">
        <v>0.0</v>
      </c>
      <c r="V1197" s="94">
        <v>0.0</v>
      </c>
      <c r="W1197" s="94">
        <v>0.0</v>
      </c>
      <c r="X1197" s="94">
        <v>0.0</v>
      </c>
      <c r="Y1197" s="94">
        <v>0.0</v>
      </c>
      <c r="Z1197" s="94">
        <v>0.0</v>
      </c>
      <c r="AA1197" s="94">
        <v>0.0</v>
      </c>
      <c r="AB1197" s="94">
        <v>0.0</v>
      </c>
      <c r="AC1197" s="94">
        <v>0.0</v>
      </c>
      <c r="AD1197" s="94">
        <v>0.0</v>
      </c>
      <c r="AE1197" s="94">
        <v>0.0</v>
      </c>
      <c r="AF1197" s="94">
        <v>0.0</v>
      </c>
      <c r="AG1197" s="94">
        <v>0.0</v>
      </c>
      <c r="AH1197" s="94">
        <v>0.0</v>
      </c>
    </row>
    <row r="1198" hidden="1">
      <c r="A1198" s="109" t="s">
        <v>56</v>
      </c>
      <c r="B1198" s="116"/>
      <c r="C1198" s="94">
        <v>0.0</v>
      </c>
      <c r="D1198" s="94">
        <v>0.0</v>
      </c>
      <c r="E1198" s="96">
        <f t="shared" si="904"/>
        <v>0</v>
      </c>
      <c r="F1198" s="94">
        <v>0.0</v>
      </c>
      <c r="G1198" s="94">
        <v>0.0</v>
      </c>
      <c r="H1198" s="94">
        <v>0.0</v>
      </c>
      <c r="I1198" s="94">
        <v>0.0</v>
      </c>
      <c r="J1198" s="95">
        <f t="shared" si="905"/>
        <v>0</v>
      </c>
      <c r="K1198" s="87" t="str">
        <f t="shared" si="906"/>
        <v>#DIV/0!</v>
      </c>
      <c r="L1198" s="94">
        <v>0.0</v>
      </c>
      <c r="M1198" s="94">
        <v>0.0</v>
      </c>
      <c r="N1198" s="85">
        <v>0.0</v>
      </c>
      <c r="O1198" s="110">
        <f t="shared" si="907"/>
        <v>0</v>
      </c>
      <c r="P1198" s="94">
        <v>0.0</v>
      </c>
      <c r="Q1198" s="94">
        <v>0.0</v>
      </c>
      <c r="R1198" s="94">
        <v>0.0</v>
      </c>
      <c r="S1198" s="94">
        <v>0.0</v>
      </c>
      <c r="T1198" s="94">
        <v>0.0</v>
      </c>
      <c r="U1198" s="94">
        <v>0.0</v>
      </c>
      <c r="V1198" s="94">
        <v>0.0</v>
      </c>
      <c r="W1198" s="94">
        <v>0.0</v>
      </c>
      <c r="X1198" s="94">
        <v>0.0</v>
      </c>
      <c r="Y1198" s="94">
        <v>0.0</v>
      </c>
      <c r="Z1198" s="94">
        <v>0.0</v>
      </c>
      <c r="AA1198" s="94">
        <v>0.0</v>
      </c>
      <c r="AB1198" s="94">
        <v>0.0</v>
      </c>
      <c r="AC1198" s="94">
        <v>0.0</v>
      </c>
      <c r="AD1198" s="94">
        <v>0.0</v>
      </c>
      <c r="AE1198" s="94">
        <v>0.0</v>
      </c>
      <c r="AF1198" s="94">
        <v>0.0</v>
      </c>
      <c r="AG1198" s="94">
        <v>0.0</v>
      </c>
      <c r="AH1198" s="94">
        <v>0.0</v>
      </c>
    </row>
    <row r="1199" hidden="1">
      <c r="A1199" s="89"/>
      <c r="B1199" s="111"/>
      <c r="C1199" s="111">
        <f t="shared" ref="C1199:D1199" si="908">SUM(C1193:C1198)/4</f>
        <v>1</v>
      </c>
      <c r="D1199" s="111">
        <f t="shared" si="908"/>
        <v>0</v>
      </c>
      <c r="E1199" s="91">
        <f t="shared" ref="E1199:G1199" si="909">SUM(E1193:E1198)</f>
        <v>40.2</v>
      </c>
      <c r="F1199" s="111">
        <f t="shared" si="909"/>
        <v>1</v>
      </c>
      <c r="G1199" s="111">
        <f t="shared" si="909"/>
        <v>166</v>
      </c>
      <c r="H1199" s="111"/>
      <c r="I1199" s="111">
        <f>SUM(I1193:I1198)</f>
        <v>191</v>
      </c>
      <c r="J1199" s="111">
        <f t="shared" si="905"/>
        <v>-25</v>
      </c>
      <c r="K1199" s="92">
        <f t="shared" si="906"/>
        <v>0.8691099476</v>
      </c>
      <c r="L1199" s="111">
        <f t="shared" ref="L1199:M1199" si="910">SUM(L1193:L1198)</f>
        <v>52</v>
      </c>
      <c r="M1199" s="111">
        <f t="shared" si="910"/>
        <v>215</v>
      </c>
      <c r="N1199" s="111"/>
      <c r="O1199" s="112"/>
      <c r="P1199" s="111">
        <f t="shared" ref="P1199:AH1199" si="911">SUM(P1193:P1198)</f>
        <v>6</v>
      </c>
      <c r="Q1199" s="111">
        <f t="shared" si="911"/>
        <v>4</v>
      </c>
      <c r="R1199" s="111">
        <f t="shared" si="911"/>
        <v>10</v>
      </c>
      <c r="S1199" s="111">
        <f t="shared" si="911"/>
        <v>6</v>
      </c>
      <c r="T1199" s="111">
        <f t="shared" si="911"/>
        <v>26</v>
      </c>
      <c r="U1199" s="111">
        <f t="shared" si="911"/>
        <v>4</v>
      </c>
      <c r="V1199" s="111">
        <f t="shared" si="911"/>
        <v>0</v>
      </c>
      <c r="W1199" s="111">
        <f t="shared" si="911"/>
        <v>0</v>
      </c>
      <c r="X1199" s="111">
        <f t="shared" si="911"/>
        <v>0</v>
      </c>
      <c r="Y1199" s="111">
        <f t="shared" si="911"/>
        <v>0</v>
      </c>
      <c r="Z1199" s="111">
        <f t="shared" si="911"/>
        <v>0</v>
      </c>
      <c r="AA1199" s="111">
        <f t="shared" si="911"/>
        <v>0</v>
      </c>
      <c r="AB1199" s="111">
        <f t="shared" si="911"/>
        <v>0</v>
      </c>
      <c r="AC1199" s="111">
        <f t="shared" si="911"/>
        <v>3</v>
      </c>
      <c r="AD1199" s="111">
        <f t="shared" si="911"/>
        <v>0</v>
      </c>
      <c r="AE1199" s="111">
        <f t="shared" si="911"/>
        <v>0</v>
      </c>
      <c r="AF1199" s="111">
        <f t="shared" si="911"/>
        <v>0</v>
      </c>
      <c r="AG1199" s="111">
        <f t="shared" si="911"/>
        <v>0</v>
      </c>
      <c r="AH1199" s="111">
        <f t="shared" si="911"/>
        <v>0</v>
      </c>
    </row>
    <row r="1200" hidden="1">
      <c r="A1200" s="109" t="s">
        <v>20</v>
      </c>
      <c r="B1200" s="93" t="s">
        <v>232</v>
      </c>
      <c r="C1200" s="85">
        <v>1.0</v>
      </c>
      <c r="D1200" s="85">
        <v>1.0</v>
      </c>
      <c r="E1200" s="96">
        <f t="shared" ref="E1200:E1205" si="912">SUM(L1200*I1200)/60</f>
        <v>10</v>
      </c>
      <c r="F1200" s="85">
        <v>0.0</v>
      </c>
      <c r="G1200" s="85">
        <v>57.0</v>
      </c>
      <c r="H1200" s="94">
        <v>0.0</v>
      </c>
      <c r="I1200" s="85">
        <v>40.0</v>
      </c>
      <c r="J1200" s="95">
        <f t="shared" si="905"/>
        <v>17</v>
      </c>
      <c r="K1200" s="87">
        <f t="shared" si="906"/>
        <v>1.425</v>
      </c>
      <c r="L1200" s="85">
        <v>15.0</v>
      </c>
      <c r="M1200" s="85">
        <v>80.0</v>
      </c>
      <c r="N1200" s="85">
        <v>1.0</v>
      </c>
      <c r="O1200" s="110">
        <f t="shared" ref="O1200:O1205" si="913">(E1200*N1200)</f>
        <v>10</v>
      </c>
      <c r="P1200" s="85">
        <v>1.0</v>
      </c>
      <c r="Q1200" s="94">
        <v>0.0</v>
      </c>
      <c r="R1200" s="85">
        <v>4.0</v>
      </c>
      <c r="S1200" s="94">
        <v>0.0</v>
      </c>
      <c r="T1200" s="85">
        <v>11.0</v>
      </c>
      <c r="U1200" s="85">
        <v>3.0</v>
      </c>
      <c r="V1200" s="85">
        <v>2.0</v>
      </c>
      <c r="W1200" s="85">
        <v>2.0</v>
      </c>
      <c r="X1200" s="85">
        <v>1.0</v>
      </c>
      <c r="Y1200" s="94">
        <v>0.0</v>
      </c>
      <c r="Z1200" s="94">
        <v>0.0</v>
      </c>
      <c r="AA1200" s="94">
        <v>0.0</v>
      </c>
      <c r="AB1200" s="94">
        <v>0.0</v>
      </c>
      <c r="AC1200" s="85">
        <v>4.0</v>
      </c>
      <c r="AD1200" s="94">
        <v>0.0</v>
      </c>
      <c r="AE1200" s="94">
        <v>0.0</v>
      </c>
      <c r="AF1200" s="94">
        <v>0.0</v>
      </c>
      <c r="AG1200" s="94">
        <v>0.0</v>
      </c>
      <c r="AH1200" s="94">
        <v>0.0</v>
      </c>
    </row>
    <row r="1201" hidden="1">
      <c r="A1201" s="109" t="s">
        <v>20</v>
      </c>
      <c r="B1201" s="93" t="s">
        <v>233</v>
      </c>
      <c r="C1201" s="85">
        <v>1.0</v>
      </c>
      <c r="D1201" s="85">
        <v>1.0</v>
      </c>
      <c r="E1201" s="96">
        <f t="shared" si="912"/>
        <v>9.8</v>
      </c>
      <c r="F1201" s="94">
        <v>0.0</v>
      </c>
      <c r="G1201" s="85">
        <v>56.0</v>
      </c>
      <c r="H1201" s="94">
        <v>0.0</v>
      </c>
      <c r="I1201" s="85">
        <v>49.0</v>
      </c>
      <c r="J1201" s="95">
        <f t="shared" si="905"/>
        <v>7</v>
      </c>
      <c r="K1201" s="87">
        <f t="shared" si="906"/>
        <v>1.142857143</v>
      </c>
      <c r="L1201" s="85">
        <v>12.0</v>
      </c>
      <c r="M1201" s="85">
        <v>73.0</v>
      </c>
      <c r="N1201" s="85">
        <v>1.0</v>
      </c>
      <c r="O1201" s="110">
        <f t="shared" si="913"/>
        <v>9.8</v>
      </c>
      <c r="P1201" s="94">
        <v>0.0</v>
      </c>
      <c r="Q1201" s="94">
        <v>0.0</v>
      </c>
      <c r="R1201" s="85">
        <v>6.0</v>
      </c>
      <c r="S1201" s="85">
        <v>2.0</v>
      </c>
      <c r="T1201" s="85">
        <v>12.0</v>
      </c>
      <c r="U1201" s="85">
        <v>1.0</v>
      </c>
      <c r="V1201" s="94">
        <v>0.0</v>
      </c>
      <c r="W1201" s="94">
        <v>0.0</v>
      </c>
      <c r="X1201" s="94">
        <v>0.0</v>
      </c>
      <c r="Y1201" s="94">
        <v>0.0</v>
      </c>
      <c r="Z1201" s="94">
        <v>0.0</v>
      </c>
      <c r="AA1201" s="94">
        <v>0.0</v>
      </c>
      <c r="AB1201" s="94">
        <v>0.0</v>
      </c>
      <c r="AC1201" s="85">
        <v>2.0</v>
      </c>
      <c r="AD1201" s="94">
        <v>0.0</v>
      </c>
      <c r="AE1201" s="94">
        <v>0.0</v>
      </c>
      <c r="AF1201" s="94">
        <v>0.0</v>
      </c>
      <c r="AG1201" s="94">
        <v>0.0</v>
      </c>
      <c r="AH1201" s="94">
        <v>0.0</v>
      </c>
    </row>
    <row r="1202" hidden="1">
      <c r="A1202" s="109" t="s">
        <v>20</v>
      </c>
      <c r="B1202" s="93" t="s">
        <v>234</v>
      </c>
      <c r="C1202" s="85">
        <v>1.0</v>
      </c>
      <c r="D1202" s="85">
        <v>1.0</v>
      </c>
      <c r="E1202" s="96">
        <f t="shared" si="912"/>
        <v>9.8</v>
      </c>
      <c r="F1202" s="85">
        <v>1.0</v>
      </c>
      <c r="G1202" s="85">
        <v>41.0</v>
      </c>
      <c r="H1202" s="94">
        <v>0.0</v>
      </c>
      <c r="I1202" s="85">
        <v>49.0</v>
      </c>
      <c r="J1202" s="95">
        <f t="shared" si="905"/>
        <v>-8</v>
      </c>
      <c r="K1202" s="87">
        <f t="shared" si="906"/>
        <v>0.8367346939</v>
      </c>
      <c r="L1202" s="85">
        <v>12.0</v>
      </c>
      <c r="M1202" s="85">
        <v>52.0</v>
      </c>
      <c r="N1202" s="85">
        <v>1.0</v>
      </c>
      <c r="O1202" s="110">
        <f t="shared" si="913"/>
        <v>9.8</v>
      </c>
      <c r="P1202" s="85">
        <v>1.0</v>
      </c>
      <c r="Q1202" s="85">
        <v>1.0</v>
      </c>
      <c r="R1202" s="85">
        <v>2.0</v>
      </c>
      <c r="S1202" s="85">
        <v>1.0</v>
      </c>
      <c r="T1202" s="85">
        <v>7.0</v>
      </c>
      <c r="U1202" s="85">
        <v>3.0</v>
      </c>
      <c r="V1202" s="94">
        <v>0.0</v>
      </c>
      <c r="W1202" s="94">
        <v>0.0</v>
      </c>
      <c r="X1202" s="94">
        <v>0.0</v>
      </c>
      <c r="Y1202" s="94">
        <v>0.0</v>
      </c>
      <c r="Z1202" s="94">
        <v>0.0</v>
      </c>
      <c r="AA1202" s="94">
        <v>0.0</v>
      </c>
      <c r="AB1202" s="94">
        <v>0.0</v>
      </c>
      <c r="AC1202" s="94">
        <v>0.0</v>
      </c>
      <c r="AD1202" s="94">
        <v>0.0</v>
      </c>
      <c r="AE1202" s="94">
        <v>0.0</v>
      </c>
      <c r="AF1202" s="94">
        <v>0.0</v>
      </c>
      <c r="AG1202" s="94">
        <v>0.0</v>
      </c>
      <c r="AH1202" s="94">
        <v>0.0</v>
      </c>
    </row>
    <row r="1203" hidden="1">
      <c r="A1203" s="109" t="s">
        <v>20</v>
      </c>
      <c r="B1203" s="93" t="s">
        <v>235</v>
      </c>
      <c r="C1203" s="85">
        <v>1.0</v>
      </c>
      <c r="D1203" s="85">
        <v>1.0</v>
      </c>
      <c r="E1203" s="96">
        <f t="shared" si="912"/>
        <v>10.76666667</v>
      </c>
      <c r="F1203" s="85">
        <v>4.0</v>
      </c>
      <c r="G1203" s="85">
        <v>26.0</v>
      </c>
      <c r="H1203" s="94">
        <v>0.0</v>
      </c>
      <c r="I1203" s="85">
        <v>34.0</v>
      </c>
      <c r="J1203" s="95">
        <f t="shared" si="905"/>
        <v>-8</v>
      </c>
      <c r="K1203" s="87">
        <f t="shared" si="906"/>
        <v>0.7647058824</v>
      </c>
      <c r="L1203" s="85">
        <v>19.0</v>
      </c>
      <c r="M1203" s="85">
        <v>36.0</v>
      </c>
      <c r="N1203" s="85">
        <v>1.0</v>
      </c>
      <c r="O1203" s="110">
        <f t="shared" si="913"/>
        <v>10.76666667</v>
      </c>
      <c r="P1203" s="85">
        <v>1.0</v>
      </c>
      <c r="Q1203" s="94">
        <v>0.0</v>
      </c>
      <c r="R1203" s="85">
        <v>1.0</v>
      </c>
      <c r="S1203" s="94">
        <v>0.0</v>
      </c>
      <c r="T1203" s="85">
        <v>3.0</v>
      </c>
      <c r="U1203" s="85">
        <v>1.0</v>
      </c>
      <c r="V1203" s="94">
        <v>0.0</v>
      </c>
      <c r="W1203" s="94">
        <v>0.0</v>
      </c>
      <c r="X1203" s="94">
        <v>0.0</v>
      </c>
      <c r="Y1203" s="94">
        <v>0.0</v>
      </c>
      <c r="Z1203" s="94">
        <v>0.0</v>
      </c>
      <c r="AA1203" s="94">
        <v>0.0</v>
      </c>
      <c r="AB1203" s="94">
        <v>0.0</v>
      </c>
      <c r="AC1203" s="94">
        <v>0.0</v>
      </c>
      <c r="AD1203" s="94">
        <v>0.0</v>
      </c>
      <c r="AE1203" s="94">
        <v>0.0</v>
      </c>
      <c r="AF1203" s="94">
        <v>0.0</v>
      </c>
      <c r="AG1203" s="94">
        <v>0.0</v>
      </c>
      <c r="AH1203" s="94">
        <v>0.0</v>
      </c>
    </row>
    <row r="1204" hidden="1">
      <c r="A1204" s="109" t="s">
        <v>20</v>
      </c>
      <c r="B1204" s="93" t="s">
        <v>236</v>
      </c>
      <c r="C1204" s="94">
        <v>0.0</v>
      </c>
      <c r="D1204" s="85">
        <v>0.0</v>
      </c>
      <c r="E1204" s="96">
        <f t="shared" si="912"/>
        <v>0</v>
      </c>
      <c r="F1204" s="94">
        <v>0.0</v>
      </c>
      <c r="G1204" s="94">
        <v>0.0</v>
      </c>
      <c r="H1204" s="94">
        <v>0.0</v>
      </c>
      <c r="I1204" s="94">
        <v>0.0</v>
      </c>
      <c r="J1204" s="95">
        <f t="shared" si="905"/>
        <v>0</v>
      </c>
      <c r="K1204" s="87" t="str">
        <f t="shared" si="906"/>
        <v>#DIV/0!</v>
      </c>
      <c r="L1204" s="94">
        <v>0.0</v>
      </c>
      <c r="M1204" s="94">
        <v>0.0</v>
      </c>
      <c r="N1204" s="85">
        <v>0.0</v>
      </c>
      <c r="O1204" s="110">
        <f t="shared" si="913"/>
        <v>0</v>
      </c>
      <c r="P1204" s="94">
        <v>0.0</v>
      </c>
      <c r="Q1204" s="94">
        <v>0.0</v>
      </c>
      <c r="R1204" s="94">
        <v>0.0</v>
      </c>
      <c r="S1204" s="94">
        <v>0.0</v>
      </c>
      <c r="T1204" s="94">
        <v>0.0</v>
      </c>
      <c r="U1204" s="94">
        <v>0.0</v>
      </c>
      <c r="V1204" s="94">
        <v>0.0</v>
      </c>
      <c r="W1204" s="94">
        <v>0.0</v>
      </c>
      <c r="X1204" s="94">
        <v>0.0</v>
      </c>
      <c r="Y1204" s="94">
        <v>0.0</v>
      </c>
      <c r="Z1204" s="94">
        <v>0.0</v>
      </c>
      <c r="AA1204" s="94">
        <v>0.0</v>
      </c>
      <c r="AB1204" s="94">
        <v>0.0</v>
      </c>
      <c r="AC1204" s="94">
        <v>0.0</v>
      </c>
      <c r="AD1204" s="94">
        <v>0.0</v>
      </c>
      <c r="AE1204" s="94">
        <v>0.0</v>
      </c>
      <c r="AF1204" s="94">
        <v>0.0</v>
      </c>
      <c r="AG1204" s="94">
        <v>0.0</v>
      </c>
      <c r="AH1204" s="94">
        <v>0.0</v>
      </c>
    </row>
    <row r="1205" hidden="1">
      <c r="A1205" s="109" t="s">
        <v>20</v>
      </c>
      <c r="B1205" s="116"/>
      <c r="C1205" s="94">
        <v>0.0</v>
      </c>
      <c r="D1205" s="94">
        <v>0.0</v>
      </c>
      <c r="E1205" s="96">
        <f t="shared" si="912"/>
        <v>0</v>
      </c>
      <c r="F1205" s="94">
        <v>0.0</v>
      </c>
      <c r="G1205" s="94">
        <v>0.0</v>
      </c>
      <c r="H1205" s="94">
        <v>0.0</v>
      </c>
      <c r="I1205" s="94">
        <v>0.0</v>
      </c>
      <c r="J1205" s="95">
        <f t="shared" si="905"/>
        <v>0</v>
      </c>
      <c r="K1205" s="87" t="str">
        <f t="shared" si="906"/>
        <v>#DIV/0!</v>
      </c>
      <c r="L1205" s="94">
        <v>0.0</v>
      </c>
      <c r="M1205" s="94">
        <v>0.0</v>
      </c>
      <c r="N1205" s="85">
        <v>0.0</v>
      </c>
      <c r="O1205" s="110">
        <f t="shared" si="913"/>
        <v>0</v>
      </c>
      <c r="P1205" s="94">
        <v>0.0</v>
      </c>
      <c r="Q1205" s="94">
        <v>0.0</v>
      </c>
      <c r="R1205" s="94">
        <v>0.0</v>
      </c>
      <c r="S1205" s="94">
        <v>0.0</v>
      </c>
      <c r="T1205" s="94">
        <v>0.0</v>
      </c>
      <c r="U1205" s="94">
        <v>0.0</v>
      </c>
      <c r="V1205" s="94">
        <v>0.0</v>
      </c>
      <c r="W1205" s="94">
        <v>0.0</v>
      </c>
      <c r="X1205" s="94">
        <v>0.0</v>
      </c>
      <c r="Y1205" s="94">
        <v>0.0</v>
      </c>
      <c r="Z1205" s="94">
        <v>0.0</v>
      </c>
      <c r="AA1205" s="94">
        <v>0.0</v>
      </c>
      <c r="AB1205" s="94">
        <v>0.0</v>
      </c>
      <c r="AC1205" s="94">
        <v>0.0</v>
      </c>
      <c r="AD1205" s="94">
        <v>0.0</v>
      </c>
      <c r="AE1205" s="94">
        <v>0.0</v>
      </c>
      <c r="AF1205" s="94">
        <v>0.0</v>
      </c>
      <c r="AG1205" s="94">
        <v>0.0</v>
      </c>
      <c r="AH1205" s="94">
        <v>0.0</v>
      </c>
    </row>
    <row r="1206" hidden="1">
      <c r="A1206" s="89" t="s">
        <v>185</v>
      </c>
      <c r="B1206" s="111"/>
      <c r="C1206" s="111">
        <f>SUM(C1200:C1205)</f>
        <v>4</v>
      </c>
      <c r="D1206" s="111">
        <f t="shared" ref="D1206:E1206" si="914">SUM(D1200:D1205)/4</f>
        <v>1</v>
      </c>
      <c r="E1206" s="91">
        <f t="shared" si="914"/>
        <v>10.09166667</v>
      </c>
      <c r="F1206" s="111">
        <f t="shared" ref="F1206:G1206" si="915">SUM(F1200:F1205)</f>
        <v>5</v>
      </c>
      <c r="G1206" s="111">
        <f t="shared" si="915"/>
        <v>180</v>
      </c>
      <c r="H1206" s="111"/>
      <c r="I1206" s="111">
        <f>SUM(I1200:I1205)</f>
        <v>172</v>
      </c>
      <c r="J1206" s="111">
        <f t="shared" si="905"/>
        <v>8</v>
      </c>
      <c r="K1206" s="92">
        <f t="shared" si="906"/>
        <v>1.046511628</v>
      </c>
      <c r="L1206" s="111">
        <f t="shared" ref="L1206:M1206" si="916">SUM(L1200:L1205)</f>
        <v>58</v>
      </c>
      <c r="M1206" s="111">
        <f t="shared" si="916"/>
        <v>241</v>
      </c>
      <c r="N1206" s="111"/>
      <c r="O1206" s="112"/>
      <c r="P1206" s="111">
        <f t="shared" ref="P1206:AH1206" si="917">SUM(P1200:P1205)</f>
        <v>3</v>
      </c>
      <c r="Q1206" s="111">
        <f t="shared" si="917"/>
        <v>1</v>
      </c>
      <c r="R1206" s="111">
        <f t="shared" si="917"/>
        <v>13</v>
      </c>
      <c r="S1206" s="111">
        <f t="shared" si="917"/>
        <v>3</v>
      </c>
      <c r="T1206" s="111">
        <f t="shared" si="917"/>
        <v>33</v>
      </c>
      <c r="U1206" s="111">
        <f t="shared" si="917"/>
        <v>8</v>
      </c>
      <c r="V1206" s="111">
        <f t="shared" si="917"/>
        <v>2</v>
      </c>
      <c r="W1206" s="111">
        <f t="shared" si="917"/>
        <v>2</v>
      </c>
      <c r="X1206" s="111">
        <f t="shared" si="917"/>
        <v>1</v>
      </c>
      <c r="Y1206" s="111">
        <f t="shared" si="917"/>
        <v>0</v>
      </c>
      <c r="Z1206" s="111">
        <f t="shared" si="917"/>
        <v>0</v>
      </c>
      <c r="AA1206" s="111">
        <f t="shared" si="917"/>
        <v>0</v>
      </c>
      <c r="AB1206" s="111">
        <f t="shared" si="917"/>
        <v>0</v>
      </c>
      <c r="AC1206" s="111">
        <f t="shared" si="917"/>
        <v>6</v>
      </c>
      <c r="AD1206" s="111">
        <f t="shared" si="917"/>
        <v>0</v>
      </c>
      <c r="AE1206" s="111">
        <f t="shared" si="917"/>
        <v>0</v>
      </c>
      <c r="AF1206" s="111">
        <f t="shared" si="917"/>
        <v>0</v>
      </c>
      <c r="AG1206" s="111">
        <f t="shared" si="917"/>
        <v>0</v>
      </c>
      <c r="AH1206" s="111">
        <f t="shared" si="917"/>
        <v>0</v>
      </c>
    </row>
    <row r="1207">
      <c r="A1207" s="104" t="s">
        <v>323</v>
      </c>
    </row>
    <row r="1209" hidden="1">
      <c r="A1209" s="105"/>
      <c r="F1209" s="106" t="s">
        <v>251</v>
      </c>
      <c r="L1209" s="107" t="s">
        <v>252</v>
      </c>
      <c r="N1209" s="108" t="s">
        <v>253</v>
      </c>
    </row>
    <row r="1210" hidden="1">
      <c r="A1210" s="76" t="s">
        <v>148</v>
      </c>
      <c r="B1210" s="76" t="s">
        <v>149</v>
      </c>
      <c r="C1210" s="76" t="s">
        <v>150</v>
      </c>
      <c r="D1210" s="76" t="s">
        <v>13</v>
      </c>
      <c r="E1210" s="77" t="s">
        <v>151</v>
      </c>
      <c r="F1210" s="78" t="s">
        <v>15</v>
      </c>
      <c r="G1210" s="78" t="s">
        <v>152</v>
      </c>
      <c r="H1210" s="78" t="s">
        <v>153</v>
      </c>
      <c r="I1210" s="78" t="s">
        <v>154</v>
      </c>
      <c r="J1210" s="78" t="s">
        <v>155</v>
      </c>
      <c r="K1210" s="79" t="s">
        <v>156</v>
      </c>
      <c r="L1210" s="80" t="s">
        <v>157</v>
      </c>
      <c r="M1210" s="80" t="s">
        <v>158</v>
      </c>
      <c r="N1210" s="81" t="s">
        <v>254</v>
      </c>
      <c r="O1210" s="81" t="s">
        <v>151</v>
      </c>
      <c r="P1210" s="81" t="s">
        <v>160</v>
      </c>
      <c r="Q1210" s="81" t="s">
        <v>161</v>
      </c>
      <c r="R1210" s="81" t="s">
        <v>162</v>
      </c>
      <c r="S1210" s="81" t="s">
        <v>163</v>
      </c>
      <c r="T1210" s="81" t="s">
        <v>164</v>
      </c>
      <c r="U1210" s="81" t="s">
        <v>165</v>
      </c>
      <c r="V1210" s="81" t="s">
        <v>166</v>
      </c>
      <c r="W1210" s="81" t="s">
        <v>167</v>
      </c>
      <c r="X1210" s="81" t="s">
        <v>168</v>
      </c>
      <c r="Y1210" s="81" t="s">
        <v>169</v>
      </c>
      <c r="Z1210" s="81" t="s">
        <v>170</v>
      </c>
      <c r="AA1210" s="81" t="s">
        <v>171</v>
      </c>
      <c r="AB1210" s="81" t="s">
        <v>172</v>
      </c>
      <c r="AC1210" s="81" t="s">
        <v>173</v>
      </c>
      <c r="AD1210" s="81" t="s">
        <v>174</v>
      </c>
      <c r="AE1210" s="81" t="s">
        <v>175</v>
      </c>
      <c r="AF1210" s="81" t="s">
        <v>176</v>
      </c>
      <c r="AG1210" s="81" t="s">
        <v>177</v>
      </c>
      <c r="AH1210" s="81" t="s">
        <v>178</v>
      </c>
    </row>
    <row r="1211" hidden="1">
      <c r="A1211" s="109" t="s">
        <v>53</v>
      </c>
      <c r="B1211" s="93" t="s">
        <v>192</v>
      </c>
      <c r="C1211" s="85">
        <v>1.0</v>
      </c>
      <c r="D1211" s="94">
        <v>0.0</v>
      </c>
      <c r="E1211" s="86">
        <v>28.0</v>
      </c>
      <c r="F1211" s="94">
        <v>0.0</v>
      </c>
      <c r="G1211" s="85">
        <v>57.0</v>
      </c>
      <c r="H1211" s="94">
        <v>0.0</v>
      </c>
      <c r="I1211" s="85">
        <v>88.0</v>
      </c>
      <c r="J1211" s="95">
        <f t="shared" ref="J1211:J1224" si="918">SUM(G1211-I1211)</f>
        <v>-31</v>
      </c>
      <c r="K1211" s="87">
        <f t="shared" ref="K1211:K1224" si="919">SUM(G1211/I1211)</f>
        <v>0.6477272727</v>
      </c>
      <c r="L1211" s="85">
        <v>15.0</v>
      </c>
      <c r="M1211" s="85">
        <v>73.0</v>
      </c>
      <c r="N1211" s="85">
        <v>1.0</v>
      </c>
      <c r="O1211" s="110">
        <f t="shared" ref="O1211:O1216" si="920">(E1211*N1211)</f>
        <v>28</v>
      </c>
      <c r="P1211" s="85">
        <v>10.0</v>
      </c>
      <c r="Q1211" s="85">
        <v>1.0</v>
      </c>
      <c r="R1211" s="85">
        <v>1.0</v>
      </c>
      <c r="S1211" s="94">
        <v>0.0</v>
      </c>
      <c r="T1211" s="85">
        <v>4.0</v>
      </c>
      <c r="U1211" s="85">
        <v>1.0</v>
      </c>
      <c r="V1211" s="94">
        <v>0.0</v>
      </c>
      <c r="W1211" s="94">
        <v>0.0</v>
      </c>
      <c r="X1211" s="94">
        <v>0.0</v>
      </c>
      <c r="Y1211" s="94">
        <v>0.0</v>
      </c>
      <c r="Z1211" s="94">
        <v>0.0</v>
      </c>
      <c r="AA1211" s="94">
        <v>0.0</v>
      </c>
      <c r="AB1211" s="94">
        <v>0.0</v>
      </c>
      <c r="AC1211" s="94">
        <v>0.0</v>
      </c>
      <c r="AD1211" s="94">
        <v>0.0</v>
      </c>
      <c r="AE1211" s="94">
        <v>0.0</v>
      </c>
      <c r="AF1211" s="94">
        <v>0.0</v>
      </c>
      <c r="AG1211" s="94">
        <v>0.0</v>
      </c>
      <c r="AH1211" s="94">
        <v>0.0</v>
      </c>
    </row>
    <row r="1212" hidden="1">
      <c r="A1212" s="109" t="s">
        <v>53</v>
      </c>
      <c r="B1212" s="93" t="s">
        <v>193</v>
      </c>
      <c r="C1212" s="85">
        <v>1.0</v>
      </c>
      <c r="D1212" s="94">
        <v>0.0</v>
      </c>
      <c r="E1212" s="86">
        <v>28.0</v>
      </c>
      <c r="F1212" s="94">
        <v>0.0</v>
      </c>
      <c r="G1212" s="85">
        <v>89.0</v>
      </c>
      <c r="H1212" s="85">
        <v>1.0</v>
      </c>
      <c r="I1212" s="85">
        <v>101.0</v>
      </c>
      <c r="J1212" s="95">
        <f t="shared" si="918"/>
        <v>-12</v>
      </c>
      <c r="K1212" s="87">
        <f t="shared" si="919"/>
        <v>0.8811881188</v>
      </c>
      <c r="L1212" s="85">
        <v>13.0</v>
      </c>
      <c r="M1212" s="85">
        <v>112.0</v>
      </c>
      <c r="N1212" s="85">
        <v>1.0</v>
      </c>
      <c r="O1212" s="110">
        <f t="shared" si="920"/>
        <v>28</v>
      </c>
      <c r="P1212" s="85">
        <v>1.0</v>
      </c>
      <c r="Q1212" s="85">
        <v>3.0</v>
      </c>
      <c r="R1212" s="85">
        <v>8.0</v>
      </c>
      <c r="S1212" s="85">
        <v>1.0</v>
      </c>
      <c r="T1212" s="85">
        <v>12.0</v>
      </c>
      <c r="U1212" s="85">
        <v>1.0</v>
      </c>
      <c r="V1212" s="94">
        <v>0.0</v>
      </c>
      <c r="W1212" s="94">
        <v>0.0</v>
      </c>
      <c r="X1212" s="94">
        <v>0.0</v>
      </c>
      <c r="Y1212" s="94">
        <v>0.0</v>
      </c>
      <c r="Z1212" s="94">
        <v>0.0</v>
      </c>
      <c r="AA1212" s="94">
        <v>0.0</v>
      </c>
      <c r="AB1212" s="94">
        <v>0.0</v>
      </c>
      <c r="AC1212" s="85">
        <v>2.0</v>
      </c>
      <c r="AD1212" s="94">
        <v>0.0</v>
      </c>
      <c r="AE1212" s="94">
        <v>0.0</v>
      </c>
      <c r="AF1212" s="94">
        <v>0.0</v>
      </c>
      <c r="AG1212" s="94">
        <v>0.0</v>
      </c>
      <c r="AH1212" s="94">
        <v>0.0</v>
      </c>
    </row>
    <row r="1213" hidden="1">
      <c r="A1213" s="109" t="s">
        <v>53</v>
      </c>
      <c r="B1213" s="93" t="s">
        <v>194</v>
      </c>
      <c r="C1213" s="85">
        <v>1.0</v>
      </c>
      <c r="D1213" s="94">
        <v>0.0</v>
      </c>
      <c r="E1213" s="86">
        <v>28.0</v>
      </c>
      <c r="F1213" s="85">
        <v>1.0</v>
      </c>
      <c r="G1213" s="85">
        <v>107.0</v>
      </c>
      <c r="H1213" s="94">
        <v>0.0</v>
      </c>
      <c r="I1213" s="85">
        <v>100.0</v>
      </c>
      <c r="J1213" s="95">
        <f t="shared" si="918"/>
        <v>7</v>
      </c>
      <c r="K1213" s="87">
        <f t="shared" si="919"/>
        <v>1.07</v>
      </c>
      <c r="L1213" s="85">
        <v>13.0</v>
      </c>
      <c r="M1213" s="85">
        <v>140.0</v>
      </c>
      <c r="N1213" s="85">
        <v>1.0</v>
      </c>
      <c r="O1213" s="110">
        <f t="shared" si="920"/>
        <v>28</v>
      </c>
      <c r="P1213" s="85">
        <v>6.0</v>
      </c>
      <c r="Q1213" s="85">
        <v>1.0</v>
      </c>
      <c r="R1213" s="85">
        <v>7.0</v>
      </c>
      <c r="S1213" s="85">
        <v>1.0</v>
      </c>
      <c r="T1213" s="85">
        <v>15.0</v>
      </c>
      <c r="U1213" s="94">
        <v>0.0</v>
      </c>
      <c r="V1213" s="94">
        <v>0.0</v>
      </c>
      <c r="W1213" s="94">
        <v>0.0</v>
      </c>
      <c r="X1213" s="94">
        <v>0.0</v>
      </c>
      <c r="Y1213" s="94">
        <v>0.0</v>
      </c>
      <c r="Z1213" s="94">
        <v>0.0</v>
      </c>
      <c r="AA1213" s="94">
        <v>0.0</v>
      </c>
      <c r="AB1213" s="94">
        <v>0.0</v>
      </c>
      <c r="AC1213" s="85">
        <v>3.0</v>
      </c>
      <c r="AD1213" s="94">
        <v>0.0</v>
      </c>
      <c r="AE1213" s="94">
        <v>0.0</v>
      </c>
      <c r="AF1213" s="94">
        <v>0.0</v>
      </c>
      <c r="AG1213" s="94">
        <v>0.0</v>
      </c>
      <c r="AH1213" s="85">
        <v>1.0</v>
      </c>
    </row>
    <row r="1214" hidden="1">
      <c r="A1214" s="109" t="s">
        <v>53</v>
      </c>
      <c r="B1214" s="93" t="s">
        <v>195</v>
      </c>
      <c r="C1214" s="85">
        <v>1.0</v>
      </c>
      <c r="D1214" s="94">
        <v>0.0</v>
      </c>
      <c r="E1214" s="86">
        <v>28.0</v>
      </c>
      <c r="F1214" s="94">
        <v>0.0</v>
      </c>
      <c r="G1214" s="85">
        <v>73.0</v>
      </c>
      <c r="H1214" s="94">
        <v>0.0</v>
      </c>
      <c r="I1214" s="85">
        <v>89.0</v>
      </c>
      <c r="J1214" s="95">
        <f t="shared" si="918"/>
        <v>-16</v>
      </c>
      <c r="K1214" s="87">
        <f t="shared" si="919"/>
        <v>0.8202247191</v>
      </c>
      <c r="L1214" s="85">
        <v>15.0</v>
      </c>
      <c r="M1214" s="85">
        <v>83.0</v>
      </c>
      <c r="N1214" s="85">
        <v>1.0</v>
      </c>
      <c r="O1214" s="110">
        <f t="shared" si="920"/>
        <v>28</v>
      </c>
      <c r="P1214" s="85">
        <v>1.0</v>
      </c>
      <c r="Q1214" s="85">
        <v>3.0</v>
      </c>
      <c r="R1214" s="85">
        <v>3.0</v>
      </c>
      <c r="S1214" s="85">
        <v>2.0</v>
      </c>
      <c r="T1214" s="85">
        <v>4.0</v>
      </c>
      <c r="U1214" s="94">
        <v>0.0</v>
      </c>
      <c r="V1214" s="94">
        <v>0.0</v>
      </c>
      <c r="W1214" s="94">
        <v>0.0</v>
      </c>
      <c r="X1214" s="94">
        <v>0.0</v>
      </c>
      <c r="Y1214" s="94">
        <v>0.0</v>
      </c>
      <c r="Z1214" s="94">
        <v>0.0</v>
      </c>
      <c r="AA1214" s="94">
        <v>0.0</v>
      </c>
      <c r="AB1214" s="94">
        <v>0.0</v>
      </c>
      <c r="AC1214" s="85">
        <v>1.0</v>
      </c>
      <c r="AD1214" s="94">
        <v>0.0</v>
      </c>
      <c r="AE1214" s="94">
        <v>0.0</v>
      </c>
      <c r="AF1214" s="94">
        <v>0.0</v>
      </c>
      <c r="AG1214" s="94">
        <v>0.0</v>
      </c>
      <c r="AH1214" s="94">
        <v>0.0</v>
      </c>
    </row>
    <row r="1215" hidden="1">
      <c r="A1215" s="109" t="s">
        <v>53</v>
      </c>
      <c r="B1215" s="93" t="s">
        <v>196</v>
      </c>
      <c r="C1215" s="94">
        <v>0.0</v>
      </c>
      <c r="D1215" s="94">
        <v>0.0</v>
      </c>
      <c r="E1215" s="96">
        <f t="shared" ref="E1215:E1216" si="921">SUM(L1215*I1215)/60</f>
        <v>0</v>
      </c>
      <c r="F1215" s="94">
        <v>0.0</v>
      </c>
      <c r="G1215" s="94">
        <v>0.0</v>
      </c>
      <c r="H1215" s="94">
        <v>0.0</v>
      </c>
      <c r="I1215" s="94">
        <v>0.0</v>
      </c>
      <c r="J1215" s="95">
        <f t="shared" si="918"/>
        <v>0</v>
      </c>
      <c r="K1215" s="87" t="str">
        <f t="shared" si="919"/>
        <v>#DIV/0!</v>
      </c>
      <c r="L1215" s="94">
        <v>0.0</v>
      </c>
      <c r="M1215" s="94">
        <v>0.0</v>
      </c>
      <c r="N1215" s="85">
        <v>0.0</v>
      </c>
      <c r="O1215" s="110">
        <f t="shared" si="920"/>
        <v>0</v>
      </c>
      <c r="P1215" s="94">
        <v>0.0</v>
      </c>
      <c r="Q1215" s="94">
        <v>0.0</v>
      </c>
      <c r="R1215" s="94">
        <v>0.0</v>
      </c>
      <c r="S1215" s="94">
        <v>0.0</v>
      </c>
      <c r="T1215" s="94">
        <v>0.0</v>
      </c>
      <c r="U1215" s="94">
        <v>0.0</v>
      </c>
      <c r="V1215" s="94">
        <v>0.0</v>
      </c>
      <c r="W1215" s="94">
        <v>0.0</v>
      </c>
      <c r="X1215" s="94">
        <v>0.0</v>
      </c>
      <c r="Y1215" s="94">
        <v>0.0</v>
      </c>
      <c r="Z1215" s="94">
        <v>0.0</v>
      </c>
      <c r="AA1215" s="94">
        <v>0.0</v>
      </c>
      <c r="AB1215" s="94">
        <v>0.0</v>
      </c>
      <c r="AC1215" s="94">
        <v>0.0</v>
      </c>
      <c r="AD1215" s="94">
        <v>0.0</v>
      </c>
      <c r="AE1215" s="94">
        <v>0.0</v>
      </c>
      <c r="AF1215" s="94">
        <v>0.0</v>
      </c>
      <c r="AG1215" s="94">
        <v>0.0</v>
      </c>
      <c r="AH1215" s="94">
        <v>0.0</v>
      </c>
    </row>
    <row r="1216" hidden="1">
      <c r="A1216" s="109" t="s">
        <v>53</v>
      </c>
      <c r="B1216" s="116"/>
      <c r="C1216" s="94">
        <v>0.0</v>
      </c>
      <c r="D1216" s="94">
        <v>0.0</v>
      </c>
      <c r="E1216" s="96">
        <f t="shared" si="921"/>
        <v>0</v>
      </c>
      <c r="F1216" s="94">
        <v>0.0</v>
      </c>
      <c r="G1216" s="94">
        <v>0.0</v>
      </c>
      <c r="H1216" s="94">
        <v>0.0</v>
      </c>
      <c r="I1216" s="94">
        <v>0.0</v>
      </c>
      <c r="J1216" s="95">
        <f t="shared" si="918"/>
        <v>0</v>
      </c>
      <c r="K1216" s="87" t="str">
        <f t="shared" si="919"/>
        <v>#DIV/0!</v>
      </c>
      <c r="L1216" s="94">
        <v>0.0</v>
      </c>
      <c r="M1216" s="94">
        <v>0.0</v>
      </c>
      <c r="N1216" s="85">
        <v>0.0</v>
      </c>
      <c r="O1216" s="110">
        <f t="shared" si="920"/>
        <v>0</v>
      </c>
      <c r="P1216" s="94">
        <v>0.0</v>
      </c>
      <c r="Q1216" s="94">
        <v>0.0</v>
      </c>
      <c r="R1216" s="94">
        <v>0.0</v>
      </c>
      <c r="S1216" s="94">
        <v>0.0</v>
      </c>
      <c r="T1216" s="94">
        <v>0.0</v>
      </c>
      <c r="U1216" s="94">
        <v>0.0</v>
      </c>
      <c r="V1216" s="94">
        <v>0.0</v>
      </c>
      <c r="W1216" s="94">
        <v>0.0</v>
      </c>
      <c r="X1216" s="94">
        <v>0.0</v>
      </c>
      <c r="Y1216" s="94">
        <v>0.0</v>
      </c>
      <c r="Z1216" s="94">
        <v>0.0</v>
      </c>
      <c r="AA1216" s="94">
        <v>0.0</v>
      </c>
      <c r="AB1216" s="94">
        <v>0.0</v>
      </c>
      <c r="AC1216" s="94">
        <v>0.0</v>
      </c>
      <c r="AD1216" s="94">
        <v>0.0</v>
      </c>
      <c r="AE1216" s="94">
        <v>0.0</v>
      </c>
      <c r="AF1216" s="94">
        <v>0.0</v>
      </c>
      <c r="AG1216" s="94">
        <v>0.0</v>
      </c>
      <c r="AH1216" s="94">
        <v>0.0</v>
      </c>
    </row>
    <row r="1217" hidden="1">
      <c r="A1217" s="89"/>
      <c r="B1217" s="111"/>
      <c r="C1217" s="111">
        <f t="shared" ref="C1217:D1217" si="922">SUM(C1211:C1216)/4</f>
        <v>1</v>
      </c>
      <c r="D1217" s="111">
        <f t="shared" si="922"/>
        <v>0</v>
      </c>
      <c r="E1217" s="91">
        <f t="shared" ref="E1217:G1217" si="923">SUM(E1211:E1216)</f>
        <v>112</v>
      </c>
      <c r="F1217" s="111">
        <f t="shared" si="923"/>
        <v>1</v>
      </c>
      <c r="G1217" s="111">
        <f t="shared" si="923"/>
        <v>326</v>
      </c>
      <c r="H1217" s="111"/>
      <c r="I1217" s="111">
        <f>SUM(I1211:I1216)</f>
        <v>378</v>
      </c>
      <c r="J1217" s="111">
        <f t="shared" si="918"/>
        <v>-52</v>
      </c>
      <c r="K1217" s="92">
        <f t="shared" si="919"/>
        <v>0.8624338624</v>
      </c>
      <c r="L1217" s="111">
        <f t="shared" ref="L1217:M1217" si="924">SUM(L1211:L1216)</f>
        <v>56</v>
      </c>
      <c r="M1217" s="111">
        <f t="shared" si="924"/>
        <v>408</v>
      </c>
      <c r="N1217" s="111"/>
      <c r="O1217" s="112"/>
      <c r="P1217" s="111">
        <f t="shared" ref="P1217:AH1217" si="925">SUM(P1211:P1216)</f>
        <v>18</v>
      </c>
      <c r="Q1217" s="111">
        <f t="shared" si="925"/>
        <v>8</v>
      </c>
      <c r="R1217" s="111">
        <f t="shared" si="925"/>
        <v>19</v>
      </c>
      <c r="S1217" s="111">
        <f t="shared" si="925"/>
        <v>4</v>
      </c>
      <c r="T1217" s="111">
        <f t="shared" si="925"/>
        <v>35</v>
      </c>
      <c r="U1217" s="111">
        <f t="shared" si="925"/>
        <v>2</v>
      </c>
      <c r="V1217" s="111">
        <f t="shared" si="925"/>
        <v>0</v>
      </c>
      <c r="W1217" s="111">
        <f t="shared" si="925"/>
        <v>0</v>
      </c>
      <c r="X1217" s="111">
        <f t="shared" si="925"/>
        <v>0</v>
      </c>
      <c r="Y1217" s="111">
        <f t="shared" si="925"/>
        <v>0</v>
      </c>
      <c r="Z1217" s="111">
        <f t="shared" si="925"/>
        <v>0</v>
      </c>
      <c r="AA1217" s="111">
        <f t="shared" si="925"/>
        <v>0</v>
      </c>
      <c r="AB1217" s="111">
        <f t="shared" si="925"/>
        <v>0</v>
      </c>
      <c r="AC1217" s="111">
        <f t="shared" si="925"/>
        <v>6</v>
      </c>
      <c r="AD1217" s="111">
        <f t="shared" si="925"/>
        <v>0</v>
      </c>
      <c r="AE1217" s="111">
        <f t="shared" si="925"/>
        <v>0</v>
      </c>
      <c r="AF1217" s="111">
        <f t="shared" si="925"/>
        <v>0</v>
      </c>
      <c r="AG1217" s="111">
        <f t="shared" si="925"/>
        <v>0</v>
      </c>
      <c r="AH1217" s="111">
        <f t="shared" si="925"/>
        <v>1</v>
      </c>
    </row>
    <row r="1218" hidden="1">
      <c r="A1218" s="109" t="s">
        <v>40</v>
      </c>
      <c r="B1218" s="93" t="s">
        <v>216</v>
      </c>
      <c r="C1218" s="85">
        <v>1.0</v>
      </c>
      <c r="D1218" s="85">
        <v>1.0</v>
      </c>
      <c r="E1218" s="86">
        <v>28.0</v>
      </c>
      <c r="F1218" s="85">
        <v>4.0</v>
      </c>
      <c r="G1218" s="85">
        <v>62.0</v>
      </c>
      <c r="H1218" s="85">
        <v>1.0</v>
      </c>
      <c r="I1218" s="85">
        <v>48.0</v>
      </c>
      <c r="J1218" s="95">
        <f t="shared" si="918"/>
        <v>14</v>
      </c>
      <c r="K1218" s="87">
        <f t="shared" si="919"/>
        <v>1.291666667</v>
      </c>
      <c r="L1218" s="85">
        <v>31.0</v>
      </c>
      <c r="M1218" s="85">
        <v>80.0</v>
      </c>
      <c r="N1218" s="85">
        <v>1.0</v>
      </c>
      <c r="O1218" s="110">
        <f t="shared" ref="O1218:O1223" si="926">(E1218*N1218)</f>
        <v>28</v>
      </c>
      <c r="P1218" s="85">
        <v>3.0</v>
      </c>
      <c r="Q1218" s="85">
        <v>2.0</v>
      </c>
      <c r="R1218" s="85">
        <v>3.0</v>
      </c>
      <c r="S1218" s="85">
        <v>2.0</v>
      </c>
      <c r="T1218" s="85">
        <v>3.0</v>
      </c>
      <c r="U1218" s="85">
        <v>2.0</v>
      </c>
      <c r="V1218" s="85">
        <v>2.0</v>
      </c>
      <c r="W1218" s="94">
        <v>0.0</v>
      </c>
      <c r="X1218" s="94">
        <v>0.0</v>
      </c>
      <c r="Y1218" s="94">
        <v>0.0</v>
      </c>
      <c r="Z1218" s="94">
        <v>0.0</v>
      </c>
      <c r="AA1218" s="94">
        <v>0.0</v>
      </c>
      <c r="AB1218" s="94">
        <v>0.0</v>
      </c>
      <c r="AC1218" s="85">
        <v>2.0</v>
      </c>
      <c r="AD1218" s="94">
        <v>0.0</v>
      </c>
      <c r="AE1218" s="94">
        <v>0.0</v>
      </c>
      <c r="AF1218" s="94">
        <v>0.0</v>
      </c>
      <c r="AG1218" s="94">
        <v>0.0</v>
      </c>
      <c r="AH1218" s="94">
        <v>0.0</v>
      </c>
    </row>
    <row r="1219" hidden="1">
      <c r="A1219" s="109" t="s">
        <v>40</v>
      </c>
      <c r="B1219" s="93" t="s">
        <v>217</v>
      </c>
      <c r="C1219" s="85">
        <v>1.0</v>
      </c>
      <c r="D1219" s="85">
        <v>1.0</v>
      </c>
      <c r="E1219" s="86">
        <v>28.0</v>
      </c>
      <c r="F1219" s="85">
        <v>1.0</v>
      </c>
      <c r="G1219" s="85">
        <v>126.0</v>
      </c>
      <c r="H1219" s="85">
        <v>1.0</v>
      </c>
      <c r="I1219" s="85">
        <v>91.0</v>
      </c>
      <c r="J1219" s="95">
        <f t="shared" si="918"/>
        <v>35</v>
      </c>
      <c r="K1219" s="87">
        <f t="shared" si="919"/>
        <v>1.384615385</v>
      </c>
      <c r="L1219" s="85">
        <v>15.0</v>
      </c>
      <c r="M1219" s="85">
        <v>168.0</v>
      </c>
      <c r="N1219" s="85">
        <v>1.0</v>
      </c>
      <c r="O1219" s="110">
        <f t="shared" si="926"/>
        <v>28</v>
      </c>
      <c r="P1219" s="85">
        <v>6.0</v>
      </c>
      <c r="Q1219" s="85">
        <v>1.0</v>
      </c>
      <c r="R1219" s="85">
        <v>14.0</v>
      </c>
      <c r="S1219" s="85">
        <v>2.0</v>
      </c>
      <c r="T1219" s="85">
        <v>20.0</v>
      </c>
      <c r="U1219" s="85">
        <v>4.0</v>
      </c>
      <c r="V1219" s="85">
        <v>1.0</v>
      </c>
      <c r="W1219" s="94">
        <v>0.0</v>
      </c>
      <c r="X1219" s="94">
        <v>0.0</v>
      </c>
      <c r="Y1219" s="94">
        <v>0.0</v>
      </c>
      <c r="Z1219" s="94">
        <v>0.0</v>
      </c>
      <c r="AA1219" s="94">
        <v>0.0</v>
      </c>
      <c r="AB1219" s="94">
        <v>0.0</v>
      </c>
      <c r="AC1219" s="85">
        <v>2.0</v>
      </c>
      <c r="AD1219" s="94">
        <v>0.0</v>
      </c>
      <c r="AE1219" s="94">
        <v>0.0</v>
      </c>
      <c r="AF1219" s="94">
        <v>0.0</v>
      </c>
      <c r="AG1219" s="94">
        <v>0.0</v>
      </c>
      <c r="AH1219" s="94">
        <v>0.0</v>
      </c>
    </row>
    <row r="1220" hidden="1">
      <c r="A1220" s="109" t="s">
        <v>40</v>
      </c>
      <c r="B1220" s="93" t="s">
        <v>218</v>
      </c>
      <c r="C1220" s="85">
        <v>1.0</v>
      </c>
      <c r="D1220" s="85">
        <v>1.0</v>
      </c>
      <c r="E1220" s="86">
        <v>28.0</v>
      </c>
      <c r="F1220" s="94">
        <v>0.0</v>
      </c>
      <c r="G1220" s="85">
        <v>83.0</v>
      </c>
      <c r="H1220" s="94">
        <v>0.0</v>
      </c>
      <c r="I1220" s="85">
        <v>89.0</v>
      </c>
      <c r="J1220" s="95">
        <f t="shared" si="918"/>
        <v>-6</v>
      </c>
      <c r="K1220" s="87">
        <f t="shared" si="919"/>
        <v>0.9325842697</v>
      </c>
      <c r="L1220" s="85">
        <v>15.0</v>
      </c>
      <c r="M1220" s="85">
        <v>100.0</v>
      </c>
      <c r="N1220" s="85">
        <v>1.0</v>
      </c>
      <c r="O1220" s="110">
        <f t="shared" si="926"/>
        <v>28</v>
      </c>
      <c r="P1220" s="85">
        <v>2.0</v>
      </c>
      <c r="Q1220" s="94">
        <v>0.0</v>
      </c>
      <c r="R1220" s="85">
        <v>8.0</v>
      </c>
      <c r="S1220" s="85">
        <v>1.0</v>
      </c>
      <c r="T1220" s="85">
        <v>8.0</v>
      </c>
      <c r="U1220" s="85">
        <v>1.0</v>
      </c>
      <c r="V1220" s="94">
        <v>0.0</v>
      </c>
      <c r="W1220" s="94">
        <v>0.0</v>
      </c>
      <c r="X1220" s="94">
        <v>0.0</v>
      </c>
      <c r="Y1220" s="94">
        <v>0.0</v>
      </c>
      <c r="Z1220" s="94">
        <v>0.0</v>
      </c>
      <c r="AA1220" s="94">
        <v>0.0</v>
      </c>
      <c r="AB1220" s="85">
        <v>0.0</v>
      </c>
      <c r="AC1220" s="85">
        <v>1.0</v>
      </c>
      <c r="AD1220" s="94">
        <v>0.0</v>
      </c>
      <c r="AE1220" s="94">
        <v>0.0</v>
      </c>
      <c r="AF1220" s="94">
        <v>0.0</v>
      </c>
      <c r="AG1220" s="94">
        <v>0.0</v>
      </c>
      <c r="AH1220" s="94">
        <v>0.0</v>
      </c>
    </row>
    <row r="1221" hidden="1">
      <c r="A1221" s="109" t="s">
        <v>40</v>
      </c>
      <c r="B1221" s="93" t="s">
        <v>219</v>
      </c>
      <c r="C1221" s="94">
        <v>0.0</v>
      </c>
      <c r="D1221" s="94">
        <v>0.0</v>
      </c>
      <c r="E1221" s="96">
        <f>SUM(L1221*I1221)/60</f>
        <v>0</v>
      </c>
      <c r="F1221" s="94">
        <v>0.0</v>
      </c>
      <c r="G1221" s="94">
        <v>0.0</v>
      </c>
      <c r="H1221" s="94">
        <v>0.0</v>
      </c>
      <c r="I1221" s="94">
        <v>0.0</v>
      </c>
      <c r="J1221" s="95">
        <f t="shared" si="918"/>
        <v>0</v>
      </c>
      <c r="K1221" s="87" t="str">
        <f t="shared" si="919"/>
        <v>#DIV/0!</v>
      </c>
      <c r="L1221" s="94">
        <v>0.0</v>
      </c>
      <c r="M1221" s="94">
        <v>0.0</v>
      </c>
      <c r="N1221" s="85">
        <v>0.0</v>
      </c>
      <c r="O1221" s="110">
        <f t="shared" si="926"/>
        <v>0</v>
      </c>
      <c r="P1221" s="94">
        <v>0.0</v>
      </c>
      <c r="Q1221" s="94">
        <v>0.0</v>
      </c>
      <c r="R1221" s="94">
        <v>0.0</v>
      </c>
      <c r="S1221" s="94">
        <v>0.0</v>
      </c>
      <c r="T1221" s="94">
        <v>0.0</v>
      </c>
      <c r="U1221" s="94">
        <v>0.0</v>
      </c>
      <c r="V1221" s="94">
        <v>0.0</v>
      </c>
      <c r="W1221" s="94">
        <v>0.0</v>
      </c>
      <c r="X1221" s="94">
        <v>0.0</v>
      </c>
      <c r="Y1221" s="94">
        <v>0.0</v>
      </c>
      <c r="Z1221" s="94">
        <v>0.0</v>
      </c>
      <c r="AA1221" s="94">
        <v>0.0</v>
      </c>
      <c r="AB1221" s="94">
        <v>0.0</v>
      </c>
      <c r="AC1221" s="94">
        <v>0.0</v>
      </c>
      <c r="AD1221" s="94">
        <v>0.0</v>
      </c>
      <c r="AE1221" s="94">
        <v>0.0</v>
      </c>
      <c r="AF1221" s="94">
        <v>0.0</v>
      </c>
      <c r="AG1221" s="94">
        <v>0.0</v>
      </c>
      <c r="AH1221" s="94">
        <v>0.0</v>
      </c>
    </row>
    <row r="1222" hidden="1">
      <c r="A1222" s="109" t="s">
        <v>40</v>
      </c>
      <c r="B1222" s="93" t="s">
        <v>220</v>
      </c>
      <c r="C1222" s="85">
        <v>1.0</v>
      </c>
      <c r="D1222" s="85">
        <v>1.0</v>
      </c>
      <c r="E1222" s="86">
        <v>28.0</v>
      </c>
      <c r="F1222" s="94">
        <v>0.0</v>
      </c>
      <c r="G1222" s="85">
        <v>91.0</v>
      </c>
      <c r="H1222" s="94">
        <v>0.0</v>
      </c>
      <c r="I1222" s="85">
        <v>102.0</v>
      </c>
      <c r="J1222" s="95">
        <f t="shared" si="918"/>
        <v>-11</v>
      </c>
      <c r="K1222" s="87">
        <f t="shared" si="919"/>
        <v>0.8921568627</v>
      </c>
      <c r="L1222" s="85">
        <v>13.0</v>
      </c>
      <c r="M1222" s="85">
        <v>118.0</v>
      </c>
      <c r="N1222" s="85">
        <v>1.0</v>
      </c>
      <c r="O1222" s="110">
        <f t="shared" si="926"/>
        <v>28</v>
      </c>
      <c r="P1222" s="85">
        <v>2.0</v>
      </c>
      <c r="Q1222" s="85">
        <v>3.0</v>
      </c>
      <c r="R1222" s="85">
        <v>8.0</v>
      </c>
      <c r="S1222" s="85">
        <v>1.0</v>
      </c>
      <c r="T1222" s="85">
        <v>12.0</v>
      </c>
      <c r="U1222" s="85">
        <v>4.0</v>
      </c>
      <c r="V1222" s="85">
        <v>2.0</v>
      </c>
      <c r="W1222" s="85">
        <v>1.0</v>
      </c>
      <c r="X1222" s="94">
        <v>0.0</v>
      </c>
      <c r="Y1222" s="94">
        <v>0.0</v>
      </c>
      <c r="Z1222" s="94">
        <v>0.0</v>
      </c>
      <c r="AA1222" s="94">
        <v>0.0</v>
      </c>
      <c r="AB1222" s="94">
        <v>0.0</v>
      </c>
      <c r="AC1222" s="85">
        <v>2.0</v>
      </c>
      <c r="AD1222" s="94">
        <v>0.0</v>
      </c>
      <c r="AE1222" s="94">
        <v>0.0</v>
      </c>
      <c r="AF1222" s="94">
        <v>0.0</v>
      </c>
      <c r="AG1222" s="94">
        <v>0.0</v>
      </c>
      <c r="AH1222" s="94">
        <v>0.0</v>
      </c>
    </row>
    <row r="1223" hidden="1">
      <c r="A1223" s="109" t="s">
        <v>214</v>
      </c>
      <c r="B1223" s="93" t="s">
        <v>189</v>
      </c>
      <c r="C1223" s="94">
        <v>0.0</v>
      </c>
      <c r="D1223" s="94">
        <v>0.0</v>
      </c>
      <c r="E1223" s="96">
        <f>SUM(L1223*I1223)/60</f>
        <v>0</v>
      </c>
      <c r="F1223" s="94">
        <v>0.0</v>
      </c>
      <c r="G1223" s="94">
        <v>0.0</v>
      </c>
      <c r="H1223" s="94">
        <v>0.0</v>
      </c>
      <c r="I1223" s="94">
        <v>0.0</v>
      </c>
      <c r="J1223" s="95">
        <f t="shared" si="918"/>
        <v>0</v>
      </c>
      <c r="K1223" s="87" t="str">
        <f t="shared" si="919"/>
        <v>#DIV/0!</v>
      </c>
      <c r="L1223" s="94">
        <v>0.0</v>
      </c>
      <c r="M1223" s="94">
        <v>0.0</v>
      </c>
      <c r="N1223" s="85">
        <v>0.0</v>
      </c>
      <c r="O1223" s="110">
        <f t="shared" si="926"/>
        <v>0</v>
      </c>
      <c r="P1223" s="94">
        <v>0.0</v>
      </c>
      <c r="Q1223" s="94">
        <v>0.0</v>
      </c>
      <c r="R1223" s="94">
        <v>0.0</v>
      </c>
      <c r="S1223" s="94">
        <v>0.0</v>
      </c>
      <c r="T1223" s="94">
        <v>0.0</v>
      </c>
      <c r="U1223" s="94">
        <v>0.0</v>
      </c>
      <c r="V1223" s="94">
        <v>0.0</v>
      </c>
      <c r="W1223" s="94">
        <v>0.0</v>
      </c>
      <c r="X1223" s="94">
        <v>0.0</v>
      </c>
      <c r="Y1223" s="94">
        <v>0.0</v>
      </c>
      <c r="Z1223" s="94">
        <v>0.0</v>
      </c>
      <c r="AA1223" s="94">
        <v>0.0</v>
      </c>
      <c r="AB1223" s="94">
        <v>0.0</v>
      </c>
      <c r="AC1223" s="94">
        <v>0.0</v>
      </c>
      <c r="AD1223" s="94">
        <v>0.0</v>
      </c>
      <c r="AE1223" s="94">
        <v>0.0</v>
      </c>
      <c r="AF1223" s="94">
        <v>0.0</v>
      </c>
      <c r="AG1223" s="94">
        <v>0.0</v>
      </c>
      <c r="AH1223" s="94">
        <v>0.0</v>
      </c>
    </row>
    <row r="1224" hidden="1">
      <c r="A1224" s="89" t="s">
        <v>185</v>
      </c>
      <c r="B1224" s="111"/>
      <c r="C1224" s="111">
        <f>SUM(C1218:C1223)</f>
        <v>4</v>
      </c>
      <c r="D1224" s="111">
        <f t="shared" ref="D1224:E1224" si="927">SUM(D1218:D1223)/4</f>
        <v>1</v>
      </c>
      <c r="E1224" s="91">
        <f t="shared" si="927"/>
        <v>28</v>
      </c>
      <c r="F1224" s="111">
        <f t="shared" ref="F1224:G1224" si="928">SUM(F1218:F1223)</f>
        <v>5</v>
      </c>
      <c r="G1224" s="111">
        <f t="shared" si="928"/>
        <v>362</v>
      </c>
      <c r="H1224" s="111"/>
      <c r="I1224" s="111">
        <f>SUM(I1218:I1223)</f>
        <v>330</v>
      </c>
      <c r="J1224" s="111">
        <f t="shared" si="918"/>
        <v>32</v>
      </c>
      <c r="K1224" s="92">
        <f t="shared" si="919"/>
        <v>1.096969697</v>
      </c>
      <c r="L1224" s="111">
        <f t="shared" ref="L1224:M1224" si="929">SUM(L1218:L1223)</f>
        <v>74</v>
      </c>
      <c r="M1224" s="111">
        <f t="shared" si="929"/>
        <v>466</v>
      </c>
      <c r="N1224" s="111"/>
      <c r="O1224" s="112"/>
      <c r="P1224" s="111">
        <f t="shared" ref="P1224:AH1224" si="930">SUM(P1218:P1223)</f>
        <v>13</v>
      </c>
      <c r="Q1224" s="111">
        <f t="shared" si="930"/>
        <v>6</v>
      </c>
      <c r="R1224" s="111">
        <f t="shared" si="930"/>
        <v>33</v>
      </c>
      <c r="S1224" s="111">
        <f t="shared" si="930"/>
        <v>6</v>
      </c>
      <c r="T1224" s="111">
        <f t="shared" si="930"/>
        <v>43</v>
      </c>
      <c r="U1224" s="111">
        <f t="shared" si="930"/>
        <v>11</v>
      </c>
      <c r="V1224" s="111">
        <f t="shared" si="930"/>
        <v>5</v>
      </c>
      <c r="W1224" s="111">
        <f t="shared" si="930"/>
        <v>1</v>
      </c>
      <c r="X1224" s="111">
        <f t="shared" si="930"/>
        <v>0</v>
      </c>
      <c r="Y1224" s="111">
        <f t="shared" si="930"/>
        <v>0</v>
      </c>
      <c r="Z1224" s="111">
        <f t="shared" si="930"/>
        <v>0</v>
      </c>
      <c r="AA1224" s="111">
        <f t="shared" si="930"/>
        <v>0</v>
      </c>
      <c r="AB1224" s="111">
        <f t="shared" si="930"/>
        <v>0</v>
      </c>
      <c r="AC1224" s="111">
        <f t="shared" si="930"/>
        <v>7</v>
      </c>
      <c r="AD1224" s="111">
        <f t="shared" si="930"/>
        <v>0</v>
      </c>
      <c r="AE1224" s="111">
        <f t="shared" si="930"/>
        <v>0</v>
      </c>
      <c r="AF1224" s="111">
        <f t="shared" si="930"/>
        <v>0</v>
      </c>
      <c r="AG1224" s="111">
        <f t="shared" si="930"/>
        <v>0</v>
      </c>
      <c r="AH1224" s="111">
        <f t="shared" si="930"/>
        <v>0</v>
      </c>
    </row>
    <row r="1225">
      <c r="A1225" s="104" t="s">
        <v>324</v>
      </c>
    </row>
    <row r="1227" hidden="1">
      <c r="A1227" s="105"/>
      <c r="F1227" s="106" t="s">
        <v>251</v>
      </c>
      <c r="L1227" s="107" t="s">
        <v>252</v>
      </c>
      <c r="N1227" s="108" t="s">
        <v>253</v>
      </c>
    </row>
    <row r="1228" hidden="1">
      <c r="A1228" s="76" t="s">
        <v>148</v>
      </c>
      <c r="B1228" s="76" t="s">
        <v>149</v>
      </c>
      <c r="C1228" s="76" t="s">
        <v>150</v>
      </c>
      <c r="D1228" s="76" t="s">
        <v>13</v>
      </c>
      <c r="E1228" s="77" t="s">
        <v>151</v>
      </c>
      <c r="F1228" s="78" t="s">
        <v>15</v>
      </c>
      <c r="G1228" s="78" t="s">
        <v>152</v>
      </c>
      <c r="H1228" s="78" t="s">
        <v>153</v>
      </c>
      <c r="I1228" s="78" t="s">
        <v>154</v>
      </c>
      <c r="J1228" s="78" t="s">
        <v>155</v>
      </c>
      <c r="K1228" s="79" t="s">
        <v>156</v>
      </c>
      <c r="L1228" s="80" t="s">
        <v>157</v>
      </c>
      <c r="M1228" s="80" t="s">
        <v>158</v>
      </c>
      <c r="N1228" s="81" t="s">
        <v>254</v>
      </c>
      <c r="O1228" s="81" t="s">
        <v>151</v>
      </c>
      <c r="P1228" s="81" t="s">
        <v>160</v>
      </c>
      <c r="Q1228" s="81" t="s">
        <v>161</v>
      </c>
      <c r="R1228" s="81" t="s">
        <v>162</v>
      </c>
      <c r="S1228" s="81" t="s">
        <v>163</v>
      </c>
      <c r="T1228" s="81" t="s">
        <v>164</v>
      </c>
      <c r="U1228" s="81" t="s">
        <v>165</v>
      </c>
      <c r="V1228" s="81" t="s">
        <v>166</v>
      </c>
      <c r="W1228" s="81" t="s">
        <v>167</v>
      </c>
      <c r="X1228" s="81" t="s">
        <v>168</v>
      </c>
      <c r="Y1228" s="81" t="s">
        <v>169</v>
      </c>
      <c r="Z1228" s="81" t="s">
        <v>170</v>
      </c>
      <c r="AA1228" s="81" t="s">
        <v>171</v>
      </c>
      <c r="AB1228" s="81" t="s">
        <v>172</v>
      </c>
      <c r="AC1228" s="81" t="s">
        <v>173</v>
      </c>
      <c r="AD1228" s="81" t="s">
        <v>174</v>
      </c>
      <c r="AE1228" s="81" t="s">
        <v>175</v>
      </c>
      <c r="AF1228" s="81" t="s">
        <v>176</v>
      </c>
      <c r="AG1228" s="81" t="s">
        <v>177</v>
      </c>
      <c r="AH1228" s="81" t="s">
        <v>178</v>
      </c>
    </row>
    <row r="1229" hidden="1">
      <c r="A1229" s="109" t="s">
        <v>53</v>
      </c>
      <c r="B1229" s="93" t="s">
        <v>192</v>
      </c>
      <c r="C1229" s="94">
        <v>0.0</v>
      </c>
      <c r="D1229" s="94">
        <v>0.0</v>
      </c>
      <c r="E1229" s="96">
        <f t="shared" ref="E1229:E1234" si="931">SUM(L1229*I1229)/60</f>
        <v>0</v>
      </c>
      <c r="F1229" s="94">
        <v>0.0</v>
      </c>
      <c r="G1229" s="94">
        <v>0.0</v>
      </c>
      <c r="H1229" s="94">
        <v>0.0</v>
      </c>
      <c r="I1229" s="94">
        <v>0.0</v>
      </c>
      <c r="J1229" s="95">
        <f t="shared" ref="J1229:J1242" si="932">SUM(G1229-I1229)</f>
        <v>0</v>
      </c>
      <c r="K1229" s="87" t="str">
        <f t="shared" ref="K1229:K1242" si="933">SUM(G1229/I1229)</f>
        <v>#DIV/0!</v>
      </c>
      <c r="L1229" s="94">
        <v>0.0</v>
      </c>
      <c r="M1229" s="94">
        <v>0.0</v>
      </c>
      <c r="N1229" s="94" t="s">
        <v>255</v>
      </c>
      <c r="O1229" s="110" t="str">
        <f t="shared" ref="O1229:O1234" si="934">(E1229*N1229)</f>
        <v>#VALUE!</v>
      </c>
      <c r="P1229" s="94">
        <v>0.0</v>
      </c>
      <c r="Q1229" s="94">
        <v>0.0</v>
      </c>
      <c r="R1229" s="94">
        <v>0.0</v>
      </c>
      <c r="S1229" s="94">
        <v>0.0</v>
      </c>
      <c r="T1229" s="94">
        <v>0.0</v>
      </c>
      <c r="U1229" s="94">
        <v>0.0</v>
      </c>
      <c r="V1229" s="94">
        <v>0.0</v>
      </c>
      <c r="W1229" s="94">
        <v>0.0</v>
      </c>
      <c r="X1229" s="94">
        <v>0.0</v>
      </c>
      <c r="Y1229" s="94">
        <v>0.0</v>
      </c>
      <c r="Z1229" s="94">
        <v>0.0</v>
      </c>
      <c r="AA1229" s="94">
        <v>0.0</v>
      </c>
      <c r="AB1229" s="94">
        <v>0.0</v>
      </c>
      <c r="AC1229" s="94">
        <v>0.0</v>
      </c>
      <c r="AD1229" s="94">
        <v>0.0</v>
      </c>
      <c r="AE1229" s="94">
        <v>0.0</v>
      </c>
      <c r="AF1229" s="94">
        <v>0.0</v>
      </c>
      <c r="AG1229" s="94">
        <v>0.0</v>
      </c>
      <c r="AH1229" s="94">
        <v>0.0</v>
      </c>
    </row>
    <row r="1230" hidden="1">
      <c r="A1230" s="109" t="s">
        <v>53</v>
      </c>
      <c r="B1230" s="93" t="s">
        <v>193</v>
      </c>
      <c r="C1230" s="94">
        <v>0.0</v>
      </c>
      <c r="D1230" s="94">
        <v>0.0</v>
      </c>
      <c r="E1230" s="96">
        <f t="shared" si="931"/>
        <v>0</v>
      </c>
      <c r="F1230" s="94">
        <v>0.0</v>
      </c>
      <c r="G1230" s="94">
        <v>0.0</v>
      </c>
      <c r="H1230" s="94">
        <v>0.0</v>
      </c>
      <c r="I1230" s="94">
        <v>0.0</v>
      </c>
      <c r="J1230" s="95">
        <f t="shared" si="932"/>
        <v>0</v>
      </c>
      <c r="K1230" s="87" t="str">
        <f t="shared" si="933"/>
        <v>#DIV/0!</v>
      </c>
      <c r="L1230" s="94">
        <v>0.0</v>
      </c>
      <c r="M1230" s="94">
        <v>0.0</v>
      </c>
      <c r="N1230" s="94" t="s">
        <v>255</v>
      </c>
      <c r="O1230" s="110" t="str">
        <f t="shared" si="934"/>
        <v>#VALUE!</v>
      </c>
      <c r="P1230" s="94">
        <v>0.0</v>
      </c>
      <c r="Q1230" s="94">
        <v>0.0</v>
      </c>
      <c r="R1230" s="94">
        <v>0.0</v>
      </c>
      <c r="S1230" s="94">
        <v>0.0</v>
      </c>
      <c r="T1230" s="94">
        <v>0.0</v>
      </c>
      <c r="U1230" s="94">
        <v>0.0</v>
      </c>
      <c r="V1230" s="94">
        <v>0.0</v>
      </c>
      <c r="W1230" s="94">
        <v>0.0</v>
      </c>
      <c r="X1230" s="94">
        <v>0.0</v>
      </c>
      <c r="Y1230" s="94">
        <v>0.0</v>
      </c>
      <c r="Z1230" s="94">
        <v>0.0</v>
      </c>
      <c r="AA1230" s="94">
        <v>0.0</v>
      </c>
      <c r="AB1230" s="94">
        <v>0.0</v>
      </c>
      <c r="AC1230" s="94">
        <v>0.0</v>
      </c>
      <c r="AD1230" s="94">
        <v>0.0</v>
      </c>
      <c r="AE1230" s="94">
        <v>0.0</v>
      </c>
      <c r="AF1230" s="94">
        <v>0.0</v>
      </c>
      <c r="AG1230" s="94">
        <v>0.0</v>
      </c>
      <c r="AH1230" s="94">
        <v>0.0</v>
      </c>
    </row>
    <row r="1231" hidden="1">
      <c r="A1231" s="109" t="s">
        <v>53</v>
      </c>
      <c r="B1231" s="93" t="s">
        <v>194</v>
      </c>
      <c r="C1231" s="94">
        <v>0.0</v>
      </c>
      <c r="D1231" s="94">
        <v>0.0</v>
      </c>
      <c r="E1231" s="96">
        <f t="shared" si="931"/>
        <v>0</v>
      </c>
      <c r="F1231" s="94">
        <v>0.0</v>
      </c>
      <c r="G1231" s="94">
        <v>0.0</v>
      </c>
      <c r="H1231" s="94">
        <v>0.0</v>
      </c>
      <c r="I1231" s="94">
        <v>0.0</v>
      </c>
      <c r="J1231" s="95">
        <f t="shared" si="932"/>
        <v>0</v>
      </c>
      <c r="K1231" s="87" t="str">
        <f t="shared" si="933"/>
        <v>#DIV/0!</v>
      </c>
      <c r="L1231" s="94">
        <v>0.0</v>
      </c>
      <c r="M1231" s="94">
        <v>0.0</v>
      </c>
      <c r="N1231" s="94" t="s">
        <v>255</v>
      </c>
      <c r="O1231" s="110" t="str">
        <f t="shared" si="934"/>
        <v>#VALUE!</v>
      </c>
      <c r="P1231" s="94">
        <v>0.0</v>
      </c>
      <c r="Q1231" s="94">
        <v>0.0</v>
      </c>
      <c r="R1231" s="94">
        <v>0.0</v>
      </c>
      <c r="S1231" s="94">
        <v>0.0</v>
      </c>
      <c r="T1231" s="94">
        <v>0.0</v>
      </c>
      <c r="U1231" s="94">
        <v>0.0</v>
      </c>
      <c r="V1231" s="94">
        <v>0.0</v>
      </c>
      <c r="W1231" s="94">
        <v>0.0</v>
      </c>
      <c r="X1231" s="94">
        <v>0.0</v>
      </c>
      <c r="Y1231" s="94">
        <v>0.0</v>
      </c>
      <c r="Z1231" s="94">
        <v>0.0</v>
      </c>
      <c r="AA1231" s="94">
        <v>0.0</v>
      </c>
      <c r="AB1231" s="94">
        <v>0.0</v>
      </c>
      <c r="AC1231" s="94">
        <v>0.0</v>
      </c>
      <c r="AD1231" s="94">
        <v>0.0</v>
      </c>
      <c r="AE1231" s="94">
        <v>0.0</v>
      </c>
      <c r="AF1231" s="94">
        <v>0.0</v>
      </c>
      <c r="AG1231" s="94">
        <v>0.0</v>
      </c>
      <c r="AH1231" s="94">
        <v>0.0</v>
      </c>
    </row>
    <row r="1232" hidden="1">
      <c r="A1232" s="109" t="s">
        <v>53</v>
      </c>
      <c r="B1232" s="93" t="s">
        <v>195</v>
      </c>
      <c r="C1232" s="94">
        <v>0.0</v>
      </c>
      <c r="D1232" s="94">
        <v>0.0</v>
      </c>
      <c r="E1232" s="96">
        <f t="shared" si="931"/>
        <v>0</v>
      </c>
      <c r="F1232" s="94">
        <v>0.0</v>
      </c>
      <c r="G1232" s="94">
        <v>0.0</v>
      </c>
      <c r="H1232" s="94">
        <v>0.0</v>
      </c>
      <c r="I1232" s="94">
        <v>0.0</v>
      </c>
      <c r="J1232" s="95">
        <f t="shared" si="932"/>
        <v>0</v>
      </c>
      <c r="K1232" s="87" t="str">
        <f t="shared" si="933"/>
        <v>#DIV/0!</v>
      </c>
      <c r="L1232" s="94">
        <v>0.0</v>
      </c>
      <c r="M1232" s="94">
        <v>0.0</v>
      </c>
      <c r="N1232" s="94" t="s">
        <v>255</v>
      </c>
      <c r="O1232" s="110" t="str">
        <f t="shared" si="934"/>
        <v>#VALUE!</v>
      </c>
      <c r="P1232" s="94">
        <v>0.0</v>
      </c>
      <c r="Q1232" s="94">
        <v>0.0</v>
      </c>
      <c r="R1232" s="94">
        <v>0.0</v>
      </c>
      <c r="S1232" s="94">
        <v>0.0</v>
      </c>
      <c r="T1232" s="94">
        <v>0.0</v>
      </c>
      <c r="U1232" s="94">
        <v>0.0</v>
      </c>
      <c r="V1232" s="94">
        <v>0.0</v>
      </c>
      <c r="W1232" s="94">
        <v>0.0</v>
      </c>
      <c r="X1232" s="94">
        <v>0.0</v>
      </c>
      <c r="Y1232" s="94">
        <v>0.0</v>
      </c>
      <c r="Z1232" s="94">
        <v>0.0</v>
      </c>
      <c r="AA1232" s="94">
        <v>0.0</v>
      </c>
      <c r="AB1232" s="94">
        <v>0.0</v>
      </c>
      <c r="AC1232" s="94">
        <v>0.0</v>
      </c>
      <c r="AD1232" s="94">
        <v>0.0</v>
      </c>
      <c r="AE1232" s="94">
        <v>0.0</v>
      </c>
      <c r="AF1232" s="94">
        <v>0.0</v>
      </c>
      <c r="AG1232" s="94">
        <v>0.0</v>
      </c>
      <c r="AH1232" s="94">
        <v>0.0</v>
      </c>
    </row>
    <row r="1233" hidden="1">
      <c r="A1233" s="109" t="s">
        <v>53</v>
      </c>
      <c r="B1233" s="93" t="s">
        <v>196</v>
      </c>
      <c r="C1233" s="94">
        <v>0.0</v>
      </c>
      <c r="D1233" s="94">
        <v>0.0</v>
      </c>
      <c r="E1233" s="96">
        <f t="shared" si="931"/>
        <v>0</v>
      </c>
      <c r="F1233" s="94">
        <v>0.0</v>
      </c>
      <c r="G1233" s="94">
        <v>0.0</v>
      </c>
      <c r="H1233" s="94">
        <v>0.0</v>
      </c>
      <c r="I1233" s="94">
        <v>0.0</v>
      </c>
      <c r="J1233" s="95">
        <f t="shared" si="932"/>
        <v>0</v>
      </c>
      <c r="K1233" s="87" t="str">
        <f t="shared" si="933"/>
        <v>#DIV/0!</v>
      </c>
      <c r="L1233" s="94">
        <v>0.0</v>
      </c>
      <c r="M1233" s="94">
        <v>0.0</v>
      </c>
      <c r="N1233" s="94" t="s">
        <v>255</v>
      </c>
      <c r="O1233" s="110" t="str">
        <f t="shared" si="934"/>
        <v>#VALUE!</v>
      </c>
      <c r="P1233" s="94">
        <v>0.0</v>
      </c>
      <c r="Q1233" s="94">
        <v>0.0</v>
      </c>
      <c r="R1233" s="94">
        <v>0.0</v>
      </c>
      <c r="S1233" s="94">
        <v>0.0</v>
      </c>
      <c r="T1233" s="94">
        <v>0.0</v>
      </c>
      <c r="U1233" s="94">
        <v>0.0</v>
      </c>
      <c r="V1233" s="94">
        <v>0.0</v>
      </c>
      <c r="W1233" s="94">
        <v>0.0</v>
      </c>
      <c r="X1233" s="94">
        <v>0.0</v>
      </c>
      <c r="Y1233" s="94">
        <v>0.0</v>
      </c>
      <c r="Z1233" s="94">
        <v>0.0</v>
      </c>
      <c r="AA1233" s="94">
        <v>0.0</v>
      </c>
      <c r="AB1233" s="94">
        <v>0.0</v>
      </c>
      <c r="AC1233" s="94">
        <v>0.0</v>
      </c>
      <c r="AD1233" s="94">
        <v>0.0</v>
      </c>
      <c r="AE1233" s="94">
        <v>0.0</v>
      </c>
      <c r="AF1233" s="94">
        <v>0.0</v>
      </c>
      <c r="AG1233" s="94">
        <v>0.0</v>
      </c>
      <c r="AH1233" s="94">
        <v>0.0</v>
      </c>
    </row>
    <row r="1234" hidden="1">
      <c r="A1234" s="109" t="s">
        <v>53</v>
      </c>
      <c r="B1234" s="116"/>
      <c r="C1234" s="94">
        <v>0.0</v>
      </c>
      <c r="D1234" s="94">
        <v>0.0</v>
      </c>
      <c r="E1234" s="96">
        <f t="shared" si="931"/>
        <v>0</v>
      </c>
      <c r="F1234" s="94">
        <v>0.0</v>
      </c>
      <c r="G1234" s="94">
        <v>0.0</v>
      </c>
      <c r="H1234" s="94">
        <v>0.0</v>
      </c>
      <c r="I1234" s="94">
        <v>0.0</v>
      </c>
      <c r="J1234" s="95">
        <f t="shared" si="932"/>
        <v>0</v>
      </c>
      <c r="K1234" s="87" t="str">
        <f t="shared" si="933"/>
        <v>#DIV/0!</v>
      </c>
      <c r="L1234" s="94">
        <v>0.0</v>
      </c>
      <c r="M1234" s="94">
        <v>0.0</v>
      </c>
      <c r="N1234" s="94" t="s">
        <v>255</v>
      </c>
      <c r="O1234" s="110" t="str">
        <f t="shared" si="934"/>
        <v>#VALUE!</v>
      </c>
      <c r="P1234" s="94">
        <v>0.0</v>
      </c>
      <c r="Q1234" s="94">
        <v>0.0</v>
      </c>
      <c r="R1234" s="94">
        <v>0.0</v>
      </c>
      <c r="S1234" s="94">
        <v>0.0</v>
      </c>
      <c r="T1234" s="94">
        <v>0.0</v>
      </c>
      <c r="U1234" s="94">
        <v>0.0</v>
      </c>
      <c r="V1234" s="94">
        <v>0.0</v>
      </c>
      <c r="W1234" s="94">
        <v>0.0</v>
      </c>
      <c r="X1234" s="94">
        <v>0.0</v>
      </c>
      <c r="Y1234" s="94">
        <v>0.0</v>
      </c>
      <c r="Z1234" s="94">
        <v>0.0</v>
      </c>
      <c r="AA1234" s="94">
        <v>0.0</v>
      </c>
      <c r="AB1234" s="94">
        <v>0.0</v>
      </c>
      <c r="AC1234" s="94">
        <v>0.0</v>
      </c>
      <c r="AD1234" s="94">
        <v>0.0</v>
      </c>
      <c r="AE1234" s="94">
        <v>0.0</v>
      </c>
      <c r="AF1234" s="94">
        <v>0.0</v>
      </c>
      <c r="AG1234" s="94">
        <v>0.0</v>
      </c>
      <c r="AH1234" s="94">
        <v>0.0</v>
      </c>
    </row>
    <row r="1235" hidden="1">
      <c r="A1235" s="89"/>
      <c r="B1235" s="111"/>
      <c r="C1235" s="111">
        <f t="shared" ref="C1235:D1235" si="935">SUM(C1229:C1234)/4</f>
        <v>0</v>
      </c>
      <c r="D1235" s="111">
        <f t="shared" si="935"/>
        <v>0</v>
      </c>
      <c r="E1235" s="91">
        <f t="shared" ref="E1235:G1235" si="936">SUM(E1229:E1234)</f>
        <v>0</v>
      </c>
      <c r="F1235" s="111">
        <f t="shared" si="936"/>
        <v>0</v>
      </c>
      <c r="G1235" s="111">
        <f t="shared" si="936"/>
        <v>0</v>
      </c>
      <c r="H1235" s="111"/>
      <c r="I1235" s="111">
        <f>SUM(I1229:I1234)</f>
        <v>0</v>
      </c>
      <c r="J1235" s="111">
        <f t="shared" si="932"/>
        <v>0</v>
      </c>
      <c r="K1235" s="92" t="str">
        <f t="shared" si="933"/>
        <v>#DIV/0!</v>
      </c>
      <c r="L1235" s="111">
        <f t="shared" ref="L1235:M1235" si="937">SUM(L1229:L1234)</f>
        <v>0</v>
      </c>
      <c r="M1235" s="111">
        <f t="shared" si="937"/>
        <v>0</v>
      </c>
      <c r="N1235" s="111"/>
      <c r="O1235" s="112"/>
      <c r="P1235" s="111">
        <f t="shared" ref="P1235:AH1235" si="938">SUM(P1229:P1234)</f>
        <v>0</v>
      </c>
      <c r="Q1235" s="111">
        <f t="shared" si="938"/>
        <v>0</v>
      </c>
      <c r="R1235" s="111">
        <f t="shared" si="938"/>
        <v>0</v>
      </c>
      <c r="S1235" s="111">
        <f t="shared" si="938"/>
        <v>0</v>
      </c>
      <c r="T1235" s="111">
        <f t="shared" si="938"/>
        <v>0</v>
      </c>
      <c r="U1235" s="111">
        <f t="shared" si="938"/>
        <v>0</v>
      </c>
      <c r="V1235" s="111">
        <f t="shared" si="938"/>
        <v>0</v>
      </c>
      <c r="W1235" s="111">
        <f t="shared" si="938"/>
        <v>0</v>
      </c>
      <c r="X1235" s="111">
        <f t="shared" si="938"/>
        <v>0</v>
      </c>
      <c r="Y1235" s="111">
        <f t="shared" si="938"/>
        <v>0</v>
      </c>
      <c r="Z1235" s="111">
        <f t="shared" si="938"/>
        <v>0</v>
      </c>
      <c r="AA1235" s="111">
        <f t="shared" si="938"/>
        <v>0</v>
      </c>
      <c r="AB1235" s="111">
        <f t="shared" si="938"/>
        <v>0</v>
      </c>
      <c r="AC1235" s="111">
        <f t="shared" si="938"/>
        <v>0</v>
      </c>
      <c r="AD1235" s="111">
        <f t="shared" si="938"/>
        <v>0</v>
      </c>
      <c r="AE1235" s="111">
        <f t="shared" si="938"/>
        <v>0</v>
      </c>
      <c r="AF1235" s="111">
        <f t="shared" si="938"/>
        <v>0</v>
      </c>
      <c r="AG1235" s="111">
        <f t="shared" si="938"/>
        <v>0</v>
      </c>
      <c r="AH1235" s="111">
        <f t="shared" si="938"/>
        <v>0</v>
      </c>
    </row>
    <row r="1236" hidden="1">
      <c r="A1236" s="109" t="s">
        <v>40</v>
      </c>
      <c r="B1236" s="93" t="s">
        <v>216</v>
      </c>
      <c r="C1236" s="94">
        <v>0.0</v>
      </c>
      <c r="D1236" s="94">
        <v>0.0</v>
      </c>
      <c r="E1236" s="96">
        <f t="shared" ref="E1236:E1241" si="939">SUM(L1236*I1236)/60</f>
        <v>0</v>
      </c>
      <c r="F1236" s="94">
        <v>0.0</v>
      </c>
      <c r="G1236" s="94">
        <v>0.0</v>
      </c>
      <c r="H1236" s="94">
        <v>0.0</v>
      </c>
      <c r="I1236" s="94">
        <v>0.0</v>
      </c>
      <c r="J1236" s="95">
        <f t="shared" si="932"/>
        <v>0</v>
      </c>
      <c r="K1236" s="87" t="str">
        <f t="shared" si="933"/>
        <v>#DIV/0!</v>
      </c>
      <c r="L1236" s="94">
        <v>0.0</v>
      </c>
      <c r="M1236" s="94">
        <v>0.0</v>
      </c>
      <c r="N1236" s="94" t="s">
        <v>255</v>
      </c>
      <c r="O1236" s="110" t="str">
        <f t="shared" ref="O1236:O1241" si="940">(E1236*N1236)</f>
        <v>#VALUE!</v>
      </c>
      <c r="P1236" s="94">
        <v>0.0</v>
      </c>
      <c r="Q1236" s="94">
        <v>0.0</v>
      </c>
      <c r="R1236" s="94">
        <v>0.0</v>
      </c>
      <c r="S1236" s="94">
        <v>0.0</v>
      </c>
      <c r="T1236" s="94">
        <v>0.0</v>
      </c>
      <c r="U1236" s="94">
        <v>0.0</v>
      </c>
      <c r="V1236" s="94">
        <v>0.0</v>
      </c>
      <c r="W1236" s="94">
        <v>0.0</v>
      </c>
      <c r="X1236" s="94">
        <v>0.0</v>
      </c>
      <c r="Y1236" s="94">
        <v>0.0</v>
      </c>
      <c r="Z1236" s="94">
        <v>0.0</v>
      </c>
      <c r="AA1236" s="94">
        <v>0.0</v>
      </c>
      <c r="AB1236" s="94">
        <v>0.0</v>
      </c>
      <c r="AC1236" s="94">
        <v>0.0</v>
      </c>
      <c r="AD1236" s="94">
        <v>0.0</v>
      </c>
      <c r="AE1236" s="94">
        <v>0.0</v>
      </c>
      <c r="AF1236" s="94">
        <v>0.0</v>
      </c>
      <c r="AG1236" s="94">
        <v>0.0</v>
      </c>
      <c r="AH1236" s="94">
        <v>0.0</v>
      </c>
    </row>
    <row r="1237" hidden="1">
      <c r="A1237" s="109" t="s">
        <v>40</v>
      </c>
      <c r="B1237" s="93" t="s">
        <v>217</v>
      </c>
      <c r="C1237" s="94">
        <v>0.0</v>
      </c>
      <c r="D1237" s="94">
        <v>0.0</v>
      </c>
      <c r="E1237" s="96">
        <f t="shared" si="939"/>
        <v>0</v>
      </c>
      <c r="F1237" s="94">
        <v>0.0</v>
      </c>
      <c r="G1237" s="94">
        <v>0.0</v>
      </c>
      <c r="H1237" s="94">
        <v>0.0</v>
      </c>
      <c r="I1237" s="94">
        <v>0.0</v>
      </c>
      <c r="J1237" s="95">
        <f t="shared" si="932"/>
        <v>0</v>
      </c>
      <c r="K1237" s="87" t="str">
        <f t="shared" si="933"/>
        <v>#DIV/0!</v>
      </c>
      <c r="L1237" s="94">
        <v>0.0</v>
      </c>
      <c r="M1237" s="94">
        <v>0.0</v>
      </c>
      <c r="N1237" s="94" t="s">
        <v>255</v>
      </c>
      <c r="O1237" s="110" t="str">
        <f t="shared" si="940"/>
        <v>#VALUE!</v>
      </c>
      <c r="P1237" s="94">
        <v>0.0</v>
      </c>
      <c r="Q1237" s="94">
        <v>0.0</v>
      </c>
      <c r="R1237" s="94">
        <v>0.0</v>
      </c>
      <c r="S1237" s="94">
        <v>0.0</v>
      </c>
      <c r="T1237" s="94">
        <v>0.0</v>
      </c>
      <c r="U1237" s="94">
        <v>0.0</v>
      </c>
      <c r="V1237" s="94">
        <v>0.0</v>
      </c>
      <c r="W1237" s="94">
        <v>0.0</v>
      </c>
      <c r="X1237" s="94">
        <v>0.0</v>
      </c>
      <c r="Y1237" s="94">
        <v>0.0</v>
      </c>
      <c r="Z1237" s="94">
        <v>0.0</v>
      </c>
      <c r="AA1237" s="94">
        <v>0.0</v>
      </c>
      <c r="AB1237" s="94">
        <v>0.0</v>
      </c>
      <c r="AC1237" s="94">
        <v>0.0</v>
      </c>
      <c r="AD1237" s="94">
        <v>0.0</v>
      </c>
      <c r="AE1237" s="94">
        <v>0.0</v>
      </c>
      <c r="AF1237" s="94">
        <v>0.0</v>
      </c>
      <c r="AG1237" s="94">
        <v>0.0</v>
      </c>
      <c r="AH1237" s="94">
        <v>0.0</v>
      </c>
    </row>
    <row r="1238" hidden="1">
      <c r="A1238" s="109" t="s">
        <v>40</v>
      </c>
      <c r="B1238" s="93" t="s">
        <v>218</v>
      </c>
      <c r="C1238" s="94">
        <v>0.0</v>
      </c>
      <c r="D1238" s="94">
        <v>0.0</v>
      </c>
      <c r="E1238" s="96">
        <f t="shared" si="939"/>
        <v>0</v>
      </c>
      <c r="F1238" s="94">
        <v>0.0</v>
      </c>
      <c r="G1238" s="94">
        <v>0.0</v>
      </c>
      <c r="H1238" s="94">
        <v>0.0</v>
      </c>
      <c r="I1238" s="94">
        <v>0.0</v>
      </c>
      <c r="J1238" s="95">
        <f t="shared" si="932"/>
        <v>0</v>
      </c>
      <c r="K1238" s="87" t="str">
        <f t="shared" si="933"/>
        <v>#DIV/0!</v>
      </c>
      <c r="L1238" s="94">
        <v>0.0</v>
      </c>
      <c r="M1238" s="94">
        <v>0.0</v>
      </c>
      <c r="N1238" s="94" t="s">
        <v>255</v>
      </c>
      <c r="O1238" s="110" t="str">
        <f t="shared" si="940"/>
        <v>#VALUE!</v>
      </c>
      <c r="P1238" s="94">
        <v>0.0</v>
      </c>
      <c r="Q1238" s="94">
        <v>0.0</v>
      </c>
      <c r="R1238" s="94">
        <v>0.0</v>
      </c>
      <c r="S1238" s="94">
        <v>0.0</v>
      </c>
      <c r="T1238" s="94">
        <v>0.0</v>
      </c>
      <c r="U1238" s="94">
        <v>0.0</v>
      </c>
      <c r="V1238" s="94">
        <v>0.0</v>
      </c>
      <c r="W1238" s="94">
        <v>0.0</v>
      </c>
      <c r="X1238" s="94">
        <v>0.0</v>
      </c>
      <c r="Y1238" s="94">
        <v>0.0</v>
      </c>
      <c r="Z1238" s="94">
        <v>0.0</v>
      </c>
      <c r="AA1238" s="94">
        <v>0.0</v>
      </c>
      <c r="AB1238" s="94">
        <v>0.0</v>
      </c>
      <c r="AC1238" s="94">
        <v>0.0</v>
      </c>
      <c r="AD1238" s="94">
        <v>0.0</v>
      </c>
      <c r="AE1238" s="94">
        <v>0.0</v>
      </c>
      <c r="AF1238" s="94">
        <v>0.0</v>
      </c>
      <c r="AG1238" s="94">
        <v>0.0</v>
      </c>
      <c r="AH1238" s="94">
        <v>0.0</v>
      </c>
    </row>
    <row r="1239" hidden="1">
      <c r="A1239" s="109" t="s">
        <v>40</v>
      </c>
      <c r="B1239" s="93" t="s">
        <v>219</v>
      </c>
      <c r="C1239" s="94">
        <v>0.0</v>
      </c>
      <c r="D1239" s="94">
        <v>0.0</v>
      </c>
      <c r="E1239" s="96">
        <f t="shared" si="939"/>
        <v>0</v>
      </c>
      <c r="F1239" s="94">
        <v>0.0</v>
      </c>
      <c r="G1239" s="94">
        <v>0.0</v>
      </c>
      <c r="H1239" s="94">
        <v>0.0</v>
      </c>
      <c r="I1239" s="94">
        <v>0.0</v>
      </c>
      <c r="J1239" s="95">
        <f t="shared" si="932"/>
        <v>0</v>
      </c>
      <c r="K1239" s="87" t="str">
        <f t="shared" si="933"/>
        <v>#DIV/0!</v>
      </c>
      <c r="L1239" s="94">
        <v>0.0</v>
      </c>
      <c r="M1239" s="94">
        <v>0.0</v>
      </c>
      <c r="N1239" s="94" t="s">
        <v>255</v>
      </c>
      <c r="O1239" s="110" t="str">
        <f t="shared" si="940"/>
        <v>#VALUE!</v>
      </c>
      <c r="P1239" s="94">
        <v>0.0</v>
      </c>
      <c r="Q1239" s="94">
        <v>0.0</v>
      </c>
      <c r="R1239" s="94">
        <v>0.0</v>
      </c>
      <c r="S1239" s="94">
        <v>0.0</v>
      </c>
      <c r="T1239" s="94">
        <v>0.0</v>
      </c>
      <c r="U1239" s="94">
        <v>0.0</v>
      </c>
      <c r="V1239" s="94">
        <v>0.0</v>
      </c>
      <c r="W1239" s="94">
        <v>0.0</v>
      </c>
      <c r="X1239" s="94">
        <v>0.0</v>
      </c>
      <c r="Y1239" s="94">
        <v>0.0</v>
      </c>
      <c r="Z1239" s="94">
        <v>0.0</v>
      </c>
      <c r="AA1239" s="94">
        <v>0.0</v>
      </c>
      <c r="AB1239" s="94">
        <v>0.0</v>
      </c>
      <c r="AC1239" s="94">
        <v>0.0</v>
      </c>
      <c r="AD1239" s="94">
        <v>0.0</v>
      </c>
      <c r="AE1239" s="94">
        <v>0.0</v>
      </c>
      <c r="AF1239" s="94">
        <v>0.0</v>
      </c>
      <c r="AG1239" s="94">
        <v>0.0</v>
      </c>
      <c r="AH1239" s="94">
        <v>0.0</v>
      </c>
    </row>
    <row r="1240" hidden="1">
      <c r="A1240" s="109" t="s">
        <v>40</v>
      </c>
      <c r="B1240" s="93" t="s">
        <v>220</v>
      </c>
      <c r="C1240" s="94">
        <v>0.0</v>
      </c>
      <c r="D1240" s="94">
        <v>0.0</v>
      </c>
      <c r="E1240" s="96">
        <f t="shared" si="939"/>
        <v>0</v>
      </c>
      <c r="F1240" s="94">
        <v>0.0</v>
      </c>
      <c r="G1240" s="94">
        <v>0.0</v>
      </c>
      <c r="H1240" s="94">
        <v>0.0</v>
      </c>
      <c r="I1240" s="94">
        <v>0.0</v>
      </c>
      <c r="J1240" s="95">
        <f t="shared" si="932"/>
        <v>0</v>
      </c>
      <c r="K1240" s="87" t="str">
        <f t="shared" si="933"/>
        <v>#DIV/0!</v>
      </c>
      <c r="L1240" s="94">
        <v>0.0</v>
      </c>
      <c r="M1240" s="94">
        <v>0.0</v>
      </c>
      <c r="N1240" s="94" t="s">
        <v>255</v>
      </c>
      <c r="O1240" s="110" t="str">
        <f t="shared" si="940"/>
        <v>#VALUE!</v>
      </c>
      <c r="P1240" s="94">
        <v>0.0</v>
      </c>
      <c r="Q1240" s="94">
        <v>0.0</v>
      </c>
      <c r="R1240" s="94">
        <v>0.0</v>
      </c>
      <c r="S1240" s="94">
        <v>0.0</v>
      </c>
      <c r="T1240" s="94">
        <v>0.0</v>
      </c>
      <c r="U1240" s="94">
        <v>0.0</v>
      </c>
      <c r="V1240" s="94">
        <v>0.0</v>
      </c>
      <c r="W1240" s="94">
        <v>0.0</v>
      </c>
      <c r="X1240" s="94">
        <v>0.0</v>
      </c>
      <c r="Y1240" s="94">
        <v>0.0</v>
      </c>
      <c r="Z1240" s="94">
        <v>0.0</v>
      </c>
      <c r="AA1240" s="94">
        <v>0.0</v>
      </c>
      <c r="AB1240" s="94">
        <v>0.0</v>
      </c>
      <c r="AC1240" s="94">
        <v>0.0</v>
      </c>
      <c r="AD1240" s="94">
        <v>0.0</v>
      </c>
      <c r="AE1240" s="94">
        <v>0.0</v>
      </c>
      <c r="AF1240" s="94">
        <v>0.0</v>
      </c>
      <c r="AG1240" s="94">
        <v>0.0</v>
      </c>
      <c r="AH1240" s="94">
        <v>0.0</v>
      </c>
    </row>
    <row r="1241" hidden="1">
      <c r="A1241" s="109" t="s">
        <v>214</v>
      </c>
      <c r="B1241" s="93" t="s">
        <v>189</v>
      </c>
      <c r="C1241" s="94">
        <v>0.0</v>
      </c>
      <c r="D1241" s="94">
        <v>0.0</v>
      </c>
      <c r="E1241" s="96">
        <f t="shared" si="939"/>
        <v>0</v>
      </c>
      <c r="F1241" s="94">
        <v>0.0</v>
      </c>
      <c r="G1241" s="94">
        <v>0.0</v>
      </c>
      <c r="H1241" s="94">
        <v>0.0</v>
      </c>
      <c r="I1241" s="94">
        <v>0.0</v>
      </c>
      <c r="J1241" s="95">
        <f t="shared" si="932"/>
        <v>0</v>
      </c>
      <c r="K1241" s="87" t="str">
        <f t="shared" si="933"/>
        <v>#DIV/0!</v>
      </c>
      <c r="L1241" s="94">
        <v>0.0</v>
      </c>
      <c r="M1241" s="94">
        <v>0.0</v>
      </c>
      <c r="N1241" s="94" t="s">
        <v>255</v>
      </c>
      <c r="O1241" s="110" t="str">
        <f t="shared" si="940"/>
        <v>#VALUE!</v>
      </c>
      <c r="P1241" s="94">
        <v>0.0</v>
      </c>
      <c r="Q1241" s="94">
        <v>0.0</v>
      </c>
      <c r="R1241" s="94">
        <v>0.0</v>
      </c>
      <c r="S1241" s="94">
        <v>0.0</v>
      </c>
      <c r="T1241" s="94">
        <v>0.0</v>
      </c>
      <c r="U1241" s="94">
        <v>0.0</v>
      </c>
      <c r="V1241" s="94">
        <v>0.0</v>
      </c>
      <c r="W1241" s="94">
        <v>0.0</v>
      </c>
      <c r="X1241" s="94">
        <v>0.0</v>
      </c>
      <c r="Y1241" s="94">
        <v>0.0</v>
      </c>
      <c r="Z1241" s="94">
        <v>0.0</v>
      </c>
      <c r="AA1241" s="94">
        <v>0.0</v>
      </c>
      <c r="AB1241" s="94">
        <v>0.0</v>
      </c>
      <c r="AC1241" s="94">
        <v>0.0</v>
      </c>
      <c r="AD1241" s="94">
        <v>0.0</v>
      </c>
      <c r="AE1241" s="94">
        <v>0.0</v>
      </c>
      <c r="AF1241" s="94">
        <v>0.0</v>
      </c>
      <c r="AG1241" s="94">
        <v>0.0</v>
      </c>
      <c r="AH1241" s="94">
        <v>0.0</v>
      </c>
    </row>
    <row r="1242" hidden="1">
      <c r="A1242" s="89" t="s">
        <v>185</v>
      </c>
      <c r="B1242" s="111"/>
      <c r="C1242" s="111">
        <f>SUM(C1236:C1241)</f>
        <v>0</v>
      </c>
      <c r="D1242" s="111">
        <f t="shared" ref="D1242:E1242" si="941">SUM(D1236:D1241)/4</f>
        <v>0</v>
      </c>
      <c r="E1242" s="91">
        <f t="shared" si="941"/>
        <v>0</v>
      </c>
      <c r="F1242" s="111">
        <f t="shared" ref="F1242:G1242" si="942">SUM(F1236:F1241)</f>
        <v>0</v>
      </c>
      <c r="G1242" s="111">
        <f t="shared" si="942"/>
        <v>0</v>
      </c>
      <c r="H1242" s="111"/>
      <c r="I1242" s="111">
        <f>SUM(I1236:I1241)</f>
        <v>0</v>
      </c>
      <c r="J1242" s="111">
        <f t="shared" si="932"/>
        <v>0</v>
      </c>
      <c r="K1242" s="92" t="str">
        <f t="shared" si="933"/>
        <v>#DIV/0!</v>
      </c>
      <c r="L1242" s="111">
        <f t="shared" ref="L1242:M1242" si="943">SUM(L1236:L1241)</f>
        <v>0</v>
      </c>
      <c r="M1242" s="111">
        <f t="shared" si="943"/>
        <v>0</v>
      </c>
      <c r="N1242" s="111"/>
      <c r="O1242" s="112"/>
      <c r="P1242" s="111">
        <f t="shared" ref="P1242:AH1242" si="944">SUM(P1236:P1241)</f>
        <v>0</v>
      </c>
      <c r="Q1242" s="111">
        <f t="shared" si="944"/>
        <v>0</v>
      </c>
      <c r="R1242" s="111">
        <f t="shared" si="944"/>
        <v>0</v>
      </c>
      <c r="S1242" s="111">
        <f t="shared" si="944"/>
        <v>0</v>
      </c>
      <c r="T1242" s="111">
        <f t="shared" si="944"/>
        <v>0</v>
      </c>
      <c r="U1242" s="111">
        <f t="shared" si="944"/>
        <v>0</v>
      </c>
      <c r="V1242" s="111">
        <f t="shared" si="944"/>
        <v>0</v>
      </c>
      <c r="W1242" s="111">
        <f t="shared" si="944"/>
        <v>0</v>
      </c>
      <c r="X1242" s="111">
        <f t="shared" si="944"/>
        <v>0</v>
      </c>
      <c r="Y1242" s="111">
        <f t="shared" si="944"/>
        <v>0</v>
      </c>
      <c r="Z1242" s="111">
        <f t="shared" si="944"/>
        <v>0</v>
      </c>
      <c r="AA1242" s="111">
        <f t="shared" si="944"/>
        <v>0</v>
      </c>
      <c r="AB1242" s="111">
        <f t="shared" si="944"/>
        <v>0</v>
      </c>
      <c r="AC1242" s="111">
        <f t="shared" si="944"/>
        <v>0</v>
      </c>
      <c r="AD1242" s="111">
        <f t="shared" si="944"/>
        <v>0</v>
      </c>
      <c r="AE1242" s="111">
        <f t="shared" si="944"/>
        <v>0</v>
      </c>
      <c r="AF1242" s="111">
        <f t="shared" si="944"/>
        <v>0</v>
      </c>
      <c r="AG1242" s="111">
        <f t="shared" si="944"/>
        <v>0</v>
      </c>
      <c r="AH1242" s="111">
        <f t="shared" si="944"/>
        <v>0</v>
      </c>
    </row>
    <row r="1243">
      <c r="A1243" s="104" t="s">
        <v>325</v>
      </c>
    </row>
    <row r="1245" hidden="1">
      <c r="A1245" s="105"/>
      <c r="F1245" s="106" t="s">
        <v>251</v>
      </c>
      <c r="L1245" s="107" t="s">
        <v>252</v>
      </c>
      <c r="N1245" s="108" t="s">
        <v>253</v>
      </c>
    </row>
    <row r="1246" hidden="1">
      <c r="A1246" s="76" t="s">
        <v>148</v>
      </c>
      <c r="B1246" s="76" t="s">
        <v>149</v>
      </c>
      <c r="C1246" s="76" t="s">
        <v>150</v>
      </c>
      <c r="D1246" s="76" t="s">
        <v>13</v>
      </c>
      <c r="E1246" s="77" t="s">
        <v>151</v>
      </c>
      <c r="F1246" s="78" t="s">
        <v>15</v>
      </c>
      <c r="G1246" s="78" t="s">
        <v>152</v>
      </c>
      <c r="H1246" s="78" t="s">
        <v>153</v>
      </c>
      <c r="I1246" s="78" t="s">
        <v>154</v>
      </c>
      <c r="J1246" s="78" t="s">
        <v>155</v>
      </c>
      <c r="K1246" s="79" t="s">
        <v>156</v>
      </c>
      <c r="L1246" s="80" t="s">
        <v>157</v>
      </c>
      <c r="M1246" s="80" t="s">
        <v>158</v>
      </c>
      <c r="N1246" s="81" t="s">
        <v>254</v>
      </c>
      <c r="O1246" s="81" t="s">
        <v>151</v>
      </c>
      <c r="P1246" s="81" t="s">
        <v>160</v>
      </c>
      <c r="Q1246" s="81" t="s">
        <v>161</v>
      </c>
      <c r="R1246" s="81" t="s">
        <v>162</v>
      </c>
      <c r="S1246" s="81" t="s">
        <v>163</v>
      </c>
      <c r="T1246" s="81" t="s">
        <v>164</v>
      </c>
      <c r="U1246" s="81" t="s">
        <v>165</v>
      </c>
      <c r="V1246" s="81" t="s">
        <v>166</v>
      </c>
      <c r="W1246" s="81" t="s">
        <v>167</v>
      </c>
      <c r="X1246" s="81" t="s">
        <v>168</v>
      </c>
      <c r="Y1246" s="81" t="s">
        <v>169</v>
      </c>
      <c r="Z1246" s="81" t="s">
        <v>170</v>
      </c>
      <c r="AA1246" s="81" t="s">
        <v>171</v>
      </c>
      <c r="AB1246" s="81" t="s">
        <v>172</v>
      </c>
      <c r="AC1246" s="81" t="s">
        <v>173</v>
      </c>
      <c r="AD1246" s="81" t="s">
        <v>174</v>
      </c>
      <c r="AE1246" s="81" t="s">
        <v>175</v>
      </c>
      <c r="AF1246" s="81" t="s">
        <v>176</v>
      </c>
      <c r="AG1246" s="81" t="s">
        <v>177</v>
      </c>
      <c r="AH1246" s="81" t="s">
        <v>178</v>
      </c>
    </row>
    <row r="1247" hidden="1">
      <c r="A1247" s="109" t="s">
        <v>44</v>
      </c>
      <c r="B1247" s="93" t="s">
        <v>186</v>
      </c>
      <c r="C1247" s="85">
        <v>1.0</v>
      </c>
      <c r="D1247" s="94">
        <v>0.0</v>
      </c>
      <c r="E1247" s="96">
        <f t="shared" ref="E1247:E1252" si="945">SUM(L1247*I1247)/60</f>
        <v>28.4</v>
      </c>
      <c r="F1247" s="94">
        <v>0.0</v>
      </c>
      <c r="G1247" s="85">
        <v>105.0</v>
      </c>
      <c r="H1247" s="94">
        <v>0.0</v>
      </c>
      <c r="I1247" s="85">
        <v>142.0</v>
      </c>
      <c r="J1247" s="95">
        <f t="shared" ref="J1247:J1260" si="946">SUM(G1247-I1247)</f>
        <v>-37</v>
      </c>
      <c r="K1247" s="87">
        <f t="shared" ref="K1247:K1260" si="947">SUM(G1247/I1247)</f>
        <v>0.7394366197</v>
      </c>
      <c r="L1247" s="85">
        <v>12.0</v>
      </c>
      <c r="M1247" s="85">
        <v>122.0</v>
      </c>
      <c r="N1247" s="85">
        <v>1.0</v>
      </c>
      <c r="O1247" s="110">
        <f t="shared" ref="O1247:O1252" si="948">(E1247*N1247)</f>
        <v>28.4</v>
      </c>
      <c r="P1247" s="85">
        <v>0.0</v>
      </c>
      <c r="Q1247" s="94">
        <v>0.0</v>
      </c>
      <c r="R1247" s="85">
        <v>10.0</v>
      </c>
      <c r="S1247" s="85">
        <v>0.0</v>
      </c>
      <c r="T1247" s="85">
        <v>11.0</v>
      </c>
      <c r="U1247" s="85">
        <v>0.0</v>
      </c>
      <c r="V1247" s="94">
        <v>0.0</v>
      </c>
      <c r="W1247" s="94">
        <v>0.0</v>
      </c>
      <c r="X1247" s="94">
        <v>0.0</v>
      </c>
      <c r="Y1247" s="94">
        <v>0.0</v>
      </c>
      <c r="Z1247" s="94">
        <v>0.0</v>
      </c>
      <c r="AA1247" s="94">
        <v>0.0</v>
      </c>
      <c r="AB1247" s="94">
        <v>0.0</v>
      </c>
      <c r="AC1247" s="85">
        <v>0.0</v>
      </c>
      <c r="AD1247" s="94">
        <v>0.0</v>
      </c>
      <c r="AE1247" s="94">
        <v>0.0</v>
      </c>
      <c r="AF1247" s="94">
        <v>0.0</v>
      </c>
      <c r="AG1247" s="94">
        <v>0.0</v>
      </c>
      <c r="AH1247" s="94">
        <v>0.0</v>
      </c>
    </row>
    <row r="1248" hidden="1">
      <c r="A1248" s="109" t="s">
        <v>44</v>
      </c>
      <c r="B1248" s="93" t="s">
        <v>187</v>
      </c>
      <c r="C1248" s="85">
        <v>1.0</v>
      </c>
      <c r="D1248" s="94">
        <v>0.0</v>
      </c>
      <c r="E1248" s="96">
        <f t="shared" si="945"/>
        <v>30.5</v>
      </c>
      <c r="F1248" s="94">
        <v>0.0</v>
      </c>
      <c r="G1248" s="85">
        <v>117.0</v>
      </c>
      <c r="H1248" s="94">
        <v>0.0</v>
      </c>
      <c r="I1248" s="85">
        <v>122.0</v>
      </c>
      <c r="J1248" s="95">
        <f t="shared" si="946"/>
        <v>-5</v>
      </c>
      <c r="K1248" s="87">
        <f t="shared" si="947"/>
        <v>0.9590163934</v>
      </c>
      <c r="L1248" s="85">
        <v>15.0</v>
      </c>
      <c r="M1248" s="85">
        <v>146.0</v>
      </c>
      <c r="N1248" s="85">
        <v>1.0</v>
      </c>
      <c r="O1248" s="110">
        <f t="shared" si="948"/>
        <v>30.5</v>
      </c>
      <c r="P1248" s="85">
        <v>3.0</v>
      </c>
      <c r="Q1248" s="94">
        <v>0.0</v>
      </c>
      <c r="R1248" s="85">
        <v>8.0</v>
      </c>
      <c r="S1248" s="85">
        <v>2.0</v>
      </c>
      <c r="T1248" s="85">
        <v>16.0</v>
      </c>
      <c r="U1248" s="85">
        <v>3.0</v>
      </c>
      <c r="V1248" s="85">
        <v>1.0</v>
      </c>
      <c r="W1248" s="94">
        <v>0.0</v>
      </c>
      <c r="X1248" s="94">
        <v>0.0</v>
      </c>
      <c r="Y1248" s="94">
        <v>0.0</v>
      </c>
      <c r="Z1248" s="94">
        <v>0.0</v>
      </c>
      <c r="AA1248" s="94">
        <v>0.0</v>
      </c>
      <c r="AB1248" s="94">
        <v>0.0</v>
      </c>
      <c r="AC1248" s="85">
        <v>2.0</v>
      </c>
      <c r="AD1248" s="94">
        <v>0.0</v>
      </c>
      <c r="AE1248" s="94">
        <v>0.0</v>
      </c>
      <c r="AF1248" s="94">
        <v>0.0</v>
      </c>
      <c r="AG1248" s="94">
        <v>0.0</v>
      </c>
      <c r="AH1248" s="94">
        <v>0.0</v>
      </c>
    </row>
    <row r="1249" hidden="1">
      <c r="A1249" s="109" t="s">
        <v>44</v>
      </c>
      <c r="B1249" s="93" t="s">
        <v>188</v>
      </c>
      <c r="C1249" s="85">
        <v>1.0</v>
      </c>
      <c r="D1249" s="94">
        <v>0.0</v>
      </c>
      <c r="E1249" s="96">
        <f t="shared" si="945"/>
        <v>32.96666667</v>
      </c>
      <c r="F1249" s="85">
        <v>3.0</v>
      </c>
      <c r="G1249" s="85">
        <v>82.0</v>
      </c>
      <c r="H1249" s="85">
        <v>1.0</v>
      </c>
      <c r="I1249" s="85">
        <v>86.0</v>
      </c>
      <c r="J1249" s="95">
        <f t="shared" si="946"/>
        <v>-4</v>
      </c>
      <c r="K1249" s="87">
        <f t="shared" si="947"/>
        <v>0.9534883721</v>
      </c>
      <c r="L1249" s="85">
        <v>23.0</v>
      </c>
      <c r="M1249" s="85">
        <v>106.0</v>
      </c>
      <c r="N1249" s="85">
        <v>1.0</v>
      </c>
      <c r="O1249" s="110">
        <f t="shared" si="948"/>
        <v>32.96666667</v>
      </c>
      <c r="P1249" s="85">
        <v>6.0</v>
      </c>
      <c r="Q1249" s="94">
        <v>0.0</v>
      </c>
      <c r="R1249" s="94">
        <v>0.0</v>
      </c>
      <c r="S1249" s="85">
        <v>4.0</v>
      </c>
      <c r="T1249" s="85">
        <v>8.0</v>
      </c>
      <c r="U1249" s="85">
        <v>2.0</v>
      </c>
      <c r="V1249" s="94">
        <v>0.0</v>
      </c>
      <c r="W1249" s="94">
        <v>0.0</v>
      </c>
      <c r="X1249" s="94">
        <v>0.0</v>
      </c>
      <c r="Y1249" s="94">
        <v>0.0</v>
      </c>
      <c r="Z1249" s="94">
        <v>0.0</v>
      </c>
      <c r="AA1249" s="94">
        <v>0.0</v>
      </c>
      <c r="AB1249" s="94">
        <v>0.0</v>
      </c>
      <c r="AC1249" s="85">
        <v>2.0</v>
      </c>
      <c r="AD1249" s="94">
        <v>0.0</v>
      </c>
      <c r="AE1249" s="94">
        <v>0.0</v>
      </c>
      <c r="AF1249" s="94">
        <v>0.0</v>
      </c>
      <c r="AG1249" s="94">
        <v>0.0</v>
      </c>
      <c r="AH1249" s="94">
        <v>0.0</v>
      </c>
    </row>
    <row r="1250" hidden="1">
      <c r="A1250" s="109" t="s">
        <v>44</v>
      </c>
      <c r="B1250" s="93" t="s">
        <v>189</v>
      </c>
      <c r="C1250" s="85">
        <v>1.0</v>
      </c>
      <c r="D1250" s="94">
        <v>0.0</v>
      </c>
      <c r="E1250" s="96">
        <f t="shared" si="945"/>
        <v>50.6</v>
      </c>
      <c r="F1250" s="94">
        <v>0.0</v>
      </c>
      <c r="G1250" s="85">
        <v>126.0</v>
      </c>
      <c r="H1250" s="94">
        <v>0.0</v>
      </c>
      <c r="I1250" s="85">
        <v>132.0</v>
      </c>
      <c r="J1250" s="95">
        <f t="shared" si="946"/>
        <v>-6</v>
      </c>
      <c r="K1250" s="87">
        <f t="shared" si="947"/>
        <v>0.9545454545</v>
      </c>
      <c r="L1250" s="85">
        <v>23.0</v>
      </c>
      <c r="M1250" s="85">
        <v>106.0</v>
      </c>
      <c r="N1250" s="85">
        <v>1.0</v>
      </c>
      <c r="O1250" s="110">
        <f t="shared" si="948"/>
        <v>50.6</v>
      </c>
      <c r="P1250" s="85">
        <v>3.0</v>
      </c>
      <c r="Q1250" s="85">
        <v>1.0</v>
      </c>
      <c r="R1250" s="85">
        <v>4.0</v>
      </c>
      <c r="S1250" s="85">
        <v>3.0</v>
      </c>
      <c r="T1250" s="85">
        <v>19.0</v>
      </c>
      <c r="U1250" s="85">
        <v>3.0</v>
      </c>
      <c r="V1250" s="94">
        <v>0.0</v>
      </c>
      <c r="W1250" s="94">
        <v>0.0</v>
      </c>
      <c r="X1250" s="94">
        <v>0.0</v>
      </c>
      <c r="Y1250" s="94">
        <v>0.0</v>
      </c>
      <c r="Z1250" s="94">
        <v>0.0</v>
      </c>
      <c r="AA1250" s="94">
        <v>0.0</v>
      </c>
      <c r="AB1250" s="94">
        <v>0.0</v>
      </c>
      <c r="AC1250" s="85">
        <v>3.0</v>
      </c>
      <c r="AD1250" s="94">
        <v>0.0</v>
      </c>
      <c r="AE1250" s="94">
        <v>0.0</v>
      </c>
      <c r="AF1250" s="94">
        <v>0.0</v>
      </c>
      <c r="AG1250" s="94">
        <v>0.0</v>
      </c>
      <c r="AH1250" s="94">
        <v>0.0</v>
      </c>
    </row>
    <row r="1251" hidden="1">
      <c r="A1251" s="109" t="s">
        <v>44</v>
      </c>
      <c r="B1251" s="93" t="s">
        <v>190</v>
      </c>
      <c r="C1251" s="94">
        <v>0.0</v>
      </c>
      <c r="D1251" s="94">
        <v>0.0</v>
      </c>
      <c r="E1251" s="96">
        <f t="shared" si="945"/>
        <v>0</v>
      </c>
      <c r="F1251" s="94">
        <v>0.0</v>
      </c>
      <c r="G1251" s="94">
        <v>0.0</v>
      </c>
      <c r="H1251" s="94">
        <v>0.0</v>
      </c>
      <c r="I1251" s="94">
        <v>0.0</v>
      </c>
      <c r="J1251" s="95">
        <f t="shared" si="946"/>
        <v>0</v>
      </c>
      <c r="K1251" s="87" t="str">
        <f t="shared" si="947"/>
        <v>#DIV/0!</v>
      </c>
      <c r="L1251" s="94">
        <v>0.0</v>
      </c>
      <c r="M1251" s="94">
        <v>0.0</v>
      </c>
      <c r="N1251" s="85">
        <v>0.0</v>
      </c>
      <c r="O1251" s="110">
        <f t="shared" si="948"/>
        <v>0</v>
      </c>
      <c r="P1251" s="94">
        <v>0.0</v>
      </c>
      <c r="Q1251" s="94">
        <v>0.0</v>
      </c>
      <c r="R1251" s="94">
        <v>0.0</v>
      </c>
      <c r="S1251" s="94">
        <v>0.0</v>
      </c>
      <c r="T1251" s="94">
        <v>0.0</v>
      </c>
      <c r="U1251" s="94">
        <v>0.0</v>
      </c>
      <c r="V1251" s="94">
        <v>0.0</v>
      </c>
      <c r="W1251" s="94">
        <v>0.0</v>
      </c>
      <c r="X1251" s="94">
        <v>0.0</v>
      </c>
      <c r="Y1251" s="94">
        <v>0.0</v>
      </c>
      <c r="Z1251" s="94">
        <v>0.0</v>
      </c>
      <c r="AA1251" s="94">
        <v>0.0</v>
      </c>
      <c r="AB1251" s="94">
        <v>0.0</v>
      </c>
      <c r="AC1251" s="94">
        <v>0.0</v>
      </c>
      <c r="AD1251" s="94">
        <v>0.0</v>
      </c>
      <c r="AE1251" s="94">
        <v>0.0</v>
      </c>
      <c r="AF1251" s="94">
        <v>0.0</v>
      </c>
      <c r="AG1251" s="94">
        <v>0.0</v>
      </c>
      <c r="AH1251" s="94">
        <v>0.0</v>
      </c>
    </row>
    <row r="1252" hidden="1">
      <c r="A1252" s="109" t="s">
        <v>44</v>
      </c>
      <c r="B1252" s="116"/>
      <c r="C1252" s="94">
        <v>0.0</v>
      </c>
      <c r="D1252" s="94">
        <v>0.0</v>
      </c>
      <c r="E1252" s="96">
        <f t="shared" si="945"/>
        <v>0</v>
      </c>
      <c r="F1252" s="94">
        <v>0.0</v>
      </c>
      <c r="G1252" s="94">
        <v>0.0</v>
      </c>
      <c r="H1252" s="94">
        <v>0.0</v>
      </c>
      <c r="I1252" s="94">
        <v>0.0</v>
      </c>
      <c r="J1252" s="95">
        <f t="shared" si="946"/>
        <v>0</v>
      </c>
      <c r="K1252" s="87" t="str">
        <f t="shared" si="947"/>
        <v>#DIV/0!</v>
      </c>
      <c r="L1252" s="94">
        <v>0.0</v>
      </c>
      <c r="M1252" s="94">
        <v>0.0</v>
      </c>
      <c r="N1252" s="85">
        <v>0.0</v>
      </c>
      <c r="O1252" s="110">
        <f t="shared" si="948"/>
        <v>0</v>
      </c>
      <c r="P1252" s="94">
        <v>0.0</v>
      </c>
      <c r="Q1252" s="94">
        <v>0.0</v>
      </c>
      <c r="R1252" s="94">
        <v>0.0</v>
      </c>
      <c r="S1252" s="94">
        <v>0.0</v>
      </c>
      <c r="T1252" s="94">
        <v>0.0</v>
      </c>
      <c r="U1252" s="94">
        <v>0.0</v>
      </c>
      <c r="V1252" s="94">
        <v>0.0</v>
      </c>
      <c r="W1252" s="94">
        <v>0.0</v>
      </c>
      <c r="X1252" s="94">
        <v>0.0</v>
      </c>
      <c r="Y1252" s="94">
        <v>0.0</v>
      </c>
      <c r="Z1252" s="94">
        <v>0.0</v>
      </c>
      <c r="AA1252" s="94">
        <v>0.0</v>
      </c>
      <c r="AB1252" s="94">
        <v>0.0</v>
      </c>
      <c r="AC1252" s="94">
        <v>0.0</v>
      </c>
      <c r="AD1252" s="94">
        <v>0.0</v>
      </c>
      <c r="AE1252" s="94">
        <v>0.0</v>
      </c>
      <c r="AF1252" s="94">
        <v>0.0</v>
      </c>
      <c r="AG1252" s="94">
        <v>0.0</v>
      </c>
      <c r="AH1252" s="94">
        <v>0.0</v>
      </c>
    </row>
    <row r="1253" hidden="1">
      <c r="A1253" s="89"/>
      <c r="B1253" s="111"/>
      <c r="C1253" s="111">
        <f t="shared" ref="C1253:D1253" si="949">SUM(C1247:C1252)/4</f>
        <v>1</v>
      </c>
      <c r="D1253" s="111">
        <f t="shared" si="949"/>
        <v>0</v>
      </c>
      <c r="E1253" s="91">
        <f t="shared" ref="E1253:G1253" si="950">SUM(E1247:E1252)</f>
        <v>142.4666667</v>
      </c>
      <c r="F1253" s="111">
        <f t="shared" si="950"/>
        <v>3</v>
      </c>
      <c r="G1253" s="111">
        <f t="shared" si="950"/>
        <v>430</v>
      </c>
      <c r="H1253" s="111"/>
      <c r="I1253" s="111">
        <f>SUM(I1247:I1252)</f>
        <v>482</v>
      </c>
      <c r="J1253" s="111">
        <f t="shared" si="946"/>
        <v>-52</v>
      </c>
      <c r="K1253" s="92">
        <f t="shared" si="947"/>
        <v>0.8921161826</v>
      </c>
      <c r="L1253" s="111">
        <f t="shared" ref="L1253:M1253" si="951">SUM(L1247:L1252)</f>
        <v>73</v>
      </c>
      <c r="M1253" s="111">
        <f t="shared" si="951"/>
        <v>480</v>
      </c>
      <c r="N1253" s="111"/>
      <c r="O1253" s="112"/>
      <c r="P1253" s="111">
        <f t="shared" ref="P1253:AH1253" si="952">SUM(P1247:P1252)</f>
        <v>12</v>
      </c>
      <c r="Q1253" s="111">
        <f t="shared" si="952"/>
        <v>1</v>
      </c>
      <c r="R1253" s="111">
        <f t="shared" si="952"/>
        <v>22</v>
      </c>
      <c r="S1253" s="111">
        <f t="shared" si="952"/>
        <v>9</v>
      </c>
      <c r="T1253" s="111">
        <f t="shared" si="952"/>
        <v>54</v>
      </c>
      <c r="U1253" s="111">
        <f t="shared" si="952"/>
        <v>8</v>
      </c>
      <c r="V1253" s="111">
        <f t="shared" si="952"/>
        <v>1</v>
      </c>
      <c r="W1253" s="111">
        <f t="shared" si="952"/>
        <v>0</v>
      </c>
      <c r="X1253" s="111">
        <f t="shared" si="952"/>
        <v>0</v>
      </c>
      <c r="Y1253" s="111">
        <f t="shared" si="952"/>
        <v>0</v>
      </c>
      <c r="Z1253" s="111">
        <f t="shared" si="952"/>
        <v>0</v>
      </c>
      <c r="AA1253" s="111">
        <f t="shared" si="952"/>
        <v>0</v>
      </c>
      <c r="AB1253" s="111">
        <f t="shared" si="952"/>
        <v>0</v>
      </c>
      <c r="AC1253" s="111">
        <f t="shared" si="952"/>
        <v>7</v>
      </c>
      <c r="AD1253" s="111">
        <f t="shared" si="952"/>
        <v>0</v>
      </c>
      <c r="AE1253" s="111">
        <f t="shared" si="952"/>
        <v>0</v>
      </c>
      <c r="AF1253" s="111">
        <f t="shared" si="952"/>
        <v>0</v>
      </c>
      <c r="AG1253" s="111">
        <f t="shared" si="952"/>
        <v>0</v>
      </c>
      <c r="AH1253" s="111">
        <f t="shared" si="952"/>
        <v>0</v>
      </c>
    </row>
    <row r="1254" hidden="1">
      <c r="A1254" s="109" t="s">
        <v>20</v>
      </c>
      <c r="B1254" s="93" t="s">
        <v>232</v>
      </c>
      <c r="C1254" s="85">
        <v>1.0</v>
      </c>
      <c r="D1254" s="85">
        <v>1.0</v>
      </c>
      <c r="E1254" s="96">
        <f t="shared" ref="E1254:E1259" si="953">SUM(L1254*I1254)/60</f>
        <v>30.4</v>
      </c>
      <c r="F1254" s="94">
        <v>0.0</v>
      </c>
      <c r="G1254" s="85">
        <v>164.0</v>
      </c>
      <c r="H1254" s="85">
        <v>3.0</v>
      </c>
      <c r="I1254" s="85">
        <v>114.0</v>
      </c>
      <c r="J1254" s="95">
        <f t="shared" si="946"/>
        <v>50</v>
      </c>
      <c r="K1254" s="87">
        <f t="shared" si="947"/>
        <v>1.438596491</v>
      </c>
      <c r="L1254" s="85">
        <v>16.0</v>
      </c>
      <c r="M1254" s="85">
        <v>222.0</v>
      </c>
      <c r="N1254" s="85">
        <v>1.0</v>
      </c>
      <c r="O1254" s="110">
        <f t="shared" ref="O1254:O1259" si="954">(E1254*N1254)</f>
        <v>30.4</v>
      </c>
      <c r="P1254" s="85">
        <v>4.0</v>
      </c>
      <c r="Q1254" s="85">
        <v>1.0</v>
      </c>
      <c r="R1254" s="85">
        <v>15.0</v>
      </c>
      <c r="S1254" s="85">
        <v>2.0</v>
      </c>
      <c r="T1254" s="85">
        <v>31.0</v>
      </c>
      <c r="U1254" s="85">
        <v>9.0</v>
      </c>
      <c r="V1254" s="85">
        <v>2.0</v>
      </c>
      <c r="W1254" s="85">
        <v>1.0</v>
      </c>
      <c r="X1254" s="94">
        <v>0.0</v>
      </c>
      <c r="Y1254" s="94">
        <v>0.0</v>
      </c>
      <c r="Z1254" s="94">
        <v>0.0</v>
      </c>
      <c r="AA1254" s="94">
        <v>0.0</v>
      </c>
      <c r="AB1254" s="94">
        <v>0.0</v>
      </c>
      <c r="AC1254" s="85">
        <v>6.0</v>
      </c>
      <c r="AD1254" s="94">
        <v>0.0</v>
      </c>
      <c r="AE1254" s="94">
        <v>0.0</v>
      </c>
      <c r="AF1254" s="94">
        <v>0.0</v>
      </c>
      <c r="AG1254" s="94">
        <v>0.0</v>
      </c>
      <c r="AH1254" s="94">
        <v>0.0</v>
      </c>
    </row>
    <row r="1255" hidden="1">
      <c r="A1255" s="109" t="s">
        <v>20</v>
      </c>
      <c r="B1255" s="93" t="s">
        <v>233</v>
      </c>
      <c r="C1255" s="85">
        <v>1.0</v>
      </c>
      <c r="D1255" s="85">
        <v>1.0</v>
      </c>
      <c r="E1255" s="96">
        <f t="shared" si="953"/>
        <v>30.1</v>
      </c>
      <c r="F1255" s="85">
        <v>1.0</v>
      </c>
      <c r="G1255" s="85">
        <v>131.0</v>
      </c>
      <c r="H1255" s="85">
        <v>1.0</v>
      </c>
      <c r="I1255" s="85">
        <v>129.0</v>
      </c>
      <c r="J1255" s="95">
        <f t="shared" si="946"/>
        <v>2</v>
      </c>
      <c r="K1255" s="87">
        <f t="shared" si="947"/>
        <v>1.015503876</v>
      </c>
      <c r="L1255" s="85">
        <v>14.0</v>
      </c>
      <c r="M1255" s="85">
        <v>175.0</v>
      </c>
      <c r="N1255" s="85">
        <v>1.0</v>
      </c>
      <c r="O1255" s="110">
        <f t="shared" si="954"/>
        <v>30.1</v>
      </c>
      <c r="P1255" s="85">
        <v>2.0</v>
      </c>
      <c r="Q1255" s="85">
        <v>1.0</v>
      </c>
      <c r="R1255" s="85">
        <v>15.0</v>
      </c>
      <c r="S1255" s="85">
        <v>1.0</v>
      </c>
      <c r="T1255" s="85">
        <v>17.0</v>
      </c>
      <c r="U1255" s="85">
        <v>6.0</v>
      </c>
      <c r="V1255" s="85">
        <v>3.0</v>
      </c>
      <c r="W1255" s="85">
        <v>2.0</v>
      </c>
      <c r="X1255" s="85">
        <v>1.0</v>
      </c>
      <c r="Y1255" s="85">
        <v>1.0</v>
      </c>
      <c r="Z1255" s="94">
        <v>0.0</v>
      </c>
      <c r="AA1255" s="94">
        <v>0.0</v>
      </c>
      <c r="AB1255" s="94">
        <v>0.0</v>
      </c>
      <c r="AC1255" s="85">
        <v>2.0</v>
      </c>
      <c r="AD1255" s="94">
        <v>0.0</v>
      </c>
      <c r="AE1255" s="94">
        <v>0.0</v>
      </c>
      <c r="AF1255" s="94">
        <v>0.0</v>
      </c>
      <c r="AG1255" s="94">
        <v>0.0</v>
      </c>
      <c r="AH1255" s="94">
        <v>0.0</v>
      </c>
    </row>
    <row r="1256" hidden="1">
      <c r="A1256" s="109" t="s">
        <v>20</v>
      </c>
      <c r="B1256" s="93" t="s">
        <v>234</v>
      </c>
      <c r="C1256" s="85">
        <v>1.0</v>
      </c>
      <c r="D1256" s="85">
        <v>1.0</v>
      </c>
      <c r="E1256" s="96">
        <f t="shared" si="953"/>
        <v>31.45</v>
      </c>
      <c r="F1256" s="85">
        <v>1.0</v>
      </c>
      <c r="G1256" s="85">
        <v>105.0</v>
      </c>
      <c r="H1256" s="94">
        <v>0.0</v>
      </c>
      <c r="I1256" s="85">
        <v>111.0</v>
      </c>
      <c r="J1256" s="95">
        <f t="shared" si="946"/>
        <v>-6</v>
      </c>
      <c r="K1256" s="87">
        <f t="shared" si="947"/>
        <v>0.9459459459</v>
      </c>
      <c r="L1256" s="85">
        <v>17.0</v>
      </c>
      <c r="M1256" s="85">
        <v>126.0</v>
      </c>
      <c r="N1256" s="85">
        <v>1.0</v>
      </c>
      <c r="O1256" s="110">
        <f t="shared" si="954"/>
        <v>31.45</v>
      </c>
      <c r="P1256" s="85">
        <v>4.0</v>
      </c>
      <c r="Q1256" s="85">
        <v>1.0</v>
      </c>
      <c r="R1256" s="85">
        <v>5.0</v>
      </c>
      <c r="S1256" s="85">
        <v>3.0</v>
      </c>
      <c r="T1256" s="85">
        <v>10.0</v>
      </c>
      <c r="U1256" s="85">
        <v>1.0</v>
      </c>
      <c r="V1256" s="94">
        <v>0.0</v>
      </c>
      <c r="W1256" s="94">
        <v>0.0</v>
      </c>
      <c r="X1256" s="94">
        <v>0.0</v>
      </c>
      <c r="Y1256" s="94">
        <v>0.0</v>
      </c>
      <c r="Z1256" s="94">
        <v>0.0</v>
      </c>
      <c r="AA1256" s="94">
        <v>0.0</v>
      </c>
      <c r="AB1256" s="94">
        <v>0.0</v>
      </c>
      <c r="AC1256" s="85">
        <v>1.0</v>
      </c>
      <c r="AD1256" s="94">
        <v>0.0</v>
      </c>
      <c r="AE1256" s="94">
        <v>0.0</v>
      </c>
      <c r="AF1256" s="94">
        <v>0.0</v>
      </c>
      <c r="AG1256" s="94">
        <v>0.0</v>
      </c>
      <c r="AH1256" s="94">
        <v>0.0</v>
      </c>
    </row>
    <row r="1257" hidden="1">
      <c r="A1257" s="109" t="s">
        <v>20</v>
      </c>
      <c r="B1257" s="93" t="s">
        <v>235</v>
      </c>
      <c r="C1257" s="85">
        <v>1.0</v>
      </c>
      <c r="D1257" s="85">
        <v>1.0</v>
      </c>
      <c r="E1257" s="96">
        <f t="shared" si="953"/>
        <v>32.26666667</v>
      </c>
      <c r="F1257" s="85">
        <v>3.0</v>
      </c>
      <c r="G1257" s="85">
        <v>73.0</v>
      </c>
      <c r="H1257" s="94">
        <v>0.0</v>
      </c>
      <c r="I1257" s="85">
        <v>88.0</v>
      </c>
      <c r="J1257" s="95">
        <f t="shared" si="946"/>
        <v>-15</v>
      </c>
      <c r="K1257" s="87">
        <f t="shared" si="947"/>
        <v>0.8295454545</v>
      </c>
      <c r="L1257" s="85">
        <v>22.0</v>
      </c>
      <c r="M1257" s="85">
        <v>88.0</v>
      </c>
      <c r="N1257" s="85">
        <v>1.0</v>
      </c>
      <c r="O1257" s="110">
        <f t="shared" si="954"/>
        <v>32.26666667</v>
      </c>
      <c r="P1257" s="85">
        <v>4.0</v>
      </c>
      <c r="Q1257" s="85">
        <v>1.0</v>
      </c>
      <c r="R1257" s="94">
        <v>0.0</v>
      </c>
      <c r="S1257" s="85">
        <v>1.0</v>
      </c>
      <c r="T1257" s="85">
        <v>7.0</v>
      </c>
      <c r="U1257" s="85">
        <v>1.0</v>
      </c>
      <c r="V1257" s="94">
        <v>0.0</v>
      </c>
      <c r="W1257" s="94">
        <v>0.0</v>
      </c>
      <c r="X1257" s="94">
        <v>0.0</v>
      </c>
      <c r="Y1257" s="94">
        <v>0.0</v>
      </c>
      <c r="Z1257" s="94">
        <v>0.0</v>
      </c>
      <c r="AA1257" s="94">
        <v>0.0</v>
      </c>
      <c r="AB1257" s="94">
        <v>0.0</v>
      </c>
      <c r="AC1257" s="94">
        <v>0.0</v>
      </c>
      <c r="AD1257" s="94">
        <v>0.0</v>
      </c>
      <c r="AE1257" s="94">
        <v>0.0</v>
      </c>
      <c r="AF1257" s="94">
        <v>0.0</v>
      </c>
      <c r="AG1257" s="94">
        <v>0.0</v>
      </c>
      <c r="AH1257" s="94">
        <v>0.0</v>
      </c>
    </row>
    <row r="1258" hidden="1">
      <c r="A1258" s="109" t="s">
        <v>20</v>
      </c>
      <c r="B1258" s="93" t="s">
        <v>236</v>
      </c>
      <c r="C1258" s="94">
        <v>0.0</v>
      </c>
      <c r="D1258" s="94">
        <v>0.0</v>
      </c>
      <c r="E1258" s="96">
        <f t="shared" si="953"/>
        <v>0</v>
      </c>
      <c r="F1258" s="94">
        <v>0.0</v>
      </c>
      <c r="G1258" s="94">
        <v>0.0</v>
      </c>
      <c r="H1258" s="94">
        <v>0.0</v>
      </c>
      <c r="I1258" s="94">
        <v>0.0</v>
      </c>
      <c r="J1258" s="95">
        <f t="shared" si="946"/>
        <v>0</v>
      </c>
      <c r="K1258" s="87" t="str">
        <f t="shared" si="947"/>
        <v>#DIV/0!</v>
      </c>
      <c r="L1258" s="94">
        <v>0.0</v>
      </c>
      <c r="M1258" s="94">
        <v>0.0</v>
      </c>
      <c r="N1258" s="85">
        <v>0.0</v>
      </c>
      <c r="O1258" s="110">
        <f t="shared" si="954"/>
        <v>0</v>
      </c>
      <c r="P1258" s="94">
        <v>0.0</v>
      </c>
      <c r="Q1258" s="94">
        <v>0.0</v>
      </c>
      <c r="R1258" s="94">
        <v>0.0</v>
      </c>
      <c r="S1258" s="94">
        <v>0.0</v>
      </c>
      <c r="T1258" s="94">
        <v>0.0</v>
      </c>
      <c r="U1258" s="94">
        <v>0.0</v>
      </c>
      <c r="V1258" s="94">
        <v>0.0</v>
      </c>
      <c r="W1258" s="94">
        <v>0.0</v>
      </c>
      <c r="X1258" s="94">
        <v>0.0</v>
      </c>
      <c r="Y1258" s="94">
        <v>0.0</v>
      </c>
      <c r="Z1258" s="94">
        <v>0.0</v>
      </c>
      <c r="AA1258" s="94">
        <v>0.0</v>
      </c>
      <c r="AB1258" s="94">
        <v>0.0</v>
      </c>
      <c r="AC1258" s="94">
        <v>0.0</v>
      </c>
      <c r="AD1258" s="94">
        <v>0.0</v>
      </c>
      <c r="AE1258" s="94">
        <v>0.0</v>
      </c>
      <c r="AF1258" s="94">
        <v>0.0</v>
      </c>
      <c r="AG1258" s="94">
        <v>0.0</v>
      </c>
      <c r="AH1258" s="94">
        <v>0.0</v>
      </c>
    </row>
    <row r="1259" hidden="1">
      <c r="A1259" s="109" t="s">
        <v>20</v>
      </c>
      <c r="B1259" s="116"/>
      <c r="C1259" s="94">
        <v>0.0</v>
      </c>
      <c r="D1259" s="94">
        <v>0.0</v>
      </c>
      <c r="E1259" s="96">
        <f t="shared" si="953"/>
        <v>0</v>
      </c>
      <c r="F1259" s="94">
        <v>0.0</v>
      </c>
      <c r="G1259" s="94">
        <v>0.0</v>
      </c>
      <c r="H1259" s="94">
        <v>0.0</v>
      </c>
      <c r="I1259" s="94">
        <v>0.0</v>
      </c>
      <c r="J1259" s="95">
        <f t="shared" si="946"/>
        <v>0</v>
      </c>
      <c r="K1259" s="87" t="str">
        <f t="shared" si="947"/>
        <v>#DIV/0!</v>
      </c>
      <c r="L1259" s="94">
        <v>0.0</v>
      </c>
      <c r="M1259" s="94">
        <v>0.0</v>
      </c>
      <c r="N1259" s="85">
        <v>0.0</v>
      </c>
      <c r="O1259" s="110">
        <f t="shared" si="954"/>
        <v>0</v>
      </c>
      <c r="P1259" s="94">
        <v>0.0</v>
      </c>
      <c r="Q1259" s="94">
        <v>0.0</v>
      </c>
      <c r="R1259" s="94">
        <v>0.0</v>
      </c>
      <c r="S1259" s="94">
        <v>0.0</v>
      </c>
      <c r="T1259" s="94">
        <v>0.0</v>
      </c>
      <c r="U1259" s="94">
        <v>0.0</v>
      </c>
      <c r="V1259" s="94">
        <v>0.0</v>
      </c>
      <c r="W1259" s="94">
        <v>0.0</v>
      </c>
      <c r="X1259" s="94">
        <v>0.0</v>
      </c>
      <c r="Y1259" s="94">
        <v>0.0</v>
      </c>
      <c r="Z1259" s="94">
        <v>0.0</v>
      </c>
      <c r="AA1259" s="94">
        <v>0.0</v>
      </c>
      <c r="AB1259" s="94">
        <v>0.0</v>
      </c>
      <c r="AC1259" s="94">
        <v>0.0</v>
      </c>
      <c r="AD1259" s="94">
        <v>0.0</v>
      </c>
      <c r="AE1259" s="94">
        <v>0.0</v>
      </c>
      <c r="AF1259" s="94">
        <v>0.0</v>
      </c>
      <c r="AG1259" s="94">
        <v>0.0</v>
      </c>
      <c r="AH1259" s="94">
        <v>0.0</v>
      </c>
    </row>
    <row r="1260" hidden="1">
      <c r="A1260" s="89" t="s">
        <v>185</v>
      </c>
      <c r="B1260" s="111"/>
      <c r="C1260" s="111">
        <f>SUM(C1254:C1259)</f>
        <v>4</v>
      </c>
      <c r="D1260" s="111">
        <f t="shared" ref="D1260:E1260" si="955">SUM(D1254:D1259)/4</f>
        <v>1</v>
      </c>
      <c r="E1260" s="91">
        <f t="shared" si="955"/>
        <v>31.05416667</v>
      </c>
      <c r="F1260" s="111">
        <f t="shared" ref="F1260:G1260" si="956">SUM(F1254:F1259)</f>
        <v>5</v>
      </c>
      <c r="G1260" s="111">
        <f t="shared" si="956"/>
        <v>473</v>
      </c>
      <c r="H1260" s="111"/>
      <c r="I1260" s="111">
        <f>SUM(I1254:I1259)</f>
        <v>442</v>
      </c>
      <c r="J1260" s="111">
        <f t="shared" si="946"/>
        <v>31</v>
      </c>
      <c r="K1260" s="92">
        <f t="shared" si="947"/>
        <v>1.070135747</v>
      </c>
      <c r="L1260" s="111">
        <f t="shared" ref="L1260:M1260" si="957">SUM(L1254:L1259)</f>
        <v>69</v>
      </c>
      <c r="M1260" s="111">
        <f t="shared" si="957"/>
        <v>611</v>
      </c>
      <c r="N1260" s="111"/>
      <c r="O1260" s="112"/>
      <c r="P1260" s="111">
        <f t="shared" ref="P1260:AH1260" si="958">SUM(P1254:P1259)</f>
        <v>14</v>
      </c>
      <c r="Q1260" s="111">
        <f t="shared" si="958"/>
        <v>4</v>
      </c>
      <c r="R1260" s="111">
        <f t="shared" si="958"/>
        <v>35</v>
      </c>
      <c r="S1260" s="111">
        <f t="shared" si="958"/>
        <v>7</v>
      </c>
      <c r="T1260" s="111">
        <f t="shared" si="958"/>
        <v>65</v>
      </c>
      <c r="U1260" s="111">
        <f t="shared" si="958"/>
        <v>17</v>
      </c>
      <c r="V1260" s="111">
        <f t="shared" si="958"/>
        <v>5</v>
      </c>
      <c r="W1260" s="111">
        <f t="shared" si="958"/>
        <v>3</v>
      </c>
      <c r="X1260" s="111">
        <f t="shared" si="958"/>
        <v>1</v>
      </c>
      <c r="Y1260" s="111">
        <f t="shared" si="958"/>
        <v>1</v>
      </c>
      <c r="Z1260" s="111">
        <f t="shared" si="958"/>
        <v>0</v>
      </c>
      <c r="AA1260" s="111">
        <f t="shared" si="958"/>
        <v>0</v>
      </c>
      <c r="AB1260" s="111">
        <f t="shared" si="958"/>
        <v>0</v>
      </c>
      <c r="AC1260" s="111">
        <f t="shared" si="958"/>
        <v>9</v>
      </c>
      <c r="AD1260" s="111">
        <f t="shared" si="958"/>
        <v>0</v>
      </c>
      <c r="AE1260" s="111">
        <f t="shared" si="958"/>
        <v>0</v>
      </c>
      <c r="AF1260" s="111">
        <f t="shared" si="958"/>
        <v>0</v>
      </c>
      <c r="AG1260" s="111">
        <f t="shared" si="958"/>
        <v>0</v>
      </c>
      <c r="AH1260" s="111">
        <f t="shared" si="958"/>
        <v>0</v>
      </c>
    </row>
    <row r="1261">
      <c r="A1261" s="104" t="s">
        <v>326</v>
      </c>
    </row>
    <row r="1263" hidden="1">
      <c r="A1263" s="105"/>
      <c r="F1263" s="106" t="s">
        <v>251</v>
      </c>
      <c r="L1263" s="107" t="s">
        <v>252</v>
      </c>
      <c r="N1263" s="108" t="s">
        <v>253</v>
      </c>
    </row>
    <row r="1264" hidden="1">
      <c r="A1264" s="76" t="s">
        <v>148</v>
      </c>
      <c r="B1264" s="76" t="s">
        <v>149</v>
      </c>
      <c r="C1264" s="76" t="s">
        <v>150</v>
      </c>
      <c r="D1264" s="76" t="s">
        <v>13</v>
      </c>
      <c r="E1264" s="77" t="s">
        <v>151</v>
      </c>
      <c r="F1264" s="78" t="s">
        <v>15</v>
      </c>
      <c r="G1264" s="78" t="s">
        <v>152</v>
      </c>
      <c r="H1264" s="78" t="s">
        <v>153</v>
      </c>
      <c r="I1264" s="78" t="s">
        <v>154</v>
      </c>
      <c r="J1264" s="78" t="s">
        <v>155</v>
      </c>
      <c r="K1264" s="79" t="s">
        <v>156</v>
      </c>
      <c r="L1264" s="80" t="s">
        <v>157</v>
      </c>
      <c r="M1264" s="80" t="s">
        <v>158</v>
      </c>
      <c r="N1264" s="81" t="s">
        <v>254</v>
      </c>
      <c r="O1264" s="81" t="s">
        <v>151</v>
      </c>
      <c r="P1264" s="81" t="s">
        <v>160</v>
      </c>
      <c r="Q1264" s="81" t="s">
        <v>161</v>
      </c>
      <c r="R1264" s="81" t="s">
        <v>162</v>
      </c>
      <c r="S1264" s="81" t="s">
        <v>163</v>
      </c>
      <c r="T1264" s="81" t="s">
        <v>164</v>
      </c>
      <c r="U1264" s="81" t="s">
        <v>165</v>
      </c>
      <c r="V1264" s="81" t="s">
        <v>166</v>
      </c>
      <c r="W1264" s="81" t="s">
        <v>167</v>
      </c>
      <c r="X1264" s="81" t="s">
        <v>168</v>
      </c>
      <c r="Y1264" s="81" t="s">
        <v>169</v>
      </c>
      <c r="Z1264" s="81" t="s">
        <v>170</v>
      </c>
      <c r="AA1264" s="81" t="s">
        <v>171</v>
      </c>
      <c r="AB1264" s="81" t="s">
        <v>172</v>
      </c>
      <c r="AC1264" s="81" t="s">
        <v>173</v>
      </c>
      <c r="AD1264" s="81" t="s">
        <v>174</v>
      </c>
      <c r="AE1264" s="81" t="s">
        <v>175</v>
      </c>
      <c r="AF1264" s="81" t="s">
        <v>176</v>
      </c>
      <c r="AG1264" s="81" t="s">
        <v>177</v>
      </c>
      <c r="AH1264" s="81" t="s">
        <v>178</v>
      </c>
    </row>
    <row r="1265" hidden="1">
      <c r="A1265" s="109" t="s">
        <v>44</v>
      </c>
      <c r="B1265" s="93" t="s">
        <v>186</v>
      </c>
      <c r="C1265" s="85">
        <v>1.0</v>
      </c>
      <c r="D1265" s="94">
        <v>0.0</v>
      </c>
      <c r="E1265" s="96">
        <f t="shared" ref="E1265:E1270" si="959">SUM(L1265*I1265)/60</f>
        <v>21.45</v>
      </c>
      <c r="F1265" s="94">
        <v>0.0</v>
      </c>
      <c r="G1265" s="85">
        <v>81.0</v>
      </c>
      <c r="H1265" s="94">
        <v>0.0</v>
      </c>
      <c r="I1265" s="85">
        <v>117.0</v>
      </c>
      <c r="J1265" s="95">
        <f t="shared" ref="J1265:J1278" si="960">SUM(G1265-I1265)</f>
        <v>-36</v>
      </c>
      <c r="K1265" s="87">
        <f t="shared" ref="K1265:K1278" si="961">SUM(G1265/I1265)</f>
        <v>0.6923076923</v>
      </c>
      <c r="L1265" s="85">
        <v>11.0</v>
      </c>
      <c r="M1265" s="85">
        <v>89.0</v>
      </c>
      <c r="N1265" s="85">
        <v>1.0</v>
      </c>
      <c r="O1265" s="110">
        <f t="shared" ref="O1265:O1270" si="962">(E1265*N1265)</f>
        <v>21.45</v>
      </c>
      <c r="P1265" s="85">
        <v>3.0</v>
      </c>
      <c r="Q1265" s="85">
        <v>2.0</v>
      </c>
      <c r="R1265" s="85">
        <v>2.0</v>
      </c>
      <c r="S1265" s="85">
        <v>1.0</v>
      </c>
      <c r="T1265" s="85">
        <v>7.0</v>
      </c>
      <c r="U1265" s="94">
        <v>0.0</v>
      </c>
      <c r="V1265" s="94">
        <v>0.0</v>
      </c>
      <c r="W1265" s="94">
        <v>0.0</v>
      </c>
      <c r="X1265" s="94">
        <v>0.0</v>
      </c>
      <c r="Y1265" s="94">
        <v>0.0</v>
      </c>
      <c r="Z1265" s="94">
        <v>0.0</v>
      </c>
      <c r="AA1265" s="94">
        <v>0.0</v>
      </c>
      <c r="AB1265" s="94">
        <v>0.0</v>
      </c>
      <c r="AC1265" s="94">
        <v>0.0</v>
      </c>
      <c r="AD1265" s="94">
        <v>0.0</v>
      </c>
      <c r="AE1265" s="94">
        <v>0.0</v>
      </c>
      <c r="AF1265" s="94">
        <v>0.0</v>
      </c>
      <c r="AG1265" s="94">
        <v>0.0</v>
      </c>
      <c r="AH1265" s="94">
        <v>0.0</v>
      </c>
    </row>
    <row r="1266" hidden="1">
      <c r="A1266" s="109" t="s">
        <v>44</v>
      </c>
      <c r="B1266" s="93" t="s">
        <v>187</v>
      </c>
      <c r="C1266" s="85">
        <v>1.0</v>
      </c>
      <c r="D1266" s="94">
        <v>0.0</v>
      </c>
      <c r="E1266" s="96">
        <f t="shared" si="959"/>
        <v>22</v>
      </c>
      <c r="F1266" s="85">
        <v>1.0</v>
      </c>
      <c r="G1266" s="85">
        <v>104.0</v>
      </c>
      <c r="H1266" s="85">
        <v>1.0</v>
      </c>
      <c r="I1266" s="85">
        <v>88.0</v>
      </c>
      <c r="J1266" s="95">
        <f t="shared" si="960"/>
        <v>16</v>
      </c>
      <c r="K1266" s="87">
        <f t="shared" si="961"/>
        <v>1.181818182</v>
      </c>
      <c r="L1266" s="85">
        <v>15.0</v>
      </c>
      <c r="M1266" s="85">
        <v>131.0</v>
      </c>
      <c r="N1266" s="85">
        <v>1.0</v>
      </c>
      <c r="O1266" s="110">
        <f t="shared" si="962"/>
        <v>22</v>
      </c>
      <c r="P1266" s="85">
        <v>2.0</v>
      </c>
      <c r="Q1266" s="85">
        <v>1.0</v>
      </c>
      <c r="R1266" s="85">
        <v>3.0</v>
      </c>
      <c r="S1266" s="85">
        <v>1.0</v>
      </c>
      <c r="T1266" s="85">
        <v>16.0</v>
      </c>
      <c r="U1266" s="85">
        <v>4.0</v>
      </c>
      <c r="V1266" s="85">
        <v>1.0</v>
      </c>
      <c r="W1266" s="94">
        <v>0.0</v>
      </c>
      <c r="X1266" s="94">
        <v>0.0</v>
      </c>
      <c r="Y1266" s="94">
        <v>0.0</v>
      </c>
      <c r="Z1266" s="94">
        <v>0.0</v>
      </c>
      <c r="AA1266" s="94">
        <v>0.0</v>
      </c>
      <c r="AB1266" s="94">
        <v>0.0</v>
      </c>
      <c r="AC1266" s="85">
        <v>3.0</v>
      </c>
      <c r="AD1266" s="94">
        <v>0.0</v>
      </c>
      <c r="AE1266" s="94">
        <v>0.0</v>
      </c>
      <c r="AF1266" s="94">
        <v>0.0</v>
      </c>
      <c r="AG1266" s="94">
        <v>0.0</v>
      </c>
      <c r="AH1266" s="94">
        <v>0.0</v>
      </c>
    </row>
    <row r="1267" hidden="1">
      <c r="A1267" s="109" t="s">
        <v>44</v>
      </c>
      <c r="B1267" s="93" t="s">
        <v>188</v>
      </c>
      <c r="C1267" s="85">
        <v>1.0</v>
      </c>
      <c r="D1267" s="94">
        <v>0.0</v>
      </c>
      <c r="E1267" s="96">
        <f t="shared" si="959"/>
        <v>22</v>
      </c>
      <c r="F1267" s="94">
        <v>0.0</v>
      </c>
      <c r="G1267" s="85">
        <v>81.0</v>
      </c>
      <c r="H1267" s="94">
        <v>0.0</v>
      </c>
      <c r="I1267" s="85">
        <v>88.0</v>
      </c>
      <c r="J1267" s="95">
        <f t="shared" si="960"/>
        <v>-7</v>
      </c>
      <c r="K1267" s="87">
        <f t="shared" si="961"/>
        <v>0.9204545455</v>
      </c>
      <c r="L1267" s="85">
        <v>15.0</v>
      </c>
      <c r="M1267" s="85">
        <v>88.0</v>
      </c>
      <c r="N1267" s="85">
        <v>1.0</v>
      </c>
      <c r="O1267" s="110">
        <f t="shared" si="962"/>
        <v>22</v>
      </c>
      <c r="P1267" s="85">
        <v>1.0</v>
      </c>
      <c r="Q1267" s="85">
        <v>1.0</v>
      </c>
      <c r="R1267" s="94">
        <v>0.0</v>
      </c>
      <c r="S1267" s="85">
        <v>3.0</v>
      </c>
      <c r="T1267" s="85">
        <v>7.0</v>
      </c>
      <c r="U1267" s="85">
        <v>1.0</v>
      </c>
      <c r="V1267" s="85">
        <v>1.0</v>
      </c>
      <c r="W1267" s="94">
        <v>0.0</v>
      </c>
      <c r="X1267" s="94">
        <v>0.0</v>
      </c>
      <c r="Y1267" s="94">
        <v>0.0</v>
      </c>
      <c r="Z1267" s="94">
        <v>0.0</v>
      </c>
      <c r="AA1267" s="94">
        <v>0.0</v>
      </c>
      <c r="AB1267" s="94">
        <v>0.0</v>
      </c>
      <c r="AC1267" s="85">
        <v>2.0</v>
      </c>
      <c r="AD1267" s="94">
        <v>0.0</v>
      </c>
      <c r="AE1267" s="94">
        <v>0.0</v>
      </c>
      <c r="AF1267" s="94">
        <v>0.0</v>
      </c>
      <c r="AG1267" s="94">
        <v>0.0</v>
      </c>
      <c r="AH1267" s="94">
        <v>0.0</v>
      </c>
    </row>
    <row r="1268" hidden="1">
      <c r="A1268" s="109" t="s">
        <v>44</v>
      </c>
      <c r="B1268" s="93" t="s">
        <v>189</v>
      </c>
      <c r="C1268" s="85">
        <v>1.0</v>
      </c>
      <c r="D1268" s="94">
        <v>0.0</v>
      </c>
      <c r="E1268" s="96">
        <f t="shared" si="959"/>
        <v>22.31666667</v>
      </c>
      <c r="F1268" s="94">
        <v>0.0</v>
      </c>
      <c r="G1268" s="85">
        <v>74.0</v>
      </c>
      <c r="H1268" s="94">
        <v>0.0</v>
      </c>
      <c r="I1268" s="85">
        <v>103.0</v>
      </c>
      <c r="J1268" s="95">
        <f t="shared" si="960"/>
        <v>-29</v>
      </c>
      <c r="K1268" s="87">
        <f t="shared" si="961"/>
        <v>0.7184466019</v>
      </c>
      <c r="L1268" s="85">
        <v>13.0</v>
      </c>
      <c r="M1268" s="85">
        <v>93.0</v>
      </c>
      <c r="N1268" s="85">
        <v>1.0</v>
      </c>
      <c r="O1268" s="110">
        <f t="shared" si="962"/>
        <v>22.31666667</v>
      </c>
      <c r="P1268" s="85">
        <v>2.0</v>
      </c>
      <c r="Q1268" s="85">
        <v>2.0</v>
      </c>
      <c r="R1268" s="85">
        <v>5.0</v>
      </c>
      <c r="S1268" s="85">
        <v>2.0</v>
      </c>
      <c r="T1268" s="85">
        <v>10.0</v>
      </c>
      <c r="U1268" s="94">
        <v>0.0</v>
      </c>
      <c r="V1268" s="94">
        <v>0.0</v>
      </c>
      <c r="W1268" s="94">
        <v>0.0</v>
      </c>
      <c r="X1268" s="94">
        <v>0.0</v>
      </c>
      <c r="Y1268" s="94">
        <v>0.0</v>
      </c>
      <c r="Z1268" s="94">
        <v>0.0</v>
      </c>
      <c r="AA1268" s="94">
        <v>0.0</v>
      </c>
      <c r="AB1268" s="94">
        <v>0.0</v>
      </c>
      <c r="AC1268" s="94">
        <v>0.0</v>
      </c>
      <c r="AD1268" s="94">
        <v>0.0</v>
      </c>
      <c r="AE1268" s="94">
        <v>0.0</v>
      </c>
      <c r="AF1268" s="94">
        <v>0.0</v>
      </c>
      <c r="AG1268" s="94">
        <v>0.0</v>
      </c>
      <c r="AH1268" s="94">
        <v>0.0</v>
      </c>
    </row>
    <row r="1269" hidden="1">
      <c r="A1269" s="109" t="s">
        <v>44</v>
      </c>
      <c r="B1269" s="93" t="s">
        <v>190</v>
      </c>
      <c r="C1269" s="94">
        <v>0.0</v>
      </c>
      <c r="D1269" s="94">
        <v>0.0</v>
      </c>
      <c r="E1269" s="96">
        <f t="shared" si="959"/>
        <v>0</v>
      </c>
      <c r="F1269" s="94">
        <v>0.0</v>
      </c>
      <c r="G1269" s="94">
        <v>0.0</v>
      </c>
      <c r="H1269" s="94">
        <v>0.0</v>
      </c>
      <c r="I1269" s="94">
        <v>0.0</v>
      </c>
      <c r="J1269" s="95">
        <f t="shared" si="960"/>
        <v>0</v>
      </c>
      <c r="K1269" s="87" t="str">
        <f t="shared" si="961"/>
        <v>#DIV/0!</v>
      </c>
      <c r="L1269" s="94">
        <v>0.0</v>
      </c>
      <c r="M1269" s="94">
        <v>0.0</v>
      </c>
      <c r="N1269" s="85">
        <v>0.0</v>
      </c>
      <c r="O1269" s="110">
        <f t="shared" si="962"/>
        <v>0</v>
      </c>
      <c r="P1269" s="94">
        <v>0.0</v>
      </c>
      <c r="Q1269" s="94">
        <v>0.0</v>
      </c>
      <c r="R1269" s="94">
        <v>0.0</v>
      </c>
      <c r="S1269" s="94">
        <v>0.0</v>
      </c>
      <c r="T1269" s="94">
        <v>0.0</v>
      </c>
      <c r="U1269" s="94">
        <v>0.0</v>
      </c>
      <c r="V1269" s="94">
        <v>0.0</v>
      </c>
      <c r="W1269" s="94">
        <v>0.0</v>
      </c>
      <c r="X1269" s="94">
        <v>0.0</v>
      </c>
      <c r="Y1269" s="94">
        <v>0.0</v>
      </c>
      <c r="Z1269" s="94">
        <v>0.0</v>
      </c>
      <c r="AA1269" s="94">
        <v>0.0</v>
      </c>
      <c r="AB1269" s="94">
        <v>0.0</v>
      </c>
      <c r="AC1269" s="94">
        <v>0.0</v>
      </c>
      <c r="AD1269" s="94">
        <v>0.0</v>
      </c>
      <c r="AE1269" s="94">
        <v>0.0</v>
      </c>
      <c r="AF1269" s="94">
        <v>0.0</v>
      </c>
      <c r="AG1269" s="94">
        <v>0.0</v>
      </c>
      <c r="AH1269" s="94">
        <v>0.0</v>
      </c>
    </row>
    <row r="1270" hidden="1">
      <c r="A1270" s="109" t="s">
        <v>44</v>
      </c>
      <c r="B1270" s="116"/>
      <c r="C1270" s="94">
        <v>0.0</v>
      </c>
      <c r="D1270" s="94">
        <v>0.0</v>
      </c>
      <c r="E1270" s="96">
        <f t="shared" si="959"/>
        <v>0</v>
      </c>
      <c r="F1270" s="94">
        <v>0.0</v>
      </c>
      <c r="G1270" s="94">
        <v>0.0</v>
      </c>
      <c r="H1270" s="94">
        <v>0.0</v>
      </c>
      <c r="I1270" s="94">
        <v>0.0</v>
      </c>
      <c r="J1270" s="95">
        <f t="shared" si="960"/>
        <v>0</v>
      </c>
      <c r="K1270" s="87" t="str">
        <f t="shared" si="961"/>
        <v>#DIV/0!</v>
      </c>
      <c r="L1270" s="94">
        <v>0.0</v>
      </c>
      <c r="M1270" s="94">
        <v>0.0</v>
      </c>
      <c r="N1270" s="85">
        <v>0.0</v>
      </c>
      <c r="O1270" s="110">
        <f t="shared" si="962"/>
        <v>0</v>
      </c>
      <c r="P1270" s="94">
        <v>0.0</v>
      </c>
      <c r="Q1270" s="94">
        <v>0.0</v>
      </c>
      <c r="R1270" s="94">
        <v>0.0</v>
      </c>
      <c r="S1270" s="94">
        <v>0.0</v>
      </c>
      <c r="T1270" s="94">
        <v>0.0</v>
      </c>
      <c r="U1270" s="94">
        <v>0.0</v>
      </c>
      <c r="V1270" s="94">
        <v>0.0</v>
      </c>
      <c r="W1270" s="94">
        <v>0.0</v>
      </c>
      <c r="X1270" s="94">
        <v>0.0</v>
      </c>
      <c r="Y1270" s="94">
        <v>0.0</v>
      </c>
      <c r="Z1270" s="94">
        <v>0.0</v>
      </c>
      <c r="AA1270" s="94">
        <v>0.0</v>
      </c>
      <c r="AB1270" s="94">
        <v>0.0</v>
      </c>
      <c r="AC1270" s="94">
        <v>0.0</v>
      </c>
      <c r="AD1270" s="94">
        <v>0.0</v>
      </c>
      <c r="AE1270" s="94">
        <v>0.0</v>
      </c>
      <c r="AF1270" s="94">
        <v>0.0</v>
      </c>
      <c r="AG1270" s="94">
        <v>0.0</v>
      </c>
      <c r="AH1270" s="94">
        <v>0.0</v>
      </c>
    </row>
    <row r="1271" hidden="1">
      <c r="A1271" s="89"/>
      <c r="B1271" s="111"/>
      <c r="C1271" s="111">
        <f t="shared" ref="C1271:D1271" si="963">SUM(C1265:C1270)/4</f>
        <v>1</v>
      </c>
      <c r="D1271" s="111">
        <f t="shared" si="963"/>
        <v>0</v>
      </c>
      <c r="E1271" s="91">
        <f t="shared" ref="E1271:G1271" si="964">SUM(E1265:E1270)</f>
        <v>87.76666667</v>
      </c>
      <c r="F1271" s="111">
        <f t="shared" si="964"/>
        <v>1</v>
      </c>
      <c r="G1271" s="111">
        <f t="shared" si="964"/>
        <v>340</v>
      </c>
      <c r="H1271" s="111"/>
      <c r="I1271" s="111">
        <f>SUM(I1265:I1270)</f>
        <v>396</v>
      </c>
      <c r="J1271" s="111">
        <f t="shared" si="960"/>
        <v>-56</v>
      </c>
      <c r="K1271" s="92">
        <f t="shared" si="961"/>
        <v>0.8585858586</v>
      </c>
      <c r="L1271" s="111">
        <f t="shared" ref="L1271:M1271" si="965">SUM(L1265:L1270)</f>
        <v>54</v>
      </c>
      <c r="M1271" s="111">
        <f t="shared" si="965"/>
        <v>401</v>
      </c>
      <c r="N1271" s="111"/>
      <c r="O1271" s="112"/>
      <c r="P1271" s="111">
        <f t="shared" ref="P1271:AH1271" si="966">SUM(P1265:P1270)</f>
        <v>8</v>
      </c>
      <c r="Q1271" s="111">
        <f t="shared" si="966"/>
        <v>6</v>
      </c>
      <c r="R1271" s="111">
        <f t="shared" si="966"/>
        <v>10</v>
      </c>
      <c r="S1271" s="111">
        <f t="shared" si="966"/>
        <v>7</v>
      </c>
      <c r="T1271" s="111">
        <f t="shared" si="966"/>
        <v>40</v>
      </c>
      <c r="U1271" s="111">
        <f t="shared" si="966"/>
        <v>5</v>
      </c>
      <c r="V1271" s="111">
        <f t="shared" si="966"/>
        <v>2</v>
      </c>
      <c r="W1271" s="111">
        <f t="shared" si="966"/>
        <v>0</v>
      </c>
      <c r="X1271" s="111">
        <f t="shared" si="966"/>
        <v>0</v>
      </c>
      <c r="Y1271" s="111">
        <f t="shared" si="966"/>
        <v>0</v>
      </c>
      <c r="Z1271" s="111">
        <f t="shared" si="966"/>
        <v>0</v>
      </c>
      <c r="AA1271" s="111">
        <f t="shared" si="966"/>
        <v>0</v>
      </c>
      <c r="AB1271" s="111">
        <f t="shared" si="966"/>
        <v>0</v>
      </c>
      <c r="AC1271" s="111">
        <f t="shared" si="966"/>
        <v>5</v>
      </c>
      <c r="AD1271" s="111">
        <f t="shared" si="966"/>
        <v>0</v>
      </c>
      <c r="AE1271" s="111">
        <f t="shared" si="966"/>
        <v>0</v>
      </c>
      <c r="AF1271" s="111">
        <f t="shared" si="966"/>
        <v>0</v>
      </c>
      <c r="AG1271" s="111">
        <f t="shared" si="966"/>
        <v>0</v>
      </c>
      <c r="AH1271" s="111">
        <f t="shared" si="966"/>
        <v>0</v>
      </c>
    </row>
    <row r="1272" hidden="1">
      <c r="A1272" s="109" t="s">
        <v>20</v>
      </c>
      <c r="B1272" s="93" t="s">
        <v>232</v>
      </c>
      <c r="C1272" s="85">
        <v>1.0</v>
      </c>
      <c r="D1272" s="85">
        <v>1.0</v>
      </c>
      <c r="E1272" s="96">
        <f t="shared" ref="E1272:E1277" si="967">SUM(L1272*I1272)/60</f>
        <v>21.66666667</v>
      </c>
      <c r="F1272" s="94">
        <v>0.0</v>
      </c>
      <c r="G1272" s="85">
        <v>134.0</v>
      </c>
      <c r="H1272" s="94">
        <v>0.0</v>
      </c>
      <c r="I1272" s="85">
        <v>100.0</v>
      </c>
      <c r="J1272" s="95">
        <f t="shared" si="960"/>
        <v>34</v>
      </c>
      <c r="K1272" s="87">
        <f t="shared" si="961"/>
        <v>1.34</v>
      </c>
      <c r="L1272" s="85">
        <v>13.0</v>
      </c>
      <c r="M1272" s="85">
        <v>193.0</v>
      </c>
      <c r="N1272" s="85">
        <v>1.0</v>
      </c>
      <c r="O1272" s="110">
        <f t="shared" ref="O1272:O1277" si="968">(E1272*N1272)</f>
        <v>21.66666667</v>
      </c>
      <c r="P1272" s="85">
        <v>4.0</v>
      </c>
      <c r="Q1272" s="85">
        <v>1.0</v>
      </c>
      <c r="R1272" s="85">
        <v>19.0</v>
      </c>
      <c r="S1272" s="85">
        <v>2.0</v>
      </c>
      <c r="T1272" s="85">
        <v>21.0</v>
      </c>
      <c r="U1272" s="85">
        <v>5.0</v>
      </c>
      <c r="V1272" s="85">
        <v>4.0</v>
      </c>
      <c r="W1272" s="85">
        <v>2.0</v>
      </c>
      <c r="X1272" s="85">
        <v>1.0</v>
      </c>
      <c r="Y1272" s="94">
        <v>0.0</v>
      </c>
      <c r="Z1272" s="94">
        <v>0.0</v>
      </c>
      <c r="AA1272" s="94">
        <v>0.0</v>
      </c>
      <c r="AB1272" s="94">
        <v>0.0</v>
      </c>
      <c r="AC1272" s="85">
        <v>5.0</v>
      </c>
      <c r="AD1272" s="94">
        <v>0.0</v>
      </c>
      <c r="AE1272" s="94">
        <v>0.0</v>
      </c>
      <c r="AF1272" s="94">
        <v>0.0</v>
      </c>
      <c r="AG1272" s="85">
        <v>1.0</v>
      </c>
      <c r="AH1272" s="94">
        <v>0.0</v>
      </c>
    </row>
    <row r="1273" hidden="1">
      <c r="A1273" s="109" t="s">
        <v>20</v>
      </c>
      <c r="B1273" s="93" t="s">
        <v>233</v>
      </c>
      <c r="C1273" s="85">
        <v>1.0</v>
      </c>
      <c r="D1273" s="85">
        <v>1.0</v>
      </c>
      <c r="E1273" s="96">
        <f t="shared" si="967"/>
        <v>21.8</v>
      </c>
      <c r="F1273" s="94">
        <v>0.0</v>
      </c>
      <c r="G1273" s="85">
        <v>107.0</v>
      </c>
      <c r="H1273" s="94">
        <v>0.0</v>
      </c>
      <c r="I1273" s="85">
        <v>109.0</v>
      </c>
      <c r="J1273" s="95">
        <f t="shared" si="960"/>
        <v>-2</v>
      </c>
      <c r="K1273" s="87">
        <f t="shared" si="961"/>
        <v>0.9816513761</v>
      </c>
      <c r="L1273" s="85">
        <v>12.0</v>
      </c>
      <c r="M1273" s="85">
        <v>140.0</v>
      </c>
      <c r="N1273" s="85">
        <v>1.0</v>
      </c>
      <c r="O1273" s="110">
        <f t="shared" si="968"/>
        <v>21.8</v>
      </c>
      <c r="P1273" s="94">
        <v>0.0</v>
      </c>
      <c r="Q1273" s="85">
        <v>1.0</v>
      </c>
      <c r="R1273" s="85">
        <v>15.0</v>
      </c>
      <c r="S1273" s="85">
        <v>2.0</v>
      </c>
      <c r="T1273" s="85">
        <v>16.0</v>
      </c>
      <c r="U1273" s="85">
        <v>3.0</v>
      </c>
      <c r="V1273" s="94">
        <v>0.0</v>
      </c>
      <c r="W1273" s="94">
        <v>0.0</v>
      </c>
      <c r="X1273" s="94">
        <v>0.0</v>
      </c>
      <c r="Y1273" s="94">
        <v>0.0</v>
      </c>
      <c r="Z1273" s="94">
        <v>0.0</v>
      </c>
      <c r="AA1273" s="94">
        <v>0.0</v>
      </c>
      <c r="AB1273" s="94">
        <v>0.0</v>
      </c>
      <c r="AC1273" s="94">
        <v>0.0</v>
      </c>
      <c r="AD1273" s="94">
        <v>0.0</v>
      </c>
      <c r="AE1273" s="94">
        <v>0.0</v>
      </c>
      <c r="AF1273" s="94">
        <v>0.0</v>
      </c>
      <c r="AG1273" s="94">
        <v>0.0</v>
      </c>
      <c r="AH1273" s="94">
        <v>0.0</v>
      </c>
    </row>
    <row r="1274" hidden="1">
      <c r="A1274" s="109" t="s">
        <v>20</v>
      </c>
      <c r="B1274" s="93" t="s">
        <v>234</v>
      </c>
      <c r="C1274" s="85">
        <v>1.0</v>
      </c>
      <c r="D1274" s="85">
        <v>1.0</v>
      </c>
      <c r="E1274" s="96">
        <f t="shared" si="967"/>
        <v>22.25</v>
      </c>
      <c r="F1274" s="94">
        <v>0.0</v>
      </c>
      <c r="G1274" s="85">
        <v>101.0</v>
      </c>
      <c r="H1274" s="85">
        <v>1.0</v>
      </c>
      <c r="I1274" s="85">
        <v>89.0</v>
      </c>
      <c r="J1274" s="95">
        <f t="shared" si="960"/>
        <v>12</v>
      </c>
      <c r="K1274" s="87">
        <f t="shared" si="961"/>
        <v>1.134831461</v>
      </c>
      <c r="L1274" s="85">
        <v>15.0</v>
      </c>
      <c r="M1274" s="85">
        <v>137.0</v>
      </c>
      <c r="N1274" s="85">
        <v>1.0</v>
      </c>
      <c r="O1274" s="110">
        <f t="shared" si="968"/>
        <v>22.25</v>
      </c>
      <c r="P1274" s="85">
        <v>2.0</v>
      </c>
      <c r="Q1274" s="94">
        <v>0.0</v>
      </c>
      <c r="R1274" s="85">
        <v>11.0</v>
      </c>
      <c r="S1274" s="94">
        <v>0.0</v>
      </c>
      <c r="T1274" s="85">
        <v>18.0</v>
      </c>
      <c r="U1274" s="85">
        <v>7.0</v>
      </c>
      <c r="V1274" s="85">
        <v>2.0</v>
      </c>
      <c r="W1274" s="85">
        <v>1.0</v>
      </c>
      <c r="X1274" s="94">
        <v>0.0</v>
      </c>
      <c r="Y1274" s="94">
        <v>0.0</v>
      </c>
      <c r="Z1274" s="94">
        <v>0.0</v>
      </c>
      <c r="AA1274" s="94">
        <v>0.0</v>
      </c>
      <c r="AB1274" s="94">
        <v>0.0</v>
      </c>
      <c r="AC1274" s="85">
        <v>2.0</v>
      </c>
      <c r="AD1274" s="94">
        <v>0.0</v>
      </c>
      <c r="AE1274" s="94">
        <v>0.0</v>
      </c>
      <c r="AF1274" s="94">
        <v>0.0</v>
      </c>
      <c r="AG1274" s="94">
        <v>0.0</v>
      </c>
      <c r="AH1274" s="94">
        <v>0.0</v>
      </c>
    </row>
    <row r="1275" hidden="1">
      <c r="A1275" s="109" t="s">
        <v>20</v>
      </c>
      <c r="B1275" s="93" t="s">
        <v>235</v>
      </c>
      <c r="C1275" s="85">
        <v>1.0</v>
      </c>
      <c r="D1275" s="85">
        <v>1.0</v>
      </c>
      <c r="E1275" s="96">
        <f t="shared" si="967"/>
        <v>24.73333333</v>
      </c>
      <c r="F1275" s="85">
        <v>5.0</v>
      </c>
      <c r="G1275" s="85">
        <v>46.0</v>
      </c>
      <c r="H1275" s="94">
        <v>0.0</v>
      </c>
      <c r="I1275" s="85">
        <v>53.0</v>
      </c>
      <c r="J1275" s="95">
        <f t="shared" si="960"/>
        <v>-7</v>
      </c>
      <c r="K1275" s="87">
        <f t="shared" si="961"/>
        <v>0.8679245283</v>
      </c>
      <c r="L1275" s="85">
        <v>28.0</v>
      </c>
      <c r="M1275" s="85">
        <v>61.0</v>
      </c>
      <c r="N1275" s="85">
        <v>1.0</v>
      </c>
      <c r="O1275" s="110">
        <f t="shared" si="968"/>
        <v>24.73333333</v>
      </c>
      <c r="P1275" s="85">
        <v>3.0</v>
      </c>
      <c r="Q1275" s="85">
        <v>3.0</v>
      </c>
      <c r="R1275" s="85">
        <v>1.0</v>
      </c>
      <c r="S1275" s="85">
        <v>1.0</v>
      </c>
      <c r="T1275" s="85">
        <v>4.0</v>
      </c>
      <c r="U1275" s="85">
        <v>1.0</v>
      </c>
      <c r="V1275" s="94">
        <v>0.0</v>
      </c>
      <c r="W1275" s="94">
        <v>0.0</v>
      </c>
      <c r="X1275" s="94">
        <v>0.0</v>
      </c>
      <c r="Y1275" s="94">
        <v>0.0</v>
      </c>
      <c r="Z1275" s="94">
        <v>0.0</v>
      </c>
      <c r="AA1275" s="94">
        <v>0.0</v>
      </c>
      <c r="AB1275" s="94">
        <v>0.0</v>
      </c>
      <c r="AC1275" s="94">
        <v>0.0</v>
      </c>
      <c r="AD1275" s="94">
        <v>0.0</v>
      </c>
      <c r="AE1275" s="94">
        <v>0.0</v>
      </c>
      <c r="AF1275" s="94">
        <v>0.0</v>
      </c>
      <c r="AG1275" s="94">
        <v>0.0</v>
      </c>
      <c r="AH1275" s="94">
        <v>0.0</v>
      </c>
    </row>
    <row r="1276" hidden="1">
      <c r="A1276" s="109" t="s">
        <v>20</v>
      </c>
      <c r="B1276" s="93" t="s">
        <v>236</v>
      </c>
      <c r="C1276" s="94">
        <v>0.0</v>
      </c>
      <c r="D1276" s="94">
        <v>0.0</v>
      </c>
      <c r="E1276" s="96">
        <f t="shared" si="967"/>
        <v>0</v>
      </c>
      <c r="F1276" s="94">
        <v>0.0</v>
      </c>
      <c r="G1276" s="94">
        <v>0.0</v>
      </c>
      <c r="H1276" s="94">
        <v>0.0</v>
      </c>
      <c r="I1276" s="94">
        <v>0.0</v>
      </c>
      <c r="J1276" s="95">
        <f t="shared" si="960"/>
        <v>0</v>
      </c>
      <c r="K1276" s="87" t="str">
        <f t="shared" si="961"/>
        <v>#DIV/0!</v>
      </c>
      <c r="L1276" s="94">
        <v>0.0</v>
      </c>
      <c r="M1276" s="94">
        <v>0.0</v>
      </c>
      <c r="N1276" s="85">
        <v>0.0</v>
      </c>
      <c r="O1276" s="110">
        <f t="shared" si="968"/>
        <v>0</v>
      </c>
      <c r="P1276" s="94">
        <v>0.0</v>
      </c>
      <c r="Q1276" s="94">
        <v>0.0</v>
      </c>
      <c r="R1276" s="94">
        <v>0.0</v>
      </c>
      <c r="S1276" s="94">
        <v>0.0</v>
      </c>
      <c r="T1276" s="94">
        <v>0.0</v>
      </c>
      <c r="U1276" s="94">
        <v>0.0</v>
      </c>
      <c r="V1276" s="94">
        <v>0.0</v>
      </c>
      <c r="W1276" s="94">
        <v>0.0</v>
      </c>
      <c r="X1276" s="94">
        <v>0.0</v>
      </c>
      <c r="Y1276" s="94">
        <v>0.0</v>
      </c>
      <c r="Z1276" s="94">
        <v>0.0</v>
      </c>
      <c r="AA1276" s="94">
        <v>0.0</v>
      </c>
      <c r="AB1276" s="94">
        <v>0.0</v>
      </c>
      <c r="AC1276" s="94">
        <v>0.0</v>
      </c>
      <c r="AD1276" s="94">
        <v>0.0</v>
      </c>
      <c r="AE1276" s="94">
        <v>0.0</v>
      </c>
      <c r="AF1276" s="94">
        <v>0.0</v>
      </c>
      <c r="AG1276" s="94">
        <v>0.0</v>
      </c>
      <c r="AH1276" s="94">
        <v>0.0</v>
      </c>
    </row>
    <row r="1277" hidden="1">
      <c r="A1277" s="109" t="s">
        <v>20</v>
      </c>
      <c r="B1277" s="116"/>
      <c r="C1277" s="94">
        <v>0.0</v>
      </c>
      <c r="D1277" s="94">
        <v>0.0</v>
      </c>
      <c r="E1277" s="96">
        <f t="shared" si="967"/>
        <v>0</v>
      </c>
      <c r="F1277" s="94">
        <v>0.0</v>
      </c>
      <c r="G1277" s="94">
        <v>0.0</v>
      </c>
      <c r="H1277" s="94">
        <v>0.0</v>
      </c>
      <c r="I1277" s="94">
        <v>0.0</v>
      </c>
      <c r="J1277" s="95">
        <f t="shared" si="960"/>
        <v>0</v>
      </c>
      <c r="K1277" s="87" t="str">
        <f t="shared" si="961"/>
        <v>#DIV/0!</v>
      </c>
      <c r="L1277" s="94">
        <v>0.0</v>
      </c>
      <c r="M1277" s="94">
        <v>0.0</v>
      </c>
      <c r="N1277" s="85">
        <v>0.0</v>
      </c>
      <c r="O1277" s="110">
        <f t="shared" si="968"/>
        <v>0</v>
      </c>
      <c r="P1277" s="94">
        <v>0.0</v>
      </c>
      <c r="Q1277" s="94">
        <v>0.0</v>
      </c>
      <c r="R1277" s="94">
        <v>0.0</v>
      </c>
      <c r="S1277" s="94">
        <v>0.0</v>
      </c>
      <c r="T1277" s="94">
        <v>0.0</v>
      </c>
      <c r="U1277" s="94">
        <v>0.0</v>
      </c>
      <c r="V1277" s="94">
        <v>0.0</v>
      </c>
      <c r="W1277" s="94">
        <v>0.0</v>
      </c>
      <c r="X1277" s="94">
        <v>0.0</v>
      </c>
      <c r="Y1277" s="94">
        <v>0.0</v>
      </c>
      <c r="Z1277" s="94">
        <v>0.0</v>
      </c>
      <c r="AA1277" s="94">
        <v>0.0</v>
      </c>
      <c r="AB1277" s="94">
        <v>0.0</v>
      </c>
      <c r="AC1277" s="94">
        <v>0.0</v>
      </c>
      <c r="AD1277" s="94">
        <v>0.0</v>
      </c>
      <c r="AE1277" s="94">
        <v>0.0</v>
      </c>
      <c r="AF1277" s="94">
        <v>0.0</v>
      </c>
      <c r="AG1277" s="94">
        <v>0.0</v>
      </c>
      <c r="AH1277" s="94">
        <v>0.0</v>
      </c>
    </row>
    <row r="1278" hidden="1">
      <c r="A1278" s="89" t="s">
        <v>185</v>
      </c>
      <c r="B1278" s="111"/>
      <c r="C1278" s="111">
        <f>SUM(C1272:C1277)</f>
        <v>4</v>
      </c>
      <c r="D1278" s="111">
        <f t="shared" ref="D1278:E1278" si="969">SUM(D1272:D1277)/4</f>
        <v>1</v>
      </c>
      <c r="E1278" s="91">
        <f t="shared" si="969"/>
        <v>22.6125</v>
      </c>
      <c r="F1278" s="111">
        <f t="shared" ref="F1278:G1278" si="970">SUM(F1272:F1277)</f>
        <v>5</v>
      </c>
      <c r="G1278" s="111">
        <f t="shared" si="970"/>
        <v>388</v>
      </c>
      <c r="H1278" s="111"/>
      <c r="I1278" s="111">
        <f>SUM(I1272:I1277)</f>
        <v>351</v>
      </c>
      <c r="J1278" s="111">
        <f t="shared" si="960"/>
        <v>37</v>
      </c>
      <c r="K1278" s="92">
        <f t="shared" si="961"/>
        <v>1.105413105</v>
      </c>
      <c r="L1278" s="111">
        <f t="shared" ref="L1278:M1278" si="971">SUM(L1272:L1277)</f>
        <v>68</v>
      </c>
      <c r="M1278" s="111">
        <f t="shared" si="971"/>
        <v>531</v>
      </c>
      <c r="N1278" s="111"/>
      <c r="O1278" s="112"/>
      <c r="P1278" s="111">
        <f t="shared" ref="P1278:AH1278" si="972">SUM(P1272:P1277)</f>
        <v>9</v>
      </c>
      <c r="Q1278" s="111">
        <f t="shared" si="972"/>
        <v>5</v>
      </c>
      <c r="R1278" s="111">
        <f t="shared" si="972"/>
        <v>46</v>
      </c>
      <c r="S1278" s="111">
        <f t="shared" si="972"/>
        <v>5</v>
      </c>
      <c r="T1278" s="111">
        <f t="shared" si="972"/>
        <v>59</v>
      </c>
      <c r="U1278" s="111">
        <f t="shared" si="972"/>
        <v>16</v>
      </c>
      <c r="V1278" s="111">
        <f t="shared" si="972"/>
        <v>6</v>
      </c>
      <c r="W1278" s="111">
        <f t="shared" si="972"/>
        <v>3</v>
      </c>
      <c r="X1278" s="111">
        <f t="shared" si="972"/>
        <v>1</v>
      </c>
      <c r="Y1278" s="111">
        <f t="shared" si="972"/>
        <v>0</v>
      </c>
      <c r="Z1278" s="111">
        <f t="shared" si="972"/>
        <v>0</v>
      </c>
      <c r="AA1278" s="111">
        <f t="shared" si="972"/>
        <v>0</v>
      </c>
      <c r="AB1278" s="111">
        <f t="shared" si="972"/>
        <v>0</v>
      </c>
      <c r="AC1278" s="111">
        <f t="shared" si="972"/>
        <v>7</v>
      </c>
      <c r="AD1278" s="111">
        <f t="shared" si="972"/>
        <v>0</v>
      </c>
      <c r="AE1278" s="111">
        <f t="shared" si="972"/>
        <v>0</v>
      </c>
      <c r="AF1278" s="111">
        <f t="shared" si="972"/>
        <v>0</v>
      </c>
      <c r="AG1278" s="111">
        <f t="shared" si="972"/>
        <v>1</v>
      </c>
      <c r="AH1278" s="111">
        <f t="shared" si="972"/>
        <v>0</v>
      </c>
    </row>
    <row r="1279">
      <c r="A1279" s="104" t="s">
        <v>327</v>
      </c>
    </row>
    <row r="1281" hidden="1">
      <c r="A1281" s="105"/>
      <c r="F1281" s="106" t="s">
        <v>251</v>
      </c>
      <c r="L1281" s="107" t="s">
        <v>252</v>
      </c>
      <c r="N1281" s="108" t="s">
        <v>253</v>
      </c>
    </row>
    <row r="1282" hidden="1">
      <c r="A1282" s="76" t="s">
        <v>148</v>
      </c>
      <c r="B1282" s="76" t="s">
        <v>149</v>
      </c>
      <c r="C1282" s="76" t="s">
        <v>150</v>
      </c>
      <c r="D1282" s="76" t="s">
        <v>13</v>
      </c>
      <c r="E1282" s="77" t="s">
        <v>151</v>
      </c>
      <c r="F1282" s="78" t="s">
        <v>15</v>
      </c>
      <c r="G1282" s="78" t="s">
        <v>152</v>
      </c>
      <c r="H1282" s="78" t="s">
        <v>153</v>
      </c>
      <c r="I1282" s="78" t="s">
        <v>154</v>
      </c>
      <c r="J1282" s="78" t="s">
        <v>155</v>
      </c>
      <c r="K1282" s="79" t="s">
        <v>156</v>
      </c>
      <c r="L1282" s="80" t="s">
        <v>157</v>
      </c>
      <c r="M1282" s="80" t="s">
        <v>158</v>
      </c>
      <c r="N1282" s="81" t="s">
        <v>254</v>
      </c>
      <c r="O1282" s="81" t="s">
        <v>151</v>
      </c>
      <c r="P1282" s="81" t="s">
        <v>160</v>
      </c>
      <c r="Q1282" s="81" t="s">
        <v>161</v>
      </c>
      <c r="R1282" s="81" t="s">
        <v>162</v>
      </c>
      <c r="S1282" s="81" t="s">
        <v>163</v>
      </c>
      <c r="T1282" s="81" t="s">
        <v>164</v>
      </c>
      <c r="U1282" s="81" t="s">
        <v>165</v>
      </c>
      <c r="V1282" s="81" t="s">
        <v>166</v>
      </c>
      <c r="W1282" s="81" t="s">
        <v>167</v>
      </c>
      <c r="X1282" s="81" t="s">
        <v>168</v>
      </c>
      <c r="Y1282" s="81" t="s">
        <v>169</v>
      </c>
      <c r="Z1282" s="81" t="s">
        <v>170</v>
      </c>
      <c r="AA1282" s="81" t="s">
        <v>171</v>
      </c>
      <c r="AB1282" s="81" t="s">
        <v>172</v>
      </c>
      <c r="AC1282" s="81" t="s">
        <v>173</v>
      </c>
      <c r="AD1282" s="81" t="s">
        <v>174</v>
      </c>
      <c r="AE1282" s="81" t="s">
        <v>175</v>
      </c>
      <c r="AF1282" s="81" t="s">
        <v>176</v>
      </c>
      <c r="AG1282" s="81" t="s">
        <v>177</v>
      </c>
      <c r="AH1282" s="81" t="s">
        <v>178</v>
      </c>
    </row>
    <row r="1283" hidden="1">
      <c r="A1283" s="109" t="s">
        <v>49</v>
      </c>
      <c r="B1283" s="93" t="s">
        <v>198</v>
      </c>
      <c r="C1283" s="85">
        <v>1.0</v>
      </c>
      <c r="D1283" s="85">
        <v>1.0</v>
      </c>
      <c r="E1283" s="96">
        <f t="shared" ref="E1283:E1288" si="973">SUM(L1283*I1283)/60</f>
        <v>18</v>
      </c>
      <c r="F1283" s="85">
        <v>3.0</v>
      </c>
      <c r="G1283" s="85">
        <v>27.0</v>
      </c>
      <c r="H1283" s="94">
        <v>0.0</v>
      </c>
      <c r="I1283" s="85">
        <v>27.0</v>
      </c>
      <c r="J1283" s="95">
        <f t="shared" ref="J1283:J1296" si="974">SUM(G1283-I1283)</f>
        <v>0</v>
      </c>
      <c r="K1283" s="87">
        <f t="shared" ref="K1283:K1296" si="975">SUM(G1283/I1283)</f>
        <v>1</v>
      </c>
      <c r="L1283" s="85">
        <v>40.0</v>
      </c>
      <c r="M1283" s="85">
        <v>32.0</v>
      </c>
      <c r="N1283" s="85">
        <v>1.0</v>
      </c>
      <c r="O1283" s="110">
        <f t="shared" ref="O1283:O1288" si="976">(E1283*N1283)</f>
        <v>18</v>
      </c>
      <c r="P1283" s="85">
        <v>2.0</v>
      </c>
      <c r="Q1283" s="85">
        <v>1.0</v>
      </c>
      <c r="R1283" s="94">
        <v>0.0</v>
      </c>
      <c r="S1283" s="94">
        <v>0.0</v>
      </c>
      <c r="T1283" s="85">
        <v>2.0</v>
      </c>
      <c r="U1283" s="94">
        <v>0.0</v>
      </c>
      <c r="V1283" s="94">
        <v>0.0</v>
      </c>
      <c r="W1283" s="94">
        <v>0.0</v>
      </c>
      <c r="X1283" s="94">
        <v>0.0</v>
      </c>
      <c r="Y1283" s="94">
        <v>0.0</v>
      </c>
      <c r="Z1283" s="94">
        <v>0.0</v>
      </c>
      <c r="AA1283" s="94">
        <v>0.0</v>
      </c>
      <c r="AB1283" s="94">
        <v>0.0</v>
      </c>
      <c r="AC1283" s="85">
        <v>1.0</v>
      </c>
      <c r="AD1283" s="94">
        <v>0.0</v>
      </c>
      <c r="AE1283" s="94">
        <v>0.0</v>
      </c>
      <c r="AF1283" s="94">
        <v>0.0</v>
      </c>
      <c r="AG1283" s="94">
        <v>0.0</v>
      </c>
      <c r="AH1283" s="94">
        <v>0.0</v>
      </c>
    </row>
    <row r="1284" hidden="1">
      <c r="A1284" s="109" t="s">
        <v>49</v>
      </c>
      <c r="B1284" s="93" t="s">
        <v>199</v>
      </c>
      <c r="C1284" s="85">
        <v>1.0</v>
      </c>
      <c r="D1284" s="85">
        <v>1.0</v>
      </c>
      <c r="E1284" s="96">
        <f t="shared" si="973"/>
        <v>18.2</v>
      </c>
      <c r="F1284" s="94">
        <v>0.0</v>
      </c>
      <c r="G1284" s="85">
        <v>62.0</v>
      </c>
      <c r="H1284" s="94">
        <v>0.0</v>
      </c>
      <c r="I1284" s="85">
        <v>42.0</v>
      </c>
      <c r="J1284" s="95">
        <f t="shared" si="974"/>
        <v>20</v>
      </c>
      <c r="K1284" s="87">
        <f t="shared" si="975"/>
        <v>1.476190476</v>
      </c>
      <c r="L1284" s="85">
        <v>26.0</v>
      </c>
      <c r="M1284" s="85">
        <v>79.0</v>
      </c>
      <c r="N1284" s="85">
        <v>1.0</v>
      </c>
      <c r="O1284" s="110">
        <f t="shared" si="976"/>
        <v>18.2</v>
      </c>
      <c r="P1284" s="85">
        <v>1.0</v>
      </c>
      <c r="Q1284" s="94">
        <v>0.0</v>
      </c>
      <c r="R1284" s="85">
        <v>6.0</v>
      </c>
      <c r="S1284" s="85">
        <v>1.0</v>
      </c>
      <c r="T1284" s="85">
        <v>9.0</v>
      </c>
      <c r="U1284" s="85">
        <v>3.0</v>
      </c>
      <c r="V1284" s="85">
        <v>1.0</v>
      </c>
      <c r="W1284" s="94">
        <v>0.0</v>
      </c>
      <c r="X1284" s="94">
        <v>0.0</v>
      </c>
      <c r="Y1284" s="94">
        <v>0.0</v>
      </c>
      <c r="Z1284" s="94">
        <v>0.0</v>
      </c>
      <c r="AA1284" s="94">
        <v>0.0</v>
      </c>
      <c r="AB1284" s="94">
        <v>0.0</v>
      </c>
      <c r="AC1284" s="94">
        <v>0.0</v>
      </c>
      <c r="AD1284" s="94">
        <v>0.0</v>
      </c>
      <c r="AE1284" s="94">
        <v>0.0</v>
      </c>
      <c r="AF1284" s="94">
        <v>0.0</v>
      </c>
      <c r="AG1284" s="94">
        <v>0.0</v>
      </c>
      <c r="AH1284" s="94">
        <v>0.0</v>
      </c>
    </row>
    <row r="1285" hidden="1">
      <c r="A1285" s="109" t="s">
        <v>49</v>
      </c>
      <c r="B1285" s="93" t="s">
        <v>200</v>
      </c>
      <c r="C1285" s="85">
        <v>1.0</v>
      </c>
      <c r="D1285" s="85">
        <v>1.0</v>
      </c>
      <c r="E1285" s="96">
        <f t="shared" si="973"/>
        <v>17.15</v>
      </c>
      <c r="F1285" s="94">
        <v>0.0</v>
      </c>
      <c r="G1285" s="85">
        <v>79.0</v>
      </c>
      <c r="H1285" s="94">
        <v>0.0</v>
      </c>
      <c r="I1285" s="85">
        <v>49.0</v>
      </c>
      <c r="J1285" s="95">
        <f t="shared" si="974"/>
        <v>30</v>
      </c>
      <c r="K1285" s="87">
        <f t="shared" si="975"/>
        <v>1.612244898</v>
      </c>
      <c r="L1285" s="85">
        <v>21.0</v>
      </c>
      <c r="M1285" s="85">
        <v>107.0</v>
      </c>
      <c r="N1285" s="85">
        <v>1.0</v>
      </c>
      <c r="O1285" s="110">
        <f t="shared" si="976"/>
        <v>17.15</v>
      </c>
      <c r="P1285" s="85">
        <v>1.0</v>
      </c>
      <c r="Q1285" s="85">
        <v>5.0</v>
      </c>
      <c r="R1285" s="85">
        <v>13.0</v>
      </c>
      <c r="S1285" s="94">
        <v>0.0</v>
      </c>
      <c r="T1285" s="85">
        <v>11.0</v>
      </c>
      <c r="U1285" s="85">
        <v>1.0</v>
      </c>
      <c r="V1285" s="94">
        <v>0.0</v>
      </c>
      <c r="W1285" s="94">
        <v>0.0</v>
      </c>
      <c r="X1285" s="94">
        <v>0.0</v>
      </c>
      <c r="Y1285" s="94">
        <v>0.0</v>
      </c>
      <c r="Z1285" s="94">
        <v>0.0</v>
      </c>
      <c r="AA1285" s="94">
        <v>0.0</v>
      </c>
      <c r="AB1285" s="94">
        <v>0.0</v>
      </c>
      <c r="AC1285" s="85">
        <v>6.0</v>
      </c>
      <c r="AD1285" s="94">
        <v>0.0</v>
      </c>
      <c r="AE1285" s="94">
        <v>0.0</v>
      </c>
      <c r="AF1285" s="94">
        <v>0.0</v>
      </c>
      <c r="AG1285" s="94">
        <v>0.0</v>
      </c>
      <c r="AH1285" s="94">
        <v>0.0</v>
      </c>
    </row>
    <row r="1286" hidden="1">
      <c r="A1286" s="109" t="s">
        <v>49</v>
      </c>
      <c r="B1286" s="93" t="s">
        <v>201</v>
      </c>
      <c r="C1286" s="94">
        <v>0.0</v>
      </c>
      <c r="D1286" s="94">
        <v>0.0</v>
      </c>
      <c r="E1286" s="96">
        <f t="shared" si="973"/>
        <v>0</v>
      </c>
      <c r="F1286" s="94">
        <v>0.0</v>
      </c>
      <c r="G1286" s="94">
        <v>0.0</v>
      </c>
      <c r="H1286" s="94">
        <v>0.0</v>
      </c>
      <c r="I1286" s="94">
        <v>0.0</v>
      </c>
      <c r="J1286" s="95">
        <f t="shared" si="974"/>
        <v>0</v>
      </c>
      <c r="K1286" s="87" t="str">
        <f t="shared" si="975"/>
        <v>#DIV/0!</v>
      </c>
      <c r="L1286" s="94">
        <v>0.0</v>
      </c>
      <c r="M1286" s="94">
        <v>0.0</v>
      </c>
      <c r="N1286" s="85">
        <v>0.0</v>
      </c>
      <c r="O1286" s="110">
        <f t="shared" si="976"/>
        <v>0</v>
      </c>
      <c r="P1286" s="94">
        <v>0.0</v>
      </c>
      <c r="Q1286" s="94">
        <v>0.0</v>
      </c>
      <c r="R1286" s="94">
        <v>0.0</v>
      </c>
      <c r="S1286" s="94">
        <v>0.0</v>
      </c>
      <c r="T1286" s="94">
        <v>0.0</v>
      </c>
      <c r="U1286" s="94">
        <v>0.0</v>
      </c>
      <c r="V1286" s="94">
        <v>0.0</v>
      </c>
      <c r="W1286" s="94">
        <v>0.0</v>
      </c>
      <c r="X1286" s="94">
        <v>0.0</v>
      </c>
      <c r="Y1286" s="94">
        <v>0.0</v>
      </c>
      <c r="Z1286" s="94">
        <v>0.0</v>
      </c>
      <c r="AA1286" s="94">
        <v>0.0</v>
      </c>
      <c r="AB1286" s="94">
        <v>0.0</v>
      </c>
      <c r="AC1286" s="94">
        <v>0.0</v>
      </c>
      <c r="AD1286" s="94">
        <v>0.0</v>
      </c>
      <c r="AE1286" s="94">
        <v>0.0</v>
      </c>
      <c r="AF1286" s="94">
        <v>0.0</v>
      </c>
      <c r="AG1286" s="94">
        <v>0.0</v>
      </c>
      <c r="AH1286" s="94">
        <v>0.0</v>
      </c>
    </row>
    <row r="1287" hidden="1">
      <c r="A1287" s="109" t="s">
        <v>49</v>
      </c>
      <c r="B1287" s="93" t="s">
        <v>202</v>
      </c>
      <c r="C1287" s="85">
        <v>1.0</v>
      </c>
      <c r="D1287" s="85">
        <v>1.0</v>
      </c>
      <c r="E1287" s="96">
        <f t="shared" si="973"/>
        <v>15.86666667</v>
      </c>
      <c r="F1287" s="85">
        <v>2.0</v>
      </c>
      <c r="G1287" s="85">
        <v>64.0</v>
      </c>
      <c r="H1287" s="94">
        <v>0.0</v>
      </c>
      <c r="I1287" s="85">
        <v>68.0</v>
      </c>
      <c r="J1287" s="95">
        <f t="shared" si="974"/>
        <v>-4</v>
      </c>
      <c r="K1287" s="87">
        <f t="shared" si="975"/>
        <v>0.9411764706</v>
      </c>
      <c r="L1287" s="85">
        <v>14.0</v>
      </c>
      <c r="M1287" s="85">
        <v>84.0</v>
      </c>
      <c r="N1287" s="85">
        <v>1.0</v>
      </c>
      <c r="O1287" s="110">
        <f t="shared" si="976"/>
        <v>15.86666667</v>
      </c>
      <c r="P1287" s="85">
        <v>2.0</v>
      </c>
      <c r="Q1287" s="85">
        <v>1.0</v>
      </c>
      <c r="R1287" s="85">
        <v>5.0</v>
      </c>
      <c r="S1287" s="85">
        <v>1.0</v>
      </c>
      <c r="T1287" s="85">
        <v>11.0</v>
      </c>
      <c r="U1287" s="85">
        <v>4.0</v>
      </c>
      <c r="V1287" s="94">
        <v>0.0</v>
      </c>
      <c r="W1287" s="94">
        <v>0.0</v>
      </c>
      <c r="X1287" s="94">
        <v>0.0</v>
      </c>
      <c r="Y1287" s="94">
        <v>0.0</v>
      </c>
      <c r="Z1287" s="94">
        <v>0.0</v>
      </c>
      <c r="AA1287" s="94">
        <v>0.0</v>
      </c>
      <c r="AB1287" s="94">
        <v>0.0</v>
      </c>
      <c r="AC1287" s="94">
        <v>0.0</v>
      </c>
      <c r="AD1287" s="94">
        <v>0.0</v>
      </c>
      <c r="AE1287" s="94">
        <v>0.0</v>
      </c>
      <c r="AF1287" s="94">
        <v>0.0</v>
      </c>
      <c r="AG1287" s="94">
        <v>0.0</v>
      </c>
      <c r="AH1287" s="94">
        <v>0.0</v>
      </c>
    </row>
    <row r="1288" hidden="1">
      <c r="A1288" s="109" t="s">
        <v>49</v>
      </c>
      <c r="B1288" s="116"/>
      <c r="C1288" s="94">
        <v>0.0</v>
      </c>
      <c r="D1288" s="94">
        <v>0.0</v>
      </c>
      <c r="E1288" s="96">
        <f t="shared" si="973"/>
        <v>0</v>
      </c>
      <c r="F1288" s="94">
        <v>0.0</v>
      </c>
      <c r="G1288" s="94">
        <v>0.0</v>
      </c>
      <c r="H1288" s="94">
        <v>0.0</v>
      </c>
      <c r="I1288" s="94">
        <v>0.0</v>
      </c>
      <c r="J1288" s="95">
        <f t="shared" si="974"/>
        <v>0</v>
      </c>
      <c r="K1288" s="87" t="str">
        <f t="shared" si="975"/>
        <v>#DIV/0!</v>
      </c>
      <c r="L1288" s="94">
        <v>0.0</v>
      </c>
      <c r="M1288" s="94">
        <v>0.0</v>
      </c>
      <c r="N1288" s="85">
        <v>0.0</v>
      </c>
      <c r="O1288" s="110">
        <f t="shared" si="976"/>
        <v>0</v>
      </c>
      <c r="P1288" s="94">
        <v>0.0</v>
      </c>
      <c r="Q1288" s="94">
        <v>0.0</v>
      </c>
      <c r="R1288" s="94">
        <v>0.0</v>
      </c>
      <c r="S1288" s="94">
        <v>0.0</v>
      </c>
      <c r="T1288" s="94">
        <v>0.0</v>
      </c>
      <c r="U1288" s="94">
        <v>0.0</v>
      </c>
      <c r="V1288" s="94">
        <v>0.0</v>
      </c>
      <c r="W1288" s="94">
        <v>0.0</v>
      </c>
      <c r="X1288" s="94">
        <v>0.0</v>
      </c>
      <c r="Y1288" s="94">
        <v>0.0</v>
      </c>
      <c r="Z1288" s="94">
        <v>0.0</v>
      </c>
      <c r="AA1288" s="94">
        <v>0.0</v>
      </c>
      <c r="AB1288" s="94">
        <v>0.0</v>
      </c>
      <c r="AC1288" s="94">
        <v>0.0</v>
      </c>
      <c r="AD1288" s="94">
        <v>0.0</v>
      </c>
      <c r="AE1288" s="94">
        <v>0.0</v>
      </c>
      <c r="AF1288" s="94">
        <v>0.0</v>
      </c>
      <c r="AG1288" s="94">
        <v>0.0</v>
      </c>
      <c r="AH1288" s="94">
        <v>0.0</v>
      </c>
    </row>
    <row r="1289" hidden="1">
      <c r="A1289" s="89"/>
      <c r="B1289" s="111"/>
      <c r="C1289" s="111">
        <f t="shared" ref="C1289:D1289" si="977">SUM(C1283:C1288)/4</f>
        <v>1</v>
      </c>
      <c r="D1289" s="111">
        <f t="shared" si="977"/>
        <v>1</v>
      </c>
      <c r="E1289" s="91">
        <f t="shared" ref="E1289:G1289" si="978">SUM(E1283:E1288)</f>
        <v>69.21666667</v>
      </c>
      <c r="F1289" s="111">
        <f t="shared" si="978"/>
        <v>5</v>
      </c>
      <c r="G1289" s="111">
        <f t="shared" si="978"/>
        <v>232</v>
      </c>
      <c r="H1289" s="111"/>
      <c r="I1289" s="111">
        <f>SUM(I1283:I1288)</f>
        <v>186</v>
      </c>
      <c r="J1289" s="111">
        <f t="shared" si="974"/>
        <v>46</v>
      </c>
      <c r="K1289" s="92">
        <f t="shared" si="975"/>
        <v>1.247311828</v>
      </c>
      <c r="L1289" s="111">
        <f t="shared" ref="L1289:M1289" si="979">SUM(L1283:L1288)</f>
        <v>101</v>
      </c>
      <c r="M1289" s="111">
        <f t="shared" si="979"/>
        <v>302</v>
      </c>
      <c r="N1289" s="111"/>
      <c r="O1289" s="112"/>
      <c r="P1289" s="111">
        <f t="shared" ref="P1289:AH1289" si="980">SUM(P1283:P1288)</f>
        <v>6</v>
      </c>
      <c r="Q1289" s="111">
        <f t="shared" si="980"/>
        <v>7</v>
      </c>
      <c r="R1289" s="111">
        <f t="shared" si="980"/>
        <v>24</v>
      </c>
      <c r="S1289" s="111">
        <f t="shared" si="980"/>
        <v>2</v>
      </c>
      <c r="T1289" s="111">
        <f t="shared" si="980"/>
        <v>33</v>
      </c>
      <c r="U1289" s="111">
        <f t="shared" si="980"/>
        <v>8</v>
      </c>
      <c r="V1289" s="111">
        <f t="shared" si="980"/>
        <v>1</v>
      </c>
      <c r="W1289" s="111">
        <f t="shared" si="980"/>
        <v>0</v>
      </c>
      <c r="X1289" s="111">
        <f t="shared" si="980"/>
        <v>0</v>
      </c>
      <c r="Y1289" s="111">
        <f t="shared" si="980"/>
        <v>0</v>
      </c>
      <c r="Z1289" s="111">
        <f t="shared" si="980"/>
        <v>0</v>
      </c>
      <c r="AA1289" s="111">
        <f t="shared" si="980"/>
        <v>0</v>
      </c>
      <c r="AB1289" s="111">
        <f t="shared" si="980"/>
        <v>0</v>
      </c>
      <c r="AC1289" s="111">
        <f t="shared" si="980"/>
        <v>7</v>
      </c>
      <c r="AD1289" s="111">
        <f t="shared" si="980"/>
        <v>0</v>
      </c>
      <c r="AE1289" s="111">
        <f t="shared" si="980"/>
        <v>0</v>
      </c>
      <c r="AF1289" s="111">
        <f t="shared" si="980"/>
        <v>0</v>
      </c>
      <c r="AG1289" s="111">
        <f t="shared" si="980"/>
        <v>0</v>
      </c>
      <c r="AH1289" s="111">
        <f t="shared" si="980"/>
        <v>0</v>
      </c>
    </row>
    <row r="1290" hidden="1">
      <c r="A1290" s="109" t="s">
        <v>56</v>
      </c>
      <c r="B1290" s="93" t="s">
        <v>203</v>
      </c>
      <c r="C1290" s="85">
        <v>1.0</v>
      </c>
      <c r="D1290" s="94">
        <v>0.0</v>
      </c>
      <c r="E1290" s="96">
        <f t="shared" ref="E1290:E1295" si="981">SUM(L1290*I1290)/60</f>
        <v>16.1</v>
      </c>
      <c r="F1290" s="94">
        <v>0.0</v>
      </c>
      <c r="G1290" s="85">
        <v>49.0</v>
      </c>
      <c r="H1290" s="94">
        <v>0.0</v>
      </c>
      <c r="I1290" s="85">
        <v>69.0</v>
      </c>
      <c r="J1290" s="95">
        <f t="shared" si="974"/>
        <v>-20</v>
      </c>
      <c r="K1290" s="87">
        <f t="shared" si="975"/>
        <v>0.7101449275</v>
      </c>
      <c r="L1290" s="85">
        <v>14.0</v>
      </c>
      <c r="M1290" s="85">
        <v>65.0</v>
      </c>
      <c r="N1290" s="85">
        <v>1.0</v>
      </c>
      <c r="O1290" s="110">
        <f t="shared" ref="O1290:O1295" si="982">(E1290*N1290)</f>
        <v>16.1</v>
      </c>
      <c r="P1290" s="85">
        <v>4.0</v>
      </c>
      <c r="Q1290" s="94">
        <v>0.0</v>
      </c>
      <c r="R1290" s="85">
        <v>1.0</v>
      </c>
      <c r="S1290" s="85">
        <v>1.0</v>
      </c>
      <c r="T1290" s="85">
        <v>10.0</v>
      </c>
      <c r="U1290" s="85">
        <v>3.0</v>
      </c>
      <c r="V1290" s="94">
        <v>0.0</v>
      </c>
      <c r="W1290" s="94">
        <v>0.0</v>
      </c>
      <c r="X1290" s="94">
        <v>0.0</v>
      </c>
      <c r="Y1290" s="94">
        <v>0.0</v>
      </c>
      <c r="Z1290" s="94">
        <v>0.0</v>
      </c>
      <c r="AA1290" s="94">
        <v>0.0</v>
      </c>
      <c r="AB1290" s="94">
        <v>0.0</v>
      </c>
      <c r="AC1290" s="85">
        <v>2.0</v>
      </c>
      <c r="AD1290" s="94">
        <v>0.0</v>
      </c>
      <c r="AE1290" s="94">
        <v>0.0</v>
      </c>
      <c r="AF1290" s="94">
        <v>0.0</v>
      </c>
      <c r="AG1290" s="94">
        <v>0.0</v>
      </c>
      <c r="AH1290" s="94">
        <v>0.0</v>
      </c>
    </row>
    <row r="1291" hidden="1">
      <c r="A1291" s="109" t="s">
        <v>56</v>
      </c>
      <c r="B1291" s="93" t="s">
        <v>204</v>
      </c>
      <c r="C1291" s="85">
        <v>1.0</v>
      </c>
      <c r="D1291" s="94">
        <v>0.0</v>
      </c>
      <c r="E1291" s="96">
        <f t="shared" si="981"/>
        <v>17.1</v>
      </c>
      <c r="F1291" s="94">
        <v>0.0</v>
      </c>
      <c r="G1291" s="85">
        <v>65.0</v>
      </c>
      <c r="H1291" s="94">
        <v>0.0</v>
      </c>
      <c r="I1291" s="85">
        <v>54.0</v>
      </c>
      <c r="J1291" s="95">
        <f t="shared" si="974"/>
        <v>11</v>
      </c>
      <c r="K1291" s="87">
        <f t="shared" si="975"/>
        <v>1.203703704</v>
      </c>
      <c r="L1291" s="85">
        <v>19.0</v>
      </c>
      <c r="M1291" s="85">
        <v>82.0</v>
      </c>
      <c r="N1291" s="85">
        <v>1.0</v>
      </c>
      <c r="O1291" s="110">
        <f t="shared" si="982"/>
        <v>17.1</v>
      </c>
      <c r="P1291" s="85">
        <v>1.0</v>
      </c>
      <c r="Q1291" s="85">
        <v>1.0</v>
      </c>
      <c r="R1291" s="85">
        <v>4.0</v>
      </c>
      <c r="S1291" s="85">
        <v>4.0</v>
      </c>
      <c r="T1291" s="85">
        <v>10.0</v>
      </c>
      <c r="U1291" s="85">
        <v>1.0</v>
      </c>
      <c r="V1291" s="94">
        <v>0.0</v>
      </c>
      <c r="W1291" s="94">
        <v>0.0</v>
      </c>
      <c r="X1291" s="94">
        <v>0.0</v>
      </c>
      <c r="Y1291" s="94">
        <v>0.0</v>
      </c>
      <c r="Z1291" s="94">
        <v>0.0</v>
      </c>
      <c r="AA1291" s="94">
        <v>0.0</v>
      </c>
      <c r="AB1291" s="94">
        <v>0.0</v>
      </c>
      <c r="AC1291" s="94">
        <v>0.0</v>
      </c>
      <c r="AD1291" s="94">
        <v>0.0</v>
      </c>
      <c r="AE1291" s="94">
        <v>0.0</v>
      </c>
      <c r="AF1291" s="94">
        <v>0.0</v>
      </c>
      <c r="AG1291" s="94">
        <v>0.0</v>
      </c>
      <c r="AH1291" s="94">
        <v>0.0</v>
      </c>
    </row>
    <row r="1292" hidden="1">
      <c r="A1292" s="109" t="s">
        <v>56</v>
      </c>
      <c r="B1292" s="93" t="s">
        <v>205</v>
      </c>
      <c r="C1292" s="85">
        <v>0.0</v>
      </c>
      <c r="D1292" s="94">
        <v>0.0</v>
      </c>
      <c r="E1292" s="96">
        <f t="shared" si="981"/>
        <v>0</v>
      </c>
      <c r="F1292" s="94">
        <v>0.0</v>
      </c>
      <c r="G1292" s="94">
        <v>0.0</v>
      </c>
      <c r="H1292" s="94">
        <v>0.0</v>
      </c>
      <c r="I1292" s="94">
        <v>0.0</v>
      </c>
      <c r="J1292" s="95">
        <f t="shared" si="974"/>
        <v>0</v>
      </c>
      <c r="K1292" s="87" t="str">
        <f t="shared" si="975"/>
        <v>#DIV/0!</v>
      </c>
      <c r="L1292" s="94">
        <v>0.0</v>
      </c>
      <c r="M1292" s="94">
        <v>0.0</v>
      </c>
      <c r="N1292" s="85">
        <v>0.0</v>
      </c>
      <c r="O1292" s="110">
        <f t="shared" si="982"/>
        <v>0</v>
      </c>
      <c r="P1292" s="94">
        <v>0.0</v>
      </c>
      <c r="Q1292" s="94">
        <v>0.0</v>
      </c>
      <c r="R1292" s="94">
        <v>0.0</v>
      </c>
      <c r="S1292" s="94">
        <v>0.0</v>
      </c>
      <c r="T1292" s="94">
        <v>0.0</v>
      </c>
      <c r="U1292" s="94">
        <v>0.0</v>
      </c>
      <c r="V1292" s="94">
        <v>0.0</v>
      </c>
      <c r="W1292" s="94">
        <v>0.0</v>
      </c>
      <c r="X1292" s="94">
        <v>0.0</v>
      </c>
      <c r="Y1292" s="94">
        <v>0.0</v>
      </c>
      <c r="Z1292" s="94">
        <v>0.0</v>
      </c>
      <c r="AA1292" s="94">
        <v>0.0</v>
      </c>
      <c r="AB1292" s="94">
        <v>0.0</v>
      </c>
      <c r="AC1292" s="94">
        <v>0.0</v>
      </c>
      <c r="AD1292" s="94">
        <v>0.0</v>
      </c>
      <c r="AE1292" s="94">
        <v>0.0</v>
      </c>
      <c r="AF1292" s="94">
        <v>0.0</v>
      </c>
      <c r="AG1292" s="94">
        <v>0.0</v>
      </c>
      <c r="AH1292" s="94">
        <v>0.0</v>
      </c>
    </row>
    <row r="1293" hidden="1">
      <c r="A1293" s="109" t="s">
        <v>56</v>
      </c>
      <c r="B1293" s="93" t="s">
        <v>206</v>
      </c>
      <c r="C1293" s="85">
        <v>1.0</v>
      </c>
      <c r="D1293" s="94">
        <v>0.0</v>
      </c>
      <c r="E1293" s="96">
        <f t="shared" si="981"/>
        <v>16.26666667</v>
      </c>
      <c r="F1293" s="94">
        <v>0.0</v>
      </c>
      <c r="G1293" s="85">
        <v>41.0</v>
      </c>
      <c r="H1293" s="94">
        <v>0.0</v>
      </c>
      <c r="I1293" s="85">
        <v>61.0</v>
      </c>
      <c r="J1293" s="95">
        <f t="shared" si="974"/>
        <v>-20</v>
      </c>
      <c r="K1293" s="87">
        <f t="shared" si="975"/>
        <v>0.6721311475</v>
      </c>
      <c r="L1293" s="85">
        <v>16.0</v>
      </c>
      <c r="M1293" s="85">
        <v>49.0</v>
      </c>
      <c r="N1293" s="85">
        <v>1.0</v>
      </c>
      <c r="O1293" s="110">
        <f t="shared" si="982"/>
        <v>16.26666667</v>
      </c>
      <c r="P1293" s="94">
        <v>0.0</v>
      </c>
      <c r="Q1293" s="94">
        <v>0.0</v>
      </c>
      <c r="R1293" s="85">
        <v>1.0</v>
      </c>
      <c r="S1293" s="85">
        <v>4.0</v>
      </c>
      <c r="T1293" s="85">
        <v>4.0</v>
      </c>
      <c r="U1293" s="94">
        <v>0.0</v>
      </c>
      <c r="V1293" s="94">
        <v>0.0</v>
      </c>
      <c r="W1293" s="94">
        <v>0.0</v>
      </c>
      <c r="X1293" s="94">
        <v>0.0</v>
      </c>
      <c r="Y1293" s="94">
        <v>0.0</v>
      </c>
      <c r="Z1293" s="94">
        <v>0.0</v>
      </c>
      <c r="AA1293" s="94">
        <v>0.0</v>
      </c>
      <c r="AB1293" s="94">
        <v>0.0</v>
      </c>
      <c r="AC1293" s="94">
        <v>0.0</v>
      </c>
      <c r="AD1293" s="94">
        <v>0.0</v>
      </c>
      <c r="AE1293" s="94">
        <v>0.0</v>
      </c>
      <c r="AF1293" s="94">
        <v>0.0</v>
      </c>
      <c r="AG1293" s="94">
        <v>0.0</v>
      </c>
      <c r="AH1293" s="94">
        <v>0.0</v>
      </c>
    </row>
    <row r="1294" hidden="1">
      <c r="A1294" s="109" t="s">
        <v>56</v>
      </c>
      <c r="B1294" s="93" t="s">
        <v>207</v>
      </c>
      <c r="C1294" s="85">
        <v>1.0</v>
      </c>
      <c r="D1294" s="94">
        <v>0.0</v>
      </c>
      <c r="E1294" s="96">
        <f t="shared" si="981"/>
        <v>16.71666667</v>
      </c>
      <c r="F1294" s="94">
        <v>0.0</v>
      </c>
      <c r="G1294" s="85">
        <v>28.0</v>
      </c>
      <c r="H1294" s="94">
        <v>0.0</v>
      </c>
      <c r="I1294" s="85">
        <v>59.0</v>
      </c>
      <c r="J1294" s="95">
        <f t="shared" si="974"/>
        <v>-31</v>
      </c>
      <c r="K1294" s="87">
        <f t="shared" si="975"/>
        <v>0.4745762712</v>
      </c>
      <c r="L1294" s="85">
        <v>17.0</v>
      </c>
      <c r="M1294" s="85">
        <v>33.0</v>
      </c>
      <c r="N1294" s="85">
        <v>1.0</v>
      </c>
      <c r="O1294" s="110">
        <f t="shared" si="982"/>
        <v>16.71666667</v>
      </c>
      <c r="P1294" s="85">
        <v>2.0</v>
      </c>
      <c r="Q1294" s="85">
        <v>1.0</v>
      </c>
      <c r="R1294" s="94">
        <v>0.0</v>
      </c>
      <c r="S1294" s="85">
        <v>2.0</v>
      </c>
      <c r="T1294" s="85">
        <v>2.0</v>
      </c>
      <c r="U1294" s="94">
        <v>0.0</v>
      </c>
      <c r="V1294" s="94">
        <v>0.0</v>
      </c>
      <c r="W1294" s="94">
        <v>0.0</v>
      </c>
      <c r="X1294" s="94">
        <v>0.0</v>
      </c>
      <c r="Y1294" s="94">
        <v>0.0</v>
      </c>
      <c r="Z1294" s="94">
        <v>0.0</v>
      </c>
      <c r="AA1294" s="94">
        <v>0.0</v>
      </c>
      <c r="AB1294" s="94">
        <v>0.0</v>
      </c>
      <c r="AC1294" s="94">
        <v>0.0</v>
      </c>
      <c r="AD1294" s="94">
        <v>0.0</v>
      </c>
      <c r="AE1294" s="94">
        <v>0.0</v>
      </c>
      <c r="AF1294" s="94">
        <v>0.0</v>
      </c>
      <c r="AG1294" s="94">
        <v>0.0</v>
      </c>
      <c r="AH1294" s="94">
        <v>0.0</v>
      </c>
    </row>
    <row r="1295" hidden="1">
      <c r="A1295" s="109" t="s">
        <v>56</v>
      </c>
      <c r="B1295" s="116"/>
      <c r="C1295" s="94">
        <v>0.0</v>
      </c>
      <c r="D1295" s="94">
        <v>0.0</v>
      </c>
      <c r="E1295" s="96">
        <f t="shared" si="981"/>
        <v>0</v>
      </c>
      <c r="F1295" s="94">
        <v>0.0</v>
      </c>
      <c r="G1295" s="94">
        <v>0.0</v>
      </c>
      <c r="H1295" s="94">
        <v>0.0</v>
      </c>
      <c r="I1295" s="94">
        <v>0.0</v>
      </c>
      <c r="J1295" s="95">
        <f t="shared" si="974"/>
        <v>0</v>
      </c>
      <c r="K1295" s="87" t="str">
        <f t="shared" si="975"/>
        <v>#DIV/0!</v>
      </c>
      <c r="L1295" s="94">
        <v>0.0</v>
      </c>
      <c r="M1295" s="94">
        <v>0.0</v>
      </c>
      <c r="N1295" s="85">
        <v>0.0</v>
      </c>
      <c r="O1295" s="110">
        <f t="shared" si="982"/>
        <v>0</v>
      </c>
      <c r="P1295" s="94">
        <v>0.0</v>
      </c>
      <c r="Q1295" s="94">
        <v>0.0</v>
      </c>
      <c r="R1295" s="94">
        <v>0.0</v>
      </c>
      <c r="S1295" s="94">
        <v>0.0</v>
      </c>
      <c r="T1295" s="94">
        <v>0.0</v>
      </c>
      <c r="U1295" s="94">
        <v>0.0</v>
      </c>
      <c r="V1295" s="94">
        <v>0.0</v>
      </c>
      <c r="W1295" s="94">
        <v>0.0</v>
      </c>
      <c r="X1295" s="94">
        <v>0.0</v>
      </c>
      <c r="Y1295" s="94">
        <v>0.0</v>
      </c>
      <c r="Z1295" s="94">
        <v>0.0</v>
      </c>
      <c r="AA1295" s="94">
        <v>0.0</v>
      </c>
      <c r="AB1295" s="94">
        <v>0.0</v>
      </c>
      <c r="AC1295" s="94">
        <v>0.0</v>
      </c>
      <c r="AD1295" s="94">
        <v>0.0</v>
      </c>
      <c r="AE1295" s="94">
        <v>0.0</v>
      </c>
      <c r="AF1295" s="94">
        <v>0.0</v>
      </c>
      <c r="AG1295" s="94">
        <v>0.0</v>
      </c>
      <c r="AH1295" s="94">
        <v>0.0</v>
      </c>
    </row>
    <row r="1296" hidden="1">
      <c r="A1296" s="89" t="s">
        <v>185</v>
      </c>
      <c r="B1296" s="111"/>
      <c r="C1296" s="111">
        <f>SUM(C1290:C1295)</f>
        <v>4</v>
      </c>
      <c r="D1296" s="111">
        <f t="shared" ref="D1296:E1296" si="983">SUM(D1290:D1295)/4</f>
        <v>0</v>
      </c>
      <c r="E1296" s="91">
        <f t="shared" si="983"/>
        <v>16.54583333</v>
      </c>
      <c r="F1296" s="111">
        <f t="shared" ref="F1296:G1296" si="984">SUM(F1290:F1295)</f>
        <v>0</v>
      </c>
      <c r="G1296" s="111">
        <f t="shared" si="984"/>
        <v>183</v>
      </c>
      <c r="H1296" s="111"/>
      <c r="I1296" s="111">
        <f>SUM(I1290:I1295)</f>
        <v>243</v>
      </c>
      <c r="J1296" s="111">
        <f t="shared" si="974"/>
        <v>-60</v>
      </c>
      <c r="K1296" s="92">
        <f t="shared" si="975"/>
        <v>0.7530864198</v>
      </c>
      <c r="L1296" s="111">
        <f t="shared" ref="L1296:M1296" si="985">SUM(L1290:L1295)</f>
        <v>66</v>
      </c>
      <c r="M1296" s="111">
        <f t="shared" si="985"/>
        <v>229</v>
      </c>
      <c r="N1296" s="111"/>
      <c r="O1296" s="112"/>
      <c r="P1296" s="111">
        <f t="shared" ref="P1296:AH1296" si="986">SUM(P1290:P1295)</f>
        <v>7</v>
      </c>
      <c r="Q1296" s="111">
        <f t="shared" si="986"/>
        <v>2</v>
      </c>
      <c r="R1296" s="111">
        <f t="shared" si="986"/>
        <v>6</v>
      </c>
      <c r="S1296" s="111">
        <f t="shared" si="986"/>
        <v>11</v>
      </c>
      <c r="T1296" s="111">
        <f t="shared" si="986"/>
        <v>26</v>
      </c>
      <c r="U1296" s="111">
        <f t="shared" si="986"/>
        <v>4</v>
      </c>
      <c r="V1296" s="111">
        <f t="shared" si="986"/>
        <v>0</v>
      </c>
      <c r="W1296" s="111">
        <f t="shared" si="986"/>
        <v>0</v>
      </c>
      <c r="X1296" s="111">
        <f t="shared" si="986"/>
        <v>0</v>
      </c>
      <c r="Y1296" s="111">
        <f t="shared" si="986"/>
        <v>0</v>
      </c>
      <c r="Z1296" s="111">
        <f t="shared" si="986"/>
        <v>0</v>
      </c>
      <c r="AA1296" s="111">
        <f t="shared" si="986"/>
        <v>0</v>
      </c>
      <c r="AB1296" s="111">
        <f t="shared" si="986"/>
        <v>0</v>
      </c>
      <c r="AC1296" s="111">
        <f t="shared" si="986"/>
        <v>2</v>
      </c>
      <c r="AD1296" s="111">
        <f t="shared" si="986"/>
        <v>0</v>
      </c>
      <c r="AE1296" s="111">
        <f t="shared" si="986"/>
        <v>0</v>
      </c>
      <c r="AF1296" s="111">
        <f t="shared" si="986"/>
        <v>0</v>
      </c>
      <c r="AG1296" s="111">
        <f t="shared" si="986"/>
        <v>0</v>
      </c>
      <c r="AH1296" s="111">
        <f t="shared" si="986"/>
        <v>0</v>
      </c>
    </row>
    <row r="1297">
      <c r="A1297" s="104" t="s">
        <v>328</v>
      </c>
    </row>
    <row r="1299" hidden="1">
      <c r="A1299" s="105"/>
      <c r="F1299" s="106" t="s">
        <v>251</v>
      </c>
      <c r="L1299" s="107" t="s">
        <v>252</v>
      </c>
      <c r="N1299" s="108" t="s">
        <v>253</v>
      </c>
    </row>
    <row r="1300" hidden="1">
      <c r="A1300" s="76" t="s">
        <v>148</v>
      </c>
      <c r="B1300" s="76" t="s">
        <v>149</v>
      </c>
      <c r="C1300" s="76" t="s">
        <v>150</v>
      </c>
      <c r="D1300" s="76" t="s">
        <v>13</v>
      </c>
      <c r="E1300" s="77" t="s">
        <v>151</v>
      </c>
      <c r="F1300" s="78" t="s">
        <v>15</v>
      </c>
      <c r="G1300" s="78" t="s">
        <v>152</v>
      </c>
      <c r="H1300" s="78" t="s">
        <v>153</v>
      </c>
      <c r="I1300" s="78" t="s">
        <v>154</v>
      </c>
      <c r="J1300" s="78" t="s">
        <v>155</v>
      </c>
      <c r="K1300" s="79" t="s">
        <v>156</v>
      </c>
      <c r="L1300" s="80" t="s">
        <v>157</v>
      </c>
      <c r="M1300" s="80" t="s">
        <v>158</v>
      </c>
      <c r="N1300" s="81" t="s">
        <v>254</v>
      </c>
      <c r="O1300" s="81" t="s">
        <v>151</v>
      </c>
      <c r="P1300" s="81" t="s">
        <v>160</v>
      </c>
      <c r="Q1300" s="81" t="s">
        <v>161</v>
      </c>
      <c r="R1300" s="81" t="s">
        <v>162</v>
      </c>
      <c r="S1300" s="81" t="s">
        <v>163</v>
      </c>
      <c r="T1300" s="81" t="s">
        <v>164</v>
      </c>
      <c r="U1300" s="81" t="s">
        <v>165</v>
      </c>
      <c r="V1300" s="81" t="s">
        <v>166</v>
      </c>
      <c r="W1300" s="81" t="s">
        <v>167</v>
      </c>
      <c r="X1300" s="81" t="s">
        <v>168</v>
      </c>
      <c r="Y1300" s="81" t="s">
        <v>169</v>
      </c>
      <c r="Z1300" s="81" t="s">
        <v>170</v>
      </c>
      <c r="AA1300" s="81" t="s">
        <v>171</v>
      </c>
      <c r="AB1300" s="81" t="s">
        <v>172</v>
      </c>
      <c r="AC1300" s="81" t="s">
        <v>173</v>
      </c>
      <c r="AD1300" s="81" t="s">
        <v>174</v>
      </c>
      <c r="AE1300" s="81" t="s">
        <v>175</v>
      </c>
      <c r="AF1300" s="81" t="s">
        <v>176</v>
      </c>
      <c r="AG1300" s="81" t="s">
        <v>177</v>
      </c>
      <c r="AH1300" s="81" t="s">
        <v>178</v>
      </c>
    </row>
    <row r="1301" hidden="1">
      <c r="A1301" s="109" t="s">
        <v>49</v>
      </c>
      <c r="B1301" s="93" t="s">
        <v>198</v>
      </c>
      <c r="C1301" s="85">
        <v>1.0</v>
      </c>
      <c r="D1301" s="94">
        <v>0.0</v>
      </c>
      <c r="E1301" s="96">
        <f t="shared" ref="E1301:E1306" si="987">SUM(L1301*I1301)/60</f>
        <v>26.86666667</v>
      </c>
      <c r="F1301" s="85">
        <v>2.0</v>
      </c>
      <c r="G1301" s="85">
        <v>44.0</v>
      </c>
      <c r="H1301" s="94">
        <v>0.0</v>
      </c>
      <c r="I1301" s="85">
        <v>52.0</v>
      </c>
      <c r="J1301" s="95">
        <f t="shared" ref="J1301:J1314" si="988">SUM(G1301-I1301)</f>
        <v>-8</v>
      </c>
      <c r="K1301" s="87">
        <f t="shared" ref="K1301:K1314" si="989">SUM(G1301/I1301)</f>
        <v>0.8461538462</v>
      </c>
      <c r="L1301" s="85">
        <v>31.0</v>
      </c>
      <c r="M1301" s="85">
        <v>61.0</v>
      </c>
      <c r="N1301" s="85">
        <v>1.0</v>
      </c>
      <c r="O1301" s="110">
        <f t="shared" ref="O1301:O1306" si="990">(E1301*N1301)</f>
        <v>26.86666667</v>
      </c>
      <c r="P1301" s="85">
        <v>2.0</v>
      </c>
      <c r="Q1301" s="94">
        <v>0.0</v>
      </c>
      <c r="R1301" s="85">
        <v>3.0</v>
      </c>
      <c r="S1301" s="94">
        <v>0.0</v>
      </c>
      <c r="T1301" s="85">
        <v>5.0</v>
      </c>
      <c r="U1301" s="85">
        <v>2.0</v>
      </c>
      <c r="V1301" s="85">
        <v>1.0</v>
      </c>
      <c r="W1301" s="85">
        <v>1.0</v>
      </c>
      <c r="X1301" s="94">
        <v>0.0</v>
      </c>
      <c r="Y1301" s="94">
        <v>0.0</v>
      </c>
      <c r="Z1301" s="94">
        <v>0.0</v>
      </c>
      <c r="AA1301" s="94">
        <v>0.0</v>
      </c>
      <c r="AB1301" s="94">
        <v>0.0</v>
      </c>
      <c r="AC1301" s="85">
        <v>2.0</v>
      </c>
      <c r="AD1301" s="94">
        <v>0.0</v>
      </c>
      <c r="AE1301" s="94">
        <v>0.0</v>
      </c>
      <c r="AF1301" s="94">
        <v>0.0</v>
      </c>
      <c r="AG1301" s="94">
        <v>0.0</v>
      </c>
      <c r="AH1301" s="94">
        <v>0.0</v>
      </c>
    </row>
    <row r="1302" hidden="1">
      <c r="A1302" s="109" t="s">
        <v>49</v>
      </c>
      <c r="B1302" s="93" t="s">
        <v>199</v>
      </c>
      <c r="C1302" s="85">
        <v>1.0</v>
      </c>
      <c r="D1302" s="94">
        <v>0.0</v>
      </c>
      <c r="E1302" s="96">
        <f t="shared" si="987"/>
        <v>23.56666667</v>
      </c>
      <c r="F1302" s="85">
        <v>1.0</v>
      </c>
      <c r="G1302" s="85">
        <v>100.0</v>
      </c>
      <c r="H1302" s="94">
        <v>0.0</v>
      </c>
      <c r="I1302" s="85">
        <v>101.0</v>
      </c>
      <c r="J1302" s="95">
        <f t="shared" si="988"/>
        <v>-1</v>
      </c>
      <c r="K1302" s="87">
        <f t="shared" si="989"/>
        <v>0.9900990099</v>
      </c>
      <c r="L1302" s="85">
        <v>14.0</v>
      </c>
      <c r="M1302" s="85">
        <v>130.0</v>
      </c>
      <c r="N1302" s="85">
        <v>1.0</v>
      </c>
      <c r="O1302" s="110">
        <f t="shared" si="990"/>
        <v>23.56666667</v>
      </c>
      <c r="P1302" s="85">
        <v>4.0</v>
      </c>
      <c r="Q1302" s="85">
        <v>8.0</v>
      </c>
      <c r="R1302" s="85">
        <v>4.0</v>
      </c>
      <c r="S1302" s="85">
        <v>3.0</v>
      </c>
      <c r="T1302" s="85">
        <v>18.0</v>
      </c>
      <c r="U1302" s="85">
        <v>3.0</v>
      </c>
      <c r="V1302" s="94">
        <v>0.0</v>
      </c>
      <c r="W1302" s="94">
        <v>0.0</v>
      </c>
      <c r="X1302" s="94">
        <v>0.0</v>
      </c>
      <c r="Y1302" s="94">
        <v>0.0</v>
      </c>
      <c r="Z1302" s="94">
        <v>0.0</v>
      </c>
      <c r="AA1302" s="94">
        <v>0.0</v>
      </c>
      <c r="AB1302" s="94">
        <v>0.0</v>
      </c>
      <c r="AC1302" s="85">
        <v>2.0</v>
      </c>
      <c r="AD1302" s="94">
        <v>0.0</v>
      </c>
      <c r="AE1302" s="94">
        <v>0.0</v>
      </c>
      <c r="AF1302" s="94">
        <v>0.0</v>
      </c>
      <c r="AG1302" s="94">
        <v>0.0</v>
      </c>
      <c r="AH1302" s="94">
        <v>0.0</v>
      </c>
    </row>
    <row r="1303" hidden="1">
      <c r="A1303" s="109" t="s">
        <v>49</v>
      </c>
      <c r="B1303" s="93" t="s">
        <v>200</v>
      </c>
      <c r="C1303" s="85">
        <v>1.0</v>
      </c>
      <c r="D1303" s="94">
        <v>0.0</v>
      </c>
      <c r="E1303" s="96">
        <f t="shared" si="987"/>
        <v>24.05</v>
      </c>
      <c r="F1303" s="94">
        <v>0.0</v>
      </c>
      <c r="G1303" s="85">
        <v>124.0</v>
      </c>
      <c r="H1303" s="94">
        <v>0.0</v>
      </c>
      <c r="I1303" s="85">
        <v>111.0</v>
      </c>
      <c r="J1303" s="95">
        <f t="shared" si="988"/>
        <v>13</v>
      </c>
      <c r="K1303" s="87">
        <f t="shared" si="989"/>
        <v>1.117117117</v>
      </c>
      <c r="L1303" s="85">
        <v>13.0</v>
      </c>
      <c r="M1303" s="85">
        <v>163.0</v>
      </c>
      <c r="N1303" s="85">
        <v>1.0</v>
      </c>
      <c r="O1303" s="110">
        <f t="shared" si="990"/>
        <v>24.05</v>
      </c>
      <c r="P1303" s="85">
        <v>3.0</v>
      </c>
      <c r="Q1303" s="85">
        <v>3.0</v>
      </c>
      <c r="R1303" s="85">
        <v>8.0</v>
      </c>
      <c r="S1303" s="85">
        <v>1.0</v>
      </c>
      <c r="T1303" s="85">
        <v>22.0</v>
      </c>
      <c r="U1303" s="85">
        <v>3.0</v>
      </c>
      <c r="V1303" s="85">
        <v>1.0</v>
      </c>
      <c r="W1303" s="85">
        <v>1.0</v>
      </c>
      <c r="X1303" s="85">
        <v>1.0</v>
      </c>
      <c r="Y1303" s="85">
        <v>1.0</v>
      </c>
      <c r="Z1303" s="94">
        <v>0.0</v>
      </c>
      <c r="AA1303" s="94">
        <v>0.0</v>
      </c>
      <c r="AB1303" s="94">
        <v>0.0</v>
      </c>
      <c r="AC1303" s="85">
        <v>3.0</v>
      </c>
      <c r="AD1303" s="94">
        <v>0.0</v>
      </c>
      <c r="AE1303" s="94">
        <v>0.0</v>
      </c>
      <c r="AF1303" s="94">
        <v>0.0</v>
      </c>
      <c r="AG1303" s="94">
        <v>0.0</v>
      </c>
      <c r="AH1303" s="94">
        <v>0.0</v>
      </c>
    </row>
    <row r="1304" hidden="1">
      <c r="A1304" s="109" t="s">
        <v>49</v>
      </c>
      <c r="B1304" s="93" t="s">
        <v>201</v>
      </c>
      <c r="C1304" s="94">
        <v>0.0</v>
      </c>
      <c r="D1304" s="94">
        <v>0.0</v>
      </c>
      <c r="E1304" s="96">
        <f t="shared" si="987"/>
        <v>0</v>
      </c>
      <c r="F1304" s="94">
        <v>0.0</v>
      </c>
      <c r="G1304" s="94">
        <v>0.0</v>
      </c>
      <c r="H1304" s="94">
        <v>0.0</v>
      </c>
      <c r="I1304" s="94">
        <v>0.0</v>
      </c>
      <c r="J1304" s="95">
        <f t="shared" si="988"/>
        <v>0</v>
      </c>
      <c r="K1304" s="87" t="str">
        <f t="shared" si="989"/>
        <v>#DIV/0!</v>
      </c>
      <c r="L1304" s="94">
        <v>0.0</v>
      </c>
      <c r="M1304" s="94">
        <v>0.0</v>
      </c>
      <c r="N1304" s="85">
        <v>0.0</v>
      </c>
      <c r="O1304" s="110">
        <f t="shared" si="990"/>
        <v>0</v>
      </c>
      <c r="P1304" s="94">
        <v>0.0</v>
      </c>
      <c r="Q1304" s="94">
        <v>0.0</v>
      </c>
      <c r="R1304" s="94">
        <v>0.0</v>
      </c>
      <c r="S1304" s="94">
        <v>0.0</v>
      </c>
      <c r="T1304" s="94">
        <v>0.0</v>
      </c>
      <c r="U1304" s="94">
        <v>0.0</v>
      </c>
      <c r="V1304" s="94">
        <v>0.0</v>
      </c>
      <c r="W1304" s="94">
        <v>0.0</v>
      </c>
      <c r="X1304" s="94">
        <v>0.0</v>
      </c>
      <c r="Y1304" s="94">
        <v>0.0</v>
      </c>
      <c r="Z1304" s="94">
        <v>0.0</v>
      </c>
      <c r="AA1304" s="94">
        <v>0.0</v>
      </c>
      <c r="AB1304" s="94">
        <v>0.0</v>
      </c>
      <c r="AC1304" s="94">
        <v>0.0</v>
      </c>
      <c r="AD1304" s="94">
        <v>0.0</v>
      </c>
      <c r="AE1304" s="94">
        <v>0.0</v>
      </c>
      <c r="AF1304" s="94">
        <v>0.0</v>
      </c>
      <c r="AG1304" s="94">
        <v>0.0</v>
      </c>
      <c r="AH1304" s="94">
        <v>0.0</v>
      </c>
    </row>
    <row r="1305" hidden="1">
      <c r="A1305" s="109" t="s">
        <v>49</v>
      </c>
      <c r="B1305" s="93" t="s">
        <v>202</v>
      </c>
      <c r="C1305" s="85">
        <v>1.0</v>
      </c>
      <c r="D1305" s="94">
        <v>0.0</v>
      </c>
      <c r="E1305" s="96">
        <f t="shared" si="987"/>
        <v>23.46666667</v>
      </c>
      <c r="F1305" s="94">
        <v>0.0</v>
      </c>
      <c r="G1305" s="85">
        <v>126.0</v>
      </c>
      <c r="H1305" s="94">
        <v>0.0</v>
      </c>
      <c r="I1305" s="85">
        <v>128.0</v>
      </c>
      <c r="J1305" s="95">
        <f t="shared" si="988"/>
        <v>-2</v>
      </c>
      <c r="K1305" s="87">
        <f t="shared" si="989"/>
        <v>0.984375</v>
      </c>
      <c r="L1305" s="85">
        <v>11.0</v>
      </c>
      <c r="M1305" s="85">
        <v>159.0</v>
      </c>
      <c r="N1305" s="85">
        <v>1.0</v>
      </c>
      <c r="O1305" s="110">
        <f t="shared" si="990"/>
        <v>23.46666667</v>
      </c>
      <c r="P1305" s="85">
        <v>4.0</v>
      </c>
      <c r="Q1305" s="94">
        <v>0.0</v>
      </c>
      <c r="R1305" s="85">
        <v>3.0</v>
      </c>
      <c r="S1305" s="85">
        <v>2.0</v>
      </c>
      <c r="T1305" s="85">
        <v>21.0</v>
      </c>
      <c r="U1305" s="85">
        <v>8.0</v>
      </c>
      <c r="V1305" s="85">
        <v>1.0</v>
      </c>
      <c r="W1305" s="85">
        <v>1.0</v>
      </c>
      <c r="X1305" s="94">
        <v>0.0</v>
      </c>
      <c r="Y1305" s="94">
        <v>0.0</v>
      </c>
      <c r="Z1305" s="94">
        <v>0.0</v>
      </c>
      <c r="AA1305" s="94">
        <v>0.0</v>
      </c>
      <c r="AB1305" s="94">
        <v>0.0</v>
      </c>
      <c r="AC1305" s="85">
        <v>2.0</v>
      </c>
      <c r="AD1305" s="94">
        <v>0.0</v>
      </c>
      <c r="AE1305" s="94">
        <v>0.0</v>
      </c>
      <c r="AF1305" s="94">
        <v>0.0</v>
      </c>
      <c r="AG1305" s="94">
        <v>0.0</v>
      </c>
      <c r="AH1305" s="94">
        <v>0.0</v>
      </c>
    </row>
    <row r="1306" hidden="1">
      <c r="A1306" s="109" t="s">
        <v>49</v>
      </c>
      <c r="B1306" s="116"/>
      <c r="C1306" s="94">
        <v>0.0</v>
      </c>
      <c r="D1306" s="94">
        <v>0.0</v>
      </c>
      <c r="E1306" s="96">
        <f t="shared" si="987"/>
        <v>0</v>
      </c>
      <c r="F1306" s="94">
        <v>0.0</v>
      </c>
      <c r="G1306" s="94">
        <v>0.0</v>
      </c>
      <c r="H1306" s="94">
        <v>0.0</v>
      </c>
      <c r="I1306" s="94">
        <v>0.0</v>
      </c>
      <c r="J1306" s="95">
        <f t="shared" si="988"/>
        <v>0</v>
      </c>
      <c r="K1306" s="87" t="str">
        <f t="shared" si="989"/>
        <v>#DIV/0!</v>
      </c>
      <c r="L1306" s="94">
        <v>0.0</v>
      </c>
      <c r="M1306" s="94">
        <v>0.0</v>
      </c>
      <c r="N1306" s="85">
        <v>0.0</v>
      </c>
      <c r="O1306" s="110">
        <f t="shared" si="990"/>
        <v>0</v>
      </c>
      <c r="P1306" s="94">
        <v>0.0</v>
      </c>
      <c r="Q1306" s="94">
        <v>0.0</v>
      </c>
      <c r="R1306" s="94">
        <v>0.0</v>
      </c>
      <c r="S1306" s="94">
        <v>0.0</v>
      </c>
      <c r="T1306" s="94">
        <v>0.0</v>
      </c>
      <c r="U1306" s="94">
        <v>0.0</v>
      </c>
      <c r="V1306" s="94">
        <v>0.0</v>
      </c>
      <c r="W1306" s="94">
        <v>0.0</v>
      </c>
      <c r="X1306" s="94">
        <v>0.0</v>
      </c>
      <c r="Y1306" s="94">
        <v>0.0</v>
      </c>
      <c r="Z1306" s="94">
        <v>0.0</v>
      </c>
      <c r="AA1306" s="94">
        <v>0.0</v>
      </c>
      <c r="AB1306" s="94">
        <v>0.0</v>
      </c>
      <c r="AC1306" s="94">
        <v>0.0</v>
      </c>
      <c r="AD1306" s="94">
        <v>0.0</v>
      </c>
      <c r="AE1306" s="94">
        <v>0.0</v>
      </c>
      <c r="AF1306" s="94">
        <v>0.0</v>
      </c>
      <c r="AG1306" s="94">
        <v>0.0</v>
      </c>
      <c r="AH1306" s="94">
        <v>0.0</v>
      </c>
    </row>
    <row r="1307" hidden="1">
      <c r="A1307" s="89"/>
      <c r="B1307" s="111"/>
      <c r="C1307" s="111">
        <f t="shared" ref="C1307:D1307" si="991">SUM(C1301:C1306)/4</f>
        <v>1</v>
      </c>
      <c r="D1307" s="111">
        <f t="shared" si="991"/>
        <v>0</v>
      </c>
      <c r="E1307" s="91">
        <f t="shared" ref="E1307:G1307" si="992">SUM(E1301:E1306)</f>
        <v>97.95</v>
      </c>
      <c r="F1307" s="111">
        <f t="shared" si="992"/>
        <v>3</v>
      </c>
      <c r="G1307" s="111">
        <f t="shared" si="992"/>
        <v>394</v>
      </c>
      <c r="H1307" s="111"/>
      <c r="I1307" s="111">
        <f>SUM(I1301:I1306)</f>
        <v>392</v>
      </c>
      <c r="J1307" s="111">
        <f t="shared" si="988"/>
        <v>2</v>
      </c>
      <c r="K1307" s="92">
        <f t="shared" si="989"/>
        <v>1.005102041</v>
      </c>
      <c r="L1307" s="111">
        <f t="shared" ref="L1307:M1307" si="993">SUM(L1301:L1306)</f>
        <v>69</v>
      </c>
      <c r="M1307" s="111">
        <f t="shared" si="993"/>
        <v>513</v>
      </c>
      <c r="N1307" s="111"/>
      <c r="O1307" s="112"/>
      <c r="P1307" s="111">
        <f t="shared" ref="P1307:AH1307" si="994">SUM(P1301:P1306)</f>
        <v>13</v>
      </c>
      <c r="Q1307" s="111">
        <f t="shared" si="994"/>
        <v>11</v>
      </c>
      <c r="R1307" s="111">
        <f t="shared" si="994"/>
        <v>18</v>
      </c>
      <c r="S1307" s="111">
        <f t="shared" si="994"/>
        <v>6</v>
      </c>
      <c r="T1307" s="111">
        <f t="shared" si="994"/>
        <v>66</v>
      </c>
      <c r="U1307" s="111">
        <f t="shared" si="994"/>
        <v>16</v>
      </c>
      <c r="V1307" s="111">
        <f t="shared" si="994"/>
        <v>3</v>
      </c>
      <c r="W1307" s="111">
        <f t="shared" si="994"/>
        <v>3</v>
      </c>
      <c r="X1307" s="111">
        <f t="shared" si="994"/>
        <v>1</v>
      </c>
      <c r="Y1307" s="111">
        <f t="shared" si="994"/>
        <v>1</v>
      </c>
      <c r="Z1307" s="111">
        <f t="shared" si="994"/>
        <v>0</v>
      </c>
      <c r="AA1307" s="111">
        <f t="shared" si="994"/>
        <v>0</v>
      </c>
      <c r="AB1307" s="111">
        <f t="shared" si="994"/>
        <v>0</v>
      </c>
      <c r="AC1307" s="111">
        <f t="shared" si="994"/>
        <v>9</v>
      </c>
      <c r="AD1307" s="111">
        <f t="shared" si="994"/>
        <v>0</v>
      </c>
      <c r="AE1307" s="111">
        <f t="shared" si="994"/>
        <v>0</v>
      </c>
      <c r="AF1307" s="111">
        <f t="shared" si="994"/>
        <v>0</v>
      </c>
      <c r="AG1307" s="111">
        <f t="shared" si="994"/>
        <v>0</v>
      </c>
      <c r="AH1307" s="111">
        <f t="shared" si="994"/>
        <v>0</v>
      </c>
    </row>
    <row r="1308" hidden="1">
      <c r="A1308" s="109" t="s">
        <v>56</v>
      </c>
      <c r="B1308" s="93" t="s">
        <v>203</v>
      </c>
      <c r="C1308" s="85">
        <v>1.0</v>
      </c>
      <c r="D1308" s="85">
        <v>1.0</v>
      </c>
      <c r="E1308" s="96">
        <f t="shared" ref="E1308:E1313" si="995">SUM(L1308*I1308)/60</f>
        <v>24.5</v>
      </c>
      <c r="F1308" s="94">
        <v>0.0</v>
      </c>
      <c r="G1308" s="85">
        <v>144.0</v>
      </c>
      <c r="H1308" s="94">
        <v>0.0</v>
      </c>
      <c r="I1308" s="85">
        <v>98.0</v>
      </c>
      <c r="J1308" s="95">
        <f t="shared" si="988"/>
        <v>46</v>
      </c>
      <c r="K1308" s="87">
        <f t="shared" si="989"/>
        <v>1.469387755</v>
      </c>
      <c r="L1308" s="85">
        <v>15.0</v>
      </c>
      <c r="M1308" s="85">
        <v>192.0</v>
      </c>
      <c r="N1308" s="85">
        <v>1.0</v>
      </c>
      <c r="O1308" s="110">
        <f t="shared" ref="O1308:O1313" si="996">(E1308*N1308)</f>
        <v>24.5</v>
      </c>
      <c r="P1308" s="85">
        <v>1.0</v>
      </c>
      <c r="Q1308" s="94">
        <v>0.0</v>
      </c>
      <c r="R1308" s="85">
        <v>4.0</v>
      </c>
      <c r="S1308" s="85">
        <v>2.0</v>
      </c>
      <c r="T1308" s="85">
        <v>30.0</v>
      </c>
      <c r="U1308" s="85">
        <v>8.0</v>
      </c>
      <c r="V1308" s="85">
        <v>5.0</v>
      </c>
      <c r="W1308" s="94">
        <v>0.0</v>
      </c>
      <c r="X1308" s="94">
        <v>0.0</v>
      </c>
      <c r="Y1308" s="94">
        <v>0.0</v>
      </c>
      <c r="Z1308" s="94">
        <v>0.0</v>
      </c>
      <c r="AA1308" s="94">
        <v>0.0</v>
      </c>
      <c r="AB1308" s="94">
        <v>0.0</v>
      </c>
      <c r="AC1308" s="85">
        <v>4.0</v>
      </c>
      <c r="AD1308" s="85">
        <v>1.0</v>
      </c>
      <c r="AE1308" s="94">
        <v>0.0</v>
      </c>
      <c r="AF1308" s="94">
        <v>0.0</v>
      </c>
      <c r="AG1308" s="94">
        <v>0.0</v>
      </c>
      <c r="AH1308" s="94">
        <v>0.0</v>
      </c>
    </row>
    <row r="1309" hidden="1">
      <c r="A1309" s="109" t="s">
        <v>56</v>
      </c>
      <c r="B1309" s="93" t="s">
        <v>204</v>
      </c>
      <c r="C1309" s="85">
        <v>1.0</v>
      </c>
      <c r="D1309" s="85">
        <v>1.0</v>
      </c>
      <c r="E1309" s="96">
        <f t="shared" si="995"/>
        <v>23.33333333</v>
      </c>
      <c r="F1309" s="94">
        <v>0.0</v>
      </c>
      <c r="G1309" s="85">
        <v>108.0</v>
      </c>
      <c r="H1309" s="94">
        <v>0.0</v>
      </c>
      <c r="I1309" s="85">
        <v>100.0</v>
      </c>
      <c r="J1309" s="95">
        <f t="shared" si="988"/>
        <v>8</v>
      </c>
      <c r="K1309" s="87">
        <f t="shared" si="989"/>
        <v>1.08</v>
      </c>
      <c r="L1309" s="85">
        <v>14.0</v>
      </c>
      <c r="M1309" s="85">
        <v>123.0</v>
      </c>
      <c r="N1309" s="85">
        <v>1.0</v>
      </c>
      <c r="O1309" s="110">
        <f t="shared" si="996"/>
        <v>23.33333333</v>
      </c>
      <c r="P1309" s="85">
        <v>4.0</v>
      </c>
      <c r="Q1309" s="85">
        <v>3.0</v>
      </c>
      <c r="R1309" s="85">
        <v>2.0</v>
      </c>
      <c r="S1309" s="85">
        <v>2.0</v>
      </c>
      <c r="T1309" s="85">
        <v>14.0</v>
      </c>
      <c r="U1309" s="85">
        <v>1.0</v>
      </c>
      <c r="V1309" s="94">
        <v>0.0</v>
      </c>
      <c r="W1309" s="94">
        <v>0.0</v>
      </c>
      <c r="X1309" s="94">
        <v>0.0</v>
      </c>
      <c r="Y1309" s="94">
        <v>0.0</v>
      </c>
      <c r="Z1309" s="94">
        <v>0.0</v>
      </c>
      <c r="AA1309" s="94">
        <v>0.0</v>
      </c>
      <c r="AB1309" s="94">
        <v>0.0</v>
      </c>
      <c r="AC1309" s="94">
        <v>0.0</v>
      </c>
      <c r="AD1309" s="94">
        <v>0.0</v>
      </c>
      <c r="AE1309" s="94">
        <v>0.0</v>
      </c>
      <c r="AF1309" s="94">
        <v>0.0</v>
      </c>
      <c r="AG1309" s="94">
        <v>0.0</v>
      </c>
      <c r="AH1309" s="94">
        <v>0.0</v>
      </c>
    </row>
    <row r="1310" hidden="1">
      <c r="A1310" s="109" t="s">
        <v>56</v>
      </c>
      <c r="B1310" s="93" t="s">
        <v>205</v>
      </c>
      <c r="C1310" s="94">
        <v>0.0</v>
      </c>
      <c r="D1310" s="94">
        <v>0.0</v>
      </c>
      <c r="E1310" s="96">
        <f t="shared" si="995"/>
        <v>0</v>
      </c>
      <c r="F1310" s="94">
        <v>0.0</v>
      </c>
      <c r="G1310" s="94">
        <v>0.0</v>
      </c>
      <c r="H1310" s="94">
        <v>0.0</v>
      </c>
      <c r="I1310" s="94">
        <v>0.0</v>
      </c>
      <c r="J1310" s="95">
        <f t="shared" si="988"/>
        <v>0</v>
      </c>
      <c r="K1310" s="87" t="str">
        <f t="shared" si="989"/>
        <v>#DIV/0!</v>
      </c>
      <c r="L1310" s="94">
        <v>0.0</v>
      </c>
      <c r="M1310" s="94">
        <v>0.0</v>
      </c>
      <c r="N1310" s="85">
        <v>0.0</v>
      </c>
      <c r="O1310" s="110">
        <f t="shared" si="996"/>
        <v>0</v>
      </c>
      <c r="P1310" s="94">
        <v>0.0</v>
      </c>
      <c r="Q1310" s="94">
        <v>0.0</v>
      </c>
      <c r="R1310" s="94">
        <v>0.0</v>
      </c>
      <c r="S1310" s="94">
        <v>0.0</v>
      </c>
      <c r="T1310" s="94">
        <v>0.0</v>
      </c>
      <c r="U1310" s="94">
        <v>0.0</v>
      </c>
      <c r="V1310" s="94">
        <v>0.0</v>
      </c>
      <c r="W1310" s="94">
        <v>0.0</v>
      </c>
      <c r="X1310" s="94">
        <v>0.0</v>
      </c>
      <c r="Y1310" s="94">
        <v>0.0</v>
      </c>
      <c r="Z1310" s="94">
        <v>0.0</v>
      </c>
      <c r="AA1310" s="94">
        <v>0.0</v>
      </c>
      <c r="AB1310" s="94">
        <v>0.0</v>
      </c>
      <c r="AC1310" s="94">
        <v>0.0</v>
      </c>
      <c r="AD1310" s="94">
        <v>0.0</v>
      </c>
      <c r="AE1310" s="94">
        <v>0.0</v>
      </c>
      <c r="AF1310" s="94">
        <v>0.0</v>
      </c>
      <c r="AG1310" s="94">
        <v>0.0</v>
      </c>
      <c r="AH1310" s="94">
        <v>0.0</v>
      </c>
    </row>
    <row r="1311" hidden="1">
      <c r="A1311" s="109" t="s">
        <v>56</v>
      </c>
      <c r="B1311" s="93" t="s">
        <v>206</v>
      </c>
      <c r="C1311" s="85">
        <v>1.0</v>
      </c>
      <c r="D1311" s="85">
        <v>1.0</v>
      </c>
      <c r="E1311" s="96">
        <f t="shared" si="995"/>
        <v>24.05</v>
      </c>
      <c r="F1311" s="85">
        <v>1.0</v>
      </c>
      <c r="G1311" s="85">
        <v>88.0</v>
      </c>
      <c r="H1311" s="85">
        <v>2.0</v>
      </c>
      <c r="I1311" s="85">
        <v>111.0</v>
      </c>
      <c r="J1311" s="95">
        <f t="shared" si="988"/>
        <v>-23</v>
      </c>
      <c r="K1311" s="87">
        <f t="shared" si="989"/>
        <v>0.7927927928</v>
      </c>
      <c r="L1311" s="85">
        <v>13.0</v>
      </c>
      <c r="M1311" s="85">
        <v>114.0</v>
      </c>
      <c r="N1311" s="85">
        <v>1.0</v>
      </c>
      <c r="O1311" s="110">
        <f t="shared" si="996"/>
        <v>24.05</v>
      </c>
      <c r="P1311" s="85">
        <v>5.0</v>
      </c>
      <c r="Q1311" s="85">
        <v>3.0</v>
      </c>
      <c r="R1311" s="85">
        <v>2.0</v>
      </c>
      <c r="S1311" s="85">
        <v>4.0</v>
      </c>
      <c r="T1311" s="85">
        <v>11.0</v>
      </c>
      <c r="U1311" s="85">
        <v>1.0</v>
      </c>
      <c r="V1311" s="94">
        <v>0.0</v>
      </c>
      <c r="W1311" s="94">
        <v>0.0</v>
      </c>
      <c r="X1311" s="94">
        <v>0.0</v>
      </c>
      <c r="Y1311" s="94">
        <v>0.0</v>
      </c>
      <c r="Z1311" s="94">
        <v>0.0</v>
      </c>
      <c r="AA1311" s="94">
        <v>0.0</v>
      </c>
      <c r="AB1311" s="94">
        <v>0.0</v>
      </c>
      <c r="AC1311" s="85">
        <v>1.0</v>
      </c>
      <c r="AD1311" s="85">
        <v>0.0</v>
      </c>
      <c r="AE1311" s="94">
        <v>0.0</v>
      </c>
      <c r="AF1311" s="94">
        <v>0.0</v>
      </c>
      <c r="AG1311" s="94">
        <v>0.0</v>
      </c>
      <c r="AH1311" s="94">
        <v>0.0</v>
      </c>
    </row>
    <row r="1312" hidden="1">
      <c r="A1312" s="109" t="s">
        <v>56</v>
      </c>
      <c r="B1312" s="93" t="s">
        <v>207</v>
      </c>
      <c r="C1312" s="85">
        <v>1.0</v>
      </c>
      <c r="D1312" s="85">
        <v>1.0</v>
      </c>
      <c r="E1312" s="96">
        <f t="shared" si="995"/>
        <v>23.56666667</v>
      </c>
      <c r="F1312" s="85">
        <v>4.0</v>
      </c>
      <c r="G1312" s="85">
        <v>35.0</v>
      </c>
      <c r="H1312" s="94">
        <v>0.0</v>
      </c>
      <c r="I1312" s="85">
        <v>101.0</v>
      </c>
      <c r="J1312" s="95">
        <f t="shared" si="988"/>
        <v>-66</v>
      </c>
      <c r="K1312" s="87">
        <f t="shared" si="989"/>
        <v>0.3465346535</v>
      </c>
      <c r="L1312" s="85">
        <v>14.0</v>
      </c>
      <c r="M1312" s="85">
        <v>44.0</v>
      </c>
      <c r="N1312" s="85">
        <v>1.0</v>
      </c>
      <c r="O1312" s="110">
        <f t="shared" si="996"/>
        <v>23.56666667</v>
      </c>
      <c r="P1312" s="85">
        <v>2.0</v>
      </c>
      <c r="Q1312" s="85">
        <v>3.0</v>
      </c>
      <c r="R1312" s="94">
        <v>0.0</v>
      </c>
      <c r="S1312" s="85">
        <v>1.0</v>
      </c>
      <c r="T1312" s="85">
        <v>2.0</v>
      </c>
      <c r="U1312" s="94">
        <v>0.0</v>
      </c>
      <c r="V1312" s="94">
        <v>0.0</v>
      </c>
      <c r="W1312" s="94">
        <v>0.0</v>
      </c>
      <c r="X1312" s="94">
        <v>0.0</v>
      </c>
      <c r="Y1312" s="94">
        <v>0.0</v>
      </c>
      <c r="Z1312" s="94">
        <v>0.0</v>
      </c>
      <c r="AA1312" s="94">
        <v>0.0</v>
      </c>
      <c r="AB1312" s="94">
        <v>0.0</v>
      </c>
      <c r="AC1312" s="94">
        <v>0.0</v>
      </c>
      <c r="AD1312" s="94">
        <v>0.0</v>
      </c>
      <c r="AE1312" s="94">
        <v>0.0</v>
      </c>
      <c r="AF1312" s="94">
        <v>0.0</v>
      </c>
      <c r="AG1312" s="94">
        <v>0.0</v>
      </c>
      <c r="AH1312" s="94">
        <v>0.0</v>
      </c>
    </row>
    <row r="1313" hidden="1">
      <c r="A1313" s="109" t="s">
        <v>56</v>
      </c>
      <c r="B1313" s="116"/>
      <c r="C1313" s="94">
        <v>0.0</v>
      </c>
      <c r="D1313" s="94">
        <v>0.0</v>
      </c>
      <c r="E1313" s="96">
        <f t="shared" si="995"/>
        <v>0</v>
      </c>
      <c r="F1313" s="94">
        <v>0.0</v>
      </c>
      <c r="G1313" s="94">
        <v>0.0</v>
      </c>
      <c r="H1313" s="94">
        <v>0.0</v>
      </c>
      <c r="I1313" s="94">
        <v>0.0</v>
      </c>
      <c r="J1313" s="95">
        <f t="shared" si="988"/>
        <v>0</v>
      </c>
      <c r="K1313" s="87" t="str">
        <f t="shared" si="989"/>
        <v>#DIV/0!</v>
      </c>
      <c r="L1313" s="94">
        <v>0.0</v>
      </c>
      <c r="M1313" s="94">
        <v>0.0</v>
      </c>
      <c r="N1313" s="85">
        <v>0.0</v>
      </c>
      <c r="O1313" s="110">
        <f t="shared" si="996"/>
        <v>0</v>
      </c>
      <c r="P1313" s="94">
        <v>0.0</v>
      </c>
      <c r="Q1313" s="94">
        <v>0.0</v>
      </c>
      <c r="R1313" s="94">
        <v>0.0</v>
      </c>
      <c r="S1313" s="94">
        <v>0.0</v>
      </c>
      <c r="T1313" s="94">
        <v>0.0</v>
      </c>
      <c r="U1313" s="94">
        <v>0.0</v>
      </c>
      <c r="V1313" s="94">
        <v>0.0</v>
      </c>
      <c r="W1313" s="94">
        <v>0.0</v>
      </c>
      <c r="X1313" s="94">
        <v>0.0</v>
      </c>
      <c r="Y1313" s="94">
        <v>0.0</v>
      </c>
      <c r="Z1313" s="94">
        <v>0.0</v>
      </c>
      <c r="AA1313" s="94">
        <v>0.0</v>
      </c>
      <c r="AB1313" s="94">
        <v>0.0</v>
      </c>
      <c r="AC1313" s="94">
        <v>0.0</v>
      </c>
      <c r="AD1313" s="94">
        <v>0.0</v>
      </c>
      <c r="AE1313" s="94">
        <v>0.0</v>
      </c>
      <c r="AF1313" s="94">
        <v>0.0</v>
      </c>
      <c r="AG1313" s="94">
        <v>0.0</v>
      </c>
      <c r="AH1313" s="94">
        <v>0.0</v>
      </c>
    </row>
    <row r="1314" hidden="1">
      <c r="A1314" s="89" t="s">
        <v>185</v>
      </c>
      <c r="B1314" s="111"/>
      <c r="C1314" s="111">
        <f>SUM(C1308:C1313)</f>
        <v>4</v>
      </c>
      <c r="D1314" s="111">
        <f t="shared" ref="D1314:E1314" si="997">SUM(D1308:D1313)/4</f>
        <v>1</v>
      </c>
      <c r="E1314" s="91">
        <f t="shared" si="997"/>
        <v>23.8625</v>
      </c>
      <c r="F1314" s="111">
        <f t="shared" ref="F1314:G1314" si="998">SUM(F1308:F1313)</f>
        <v>5</v>
      </c>
      <c r="G1314" s="111">
        <f t="shared" si="998"/>
        <v>375</v>
      </c>
      <c r="H1314" s="111"/>
      <c r="I1314" s="111">
        <f>SUM(I1308:I1313)</f>
        <v>410</v>
      </c>
      <c r="J1314" s="111">
        <f t="shared" si="988"/>
        <v>-35</v>
      </c>
      <c r="K1314" s="92">
        <f t="shared" si="989"/>
        <v>0.9146341463</v>
      </c>
      <c r="L1314" s="111">
        <f t="shared" ref="L1314:M1314" si="999">SUM(L1308:L1313)</f>
        <v>56</v>
      </c>
      <c r="M1314" s="111">
        <f t="shared" si="999"/>
        <v>473</v>
      </c>
      <c r="N1314" s="111"/>
      <c r="O1314" s="112"/>
      <c r="P1314" s="111">
        <f t="shared" ref="P1314:AH1314" si="1000">SUM(P1308:P1313)</f>
        <v>12</v>
      </c>
      <c r="Q1314" s="111">
        <f t="shared" si="1000"/>
        <v>9</v>
      </c>
      <c r="R1314" s="111">
        <f t="shared" si="1000"/>
        <v>8</v>
      </c>
      <c r="S1314" s="111">
        <f t="shared" si="1000"/>
        <v>9</v>
      </c>
      <c r="T1314" s="111">
        <f t="shared" si="1000"/>
        <v>57</v>
      </c>
      <c r="U1314" s="111">
        <f t="shared" si="1000"/>
        <v>10</v>
      </c>
      <c r="V1314" s="111">
        <f t="shared" si="1000"/>
        <v>5</v>
      </c>
      <c r="W1314" s="111">
        <f t="shared" si="1000"/>
        <v>0</v>
      </c>
      <c r="X1314" s="111">
        <f t="shared" si="1000"/>
        <v>0</v>
      </c>
      <c r="Y1314" s="111">
        <f t="shared" si="1000"/>
        <v>0</v>
      </c>
      <c r="Z1314" s="111">
        <f t="shared" si="1000"/>
        <v>0</v>
      </c>
      <c r="AA1314" s="111">
        <f t="shared" si="1000"/>
        <v>0</v>
      </c>
      <c r="AB1314" s="111">
        <f t="shared" si="1000"/>
        <v>0</v>
      </c>
      <c r="AC1314" s="111">
        <f t="shared" si="1000"/>
        <v>5</v>
      </c>
      <c r="AD1314" s="111">
        <f t="shared" si="1000"/>
        <v>1</v>
      </c>
      <c r="AE1314" s="111">
        <f t="shared" si="1000"/>
        <v>0</v>
      </c>
      <c r="AF1314" s="111">
        <f t="shared" si="1000"/>
        <v>0</v>
      </c>
      <c r="AG1314" s="111">
        <f t="shared" si="1000"/>
        <v>0</v>
      </c>
      <c r="AH1314" s="111">
        <f t="shared" si="1000"/>
        <v>0</v>
      </c>
    </row>
    <row r="1315">
      <c r="A1315" s="115" t="s">
        <v>329</v>
      </c>
    </row>
    <row r="1317" hidden="1">
      <c r="A1317" s="105"/>
      <c r="F1317" s="106" t="s">
        <v>251</v>
      </c>
      <c r="L1317" s="107" t="s">
        <v>252</v>
      </c>
      <c r="N1317" s="108" t="s">
        <v>253</v>
      </c>
    </row>
    <row r="1318" hidden="1">
      <c r="A1318" s="76" t="s">
        <v>148</v>
      </c>
      <c r="B1318" s="76" t="s">
        <v>149</v>
      </c>
      <c r="C1318" s="76" t="s">
        <v>150</v>
      </c>
      <c r="D1318" s="76" t="s">
        <v>13</v>
      </c>
      <c r="E1318" s="77" t="s">
        <v>151</v>
      </c>
      <c r="F1318" s="78" t="s">
        <v>15</v>
      </c>
      <c r="G1318" s="78" t="s">
        <v>152</v>
      </c>
      <c r="H1318" s="78" t="s">
        <v>153</v>
      </c>
      <c r="I1318" s="78" t="s">
        <v>154</v>
      </c>
      <c r="J1318" s="78" t="s">
        <v>155</v>
      </c>
      <c r="K1318" s="79" t="s">
        <v>156</v>
      </c>
      <c r="L1318" s="80" t="s">
        <v>157</v>
      </c>
      <c r="M1318" s="80" t="s">
        <v>158</v>
      </c>
      <c r="N1318" s="81" t="s">
        <v>254</v>
      </c>
      <c r="O1318" s="81" t="s">
        <v>151</v>
      </c>
      <c r="P1318" s="81" t="s">
        <v>160</v>
      </c>
      <c r="Q1318" s="81" t="s">
        <v>161</v>
      </c>
      <c r="R1318" s="81" t="s">
        <v>162</v>
      </c>
      <c r="S1318" s="81" t="s">
        <v>163</v>
      </c>
      <c r="T1318" s="81" t="s">
        <v>164</v>
      </c>
      <c r="U1318" s="81" t="s">
        <v>165</v>
      </c>
      <c r="V1318" s="81" t="s">
        <v>166</v>
      </c>
      <c r="W1318" s="81" t="s">
        <v>167</v>
      </c>
      <c r="X1318" s="81" t="s">
        <v>168</v>
      </c>
      <c r="Y1318" s="81" t="s">
        <v>169</v>
      </c>
      <c r="Z1318" s="81" t="s">
        <v>170</v>
      </c>
      <c r="AA1318" s="81" t="s">
        <v>171</v>
      </c>
      <c r="AB1318" s="81" t="s">
        <v>172</v>
      </c>
      <c r="AC1318" s="81" t="s">
        <v>173</v>
      </c>
      <c r="AD1318" s="81" t="s">
        <v>174</v>
      </c>
      <c r="AE1318" s="81" t="s">
        <v>175</v>
      </c>
      <c r="AF1318" s="81" t="s">
        <v>176</v>
      </c>
      <c r="AG1318" s="81" t="s">
        <v>177</v>
      </c>
      <c r="AH1318" s="81" t="s">
        <v>178</v>
      </c>
    </row>
    <row r="1319" hidden="1">
      <c r="A1319" s="83" t="s">
        <v>34</v>
      </c>
      <c r="B1319" s="84" t="s">
        <v>227</v>
      </c>
      <c r="C1319" s="85">
        <v>1.0</v>
      </c>
      <c r="D1319" s="85">
        <v>1.0</v>
      </c>
      <c r="E1319" s="86">
        <v>19.0</v>
      </c>
      <c r="F1319" s="85">
        <v>2.0</v>
      </c>
      <c r="G1319" s="85">
        <v>81.0</v>
      </c>
      <c r="H1319" s="94">
        <v>0.0</v>
      </c>
      <c r="I1319" s="85">
        <v>63.0</v>
      </c>
      <c r="J1319" s="95">
        <f t="shared" ref="J1319:J1332" si="1001">SUM(G1319-I1319)</f>
        <v>18</v>
      </c>
      <c r="K1319" s="87">
        <f t="shared" ref="K1319:K1332" si="1002">SUM(G1319/I1319)</f>
        <v>1.285714286</v>
      </c>
      <c r="L1319" s="85">
        <v>15.0</v>
      </c>
      <c r="M1319" s="85">
        <v>114.0</v>
      </c>
      <c r="N1319" s="85">
        <v>1.0</v>
      </c>
      <c r="O1319" s="110">
        <f t="shared" ref="O1319:O1324" si="1003">(E1319*N1319)</f>
        <v>19</v>
      </c>
      <c r="P1319" s="85">
        <v>4.0</v>
      </c>
      <c r="Q1319" s="85">
        <v>2.0</v>
      </c>
      <c r="R1319" s="85">
        <v>8.0</v>
      </c>
      <c r="S1319" s="85">
        <v>1.0</v>
      </c>
      <c r="T1319" s="85">
        <v>15.0</v>
      </c>
      <c r="U1319" s="85">
        <v>4.0</v>
      </c>
      <c r="V1319" s="94">
        <v>0.0</v>
      </c>
      <c r="W1319" s="94">
        <v>0.0</v>
      </c>
      <c r="X1319" s="94">
        <v>0.0</v>
      </c>
      <c r="Y1319" s="94">
        <v>0.0</v>
      </c>
      <c r="Z1319" s="94">
        <v>0.0</v>
      </c>
      <c r="AA1319" s="94">
        <v>0.0</v>
      </c>
      <c r="AB1319" s="94">
        <v>0.0</v>
      </c>
      <c r="AC1319" s="85">
        <v>2.0</v>
      </c>
      <c r="AD1319" s="94">
        <v>0.0</v>
      </c>
      <c r="AE1319" s="94">
        <v>0.0</v>
      </c>
      <c r="AF1319" s="94">
        <v>0.0</v>
      </c>
      <c r="AG1319" s="94">
        <v>0.0</v>
      </c>
      <c r="AH1319" s="94">
        <v>0.0</v>
      </c>
    </row>
    <row r="1320" hidden="1">
      <c r="A1320" s="83" t="s">
        <v>34</v>
      </c>
      <c r="B1320" s="84" t="s">
        <v>228</v>
      </c>
      <c r="C1320" s="85">
        <v>1.0</v>
      </c>
      <c r="D1320" s="85">
        <v>1.0</v>
      </c>
      <c r="E1320" s="86">
        <v>19.0</v>
      </c>
      <c r="F1320" s="94">
        <v>0.0</v>
      </c>
      <c r="G1320" s="85">
        <v>76.0</v>
      </c>
      <c r="H1320" s="85">
        <v>1.0</v>
      </c>
      <c r="I1320" s="85">
        <v>84.0</v>
      </c>
      <c r="J1320" s="95">
        <f t="shared" si="1001"/>
        <v>-8</v>
      </c>
      <c r="K1320" s="87">
        <f t="shared" si="1002"/>
        <v>0.9047619048</v>
      </c>
      <c r="L1320" s="85">
        <v>10.0</v>
      </c>
      <c r="M1320" s="85">
        <v>97.0</v>
      </c>
      <c r="N1320" s="85">
        <v>1.0</v>
      </c>
      <c r="O1320" s="110">
        <f t="shared" si="1003"/>
        <v>19</v>
      </c>
      <c r="P1320" s="85">
        <v>4.0</v>
      </c>
      <c r="Q1320" s="85">
        <v>2.0</v>
      </c>
      <c r="R1320" s="85">
        <v>6.0</v>
      </c>
      <c r="S1320" s="94">
        <v>0.0</v>
      </c>
      <c r="T1320" s="85">
        <v>12.0</v>
      </c>
      <c r="U1320" s="85">
        <v>3.0</v>
      </c>
      <c r="V1320" s="85">
        <v>1.0</v>
      </c>
      <c r="W1320" s="94">
        <v>0.0</v>
      </c>
      <c r="X1320" s="94">
        <v>0.0</v>
      </c>
      <c r="Y1320" s="94">
        <v>0.0</v>
      </c>
      <c r="Z1320" s="94">
        <v>0.0</v>
      </c>
      <c r="AA1320" s="94">
        <v>0.0</v>
      </c>
      <c r="AB1320" s="94">
        <v>0.0</v>
      </c>
      <c r="AC1320" s="85">
        <v>1.0</v>
      </c>
      <c r="AD1320" s="94">
        <v>0.0</v>
      </c>
      <c r="AE1320" s="94">
        <v>0.0</v>
      </c>
      <c r="AF1320" s="94">
        <v>0.0</v>
      </c>
      <c r="AG1320" s="94">
        <v>0.0</v>
      </c>
      <c r="AH1320" s="94">
        <v>0.0</v>
      </c>
    </row>
    <row r="1321" hidden="1">
      <c r="A1321" s="83" t="s">
        <v>34</v>
      </c>
      <c r="B1321" s="84" t="s">
        <v>229</v>
      </c>
      <c r="C1321" s="85">
        <v>1.0</v>
      </c>
      <c r="D1321" s="85">
        <v>1.0</v>
      </c>
      <c r="E1321" s="86">
        <v>19.0</v>
      </c>
      <c r="F1321" s="85">
        <v>1.0</v>
      </c>
      <c r="G1321" s="85">
        <v>58.0</v>
      </c>
      <c r="H1321" s="85">
        <v>1.0</v>
      </c>
      <c r="I1321" s="85">
        <v>51.0</v>
      </c>
      <c r="J1321" s="95">
        <f t="shared" si="1001"/>
        <v>7</v>
      </c>
      <c r="K1321" s="87">
        <f t="shared" si="1002"/>
        <v>1.137254902</v>
      </c>
      <c r="L1321" s="85">
        <v>19.0</v>
      </c>
      <c r="M1321" s="85">
        <v>76.0</v>
      </c>
      <c r="N1321" s="85">
        <v>1.0</v>
      </c>
      <c r="O1321" s="110">
        <f t="shared" si="1003"/>
        <v>19</v>
      </c>
      <c r="P1321" s="85">
        <v>3.0</v>
      </c>
      <c r="Q1321" s="85">
        <v>0.0</v>
      </c>
      <c r="R1321" s="85">
        <v>5.0</v>
      </c>
      <c r="S1321" s="85">
        <v>1.0</v>
      </c>
      <c r="T1321" s="85">
        <v>9.0</v>
      </c>
      <c r="U1321" s="85">
        <v>2.0</v>
      </c>
      <c r="V1321" s="85">
        <v>1.0</v>
      </c>
      <c r="W1321" s="85">
        <v>1.0</v>
      </c>
      <c r="X1321" s="94">
        <v>0.0</v>
      </c>
      <c r="Y1321" s="94">
        <v>0.0</v>
      </c>
      <c r="Z1321" s="94">
        <v>0.0</v>
      </c>
      <c r="AA1321" s="94">
        <v>0.0</v>
      </c>
      <c r="AB1321" s="94">
        <v>0.0</v>
      </c>
      <c r="AC1321" s="85">
        <v>1.0</v>
      </c>
      <c r="AD1321" s="94">
        <v>0.0</v>
      </c>
      <c r="AE1321" s="94">
        <v>0.0</v>
      </c>
      <c r="AF1321" s="94">
        <v>0.0</v>
      </c>
      <c r="AG1321" s="94">
        <v>0.0</v>
      </c>
      <c r="AH1321" s="94">
        <v>0.0</v>
      </c>
    </row>
    <row r="1322" hidden="1">
      <c r="A1322" s="83" t="s">
        <v>34</v>
      </c>
      <c r="B1322" s="84" t="s">
        <v>230</v>
      </c>
      <c r="C1322" s="85">
        <v>1.0</v>
      </c>
      <c r="D1322" s="85">
        <v>1.0</v>
      </c>
      <c r="E1322" s="86">
        <v>19.0</v>
      </c>
      <c r="F1322" s="85">
        <v>2.0</v>
      </c>
      <c r="G1322" s="85">
        <v>58.0</v>
      </c>
      <c r="H1322" s="94">
        <v>0.0</v>
      </c>
      <c r="I1322" s="85">
        <v>56.0</v>
      </c>
      <c r="J1322" s="95">
        <f t="shared" si="1001"/>
        <v>2</v>
      </c>
      <c r="K1322" s="87">
        <f t="shared" si="1002"/>
        <v>1.035714286</v>
      </c>
      <c r="L1322" s="85">
        <v>17.0</v>
      </c>
      <c r="M1322" s="85">
        <v>76.0</v>
      </c>
      <c r="N1322" s="85">
        <v>1.0</v>
      </c>
      <c r="O1322" s="110">
        <f t="shared" si="1003"/>
        <v>19</v>
      </c>
      <c r="P1322" s="85">
        <v>5.0</v>
      </c>
      <c r="Q1322" s="85">
        <v>1.0</v>
      </c>
      <c r="R1322" s="85">
        <v>2.0</v>
      </c>
      <c r="S1322" s="85">
        <v>1.0</v>
      </c>
      <c r="T1322" s="85">
        <v>5.0</v>
      </c>
      <c r="U1322" s="85">
        <v>2.0</v>
      </c>
      <c r="V1322" s="85">
        <v>1.0</v>
      </c>
      <c r="W1322" s="94">
        <v>0.0</v>
      </c>
      <c r="X1322" s="94">
        <v>0.0</v>
      </c>
      <c r="Y1322" s="94">
        <v>0.0</v>
      </c>
      <c r="Z1322" s="94">
        <v>0.0</v>
      </c>
      <c r="AA1322" s="94">
        <v>0.0</v>
      </c>
      <c r="AB1322" s="94">
        <v>0.0</v>
      </c>
      <c r="AC1322" s="85">
        <v>1.0</v>
      </c>
      <c r="AD1322" s="94">
        <v>0.0</v>
      </c>
      <c r="AE1322" s="94">
        <v>0.0</v>
      </c>
      <c r="AF1322" s="94">
        <v>0.0</v>
      </c>
      <c r="AG1322" s="94">
        <v>0.0</v>
      </c>
      <c r="AH1322" s="94">
        <v>0.0</v>
      </c>
    </row>
    <row r="1323" hidden="1">
      <c r="A1323" s="83" t="s">
        <v>34</v>
      </c>
      <c r="B1323" s="84" t="s">
        <v>231</v>
      </c>
      <c r="C1323" s="94">
        <v>0.0</v>
      </c>
      <c r="D1323" s="94">
        <v>0.0</v>
      </c>
      <c r="E1323" s="96">
        <f t="shared" ref="E1323:E1324" si="1004">SUM(L1323*I1323)/60</f>
        <v>0</v>
      </c>
      <c r="F1323" s="94">
        <v>0.0</v>
      </c>
      <c r="G1323" s="94">
        <v>0.0</v>
      </c>
      <c r="H1323" s="94">
        <v>0.0</v>
      </c>
      <c r="I1323" s="94">
        <v>0.0</v>
      </c>
      <c r="J1323" s="95">
        <f t="shared" si="1001"/>
        <v>0</v>
      </c>
      <c r="K1323" s="87" t="str">
        <f t="shared" si="1002"/>
        <v>#DIV/0!</v>
      </c>
      <c r="L1323" s="94">
        <v>0.0</v>
      </c>
      <c r="M1323" s="94">
        <v>0.0</v>
      </c>
      <c r="N1323" s="85">
        <v>0.0</v>
      </c>
      <c r="O1323" s="110">
        <f t="shared" si="1003"/>
        <v>0</v>
      </c>
      <c r="P1323" s="94">
        <v>0.0</v>
      </c>
      <c r="Q1323" s="94">
        <v>0.0</v>
      </c>
      <c r="R1323" s="94">
        <v>0.0</v>
      </c>
      <c r="S1323" s="94">
        <v>0.0</v>
      </c>
      <c r="T1323" s="94">
        <v>0.0</v>
      </c>
      <c r="U1323" s="94">
        <v>0.0</v>
      </c>
      <c r="V1323" s="94">
        <v>0.0</v>
      </c>
      <c r="W1323" s="94">
        <v>0.0</v>
      </c>
      <c r="X1323" s="94">
        <v>0.0</v>
      </c>
      <c r="Y1323" s="94">
        <v>0.0</v>
      </c>
      <c r="Z1323" s="94">
        <v>0.0</v>
      </c>
      <c r="AA1323" s="94">
        <v>0.0</v>
      </c>
      <c r="AB1323" s="94">
        <v>0.0</v>
      </c>
      <c r="AC1323" s="94">
        <v>0.0</v>
      </c>
      <c r="AD1323" s="94">
        <v>0.0</v>
      </c>
      <c r="AE1323" s="94">
        <v>0.0</v>
      </c>
      <c r="AF1323" s="94">
        <v>0.0</v>
      </c>
      <c r="AG1323" s="94">
        <v>0.0</v>
      </c>
      <c r="AH1323" s="94">
        <v>0.0</v>
      </c>
    </row>
    <row r="1324" hidden="1">
      <c r="A1324" s="83" t="s">
        <v>34</v>
      </c>
      <c r="B1324" s="93"/>
      <c r="C1324" s="94">
        <v>0.0</v>
      </c>
      <c r="D1324" s="94">
        <v>0.0</v>
      </c>
      <c r="E1324" s="96">
        <f t="shared" si="1004"/>
        <v>0</v>
      </c>
      <c r="F1324" s="94">
        <v>0.0</v>
      </c>
      <c r="G1324" s="94">
        <v>0.0</v>
      </c>
      <c r="H1324" s="94">
        <v>0.0</v>
      </c>
      <c r="I1324" s="94">
        <v>0.0</v>
      </c>
      <c r="J1324" s="95">
        <f t="shared" si="1001"/>
        <v>0</v>
      </c>
      <c r="K1324" s="87" t="str">
        <f t="shared" si="1002"/>
        <v>#DIV/0!</v>
      </c>
      <c r="L1324" s="94">
        <v>0.0</v>
      </c>
      <c r="M1324" s="94">
        <v>0.0</v>
      </c>
      <c r="N1324" s="85">
        <v>0.0</v>
      </c>
      <c r="O1324" s="110">
        <f t="shared" si="1003"/>
        <v>0</v>
      </c>
      <c r="P1324" s="94">
        <v>0.0</v>
      </c>
      <c r="Q1324" s="94">
        <v>0.0</v>
      </c>
      <c r="R1324" s="94">
        <v>0.0</v>
      </c>
      <c r="S1324" s="94">
        <v>0.0</v>
      </c>
      <c r="T1324" s="94">
        <v>0.0</v>
      </c>
      <c r="U1324" s="94">
        <v>0.0</v>
      </c>
      <c r="V1324" s="94">
        <v>0.0</v>
      </c>
      <c r="W1324" s="94">
        <v>0.0</v>
      </c>
      <c r="X1324" s="94">
        <v>0.0</v>
      </c>
      <c r="Y1324" s="94">
        <v>0.0</v>
      </c>
      <c r="Z1324" s="94">
        <v>0.0</v>
      </c>
      <c r="AA1324" s="94">
        <v>0.0</v>
      </c>
      <c r="AB1324" s="94">
        <v>0.0</v>
      </c>
      <c r="AC1324" s="94">
        <v>0.0</v>
      </c>
      <c r="AD1324" s="94">
        <v>0.0</v>
      </c>
      <c r="AE1324" s="94">
        <v>0.0</v>
      </c>
      <c r="AF1324" s="94">
        <v>0.0</v>
      </c>
      <c r="AG1324" s="94">
        <v>0.0</v>
      </c>
      <c r="AH1324" s="94">
        <v>0.0</v>
      </c>
    </row>
    <row r="1325" hidden="1">
      <c r="A1325" s="89"/>
      <c r="B1325" s="111"/>
      <c r="C1325" s="111">
        <f t="shared" ref="C1325:D1325" si="1005">SUM(C1319:C1324)/4</f>
        <v>1</v>
      </c>
      <c r="D1325" s="111">
        <f t="shared" si="1005"/>
        <v>1</v>
      </c>
      <c r="E1325" s="91">
        <f t="shared" ref="E1325:G1325" si="1006">SUM(E1319:E1324)</f>
        <v>76</v>
      </c>
      <c r="F1325" s="111">
        <f t="shared" si="1006"/>
        <v>5</v>
      </c>
      <c r="G1325" s="111">
        <f t="shared" si="1006"/>
        <v>273</v>
      </c>
      <c r="H1325" s="111"/>
      <c r="I1325" s="111">
        <f>SUM(I1319:I1324)</f>
        <v>254</v>
      </c>
      <c r="J1325" s="111">
        <f t="shared" si="1001"/>
        <v>19</v>
      </c>
      <c r="K1325" s="92">
        <f t="shared" si="1002"/>
        <v>1.07480315</v>
      </c>
      <c r="L1325" s="111">
        <f t="shared" ref="L1325:M1325" si="1007">SUM(L1319:L1324)</f>
        <v>61</v>
      </c>
      <c r="M1325" s="111">
        <f t="shared" si="1007"/>
        <v>363</v>
      </c>
      <c r="N1325" s="111"/>
      <c r="O1325" s="112"/>
      <c r="P1325" s="111">
        <f t="shared" ref="P1325:AH1325" si="1008">SUM(P1319:P1324)</f>
        <v>16</v>
      </c>
      <c r="Q1325" s="111">
        <f t="shared" si="1008"/>
        <v>5</v>
      </c>
      <c r="R1325" s="111">
        <f t="shared" si="1008"/>
        <v>21</v>
      </c>
      <c r="S1325" s="111">
        <f t="shared" si="1008"/>
        <v>3</v>
      </c>
      <c r="T1325" s="111">
        <f t="shared" si="1008"/>
        <v>41</v>
      </c>
      <c r="U1325" s="111">
        <f t="shared" si="1008"/>
        <v>11</v>
      </c>
      <c r="V1325" s="111">
        <f t="shared" si="1008"/>
        <v>3</v>
      </c>
      <c r="W1325" s="111">
        <f t="shared" si="1008"/>
        <v>1</v>
      </c>
      <c r="X1325" s="111">
        <f t="shared" si="1008"/>
        <v>0</v>
      </c>
      <c r="Y1325" s="111">
        <f t="shared" si="1008"/>
        <v>0</v>
      </c>
      <c r="Z1325" s="111">
        <f t="shared" si="1008"/>
        <v>0</v>
      </c>
      <c r="AA1325" s="111">
        <f t="shared" si="1008"/>
        <v>0</v>
      </c>
      <c r="AB1325" s="111">
        <f t="shared" si="1008"/>
        <v>0</v>
      </c>
      <c r="AC1325" s="111">
        <f t="shared" si="1008"/>
        <v>5</v>
      </c>
      <c r="AD1325" s="111">
        <f t="shared" si="1008"/>
        <v>0</v>
      </c>
      <c r="AE1325" s="111">
        <f t="shared" si="1008"/>
        <v>0</v>
      </c>
      <c r="AF1325" s="111">
        <f t="shared" si="1008"/>
        <v>0</v>
      </c>
      <c r="AG1325" s="111">
        <f t="shared" si="1008"/>
        <v>0</v>
      </c>
      <c r="AH1325" s="111">
        <f t="shared" si="1008"/>
        <v>0</v>
      </c>
    </row>
    <row r="1326" hidden="1">
      <c r="A1326" s="83" t="s">
        <v>47</v>
      </c>
      <c r="B1326" s="84" t="s">
        <v>237</v>
      </c>
      <c r="C1326" s="85">
        <v>1.0</v>
      </c>
      <c r="D1326" s="94">
        <v>0.0</v>
      </c>
      <c r="E1326" s="86">
        <v>19.0</v>
      </c>
      <c r="F1326" s="94">
        <v>0.0</v>
      </c>
      <c r="G1326" s="85">
        <v>81.0</v>
      </c>
      <c r="H1326" s="85">
        <v>1.0</v>
      </c>
      <c r="I1326" s="85">
        <v>72.0</v>
      </c>
      <c r="J1326" s="95">
        <f t="shared" si="1001"/>
        <v>9</v>
      </c>
      <c r="K1326" s="87">
        <f t="shared" si="1002"/>
        <v>1.125</v>
      </c>
      <c r="L1326" s="85">
        <v>13.0</v>
      </c>
      <c r="M1326" s="85">
        <v>115.0</v>
      </c>
      <c r="N1326" s="85">
        <v>1.0</v>
      </c>
      <c r="O1326" s="110">
        <f t="shared" ref="O1326:O1331" si="1009">(E1326*N1326)</f>
        <v>19</v>
      </c>
      <c r="P1326" s="85">
        <v>4.0</v>
      </c>
      <c r="Q1326" s="94">
        <v>0.0</v>
      </c>
      <c r="R1326" s="85">
        <v>7.0</v>
      </c>
      <c r="S1326" s="85">
        <v>2.0</v>
      </c>
      <c r="T1326" s="85">
        <v>14.0</v>
      </c>
      <c r="U1326" s="85">
        <v>2.0</v>
      </c>
      <c r="V1326" s="94">
        <v>0.0</v>
      </c>
      <c r="W1326" s="94">
        <v>0.0</v>
      </c>
      <c r="X1326" s="94">
        <v>0.0</v>
      </c>
      <c r="Y1326" s="94">
        <v>0.0</v>
      </c>
      <c r="Z1326" s="94">
        <v>0.0</v>
      </c>
      <c r="AA1326" s="94">
        <v>0.0</v>
      </c>
      <c r="AB1326" s="94">
        <v>0.0</v>
      </c>
      <c r="AC1326" s="85">
        <v>2.0</v>
      </c>
      <c r="AD1326" s="94">
        <v>0.0</v>
      </c>
      <c r="AE1326" s="94">
        <v>0.0</v>
      </c>
      <c r="AF1326" s="94">
        <v>0.0</v>
      </c>
      <c r="AG1326" s="94">
        <v>0.0</v>
      </c>
      <c r="AH1326" s="94">
        <v>0.0</v>
      </c>
    </row>
    <row r="1327" hidden="1">
      <c r="A1327" s="83" t="s">
        <v>47</v>
      </c>
      <c r="B1327" s="84" t="s">
        <v>238</v>
      </c>
      <c r="C1327" s="85">
        <v>1.0</v>
      </c>
      <c r="D1327" s="94">
        <v>0.0</v>
      </c>
      <c r="E1327" s="86">
        <v>19.0</v>
      </c>
      <c r="F1327" s="85">
        <v>1.0</v>
      </c>
      <c r="G1327" s="85">
        <v>58.0</v>
      </c>
      <c r="H1327" s="94">
        <v>0.0</v>
      </c>
      <c r="I1327" s="85">
        <v>60.0</v>
      </c>
      <c r="J1327" s="95">
        <f t="shared" si="1001"/>
        <v>-2</v>
      </c>
      <c r="K1327" s="87">
        <f t="shared" si="1002"/>
        <v>0.9666666667</v>
      </c>
      <c r="L1327" s="85">
        <v>16.0</v>
      </c>
      <c r="M1327" s="85">
        <v>73.0</v>
      </c>
      <c r="N1327" s="85">
        <v>1.0</v>
      </c>
      <c r="O1327" s="110">
        <f t="shared" si="1009"/>
        <v>19</v>
      </c>
      <c r="P1327" s="85">
        <v>7.0</v>
      </c>
      <c r="Q1327" s="85">
        <v>2.0</v>
      </c>
      <c r="R1327" s="85">
        <v>3.0</v>
      </c>
      <c r="S1327" s="94">
        <v>0.0</v>
      </c>
      <c r="T1327" s="85">
        <v>6.0</v>
      </c>
      <c r="U1327" s="94">
        <v>0.0</v>
      </c>
      <c r="V1327" s="94">
        <v>0.0</v>
      </c>
      <c r="W1327" s="94">
        <v>0.0</v>
      </c>
      <c r="X1327" s="94">
        <v>0.0</v>
      </c>
      <c r="Y1327" s="94">
        <v>0.0</v>
      </c>
      <c r="Z1327" s="94">
        <v>0.0</v>
      </c>
      <c r="AA1327" s="94">
        <v>0.0</v>
      </c>
      <c r="AB1327" s="94">
        <v>0.0</v>
      </c>
      <c r="AC1327" s="94">
        <v>0.0</v>
      </c>
      <c r="AD1327" s="94">
        <v>0.0</v>
      </c>
      <c r="AE1327" s="94">
        <v>0.0</v>
      </c>
      <c r="AF1327" s="94">
        <v>0.0</v>
      </c>
      <c r="AG1327" s="94">
        <v>0.0</v>
      </c>
      <c r="AH1327" s="94">
        <v>0.0</v>
      </c>
    </row>
    <row r="1328" hidden="1">
      <c r="A1328" s="83" t="s">
        <v>47</v>
      </c>
      <c r="B1328" s="84" t="s">
        <v>239</v>
      </c>
      <c r="C1328" s="85">
        <v>1.0</v>
      </c>
      <c r="D1328" s="94">
        <v>0.0</v>
      </c>
      <c r="E1328" s="86">
        <v>19.0</v>
      </c>
      <c r="F1328" s="94">
        <v>0.0</v>
      </c>
      <c r="G1328" s="85">
        <v>46.0</v>
      </c>
      <c r="H1328" s="94">
        <v>0.0</v>
      </c>
      <c r="I1328" s="85">
        <v>80.0</v>
      </c>
      <c r="J1328" s="95">
        <f t="shared" si="1001"/>
        <v>-34</v>
      </c>
      <c r="K1328" s="87">
        <f t="shared" si="1002"/>
        <v>0.575</v>
      </c>
      <c r="L1328" s="85">
        <v>11.0</v>
      </c>
      <c r="M1328" s="85">
        <v>57.0</v>
      </c>
      <c r="N1328" s="85">
        <v>1.0</v>
      </c>
      <c r="O1328" s="110">
        <f t="shared" si="1009"/>
        <v>19</v>
      </c>
      <c r="P1328" s="85">
        <v>3.0</v>
      </c>
      <c r="Q1328" s="85">
        <v>2.0</v>
      </c>
      <c r="R1328" s="85">
        <v>4.0</v>
      </c>
      <c r="S1328" s="85">
        <v>2.0</v>
      </c>
      <c r="T1328" s="85">
        <v>5.0</v>
      </c>
      <c r="U1328" s="85">
        <v>1.0</v>
      </c>
      <c r="V1328" s="94">
        <v>0.0</v>
      </c>
      <c r="W1328" s="94">
        <v>0.0</v>
      </c>
      <c r="X1328" s="94">
        <v>0.0</v>
      </c>
      <c r="Y1328" s="94">
        <v>0.0</v>
      </c>
      <c r="Z1328" s="94">
        <v>0.0</v>
      </c>
      <c r="AA1328" s="94">
        <v>0.0</v>
      </c>
      <c r="AB1328" s="94">
        <v>0.0</v>
      </c>
      <c r="AC1328" s="94">
        <v>0.0</v>
      </c>
      <c r="AD1328" s="94">
        <v>0.0</v>
      </c>
      <c r="AE1328" s="94">
        <v>0.0</v>
      </c>
      <c r="AF1328" s="94">
        <v>0.0</v>
      </c>
      <c r="AG1328" s="94">
        <v>0.0</v>
      </c>
      <c r="AH1328" s="94">
        <v>0.0</v>
      </c>
    </row>
    <row r="1329" hidden="1">
      <c r="A1329" s="83" t="s">
        <v>47</v>
      </c>
      <c r="B1329" s="84" t="s">
        <v>240</v>
      </c>
      <c r="C1329" s="85">
        <v>1.0</v>
      </c>
      <c r="D1329" s="94">
        <v>0.0</v>
      </c>
      <c r="E1329" s="86">
        <v>19.0</v>
      </c>
      <c r="F1329" s="94">
        <v>0.0</v>
      </c>
      <c r="G1329" s="85">
        <v>57.0</v>
      </c>
      <c r="H1329" s="85">
        <v>1.0</v>
      </c>
      <c r="I1329" s="85">
        <v>66.0</v>
      </c>
      <c r="J1329" s="95">
        <f t="shared" si="1001"/>
        <v>-9</v>
      </c>
      <c r="K1329" s="87">
        <f t="shared" si="1002"/>
        <v>0.8636363636</v>
      </c>
      <c r="L1329" s="85">
        <v>14.0</v>
      </c>
      <c r="M1329" s="85">
        <v>68.0</v>
      </c>
      <c r="N1329" s="85">
        <v>1.0</v>
      </c>
      <c r="O1329" s="110">
        <f t="shared" si="1009"/>
        <v>19</v>
      </c>
      <c r="P1329" s="85">
        <v>2.0</v>
      </c>
      <c r="Q1329" s="85">
        <v>1.0</v>
      </c>
      <c r="R1329" s="85">
        <v>3.0</v>
      </c>
      <c r="S1329" s="85">
        <v>1.0</v>
      </c>
      <c r="T1329" s="85">
        <v>5.0</v>
      </c>
      <c r="U1329" s="94">
        <v>0.0</v>
      </c>
      <c r="V1329" s="94">
        <v>0.0</v>
      </c>
      <c r="W1329" s="94">
        <v>0.0</v>
      </c>
      <c r="X1329" s="94">
        <v>0.0</v>
      </c>
      <c r="Y1329" s="94">
        <v>0.0</v>
      </c>
      <c r="Z1329" s="94">
        <v>0.0</v>
      </c>
      <c r="AA1329" s="94">
        <v>0.0</v>
      </c>
      <c r="AB1329" s="94">
        <v>0.0</v>
      </c>
      <c r="AC1329" s="85">
        <v>1.0</v>
      </c>
      <c r="AD1329" s="94">
        <v>0.0</v>
      </c>
      <c r="AE1329" s="94">
        <v>0.0</v>
      </c>
      <c r="AF1329" s="94">
        <v>0.0</v>
      </c>
      <c r="AG1329" s="94">
        <v>0.0</v>
      </c>
      <c r="AH1329" s="94">
        <v>0.0</v>
      </c>
    </row>
    <row r="1330" hidden="1">
      <c r="A1330" s="83" t="s">
        <v>47</v>
      </c>
      <c r="B1330" s="84" t="s">
        <v>241</v>
      </c>
      <c r="C1330" s="94">
        <v>0.0</v>
      </c>
      <c r="D1330" s="94">
        <v>0.0</v>
      </c>
      <c r="E1330" s="96">
        <f t="shared" ref="E1330:E1331" si="1010">SUM(L1330*I1330)/60</f>
        <v>0</v>
      </c>
      <c r="F1330" s="94">
        <v>0.0</v>
      </c>
      <c r="G1330" s="94">
        <v>0.0</v>
      </c>
      <c r="H1330" s="94">
        <v>0.0</v>
      </c>
      <c r="I1330" s="94">
        <v>0.0</v>
      </c>
      <c r="J1330" s="95">
        <f t="shared" si="1001"/>
        <v>0</v>
      </c>
      <c r="K1330" s="87" t="str">
        <f t="shared" si="1002"/>
        <v>#DIV/0!</v>
      </c>
      <c r="L1330" s="94">
        <v>0.0</v>
      </c>
      <c r="M1330" s="94">
        <v>0.0</v>
      </c>
      <c r="N1330" s="85">
        <v>0.0</v>
      </c>
      <c r="O1330" s="110">
        <f t="shared" si="1009"/>
        <v>0</v>
      </c>
      <c r="P1330" s="94">
        <v>0.0</v>
      </c>
      <c r="Q1330" s="94">
        <v>0.0</v>
      </c>
      <c r="R1330" s="94">
        <v>0.0</v>
      </c>
      <c r="S1330" s="94">
        <v>0.0</v>
      </c>
      <c r="T1330" s="94">
        <v>0.0</v>
      </c>
      <c r="U1330" s="94">
        <v>0.0</v>
      </c>
      <c r="V1330" s="94">
        <v>0.0</v>
      </c>
      <c r="W1330" s="94">
        <v>0.0</v>
      </c>
      <c r="X1330" s="94">
        <v>0.0</v>
      </c>
      <c r="Y1330" s="94">
        <v>0.0</v>
      </c>
      <c r="Z1330" s="94">
        <v>0.0</v>
      </c>
      <c r="AA1330" s="94">
        <v>0.0</v>
      </c>
      <c r="AB1330" s="94">
        <v>0.0</v>
      </c>
      <c r="AC1330" s="94">
        <v>0.0</v>
      </c>
      <c r="AD1330" s="94">
        <v>0.0</v>
      </c>
      <c r="AE1330" s="94">
        <v>0.0</v>
      </c>
      <c r="AF1330" s="94">
        <v>0.0</v>
      </c>
      <c r="AG1330" s="94">
        <v>0.0</v>
      </c>
      <c r="AH1330" s="94">
        <v>0.0</v>
      </c>
    </row>
    <row r="1331" hidden="1">
      <c r="A1331" s="83" t="s">
        <v>214</v>
      </c>
      <c r="B1331" s="84" t="s">
        <v>182</v>
      </c>
      <c r="C1331" s="94">
        <v>0.0</v>
      </c>
      <c r="D1331" s="94">
        <v>0.0</v>
      </c>
      <c r="E1331" s="96">
        <f t="shared" si="1010"/>
        <v>0</v>
      </c>
      <c r="F1331" s="94">
        <v>0.0</v>
      </c>
      <c r="G1331" s="94">
        <v>0.0</v>
      </c>
      <c r="H1331" s="94">
        <v>0.0</v>
      </c>
      <c r="I1331" s="94">
        <v>0.0</v>
      </c>
      <c r="J1331" s="95">
        <f t="shared" si="1001"/>
        <v>0</v>
      </c>
      <c r="K1331" s="87" t="str">
        <f t="shared" si="1002"/>
        <v>#DIV/0!</v>
      </c>
      <c r="L1331" s="94">
        <v>0.0</v>
      </c>
      <c r="M1331" s="94">
        <v>0.0</v>
      </c>
      <c r="N1331" s="85">
        <v>0.0</v>
      </c>
      <c r="O1331" s="110">
        <f t="shared" si="1009"/>
        <v>0</v>
      </c>
      <c r="P1331" s="94">
        <v>0.0</v>
      </c>
      <c r="Q1331" s="94">
        <v>0.0</v>
      </c>
      <c r="R1331" s="94">
        <v>0.0</v>
      </c>
      <c r="S1331" s="94">
        <v>0.0</v>
      </c>
      <c r="T1331" s="94">
        <v>0.0</v>
      </c>
      <c r="U1331" s="94">
        <v>0.0</v>
      </c>
      <c r="V1331" s="94">
        <v>0.0</v>
      </c>
      <c r="W1331" s="94">
        <v>0.0</v>
      </c>
      <c r="X1331" s="94">
        <v>0.0</v>
      </c>
      <c r="Y1331" s="94">
        <v>0.0</v>
      </c>
      <c r="Z1331" s="94">
        <v>0.0</v>
      </c>
      <c r="AA1331" s="94">
        <v>0.0</v>
      </c>
      <c r="AB1331" s="94">
        <v>0.0</v>
      </c>
      <c r="AC1331" s="94">
        <v>0.0</v>
      </c>
      <c r="AD1331" s="94">
        <v>0.0</v>
      </c>
      <c r="AE1331" s="94">
        <v>0.0</v>
      </c>
      <c r="AF1331" s="94">
        <v>0.0</v>
      </c>
      <c r="AG1331" s="94">
        <v>0.0</v>
      </c>
      <c r="AH1331" s="94">
        <v>0.0</v>
      </c>
    </row>
    <row r="1332" hidden="1">
      <c r="A1332" s="89" t="s">
        <v>185</v>
      </c>
      <c r="B1332" s="111"/>
      <c r="C1332" s="111">
        <f>SUM(C1326:C1331)</f>
        <v>4</v>
      </c>
      <c r="D1332" s="111">
        <f t="shared" ref="D1332:E1332" si="1011">SUM(D1326:D1331)/4</f>
        <v>0</v>
      </c>
      <c r="E1332" s="91">
        <f t="shared" si="1011"/>
        <v>19</v>
      </c>
      <c r="F1332" s="111">
        <f t="shared" ref="F1332:G1332" si="1012">SUM(F1326:F1331)</f>
        <v>1</v>
      </c>
      <c r="G1332" s="111">
        <f t="shared" si="1012"/>
        <v>242</v>
      </c>
      <c r="H1332" s="111"/>
      <c r="I1332" s="111">
        <f>SUM(I1326:I1331)</f>
        <v>278</v>
      </c>
      <c r="J1332" s="111">
        <f t="shared" si="1001"/>
        <v>-36</v>
      </c>
      <c r="K1332" s="92">
        <f t="shared" si="1002"/>
        <v>0.8705035971</v>
      </c>
      <c r="L1332" s="111">
        <f t="shared" ref="L1332:M1332" si="1013">SUM(L1326:L1331)</f>
        <v>54</v>
      </c>
      <c r="M1332" s="111">
        <f t="shared" si="1013"/>
        <v>313</v>
      </c>
      <c r="N1332" s="111"/>
      <c r="O1332" s="112"/>
      <c r="P1332" s="111">
        <f t="shared" ref="P1332:AH1332" si="1014">SUM(P1326:P1331)</f>
        <v>16</v>
      </c>
      <c r="Q1332" s="111">
        <f t="shared" si="1014"/>
        <v>5</v>
      </c>
      <c r="R1332" s="111">
        <f t="shared" si="1014"/>
        <v>17</v>
      </c>
      <c r="S1332" s="111">
        <f t="shared" si="1014"/>
        <v>5</v>
      </c>
      <c r="T1332" s="111">
        <f t="shared" si="1014"/>
        <v>30</v>
      </c>
      <c r="U1332" s="111">
        <f t="shared" si="1014"/>
        <v>3</v>
      </c>
      <c r="V1332" s="111">
        <f t="shared" si="1014"/>
        <v>0</v>
      </c>
      <c r="W1332" s="111">
        <f t="shared" si="1014"/>
        <v>0</v>
      </c>
      <c r="X1332" s="111">
        <f t="shared" si="1014"/>
        <v>0</v>
      </c>
      <c r="Y1332" s="111">
        <f t="shared" si="1014"/>
        <v>0</v>
      </c>
      <c r="Z1332" s="111">
        <f t="shared" si="1014"/>
        <v>0</v>
      </c>
      <c r="AA1332" s="111">
        <f t="shared" si="1014"/>
        <v>0</v>
      </c>
      <c r="AB1332" s="111">
        <f t="shared" si="1014"/>
        <v>0</v>
      </c>
      <c r="AC1332" s="111">
        <f t="shared" si="1014"/>
        <v>3</v>
      </c>
      <c r="AD1332" s="111">
        <f t="shared" si="1014"/>
        <v>0</v>
      </c>
      <c r="AE1332" s="111">
        <f t="shared" si="1014"/>
        <v>0</v>
      </c>
      <c r="AF1332" s="111">
        <f t="shared" si="1014"/>
        <v>0</v>
      </c>
      <c r="AG1332" s="111">
        <f t="shared" si="1014"/>
        <v>0</v>
      </c>
      <c r="AH1332" s="111">
        <f t="shared" si="1014"/>
        <v>0</v>
      </c>
    </row>
    <row r="1333">
      <c r="A1333" s="115" t="s">
        <v>330</v>
      </c>
    </row>
    <row r="1335" hidden="1">
      <c r="A1335" s="105"/>
      <c r="F1335" s="106" t="s">
        <v>251</v>
      </c>
      <c r="L1335" s="107" t="s">
        <v>252</v>
      </c>
      <c r="N1335" s="108" t="s">
        <v>253</v>
      </c>
    </row>
    <row r="1336" hidden="1">
      <c r="A1336" s="76" t="s">
        <v>148</v>
      </c>
      <c r="B1336" s="76" t="s">
        <v>149</v>
      </c>
      <c r="C1336" s="76" t="s">
        <v>150</v>
      </c>
      <c r="D1336" s="76" t="s">
        <v>13</v>
      </c>
      <c r="E1336" s="77" t="s">
        <v>151</v>
      </c>
      <c r="F1336" s="78" t="s">
        <v>15</v>
      </c>
      <c r="G1336" s="78" t="s">
        <v>152</v>
      </c>
      <c r="H1336" s="78" t="s">
        <v>153</v>
      </c>
      <c r="I1336" s="78" t="s">
        <v>154</v>
      </c>
      <c r="J1336" s="78" t="s">
        <v>155</v>
      </c>
      <c r="K1336" s="79" t="s">
        <v>156</v>
      </c>
      <c r="L1336" s="80" t="s">
        <v>157</v>
      </c>
      <c r="M1336" s="80" t="s">
        <v>158</v>
      </c>
      <c r="N1336" s="81" t="s">
        <v>254</v>
      </c>
      <c r="O1336" s="81" t="s">
        <v>151</v>
      </c>
      <c r="P1336" s="81" t="s">
        <v>160</v>
      </c>
      <c r="Q1336" s="81" t="s">
        <v>161</v>
      </c>
      <c r="R1336" s="81" t="s">
        <v>162</v>
      </c>
      <c r="S1336" s="81" t="s">
        <v>163</v>
      </c>
      <c r="T1336" s="81" t="s">
        <v>164</v>
      </c>
      <c r="U1336" s="81" t="s">
        <v>165</v>
      </c>
      <c r="V1336" s="81" t="s">
        <v>166</v>
      </c>
      <c r="W1336" s="81" t="s">
        <v>167</v>
      </c>
      <c r="X1336" s="81" t="s">
        <v>168</v>
      </c>
      <c r="Y1336" s="81" t="s">
        <v>169</v>
      </c>
      <c r="Z1336" s="81" t="s">
        <v>170</v>
      </c>
      <c r="AA1336" s="81" t="s">
        <v>171</v>
      </c>
      <c r="AB1336" s="81" t="s">
        <v>172</v>
      </c>
      <c r="AC1336" s="81" t="s">
        <v>173</v>
      </c>
      <c r="AD1336" s="81" t="s">
        <v>174</v>
      </c>
      <c r="AE1336" s="81" t="s">
        <v>175</v>
      </c>
      <c r="AF1336" s="81" t="s">
        <v>176</v>
      </c>
      <c r="AG1336" s="81" t="s">
        <v>177</v>
      </c>
      <c r="AH1336" s="81" t="s">
        <v>178</v>
      </c>
    </row>
    <row r="1337" hidden="1">
      <c r="A1337" s="83" t="s">
        <v>34</v>
      </c>
      <c r="B1337" s="84" t="s">
        <v>227</v>
      </c>
      <c r="C1337" s="85">
        <v>1.0</v>
      </c>
      <c r="D1337" s="85">
        <v>1.0</v>
      </c>
      <c r="E1337" s="86">
        <v>24.0</v>
      </c>
      <c r="F1337" s="85">
        <v>1.0</v>
      </c>
      <c r="G1337" s="85">
        <v>102.0</v>
      </c>
      <c r="H1337" s="94">
        <v>0.0</v>
      </c>
      <c r="I1337" s="85">
        <v>79.0</v>
      </c>
      <c r="J1337" s="95">
        <f t="shared" ref="J1337:J1350" si="1015">SUM(G1337-I1337)</f>
        <v>23</v>
      </c>
      <c r="K1337" s="87">
        <f t="shared" ref="K1337:K1350" si="1016">SUM(G1337/I1337)</f>
        <v>1.291139241</v>
      </c>
      <c r="L1337" s="85">
        <v>15.0</v>
      </c>
      <c r="M1337" s="85">
        <v>133.0</v>
      </c>
      <c r="N1337" s="85">
        <v>1.0</v>
      </c>
      <c r="O1337" s="110">
        <f t="shared" ref="O1337:O1342" si="1017">(E1337*N1337)</f>
        <v>24</v>
      </c>
      <c r="P1337" s="85">
        <v>6.0</v>
      </c>
      <c r="Q1337" s="85">
        <v>2.0</v>
      </c>
      <c r="R1337" s="85">
        <v>8.0</v>
      </c>
      <c r="S1337" s="85">
        <v>1.0</v>
      </c>
      <c r="T1337" s="85">
        <v>15.0</v>
      </c>
      <c r="U1337" s="85">
        <v>1.0</v>
      </c>
      <c r="V1337" s="85">
        <v>1.0</v>
      </c>
      <c r="W1337" s="94">
        <v>0.0</v>
      </c>
      <c r="X1337" s="94">
        <v>0.0</v>
      </c>
      <c r="Y1337" s="94">
        <v>0.0</v>
      </c>
      <c r="Z1337" s="94">
        <v>0.0</v>
      </c>
      <c r="AA1337" s="94">
        <v>0.0</v>
      </c>
      <c r="AB1337" s="94">
        <v>0.0</v>
      </c>
      <c r="AC1337" s="85">
        <v>2.0</v>
      </c>
      <c r="AD1337" s="94">
        <v>0.0</v>
      </c>
      <c r="AE1337" s="94">
        <v>0.0</v>
      </c>
      <c r="AF1337" s="94">
        <v>0.0</v>
      </c>
      <c r="AG1337" s="94">
        <v>0.0</v>
      </c>
      <c r="AH1337" s="94">
        <v>0.0</v>
      </c>
    </row>
    <row r="1338" hidden="1">
      <c r="A1338" s="83" t="s">
        <v>34</v>
      </c>
      <c r="B1338" s="84" t="s">
        <v>228</v>
      </c>
      <c r="C1338" s="85">
        <v>1.0</v>
      </c>
      <c r="D1338" s="85">
        <v>1.0</v>
      </c>
      <c r="E1338" s="86">
        <v>24.0</v>
      </c>
      <c r="F1338" s="94">
        <v>0.0</v>
      </c>
      <c r="G1338" s="85">
        <v>101.0</v>
      </c>
      <c r="H1338" s="85">
        <v>1.0</v>
      </c>
      <c r="I1338" s="85">
        <v>102.0</v>
      </c>
      <c r="J1338" s="95">
        <f t="shared" si="1015"/>
        <v>-1</v>
      </c>
      <c r="K1338" s="87">
        <f t="shared" si="1016"/>
        <v>0.9901960784</v>
      </c>
      <c r="L1338" s="85">
        <v>10.0</v>
      </c>
      <c r="M1338" s="85">
        <v>131.0</v>
      </c>
      <c r="N1338" s="85">
        <v>1.0</v>
      </c>
      <c r="O1338" s="110">
        <f t="shared" si="1017"/>
        <v>24</v>
      </c>
      <c r="P1338" s="85">
        <v>1.0</v>
      </c>
      <c r="Q1338" s="85">
        <v>2.0</v>
      </c>
      <c r="R1338" s="85">
        <v>10.0</v>
      </c>
      <c r="S1338" s="85">
        <v>1.0</v>
      </c>
      <c r="T1338" s="85">
        <v>15.0</v>
      </c>
      <c r="U1338" s="85">
        <v>3.0</v>
      </c>
      <c r="V1338" s="94">
        <v>0.0</v>
      </c>
      <c r="W1338" s="94">
        <v>0.0</v>
      </c>
      <c r="X1338" s="94">
        <v>0.0</v>
      </c>
      <c r="Y1338" s="94">
        <v>0.0</v>
      </c>
      <c r="Z1338" s="94">
        <v>0.0</v>
      </c>
      <c r="AA1338" s="94">
        <v>0.0</v>
      </c>
      <c r="AB1338" s="94">
        <v>0.0</v>
      </c>
      <c r="AC1338" s="85">
        <v>2.0</v>
      </c>
      <c r="AD1338" s="94">
        <v>0.0</v>
      </c>
      <c r="AE1338" s="94">
        <v>0.0</v>
      </c>
      <c r="AF1338" s="94">
        <v>0.0</v>
      </c>
      <c r="AG1338" s="94">
        <v>0.0</v>
      </c>
      <c r="AH1338" s="94">
        <v>0.0</v>
      </c>
    </row>
    <row r="1339" hidden="1">
      <c r="A1339" s="83" t="s">
        <v>34</v>
      </c>
      <c r="B1339" s="84" t="s">
        <v>229</v>
      </c>
      <c r="C1339" s="85">
        <v>1.0</v>
      </c>
      <c r="D1339" s="85">
        <v>1.0</v>
      </c>
      <c r="E1339" s="86">
        <v>24.0</v>
      </c>
      <c r="F1339" s="85">
        <v>3.0</v>
      </c>
      <c r="G1339" s="85">
        <v>32.0</v>
      </c>
      <c r="H1339" s="94">
        <v>0.0</v>
      </c>
      <c r="I1339" s="85">
        <v>54.0</v>
      </c>
      <c r="J1339" s="95">
        <f t="shared" si="1015"/>
        <v>-22</v>
      </c>
      <c r="K1339" s="87">
        <f t="shared" si="1016"/>
        <v>0.5925925926</v>
      </c>
      <c r="L1339" s="85">
        <v>23.0</v>
      </c>
      <c r="M1339" s="85">
        <v>38.0</v>
      </c>
      <c r="N1339" s="85">
        <v>1.0</v>
      </c>
      <c r="O1339" s="110">
        <f t="shared" si="1017"/>
        <v>24</v>
      </c>
      <c r="P1339" s="85">
        <v>1.0</v>
      </c>
      <c r="Q1339" s="94">
        <v>0.0</v>
      </c>
      <c r="R1339" s="85">
        <v>1.0</v>
      </c>
      <c r="S1339" s="85">
        <v>1.0</v>
      </c>
      <c r="T1339" s="85">
        <v>2.0</v>
      </c>
      <c r="U1339" s="94">
        <v>0.0</v>
      </c>
      <c r="V1339" s="94">
        <v>0.0</v>
      </c>
      <c r="W1339" s="94">
        <v>0.0</v>
      </c>
      <c r="X1339" s="94">
        <v>0.0</v>
      </c>
      <c r="Y1339" s="94">
        <v>0.0</v>
      </c>
      <c r="Z1339" s="94">
        <v>0.0</v>
      </c>
      <c r="AA1339" s="94">
        <v>0.0</v>
      </c>
      <c r="AB1339" s="94">
        <v>0.0</v>
      </c>
      <c r="AC1339" s="94">
        <v>0.0</v>
      </c>
      <c r="AD1339" s="94">
        <v>0.0</v>
      </c>
      <c r="AE1339" s="94">
        <v>0.0</v>
      </c>
      <c r="AF1339" s="94">
        <v>0.0</v>
      </c>
      <c r="AG1339" s="94">
        <v>0.0</v>
      </c>
      <c r="AH1339" s="94">
        <v>0.0</v>
      </c>
    </row>
    <row r="1340" hidden="1">
      <c r="A1340" s="83" t="s">
        <v>34</v>
      </c>
      <c r="B1340" s="84" t="s">
        <v>230</v>
      </c>
      <c r="C1340" s="85">
        <v>1.0</v>
      </c>
      <c r="D1340" s="85">
        <v>1.0</v>
      </c>
      <c r="E1340" s="86">
        <v>24.0</v>
      </c>
      <c r="F1340" s="85">
        <v>1.0</v>
      </c>
      <c r="G1340" s="85">
        <v>86.0</v>
      </c>
      <c r="H1340" s="85">
        <v>0.0</v>
      </c>
      <c r="I1340" s="85">
        <v>88.0</v>
      </c>
      <c r="J1340" s="95">
        <f t="shared" si="1015"/>
        <v>-2</v>
      </c>
      <c r="K1340" s="87">
        <f t="shared" si="1016"/>
        <v>0.9772727273</v>
      </c>
      <c r="L1340" s="85">
        <v>13.0</v>
      </c>
      <c r="M1340" s="85">
        <v>118.0</v>
      </c>
      <c r="N1340" s="85">
        <v>1.0</v>
      </c>
      <c r="O1340" s="110">
        <f t="shared" si="1017"/>
        <v>24</v>
      </c>
      <c r="P1340" s="85">
        <v>4.0</v>
      </c>
      <c r="Q1340" s="85">
        <v>2.0</v>
      </c>
      <c r="R1340" s="85">
        <v>7.0</v>
      </c>
      <c r="S1340" s="85">
        <v>2.0</v>
      </c>
      <c r="T1340" s="85">
        <v>15.0</v>
      </c>
      <c r="U1340" s="85">
        <v>3.0</v>
      </c>
      <c r="V1340" s="85">
        <v>1.0</v>
      </c>
      <c r="W1340" s="94">
        <v>0.0</v>
      </c>
      <c r="X1340" s="94">
        <v>0.0</v>
      </c>
      <c r="Y1340" s="94">
        <v>0.0</v>
      </c>
      <c r="Z1340" s="94">
        <v>0.0</v>
      </c>
      <c r="AA1340" s="94">
        <v>0.0</v>
      </c>
      <c r="AB1340" s="94">
        <v>0.0</v>
      </c>
      <c r="AC1340" s="94">
        <v>0.0</v>
      </c>
      <c r="AD1340" s="94">
        <v>0.0</v>
      </c>
      <c r="AE1340" s="94">
        <v>0.0</v>
      </c>
      <c r="AF1340" s="94">
        <v>0.0</v>
      </c>
      <c r="AG1340" s="94">
        <v>0.0</v>
      </c>
      <c r="AH1340" s="94">
        <v>0.0</v>
      </c>
    </row>
    <row r="1341" hidden="1">
      <c r="A1341" s="83" t="s">
        <v>34</v>
      </c>
      <c r="B1341" s="84" t="s">
        <v>231</v>
      </c>
      <c r="C1341" s="94">
        <v>0.0</v>
      </c>
      <c r="D1341" s="94">
        <v>0.0</v>
      </c>
      <c r="E1341" s="96">
        <f t="shared" ref="E1341:E1342" si="1018">SUM(L1341*I1341)/60</f>
        <v>0</v>
      </c>
      <c r="F1341" s="94">
        <v>0.0</v>
      </c>
      <c r="G1341" s="94">
        <v>0.0</v>
      </c>
      <c r="H1341" s="94">
        <v>0.0</v>
      </c>
      <c r="I1341" s="94">
        <v>0.0</v>
      </c>
      <c r="J1341" s="95">
        <f t="shared" si="1015"/>
        <v>0</v>
      </c>
      <c r="K1341" s="87" t="str">
        <f t="shared" si="1016"/>
        <v>#DIV/0!</v>
      </c>
      <c r="L1341" s="94">
        <v>0.0</v>
      </c>
      <c r="M1341" s="94">
        <v>0.0</v>
      </c>
      <c r="N1341" s="85">
        <v>0.0</v>
      </c>
      <c r="O1341" s="110">
        <f t="shared" si="1017"/>
        <v>0</v>
      </c>
      <c r="P1341" s="94">
        <v>0.0</v>
      </c>
      <c r="Q1341" s="94">
        <v>0.0</v>
      </c>
      <c r="R1341" s="94">
        <v>0.0</v>
      </c>
      <c r="S1341" s="94">
        <v>0.0</v>
      </c>
      <c r="T1341" s="94">
        <v>0.0</v>
      </c>
      <c r="U1341" s="94">
        <v>0.0</v>
      </c>
      <c r="V1341" s="94">
        <v>0.0</v>
      </c>
      <c r="W1341" s="94">
        <v>0.0</v>
      </c>
      <c r="X1341" s="94">
        <v>0.0</v>
      </c>
      <c r="Y1341" s="94">
        <v>0.0</v>
      </c>
      <c r="Z1341" s="94">
        <v>0.0</v>
      </c>
      <c r="AA1341" s="94">
        <v>0.0</v>
      </c>
      <c r="AB1341" s="94">
        <v>0.0</v>
      </c>
      <c r="AC1341" s="94">
        <v>0.0</v>
      </c>
      <c r="AD1341" s="94">
        <v>0.0</v>
      </c>
      <c r="AE1341" s="94">
        <v>0.0</v>
      </c>
      <c r="AF1341" s="94">
        <v>0.0</v>
      </c>
      <c r="AG1341" s="94">
        <v>0.0</v>
      </c>
      <c r="AH1341" s="94">
        <v>0.0</v>
      </c>
    </row>
    <row r="1342" hidden="1">
      <c r="A1342" s="83" t="s">
        <v>34</v>
      </c>
      <c r="B1342" s="93"/>
      <c r="C1342" s="94">
        <v>0.0</v>
      </c>
      <c r="D1342" s="94">
        <v>0.0</v>
      </c>
      <c r="E1342" s="96">
        <f t="shared" si="1018"/>
        <v>0</v>
      </c>
      <c r="F1342" s="94">
        <v>0.0</v>
      </c>
      <c r="G1342" s="94">
        <v>0.0</v>
      </c>
      <c r="H1342" s="94">
        <v>0.0</v>
      </c>
      <c r="I1342" s="94">
        <v>0.0</v>
      </c>
      <c r="J1342" s="95">
        <f t="shared" si="1015"/>
        <v>0</v>
      </c>
      <c r="K1342" s="87" t="str">
        <f t="shared" si="1016"/>
        <v>#DIV/0!</v>
      </c>
      <c r="L1342" s="94">
        <v>0.0</v>
      </c>
      <c r="M1342" s="94">
        <v>0.0</v>
      </c>
      <c r="N1342" s="85">
        <v>0.0</v>
      </c>
      <c r="O1342" s="110">
        <f t="shared" si="1017"/>
        <v>0</v>
      </c>
      <c r="P1342" s="94">
        <v>0.0</v>
      </c>
      <c r="Q1342" s="94">
        <v>0.0</v>
      </c>
      <c r="R1342" s="94">
        <v>0.0</v>
      </c>
      <c r="S1342" s="94">
        <v>0.0</v>
      </c>
      <c r="T1342" s="94">
        <v>0.0</v>
      </c>
      <c r="U1342" s="94">
        <v>0.0</v>
      </c>
      <c r="V1342" s="94">
        <v>0.0</v>
      </c>
      <c r="W1342" s="94">
        <v>0.0</v>
      </c>
      <c r="X1342" s="94">
        <v>0.0</v>
      </c>
      <c r="Y1342" s="94">
        <v>0.0</v>
      </c>
      <c r="Z1342" s="94">
        <v>0.0</v>
      </c>
      <c r="AA1342" s="94">
        <v>0.0</v>
      </c>
      <c r="AB1342" s="94">
        <v>0.0</v>
      </c>
      <c r="AC1342" s="94">
        <v>0.0</v>
      </c>
      <c r="AD1342" s="94">
        <v>0.0</v>
      </c>
      <c r="AE1342" s="94">
        <v>0.0</v>
      </c>
      <c r="AF1342" s="94">
        <v>0.0</v>
      </c>
      <c r="AG1342" s="94">
        <v>0.0</v>
      </c>
      <c r="AH1342" s="94">
        <v>0.0</v>
      </c>
    </row>
    <row r="1343" hidden="1">
      <c r="A1343" s="89"/>
      <c r="B1343" s="111"/>
      <c r="C1343" s="111">
        <f t="shared" ref="C1343:D1343" si="1019">SUM(C1337:C1342)/4</f>
        <v>1</v>
      </c>
      <c r="D1343" s="111">
        <f t="shared" si="1019"/>
        <v>1</v>
      </c>
      <c r="E1343" s="91">
        <f t="shared" ref="E1343:G1343" si="1020">SUM(E1337:E1342)</f>
        <v>96</v>
      </c>
      <c r="F1343" s="111">
        <f t="shared" si="1020"/>
        <v>5</v>
      </c>
      <c r="G1343" s="111">
        <f t="shared" si="1020"/>
        <v>321</v>
      </c>
      <c r="H1343" s="111"/>
      <c r="I1343" s="111">
        <f>SUM(I1337:I1342)</f>
        <v>323</v>
      </c>
      <c r="J1343" s="111">
        <f t="shared" si="1015"/>
        <v>-2</v>
      </c>
      <c r="K1343" s="92">
        <f t="shared" si="1016"/>
        <v>0.9938080495</v>
      </c>
      <c r="L1343" s="111">
        <f t="shared" ref="L1343:M1343" si="1021">SUM(L1337:L1342)</f>
        <v>61</v>
      </c>
      <c r="M1343" s="111">
        <f t="shared" si="1021"/>
        <v>420</v>
      </c>
      <c r="N1343" s="111"/>
      <c r="O1343" s="112"/>
      <c r="P1343" s="111">
        <f t="shared" ref="P1343:AH1343" si="1022">SUM(P1337:P1342)</f>
        <v>12</v>
      </c>
      <c r="Q1343" s="111">
        <f t="shared" si="1022"/>
        <v>6</v>
      </c>
      <c r="R1343" s="111">
        <f t="shared" si="1022"/>
        <v>26</v>
      </c>
      <c r="S1343" s="111">
        <f t="shared" si="1022"/>
        <v>5</v>
      </c>
      <c r="T1343" s="111">
        <f t="shared" si="1022"/>
        <v>47</v>
      </c>
      <c r="U1343" s="111">
        <f t="shared" si="1022"/>
        <v>7</v>
      </c>
      <c r="V1343" s="111">
        <f t="shared" si="1022"/>
        <v>2</v>
      </c>
      <c r="W1343" s="111">
        <f t="shared" si="1022"/>
        <v>0</v>
      </c>
      <c r="X1343" s="111">
        <f t="shared" si="1022"/>
        <v>0</v>
      </c>
      <c r="Y1343" s="111">
        <f t="shared" si="1022"/>
        <v>0</v>
      </c>
      <c r="Z1343" s="111">
        <f t="shared" si="1022"/>
        <v>0</v>
      </c>
      <c r="AA1343" s="111">
        <f t="shared" si="1022"/>
        <v>0</v>
      </c>
      <c r="AB1343" s="111">
        <f t="shared" si="1022"/>
        <v>0</v>
      </c>
      <c r="AC1343" s="111">
        <f t="shared" si="1022"/>
        <v>4</v>
      </c>
      <c r="AD1343" s="111">
        <f t="shared" si="1022"/>
        <v>0</v>
      </c>
      <c r="AE1343" s="111">
        <f t="shared" si="1022"/>
        <v>0</v>
      </c>
      <c r="AF1343" s="111">
        <f t="shared" si="1022"/>
        <v>0</v>
      </c>
      <c r="AG1343" s="111">
        <f t="shared" si="1022"/>
        <v>0</v>
      </c>
      <c r="AH1343" s="111">
        <f t="shared" si="1022"/>
        <v>0</v>
      </c>
    </row>
    <row r="1344" hidden="1">
      <c r="A1344" s="83" t="s">
        <v>47</v>
      </c>
      <c r="B1344" s="84" t="s">
        <v>237</v>
      </c>
      <c r="C1344" s="85">
        <v>1.0</v>
      </c>
      <c r="D1344" s="94">
        <v>0.0</v>
      </c>
      <c r="E1344" s="86">
        <v>24.0</v>
      </c>
      <c r="F1344" s="94">
        <v>0.0</v>
      </c>
      <c r="G1344" s="85">
        <v>79.0</v>
      </c>
      <c r="H1344" s="85">
        <v>1.0</v>
      </c>
      <c r="I1344" s="85">
        <v>92.0</v>
      </c>
      <c r="J1344" s="95">
        <f t="shared" si="1015"/>
        <v>-13</v>
      </c>
      <c r="K1344" s="87">
        <f t="shared" si="1016"/>
        <v>0.8586956522</v>
      </c>
      <c r="L1344" s="85">
        <v>12.0</v>
      </c>
      <c r="M1344" s="85">
        <v>92.0</v>
      </c>
      <c r="N1344" s="85">
        <v>1.0</v>
      </c>
      <c r="O1344" s="110">
        <f t="shared" ref="O1344:O1349" si="1023">(E1344*N1344)</f>
        <v>24</v>
      </c>
      <c r="P1344" s="85">
        <v>1.0</v>
      </c>
      <c r="Q1344" s="85">
        <v>4.0</v>
      </c>
      <c r="R1344" s="85">
        <v>5.0</v>
      </c>
      <c r="S1344" s="94">
        <v>0.0</v>
      </c>
      <c r="T1344" s="85">
        <v>8.0</v>
      </c>
      <c r="U1344" s="94">
        <v>0.0</v>
      </c>
      <c r="V1344" s="94">
        <v>0.0</v>
      </c>
      <c r="W1344" s="94">
        <v>0.0</v>
      </c>
      <c r="X1344" s="94">
        <v>0.0</v>
      </c>
      <c r="Y1344" s="94">
        <v>0.0</v>
      </c>
      <c r="Z1344" s="94">
        <v>0.0</v>
      </c>
      <c r="AA1344" s="94">
        <v>0.0</v>
      </c>
      <c r="AB1344" s="94">
        <v>0.0</v>
      </c>
      <c r="AC1344" s="85">
        <v>1.0</v>
      </c>
      <c r="AD1344" s="94">
        <v>0.0</v>
      </c>
      <c r="AE1344" s="94">
        <v>0.0</v>
      </c>
      <c r="AF1344" s="94">
        <v>0.0</v>
      </c>
      <c r="AG1344" s="94">
        <v>0.0</v>
      </c>
      <c r="AH1344" s="94">
        <v>0.0</v>
      </c>
    </row>
    <row r="1345" hidden="1">
      <c r="A1345" s="83" t="s">
        <v>47</v>
      </c>
      <c r="B1345" s="84" t="s">
        <v>238</v>
      </c>
      <c r="C1345" s="85">
        <v>1.0</v>
      </c>
      <c r="D1345" s="94">
        <v>0.0</v>
      </c>
      <c r="E1345" s="86">
        <v>24.0</v>
      </c>
      <c r="F1345" s="85">
        <v>2.0</v>
      </c>
      <c r="G1345" s="85">
        <v>69.0</v>
      </c>
      <c r="H1345" s="94">
        <v>0.0</v>
      </c>
      <c r="I1345" s="85">
        <v>72.0</v>
      </c>
      <c r="J1345" s="95">
        <f t="shared" si="1015"/>
        <v>-3</v>
      </c>
      <c r="K1345" s="87">
        <f t="shared" si="1016"/>
        <v>0.9583333333</v>
      </c>
      <c r="L1345" s="85">
        <v>16.0</v>
      </c>
      <c r="M1345" s="85">
        <v>88.0</v>
      </c>
      <c r="N1345" s="85">
        <v>1.0</v>
      </c>
      <c r="O1345" s="110">
        <f t="shared" si="1023"/>
        <v>24</v>
      </c>
      <c r="P1345" s="85">
        <v>3.0</v>
      </c>
      <c r="Q1345" s="85">
        <v>2.0</v>
      </c>
      <c r="R1345" s="85">
        <v>2.0</v>
      </c>
      <c r="S1345" s="85">
        <v>2.0</v>
      </c>
      <c r="T1345" s="85">
        <v>7.0</v>
      </c>
      <c r="U1345" s="85">
        <v>1.0</v>
      </c>
      <c r="V1345" s="94">
        <v>0.0</v>
      </c>
      <c r="W1345" s="94">
        <v>0.0</v>
      </c>
      <c r="X1345" s="94">
        <v>0.0</v>
      </c>
      <c r="Y1345" s="94">
        <v>0.0</v>
      </c>
      <c r="Z1345" s="94">
        <v>0.0</v>
      </c>
      <c r="AA1345" s="94">
        <v>0.0</v>
      </c>
      <c r="AB1345" s="94">
        <v>0.0</v>
      </c>
      <c r="AC1345" s="85">
        <v>2.0</v>
      </c>
      <c r="AD1345" s="94">
        <v>0.0</v>
      </c>
      <c r="AE1345" s="94">
        <v>0.0</v>
      </c>
      <c r="AF1345" s="94">
        <v>0.0</v>
      </c>
      <c r="AG1345" s="94">
        <v>0.0</v>
      </c>
      <c r="AH1345" s="94">
        <v>0.0</v>
      </c>
    </row>
    <row r="1346" hidden="1">
      <c r="A1346" s="83" t="s">
        <v>47</v>
      </c>
      <c r="B1346" s="84" t="s">
        <v>239</v>
      </c>
      <c r="C1346" s="85">
        <v>1.0</v>
      </c>
      <c r="D1346" s="94">
        <v>0.0</v>
      </c>
      <c r="E1346" s="86">
        <v>24.0</v>
      </c>
      <c r="F1346" s="94">
        <v>0.0</v>
      </c>
      <c r="G1346" s="85">
        <v>77.0</v>
      </c>
      <c r="H1346" s="94">
        <v>0.0</v>
      </c>
      <c r="I1346" s="85">
        <v>90.0</v>
      </c>
      <c r="J1346" s="95">
        <f t="shared" si="1015"/>
        <v>-13</v>
      </c>
      <c r="K1346" s="87">
        <f t="shared" si="1016"/>
        <v>0.8555555556</v>
      </c>
      <c r="L1346" s="85">
        <v>12.0</v>
      </c>
      <c r="M1346" s="85">
        <v>100.0</v>
      </c>
      <c r="N1346" s="85">
        <v>1.0</v>
      </c>
      <c r="O1346" s="110">
        <f t="shared" si="1023"/>
        <v>24</v>
      </c>
      <c r="P1346" s="85">
        <v>3.0</v>
      </c>
      <c r="Q1346" s="94">
        <v>0.0</v>
      </c>
      <c r="R1346" s="85">
        <v>4.0</v>
      </c>
      <c r="S1346" s="94">
        <v>0.0</v>
      </c>
      <c r="T1346" s="85">
        <v>14.0</v>
      </c>
      <c r="U1346" s="85">
        <v>3.0</v>
      </c>
      <c r="V1346" s="85">
        <v>1.0</v>
      </c>
      <c r="W1346" s="94">
        <v>0.0</v>
      </c>
      <c r="X1346" s="94">
        <v>0.0</v>
      </c>
      <c r="Y1346" s="94">
        <v>0.0</v>
      </c>
      <c r="Z1346" s="94">
        <v>0.0</v>
      </c>
      <c r="AA1346" s="94">
        <v>0.0</v>
      </c>
      <c r="AB1346" s="94">
        <v>0.0</v>
      </c>
      <c r="AC1346" s="94">
        <v>0.0</v>
      </c>
      <c r="AD1346" s="94">
        <v>0.0</v>
      </c>
      <c r="AE1346" s="94">
        <v>0.0</v>
      </c>
      <c r="AF1346" s="94">
        <v>0.0</v>
      </c>
      <c r="AG1346" s="85">
        <v>1.0</v>
      </c>
      <c r="AH1346" s="94">
        <v>0.0</v>
      </c>
    </row>
    <row r="1347" hidden="1">
      <c r="A1347" s="83" t="s">
        <v>47</v>
      </c>
      <c r="B1347" s="84" t="s">
        <v>240</v>
      </c>
      <c r="C1347" s="85">
        <v>1.0</v>
      </c>
      <c r="D1347" s="94">
        <v>0.0</v>
      </c>
      <c r="E1347" s="86">
        <v>24.0</v>
      </c>
      <c r="F1347" s="94">
        <v>0.0</v>
      </c>
      <c r="G1347" s="85">
        <v>89.0</v>
      </c>
      <c r="H1347" s="94">
        <v>0.0</v>
      </c>
      <c r="I1347" s="85">
        <v>80.0</v>
      </c>
      <c r="J1347" s="95">
        <f t="shared" si="1015"/>
        <v>9</v>
      </c>
      <c r="K1347" s="87">
        <f t="shared" si="1016"/>
        <v>1.1125</v>
      </c>
      <c r="L1347" s="85">
        <v>14.0</v>
      </c>
      <c r="M1347" s="85">
        <v>107.0</v>
      </c>
      <c r="N1347" s="85">
        <v>1.0</v>
      </c>
      <c r="O1347" s="110">
        <f t="shared" si="1023"/>
        <v>24</v>
      </c>
      <c r="P1347" s="85">
        <v>1.0</v>
      </c>
      <c r="Q1347" s="85">
        <v>1.0</v>
      </c>
      <c r="R1347" s="85">
        <v>4.0</v>
      </c>
      <c r="S1347" s="85">
        <v>1.0</v>
      </c>
      <c r="T1347" s="85">
        <v>13.0</v>
      </c>
      <c r="U1347" s="85">
        <v>3.0</v>
      </c>
      <c r="V1347" s="94">
        <v>0.0</v>
      </c>
      <c r="W1347" s="94">
        <v>0.0</v>
      </c>
      <c r="X1347" s="94">
        <v>0.0</v>
      </c>
      <c r="Y1347" s="94">
        <v>0.0</v>
      </c>
      <c r="Z1347" s="94">
        <v>0.0</v>
      </c>
      <c r="AA1347" s="94">
        <v>0.0</v>
      </c>
      <c r="AB1347" s="94">
        <v>0.0</v>
      </c>
      <c r="AC1347" s="85">
        <v>2.0</v>
      </c>
      <c r="AD1347" s="94">
        <v>0.0</v>
      </c>
      <c r="AE1347" s="94">
        <v>0.0</v>
      </c>
      <c r="AF1347" s="94">
        <v>0.0</v>
      </c>
      <c r="AG1347" s="94">
        <v>0.0</v>
      </c>
      <c r="AH1347" s="94">
        <v>0.0</v>
      </c>
    </row>
    <row r="1348" hidden="1">
      <c r="A1348" s="83" t="s">
        <v>47</v>
      </c>
      <c r="B1348" s="84" t="s">
        <v>241</v>
      </c>
      <c r="C1348" s="94">
        <v>0.0</v>
      </c>
      <c r="D1348" s="94">
        <v>0.0</v>
      </c>
      <c r="E1348" s="96">
        <f t="shared" ref="E1348:E1349" si="1024">SUM(L1348*I1348)/60</f>
        <v>0</v>
      </c>
      <c r="F1348" s="94">
        <v>0.0</v>
      </c>
      <c r="G1348" s="94">
        <v>0.0</v>
      </c>
      <c r="H1348" s="94">
        <v>0.0</v>
      </c>
      <c r="I1348" s="94">
        <v>0.0</v>
      </c>
      <c r="J1348" s="95">
        <f t="shared" si="1015"/>
        <v>0</v>
      </c>
      <c r="K1348" s="87" t="str">
        <f t="shared" si="1016"/>
        <v>#DIV/0!</v>
      </c>
      <c r="L1348" s="94">
        <v>0.0</v>
      </c>
      <c r="M1348" s="94">
        <v>0.0</v>
      </c>
      <c r="N1348" s="85">
        <v>0.0</v>
      </c>
      <c r="O1348" s="110">
        <f t="shared" si="1023"/>
        <v>0</v>
      </c>
      <c r="P1348" s="94">
        <v>0.0</v>
      </c>
      <c r="Q1348" s="94">
        <v>0.0</v>
      </c>
      <c r="R1348" s="94">
        <v>0.0</v>
      </c>
      <c r="S1348" s="94">
        <v>0.0</v>
      </c>
      <c r="T1348" s="94">
        <v>0.0</v>
      </c>
      <c r="U1348" s="94">
        <v>0.0</v>
      </c>
      <c r="V1348" s="94">
        <v>0.0</v>
      </c>
      <c r="W1348" s="94">
        <v>0.0</v>
      </c>
      <c r="X1348" s="94">
        <v>0.0</v>
      </c>
      <c r="Y1348" s="94">
        <v>0.0</v>
      </c>
      <c r="Z1348" s="94">
        <v>0.0</v>
      </c>
      <c r="AA1348" s="94">
        <v>0.0</v>
      </c>
      <c r="AB1348" s="94">
        <v>0.0</v>
      </c>
      <c r="AC1348" s="94">
        <v>0.0</v>
      </c>
      <c r="AD1348" s="94">
        <v>0.0</v>
      </c>
      <c r="AE1348" s="94">
        <v>0.0</v>
      </c>
      <c r="AF1348" s="94">
        <v>0.0</v>
      </c>
      <c r="AG1348" s="94">
        <v>0.0</v>
      </c>
      <c r="AH1348" s="94">
        <v>0.0</v>
      </c>
    </row>
    <row r="1349" hidden="1">
      <c r="A1349" s="83" t="s">
        <v>214</v>
      </c>
      <c r="B1349" s="84" t="s">
        <v>182</v>
      </c>
      <c r="C1349" s="94">
        <v>0.0</v>
      </c>
      <c r="D1349" s="94">
        <v>0.0</v>
      </c>
      <c r="E1349" s="96">
        <f t="shared" si="1024"/>
        <v>0</v>
      </c>
      <c r="F1349" s="94">
        <v>0.0</v>
      </c>
      <c r="G1349" s="94">
        <v>0.0</v>
      </c>
      <c r="H1349" s="94">
        <v>0.0</v>
      </c>
      <c r="I1349" s="94">
        <v>0.0</v>
      </c>
      <c r="J1349" s="95">
        <f t="shared" si="1015"/>
        <v>0</v>
      </c>
      <c r="K1349" s="87" t="str">
        <f t="shared" si="1016"/>
        <v>#DIV/0!</v>
      </c>
      <c r="L1349" s="94">
        <v>0.0</v>
      </c>
      <c r="M1349" s="94">
        <v>0.0</v>
      </c>
      <c r="N1349" s="85">
        <v>0.0</v>
      </c>
      <c r="O1349" s="110">
        <f t="shared" si="1023"/>
        <v>0</v>
      </c>
      <c r="P1349" s="94">
        <v>0.0</v>
      </c>
      <c r="Q1349" s="94">
        <v>0.0</v>
      </c>
      <c r="R1349" s="94">
        <v>0.0</v>
      </c>
      <c r="S1349" s="94">
        <v>0.0</v>
      </c>
      <c r="T1349" s="94">
        <v>0.0</v>
      </c>
      <c r="U1349" s="94">
        <v>0.0</v>
      </c>
      <c r="V1349" s="94">
        <v>0.0</v>
      </c>
      <c r="W1349" s="94">
        <v>0.0</v>
      </c>
      <c r="X1349" s="94">
        <v>0.0</v>
      </c>
      <c r="Y1349" s="94">
        <v>0.0</v>
      </c>
      <c r="Z1349" s="94">
        <v>0.0</v>
      </c>
      <c r="AA1349" s="94">
        <v>0.0</v>
      </c>
      <c r="AB1349" s="94">
        <v>0.0</v>
      </c>
      <c r="AC1349" s="94">
        <v>0.0</v>
      </c>
      <c r="AD1349" s="94">
        <v>0.0</v>
      </c>
      <c r="AE1349" s="94">
        <v>0.0</v>
      </c>
      <c r="AF1349" s="94">
        <v>0.0</v>
      </c>
      <c r="AG1349" s="94">
        <v>0.0</v>
      </c>
      <c r="AH1349" s="94">
        <v>0.0</v>
      </c>
    </row>
    <row r="1350" hidden="1">
      <c r="A1350" s="89" t="s">
        <v>185</v>
      </c>
      <c r="B1350" s="111"/>
      <c r="C1350" s="111">
        <f>SUM(C1344:C1349)</f>
        <v>4</v>
      </c>
      <c r="D1350" s="111">
        <f t="shared" ref="D1350:E1350" si="1025">SUM(D1344:D1349)/4</f>
        <v>0</v>
      </c>
      <c r="E1350" s="91">
        <f t="shared" si="1025"/>
        <v>24</v>
      </c>
      <c r="F1350" s="111">
        <f t="shared" ref="F1350:G1350" si="1026">SUM(F1344:F1349)</f>
        <v>2</v>
      </c>
      <c r="G1350" s="111">
        <f t="shared" si="1026"/>
        <v>314</v>
      </c>
      <c r="H1350" s="111"/>
      <c r="I1350" s="111">
        <f>SUM(I1344:I1349)</f>
        <v>334</v>
      </c>
      <c r="J1350" s="111">
        <f t="shared" si="1015"/>
        <v>-20</v>
      </c>
      <c r="K1350" s="92">
        <f t="shared" si="1016"/>
        <v>0.9401197605</v>
      </c>
      <c r="L1350" s="111">
        <f t="shared" ref="L1350:M1350" si="1027">SUM(L1344:L1349)</f>
        <v>54</v>
      </c>
      <c r="M1350" s="111">
        <f t="shared" si="1027"/>
        <v>387</v>
      </c>
      <c r="N1350" s="111"/>
      <c r="O1350" s="112"/>
      <c r="P1350" s="111">
        <f t="shared" ref="P1350:AH1350" si="1028">SUM(P1344:P1349)</f>
        <v>8</v>
      </c>
      <c r="Q1350" s="111">
        <f t="shared" si="1028"/>
        <v>7</v>
      </c>
      <c r="R1350" s="111">
        <f t="shared" si="1028"/>
        <v>15</v>
      </c>
      <c r="S1350" s="111">
        <f t="shared" si="1028"/>
        <v>3</v>
      </c>
      <c r="T1350" s="111">
        <f t="shared" si="1028"/>
        <v>42</v>
      </c>
      <c r="U1350" s="111">
        <f t="shared" si="1028"/>
        <v>7</v>
      </c>
      <c r="V1350" s="111">
        <f t="shared" si="1028"/>
        <v>1</v>
      </c>
      <c r="W1350" s="111">
        <f t="shared" si="1028"/>
        <v>0</v>
      </c>
      <c r="X1350" s="111">
        <f t="shared" si="1028"/>
        <v>0</v>
      </c>
      <c r="Y1350" s="111">
        <f t="shared" si="1028"/>
        <v>0</v>
      </c>
      <c r="Z1350" s="111">
        <f t="shared" si="1028"/>
        <v>0</v>
      </c>
      <c r="AA1350" s="111">
        <f t="shared" si="1028"/>
        <v>0</v>
      </c>
      <c r="AB1350" s="111">
        <f t="shared" si="1028"/>
        <v>0</v>
      </c>
      <c r="AC1350" s="111">
        <f t="shared" si="1028"/>
        <v>5</v>
      </c>
      <c r="AD1350" s="111">
        <f t="shared" si="1028"/>
        <v>0</v>
      </c>
      <c r="AE1350" s="111">
        <f t="shared" si="1028"/>
        <v>0</v>
      </c>
      <c r="AF1350" s="111">
        <f t="shared" si="1028"/>
        <v>0</v>
      </c>
      <c r="AG1350" s="111">
        <f t="shared" si="1028"/>
        <v>1</v>
      </c>
      <c r="AH1350" s="111">
        <f t="shared" si="1028"/>
        <v>0</v>
      </c>
    </row>
    <row r="1351">
      <c r="A1351" s="104" t="s">
        <v>331</v>
      </c>
    </row>
    <row r="1353" hidden="1">
      <c r="A1353" s="105"/>
      <c r="F1353" s="106" t="s">
        <v>251</v>
      </c>
      <c r="L1353" s="107" t="s">
        <v>252</v>
      </c>
      <c r="N1353" s="108" t="s">
        <v>253</v>
      </c>
    </row>
    <row r="1354" hidden="1">
      <c r="A1354" s="76" t="s">
        <v>148</v>
      </c>
      <c r="B1354" s="76" t="s">
        <v>149</v>
      </c>
      <c r="C1354" s="76" t="s">
        <v>150</v>
      </c>
      <c r="D1354" s="76" t="s">
        <v>13</v>
      </c>
      <c r="E1354" s="77" t="s">
        <v>151</v>
      </c>
      <c r="F1354" s="78" t="s">
        <v>15</v>
      </c>
      <c r="G1354" s="78" t="s">
        <v>152</v>
      </c>
      <c r="H1354" s="78" t="s">
        <v>153</v>
      </c>
      <c r="I1354" s="78" t="s">
        <v>154</v>
      </c>
      <c r="J1354" s="78" t="s">
        <v>155</v>
      </c>
      <c r="K1354" s="79" t="s">
        <v>156</v>
      </c>
      <c r="L1354" s="80" t="s">
        <v>157</v>
      </c>
      <c r="M1354" s="80" t="s">
        <v>158</v>
      </c>
      <c r="N1354" s="81" t="s">
        <v>254</v>
      </c>
      <c r="O1354" s="81" t="s">
        <v>151</v>
      </c>
      <c r="P1354" s="81" t="s">
        <v>160</v>
      </c>
      <c r="Q1354" s="81" t="s">
        <v>161</v>
      </c>
      <c r="R1354" s="81" t="s">
        <v>162</v>
      </c>
      <c r="S1354" s="81" t="s">
        <v>163</v>
      </c>
      <c r="T1354" s="81" t="s">
        <v>164</v>
      </c>
      <c r="U1354" s="81" t="s">
        <v>165</v>
      </c>
      <c r="V1354" s="81" t="s">
        <v>166</v>
      </c>
      <c r="W1354" s="81" t="s">
        <v>167</v>
      </c>
      <c r="X1354" s="81" t="s">
        <v>168</v>
      </c>
      <c r="Y1354" s="81" t="s">
        <v>169</v>
      </c>
      <c r="Z1354" s="81" t="s">
        <v>170</v>
      </c>
      <c r="AA1354" s="81" t="s">
        <v>171</v>
      </c>
      <c r="AB1354" s="81" t="s">
        <v>172</v>
      </c>
      <c r="AC1354" s="81" t="s">
        <v>173</v>
      </c>
      <c r="AD1354" s="81" t="s">
        <v>174</v>
      </c>
      <c r="AE1354" s="81" t="s">
        <v>175</v>
      </c>
      <c r="AF1354" s="81" t="s">
        <v>176</v>
      </c>
      <c r="AG1354" s="81" t="s">
        <v>177</v>
      </c>
      <c r="AH1354" s="81" t="s">
        <v>178</v>
      </c>
    </row>
    <row r="1355" hidden="1">
      <c r="A1355" s="83" t="s">
        <v>28</v>
      </c>
      <c r="B1355" s="84" t="s">
        <v>179</v>
      </c>
      <c r="C1355" s="85">
        <v>0.0</v>
      </c>
      <c r="D1355" s="85">
        <v>0.0</v>
      </c>
      <c r="E1355" s="96">
        <f t="shared" ref="E1355:E1360" si="1029">SUM(L1355*I1355)/60</f>
        <v>0</v>
      </c>
      <c r="F1355" s="94">
        <v>0.0</v>
      </c>
      <c r="G1355" s="94">
        <v>0.0</v>
      </c>
      <c r="H1355" s="94">
        <v>0.0</v>
      </c>
      <c r="I1355" s="94">
        <v>0.0</v>
      </c>
      <c r="J1355" s="95">
        <f t="shared" ref="J1355:J1368" si="1030">SUM(G1355-I1355)</f>
        <v>0</v>
      </c>
      <c r="K1355" s="87" t="str">
        <f t="shared" ref="K1355:K1368" si="1031">SUM(G1355/I1355)</f>
        <v>#DIV/0!</v>
      </c>
      <c r="L1355" s="94">
        <v>0.0</v>
      </c>
      <c r="M1355" s="94">
        <v>0.0</v>
      </c>
      <c r="N1355" s="94" t="s">
        <v>255</v>
      </c>
      <c r="O1355" s="110" t="str">
        <f t="shared" ref="O1355:O1360" si="1032">(E1355*N1355)</f>
        <v>#VALUE!</v>
      </c>
      <c r="P1355" s="94">
        <v>0.0</v>
      </c>
      <c r="Q1355" s="94">
        <v>0.0</v>
      </c>
      <c r="R1355" s="94">
        <v>0.0</v>
      </c>
      <c r="S1355" s="94">
        <v>0.0</v>
      </c>
      <c r="T1355" s="94">
        <v>0.0</v>
      </c>
      <c r="U1355" s="94">
        <v>0.0</v>
      </c>
      <c r="V1355" s="94">
        <v>0.0</v>
      </c>
      <c r="W1355" s="94">
        <v>0.0</v>
      </c>
      <c r="X1355" s="94">
        <v>0.0</v>
      </c>
      <c r="Y1355" s="94">
        <v>0.0</v>
      </c>
      <c r="Z1355" s="94">
        <v>0.0</v>
      </c>
      <c r="AA1355" s="94">
        <v>0.0</v>
      </c>
      <c r="AB1355" s="94">
        <v>0.0</v>
      </c>
      <c r="AC1355" s="94">
        <v>0.0</v>
      </c>
      <c r="AD1355" s="94">
        <v>0.0</v>
      </c>
      <c r="AE1355" s="94">
        <v>0.0</v>
      </c>
      <c r="AF1355" s="94">
        <v>0.0</v>
      </c>
      <c r="AG1355" s="94">
        <v>0.0</v>
      </c>
      <c r="AH1355" s="94">
        <v>0.0</v>
      </c>
    </row>
    <row r="1356" hidden="1">
      <c r="A1356" s="83" t="s">
        <v>28</v>
      </c>
      <c r="B1356" s="84" t="s">
        <v>180</v>
      </c>
      <c r="C1356" s="85">
        <v>0.0</v>
      </c>
      <c r="D1356" s="85">
        <v>0.0</v>
      </c>
      <c r="E1356" s="96">
        <f t="shared" si="1029"/>
        <v>0</v>
      </c>
      <c r="F1356" s="94">
        <v>0.0</v>
      </c>
      <c r="G1356" s="94">
        <v>0.0</v>
      </c>
      <c r="H1356" s="94">
        <v>0.0</v>
      </c>
      <c r="I1356" s="94">
        <v>0.0</v>
      </c>
      <c r="J1356" s="95">
        <f t="shared" si="1030"/>
        <v>0</v>
      </c>
      <c r="K1356" s="87" t="str">
        <f t="shared" si="1031"/>
        <v>#DIV/0!</v>
      </c>
      <c r="L1356" s="94">
        <v>0.0</v>
      </c>
      <c r="M1356" s="94">
        <v>0.0</v>
      </c>
      <c r="N1356" s="94" t="s">
        <v>255</v>
      </c>
      <c r="O1356" s="110" t="str">
        <f t="shared" si="1032"/>
        <v>#VALUE!</v>
      </c>
      <c r="P1356" s="94">
        <v>0.0</v>
      </c>
      <c r="Q1356" s="94">
        <v>0.0</v>
      </c>
      <c r="R1356" s="94">
        <v>0.0</v>
      </c>
      <c r="S1356" s="94">
        <v>0.0</v>
      </c>
      <c r="T1356" s="94">
        <v>0.0</v>
      </c>
      <c r="U1356" s="94">
        <v>0.0</v>
      </c>
      <c r="V1356" s="94">
        <v>0.0</v>
      </c>
      <c r="W1356" s="94">
        <v>0.0</v>
      </c>
      <c r="X1356" s="94">
        <v>0.0</v>
      </c>
      <c r="Y1356" s="94">
        <v>0.0</v>
      </c>
      <c r="Z1356" s="94">
        <v>0.0</v>
      </c>
      <c r="AA1356" s="94">
        <v>0.0</v>
      </c>
      <c r="AB1356" s="94">
        <v>0.0</v>
      </c>
      <c r="AC1356" s="94">
        <v>0.0</v>
      </c>
      <c r="AD1356" s="94">
        <v>0.0</v>
      </c>
      <c r="AE1356" s="94">
        <v>0.0</v>
      </c>
      <c r="AF1356" s="94">
        <v>0.0</v>
      </c>
      <c r="AG1356" s="94">
        <v>0.0</v>
      </c>
      <c r="AH1356" s="94">
        <v>0.0</v>
      </c>
    </row>
    <row r="1357" hidden="1">
      <c r="A1357" s="83" t="s">
        <v>28</v>
      </c>
      <c r="B1357" s="84" t="s">
        <v>181</v>
      </c>
      <c r="C1357" s="85">
        <v>0.0</v>
      </c>
      <c r="D1357" s="85">
        <v>0.0</v>
      </c>
      <c r="E1357" s="96">
        <f t="shared" si="1029"/>
        <v>0</v>
      </c>
      <c r="F1357" s="94">
        <v>0.0</v>
      </c>
      <c r="G1357" s="94">
        <v>0.0</v>
      </c>
      <c r="H1357" s="94">
        <v>0.0</v>
      </c>
      <c r="I1357" s="94">
        <v>0.0</v>
      </c>
      <c r="J1357" s="95">
        <f t="shared" si="1030"/>
        <v>0</v>
      </c>
      <c r="K1357" s="87" t="str">
        <f t="shared" si="1031"/>
        <v>#DIV/0!</v>
      </c>
      <c r="L1357" s="94">
        <v>0.0</v>
      </c>
      <c r="M1357" s="94">
        <v>0.0</v>
      </c>
      <c r="N1357" s="94" t="s">
        <v>255</v>
      </c>
      <c r="O1357" s="110" t="str">
        <f t="shared" si="1032"/>
        <v>#VALUE!</v>
      </c>
      <c r="P1357" s="94">
        <v>0.0</v>
      </c>
      <c r="Q1357" s="94">
        <v>0.0</v>
      </c>
      <c r="R1357" s="94">
        <v>0.0</v>
      </c>
      <c r="S1357" s="94">
        <v>0.0</v>
      </c>
      <c r="T1357" s="94">
        <v>0.0</v>
      </c>
      <c r="U1357" s="94">
        <v>0.0</v>
      </c>
      <c r="V1357" s="94">
        <v>0.0</v>
      </c>
      <c r="W1357" s="94">
        <v>0.0</v>
      </c>
      <c r="X1357" s="94">
        <v>0.0</v>
      </c>
      <c r="Y1357" s="94">
        <v>0.0</v>
      </c>
      <c r="Z1357" s="94">
        <v>0.0</v>
      </c>
      <c r="AA1357" s="94">
        <v>0.0</v>
      </c>
      <c r="AB1357" s="94">
        <v>0.0</v>
      </c>
      <c r="AC1357" s="94">
        <v>0.0</v>
      </c>
      <c r="AD1357" s="94">
        <v>0.0</v>
      </c>
      <c r="AE1357" s="94">
        <v>0.0</v>
      </c>
      <c r="AF1357" s="94">
        <v>0.0</v>
      </c>
      <c r="AG1357" s="94">
        <v>0.0</v>
      </c>
      <c r="AH1357" s="94">
        <v>0.0</v>
      </c>
    </row>
    <row r="1358" hidden="1">
      <c r="A1358" s="83" t="s">
        <v>28</v>
      </c>
      <c r="B1358" s="84" t="s">
        <v>182</v>
      </c>
      <c r="C1358" s="85">
        <v>0.0</v>
      </c>
      <c r="D1358" s="85">
        <v>0.0</v>
      </c>
      <c r="E1358" s="96">
        <f t="shared" si="1029"/>
        <v>0</v>
      </c>
      <c r="F1358" s="94">
        <v>0.0</v>
      </c>
      <c r="G1358" s="94">
        <v>0.0</v>
      </c>
      <c r="H1358" s="94">
        <v>0.0</v>
      </c>
      <c r="I1358" s="94">
        <v>0.0</v>
      </c>
      <c r="J1358" s="95">
        <f t="shared" si="1030"/>
        <v>0</v>
      </c>
      <c r="K1358" s="87" t="str">
        <f t="shared" si="1031"/>
        <v>#DIV/0!</v>
      </c>
      <c r="L1358" s="94">
        <v>0.0</v>
      </c>
      <c r="M1358" s="94">
        <v>0.0</v>
      </c>
      <c r="N1358" s="94" t="s">
        <v>255</v>
      </c>
      <c r="O1358" s="110" t="str">
        <f t="shared" si="1032"/>
        <v>#VALUE!</v>
      </c>
      <c r="P1358" s="94">
        <v>0.0</v>
      </c>
      <c r="Q1358" s="94">
        <v>0.0</v>
      </c>
      <c r="R1358" s="94">
        <v>0.0</v>
      </c>
      <c r="S1358" s="94">
        <v>0.0</v>
      </c>
      <c r="T1358" s="94">
        <v>0.0</v>
      </c>
      <c r="U1358" s="94">
        <v>0.0</v>
      </c>
      <c r="V1358" s="94">
        <v>0.0</v>
      </c>
      <c r="W1358" s="94">
        <v>0.0</v>
      </c>
      <c r="X1358" s="94">
        <v>0.0</v>
      </c>
      <c r="Y1358" s="94">
        <v>0.0</v>
      </c>
      <c r="Z1358" s="94">
        <v>0.0</v>
      </c>
      <c r="AA1358" s="94">
        <v>0.0</v>
      </c>
      <c r="AB1358" s="94">
        <v>0.0</v>
      </c>
      <c r="AC1358" s="94">
        <v>0.0</v>
      </c>
      <c r="AD1358" s="94">
        <v>0.0</v>
      </c>
      <c r="AE1358" s="94">
        <v>0.0</v>
      </c>
      <c r="AF1358" s="94">
        <v>0.0</v>
      </c>
      <c r="AG1358" s="94">
        <v>0.0</v>
      </c>
      <c r="AH1358" s="94">
        <v>0.0</v>
      </c>
    </row>
    <row r="1359" hidden="1">
      <c r="A1359" s="83" t="s">
        <v>28</v>
      </c>
      <c r="B1359" s="84" t="s">
        <v>183</v>
      </c>
      <c r="C1359" s="94">
        <v>0.0</v>
      </c>
      <c r="D1359" s="85">
        <v>0.0</v>
      </c>
      <c r="E1359" s="96">
        <f t="shared" si="1029"/>
        <v>0</v>
      </c>
      <c r="F1359" s="94">
        <v>0.0</v>
      </c>
      <c r="G1359" s="94">
        <v>0.0</v>
      </c>
      <c r="H1359" s="94">
        <v>0.0</v>
      </c>
      <c r="I1359" s="94">
        <v>0.0</v>
      </c>
      <c r="J1359" s="95">
        <f t="shared" si="1030"/>
        <v>0</v>
      </c>
      <c r="K1359" s="87" t="str">
        <f t="shared" si="1031"/>
        <v>#DIV/0!</v>
      </c>
      <c r="L1359" s="94">
        <v>0.0</v>
      </c>
      <c r="M1359" s="94">
        <v>0.0</v>
      </c>
      <c r="N1359" s="94" t="s">
        <v>255</v>
      </c>
      <c r="O1359" s="110" t="str">
        <f t="shared" si="1032"/>
        <v>#VALUE!</v>
      </c>
      <c r="P1359" s="94">
        <v>0.0</v>
      </c>
      <c r="Q1359" s="94">
        <v>0.0</v>
      </c>
      <c r="R1359" s="94">
        <v>0.0</v>
      </c>
      <c r="S1359" s="94">
        <v>0.0</v>
      </c>
      <c r="T1359" s="94">
        <v>0.0</v>
      </c>
      <c r="U1359" s="94">
        <v>0.0</v>
      </c>
      <c r="V1359" s="94">
        <v>0.0</v>
      </c>
      <c r="W1359" s="94">
        <v>0.0</v>
      </c>
      <c r="X1359" s="94">
        <v>0.0</v>
      </c>
      <c r="Y1359" s="94">
        <v>0.0</v>
      </c>
      <c r="Z1359" s="94">
        <v>0.0</v>
      </c>
      <c r="AA1359" s="94">
        <v>0.0</v>
      </c>
      <c r="AB1359" s="94">
        <v>0.0</v>
      </c>
      <c r="AC1359" s="94">
        <v>0.0</v>
      </c>
      <c r="AD1359" s="94">
        <v>0.0</v>
      </c>
      <c r="AE1359" s="94">
        <v>0.0</v>
      </c>
      <c r="AF1359" s="94">
        <v>0.0</v>
      </c>
      <c r="AG1359" s="94">
        <v>0.0</v>
      </c>
      <c r="AH1359" s="94">
        <v>0.0</v>
      </c>
    </row>
    <row r="1360" hidden="1">
      <c r="A1360" s="83" t="s">
        <v>28</v>
      </c>
      <c r="B1360" s="84" t="s">
        <v>184</v>
      </c>
      <c r="C1360" s="94">
        <v>0.0</v>
      </c>
      <c r="D1360" s="94">
        <v>0.0</v>
      </c>
      <c r="E1360" s="96">
        <f t="shared" si="1029"/>
        <v>0</v>
      </c>
      <c r="F1360" s="94">
        <v>0.0</v>
      </c>
      <c r="G1360" s="94">
        <v>0.0</v>
      </c>
      <c r="H1360" s="94">
        <v>0.0</v>
      </c>
      <c r="I1360" s="94">
        <v>0.0</v>
      </c>
      <c r="J1360" s="95">
        <f t="shared" si="1030"/>
        <v>0</v>
      </c>
      <c r="K1360" s="87" t="str">
        <f t="shared" si="1031"/>
        <v>#DIV/0!</v>
      </c>
      <c r="L1360" s="94">
        <v>0.0</v>
      </c>
      <c r="M1360" s="94">
        <v>0.0</v>
      </c>
      <c r="N1360" s="94" t="s">
        <v>255</v>
      </c>
      <c r="O1360" s="110" t="str">
        <f t="shared" si="1032"/>
        <v>#VALUE!</v>
      </c>
      <c r="P1360" s="94">
        <v>0.0</v>
      </c>
      <c r="Q1360" s="94">
        <v>0.0</v>
      </c>
      <c r="R1360" s="94">
        <v>0.0</v>
      </c>
      <c r="S1360" s="94">
        <v>0.0</v>
      </c>
      <c r="T1360" s="94">
        <v>0.0</v>
      </c>
      <c r="U1360" s="94">
        <v>0.0</v>
      </c>
      <c r="V1360" s="94">
        <v>0.0</v>
      </c>
      <c r="W1360" s="94">
        <v>0.0</v>
      </c>
      <c r="X1360" s="94">
        <v>0.0</v>
      </c>
      <c r="Y1360" s="94">
        <v>0.0</v>
      </c>
      <c r="Z1360" s="94">
        <v>0.0</v>
      </c>
      <c r="AA1360" s="94">
        <v>0.0</v>
      </c>
      <c r="AB1360" s="94">
        <v>0.0</v>
      </c>
      <c r="AC1360" s="94">
        <v>0.0</v>
      </c>
      <c r="AD1360" s="94">
        <v>0.0</v>
      </c>
      <c r="AE1360" s="94">
        <v>0.0</v>
      </c>
      <c r="AF1360" s="94">
        <v>0.0</v>
      </c>
      <c r="AG1360" s="94">
        <v>0.0</v>
      </c>
      <c r="AH1360" s="94">
        <v>0.0</v>
      </c>
    </row>
    <row r="1361" hidden="1">
      <c r="A1361" s="89"/>
      <c r="B1361" s="111"/>
      <c r="C1361" s="111">
        <f t="shared" ref="C1361:D1361" si="1033">SUM(C1355:C1360)/4</f>
        <v>0</v>
      </c>
      <c r="D1361" s="111">
        <f t="shared" si="1033"/>
        <v>0</v>
      </c>
      <c r="E1361" s="91">
        <f t="shared" ref="E1361:G1361" si="1034">SUM(E1355:E1360)</f>
        <v>0</v>
      </c>
      <c r="F1361" s="111">
        <f t="shared" si="1034"/>
        <v>0</v>
      </c>
      <c r="G1361" s="111">
        <f t="shared" si="1034"/>
        <v>0</v>
      </c>
      <c r="H1361" s="111"/>
      <c r="I1361" s="111">
        <f>SUM(I1355:I1360)</f>
        <v>0</v>
      </c>
      <c r="J1361" s="111">
        <f t="shared" si="1030"/>
        <v>0</v>
      </c>
      <c r="K1361" s="92" t="str">
        <f t="shared" si="1031"/>
        <v>#DIV/0!</v>
      </c>
      <c r="L1361" s="111">
        <f t="shared" ref="L1361:M1361" si="1035">SUM(L1355:L1360)</f>
        <v>0</v>
      </c>
      <c r="M1361" s="111">
        <f t="shared" si="1035"/>
        <v>0</v>
      </c>
      <c r="N1361" s="111"/>
      <c r="O1361" s="112"/>
      <c r="P1361" s="111">
        <f t="shared" ref="P1361:AH1361" si="1036">SUM(P1355:P1360)</f>
        <v>0</v>
      </c>
      <c r="Q1361" s="111">
        <f t="shared" si="1036"/>
        <v>0</v>
      </c>
      <c r="R1361" s="111">
        <f t="shared" si="1036"/>
        <v>0</v>
      </c>
      <c r="S1361" s="111">
        <f t="shared" si="1036"/>
        <v>0</v>
      </c>
      <c r="T1361" s="111">
        <f t="shared" si="1036"/>
        <v>0</v>
      </c>
      <c r="U1361" s="111">
        <f t="shared" si="1036"/>
        <v>0</v>
      </c>
      <c r="V1361" s="111">
        <f t="shared" si="1036"/>
        <v>0</v>
      </c>
      <c r="W1361" s="111">
        <f t="shared" si="1036"/>
        <v>0</v>
      </c>
      <c r="X1361" s="111">
        <f t="shared" si="1036"/>
        <v>0</v>
      </c>
      <c r="Y1361" s="111">
        <f t="shared" si="1036"/>
        <v>0</v>
      </c>
      <c r="Z1361" s="111">
        <f t="shared" si="1036"/>
        <v>0</v>
      </c>
      <c r="AA1361" s="111">
        <f t="shared" si="1036"/>
        <v>0</v>
      </c>
      <c r="AB1361" s="111">
        <f t="shared" si="1036"/>
        <v>0</v>
      </c>
      <c r="AC1361" s="111">
        <f t="shared" si="1036"/>
        <v>0</v>
      </c>
      <c r="AD1361" s="111">
        <f t="shared" si="1036"/>
        <v>0</v>
      </c>
      <c r="AE1361" s="111">
        <f t="shared" si="1036"/>
        <v>0</v>
      </c>
      <c r="AF1361" s="111">
        <f t="shared" si="1036"/>
        <v>0</v>
      </c>
      <c r="AG1361" s="111">
        <f t="shared" si="1036"/>
        <v>0</v>
      </c>
      <c r="AH1361" s="111">
        <f t="shared" si="1036"/>
        <v>0</v>
      </c>
    </row>
    <row r="1362" hidden="1">
      <c r="A1362" s="83" t="s">
        <v>58</v>
      </c>
      <c r="B1362" s="84" t="s">
        <v>209</v>
      </c>
      <c r="C1362" s="85">
        <v>0.0</v>
      </c>
      <c r="D1362" s="94">
        <v>0.0</v>
      </c>
      <c r="E1362" s="96">
        <f t="shared" ref="E1362:E1367" si="1037">SUM(L1362*I1362)/60</f>
        <v>0</v>
      </c>
      <c r="F1362" s="94">
        <v>0.0</v>
      </c>
      <c r="G1362" s="94">
        <v>0.0</v>
      </c>
      <c r="H1362" s="94">
        <v>0.0</v>
      </c>
      <c r="I1362" s="94">
        <v>0.0</v>
      </c>
      <c r="J1362" s="95">
        <f t="shared" si="1030"/>
        <v>0</v>
      </c>
      <c r="K1362" s="87" t="str">
        <f t="shared" si="1031"/>
        <v>#DIV/0!</v>
      </c>
      <c r="L1362" s="94">
        <v>0.0</v>
      </c>
      <c r="M1362" s="94">
        <v>0.0</v>
      </c>
      <c r="N1362" s="94" t="s">
        <v>255</v>
      </c>
      <c r="O1362" s="110" t="str">
        <f t="shared" ref="O1362:O1367" si="1038">(E1362*N1362)</f>
        <v>#VALUE!</v>
      </c>
      <c r="P1362" s="94">
        <v>0.0</v>
      </c>
      <c r="Q1362" s="94">
        <v>0.0</v>
      </c>
      <c r="R1362" s="94">
        <v>0.0</v>
      </c>
      <c r="S1362" s="94">
        <v>0.0</v>
      </c>
      <c r="T1362" s="94">
        <v>0.0</v>
      </c>
      <c r="U1362" s="94">
        <v>0.0</v>
      </c>
      <c r="V1362" s="94">
        <v>0.0</v>
      </c>
      <c r="W1362" s="94">
        <v>0.0</v>
      </c>
      <c r="X1362" s="94">
        <v>0.0</v>
      </c>
      <c r="Y1362" s="94">
        <v>0.0</v>
      </c>
      <c r="Z1362" s="94">
        <v>0.0</v>
      </c>
      <c r="AA1362" s="94">
        <v>0.0</v>
      </c>
      <c r="AB1362" s="94">
        <v>0.0</v>
      </c>
      <c r="AC1362" s="94">
        <v>0.0</v>
      </c>
      <c r="AD1362" s="94">
        <v>0.0</v>
      </c>
      <c r="AE1362" s="94">
        <v>0.0</v>
      </c>
      <c r="AF1362" s="94">
        <v>0.0</v>
      </c>
      <c r="AG1362" s="94">
        <v>0.0</v>
      </c>
      <c r="AH1362" s="94">
        <v>0.0</v>
      </c>
    </row>
    <row r="1363" hidden="1">
      <c r="A1363" s="83" t="s">
        <v>58</v>
      </c>
      <c r="B1363" s="84" t="s">
        <v>210</v>
      </c>
      <c r="C1363" s="85">
        <v>0.0</v>
      </c>
      <c r="D1363" s="94">
        <v>0.0</v>
      </c>
      <c r="E1363" s="96">
        <f t="shared" si="1037"/>
        <v>0</v>
      </c>
      <c r="F1363" s="94">
        <v>0.0</v>
      </c>
      <c r="G1363" s="94">
        <v>0.0</v>
      </c>
      <c r="H1363" s="94">
        <v>0.0</v>
      </c>
      <c r="I1363" s="94">
        <v>0.0</v>
      </c>
      <c r="J1363" s="95">
        <f t="shared" si="1030"/>
        <v>0</v>
      </c>
      <c r="K1363" s="87" t="str">
        <f t="shared" si="1031"/>
        <v>#DIV/0!</v>
      </c>
      <c r="L1363" s="94">
        <v>0.0</v>
      </c>
      <c r="M1363" s="94">
        <v>0.0</v>
      </c>
      <c r="N1363" s="94" t="s">
        <v>255</v>
      </c>
      <c r="O1363" s="110" t="str">
        <f t="shared" si="1038"/>
        <v>#VALUE!</v>
      </c>
      <c r="P1363" s="94">
        <v>0.0</v>
      </c>
      <c r="Q1363" s="94">
        <v>0.0</v>
      </c>
      <c r="R1363" s="94">
        <v>0.0</v>
      </c>
      <c r="S1363" s="94">
        <v>0.0</v>
      </c>
      <c r="T1363" s="94">
        <v>0.0</v>
      </c>
      <c r="U1363" s="94">
        <v>0.0</v>
      </c>
      <c r="V1363" s="94">
        <v>0.0</v>
      </c>
      <c r="W1363" s="94">
        <v>0.0</v>
      </c>
      <c r="X1363" s="94">
        <v>0.0</v>
      </c>
      <c r="Y1363" s="94">
        <v>0.0</v>
      </c>
      <c r="Z1363" s="94">
        <v>0.0</v>
      </c>
      <c r="AA1363" s="94">
        <v>0.0</v>
      </c>
      <c r="AB1363" s="94">
        <v>0.0</v>
      </c>
      <c r="AC1363" s="94">
        <v>0.0</v>
      </c>
      <c r="AD1363" s="94">
        <v>0.0</v>
      </c>
      <c r="AE1363" s="94">
        <v>0.0</v>
      </c>
      <c r="AF1363" s="94">
        <v>0.0</v>
      </c>
      <c r="AG1363" s="94">
        <v>0.0</v>
      </c>
      <c r="AH1363" s="94">
        <v>0.0</v>
      </c>
    </row>
    <row r="1364" hidden="1">
      <c r="A1364" s="83" t="s">
        <v>58</v>
      </c>
      <c r="B1364" s="84" t="s">
        <v>211</v>
      </c>
      <c r="C1364" s="85">
        <v>0.0</v>
      </c>
      <c r="D1364" s="94">
        <v>0.0</v>
      </c>
      <c r="E1364" s="96">
        <f t="shared" si="1037"/>
        <v>0</v>
      </c>
      <c r="F1364" s="94">
        <v>0.0</v>
      </c>
      <c r="G1364" s="94">
        <v>0.0</v>
      </c>
      <c r="H1364" s="94">
        <v>0.0</v>
      </c>
      <c r="I1364" s="94">
        <v>0.0</v>
      </c>
      <c r="J1364" s="95">
        <f t="shared" si="1030"/>
        <v>0</v>
      </c>
      <c r="K1364" s="87" t="str">
        <f t="shared" si="1031"/>
        <v>#DIV/0!</v>
      </c>
      <c r="L1364" s="94">
        <v>0.0</v>
      </c>
      <c r="M1364" s="94">
        <v>0.0</v>
      </c>
      <c r="N1364" s="94" t="s">
        <v>255</v>
      </c>
      <c r="O1364" s="110" t="str">
        <f t="shared" si="1038"/>
        <v>#VALUE!</v>
      </c>
      <c r="P1364" s="94">
        <v>0.0</v>
      </c>
      <c r="Q1364" s="94">
        <v>0.0</v>
      </c>
      <c r="R1364" s="94">
        <v>0.0</v>
      </c>
      <c r="S1364" s="94">
        <v>0.0</v>
      </c>
      <c r="T1364" s="94">
        <v>0.0</v>
      </c>
      <c r="U1364" s="94">
        <v>0.0</v>
      </c>
      <c r="V1364" s="94">
        <v>0.0</v>
      </c>
      <c r="W1364" s="94">
        <v>0.0</v>
      </c>
      <c r="X1364" s="94">
        <v>0.0</v>
      </c>
      <c r="Y1364" s="94">
        <v>0.0</v>
      </c>
      <c r="Z1364" s="94">
        <v>0.0</v>
      </c>
      <c r="AA1364" s="94">
        <v>0.0</v>
      </c>
      <c r="AB1364" s="94">
        <v>0.0</v>
      </c>
      <c r="AC1364" s="94">
        <v>0.0</v>
      </c>
      <c r="AD1364" s="94">
        <v>0.0</v>
      </c>
      <c r="AE1364" s="94">
        <v>0.0</v>
      </c>
      <c r="AF1364" s="94">
        <v>0.0</v>
      </c>
      <c r="AG1364" s="94">
        <v>0.0</v>
      </c>
      <c r="AH1364" s="94">
        <v>0.0</v>
      </c>
    </row>
    <row r="1365" hidden="1">
      <c r="A1365" s="83" t="s">
        <v>58</v>
      </c>
      <c r="B1365" s="84" t="s">
        <v>212</v>
      </c>
      <c r="C1365" s="85">
        <v>0.0</v>
      </c>
      <c r="D1365" s="94">
        <v>0.0</v>
      </c>
      <c r="E1365" s="96">
        <f t="shared" si="1037"/>
        <v>0</v>
      </c>
      <c r="F1365" s="94">
        <v>0.0</v>
      </c>
      <c r="G1365" s="94">
        <v>0.0</v>
      </c>
      <c r="H1365" s="94">
        <v>0.0</v>
      </c>
      <c r="I1365" s="94">
        <v>0.0</v>
      </c>
      <c r="J1365" s="95">
        <f t="shared" si="1030"/>
        <v>0</v>
      </c>
      <c r="K1365" s="87" t="str">
        <f t="shared" si="1031"/>
        <v>#DIV/0!</v>
      </c>
      <c r="L1365" s="94">
        <v>0.0</v>
      </c>
      <c r="M1365" s="94">
        <v>0.0</v>
      </c>
      <c r="N1365" s="94" t="s">
        <v>255</v>
      </c>
      <c r="O1365" s="110" t="str">
        <f t="shared" si="1038"/>
        <v>#VALUE!</v>
      </c>
      <c r="P1365" s="94">
        <v>0.0</v>
      </c>
      <c r="Q1365" s="94">
        <v>0.0</v>
      </c>
      <c r="R1365" s="94">
        <v>0.0</v>
      </c>
      <c r="S1365" s="94">
        <v>0.0</v>
      </c>
      <c r="T1365" s="94">
        <v>0.0</v>
      </c>
      <c r="U1365" s="94">
        <v>0.0</v>
      </c>
      <c r="V1365" s="94">
        <v>0.0</v>
      </c>
      <c r="W1365" s="94">
        <v>0.0</v>
      </c>
      <c r="X1365" s="94">
        <v>0.0</v>
      </c>
      <c r="Y1365" s="94">
        <v>0.0</v>
      </c>
      <c r="Z1365" s="94">
        <v>0.0</v>
      </c>
      <c r="AA1365" s="94">
        <v>0.0</v>
      </c>
      <c r="AB1365" s="94">
        <v>0.0</v>
      </c>
      <c r="AC1365" s="94">
        <v>0.0</v>
      </c>
      <c r="AD1365" s="94">
        <v>0.0</v>
      </c>
      <c r="AE1365" s="94">
        <v>0.0</v>
      </c>
      <c r="AF1365" s="94">
        <v>0.0</v>
      </c>
      <c r="AG1365" s="94">
        <v>0.0</v>
      </c>
      <c r="AH1365" s="94">
        <v>0.0</v>
      </c>
    </row>
    <row r="1366" hidden="1">
      <c r="A1366" s="83" t="s">
        <v>58</v>
      </c>
      <c r="B1366" s="84" t="s">
        <v>213</v>
      </c>
      <c r="C1366" s="94">
        <v>0.0</v>
      </c>
      <c r="D1366" s="94">
        <v>0.0</v>
      </c>
      <c r="E1366" s="96">
        <f t="shared" si="1037"/>
        <v>0</v>
      </c>
      <c r="F1366" s="94">
        <v>0.0</v>
      </c>
      <c r="G1366" s="94">
        <v>0.0</v>
      </c>
      <c r="H1366" s="94">
        <v>0.0</v>
      </c>
      <c r="I1366" s="94">
        <v>0.0</v>
      </c>
      <c r="J1366" s="95">
        <f t="shared" si="1030"/>
        <v>0</v>
      </c>
      <c r="K1366" s="87" t="str">
        <f t="shared" si="1031"/>
        <v>#DIV/0!</v>
      </c>
      <c r="L1366" s="94">
        <v>0.0</v>
      </c>
      <c r="M1366" s="94">
        <v>0.0</v>
      </c>
      <c r="N1366" s="94" t="s">
        <v>255</v>
      </c>
      <c r="O1366" s="110" t="str">
        <f t="shared" si="1038"/>
        <v>#VALUE!</v>
      </c>
      <c r="P1366" s="94">
        <v>0.0</v>
      </c>
      <c r="Q1366" s="94">
        <v>0.0</v>
      </c>
      <c r="R1366" s="94">
        <v>0.0</v>
      </c>
      <c r="S1366" s="94">
        <v>0.0</v>
      </c>
      <c r="T1366" s="94">
        <v>0.0</v>
      </c>
      <c r="U1366" s="94">
        <v>0.0</v>
      </c>
      <c r="V1366" s="94">
        <v>0.0</v>
      </c>
      <c r="W1366" s="94">
        <v>0.0</v>
      </c>
      <c r="X1366" s="94">
        <v>0.0</v>
      </c>
      <c r="Y1366" s="94">
        <v>0.0</v>
      </c>
      <c r="Z1366" s="94">
        <v>0.0</v>
      </c>
      <c r="AA1366" s="94">
        <v>0.0</v>
      </c>
      <c r="AB1366" s="94">
        <v>0.0</v>
      </c>
      <c r="AC1366" s="94">
        <v>0.0</v>
      </c>
      <c r="AD1366" s="94">
        <v>0.0</v>
      </c>
      <c r="AE1366" s="94">
        <v>0.0</v>
      </c>
      <c r="AF1366" s="94">
        <v>0.0</v>
      </c>
      <c r="AG1366" s="94">
        <v>0.0</v>
      </c>
      <c r="AH1366" s="94">
        <v>0.0</v>
      </c>
    </row>
    <row r="1367" hidden="1">
      <c r="A1367" s="83" t="s">
        <v>214</v>
      </c>
      <c r="B1367" s="84" t="s">
        <v>189</v>
      </c>
      <c r="C1367" s="94">
        <v>0.0</v>
      </c>
      <c r="D1367" s="94">
        <v>0.0</v>
      </c>
      <c r="E1367" s="96">
        <f t="shared" si="1037"/>
        <v>0</v>
      </c>
      <c r="F1367" s="94">
        <v>0.0</v>
      </c>
      <c r="G1367" s="94">
        <v>0.0</v>
      </c>
      <c r="H1367" s="94">
        <v>0.0</v>
      </c>
      <c r="I1367" s="94">
        <v>0.0</v>
      </c>
      <c r="J1367" s="95">
        <f t="shared" si="1030"/>
        <v>0</v>
      </c>
      <c r="K1367" s="87" t="str">
        <f t="shared" si="1031"/>
        <v>#DIV/0!</v>
      </c>
      <c r="L1367" s="94">
        <v>0.0</v>
      </c>
      <c r="M1367" s="94">
        <v>0.0</v>
      </c>
      <c r="N1367" s="94" t="s">
        <v>255</v>
      </c>
      <c r="O1367" s="110" t="str">
        <f t="shared" si="1038"/>
        <v>#VALUE!</v>
      </c>
      <c r="P1367" s="94">
        <v>0.0</v>
      </c>
      <c r="Q1367" s="94">
        <v>0.0</v>
      </c>
      <c r="R1367" s="94">
        <v>0.0</v>
      </c>
      <c r="S1367" s="94">
        <v>0.0</v>
      </c>
      <c r="T1367" s="94">
        <v>0.0</v>
      </c>
      <c r="U1367" s="94">
        <v>0.0</v>
      </c>
      <c r="V1367" s="94">
        <v>0.0</v>
      </c>
      <c r="W1367" s="94">
        <v>0.0</v>
      </c>
      <c r="X1367" s="94">
        <v>0.0</v>
      </c>
      <c r="Y1367" s="94">
        <v>0.0</v>
      </c>
      <c r="Z1367" s="94">
        <v>0.0</v>
      </c>
      <c r="AA1367" s="94">
        <v>0.0</v>
      </c>
      <c r="AB1367" s="94">
        <v>0.0</v>
      </c>
      <c r="AC1367" s="94">
        <v>0.0</v>
      </c>
      <c r="AD1367" s="94">
        <v>0.0</v>
      </c>
      <c r="AE1367" s="94">
        <v>0.0</v>
      </c>
      <c r="AF1367" s="94">
        <v>0.0</v>
      </c>
      <c r="AG1367" s="94">
        <v>0.0</v>
      </c>
      <c r="AH1367" s="94">
        <v>0.0</v>
      </c>
    </row>
    <row r="1368" hidden="1">
      <c r="A1368" s="89" t="s">
        <v>185</v>
      </c>
      <c r="B1368" s="111"/>
      <c r="C1368" s="111">
        <f>SUM(C1362:C1367)</f>
        <v>0</v>
      </c>
      <c r="D1368" s="111">
        <f t="shared" ref="D1368:E1368" si="1039">SUM(D1362:D1367)/4</f>
        <v>0</v>
      </c>
      <c r="E1368" s="91">
        <f t="shared" si="1039"/>
        <v>0</v>
      </c>
      <c r="F1368" s="111">
        <f t="shared" ref="F1368:G1368" si="1040">SUM(F1362:F1367)</f>
        <v>0</v>
      </c>
      <c r="G1368" s="111">
        <f t="shared" si="1040"/>
        <v>0</v>
      </c>
      <c r="H1368" s="111"/>
      <c r="I1368" s="111">
        <f>SUM(I1362:I1367)</f>
        <v>0</v>
      </c>
      <c r="J1368" s="111">
        <f t="shared" si="1030"/>
        <v>0</v>
      </c>
      <c r="K1368" s="92" t="str">
        <f t="shared" si="1031"/>
        <v>#DIV/0!</v>
      </c>
      <c r="L1368" s="111">
        <f t="shared" ref="L1368:M1368" si="1041">SUM(L1362:L1367)</f>
        <v>0</v>
      </c>
      <c r="M1368" s="111">
        <f t="shared" si="1041"/>
        <v>0</v>
      </c>
      <c r="N1368" s="111"/>
      <c r="O1368" s="112"/>
      <c r="P1368" s="111">
        <f t="shared" ref="P1368:AH1368" si="1042">SUM(P1362:P1367)</f>
        <v>0</v>
      </c>
      <c r="Q1368" s="111">
        <f t="shared" si="1042"/>
        <v>0</v>
      </c>
      <c r="R1368" s="111">
        <f t="shared" si="1042"/>
        <v>0</v>
      </c>
      <c r="S1368" s="111">
        <f t="shared" si="1042"/>
        <v>0</v>
      </c>
      <c r="T1368" s="111">
        <f t="shared" si="1042"/>
        <v>0</v>
      </c>
      <c r="U1368" s="111">
        <f t="shared" si="1042"/>
        <v>0</v>
      </c>
      <c r="V1368" s="111">
        <f t="shared" si="1042"/>
        <v>0</v>
      </c>
      <c r="W1368" s="111">
        <f t="shared" si="1042"/>
        <v>0</v>
      </c>
      <c r="X1368" s="111">
        <f t="shared" si="1042"/>
        <v>0</v>
      </c>
      <c r="Y1368" s="111">
        <f t="shared" si="1042"/>
        <v>0</v>
      </c>
      <c r="Z1368" s="111">
        <f t="shared" si="1042"/>
        <v>0</v>
      </c>
      <c r="AA1368" s="111">
        <f t="shared" si="1042"/>
        <v>0</v>
      </c>
      <c r="AB1368" s="111">
        <f t="shared" si="1042"/>
        <v>0</v>
      </c>
      <c r="AC1368" s="111">
        <f t="shared" si="1042"/>
        <v>0</v>
      </c>
      <c r="AD1368" s="111">
        <f t="shared" si="1042"/>
        <v>0</v>
      </c>
      <c r="AE1368" s="111">
        <f t="shared" si="1042"/>
        <v>0</v>
      </c>
      <c r="AF1368" s="111">
        <f t="shared" si="1042"/>
        <v>0</v>
      </c>
      <c r="AG1368" s="111">
        <f t="shared" si="1042"/>
        <v>0</v>
      </c>
      <c r="AH1368" s="111">
        <f t="shared" si="1042"/>
        <v>0</v>
      </c>
    </row>
    <row r="1369">
      <c r="A1369" s="104" t="s">
        <v>332</v>
      </c>
    </row>
    <row r="1371" hidden="1">
      <c r="A1371" s="105"/>
      <c r="F1371" s="106" t="s">
        <v>251</v>
      </c>
      <c r="L1371" s="107" t="s">
        <v>252</v>
      </c>
      <c r="N1371" s="108" t="s">
        <v>253</v>
      </c>
    </row>
    <row r="1372" hidden="1">
      <c r="A1372" s="76" t="s">
        <v>148</v>
      </c>
      <c r="B1372" s="76" t="s">
        <v>149</v>
      </c>
      <c r="C1372" s="76" t="s">
        <v>150</v>
      </c>
      <c r="D1372" s="76" t="s">
        <v>13</v>
      </c>
      <c r="E1372" s="77" t="s">
        <v>151</v>
      </c>
      <c r="F1372" s="78" t="s">
        <v>15</v>
      </c>
      <c r="G1372" s="78" t="s">
        <v>152</v>
      </c>
      <c r="H1372" s="78" t="s">
        <v>153</v>
      </c>
      <c r="I1372" s="78" t="s">
        <v>154</v>
      </c>
      <c r="J1372" s="78" t="s">
        <v>155</v>
      </c>
      <c r="K1372" s="79" t="s">
        <v>156</v>
      </c>
      <c r="L1372" s="80" t="s">
        <v>157</v>
      </c>
      <c r="M1372" s="80" t="s">
        <v>158</v>
      </c>
      <c r="N1372" s="81" t="s">
        <v>254</v>
      </c>
      <c r="O1372" s="81" t="s">
        <v>151</v>
      </c>
      <c r="P1372" s="81" t="s">
        <v>160</v>
      </c>
      <c r="Q1372" s="81" t="s">
        <v>161</v>
      </c>
      <c r="R1372" s="81" t="s">
        <v>162</v>
      </c>
      <c r="S1372" s="81" t="s">
        <v>163</v>
      </c>
      <c r="T1372" s="81" t="s">
        <v>164</v>
      </c>
      <c r="U1372" s="81" t="s">
        <v>165</v>
      </c>
      <c r="V1372" s="81" t="s">
        <v>166</v>
      </c>
      <c r="W1372" s="81" t="s">
        <v>167</v>
      </c>
      <c r="X1372" s="81" t="s">
        <v>168</v>
      </c>
      <c r="Y1372" s="81" t="s">
        <v>169</v>
      </c>
      <c r="Z1372" s="81" t="s">
        <v>170</v>
      </c>
      <c r="AA1372" s="81" t="s">
        <v>171</v>
      </c>
      <c r="AB1372" s="81" t="s">
        <v>172</v>
      </c>
      <c r="AC1372" s="81" t="s">
        <v>173</v>
      </c>
      <c r="AD1372" s="81" t="s">
        <v>174</v>
      </c>
      <c r="AE1372" s="81" t="s">
        <v>175</v>
      </c>
      <c r="AF1372" s="81" t="s">
        <v>176</v>
      </c>
      <c r="AG1372" s="81" t="s">
        <v>177</v>
      </c>
      <c r="AH1372" s="81" t="s">
        <v>178</v>
      </c>
    </row>
    <row r="1373" hidden="1">
      <c r="A1373" s="83" t="s">
        <v>28</v>
      </c>
      <c r="B1373" s="84" t="s">
        <v>179</v>
      </c>
      <c r="C1373" s="85">
        <v>0.0</v>
      </c>
      <c r="D1373" s="85">
        <v>0.0</v>
      </c>
      <c r="E1373" s="96">
        <f t="shared" ref="E1373:E1378" si="1043">SUM(L1373*I1373)/60</f>
        <v>0</v>
      </c>
      <c r="F1373" s="94">
        <v>0.0</v>
      </c>
      <c r="G1373" s="94">
        <v>0.0</v>
      </c>
      <c r="H1373" s="94">
        <v>0.0</v>
      </c>
      <c r="I1373" s="94">
        <v>0.0</v>
      </c>
      <c r="J1373" s="95">
        <f t="shared" ref="J1373:J1386" si="1044">SUM(G1373-I1373)</f>
        <v>0</v>
      </c>
      <c r="K1373" s="87" t="str">
        <f t="shared" ref="K1373:K1386" si="1045">SUM(G1373/I1373)</f>
        <v>#DIV/0!</v>
      </c>
      <c r="L1373" s="94">
        <v>0.0</v>
      </c>
      <c r="M1373" s="94">
        <v>0.0</v>
      </c>
      <c r="N1373" s="94" t="s">
        <v>255</v>
      </c>
      <c r="O1373" s="110" t="str">
        <f t="shared" ref="O1373:O1378" si="1046">(E1373*N1373)</f>
        <v>#VALUE!</v>
      </c>
      <c r="P1373" s="94">
        <v>0.0</v>
      </c>
      <c r="Q1373" s="94">
        <v>0.0</v>
      </c>
      <c r="R1373" s="94">
        <v>0.0</v>
      </c>
      <c r="S1373" s="94">
        <v>0.0</v>
      </c>
      <c r="T1373" s="94">
        <v>0.0</v>
      </c>
      <c r="U1373" s="94">
        <v>0.0</v>
      </c>
      <c r="V1373" s="94">
        <v>0.0</v>
      </c>
      <c r="W1373" s="94">
        <v>0.0</v>
      </c>
      <c r="X1373" s="94">
        <v>0.0</v>
      </c>
      <c r="Y1373" s="94">
        <v>0.0</v>
      </c>
      <c r="Z1373" s="94">
        <v>0.0</v>
      </c>
      <c r="AA1373" s="94">
        <v>0.0</v>
      </c>
      <c r="AB1373" s="94">
        <v>0.0</v>
      </c>
      <c r="AC1373" s="94">
        <v>0.0</v>
      </c>
      <c r="AD1373" s="94">
        <v>0.0</v>
      </c>
      <c r="AE1373" s="94">
        <v>0.0</v>
      </c>
      <c r="AF1373" s="94">
        <v>0.0</v>
      </c>
      <c r="AG1373" s="94">
        <v>0.0</v>
      </c>
      <c r="AH1373" s="94">
        <v>0.0</v>
      </c>
    </row>
    <row r="1374" hidden="1">
      <c r="A1374" s="83" t="s">
        <v>28</v>
      </c>
      <c r="B1374" s="84" t="s">
        <v>180</v>
      </c>
      <c r="C1374" s="85">
        <v>0.0</v>
      </c>
      <c r="D1374" s="85">
        <v>0.0</v>
      </c>
      <c r="E1374" s="96">
        <f t="shared" si="1043"/>
        <v>0</v>
      </c>
      <c r="F1374" s="94">
        <v>0.0</v>
      </c>
      <c r="G1374" s="94">
        <v>0.0</v>
      </c>
      <c r="H1374" s="94">
        <v>0.0</v>
      </c>
      <c r="I1374" s="94">
        <v>0.0</v>
      </c>
      <c r="J1374" s="95">
        <f t="shared" si="1044"/>
        <v>0</v>
      </c>
      <c r="K1374" s="87" t="str">
        <f t="shared" si="1045"/>
        <v>#DIV/0!</v>
      </c>
      <c r="L1374" s="94">
        <v>0.0</v>
      </c>
      <c r="M1374" s="94">
        <v>0.0</v>
      </c>
      <c r="N1374" s="94" t="s">
        <v>255</v>
      </c>
      <c r="O1374" s="110" t="str">
        <f t="shared" si="1046"/>
        <v>#VALUE!</v>
      </c>
      <c r="P1374" s="94">
        <v>0.0</v>
      </c>
      <c r="Q1374" s="94">
        <v>0.0</v>
      </c>
      <c r="R1374" s="94">
        <v>0.0</v>
      </c>
      <c r="S1374" s="94">
        <v>0.0</v>
      </c>
      <c r="T1374" s="94">
        <v>0.0</v>
      </c>
      <c r="U1374" s="94">
        <v>0.0</v>
      </c>
      <c r="V1374" s="94">
        <v>0.0</v>
      </c>
      <c r="W1374" s="94">
        <v>0.0</v>
      </c>
      <c r="X1374" s="94">
        <v>0.0</v>
      </c>
      <c r="Y1374" s="94">
        <v>0.0</v>
      </c>
      <c r="Z1374" s="94">
        <v>0.0</v>
      </c>
      <c r="AA1374" s="94">
        <v>0.0</v>
      </c>
      <c r="AB1374" s="94">
        <v>0.0</v>
      </c>
      <c r="AC1374" s="94">
        <v>0.0</v>
      </c>
      <c r="AD1374" s="94">
        <v>0.0</v>
      </c>
      <c r="AE1374" s="94">
        <v>0.0</v>
      </c>
      <c r="AF1374" s="94">
        <v>0.0</v>
      </c>
      <c r="AG1374" s="94">
        <v>0.0</v>
      </c>
      <c r="AH1374" s="94">
        <v>0.0</v>
      </c>
    </row>
    <row r="1375" hidden="1">
      <c r="A1375" s="83" t="s">
        <v>28</v>
      </c>
      <c r="B1375" s="84" t="s">
        <v>181</v>
      </c>
      <c r="C1375" s="85">
        <v>0.0</v>
      </c>
      <c r="D1375" s="85">
        <v>0.0</v>
      </c>
      <c r="E1375" s="96">
        <f t="shared" si="1043"/>
        <v>0</v>
      </c>
      <c r="F1375" s="94">
        <v>0.0</v>
      </c>
      <c r="G1375" s="94">
        <v>0.0</v>
      </c>
      <c r="H1375" s="94">
        <v>0.0</v>
      </c>
      <c r="I1375" s="94">
        <v>0.0</v>
      </c>
      <c r="J1375" s="95">
        <f t="shared" si="1044"/>
        <v>0</v>
      </c>
      <c r="K1375" s="87" t="str">
        <f t="shared" si="1045"/>
        <v>#DIV/0!</v>
      </c>
      <c r="L1375" s="94">
        <v>0.0</v>
      </c>
      <c r="M1375" s="94">
        <v>0.0</v>
      </c>
      <c r="N1375" s="94" t="s">
        <v>255</v>
      </c>
      <c r="O1375" s="110" t="str">
        <f t="shared" si="1046"/>
        <v>#VALUE!</v>
      </c>
      <c r="P1375" s="94">
        <v>0.0</v>
      </c>
      <c r="Q1375" s="94">
        <v>0.0</v>
      </c>
      <c r="R1375" s="94">
        <v>0.0</v>
      </c>
      <c r="S1375" s="94">
        <v>0.0</v>
      </c>
      <c r="T1375" s="94">
        <v>0.0</v>
      </c>
      <c r="U1375" s="94">
        <v>0.0</v>
      </c>
      <c r="V1375" s="94">
        <v>0.0</v>
      </c>
      <c r="W1375" s="94">
        <v>0.0</v>
      </c>
      <c r="X1375" s="94">
        <v>0.0</v>
      </c>
      <c r="Y1375" s="94">
        <v>0.0</v>
      </c>
      <c r="Z1375" s="94">
        <v>0.0</v>
      </c>
      <c r="AA1375" s="94">
        <v>0.0</v>
      </c>
      <c r="AB1375" s="94">
        <v>0.0</v>
      </c>
      <c r="AC1375" s="94">
        <v>0.0</v>
      </c>
      <c r="AD1375" s="94">
        <v>0.0</v>
      </c>
      <c r="AE1375" s="94">
        <v>0.0</v>
      </c>
      <c r="AF1375" s="94">
        <v>0.0</v>
      </c>
      <c r="AG1375" s="94">
        <v>0.0</v>
      </c>
      <c r="AH1375" s="94">
        <v>0.0</v>
      </c>
    </row>
    <row r="1376" hidden="1">
      <c r="A1376" s="83" t="s">
        <v>28</v>
      </c>
      <c r="B1376" s="84" t="s">
        <v>182</v>
      </c>
      <c r="C1376" s="85">
        <v>0.0</v>
      </c>
      <c r="D1376" s="85">
        <v>0.0</v>
      </c>
      <c r="E1376" s="96">
        <f t="shared" si="1043"/>
        <v>0</v>
      </c>
      <c r="F1376" s="94">
        <v>0.0</v>
      </c>
      <c r="G1376" s="94">
        <v>0.0</v>
      </c>
      <c r="H1376" s="94">
        <v>0.0</v>
      </c>
      <c r="I1376" s="94">
        <v>0.0</v>
      </c>
      <c r="J1376" s="95">
        <f t="shared" si="1044"/>
        <v>0</v>
      </c>
      <c r="K1376" s="87" t="str">
        <f t="shared" si="1045"/>
        <v>#DIV/0!</v>
      </c>
      <c r="L1376" s="94">
        <v>0.0</v>
      </c>
      <c r="M1376" s="94">
        <v>0.0</v>
      </c>
      <c r="N1376" s="94" t="s">
        <v>255</v>
      </c>
      <c r="O1376" s="110" t="str">
        <f t="shared" si="1046"/>
        <v>#VALUE!</v>
      </c>
      <c r="P1376" s="94">
        <v>0.0</v>
      </c>
      <c r="Q1376" s="94">
        <v>0.0</v>
      </c>
      <c r="R1376" s="94">
        <v>0.0</v>
      </c>
      <c r="S1376" s="94">
        <v>0.0</v>
      </c>
      <c r="T1376" s="94">
        <v>0.0</v>
      </c>
      <c r="U1376" s="94">
        <v>0.0</v>
      </c>
      <c r="V1376" s="94">
        <v>0.0</v>
      </c>
      <c r="W1376" s="94">
        <v>0.0</v>
      </c>
      <c r="X1376" s="94">
        <v>0.0</v>
      </c>
      <c r="Y1376" s="94">
        <v>0.0</v>
      </c>
      <c r="Z1376" s="94">
        <v>0.0</v>
      </c>
      <c r="AA1376" s="94">
        <v>0.0</v>
      </c>
      <c r="AB1376" s="94">
        <v>0.0</v>
      </c>
      <c r="AC1376" s="94">
        <v>0.0</v>
      </c>
      <c r="AD1376" s="94">
        <v>0.0</v>
      </c>
      <c r="AE1376" s="94">
        <v>0.0</v>
      </c>
      <c r="AF1376" s="94">
        <v>0.0</v>
      </c>
      <c r="AG1376" s="94">
        <v>0.0</v>
      </c>
      <c r="AH1376" s="94">
        <v>0.0</v>
      </c>
    </row>
    <row r="1377" hidden="1">
      <c r="A1377" s="83" t="s">
        <v>28</v>
      </c>
      <c r="B1377" s="84" t="s">
        <v>183</v>
      </c>
      <c r="C1377" s="94">
        <v>0.0</v>
      </c>
      <c r="D1377" s="94">
        <v>0.0</v>
      </c>
      <c r="E1377" s="96">
        <f t="shared" si="1043"/>
        <v>0</v>
      </c>
      <c r="F1377" s="94">
        <v>0.0</v>
      </c>
      <c r="G1377" s="94">
        <v>0.0</v>
      </c>
      <c r="H1377" s="94">
        <v>0.0</v>
      </c>
      <c r="I1377" s="94">
        <v>0.0</v>
      </c>
      <c r="J1377" s="95">
        <f t="shared" si="1044"/>
        <v>0</v>
      </c>
      <c r="K1377" s="87" t="str">
        <f t="shared" si="1045"/>
        <v>#DIV/0!</v>
      </c>
      <c r="L1377" s="94">
        <v>0.0</v>
      </c>
      <c r="M1377" s="94">
        <v>0.0</v>
      </c>
      <c r="N1377" s="94" t="s">
        <v>255</v>
      </c>
      <c r="O1377" s="110" t="str">
        <f t="shared" si="1046"/>
        <v>#VALUE!</v>
      </c>
      <c r="P1377" s="94">
        <v>0.0</v>
      </c>
      <c r="Q1377" s="94">
        <v>0.0</v>
      </c>
      <c r="R1377" s="94">
        <v>0.0</v>
      </c>
      <c r="S1377" s="94">
        <v>0.0</v>
      </c>
      <c r="T1377" s="94">
        <v>0.0</v>
      </c>
      <c r="U1377" s="94">
        <v>0.0</v>
      </c>
      <c r="V1377" s="94">
        <v>0.0</v>
      </c>
      <c r="W1377" s="94">
        <v>0.0</v>
      </c>
      <c r="X1377" s="94">
        <v>0.0</v>
      </c>
      <c r="Y1377" s="94">
        <v>0.0</v>
      </c>
      <c r="Z1377" s="94">
        <v>0.0</v>
      </c>
      <c r="AA1377" s="94">
        <v>0.0</v>
      </c>
      <c r="AB1377" s="94">
        <v>0.0</v>
      </c>
      <c r="AC1377" s="94">
        <v>0.0</v>
      </c>
      <c r="AD1377" s="94">
        <v>0.0</v>
      </c>
      <c r="AE1377" s="94">
        <v>0.0</v>
      </c>
      <c r="AF1377" s="94">
        <v>0.0</v>
      </c>
      <c r="AG1377" s="94">
        <v>0.0</v>
      </c>
      <c r="AH1377" s="94">
        <v>0.0</v>
      </c>
    </row>
    <row r="1378" hidden="1">
      <c r="A1378" s="83" t="s">
        <v>28</v>
      </c>
      <c r="B1378" s="84" t="s">
        <v>184</v>
      </c>
      <c r="C1378" s="94">
        <v>0.0</v>
      </c>
      <c r="D1378" s="94">
        <v>0.0</v>
      </c>
      <c r="E1378" s="96">
        <f t="shared" si="1043"/>
        <v>0</v>
      </c>
      <c r="F1378" s="94">
        <v>0.0</v>
      </c>
      <c r="G1378" s="94">
        <v>0.0</v>
      </c>
      <c r="H1378" s="94">
        <v>0.0</v>
      </c>
      <c r="I1378" s="94">
        <v>0.0</v>
      </c>
      <c r="J1378" s="95">
        <f t="shared" si="1044"/>
        <v>0</v>
      </c>
      <c r="K1378" s="87" t="str">
        <f t="shared" si="1045"/>
        <v>#DIV/0!</v>
      </c>
      <c r="L1378" s="94">
        <v>0.0</v>
      </c>
      <c r="M1378" s="94">
        <v>0.0</v>
      </c>
      <c r="N1378" s="94" t="s">
        <v>255</v>
      </c>
      <c r="O1378" s="110" t="str">
        <f t="shared" si="1046"/>
        <v>#VALUE!</v>
      </c>
      <c r="P1378" s="94">
        <v>0.0</v>
      </c>
      <c r="Q1378" s="94">
        <v>0.0</v>
      </c>
      <c r="R1378" s="94">
        <v>0.0</v>
      </c>
      <c r="S1378" s="94">
        <v>0.0</v>
      </c>
      <c r="T1378" s="94">
        <v>0.0</v>
      </c>
      <c r="U1378" s="94">
        <v>0.0</v>
      </c>
      <c r="V1378" s="94">
        <v>0.0</v>
      </c>
      <c r="W1378" s="94">
        <v>0.0</v>
      </c>
      <c r="X1378" s="94">
        <v>0.0</v>
      </c>
      <c r="Y1378" s="94">
        <v>0.0</v>
      </c>
      <c r="Z1378" s="94">
        <v>0.0</v>
      </c>
      <c r="AA1378" s="94">
        <v>0.0</v>
      </c>
      <c r="AB1378" s="94">
        <v>0.0</v>
      </c>
      <c r="AC1378" s="94">
        <v>0.0</v>
      </c>
      <c r="AD1378" s="94">
        <v>0.0</v>
      </c>
      <c r="AE1378" s="94">
        <v>0.0</v>
      </c>
      <c r="AF1378" s="94">
        <v>0.0</v>
      </c>
      <c r="AG1378" s="94">
        <v>0.0</v>
      </c>
      <c r="AH1378" s="94">
        <v>0.0</v>
      </c>
    </row>
    <row r="1379" hidden="1">
      <c r="A1379" s="89"/>
      <c r="B1379" s="111"/>
      <c r="C1379" s="111">
        <f t="shared" ref="C1379:D1379" si="1047">SUM(C1373:C1378)/4</f>
        <v>0</v>
      </c>
      <c r="D1379" s="111">
        <f t="shared" si="1047"/>
        <v>0</v>
      </c>
      <c r="E1379" s="91">
        <f t="shared" ref="E1379:G1379" si="1048">SUM(E1373:E1378)</f>
        <v>0</v>
      </c>
      <c r="F1379" s="111">
        <f t="shared" si="1048"/>
        <v>0</v>
      </c>
      <c r="G1379" s="111">
        <f t="shared" si="1048"/>
        <v>0</v>
      </c>
      <c r="H1379" s="111"/>
      <c r="I1379" s="111">
        <f>SUM(I1373:I1378)</f>
        <v>0</v>
      </c>
      <c r="J1379" s="111">
        <f t="shared" si="1044"/>
        <v>0</v>
      </c>
      <c r="K1379" s="92" t="str">
        <f t="shared" si="1045"/>
        <v>#DIV/0!</v>
      </c>
      <c r="L1379" s="111">
        <f t="shared" ref="L1379:M1379" si="1049">SUM(L1373:L1378)</f>
        <v>0</v>
      </c>
      <c r="M1379" s="111">
        <f t="shared" si="1049"/>
        <v>0</v>
      </c>
      <c r="N1379" s="111"/>
      <c r="O1379" s="112"/>
      <c r="P1379" s="111">
        <f t="shared" ref="P1379:AH1379" si="1050">SUM(P1373:P1378)</f>
        <v>0</v>
      </c>
      <c r="Q1379" s="111">
        <f t="shared" si="1050"/>
        <v>0</v>
      </c>
      <c r="R1379" s="111">
        <f t="shared" si="1050"/>
        <v>0</v>
      </c>
      <c r="S1379" s="111">
        <f t="shared" si="1050"/>
        <v>0</v>
      </c>
      <c r="T1379" s="111">
        <f t="shared" si="1050"/>
        <v>0</v>
      </c>
      <c r="U1379" s="111">
        <f t="shared" si="1050"/>
        <v>0</v>
      </c>
      <c r="V1379" s="111">
        <f t="shared" si="1050"/>
        <v>0</v>
      </c>
      <c r="W1379" s="111">
        <f t="shared" si="1050"/>
        <v>0</v>
      </c>
      <c r="X1379" s="111">
        <f t="shared" si="1050"/>
        <v>0</v>
      </c>
      <c r="Y1379" s="111">
        <f t="shared" si="1050"/>
        <v>0</v>
      </c>
      <c r="Z1379" s="111">
        <f t="shared" si="1050"/>
        <v>0</v>
      </c>
      <c r="AA1379" s="111">
        <f t="shared" si="1050"/>
        <v>0</v>
      </c>
      <c r="AB1379" s="111">
        <f t="shared" si="1050"/>
        <v>0</v>
      </c>
      <c r="AC1379" s="111">
        <f t="shared" si="1050"/>
        <v>0</v>
      </c>
      <c r="AD1379" s="111">
        <f t="shared" si="1050"/>
        <v>0</v>
      </c>
      <c r="AE1379" s="111">
        <f t="shared" si="1050"/>
        <v>0</v>
      </c>
      <c r="AF1379" s="111">
        <f t="shared" si="1050"/>
        <v>0</v>
      </c>
      <c r="AG1379" s="111">
        <f t="shared" si="1050"/>
        <v>0</v>
      </c>
      <c r="AH1379" s="111">
        <f t="shared" si="1050"/>
        <v>0</v>
      </c>
    </row>
    <row r="1380" hidden="1">
      <c r="A1380" s="83" t="s">
        <v>58</v>
      </c>
      <c r="B1380" s="84" t="s">
        <v>209</v>
      </c>
      <c r="C1380" s="85">
        <v>0.0</v>
      </c>
      <c r="D1380" s="94">
        <v>0.0</v>
      </c>
      <c r="E1380" s="96">
        <f t="shared" ref="E1380:E1385" si="1051">SUM(L1380*I1380)/60</f>
        <v>0</v>
      </c>
      <c r="F1380" s="94">
        <v>0.0</v>
      </c>
      <c r="G1380" s="94">
        <v>0.0</v>
      </c>
      <c r="H1380" s="94">
        <v>0.0</v>
      </c>
      <c r="I1380" s="94">
        <v>0.0</v>
      </c>
      <c r="J1380" s="95">
        <f t="shared" si="1044"/>
        <v>0</v>
      </c>
      <c r="K1380" s="87" t="str">
        <f t="shared" si="1045"/>
        <v>#DIV/0!</v>
      </c>
      <c r="L1380" s="94">
        <v>0.0</v>
      </c>
      <c r="M1380" s="94">
        <v>0.0</v>
      </c>
      <c r="N1380" s="94" t="s">
        <v>255</v>
      </c>
      <c r="O1380" s="110" t="str">
        <f t="shared" ref="O1380:O1385" si="1052">(E1380*N1380)</f>
        <v>#VALUE!</v>
      </c>
      <c r="P1380" s="94">
        <v>0.0</v>
      </c>
      <c r="Q1380" s="94">
        <v>0.0</v>
      </c>
      <c r="R1380" s="94">
        <v>0.0</v>
      </c>
      <c r="S1380" s="94">
        <v>0.0</v>
      </c>
      <c r="T1380" s="94">
        <v>0.0</v>
      </c>
      <c r="U1380" s="94">
        <v>0.0</v>
      </c>
      <c r="V1380" s="94">
        <v>0.0</v>
      </c>
      <c r="W1380" s="94">
        <v>0.0</v>
      </c>
      <c r="X1380" s="94">
        <v>0.0</v>
      </c>
      <c r="Y1380" s="94">
        <v>0.0</v>
      </c>
      <c r="Z1380" s="94">
        <v>0.0</v>
      </c>
      <c r="AA1380" s="94">
        <v>0.0</v>
      </c>
      <c r="AB1380" s="94">
        <v>0.0</v>
      </c>
      <c r="AC1380" s="94">
        <v>0.0</v>
      </c>
      <c r="AD1380" s="94">
        <v>0.0</v>
      </c>
      <c r="AE1380" s="94">
        <v>0.0</v>
      </c>
      <c r="AF1380" s="94">
        <v>0.0</v>
      </c>
      <c r="AG1380" s="94">
        <v>0.0</v>
      </c>
      <c r="AH1380" s="94">
        <v>0.0</v>
      </c>
    </row>
    <row r="1381" hidden="1">
      <c r="A1381" s="83" t="s">
        <v>58</v>
      </c>
      <c r="B1381" s="84" t="s">
        <v>210</v>
      </c>
      <c r="C1381" s="85">
        <v>0.0</v>
      </c>
      <c r="D1381" s="85">
        <v>0.0</v>
      </c>
      <c r="E1381" s="96">
        <f t="shared" si="1051"/>
        <v>0</v>
      </c>
      <c r="F1381" s="94">
        <v>0.0</v>
      </c>
      <c r="G1381" s="94">
        <v>0.0</v>
      </c>
      <c r="H1381" s="94">
        <v>0.0</v>
      </c>
      <c r="I1381" s="94">
        <v>0.0</v>
      </c>
      <c r="J1381" s="95">
        <f t="shared" si="1044"/>
        <v>0</v>
      </c>
      <c r="K1381" s="87" t="str">
        <f t="shared" si="1045"/>
        <v>#DIV/0!</v>
      </c>
      <c r="L1381" s="94">
        <v>0.0</v>
      </c>
      <c r="M1381" s="94">
        <v>0.0</v>
      </c>
      <c r="N1381" s="94" t="s">
        <v>255</v>
      </c>
      <c r="O1381" s="110" t="str">
        <f t="shared" si="1052"/>
        <v>#VALUE!</v>
      </c>
      <c r="P1381" s="94">
        <v>0.0</v>
      </c>
      <c r="Q1381" s="94">
        <v>0.0</v>
      </c>
      <c r="R1381" s="94">
        <v>0.0</v>
      </c>
      <c r="S1381" s="94">
        <v>0.0</v>
      </c>
      <c r="T1381" s="94">
        <v>0.0</v>
      </c>
      <c r="U1381" s="94">
        <v>0.0</v>
      </c>
      <c r="V1381" s="94">
        <v>0.0</v>
      </c>
      <c r="W1381" s="94">
        <v>0.0</v>
      </c>
      <c r="X1381" s="94">
        <v>0.0</v>
      </c>
      <c r="Y1381" s="94">
        <v>0.0</v>
      </c>
      <c r="Z1381" s="94">
        <v>0.0</v>
      </c>
      <c r="AA1381" s="94">
        <v>0.0</v>
      </c>
      <c r="AB1381" s="94">
        <v>0.0</v>
      </c>
      <c r="AC1381" s="94">
        <v>0.0</v>
      </c>
      <c r="AD1381" s="94">
        <v>0.0</v>
      </c>
      <c r="AE1381" s="94">
        <v>0.0</v>
      </c>
      <c r="AF1381" s="94">
        <v>0.0</v>
      </c>
      <c r="AG1381" s="94">
        <v>0.0</v>
      </c>
      <c r="AH1381" s="94">
        <v>0.0</v>
      </c>
    </row>
    <row r="1382" hidden="1">
      <c r="A1382" s="83" t="s">
        <v>58</v>
      </c>
      <c r="B1382" s="84" t="s">
        <v>211</v>
      </c>
      <c r="C1382" s="85">
        <v>0.0</v>
      </c>
      <c r="D1382" s="85">
        <v>0.0</v>
      </c>
      <c r="E1382" s="96">
        <f t="shared" si="1051"/>
        <v>0</v>
      </c>
      <c r="F1382" s="94">
        <v>0.0</v>
      </c>
      <c r="G1382" s="94">
        <v>0.0</v>
      </c>
      <c r="H1382" s="94">
        <v>0.0</v>
      </c>
      <c r="I1382" s="94">
        <v>0.0</v>
      </c>
      <c r="J1382" s="95">
        <f t="shared" si="1044"/>
        <v>0</v>
      </c>
      <c r="K1382" s="87" t="str">
        <f t="shared" si="1045"/>
        <v>#DIV/0!</v>
      </c>
      <c r="L1382" s="94">
        <v>0.0</v>
      </c>
      <c r="M1382" s="94">
        <v>0.0</v>
      </c>
      <c r="N1382" s="94" t="s">
        <v>255</v>
      </c>
      <c r="O1382" s="110" t="str">
        <f t="shared" si="1052"/>
        <v>#VALUE!</v>
      </c>
      <c r="P1382" s="94">
        <v>0.0</v>
      </c>
      <c r="Q1382" s="94">
        <v>0.0</v>
      </c>
      <c r="R1382" s="94">
        <v>0.0</v>
      </c>
      <c r="S1382" s="94">
        <v>0.0</v>
      </c>
      <c r="T1382" s="94">
        <v>0.0</v>
      </c>
      <c r="U1382" s="94">
        <v>0.0</v>
      </c>
      <c r="V1382" s="94">
        <v>0.0</v>
      </c>
      <c r="W1382" s="94">
        <v>0.0</v>
      </c>
      <c r="X1382" s="94">
        <v>0.0</v>
      </c>
      <c r="Y1382" s="94">
        <v>0.0</v>
      </c>
      <c r="Z1382" s="94">
        <v>0.0</v>
      </c>
      <c r="AA1382" s="94">
        <v>0.0</v>
      </c>
      <c r="AB1382" s="94">
        <v>0.0</v>
      </c>
      <c r="AC1382" s="94">
        <v>0.0</v>
      </c>
      <c r="AD1382" s="94">
        <v>0.0</v>
      </c>
      <c r="AE1382" s="94">
        <v>0.0</v>
      </c>
      <c r="AF1382" s="94">
        <v>0.0</v>
      </c>
      <c r="AG1382" s="94">
        <v>0.0</v>
      </c>
      <c r="AH1382" s="94">
        <v>0.0</v>
      </c>
    </row>
    <row r="1383" hidden="1">
      <c r="A1383" s="83" t="s">
        <v>58</v>
      </c>
      <c r="B1383" s="84" t="s">
        <v>212</v>
      </c>
      <c r="C1383" s="85">
        <v>0.0</v>
      </c>
      <c r="D1383" s="85">
        <v>0.0</v>
      </c>
      <c r="E1383" s="96">
        <f t="shared" si="1051"/>
        <v>0</v>
      </c>
      <c r="F1383" s="94">
        <v>0.0</v>
      </c>
      <c r="G1383" s="94">
        <v>0.0</v>
      </c>
      <c r="H1383" s="94">
        <v>0.0</v>
      </c>
      <c r="I1383" s="94">
        <v>0.0</v>
      </c>
      <c r="J1383" s="95">
        <f t="shared" si="1044"/>
        <v>0</v>
      </c>
      <c r="K1383" s="87" t="str">
        <f t="shared" si="1045"/>
        <v>#DIV/0!</v>
      </c>
      <c r="L1383" s="94">
        <v>0.0</v>
      </c>
      <c r="M1383" s="94">
        <v>0.0</v>
      </c>
      <c r="N1383" s="94" t="s">
        <v>255</v>
      </c>
      <c r="O1383" s="110" t="str">
        <f t="shared" si="1052"/>
        <v>#VALUE!</v>
      </c>
      <c r="P1383" s="94">
        <v>0.0</v>
      </c>
      <c r="Q1383" s="94">
        <v>0.0</v>
      </c>
      <c r="R1383" s="94">
        <v>0.0</v>
      </c>
      <c r="S1383" s="94">
        <v>0.0</v>
      </c>
      <c r="T1383" s="94">
        <v>0.0</v>
      </c>
      <c r="U1383" s="94">
        <v>0.0</v>
      </c>
      <c r="V1383" s="94">
        <v>0.0</v>
      </c>
      <c r="W1383" s="94">
        <v>0.0</v>
      </c>
      <c r="X1383" s="94">
        <v>0.0</v>
      </c>
      <c r="Y1383" s="94">
        <v>0.0</v>
      </c>
      <c r="Z1383" s="94">
        <v>0.0</v>
      </c>
      <c r="AA1383" s="94">
        <v>0.0</v>
      </c>
      <c r="AB1383" s="94">
        <v>0.0</v>
      </c>
      <c r="AC1383" s="94">
        <v>0.0</v>
      </c>
      <c r="AD1383" s="94">
        <v>0.0</v>
      </c>
      <c r="AE1383" s="94">
        <v>0.0</v>
      </c>
      <c r="AF1383" s="94">
        <v>0.0</v>
      </c>
      <c r="AG1383" s="94">
        <v>0.0</v>
      </c>
      <c r="AH1383" s="94">
        <v>0.0</v>
      </c>
    </row>
    <row r="1384" hidden="1">
      <c r="A1384" s="83" t="s">
        <v>58</v>
      </c>
      <c r="B1384" s="84" t="s">
        <v>213</v>
      </c>
      <c r="C1384" s="94">
        <v>0.0</v>
      </c>
      <c r="D1384" s="94">
        <v>0.0</v>
      </c>
      <c r="E1384" s="96">
        <f t="shared" si="1051"/>
        <v>0</v>
      </c>
      <c r="F1384" s="94">
        <v>0.0</v>
      </c>
      <c r="G1384" s="94">
        <v>0.0</v>
      </c>
      <c r="H1384" s="94">
        <v>0.0</v>
      </c>
      <c r="I1384" s="94">
        <v>0.0</v>
      </c>
      <c r="J1384" s="95">
        <f t="shared" si="1044"/>
        <v>0</v>
      </c>
      <c r="K1384" s="87" t="str">
        <f t="shared" si="1045"/>
        <v>#DIV/0!</v>
      </c>
      <c r="L1384" s="94">
        <v>0.0</v>
      </c>
      <c r="M1384" s="94">
        <v>0.0</v>
      </c>
      <c r="N1384" s="94" t="s">
        <v>255</v>
      </c>
      <c r="O1384" s="110" t="str">
        <f t="shared" si="1052"/>
        <v>#VALUE!</v>
      </c>
      <c r="P1384" s="94">
        <v>0.0</v>
      </c>
      <c r="Q1384" s="94">
        <v>0.0</v>
      </c>
      <c r="R1384" s="94">
        <v>0.0</v>
      </c>
      <c r="S1384" s="94">
        <v>0.0</v>
      </c>
      <c r="T1384" s="94">
        <v>0.0</v>
      </c>
      <c r="U1384" s="94">
        <v>0.0</v>
      </c>
      <c r="V1384" s="94">
        <v>0.0</v>
      </c>
      <c r="W1384" s="94">
        <v>0.0</v>
      </c>
      <c r="X1384" s="94">
        <v>0.0</v>
      </c>
      <c r="Y1384" s="94">
        <v>0.0</v>
      </c>
      <c r="Z1384" s="94">
        <v>0.0</v>
      </c>
      <c r="AA1384" s="94">
        <v>0.0</v>
      </c>
      <c r="AB1384" s="94">
        <v>0.0</v>
      </c>
      <c r="AC1384" s="94">
        <v>0.0</v>
      </c>
      <c r="AD1384" s="94">
        <v>0.0</v>
      </c>
      <c r="AE1384" s="94">
        <v>0.0</v>
      </c>
      <c r="AF1384" s="94">
        <v>0.0</v>
      </c>
      <c r="AG1384" s="94">
        <v>0.0</v>
      </c>
      <c r="AH1384" s="94">
        <v>0.0</v>
      </c>
    </row>
    <row r="1385" hidden="1">
      <c r="A1385" s="83" t="s">
        <v>214</v>
      </c>
      <c r="B1385" s="84" t="s">
        <v>189</v>
      </c>
      <c r="C1385" s="94">
        <v>0.0</v>
      </c>
      <c r="D1385" s="94">
        <v>0.0</v>
      </c>
      <c r="E1385" s="96">
        <f t="shared" si="1051"/>
        <v>0</v>
      </c>
      <c r="F1385" s="94">
        <v>0.0</v>
      </c>
      <c r="G1385" s="94">
        <v>0.0</v>
      </c>
      <c r="H1385" s="94">
        <v>0.0</v>
      </c>
      <c r="I1385" s="94">
        <v>0.0</v>
      </c>
      <c r="J1385" s="95">
        <f t="shared" si="1044"/>
        <v>0</v>
      </c>
      <c r="K1385" s="87" t="str">
        <f t="shared" si="1045"/>
        <v>#DIV/0!</v>
      </c>
      <c r="L1385" s="94">
        <v>0.0</v>
      </c>
      <c r="M1385" s="94">
        <v>0.0</v>
      </c>
      <c r="N1385" s="94" t="s">
        <v>255</v>
      </c>
      <c r="O1385" s="110" t="str">
        <f t="shared" si="1052"/>
        <v>#VALUE!</v>
      </c>
      <c r="P1385" s="94">
        <v>0.0</v>
      </c>
      <c r="Q1385" s="94">
        <v>0.0</v>
      </c>
      <c r="R1385" s="94">
        <v>0.0</v>
      </c>
      <c r="S1385" s="94">
        <v>0.0</v>
      </c>
      <c r="T1385" s="94">
        <v>0.0</v>
      </c>
      <c r="U1385" s="94">
        <v>0.0</v>
      </c>
      <c r="V1385" s="94">
        <v>0.0</v>
      </c>
      <c r="W1385" s="94">
        <v>0.0</v>
      </c>
      <c r="X1385" s="94">
        <v>0.0</v>
      </c>
      <c r="Y1385" s="94">
        <v>0.0</v>
      </c>
      <c r="Z1385" s="94">
        <v>0.0</v>
      </c>
      <c r="AA1385" s="94">
        <v>0.0</v>
      </c>
      <c r="AB1385" s="94">
        <v>0.0</v>
      </c>
      <c r="AC1385" s="94">
        <v>0.0</v>
      </c>
      <c r="AD1385" s="94">
        <v>0.0</v>
      </c>
      <c r="AE1385" s="94">
        <v>0.0</v>
      </c>
      <c r="AF1385" s="94">
        <v>0.0</v>
      </c>
      <c r="AG1385" s="94">
        <v>0.0</v>
      </c>
      <c r="AH1385" s="94">
        <v>0.0</v>
      </c>
    </row>
    <row r="1386" hidden="1">
      <c r="A1386" s="89" t="s">
        <v>185</v>
      </c>
      <c r="B1386" s="111"/>
      <c r="C1386" s="111">
        <f>SUM(C1380:C1385)</f>
        <v>0</v>
      </c>
      <c r="D1386" s="111">
        <f t="shared" ref="D1386:E1386" si="1053">SUM(D1380:D1385)/4</f>
        <v>0</v>
      </c>
      <c r="E1386" s="91">
        <f t="shared" si="1053"/>
        <v>0</v>
      </c>
      <c r="F1386" s="111">
        <f t="shared" ref="F1386:G1386" si="1054">SUM(F1380:F1385)</f>
        <v>0</v>
      </c>
      <c r="G1386" s="111">
        <f t="shared" si="1054"/>
        <v>0</v>
      </c>
      <c r="H1386" s="111"/>
      <c r="I1386" s="111">
        <f>SUM(I1380:I1385)</f>
        <v>0</v>
      </c>
      <c r="J1386" s="111">
        <f t="shared" si="1044"/>
        <v>0</v>
      </c>
      <c r="K1386" s="92" t="str">
        <f t="shared" si="1045"/>
        <v>#DIV/0!</v>
      </c>
      <c r="L1386" s="111">
        <f t="shared" ref="L1386:M1386" si="1055">SUM(L1380:L1385)</f>
        <v>0</v>
      </c>
      <c r="M1386" s="111">
        <f t="shared" si="1055"/>
        <v>0</v>
      </c>
      <c r="N1386" s="111"/>
      <c r="O1386" s="112"/>
      <c r="P1386" s="111">
        <f t="shared" ref="P1386:AH1386" si="1056">SUM(P1380:P1385)</f>
        <v>0</v>
      </c>
      <c r="Q1386" s="111">
        <f t="shared" si="1056"/>
        <v>0</v>
      </c>
      <c r="R1386" s="111">
        <f t="shared" si="1056"/>
        <v>0</v>
      </c>
      <c r="S1386" s="111">
        <f t="shared" si="1056"/>
        <v>0</v>
      </c>
      <c r="T1386" s="111">
        <f t="shared" si="1056"/>
        <v>0</v>
      </c>
      <c r="U1386" s="111">
        <f t="shared" si="1056"/>
        <v>0</v>
      </c>
      <c r="V1386" s="111">
        <f t="shared" si="1056"/>
        <v>0</v>
      </c>
      <c r="W1386" s="111">
        <f t="shared" si="1056"/>
        <v>0</v>
      </c>
      <c r="X1386" s="111">
        <f t="shared" si="1056"/>
        <v>0</v>
      </c>
      <c r="Y1386" s="111">
        <f t="shared" si="1056"/>
        <v>0</v>
      </c>
      <c r="Z1386" s="111">
        <f t="shared" si="1056"/>
        <v>0</v>
      </c>
      <c r="AA1386" s="111">
        <f t="shared" si="1056"/>
        <v>0</v>
      </c>
      <c r="AB1386" s="111">
        <f t="shared" si="1056"/>
        <v>0</v>
      </c>
      <c r="AC1386" s="111">
        <f t="shared" si="1056"/>
        <v>0</v>
      </c>
      <c r="AD1386" s="111">
        <f t="shared" si="1056"/>
        <v>0</v>
      </c>
      <c r="AE1386" s="111">
        <f t="shared" si="1056"/>
        <v>0</v>
      </c>
      <c r="AF1386" s="111">
        <f t="shared" si="1056"/>
        <v>0</v>
      </c>
      <c r="AG1386" s="111">
        <f t="shared" si="1056"/>
        <v>0</v>
      </c>
      <c r="AH1386" s="111">
        <f t="shared" si="1056"/>
        <v>0</v>
      </c>
    </row>
    <row r="1387">
      <c r="A1387" s="104" t="s">
        <v>333</v>
      </c>
    </row>
    <row r="1389" hidden="1">
      <c r="A1389" s="105"/>
      <c r="F1389" s="106" t="s">
        <v>251</v>
      </c>
      <c r="L1389" s="107" t="s">
        <v>252</v>
      </c>
      <c r="N1389" s="108" t="s">
        <v>253</v>
      </c>
    </row>
    <row r="1390" hidden="1">
      <c r="A1390" s="76" t="s">
        <v>148</v>
      </c>
      <c r="B1390" s="76" t="s">
        <v>149</v>
      </c>
      <c r="C1390" s="76" t="s">
        <v>150</v>
      </c>
      <c r="D1390" s="76" t="s">
        <v>13</v>
      </c>
      <c r="E1390" s="77" t="s">
        <v>151</v>
      </c>
      <c r="F1390" s="78" t="s">
        <v>15</v>
      </c>
      <c r="G1390" s="78" t="s">
        <v>152</v>
      </c>
      <c r="H1390" s="78" t="s">
        <v>153</v>
      </c>
      <c r="I1390" s="78" t="s">
        <v>154</v>
      </c>
      <c r="J1390" s="78" t="s">
        <v>155</v>
      </c>
      <c r="K1390" s="79" t="s">
        <v>156</v>
      </c>
      <c r="L1390" s="80" t="s">
        <v>157</v>
      </c>
      <c r="M1390" s="80" t="s">
        <v>158</v>
      </c>
      <c r="N1390" s="81" t="s">
        <v>254</v>
      </c>
      <c r="O1390" s="81" t="s">
        <v>151</v>
      </c>
      <c r="P1390" s="81" t="s">
        <v>160</v>
      </c>
      <c r="Q1390" s="81" t="s">
        <v>161</v>
      </c>
      <c r="R1390" s="81" t="s">
        <v>162</v>
      </c>
      <c r="S1390" s="81" t="s">
        <v>163</v>
      </c>
      <c r="T1390" s="81" t="s">
        <v>164</v>
      </c>
      <c r="U1390" s="81" t="s">
        <v>165</v>
      </c>
      <c r="V1390" s="81" t="s">
        <v>166</v>
      </c>
      <c r="W1390" s="81" t="s">
        <v>167</v>
      </c>
      <c r="X1390" s="81" t="s">
        <v>168</v>
      </c>
      <c r="Y1390" s="81" t="s">
        <v>169</v>
      </c>
      <c r="Z1390" s="81" t="s">
        <v>170</v>
      </c>
      <c r="AA1390" s="81" t="s">
        <v>171</v>
      </c>
      <c r="AB1390" s="81" t="s">
        <v>172</v>
      </c>
      <c r="AC1390" s="81" t="s">
        <v>173</v>
      </c>
      <c r="AD1390" s="81" t="s">
        <v>174</v>
      </c>
      <c r="AE1390" s="81" t="s">
        <v>175</v>
      </c>
      <c r="AF1390" s="81" t="s">
        <v>176</v>
      </c>
      <c r="AG1390" s="81" t="s">
        <v>177</v>
      </c>
      <c r="AH1390" s="81" t="s">
        <v>178</v>
      </c>
    </row>
    <row r="1391" hidden="1">
      <c r="A1391" s="83" t="s">
        <v>56</v>
      </c>
      <c r="B1391" s="84" t="s">
        <v>203</v>
      </c>
      <c r="C1391" s="85">
        <v>1.0</v>
      </c>
      <c r="D1391" s="94">
        <v>0.0</v>
      </c>
      <c r="E1391" s="86">
        <v>19.0</v>
      </c>
      <c r="F1391" s="94">
        <v>0.0</v>
      </c>
      <c r="G1391" s="85">
        <v>72.0</v>
      </c>
      <c r="H1391" s="94">
        <v>0.0</v>
      </c>
      <c r="I1391" s="85">
        <v>78.0</v>
      </c>
      <c r="J1391" s="95">
        <f t="shared" ref="J1391:J1404" si="1057">SUM(G1391-I1391)</f>
        <v>-6</v>
      </c>
      <c r="K1391" s="87">
        <f t="shared" ref="K1391:K1404" si="1058">SUM(G1391/I1391)</f>
        <v>0.9230769231</v>
      </c>
      <c r="L1391" s="85">
        <v>11.0</v>
      </c>
      <c r="M1391" s="85">
        <v>91.0</v>
      </c>
      <c r="N1391" s="85">
        <v>1.0</v>
      </c>
      <c r="O1391" s="110">
        <f t="shared" ref="O1391:O1396" si="1059">(E1391*N1391)</f>
        <v>19</v>
      </c>
      <c r="P1391" s="85">
        <v>3.0</v>
      </c>
      <c r="Q1391" s="94">
        <v>0.0</v>
      </c>
      <c r="R1391" s="85">
        <v>4.0</v>
      </c>
      <c r="S1391" s="85">
        <v>1.0</v>
      </c>
      <c r="T1391" s="85">
        <v>11.0</v>
      </c>
      <c r="U1391" s="85">
        <v>2.0</v>
      </c>
      <c r="V1391" s="94">
        <v>0.0</v>
      </c>
      <c r="W1391" s="94">
        <v>0.0</v>
      </c>
      <c r="X1391" s="94">
        <v>0.0</v>
      </c>
      <c r="Y1391" s="94">
        <v>0.0</v>
      </c>
      <c r="Z1391" s="94">
        <v>0.0</v>
      </c>
      <c r="AA1391" s="94">
        <v>0.0</v>
      </c>
      <c r="AB1391" s="94">
        <v>0.0</v>
      </c>
      <c r="AC1391" s="85">
        <v>1.0</v>
      </c>
      <c r="AD1391" s="94">
        <v>0.0</v>
      </c>
      <c r="AE1391" s="94">
        <v>0.0</v>
      </c>
      <c r="AF1391" s="94">
        <v>0.0</v>
      </c>
      <c r="AG1391" s="94">
        <v>0.0</v>
      </c>
      <c r="AH1391" s="94">
        <v>0.0</v>
      </c>
    </row>
    <row r="1392" hidden="1">
      <c r="A1392" s="83" t="s">
        <v>56</v>
      </c>
      <c r="B1392" s="84" t="s">
        <v>204</v>
      </c>
      <c r="C1392" s="85">
        <v>1.0</v>
      </c>
      <c r="D1392" s="94">
        <v>0.0</v>
      </c>
      <c r="E1392" s="86">
        <v>19.0</v>
      </c>
      <c r="F1392" s="94">
        <v>0.0</v>
      </c>
      <c r="G1392" s="85">
        <v>79.0</v>
      </c>
      <c r="H1392" s="94">
        <v>0.0</v>
      </c>
      <c r="I1392" s="85">
        <v>74.0</v>
      </c>
      <c r="J1392" s="95">
        <f t="shared" si="1057"/>
        <v>5</v>
      </c>
      <c r="K1392" s="87">
        <f t="shared" si="1058"/>
        <v>1.067567568</v>
      </c>
      <c r="L1392" s="85">
        <v>12.0</v>
      </c>
      <c r="M1392" s="85">
        <v>103.0</v>
      </c>
      <c r="N1392" s="85">
        <v>1.0</v>
      </c>
      <c r="O1392" s="110">
        <f t="shared" si="1059"/>
        <v>19</v>
      </c>
      <c r="P1392" s="85">
        <v>4.0</v>
      </c>
      <c r="Q1392" s="85">
        <v>2.0</v>
      </c>
      <c r="R1392" s="85">
        <v>8.0</v>
      </c>
      <c r="S1392" s="85">
        <v>1.0</v>
      </c>
      <c r="T1392" s="85">
        <v>12.0</v>
      </c>
      <c r="U1392" s="85">
        <v>2.0</v>
      </c>
      <c r="V1392" s="94">
        <v>0.0</v>
      </c>
      <c r="W1392" s="94">
        <v>0.0</v>
      </c>
      <c r="X1392" s="94">
        <v>0.0</v>
      </c>
      <c r="Y1392" s="94">
        <v>0.0</v>
      </c>
      <c r="Z1392" s="94">
        <v>0.0</v>
      </c>
      <c r="AA1392" s="94">
        <v>0.0</v>
      </c>
      <c r="AB1392" s="94">
        <v>0.0</v>
      </c>
      <c r="AC1392" s="94">
        <v>0.0</v>
      </c>
      <c r="AD1392" s="94">
        <v>0.0</v>
      </c>
      <c r="AE1392" s="94">
        <v>0.0</v>
      </c>
      <c r="AF1392" s="94">
        <v>0.0</v>
      </c>
      <c r="AG1392" s="94">
        <v>0.0</v>
      </c>
      <c r="AH1392" s="94">
        <v>0.0</v>
      </c>
    </row>
    <row r="1393" hidden="1">
      <c r="A1393" s="83" t="s">
        <v>56</v>
      </c>
      <c r="B1393" s="84" t="s">
        <v>205</v>
      </c>
      <c r="C1393" s="94">
        <v>0.0</v>
      </c>
      <c r="D1393" s="94">
        <v>0.0</v>
      </c>
      <c r="E1393" s="86">
        <v>0.0</v>
      </c>
      <c r="F1393" s="94">
        <v>0.0</v>
      </c>
      <c r="G1393" s="94">
        <v>0.0</v>
      </c>
      <c r="H1393" s="94">
        <v>0.0</v>
      </c>
      <c r="I1393" s="94">
        <v>0.0</v>
      </c>
      <c r="J1393" s="95">
        <f t="shared" si="1057"/>
        <v>0</v>
      </c>
      <c r="K1393" s="87" t="str">
        <f t="shared" si="1058"/>
        <v>#DIV/0!</v>
      </c>
      <c r="L1393" s="94">
        <v>0.0</v>
      </c>
      <c r="M1393" s="94">
        <v>0.0</v>
      </c>
      <c r="N1393" s="85">
        <v>0.0</v>
      </c>
      <c r="O1393" s="110">
        <f t="shared" si="1059"/>
        <v>0</v>
      </c>
      <c r="P1393" s="94">
        <v>0.0</v>
      </c>
      <c r="Q1393" s="94">
        <v>0.0</v>
      </c>
      <c r="R1393" s="94">
        <v>0.0</v>
      </c>
      <c r="S1393" s="94">
        <v>0.0</v>
      </c>
      <c r="T1393" s="94">
        <v>0.0</v>
      </c>
      <c r="U1393" s="94">
        <v>0.0</v>
      </c>
      <c r="V1393" s="94">
        <v>0.0</v>
      </c>
      <c r="W1393" s="94">
        <v>0.0</v>
      </c>
      <c r="X1393" s="94">
        <v>0.0</v>
      </c>
      <c r="Y1393" s="94">
        <v>0.0</v>
      </c>
      <c r="Z1393" s="94">
        <v>0.0</v>
      </c>
      <c r="AA1393" s="94">
        <v>0.0</v>
      </c>
      <c r="AB1393" s="94">
        <v>0.0</v>
      </c>
      <c r="AC1393" s="94">
        <v>0.0</v>
      </c>
      <c r="AD1393" s="94">
        <v>0.0</v>
      </c>
      <c r="AE1393" s="94">
        <v>0.0</v>
      </c>
      <c r="AF1393" s="94">
        <v>0.0</v>
      </c>
      <c r="AG1393" s="94">
        <v>0.0</v>
      </c>
      <c r="AH1393" s="94">
        <v>0.0</v>
      </c>
    </row>
    <row r="1394" hidden="1">
      <c r="A1394" s="83" t="s">
        <v>56</v>
      </c>
      <c r="B1394" s="84" t="s">
        <v>206</v>
      </c>
      <c r="C1394" s="85">
        <v>1.0</v>
      </c>
      <c r="D1394" s="94">
        <v>0.0</v>
      </c>
      <c r="E1394" s="86">
        <v>19.0</v>
      </c>
      <c r="F1394" s="94">
        <v>0.0</v>
      </c>
      <c r="G1394" s="85">
        <v>69.0</v>
      </c>
      <c r="H1394" s="94">
        <v>0.0</v>
      </c>
      <c r="I1394" s="85">
        <v>68.0</v>
      </c>
      <c r="J1394" s="95">
        <f t="shared" si="1057"/>
        <v>1</v>
      </c>
      <c r="K1394" s="87">
        <f t="shared" si="1058"/>
        <v>1.014705882</v>
      </c>
      <c r="L1394" s="85">
        <v>13.0</v>
      </c>
      <c r="M1394" s="85">
        <v>87.0</v>
      </c>
      <c r="N1394" s="85">
        <v>1.0</v>
      </c>
      <c r="O1394" s="110">
        <f t="shared" si="1059"/>
        <v>19</v>
      </c>
      <c r="P1394" s="85">
        <v>1.0</v>
      </c>
      <c r="Q1394" s="94">
        <v>0.0</v>
      </c>
      <c r="R1394" s="85">
        <v>9.0</v>
      </c>
      <c r="S1394" s="85">
        <v>2.0</v>
      </c>
      <c r="T1394" s="85">
        <v>9.0</v>
      </c>
      <c r="U1394" s="85">
        <v>1.0</v>
      </c>
      <c r="V1394" s="94">
        <v>0.0</v>
      </c>
      <c r="W1394" s="94">
        <v>0.0</v>
      </c>
      <c r="X1394" s="94">
        <v>0.0</v>
      </c>
      <c r="Y1394" s="94">
        <v>0.0</v>
      </c>
      <c r="Z1394" s="94">
        <v>0.0</v>
      </c>
      <c r="AA1394" s="94">
        <v>0.0</v>
      </c>
      <c r="AB1394" s="85">
        <v>0.0</v>
      </c>
      <c r="AC1394" s="85">
        <v>1.0</v>
      </c>
      <c r="AD1394" s="94">
        <v>0.0</v>
      </c>
      <c r="AE1394" s="94">
        <v>0.0</v>
      </c>
      <c r="AF1394" s="94">
        <v>0.0</v>
      </c>
      <c r="AG1394" s="94">
        <v>0.0</v>
      </c>
      <c r="AH1394" s="94">
        <v>0.0</v>
      </c>
    </row>
    <row r="1395" hidden="1">
      <c r="A1395" s="83" t="s">
        <v>56</v>
      </c>
      <c r="B1395" s="84" t="s">
        <v>207</v>
      </c>
      <c r="C1395" s="85">
        <v>1.0</v>
      </c>
      <c r="D1395" s="94">
        <v>0.0</v>
      </c>
      <c r="E1395" s="86">
        <v>19.0</v>
      </c>
      <c r="F1395" s="94">
        <v>0.0</v>
      </c>
      <c r="G1395" s="85">
        <v>36.0</v>
      </c>
      <c r="H1395" s="94">
        <v>0.0</v>
      </c>
      <c r="I1395" s="85">
        <v>37.0</v>
      </c>
      <c r="J1395" s="95">
        <f t="shared" si="1057"/>
        <v>-1</v>
      </c>
      <c r="K1395" s="87">
        <f t="shared" si="1058"/>
        <v>0.972972973</v>
      </c>
      <c r="L1395" s="85">
        <v>27.0</v>
      </c>
      <c r="M1395" s="85">
        <v>43.0</v>
      </c>
      <c r="N1395" s="85">
        <v>1.0</v>
      </c>
      <c r="O1395" s="110">
        <f t="shared" si="1059"/>
        <v>19</v>
      </c>
      <c r="P1395" s="94">
        <v>0.0</v>
      </c>
      <c r="Q1395" s="85">
        <v>3.0</v>
      </c>
      <c r="R1395" s="85">
        <v>1.0</v>
      </c>
      <c r="S1395" s="85">
        <v>1.0</v>
      </c>
      <c r="T1395" s="85">
        <v>5.0</v>
      </c>
      <c r="U1395" s="85">
        <v>2.0</v>
      </c>
      <c r="V1395" s="94">
        <v>0.0</v>
      </c>
      <c r="W1395" s="94">
        <v>0.0</v>
      </c>
      <c r="X1395" s="94">
        <v>0.0</v>
      </c>
      <c r="Y1395" s="94">
        <v>0.0</v>
      </c>
      <c r="Z1395" s="94">
        <v>0.0</v>
      </c>
      <c r="AA1395" s="94">
        <v>0.0</v>
      </c>
      <c r="AB1395" s="94">
        <v>0.0</v>
      </c>
      <c r="AC1395" s="94">
        <v>0.0</v>
      </c>
      <c r="AD1395" s="94">
        <v>0.0</v>
      </c>
      <c r="AE1395" s="94">
        <v>0.0</v>
      </c>
      <c r="AF1395" s="94">
        <v>0.0</v>
      </c>
      <c r="AG1395" s="94">
        <v>0.0</v>
      </c>
      <c r="AH1395" s="94">
        <v>0.0</v>
      </c>
    </row>
    <row r="1396" hidden="1">
      <c r="A1396" s="83" t="s">
        <v>56</v>
      </c>
      <c r="B1396" s="93"/>
      <c r="C1396" s="94">
        <v>0.0</v>
      </c>
      <c r="D1396" s="94">
        <v>0.0</v>
      </c>
      <c r="E1396" s="96">
        <f>SUM(L1396*I1396)/60</f>
        <v>0</v>
      </c>
      <c r="F1396" s="94">
        <v>0.0</v>
      </c>
      <c r="G1396" s="94">
        <v>0.0</v>
      </c>
      <c r="H1396" s="94">
        <v>0.0</v>
      </c>
      <c r="I1396" s="94">
        <v>0.0</v>
      </c>
      <c r="J1396" s="95">
        <f t="shared" si="1057"/>
        <v>0</v>
      </c>
      <c r="K1396" s="87" t="str">
        <f t="shared" si="1058"/>
        <v>#DIV/0!</v>
      </c>
      <c r="L1396" s="94">
        <v>0.0</v>
      </c>
      <c r="M1396" s="94">
        <v>0.0</v>
      </c>
      <c r="N1396" s="85">
        <v>0.0</v>
      </c>
      <c r="O1396" s="110">
        <f t="shared" si="1059"/>
        <v>0</v>
      </c>
      <c r="P1396" s="94">
        <v>0.0</v>
      </c>
      <c r="Q1396" s="94">
        <v>0.0</v>
      </c>
      <c r="R1396" s="94">
        <v>0.0</v>
      </c>
      <c r="S1396" s="94">
        <v>0.0</v>
      </c>
      <c r="T1396" s="94">
        <v>0.0</v>
      </c>
      <c r="U1396" s="94">
        <v>0.0</v>
      </c>
      <c r="V1396" s="94">
        <v>0.0</v>
      </c>
      <c r="W1396" s="94">
        <v>0.0</v>
      </c>
      <c r="X1396" s="94">
        <v>0.0</v>
      </c>
      <c r="Y1396" s="94">
        <v>0.0</v>
      </c>
      <c r="Z1396" s="94">
        <v>0.0</v>
      </c>
      <c r="AA1396" s="94">
        <v>0.0</v>
      </c>
      <c r="AB1396" s="94">
        <v>0.0</v>
      </c>
      <c r="AC1396" s="94">
        <v>0.0</v>
      </c>
      <c r="AD1396" s="94">
        <v>0.0</v>
      </c>
      <c r="AE1396" s="94">
        <v>0.0</v>
      </c>
      <c r="AF1396" s="94">
        <v>0.0</v>
      </c>
      <c r="AG1396" s="94">
        <v>0.0</v>
      </c>
      <c r="AH1396" s="94">
        <v>0.0</v>
      </c>
    </row>
    <row r="1397" hidden="1">
      <c r="A1397" s="89"/>
      <c r="B1397" s="111"/>
      <c r="C1397" s="111">
        <f t="shared" ref="C1397:D1397" si="1060">SUM(C1391:C1396)/4</f>
        <v>1</v>
      </c>
      <c r="D1397" s="111">
        <f t="shared" si="1060"/>
        <v>0</v>
      </c>
      <c r="E1397" s="91">
        <f t="shared" ref="E1397:G1397" si="1061">SUM(E1391:E1396)</f>
        <v>76</v>
      </c>
      <c r="F1397" s="111">
        <f t="shared" si="1061"/>
        <v>0</v>
      </c>
      <c r="G1397" s="111">
        <f t="shared" si="1061"/>
        <v>256</v>
      </c>
      <c r="H1397" s="111"/>
      <c r="I1397" s="111">
        <f>SUM(I1391:I1396)</f>
        <v>257</v>
      </c>
      <c r="J1397" s="111">
        <f t="shared" si="1057"/>
        <v>-1</v>
      </c>
      <c r="K1397" s="92">
        <f t="shared" si="1058"/>
        <v>0.9961089494</v>
      </c>
      <c r="L1397" s="111">
        <f t="shared" ref="L1397:M1397" si="1062">SUM(L1391:L1396)</f>
        <v>63</v>
      </c>
      <c r="M1397" s="111">
        <f t="shared" si="1062"/>
        <v>324</v>
      </c>
      <c r="N1397" s="111"/>
      <c r="O1397" s="112"/>
      <c r="P1397" s="111">
        <f t="shared" ref="P1397:AH1397" si="1063">SUM(P1391:P1396)</f>
        <v>8</v>
      </c>
      <c r="Q1397" s="111">
        <f t="shared" si="1063"/>
        <v>5</v>
      </c>
      <c r="R1397" s="111">
        <f t="shared" si="1063"/>
        <v>22</v>
      </c>
      <c r="S1397" s="111">
        <f t="shared" si="1063"/>
        <v>5</v>
      </c>
      <c r="T1397" s="111">
        <f t="shared" si="1063"/>
        <v>37</v>
      </c>
      <c r="U1397" s="111">
        <f t="shared" si="1063"/>
        <v>7</v>
      </c>
      <c r="V1397" s="111">
        <f t="shared" si="1063"/>
        <v>0</v>
      </c>
      <c r="W1397" s="111">
        <f t="shared" si="1063"/>
        <v>0</v>
      </c>
      <c r="X1397" s="111">
        <f t="shared" si="1063"/>
        <v>0</v>
      </c>
      <c r="Y1397" s="111">
        <f t="shared" si="1063"/>
        <v>0</v>
      </c>
      <c r="Z1397" s="111">
        <f t="shared" si="1063"/>
        <v>0</v>
      </c>
      <c r="AA1397" s="111">
        <f t="shared" si="1063"/>
        <v>0</v>
      </c>
      <c r="AB1397" s="111">
        <f t="shared" si="1063"/>
        <v>0</v>
      </c>
      <c r="AC1397" s="111">
        <f t="shared" si="1063"/>
        <v>2</v>
      </c>
      <c r="AD1397" s="111">
        <f t="shared" si="1063"/>
        <v>0</v>
      </c>
      <c r="AE1397" s="111">
        <f t="shared" si="1063"/>
        <v>0</v>
      </c>
      <c r="AF1397" s="111">
        <f t="shared" si="1063"/>
        <v>0</v>
      </c>
      <c r="AG1397" s="111">
        <f t="shared" si="1063"/>
        <v>0</v>
      </c>
      <c r="AH1397" s="111">
        <f t="shared" si="1063"/>
        <v>0</v>
      </c>
    </row>
    <row r="1398" hidden="1">
      <c r="A1398" s="83" t="s">
        <v>34</v>
      </c>
      <c r="B1398" s="84" t="s">
        <v>227</v>
      </c>
      <c r="C1398" s="85">
        <v>1.0</v>
      </c>
      <c r="D1398" s="85">
        <v>1.0</v>
      </c>
      <c r="E1398" s="86">
        <v>19.0</v>
      </c>
      <c r="F1398" s="85">
        <v>2.0</v>
      </c>
      <c r="G1398" s="85">
        <v>50.0</v>
      </c>
      <c r="H1398" s="85">
        <v>1.0</v>
      </c>
      <c r="I1398" s="85">
        <v>59.0</v>
      </c>
      <c r="J1398" s="95">
        <f t="shared" si="1057"/>
        <v>-9</v>
      </c>
      <c r="K1398" s="87">
        <f t="shared" si="1058"/>
        <v>0.8474576271</v>
      </c>
      <c r="L1398" s="85">
        <v>16.0</v>
      </c>
      <c r="M1398" s="85">
        <v>63.0</v>
      </c>
      <c r="N1398" s="85">
        <v>1.0</v>
      </c>
      <c r="O1398" s="110">
        <f t="shared" ref="O1398:O1403" si="1064">(E1398*N1398)</f>
        <v>19</v>
      </c>
      <c r="P1398" s="85">
        <v>2.0</v>
      </c>
      <c r="Q1398" s="94">
        <v>0.0</v>
      </c>
      <c r="R1398" s="85">
        <v>2.0</v>
      </c>
      <c r="S1398" s="85">
        <v>1.0</v>
      </c>
      <c r="T1398" s="85">
        <v>8.0</v>
      </c>
      <c r="U1398" s="85">
        <v>2.0</v>
      </c>
      <c r="V1398" s="94">
        <v>0.0</v>
      </c>
      <c r="W1398" s="94">
        <v>0.0</v>
      </c>
      <c r="X1398" s="94">
        <v>0.0</v>
      </c>
      <c r="Y1398" s="94">
        <v>0.0</v>
      </c>
      <c r="Z1398" s="94">
        <v>0.0</v>
      </c>
      <c r="AA1398" s="94">
        <v>0.0</v>
      </c>
      <c r="AB1398" s="94">
        <v>0.0</v>
      </c>
      <c r="AC1398" s="85">
        <v>2.0</v>
      </c>
      <c r="AD1398" s="94">
        <v>0.0</v>
      </c>
      <c r="AE1398" s="94">
        <v>0.0</v>
      </c>
      <c r="AF1398" s="94">
        <v>0.0</v>
      </c>
      <c r="AG1398" s="94">
        <v>0.0</v>
      </c>
      <c r="AH1398" s="94">
        <v>0.0</v>
      </c>
    </row>
    <row r="1399" hidden="1">
      <c r="A1399" s="83" t="s">
        <v>34</v>
      </c>
      <c r="B1399" s="84" t="s">
        <v>228</v>
      </c>
      <c r="C1399" s="85">
        <v>1.0</v>
      </c>
      <c r="D1399" s="85">
        <v>1.0</v>
      </c>
      <c r="E1399" s="86">
        <v>19.0</v>
      </c>
      <c r="F1399" s="85">
        <v>1.0</v>
      </c>
      <c r="G1399" s="85">
        <v>81.0</v>
      </c>
      <c r="H1399" s="94">
        <v>0.0</v>
      </c>
      <c r="I1399" s="85">
        <v>76.0</v>
      </c>
      <c r="J1399" s="95">
        <f t="shared" si="1057"/>
        <v>5</v>
      </c>
      <c r="K1399" s="87">
        <f t="shared" si="1058"/>
        <v>1.065789474</v>
      </c>
      <c r="L1399" s="85">
        <v>12.0</v>
      </c>
      <c r="M1399" s="85">
        <v>107.0</v>
      </c>
      <c r="N1399" s="85">
        <v>1.0</v>
      </c>
      <c r="O1399" s="110">
        <f t="shared" si="1064"/>
        <v>19</v>
      </c>
      <c r="P1399" s="85">
        <v>3.0</v>
      </c>
      <c r="Q1399" s="94">
        <v>0.0</v>
      </c>
      <c r="R1399" s="85">
        <v>1.0</v>
      </c>
      <c r="S1399" s="85">
        <v>1.0</v>
      </c>
      <c r="T1399" s="85">
        <v>16.0</v>
      </c>
      <c r="U1399" s="85">
        <v>3.0</v>
      </c>
      <c r="V1399" s="85">
        <v>2.0</v>
      </c>
      <c r="W1399" s="94">
        <v>0.0</v>
      </c>
      <c r="X1399" s="94">
        <v>0.0</v>
      </c>
      <c r="Y1399" s="94">
        <v>0.0</v>
      </c>
      <c r="Z1399" s="94">
        <v>0.0</v>
      </c>
      <c r="AA1399" s="94">
        <v>0.0</v>
      </c>
      <c r="AB1399" s="94">
        <v>0.0</v>
      </c>
      <c r="AC1399" s="94">
        <v>0.0</v>
      </c>
      <c r="AD1399" s="94">
        <v>0.0</v>
      </c>
      <c r="AE1399" s="94">
        <v>0.0</v>
      </c>
      <c r="AF1399" s="94">
        <v>0.0</v>
      </c>
      <c r="AG1399" s="85">
        <v>1.0</v>
      </c>
      <c r="AH1399" s="94">
        <v>0.0</v>
      </c>
    </row>
    <row r="1400" hidden="1">
      <c r="A1400" s="83" t="s">
        <v>34</v>
      </c>
      <c r="B1400" s="84" t="s">
        <v>229</v>
      </c>
      <c r="C1400" s="85">
        <v>1.0</v>
      </c>
      <c r="D1400" s="85">
        <v>1.0</v>
      </c>
      <c r="E1400" s="86">
        <v>19.0</v>
      </c>
      <c r="F1400" s="85">
        <v>1.0</v>
      </c>
      <c r="G1400" s="85">
        <v>67.0</v>
      </c>
      <c r="H1400" s="85">
        <v>1.0</v>
      </c>
      <c r="I1400" s="85">
        <v>57.0</v>
      </c>
      <c r="J1400" s="95">
        <f t="shared" si="1057"/>
        <v>10</v>
      </c>
      <c r="K1400" s="87">
        <f t="shared" si="1058"/>
        <v>1.175438596</v>
      </c>
      <c r="L1400" s="85">
        <v>17.0</v>
      </c>
      <c r="M1400" s="85">
        <v>85.0</v>
      </c>
      <c r="N1400" s="85">
        <v>1.0</v>
      </c>
      <c r="O1400" s="110">
        <f t="shared" si="1064"/>
        <v>19</v>
      </c>
      <c r="P1400" s="85">
        <v>1.0</v>
      </c>
      <c r="Q1400" s="85">
        <v>1.0</v>
      </c>
      <c r="R1400" s="85">
        <v>1.0</v>
      </c>
      <c r="S1400" s="94">
        <v>0.0</v>
      </c>
      <c r="T1400" s="85">
        <v>12.0</v>
      </c>
      <c r="U1400" s="85">
        <v>5.0</v>
      </c>
      <c r="V1400" s="85">
        <v>1.0</v>
      </c>
      <c r="W1400" s="94">
        <v>0.0</v>
      </c>
      <c r="X1400" s="94">
        <v>0.0</v>
      </c>
      <c r="Y1400" s="94">
        <v>0.0</v>
      </c>
      <c r="Z1400" s="94">
        <v>0.0</v>
      </c>
      <c r="AA1400" s="94">
        <v>0.0</v>
      </c>
      <c r="AB1400" s="94">
        <v>0.0</v>
      </c>
      <c r="AC1400" s="85">
        <v>3.0</v>
      </c>
      <c r="AD1400" s="85">
        <v>1.0</v>
      </c>
      <c r="AE1400" s="94">
        <v>0.0</v>
      </c>
      <c r="AF1400" s="94">
        <v>0.0</v>
      </c>
      <c r="AG1400" s="94">
        <v>0.0</v>
      </c>
      <c r="AH1400" s="94">
        <v>0.0</v>
      </c>
    </row>
    <row r="1401" hidden="1">
      <c r="A1401" s="83" t="s">
        <v>34</v>
      </c>
      <c r="B1401" s="84" t="s">
        <v>230</v>
      </c>
      <c r="C1401" s="85">
        <v>1.0</v>
      </c>
      <c r="D1401" s="85">
        <v>1.0</v>
      </c>
      <c r="E1401" s="86">
        <v>19.0</v>
      </c>
      <c r="F1401" s="85">
        <v>1.0</v>
      </c>
      <c r="G1401" s="85">
        <v>52.0</v>
      </c>
      <c r="H1401" s="85">
        <v>1.0</v>
      </c>
      <c r="I1401" s="85">
        <v>69.0</v>
      </c>
      <c r="J1401" s="95">
        <f t="shared" si="1057"/>
        <v>-17</v>
      </c>
      <c r="K1401" s="87">
        <f t="shared" si="1058"/>
        <v>0.7536231884</v>
      </c>
      <c r="L1401" s="85">
        <v>13.0</v>
      </c>
      <c r="M1401" s="85">
        <v>66.0</v>
      </c>
      <c r="N1401" s="85">
        <v>1.0</v>
      </c>
      <c r="O1401" s="110">
        <f t="shared" si="1064"/>
        <v>19</v>
      </c>
      <c r="P1401" s="85">
        <v>3.0</v>
      </c>
      <c r="Q1401" s="94">
        <v>0.0</v>
      </c>
      <c r="R1401" s="85">
        <v>3.0</v>
      </c>
      <c r="S1401" s="94">
        <v>0.0</v>
      </c>
      <c r="T1401" s="85">
        <v>5.0</v>
      </c>
      <c r="U1401" s="85">
        <v>3.0</v>
      </c>
      <c r="V1401" s="94">
        <v>0.0</v>
      </c>
      <c r="W1401" s="94">
        <v>0.0</v>
      </c>
      <c r="X1401" s="94">
        <v>0.0</v>
      </c>
      <c r="Y1401" s="94">
        <v>0.0</v>
      </c>
      <c r="Z1401" s="94">
        <v>0.0</v>
      </c>
      <c r="AA1401" s="94">
        <v>0.0</v>
      </c>
      <c r="AB1401" s="94">
        <v>0.0</v>
      </c>
      <c r="AC1401" s="85">
        <v>1.0</v>
      </c>
      <c r="AD1401" s="94">
        <v>0.0</v>
      </c>
      <c r="AE1401" s="94">
        <v>0.0</v>
      </c>
      <c r="AF1401" s="94">
        <v>0.0</v>
      </c>
      <c r="AG1401" s="94">
        <v>0.0</v>
      </c>
      <c r="AH1401" s="85">
        <v>1.0</v>
      </c>
    </row>
    <row r="1402" hidden="1">
      <c r="A1402" s="83" t="s">
        <v>34</v>
      </c>
      <c r="B1402" s="84" t="s">
        <v>231</v>
      </c>
      <c r="C1402" s="94">
        <v>0.0</v>
      </c>
      <c r="D1402" s="94">
        <v>0.0</v>
      </c>
      <c r="E1402" s="96">
        <f t="shared" ref="E1402:E1403" si="1065">SUM(L1402*I1402)/60</f>
        <v>0</v>
      </c>
      <c r="F1402" s="94">
        <v>0.0</v>
      </c>
      <c r="G1402" s="94">
        <v>0.0</v>
      </c>
      <c r="H1402" s="94">
        <v>0.0</v>
      </c>
      <c r="I1402" s="94">
        <v>0.0</v>
      </c>
      <c r="J1402" s="95">
        <f t="shared" si="1057"/>
        <v>0</v>
      </c>
      <c r="K1402" s="87" t="str">
        <f t="shared" si="1058"/>
        <v>#DIV/0!</v>
      </c>
      <c r="L1402" s="94">
        <v>0.0</v>
      </c>
      <c r="M1402" s="94">
        <v>0.0</v>
      </c>
      <c r="N1402" s="85">
        <v>0.0</v>
      </c>
      <c r="O1402" s="110">
        <f t="shared" si="1064"/>
        <v>0</v>
      </c>
      <c r="P1402" s="94">
        <v>0.0</v>
      </c>
      <c r="Q1402" s="94">
        <v>0.0</v>
      </c>
      <c r="R1402" s="94">
        <v>0.0</v>
      </c>
      <c r="S1402" s="94">
        <v>0.0</v>
      </c>
      <c r="T1402" s="94">
        <v>0.0</v>
      </c>
      <c r="U1402" s="94">
        <v>0.0</v>
      </c>
      <c r="V1402" s="94">
        <v>0.0</v>
      </c>
      <c r="W1402" s="94">
        <v>0.0</v>
      </c>
      <c r="X1402" s="94">
        <v>0.0</v>
      </c>
      <c r="Y1402" s="94">
        <v>0.0</v>
      </c>
      <c r="Z1402" s="94">
        <v>0.0</v>
      </c>
      <c r="AA1402" s="94">
        <v>0.0</v>
      </c>
      <c r="AB1402" s="94">
        <v>0.0</v>
      </c>
      <c r="AC1402" s="94">
        <v>0.0</v>
      </c>
      <c r="AD1402" s="94">
        <v>0.0</v>
      </c>
      <c r="AE1402" s="94">
        <v>0.0</v>
      </c>
      <c r="AF1402" s="94">
        <v>0.0</v>
      </c>
      <c r="AG1402" s="94">
        <v>0.0</v>
      </c>
      <c r="AH1402" s="94">
        <v>0.0</v>
      </c>
    </row>
    <row r="1403" hidden="1">
      <c r="A1403" s="83" t="s">
        <v>34</v>
      </c>
      <c r="B1403" s="93"/>
      <c r="C1403" s="94">
        <v>0.0</v>
      </c>
      <c r="D1403" s="94">
        <v>0.0</v>
      </c>
      <c r="E1403" s="96">
        <f t="shared" si="1065"/>
        <v>0</v>
      </c>
      <c r="F1403" s="94">
        <v>0.0</v>
      </c>
      <c r="G1403" s="94">
        <v>0.0</v>
      </c>
      <c r="H1403" s="94">
        <v>0.0</v>
      </c>
      <c r="I1403" s="94">
        <v>0.0</v>
      </c>
      <c r="J1403" s="95">
        <f t="shared" si="1057"/>
        <v>0</v>
      </c>
      <c r="K1403" s="87" t="str">
        <f t="shared" si="1058"/>
        <v>#DIV/0!</v>
      </c>
      <c r="L1403" s="94">
        <v>0.0</v>
      </c>
      <c r="M1403" s="94">
        <v>0.0</v>
      </c>
      <c r="N1403" s="85">
        <v>0.0</v>
      </c>
      <c r="O1403" s="110">
        <f t="shared" si="1064"/>
        <v>0</v>
      </c>
      <c r="P1403" s="94">
        <v>0.0</v>
      </c>
      <c r="Q1403" s="94">
        <v>0.0</v>
      </c>
      <c r="R1403" s="94">
        <v>0.0</v>
      </c>
      <c r="S1403" s="94">
        <v>0.0</v>
      </c>
      <c r="T1403" s="94">
        <v>0.0</v>
      </c>
      <c r="U1403" s="94">
        <v>0.0</v>
      </c>
      <c r="V1403" s="94">
        <v>0.0</v>
      </c>
      <c r="W1403" s="94">
        <v>0.0</v>
      </c>
      <c r="X1403" s="94">
        <v>0.0</v>
      </c>
      <c r="Y1403" s="94">
        <v>0.0</v>
      </c>
      <c r="Z1403" s="94">
        <v>0.0</v>
      </c>
      <c r="AA1403" s="94">
        <v>0.0</v>
      </c>
      <c r="AB1403" s="94">
        <v>0.0</v>
      </c>
      <c r="AC1403" s="94">
        <v>0.0</v>
      </c>
      <c r="AD1403" s="94">
        <v>0.0</v>
      </c>
      <c r="AE1403" s="94">
        <v>0.0</v>
      </c>
      <c r="AF1403" s="94">
        <v>0.0</v>
      </c>
      <c r="AG1403" s="94">
        <v>0.0</v>
      </c>
      <c r="AH1403" s="94">
        <v>0.0</v>
      </c>
    </row>
    <row r="1404" hidden="1">
      <c r="A1404" s="89" t="s">
        <v>185</v>
      </c>
      <c r="B1404" s="111"/>
      <c r="C1404" s="111">
        <f>SUM(C1398:C1403)</f>
        <v>4</v>
      </c>
      <c r="D1404" s="111">
        <f t="shared" ref="D1404:E1404" si="1066">SUM(D1398:D1403)/4</f>
        <v>1</v>
      </c>
      <c r="E1404" s="91">
        <f t="shared" si="1066"/>
        <v>19</v>
      </c>
      <c r="F1404" s="111">
        <f t="shared" ref="F1404:G1404" si="1067">SUM(F1398:F1403)</f>
        <v>5</v>
      </c>
      <c r="G1404" s="111">
        <f t="shared" si="1067"/>
        <v>250</v>
      </c>
      <c r="H1404" s="111"/>
      <c r="I1404" s="111">
        <f>SUM(I1398:I1403)</f>
        <v>261</v>
      </c>
      <c r="J1404" s="111">
        <f t="shared" si="1057"/>
        <v>-11</v>
      </c>
      <c r="K1404" s="92">
        <f t="shared" si="1058"/>
        <v>0.9578544061</v>
      </c>
      <c r="L1404" s="111">
        <f t="shared" ref="L1404:M1404" si="1068">SUM(L1398:L1403)</f>
        <v>58</v>
      </c>
      <c r="M1404" s="111">
        <f t="shared" si="1068"/>
        <v>321</v>
      </c>
      <c r="N1404" s="111"/>
      <c r="O1404" s="112"/>
      <c r="P1404" s="111">
        <f t="shared" ref="P1404:AH1404" si="1069">SUM(P1398:P1403)</f>
        <v>9</v>
      </c>
      <c r="Q1404" s="111">
        <f t="shared" si="1069"/>
        <v>1</v>
      </c>
      <c r="R1404" s="111">
        <f t="shared" si="1069"/>
        <v>7</v>
      </c>
      <c r="S1404" s="111">
        <f t="shared" si="1069"/>
        <v>2</v>
      </c>
      <c r="T1404" s="111">
        <f t="shared" si="1069"/>
        <v>41</v>
      </c>
      <c r="U1404" s="111">
        <f t="shared" si="1069"/>
        <v>13</v>
      </c>
      <c r="V1404" s="111">
        <f t="shared" si="1069"/>
        <v>3</v>
      </c>
      <c r="W1404" s="111">
        <f t="shared" si="1069"/>
        <v>0</v>
      </c>
      <c r="X1404" s="111">
        <f t="shared" si="1069"/>
        <v>0</v>
      </c>
      <c r="Y1404" s="111">
        <f t="shared" si="1069"/>
        <v>0</v>
      </c>
      <c r="Z1404" s="111">
        <f t="shared" si="1069"/>
        <v>0</v>
      </c>
      <c r="AA1404" s="111">
        <f t="shared" si="1069"/>
        <v>0</v>
      </c>
      <c r="AB1404" s="111">
        <f t="shared" si="1069"/>
        <v>0</v>
      </c>
      <c r="AC1404" s="111">
        <f t="shared" si="1069"/>
        <v>6</v>
      </c>
      <c r="AD1404" s="111">
        <f t="shared" si="1069"/>
        <v>1</v>
      </c>
      <c r="AE1404" s="111">
        <f t="shared" si="1069"/>
        <v>0</v>
      </c>
      <c r="AF1404" s="111">
        <f t="shared" si="1069"/>
        <v>0</v>
      </c>
      <c r="AG1404" s="111">
        <f t="shared" si="1069"/>
        <v>1</v>
      </c>
      <c r="AH1404" s="111">
        <f t="shared" si="1069"/>
        <v>1</v>
      </c>
    </row>
    <row r="1405">
      <c r="A1405" s="104" t="s">
        <v>334</v>
      </c>
    </row>
    <row r="1407" hidden="1">
      <c r="A1407" s="105"/>
      <c r="F1407" s="106" t="s">
        <v>251</v>
      </c>
      <c r="L1407" s="107" t="s">
        <v>252</v>
      </c>
      <c r="N1407" s="108" t="s">
        <v>253</v>
      </c>
    </row>
    <row r="1408" hidden="1">
      <c r="A1408" s="76" t="s">
        <v>148</v>
      </c>
      <c r="B1408" s="76" t="s">
        <v>149</v>
      </c>
      <c r="C1408" s="76" t="s">
        <v>150</v>
      </c>
      <c r="D1408" s="76" t="s">
        <v>13</v>
      </c>
      <c r="E1408" s="77" t="s">
        <v>151</v>
      </c>
      <c r="F1408" s="78" t="s">
        <v>15</v>
      </c>
      <c r="G1408" s="78" t="s">
        <v>152</v>
      </c>
      <c r="H1408" s="78" t="s">
        <v>153</v>
      </c>
      <c r="I1408" s="78" t="s">
        <v>154</v>
      </c>
      <c r="J1408" s="78" t="s">
        <v>155</v>
      </c>
      <c r="K1408" s="79" t="s">
        <v>156</v>
      </c>
      <c r="L1408" s="80" t="s">
        <v>157</v>
      </c>
      <c r="M1408" s="80" t="s">
        <v>158</v>
      </c>
      <c r="N1408" s="81" t="s">
        <v>254</v>
      </c>
      <c r="O1408" s="81" t="s">
        <v>151</v>
      </c>
      <c r="P1408" s="81" t="s">
        <v>160</v>
      </c>
      <c r="Q1408" s="81" t="s">
        <v>161</v>
      </c>
      <c r="R1408" s="81" t="s">
        <v>162</v>
      </c>
      <c r="S1408" s="81" t="s">
        <v>163</v>
      </c>
      <c r="T1408" s="81" t="s">
        <v>164</v>
      </c>
      <c r="U1408" s="81" t="s">
        <v>165</v>
      </c>
      <c r="V1408" s="81" t="s">
        <v>166</v>
      </c>
      <c r="W1408" s="81" t="s">
        <v>167</v>
      </c>
      <c r="X1408" s="81" t="s">
        <v>168</v>
      </c>
      <c r="Y1408" s="81" t="s">
        <v>169</v>
      </c>
      <c r="Z1408" s="81" t="s">
        <v>170</v>
      </c>
      <c r="AA1408" s="81" t="s">
        <v>171</v>
      </c>
      <c r="AB1408" s="81" t="s">
        <v>172</v>
      </c>
      <c r="AC1408" s="81" t="s">
        <v>173</v>
      </c>
      <c r="AD1408" s="81" t="s">
        <v>174</v>
      </c>
      <c r="AE1408" s="81" t="s">
        <v>175</v>
      </c>
      <c r="AF1408" s="81" t="s">
        <v>176</v>
      </c>
      <c r="AG1408" s="81" t="s">
        <v>177</v>
      </c>
      <c r="AH1408" s="81" t="s">
        <v>178</v>
      </c>
    </row>
    <row r="1409" hidden="1">
      <c r="A1409" s="83" t="s">
        <v>56</v>
      </c>
      <c r="B1409" s="84" t="s">
        <v>203</v>
      </c>
      <c r="C1409" s="85">
        <v>1.0</v>
      </c>
      <c r="D1409" s="94">
        <v>0.0</v>
      </c>
      <c r="E1409" s="86">
        <v>7.0</v>
      </c>
      <c r="F1409" s="94">
        <v>0.0</v>
      </c>
      <c r="G1409" s="85">
        <v>36.0</v>
      </c>
      <c r="H1409" s="94">
        <v>0.0</v>
      </c>
      <c r="I1409" s="85">
        <v>27.0</v>
      </c>
      <c r="J1409" s="95">
        <f t="shared" ref="J1409:J1422" si="1070">SUM(G1409-I1409)</f>
        <v>9</v>
      </c>
      <c r="K1409" s="87">
        <f t="shared" ref="K1409:K1422" si="1071">SUM(G1409/I1409)</f>
        <v>1.333333333</v>
      </c>
      <c r="L1409" s="85">
        <v>12.0</v>
      </c>
      <c r="M1409" s="85">
        <v>44.0</v>
      </c>
      <c r="N1409" s="85">
        <v>1.0</v>
      </c>
      <c r="O1409" s="110">
        <f t="shared" ref="O1409:O1414" si="1072">(E1409*N1409)</f>
        <v>7</v>
      </c>
      <c r="P1409" s="85">
        <v>1.0</v>
      </c>
      <c r="Q1409" s="85">
        <v>1.0</v>
      </c>
      <c r="R1409" s="94">
        <v>0.0</v>
      </c>
      <c r="S1409" s="94">
        <v>0.0</v>
      </c>
      <c r="T1409" s="85">
        <v>6.0</v>
      </c>
      <c r="U1409" s="85">
        <v>3.0</v>
      </c>
      <c r="V1409" s="94">
        <v>0.0</v>
      </c>
      <c r="W1409" s="94">
        <v>0.0</v>
      </c>
      <c r="X1409" s="94">
        <v>0.0</v>
      </c>
      <c r="Y1409" s="94">
        <v>0.0</v>
      </c>
      <c r="Z1409" s="94">
        <v>0.0</v>
      </c>
      <c r="AA1409" s="94">
        <v>0.0</v>
      </c>
      <c r="AB1409" s="94">
        <v>0.0</v>
      </c>
      <c r="AC1409" s="85">
        <v>1.0</v>
      </c>
      <c r="AD1409" s="94">
        <v>0.0</v>
      </c>
      <c r="AE1409" s="94">
        <v>0.0</v>
      </c>
      <c r="AF1409" s="94">
        <v>0.0</v>
      </c>
      <c r="AG1409" s="94">
        <v>0.0</v>
      </c>
      <c r="AH1409" s="94">
        <v>0.0</v>
      </c>
    </row>
    <row r="1410" hidden="1">
      <c r="A1410" s="83" t="s">
        <v>56</v>
      </c>
      <c r="B1410" s="84" t="s">
        <v>204</v>
      </c>
      <c r="C1410" s="85">
        <v>1.0</v>
      </c>
      <c r="D1410" s="94">
        <v>0.0</v>
      </c>
      <c r="E1410" s="86">
        <v>7.0</v>
      </c>
      <c r="F1410" s="94">
        <v>0.0</v>
      </c>
      <c r="G1410" s="85">
        <v>24.0</v>
      </c>
      <c r="H1410" s="85">
        <v>1.0</v>
      </c>
      <c r="I1410" s="85">
        <v>22.0</v>
      </c>
      <c r="J1410" s="95">
        <f t="shared" si="1070"/>
        <v>2</v>
      </c>
      <c r="K1410" s="87">
        <f t="shared" si="1071"/>
        <v>1.090909091</v>
      </c>
      <c r="L1410" s="85">
        <v>15.0</v>
      </c>
      <c r="M1410" s="85">
        <v>28.0</v>
      </c>
      <c r="N1410" s="85">
        <v>1.0</v>
      </c>
      <c r="O1410" s="110">
        <f t="shared" si="1072"/>
        <v>7</v>
      </c>
      <c r="P1410" s="85">
        <v>2.0</v>
      </c>
      <c r="Q1410" s="94">
        <v>0.0</v>
      </c>
      <c r="R1410" s="94">
        <v>0.0</v>
      </c>
      <c r="S1410" s="94">
        <v>0.0</v>
      </c>
      <c r="T1410" s="85">
        <v>2.0</v>
      </c>
      <c r="U1410" s="94">
        <v>0.0</v>
      </c>
      <c r="V1410" s="94">
        <v>0.0</v>
      </c>
      <c r="W1410" s="94">
        <v>0.0</v>
      </c>
      <c r="X1410" s="94">
        <v>0.0</v>
      </c>
      <c r="Y1410" s="94">
        <v>0.0</v>
      </c>
      <c r="Z1410" s="94">
        <v>0.0</v>
      </c>
      <c r="AA1410" s="94">
        <v>0.0</v>
      </c>
      <c r="AB1410" s="94">
        <v>0.0</v>
      </c>
      <c r="AC1410" s="94">
        <v>0.0</v>
      </c>
      <c r="AD1410" s="94">
        <v>0.0</v>
      </c>
      <c r="AE1410" s="94">
        <v>0.0</v>
      </c>
      <c r="AF1410" s="94">
        <v>0.0</v>
      </c>
      <c r="AG1410" s="94">
        <v>0.0</v>
      </c>
      <c r="AH1410" s="94">
        <v>0.0</v>
      </c>
    </row>
    <row r="1411" hidden="1">
      <c r="A1411" s="83" t="s">
        <v>56</v>
      </c>
      <c r="B1411" s="84" t="s">
        <v>205</v>
      </c>
      <c r="C1411" s="94">
        <v>0.0</v>
      </c>
      <c r="D1411" s="94">
        <v>0.0</v>
      </c>
      <c r="E1411" s="96">
        <f>SUM(L1411*I1411)/60</f>
        <v>0</v>
      </c>
      <c r="F1411" s="94">
        <v>0.0</v>
      </c>
      <c r="G1411" s="94">
        <v>0.0</v>
      </c>
      <c r="H1411" s="94">
        <v>0.0</v>
      </c>
      <c r="I1411" s="94">
        <v>0.0</v>
      </c>
      <c r="J1411" s="95">
        <f t="shared" si="1070"/>
        <v>0</v>
      </c>
      <c r="K1411" s="87" t="str">
        <f t="shared" si="1071"/>
        <v>#DIV/0!</v>
      </c>
      <c r="L1411" s="94">
        <v>0.0</v>
      </c>
      <c r="M1411" s="94">
        <v>0.0</v>
      </c>
      <c r="N1411" s="85">
        <v>0.0</v>
      </c>
      <c r="O1411" s="110">
        <f t="shared" si="1072"/>
        <v>0</v>
      </c>
      <c r="P1411" s="94">
        <v>0.0</v>
      </c>
      <c r="Q1411" s="94">
        <v>0.0</v>
      </c>
      <c r="R1411" s="94">
        <v>0.0</v>
      </c>
      <c r="S1411" s="94">
        <v>0.0</v>
      </c>
      <c r="T1411" s="94">
        <v>0.0</v>
      </c>
      <c r="U1411" s="94">
        <v>0.0</v>
      </c>
      <c r="V1411" s="94">
        <v>0.0</v>
      </c>
      <c r="W1411" s="94">
        <v>0.0</v>
      </c>
      <c r="X1411" s="94">
        <v>0.0</v>
      </c>
      <c r="Y1411" s="94">
        <v>0.0</v>
      </c>
      <c r="Z1411" s="94">
        <v>0.0</v>
      </c>
      <c r="AA1411" s="94">
        <v>0.0</v>
      </c>
      <c r="AB1411" s="94">
        <v>0.0</v>
      </c>
      <c r="AC1411" s="94">
        <v>0.0</v>
      </c>
      <c r="AD1411" s="94">
        <v>0.0</v>
      </c>
      <c r="AE1411" s="94">
        <v>0.0</v>
      </c>
      <c r="AF1411" s="94">
        <v>0.0</v>
      </c>
      <c r="AG1411" s="94">
        <v>0.0</v>
      </c>
      <c r="AH1411" s="94">
        <v>0.0</v>
      </c>
    </row>
    <row r="1412" hidden="1">
      <c r="A1412" s="83" t="s">
        <v>56</v>
      </c>
      <c r="B1412" s="84" t="s">
        <v>206</v>
      </c>
      <c r="C1412" s="85">
        <v>1.0</v>
      </c>
      <c r="D1412" s="94">
        <v>0.0</v>
      </c>
      <c r="E1412" s="86">
        <v>7.0</v>
      </c>
      <c r="F1412" s="85">
        <v>1.0</v>
      </c>
      <c r="G1412" s="85">
        <v>20.0</v>
      </c>
      <c r="H1412" s="94">
        <v>0.0</v>
      </c>
      <c r="I1412" s="85">
        <v>18.0</v>
      </c>
      <c r="J1412" s="95">
        <f t="shared" si="1070"/>
        <v>2</v>
      </c>
      <c r="K1412" s="87">
        <f t="shared" si="1071"/>
        <v>1.111111111</v>
      </c>
      <c r="L1412" s="85">
        <v>19.0</v>
      </c>
      <c r="M1412" s="85">
        <v>26.0</v>
      </c>
      <c r="N1412" s="85">
        <v>1.0</v>
      </c>
      <c r="O1412" s="110">
        <f t="shared" si="1072"/>
        <v>7</v>
      </c>
      <c r="P1412" s="85">
        <v>1.0</v>
      </c>
      <c r="Q1412" s="94">
        <v>0.0</v>
      </c>
      <c r="R1412" s="85">
        <v>2.0</v>
      </c>
      <c r="S1412" s="85">
        <v>0.0</v>
      </c>
      <c r="T1412" s="85">
        <v>2.0</v>
      </c>
      <c r="U1412" s="94">
        <v>0.0</v>
      </c>
      <c r="V1412" s="94">
        <v>0.0</v>
      </c>
      <c r="W1412" s="94">
        <v>0.0</v>
      </c>
      <c r="X1412" s="94">
        <v>0.0</v>
      </c>
      <c r="Y1412" s="94">
        <v>0.0</v>
      </c>
      <c r="Z1412" s="94">
        <v>0.0</v>
      </c>
      <c r="AA1412" s="94">
        <v>0.0</v>
      </c>
      <c r="AB1412" s="94">
        <v>0.0</v>
      </c>
      <c r="AC1412" s="94">
        <v>0.0</v>
      </c>
      <c r="AD1412" s="94">
        <v>0.0</v>
      </c>
      <c r="AE1412" s="94">
        <v>0.0</v>
      </c>
      <c r="AF1412" s="94">
        <v>0.0</v>
      </c>
      <c r="AG1412" s="94">
        <v>0.0</v>
      </c>
      <c r="AH1412" s="94">
        <v>0.0</v>
      </c>
    </row>
    <row r="1413" hidden="1">
      <c r="A1413" s="83" t="s">
        <v>56</v>
      </c>
      <c r="B1413" s="84" t="s">
        <v>207</v>
      </c>
      <c r="C1413" s="85">
        <v>1.0</v>
      </c>
      <c r="D1413" s="94">
        <v>0.0</v>
      </c>
      <c r="E1413" s="86">
        <v>7.0</v>
      </c>
      <c r="F1413" s="94">
        <v>0.0</v>
      </c>
      <c r="G1413" s="85">
        <v>10.0</v>
      </c>
      <c r="H1413" s="85">
        <v>1.0</v>
      </c>
      <c r="I1413" s="85">
        <v>25.0</v>
      </c>
      <c r="J1413" s="95">
        <f t="shared" si="1070"/>
        <v>-15</v>
      </c>
      <c r="K1413" s="87">
        <f t="shared" si="1071"/>
        <v>0.4</v>
      </c>
      <c r="L1413" s="85">
        <v>13.0</v>
      </c>
      <c r="M1413" s="85">
        <v>10.0</v>
      </c>
      <c r="N1413" s="85">
        <v>1.0</v>
      </c>
      <c r="O1413" s="110">
        <f t="shared" si="1072"/>
        <v>7</v>
      </c>
      <c r="P1413" s="85">
        <v>1.0</v>
      </c>
      <c r="Q1413" s="94">
        <v>0.0</v>
      </c>
      <c r="R1413" s="85">
        <v>1.0</v>
      </c>
      <c r="S1413" s="94">
        <v>0.0</v>
      </c>
      <c r="T1413" s="94">
        <v>0.0</v>
      </c>
      <c r="U1413" s="94">
        <v>0.0</v>
      </c>
      <c r="V1413" s="94">
        <v>0.0</v>
      </c>
      <c r="W1413" s="94">
        <v>0.0</v>
      </c>
      <c r="X1413" s="94">
        <v>0.0</v>
      </c>
      <c r="Y1413" s="94">
        <v>0.0</v>
      </c>
      <c r="Z1413" s="94">
        <v>0.0</v>
      </c>
      <c r="AA1413" s="94">
        <v>0.0</v>
      </c>
      <c r="AB1413" s="94">
        <v>0.0</v>
      </c>
      <c r="AC1413" s="94">
        <v>0.0</v>
      </c>
      <c r="AD1413" s="94">
        <v>0.0</v>
      </c>
      <c r="AE1413" s="94">
        <v>0.0</v>
      </c>
      <c r="AF1413" s="94">
        <v>0.0</v>
      </c>
      <c r="AG1413" s="94">
        <v>0.0</v>
      </c>
      <c r="AH1413" s="94">
        <v>0.0</v>
      </c>
    </row>
    <row r="1414" hidden="1">
      <c r="A1414" s="83" t="s">
        <v>56</v>
      </c>
      <c r="B1414" s="93"/>
      <c r="C1414" s="94">
        <v>0.0</v>
      </c>
      <c r="D1414" s="94">
        <v>0.0</v>
      </c>
      <c r="E1414" s="96">
        <f>SUM(L1414*I1414)/60</f>
        <v>0</v>
      </c>
      <c r="F1414" s="94">
        <v>0.0</v>
      </c>
      <c r="G1414" s="94">
        <v>0.0</v>
      </c>
      <c r="H1414" s="94">
        <v>0.0</v>
      </c>
      <c r="I1414" s="94">
        <v>0.0</v>
      </c>
      <c r="J1414" s="95">
        <f t="shared" si="1070"/>
        <v>0</v>
      </c>
      <c r="K1414" s="87" t="str">
        <f t="shared" si="1071"/>
        <v>#DIV/0!</v>
      </c>
      <c r="L1414" s="94">
        <v>0.0</v>
      </c>
      <c r="M1414" s="94">
        <v>0.0</v>
      </c>
      <c r="N1414" s="85">
        <v>0.0</v>
      </c>
      <c r="O1414" s="110">
        <f t="shared" si="1072"/>
        <v>0</v>
      </c>
      <c r="P1414" s="94">
        <v>0.0</v>
      </c>
      <c r="Q1414" s="94">
        <v>0.0</v>
      </c>
      <c r="R1414" s="94">
        <v>0.0</v>
      </c>
      <c r="S1414" s="94">
        <v>0.0</v>
      </c>
      <c r="T1414" s="94">
        <v>0.0</v>
      </c>
      <c r="U1414" s="94">
        <v>0.0</v>
      </c>
      <c r="V1414" s="94">
        <v>0.0</v>
      </c>
      <c r="W1414" s="94">
        <v>0.0</v>
      </c>
      <c r="X1414" s="94">
        <v>0.0</v>
      </c>
      <c r="Y1414" s="94">
        <v>0.0</v>
      </c>
      <c r="Z1414" s="94">
        <v>0.0</v>
      </c>
      <c r="AA1414" s="94">
        <v>0.0</v>
      </c>
      <c r="AB1414" s="94">
        <v>0.0</v>
      </c>
      <c r="AC1414" s="94">
        <v>0.0</v>
      </c>
      <c r="AD1414" s="94">
        <v>0.0</v>
      </c>
      <c r="AE1414" s="94">
        <v>0.0</v>
      </c>
      <c r="AF1414" s="94">
        <v>0.0</v>
      </c>
      <c r="AG1414" s="94">
        <v>0.0</v>
      </c>
      <c r="AH1414" s="94">
        <v>0.0</v>
      </c>
    </row>
    <row r="1415" hidden="1">
      <c r="A1415" s="89"/>
      <c r="B1415" s="111"/>
      <c r="C1415" s="111">
        <f t="shared" ref="C1415:D1415" si="1073">SUM(C1409:C1414)/4</f>
        <v>1</v>
      </c>
      <c r="D1415" s="111">
        <f t="shared" si="1073"/>
        <v>0</v>
      </c>
      <c r="E1415" s="91">
        <f t="shared" ref="E1415:G1415" si="1074">SUM(E1409:E1414)</f>
        <v>28</v>
      </c>
      <c r="F1415" s="111">
        <f t="shared" si="1074"/>
        <v>1</v>
      </c>
      <c r="G1415" s="111">
        <f t="shared" si="1074"/>
        <v>90</v>
      </c>
      <c r="H1415" s="111"/>
      <c r="I1415" s="111">
        <f>SUM(I1409:I1414)</f>
        <v>92</v>
      </c>
      <c r="J1415" s="111">
        <f t="shared" si="1070"/>
        <v>-2</v>
      </c>
      <c r="K1415" s="92">
        <f t="shared" si="1071"/>
        <v>0.9782608696</v>
      </c>
      <c r="L1415" s="111">
        <f t="shared" ref="L1415:M1415" si="1075">SUM(L1409:L1414)</f>
        <v>59</v>
      </c>
      <c r="M1415" s="111">
        <f t="shared" si="1075"/>
        <v>108</v>
      </c>
      <c r="N1415" s="111"/>
      <c r="O1415" s="112"/>
      <c r="P1415" s="111">
        <f t="shared" ref="P1415:AH1415" si="1076">SUM(P1409:P1414)</f>
        <v>5</v>
      </c>
      <c r="Q1415" s="111">
        <f t="shared" si="1076"/>
        <v>1</v>
      </c>
      <c r="R1415" s="111">
        <f t="shared" si="1076"/>
        <v>3</v>
      </c>
      <c r="S1415" s="111">
        <f t="shared" si="1076"/>
        <v>0</v>
      </c>
      <c r="T1415" s="111">
        <f t="shared" si="1076"/>
        <v>10</v>
      </c>
      <c r="U1415" s="111">
        <f t="shared" si="1076"/>
        <v>3</v>
      </c>
      <c r="V1415" s="111">
        <f t="shared" si="1076"/>
        <v>0</v>
      </c>
      <c r="W1415" s="111">
        <f t="shared" si="1076"/>
        <v>0</v>
      </c>
      <c r="X1415" s="111">
        <f t="shared" si="1076"/>
        <v>0</v>
      </c>
      <c r="Y1415" s="111">
        <f t="shared" si="1076"/>
        <v>0</v>
      </c>
      <c r="Z1415" s="111">
        <f t="shared" si="1076"/>
        <v>0</v>
      </c>
      <c r="AA1415" s="111">
        <f t="shared" si="1076"/>
        <v>0</v>
      </c>
      <c r="AB1415" s="111">
        <f t="shared" si="1076"/>
        <v>0</v>
      </c>
      <c r="AC1415" s="111">
        <f t="shared" si="1076"/>
        <v>1</v>
      </c>
      <c r="AD1415" s="111">
        <f t="shared" si="1076"/>
        <v>0</v>
      </c>
      <c r="AE1415" s="111">
        <f t="shared" si="1076"/>
        <v>0</v>
      </c>
      <c r="AF1415" s="111">
        <f t="shared" si="1076"/>
        <v>0</v>
      </c>
      <c r="AG1415" s="111">
        <f t="shared" si="1076"/>
        <v>0</v>
      </c>
      <c r="AH1415" s="111">
        <f t="shared" si="1076"/>
        <v>0</v>
      </c>
    </row>
    <row r="1416" hidden="1">
      <c r="A1416" s="83" t="s">
        <v>34</v>
      </c>
      <c r="B1416" s="84" t="s">
        <v>227</v>
      </c>
      <c r="C1416" s="85">
        <v>1.0</v>
      </c>
      <c r="D1416" s="85">
        <v>1.0</v>
      </c>
      <c r="E1416" s="86">
        <v>7.0</v>
      </c>
      <c r="F1416" s="85">
        <v>2.0</v>
      </c>
      <c r="G1416" s="85">
        <v>31.0</v>
      </c>
      <c r="H1416" s="94">
        <v>0.0</v>
      </c>
      <c r="I1416" s="85">
        <v>22.0</v>
      </c>
      <c r="J1416" s="95">
        <f t="shared" si="1070"/>
        <v>9</v>
      </c>
      <c r="K1416" s="87">
        <f t="shared" si="1071"/>
        <v>1.409090909</v>
      </c>
      <c r="L1416" s="85">
        <v>15.0</v>
      </c>
      <c r="M1416" s="85">
        <v>43.0</v>
      </c>
      <c r="N1416" s="85">
        <v>1.0</v>
      </c>
      <c r="O1416" s="110">
        <f t="shared" ref="O1416:O1421" si="1077">(E1416*N1416)</f>
        <v>7</v>
      </c>
      <c r="P1416" s="85">
        <v>4.0</v>
      </c>
      <c r="Q1416" s="85">
        <v>1.0</v>
      </c>
      <c r="R1416" s="85">
        <v>5.0</v>
      </c>
      <c r="S1416" s="94">
        <v>0.0</v>
      </c>
      <c r="T1416" s="85">
        <v>6.0</v>
      </c>
      <c r="U1416" s="94">
        <v>0.0</v>
      </c>
      <c r="V1416" s="94">
        <v>0.0</v>
      </c>
      <c r="W1416" s="94">
        <v>0.0</v>
      </c>
      <c r="X1416" s="94">
        <v>0.0</v>
      </c>
      <c r="Y1416" s="94">
        <v>0.0</v>
      </c>
      <c r="Z1416" s="94">
        <v>0.0</v>
      </c>
      <c r="AA1416" s="94">
        <v>0.0</v>
      </c>
      <c r="AB1416" s="94">
        <v>0.0</v>
      </c>
      <c r="AC1416" s="94">
        <v>0.0</v>
      </c>
      <c r="AD1416" s="94">
        <v>0.0</v>
      </c>
      <c r="AE1416" s="94">
        <v>0.0</v>
      </c>
      <c r="AF1416" s="94">
        <v>0.0</v>
      </c>
      <c r="AG1416" s="94">
        <v>0.0</v>
      </c>
      <c r="AH1416" s="94">
        <v>0.0</v>
      </c>
    </row>
    <row r="1417" hidden="1">
      <c r="A1417" s="83" t="s">
        <v>34</v>
      </c>
      <c r="B1417" s="84" t="s">
        <v>228</v>
      </c>
      <c r="C1417" s="85">
        <v>1.0</v>
      </c>
      <c r="D1417" s="85">
        <v>1.0</v>
      </c>
      <c r="E1417" s="86">
        <v>7.0</v>
      </c>
      <c r="F1417" s="94">
        <v>0.0</v>
      </c>
      <c r="G1417" s="85">
        <v>29.0</v>
      </c>
      <c r="H1417" s="85">
        <v>1.0</v>
      </c>
      <c r="I1417" s="85">
        <v>28.0</v>
      </c>
      <c r="J1417" s="95">
        <f t="shared" si="1070"/>
        <v>1</v>
      </c>
      <c r="K1417" s="87">
        <f t="shared" si="1071"/>
        <v>1.035714286</v>
      </c>
      <c r="L1417" s="85">
        <v>11.0</v>
      </c>
      <c r="M1417" s="85">
        <v>34.0</v>
      </c>
      <c r="N1417" s="85">
        <v>1.0</v>
      </c>
      <c r="O1417" s="110">
        <f t="shared" si="1077"/>
        <v>7</v>
      </c>
      <c r="P1417" s="94">
        <v>0.0</v>
      </c>
      <c r="Q1417" s="85">
        <v>2.0</v>
      </c>
      <c r="R1417" s="85">
        <v>1.0</v>
      </c>
      <c r="S1417" s="94">
        <v>0.0</v>
      </c>
      <c r="T1417" s="85">
        <v>8.0</v>
      </c>
      <c r="U1417" s="85">
        <v>2.0</v>
      </c>
      <c r="V1417" s="94">
        <v>0.0</v>
      </c>
      <c r="W1417" s="94">
        <v>0.0</v>
      </c>
      <c r="X1417" s="94">
        <v>0.0</v>
      </c>
      <c r="Y1417" s="94">
        <v>0.0</v>
      </c>
      <c r="Z1417" s="94">
        <v>0.0</v>
      </c>
      <c r="AA1417" s="94">
        <v>0.0</v>
      </c>
      <c r="AB1417" s="94">
        <v>0.0</v>
      </c>
      <c r="AC1417" s="94">
        <v>0.0</v>
      </c>
      <c r="AD1417" s="94">
        <v>0.0</v>
      </c>
      <c r="AE1417" s="94">
        <v>0.0</v>
      </c>
      <c r="AF1417" s="94">
        <v>0.0</v>
      </c>
      <c r="AG1417" s="94">
        <v>0.0</v>
      </c>
      <c r="AH1417" s="94">
        <v>0.0</v>
      </c>
    </row>
    <row r="1418" hidden="1">
      <c r="A1418" s="83" t="s">
        <v>34</v>
      </c>
      <c r="B1418" s="84" t="s">
        <v>229</v>
      </c>
      <c r="C1418" s="85">
        <v>1.0</v>
      </c>
      <c r="D1418" s="85">
        <v>1.0</v>
      </c>
      <c r="E1418" s="86">
        <v>7.0</v>
      </c>
      <c r="F1418" s="94">
        <v>0.0</v>
      </c>
      <c r="G1418" s="85">
        <v>11.0</v>
      </c>
      <c r="H1418" s="94">
        <v>0.0</v>
      </c>
      <c r="I1418" s="85">
        <v>17.0</v>
      </c>
      <c r="J1418" s="95">
        <f t="shared" si="1070"/>
        <v>-6</v>
      </c>
      <c r="K1418" s="87">
        <f t="shared" si="1071"/>
        <v>0.6470588235</v>
      </c>
      <c r="L1418" s="85">
        <v>19.0</v>
      </c>
      <c r="M1418" s="85">
        <v>14.0</v>
      </c>
      <c r="N1418" s="85">
        <v>1.0</v>
      </c>
      <c r="O1418" s="110">
        <f t="shared" si="1077"/>
        <v>7</v>
      </c>
      <c r="P1418" s="85">
        <v>1.0</v>
      </c>
      <c r="Q1418" s="94">
        <v>0.0</v>
      </c>
      <c r="R1418" s="94">
        <v>0.0</v>
      </c>
      <c r="S1418" s="85">
        <v>1.0</v>
      </c>
      <c r="T1418" s="85">
        <v>2.0</v>
      </c>
      <c r="U1418" s="94">
        <v>0.0</v>
      </c>
      <c r="V1418" s="94">
        <v>0.0</v>
      </c>
      <c r="W1418" s="94">
        <v>0.0</v>
      </c>
      <c r="X1418" s="94">
        <v>0.0</v>
      </c>
      <c r="Y1418" s="94">
        <v>0.0</v>
      </c>
      <c r="Z1418" s="94">
        <v>0.0</v>
      </c>
      <c r="AA1418" s="94">
        <v>0.0</v>
      </c>
      <c r="AB1418" s="94">
        <v>0.0</v>
      </c>
      <c r="AC1418" s="94">
        <v>0.0</v>
      </c>
      <c r="AD1418" s="94">
        <v>0.0</v>
      </c>
      <c r="AE1418" s="94">
        <v>0.0</v>
      </c>
      <c r="AF1418" s="94">
        <v>0.0</v>
      </c>
      <c r="AG1418" s="94">
        <v>0.0</v>
      </c>
      <c r="AH1418" s="94">
        <v>0.0</v>
      </c>
    </row>
    <row r="1419" hidden="1">
      <c r="A1419" s="83" t="s">
        <v>34</v>
      </c>
      <c r="B1419" s="84" t="s">
        <v>230</v>
      </c>
      <c r="C1419" s="85">
        <v>1.0</v>
      </c>
      <c r="D1419" s="85">
        <v>1.0</v>
      </c>
      <c r="E1419" s="86">
        <v>7.0</v>
      </c>
      <c r="F1419" s="85">
        <v>3.0</v>
      </c>
      <c r="G1419" s="85">
        <v>14.0</v>
      </c>
      <c r="H1419" s="94">
        <v>0.0</v>
      </c>
      <c r="I1419" s="85">
        <v>24.0</v>
      </c>
      <c r="J1419" s="95">
        <f t="shared" si="1070"/>
        <v>-10</v>
      </c>
      <c r="K1419" s="87">
        <f t="shared" si="1071"/>
        <v>0.5833333333</v>
      </c>
      <c r="L1419" s="85">
        <v>13.0</v>
      </c>
      <c r="M1419" s="85">
        <v>21.0</v>
      </c>
      <c r="N1419" s="85">
        <v>1.0</v>
      </c>
      <c r="O1419" s="110">
        <f t="shared" si="1077"/>
        <v>7</v>
      </c>
      <c r="P1419" s="85">
        <v>1.0</v>
      </c>
      <c r="Q1419" s="85">
        <v>1.0</v>
      </c>
      <c r="R1419" s="85">
        <v>2.0</v>
      </c>
      <c r="S1419" s="94">
        <v>0.0</v>
      </c>
      <c r="T1419" s="85">
        <v>1.0</v>
      </c>
      <c r="U1419" s="94">
        <v>0.0</v>
      </c>
      <c r="V1419" s="94">
        <v>0.0</v>
      </c>
      <c r="W1419" s="94">
        <v>0.0</v>
      </c>
      <c r="X1419" s="94">
        <v>0.0</v>
      </c>
      <c r="Y1419" s="94">
        <v>0.0</v>
      </c>
      <c r="Z1419" s="94">
        <v>0.0</v>
      </c>
      <c r="AA1419" s="94">
        <v>0.0</v>
      </c>
      <c r="AB1419" s="94">
        <v>0.0</v>
      </c>
      <c r="AC1419" s="94">
        <v>0.0</v>
      </c>
      <c r="AD1419" s="94">
        <v>0.0</v>
      </c>
      <c r="AE1419" s="94">
        <v>0.0</v>
      </c>
      <c r="AF1419" s="94">
        <v>0.0</v>
      </c>
      <c r="AG1419" s="94">
        <v>0.0</v>
      </c>
      <c r="AH1419" s="94">
        <v>0.0</v>
      </c>
    </row>
    <row r="1420" hidden="1">
      <c r="A1420" s="83" t="s">
        <v>34</v>
      </c>
      <c r="B1420" s="84" t="s">
        <v>231</v>
      </c>
      <c r="C1420" s="94">
        <v>0.0</v>
      </c>
      <c r="D1420" s="94">
        <v>0.0</v>
      </c>
      <c r="E1420" s="96">
        <f t="shared" ref="E1420:E1421" si="1078">SUM(L1420*I1420)/60</f>
        <v>0</v>
      </c>
      <c r="F1420" s="94">
        <v>0.0</v>
      </c>
      <c r="G1420" s="94">
        <v>0.0</v>
      </c>
      <c r="H1420" s="94">
        <v>0.0</v>
      </c>
      <c r="I1420" s="94">
        <v>0.0</v>
      </c>
      <c r="J1420" s="95">
        <f t="shared" si="1070"/>
        <v>0</v>
      </c>
      <c r="K1420" s="87" t="str">
        <f t="shared" si="1071"/>
        <v>#DIV/0!</v>
      </c>
      <c r="L1420" s="94">
        <v>0.0</v>
      </c>
      <c r="M1420" s="94">
        <v>0.0</v>
      </c>
      <c r="N1420" s="85">
        <v>0.0</v>
      </c>
      <c r="O1420" s="110">
        <f t="shared" si="1077"/>
        <v>0</v>
      </c>
      <c r="P1420" s="94">
        <v>0.0</v>
      </c>
      <c r="Q1420" s="94">
        <v>0.0</v>
      </c>
      <c r="R1420" s="94">
        <v>0.0</v>
      </c>
      <c r="S1420" s="94">
        <v>0.0</v>
      </c>
      <c r="T1420" s="94">
        <v>0.0</v>
      </c>
      <c r="U1420" s="94">
        <v>0.0</v>
      </c>
      <c r="V1420" s="94">
        <v>0.0</v>
      </c>
      <c r="W1420" s="94">
        <v>0.0</v>
      </c>
      <c r="X1420" s="94">
        <v>0.0</v>
      </c>
      <c r="Y1420" s="94">
        <v>0.0</v>
      </c>
      <c r="Z1420" s="94">
        <v>0.0</v>
      </c>
      <c r="AA1420" s="94">
        <v>0.0</v>
      </c>
      <c r="AB1420" s="94">
        <v>0.0</v>
      </c>
      <c r="AC1420" s="94">
        <v>0.0</v>
      </c>
      <c r="AD1420" s="94">
        <v>0.0</v>
      </c>
      <c r="AE1420" s="94">
        <v>0.0</v>
      </c>
      <c r="AF1420" s="94">
        <v>0.0</v>
      </c>
      <c r="AG1420" s="94">
        <v>0.0</v>
      </c>
      <c r="AH1420" s="94">
        <v>0.0</v>
      </c>
    </row>
    <row r="1421" hidden="1">
      <c r="A1421" s="83" t="s">
        <v>34</v>
      </c>
      <c r="B1421" s="93"/>
      <c r="C1421" s="94">
        <v>0.0</v>
      </c>
      <c r="D1421" s="94">
        <v>0.0</v>
      </c>
      <c r="E1421" s="96">
        <f t="shared" si="1078"/>
        <v>0</v>
      </c>
      <c r="F1421" s="94">
        <v>0.0</v>
      </c>
      <c r="G1421" s="94">
        <v>0.0</v>
      </c>
      <c r="H1421" s="94">
        <v>0.0</v>
      </c>
      <c r="I1421" s="94">
        <v>0.0</v>
      </c>
      <c r="J1421" s="95">
        <f t="shared" si="1070"/>
        <v>0</v>
      </c>
      <c r="K1421" s="87" t="str">
        <f t="shared" si="1071"/>
        <v>#DIV/0!</v>
      </c>
      <c r="L1421" s="94">
        <v>0.0</v>
      </c>
      <c r="M1421" s="94">
        <v>0.0</v>
      </c>
      <c r="N1421" s="85">
        <v>0.0</v>
      </c>
      <c r="O1421" s="110">
        <f t="shared" si="1077"/>
        <v>0</v>
      </c>
      <c r="P1421" s="94">
        <v>0.0</v>
      </c>
      <c r="Q1421" s="94">
        <v>0.0</v>
      </c>
      <c r="R1421" s="94">
        <v>0.0</v>
      </c>
      <c r="S1421" s="94">
        <v>0.0</v>
      </c>
      <c r="T1421" s="94">
        <v>0.0</v>
      </c>
      <c r="U1421" s="94">
        <v>0.0</v>
      </c>
      <c r="V1421" s="94">
        <v>0.0</v>
      </c>
      <c r="W1421" s="94">
        <v>0.0</v>
      </c>
      <c r="X1421" s="94">
        <v>0.0</v>
      </c>
      <c r="Y1421" s="94">
        <v>0.0</v>
      </c>
      <c r="Z1421" s="94">
        <v>0.0</v>
      </c>
      <c r="AA1421" s="94">
        <v>0.0</v>
      </c>
      <c r="AB1421" s="94">
        <v>0.0</v>
      </c>
      <c r="AC1421" s="94">
        <v>0.0</v>
      </c>
      <c r="AD1421" s="94">
        <v>0.0</v>
      </c>
      <c r="AE1421" s="94">
        <v>0.0</v>
      </c>
      <c r="AF1421" s="94">
        <v>0.0</v>
      </c>
      <c r="AG1421" s="94">
        <v>0.0</v>
      </c>
      <c r="AH1421" s="94">
        <v>0.0</v>
      </c>
    </row>
    <row r="1422" hidden="1">
      <c r="A1422" s="89" t="s">
        <v>185</v>
      </c>
      <c r="B1422" s="111"/>
      <c r="C1422" s="111">
        <f>SUM(C1416:C1421)</f>
        <v>4</v>
      </c>
      <c r="D1422" s="111">
        <f t="shared" ref="D1422:E1422" si="1079">SUM(D1416:D1421)/4</f>
        <v>1</v>
      </c>
      <c r="E1422" s="91">
        <f t="shared" si="1079"/>
        <v>7</v>
      </c>
      <c r="F1422" s="111">
        <f t="shared" ref="F1422:G1422" si="1080">SUM(F1416:F1421)</f>
        <v>5</v>
      </c>
      <c r="G1422" s="111">
        <f t="shared" si="1080"/>
        <v>85</v>
      </c>
      <c r="H1422" s="111"/>
      <c r="I1422" s="111">
        <f>SUM(I1416:I1421)</f>
        <v>91</v>
      </c>
      <c r="J1422" s="111">
        <f t="shared" si="1070"/>
        <v>-6</v>
      </c>
      <c r="K1422" s="92">
        <f t="shared" si="1071"/>
        <v>0.9340659341</v>
      </c>
      <c r="L1422" s="111">
        <f t="shared" ref="L1422:M1422" si="1081">SUM(L1416:L1421)</f>
        <v>58</v>
      </c>
      <c r="M1422" s="111">
        <f t="shared" si="1081"/>
        <v>112</v>
      </c>
      <c r="N1422" s="111"/>
      <c r="O1422" s="112"/>
      <c r="P1422" s="111">
        <f t="shared" ref="P1422:AH1422" si="1082">SUM(P1416:P1421)</f>
        <v>6</v>
      </c>
      <c r="Q1422" s="111">
        <f t="shared" si="1082"/>
        <v>4</v>
      </c>
      <c r="R1422" s="111">
        <f t="shared" si="1082"/>
        <v>8</v>
      </c>
      <c r="S1422" s="111">
        <f t="shared" si="1082"/>
        <v>1</v>
      </c>
      <c r="T1422" s="111">
        <f t="shared" si="1082"/>
        <v>17</v>
      </c>
      <c r="U1422" s="111">
        <f t="shared" si="1082"/>
        <v>2</v>
      </c>
      <c r="V1422" s="111">
        <f t="shared" si="1082"/>
        <v>0</v>
      </c>
      <c r="W1422" s="111">
        <f t="shared" si="1082"/>
        <v>0</v>
      </c>
      <c r="X1422" s="111">
        <f t="shared" si="1082"/>
        <v>0</v>
      </c>
      <c r="Y1422" s="111">
        <f t="shared" si="1082"/>
        <v>0</v>
      </c>
      <c r="Z1422" s="111">
        <f t="shared" si="1082"/>
        <v>0</v>
      </c>
      <c r="AA1422" s="111">
        <f t="shared" si="1082"/>
        <v>0</v>
      </c>
      <c r="AB1422" s="111">
        <f t="shared" si="1082"/>
        <v>0</v>
      </c>
      <c r="AC1422" s="111">
        <f t="shared" si="1082"/>
        <v>0</v>
      </c>
      <c r="AD1422" s="111">
        <f t="shared" si="1082"/>
        <v>0</v>
      </c>
      <c r="AE1422" s="111">
        <f t="shared" si="1082"/>
        <v>0</v>
      </c>
      <c r="AF1422" s="111">
        <f t="shared" si="1082"/>
        <v>0</v>
      </c>
      <c r="AG1422" s="111">
        <f t="shared" si="1082"/>
        <v>0</v>
      </c>
      <c r="AH1422" s="111">
        <f t="shared" si="1082"/>
        <v>0</v>
      </c>
    </row>
    <row r="1423">
      <c r="A1423" s="115" t="s">
        <v>335</v>
      </c>
    </row>
    <row r="1425" hidden="1">
      <c r="A1425" s="105"/>
      <c r="F1425" s="106" t="s">
        <v>251</v>
      </c>
      <c r="L1425" s="107" t="s">
        <v>252</v>
      </c>
      <c r="N1425" s="108" t="s">
        <v>253</v>
      </c>
    </row>
    <row r="1426" hidden="1">
      <c r="A1426" s="76" t="s">
        <v>148</v>
      </c>
      <c r="B1426" s="76" t="s">
        <v>149</v>
      </c>
      <c r="C1426" s="76" t="s">
        <v>150</v>
      </c>
      <c r="D1426" s="76" t="s">
        <v>13</v>
      </c>
      <c r="E1426" s="77" t="s">
        <v>151</v>
      </c>
      <c r="F1426" s="78" t="s">
        <v>15</v>
      </c>
      <c r="G1426" s="78" t="s">
        <v>152</v>
      </c>
      <c r="H1426" s="78" t="s">
        <v>153</v>
      </c>
      <c r="I1426" s="78" t="s">
        <v>154</v>
      </c>
      <c r="J1426" s="78" t="s">
        <v>155</v>
      </c>
      <c r="K1426" s="79" t="s">
        <v>156</v>
      </c>
      <c r="L1426" s="80" t="s">
        <v>157</v>
      </c>
      <c r="M1426" s="80" t="s">
        <v>158</v>
      </c>
      <c r="N1426" s="81" t="s">
        <v>254</v>
      </c>
      <c r="O1426" s="81" t="s">
        <v>151</v>
      </c>
      <c r="P1426" s="81" t="s">
        <v>160</v>
      </c>
      <c r="Q1426" s="81" t="s">
        <v>161</v>
      </c>
      <c r="R1426" s="81" t="s">
        <v>162</v>
      </c>
      <c r="S1426" s="81" t="s">
        <v>163</v>
      </c>
      <c r="T1426" s="81" t="s">
        <v>164</v>
      </c>
      <c r="U1426" s="81" t="s">
        <v>165</v>
      </c>
      <c r="V1426" s="81" t="s">
        <v>166</v>
      </c>
      <c r="W1426" s="81" t="s">
        <v>167</v>
      </c>
      <c r="X1426" s="81" t="s">
        <v>168</v>
      </c>
      <c r="Y1426" s="81" t="s">
        <v>169</v>
      </c>
      <c r="Z1426" s="81" t="s">
        <v>170</v>
      </c>
      <c r="AA1426" s="81" t="s">
        <v>171</v>
      </c>
      <c r="AB1426" s="81" t="s">
        <v>172</v>
      </c>
      <c r="AC1426" s="81" t="s">
        <v>173</v>
      </c>
      <c r="AD1426" s="81" t="s">
        <v>174</v>
      </c>
      <c r="AE1426" s="81" t="s">
        <v>175</v>
      </c>
      <c r="AF1426" s="81" t="s">
        <v>176</v>
      </c>
      <c r="AG1426" s="81" t="s">
        <v>177</v>
      </c>
      <c r="AH1426" s="81" t="s">
        <v>178</v>
      </c>
    </row>
    <row r="1427" hidden="1">
      <c r="A1427" s="83" t="s">
        <v>49</v>
      </c>
      <c r="B1427" s="84" t="s">
        <v>198</v>
      </c>
      <c r="C1427" s="85">
        <v>1.0</v>
      </c>
      <c r="D1427" s="85">
        <v>1.0</v>
      </c>
      <c r="E1427" s="86">
        <v>29.0</v>
      </c>
      <c r="F1427" s="85">
        <v>0.0</v>
      </c>
      <c r="G1427" s="85">
        <v>81.0</v>
      </c>
      <c r="H1427" s="85">
        <v>2.0</v>
      </c>
      <c r="I1427" s="85">
        <v>89.0</v>
      </c>
      <c r="J1427" s="95">
        <f t="shared" ref="J1427:J1440" si="1083">SUM(G1427-I1427)</f>
        <v>-8</v>
      </c>
      <c r="K1427" s="87">
        <f t="shared" ref="K1427:K1440" si="1084">SUM(G1427/I1427)</f>
        <v>0.9101123596</v>
      </c>
      <c r="L1427" s="85">
        <v>16.0</v>
      </c>
      <c r="M1427" s="85">
        <v>96.0</v>
      </c>
      <c r="N1427" s="85">
        <v>1.0</v>
      </c>
      <c r="O1427" s="110">
        <f t="shared" ref="O1427:O1432" si="1085">(E1427*N1427)</f>
        <v>29</v>
      </c>
      <c r="P1427" s="85">
        <v>5.0</v>
      </c>
      <c r="Q1427" s="85">
        <v>2.0</v>
      </c>
      <c r="R1427" s="85">
        <v>7.0</v>
      </c>
      <c r="S1427" s="85">
        <v>2.0</v>
      </c>
      <c r="T1427" s="85">
        <v>9.0</v>
      </c>
      <c r="U1427" s="85">
        <v>2.0</v>
      </c>
      <c r="V1427" s="94">
        <v>0.0</v>
      </c>
      <c r="W1427" s="94">
        <v>0.0</v>
      </c>
      <c r="X1427" s="94">
        <v>0.0</v>
      </c>
      <c r="Y1427" s="94">
        <v>0.0</v>
      </c>
      <c r="Z1427" s="94">
        <v>0.0</v>
      </c>
      <c r="AA1427" s="94">
        <v>0.0</v>
      </c>
      <c r="AB1427" s="94">
        <v>0.0</v>
      </c>
      <c r="AC1427" s="85">
        <v>1.0</v>
      </c>
      <c r="AD1427" s="94">
        <v>0.0</v>
      </c>
      <c r="AE1427" s="94">
        <v>0.0</v>
      </c>
      <c r="AF1427" s="94">
        <v>0.0</v>
      </c>
      <c r="AG1427" s="94">
        <v>0.0</v>
      </c>
      <c r="AH1427" s="94">
        <v>0.0</v>
      </c>
    </row>
    <row r="1428" hidden="1">
      <c r="A1428" s="83" t="s">
        <v>49</v>
      </c>
      <c r="B1428" s="84" t="s">
        <v>199</v>
      </c>
      <c r="C1428" s="85">
        <v>1.0</v>
      </c>
      <c r="D1428" s="85">
        <v>1.0</v>
      </c>
      <c r="E1428" s="86">
        <v>29.0</v>
      </c>
      <c r="F1428" s="94">
        <v>0.0</v>
      </c>
      <c r="G1428" s="85">
        <v>81.0</v>
      </c>
      <c r="H1428" s="85">
        <v>3.0</v>
      </c>
      <c r="I1428" s="85">
        <v>68.0</v>
      </c>
      <c r="J1428" s="95">
        <f t="shared" si="1083"/>
        <v>13</v>
      </c>
      <c r="K1428" s="87">
        <f t="shared" si="1084"/>
        <v>1.191176471</v>
      </c>
      <c r="L1428" s="85">
        <v>22.0</v>
      </c>
      <c r="M1428" s="85">
        <v>101.0</v>
      </c>
      <c r="N1428" s="85">
        <v>1.0</v>
      </c>
      <c r="O1428" s="110">
        <f t="shared" si="1085"/>
        <v>29</v>
      </c>
      <c r="P1428" s="85">
        <v>3.0</v>
      </c>
      <c r="Q1428" s="85">
        <v>1.0</v>
      </c>
      <c r="R1428" s="85">
        <v>5.0</v>
      </c>
      <c r="S1428" s="85">
        <v>2.0</v>
      </c>
      <c r="T1428" s="85">
        <v>10.0</v>
      </c>
      <c r="U1428" s="85">
        <v>3.0</v>
      </c>
      <c r="V1428" s="94">
        <v>0.0</v>
      </c>
      <c r="W1428" s="94">
        <v>0.0</v>
      </c>
      <c r="X1428" s="94">
        <v>0.0</v>
      </c>
      <c r="Y1428" s="94">
        <v>0.0</v>
      </c>
      <c r="Z1428" s="94">
        <v>0.0</v>
      </c>
      <c r="AA1428" s="94">
        <v>0.0</v>
      </c>
      <c r="AB1428" s="94">
        <v>0.0</v>
      </c>
      <c r="AC1428" s="85">
        <v>2.0</v>
      </c>
      <c r="AD1428" s="94">
        <v>0.0</v>
      </c>
      <c r="AE1428" s="94">
        <v>0.0</v>
      </c>
      <c r="AF1428" s="94">
        <v>0.0</v>
      </c>
      <c r="AG1428" s="94">
        <v>0.0</v>
      </c>
      <c r="AH1428" s="94">
        <v>0.0</v>
      </c>
    </row>
    <row r="1429" hidden="1">
      <c r="A1429" s="83" t="s">
        <v>49</v>
      </c>
      <c r="B1429" s="84" t="s">
        <v>200</v>
      </c>
      <c r="C1429" s="85">
        <v>1.0</v>
      </c>
      <c r="D1429" s="85">
        <v>1.0</v>
      </c>
      <c r="E1429" s="86">
        <v>29.0</v>
      </c>
      <c r="F1429" s="94">
        <v>0.0</v>
      </c>
      <c r="G1429" s="85">
        <v>93.0</v>
      </c>
      <c r="H1429" s="94">
        <v>0.0</v>
      </c>
      <c r="I1429" s="85">
        <v>98.0</v>
      </c>
      <c r="J1429" s="95">
        <f t="shared" si="1083"/>
        <v>-5</v>
      </c>
      <c r="K1429" s="87">
        <f t="shared" si="1084"/>
        <v>0.9489795918</v>
      </c>
      <c r="L1429" s="85">
        <v>14.0</v>
      </c>
      <c r="M1429" s="85">
        <v>122.0</v>
      </c>
      <c r="N1429" s="85">
        <v>1.0</v>
      </c>
      <c r="O1429" s="110">
        <f t="shared" si="1085"/>
        <v>29</v>
      </c>
      <c r="P1429" s="85">
        <v>1.0</v>
      </c>
      <c r="Q1429" s="85">
        <v>6.0</v>
      </c>
      <c r="R1429" s="85">
        <v>6.0</v>
      </c>
      <c r="S1429" s="85">
        <v>3.0</v>
      </c>
      <c r="T1429" s="85">
        <v>16.0</v>
      </c>
      <c r="U1429" s="85">
        <v>3.0</v>
      </c>
      <c r="V1429" s="94">
        <v>0.0</v>
      </c>
      <c r="W1429" s="94">
        <v>0.0</v>
      </c>
      <c r="X1429" s="94">
        <v>0.0</v>
      </c>
      <c r="Y1429" s="94">
        <v>0.0</v>
      </c>
      <c r="Z1429" s="94">
        <v>0.0</v>
      </c>
      <c r="AA1429" s="94">
        <v>0.0</v>
      </c>
      <c r="AB1429" s="94">
        <v>0.0</v>
      </c>
      <c r="AC1429" s="85">
        <v>3.0</v>
      </c>
      <c r="AD1429" s="94">
        <v>0.0</v>
      </c>
      <c r="AE1429" s="94">
        <v>0.0</v>
      </c>
      <c r="AF1429" s="94">
        <v>0.0</v>
      </c>
      <c r="AG1429" s="94">
        <v>0.0</v>
      </c>
      <c r="AH1429" s="94">
        <v>0.0</v>
      </c>
    </row>
    <row r="1430" hidden="1">
      <c r="A1430" s="83" t="s">
        <v>49</v>
      </c>
      <c r="B1430" s="84" t="s">
        <v>201</v>
      </c>
      <c r="C1430" s="94">
        <v>0.0</v>
      </c>
      <c r="D1430" s="94">
        <v>0.0</v>
      </c>
      <c r="E1430" s="96">
        <f>SUM(L1430*I1430)/60</f>
        <v>0</v>
      </c>
      <c r="F1430" s="94">
        <v>0.0</v>
      </c>
      <c r="G1430" s="94">
        <v>0.0</v>
      </c>
      <c r="H1430" s="94">
        <v>0.0</v>
      </c>
      <c r="I1430" s="94">
        <v>0.0</v>
      </c>
      <c r="J1430" s="95">
        <f t="shared" si="1083"/>
        <v>0</v>
      </c>
      <c r="K1430" s="87" t="str">
        <f t="shared" si="1084"/>
        <v>#DIV/0!</v>
      </c>
      <c r="L1430" s="94">
        <v>0.0</v>
      </c>
      <c r="M1430" s="94">
        <v>0.0</v>
      </c>
      <c r="N1430" s="85">
        <v>0.0</v>
      </c>
      <c r="O1430" s="110">
        <f t="shared" si="1085"/>
        <v>0</v>
      </c>
      <c r="P1430" s="94">
        <v>0.0</v>
      </c>
      <c r="Q1430" s="94">
        <v>0.0</v>
      </c>
      <c r="R1430" s="94">
        <v>0.0</v>
      </c>
      <c r="S1430" s="94">
        <v>0.0</v>
      </c>
      <c r="T1430" s="94">
        <v>0.0</v>
      </c>
      <c r="U1430" s="94">
        <v>0.0</v>
      </c>
      <c r="V1430" s="94">
        <v>0.0</v>
      </c>
      <c r="W1430" s="94">
        <v>0.0</v>
      </c>
      <c r="X1430" s="94">
        <v>0.0</v>
      </c>
      <c r="Y1430" s="94">
        <v>0.0</v>
      </c>
      <c r="Z1430" s="94">
        <v>0.0</v>
      </c>
      <c r="AA1430" s="94">
        <v>0.0</v>
      </c>
      <c r="AB1430" s="94">
        <v>0.0</v>
      </c>
      <c r="AC1430" s="94">
        <v>0.0</v>
      </c>
      <c r="AD1430" s="94">
        <v>0.0</v>
      </c>
      <c r="AE1430" s="94">
        <v>0.0</v>
      </c>
      <c r="AF1430" s="94">
        <v>0.0</v>
      </c>
      <c r="AG1430" s="94">
        <v>0.0</v>
      </c>
      <c r="AH1430" s="94">
        <v>0.0</v>
      </c>
    </row>
    <row r="1431" hidden="1">
      <c r="A1431" s="83" t="s">
        <v>49</v>
      </c>
      <c r="B1431" s="84" t="s">
        <v>202</v>
      </c>
      <c r="C1431" s="85">
        <v>1.0</v>
      </c>
      <c r="D1431" s="85">
        <v>1.0</v>
      </c>
      <c r="E1431" s="86">
        <v>29.0</v>
      </c>
      <c r="F1431" s="85">
        <v>5.0</v>
      </c>
      <c r="G1431" s="85">
        <v>57.0</v>
      </c>
      <c r="H1431" s="94">
        <v>0.0</v>
      </c>
      <c r="I1431" s="85">
        <v>81.0</v>
      </c>
      <c r="J1431" s="95">
        <f t="shared" si="1083"/>
        <v>-24</v>
      </c>
      <c r="K1431" s="87">
        <f t="shared" si="1084"/>
        <v>0.7037037037</v>
      </c>
      <c r="L1431" s="85">
        <v>18.0</v>
      </c>
      <c r="M1431" s="85">
        <v>78.0</v>
      </c>
      <c r="N1431" s="85">
        <v>1.0</v>
      </c>
      <c r="O1431" s="110">
        <f t="shared" si="1085"/>
        <v>29</v>
      </c>
      <c r="P1431" s="85">
        <v>5.0</v>
      </c>
      <c r="Q1431" s="85">
        <v>3.0</v>
      </c>
      <c r="R1431" s="85">
        <v>3.0</v>
      </c>
      <c r="S1431" s="85">
        <v>3.0</v>
      </c>
      <c r="T1431" s="85">
        <v>6.0</v>
      </c>
      <c r="U1431" s="94">
        <v>0.0</v>
      </c>
      <c r="V1431" s="94">
        <v>0.0</v>
      </c>
      <c r="W1431" s="94">
        <v>0.0</v>
      </c>
      <c r="X1431" s="94">
        <v>0.0</v>
      </c>
      <c r="Y1431" s="94">
        <v>0.0</v>
      </c>
      <c r="Z1431" s="94">
        <v>0.0</v>
      </c>
      <c r="AA1431" s="94">
        <v>0.0</v>
      </c>
      <c r="AB1431" s="94">
        <v>0.0</v>
      </c>
      <c r="AC1431" s="94">
        <v>0.0</v>
      </c>
      <c r="AD1431" s="94">
        <v>0.0</v>
      </c>
      <c r="AE1431" s="94">
        <v>0.0</v>
      </c>
      <c r="AF1431" s="94">
        <v>0.0</v>
      </c>
      <c r="AG1431" s="94">
        <v>0.0</v>
      </c>
      <c r="AH1431" s="94">
        <v>0.0</v>
      </c>
    </row>
    <row r="1432" hidden="1">
      <c r="A1432" s="83" t="s">
        <v>49</v>
      </c>
      <c r="B1432" s="93"/>
      <c r="C1432" s="94">
        <v>0.0</v>
      </c>
      <c r="D1432" s="94">
        <v>0.0</v>
      </c>
      <c r="E1432" s="96">
        <f>SUM(L1432*I1432)/60</f>
        <v>0</v>
      </c>
      <c r="F1432" s="94">
        <v>0.0</v>
      </c>
      <c r="G1432" s="94">
        <v>0.0</v>
      </c>
      <c r="H1432" s="94">
        <v>0.0</v>
      </c>
      <c r="I1432" s="94">
        <v>0.0</v>
      </c>
      <c r="J1432" s="95">
        <f t="shared" si="1083"/>
        <v>0</v>
      </c>
      <c r="K1432" s="87" t="str">
        <f t="shared" si="1084"/>
        <v>#DIV/0!</v>
      </c>
      <c r="L1432" s="94">
        <v>0.0</v>
      </c>
      <c r="M1432" s="94">
        <v>0.0</v>
      </c>
      <c r="N1432" s="85">
        <v>0.0</v>
      </c>
      <c r="O1432" s="110">
        <f t="shared" si="1085"/>
        <v>0</v>
      </c>
      <c r="P1432" s="94">
        <v>0.0</v>
      </c>
      <c r="Q1432" s="94">
        <v>0.0</v>
      </c>
      <c r="R1432" s="94">
        <v>0.0</v>
      </c>
      <c r="S1432" s="94">
        <v>0.0</v>
      </c>
      <c r="T1432" s="94">
        <v>0.0</v>
      </c>
      <c r="U1432" s="94">
        <v>0.0</v>
      </c>
      <c r="V1432" s="94">
        <v>0.0</v>
      </c>
      <c r="W1432" s="94">
        <v>0.0</v>
      </c>
      <c r="X1432" s="94">
        <v>0.0</v>
      </c>
      <c r="Y1432" s="94">
        <v>0.0</v>
      </c>
      <c r="Z1432" s="94">
        <v>0.0</v>
      </c>
      <c r="AA1432" s="94">
        <v>0.0</v>
      </c>
      <c r="AB1432" s="94">
        <v>0.0</v>
      </c>
      <c r="AC1432" s="94">
        <v>0.0</v>
      </c>
      <c r="AD1432" s="94">
        <v>0.0</v>
      </c>
      <c r="AE1432" s="94">
        <v>0.0</v>
      </c>
      <c r="AF1432" s="94">
        <v>0.0</v>
      </c>
      <c r="AG1432" s="94">
        <v>0.0</v>
      </c>
      <c r="AH1432" s="94">
        <v>0.0</v>
      </c>
    </row>
    <row r="1433" hidden="1">
      <c r="A1433" s="89"/>
      <c r="B1433" s="111"/>
      <c r="C1433" s="111">
        <f t="shared" ref="C1433:D1433" si="1086">SUM(C1427:C1432)/4</f>
        <v>1</v>
      </c>
      <c r="D1433" s="111">
        <f t="shared" si="1086"/>
        <v>1</v>
      </c>
      <c r="E1433" s="91">
        <f t="shared" ref="E1433:G1433" si="1087">SUM(E1427:E1432)</f>
        <v>116</v>
      </c>
      <c r="F1433" s="111">
        <f t="shared" si="1087"/>
        <v>5</v>
      </c>
      <c r="G1433" s="111">
        <f t="shared" si="1087"/>
        <v>312</v>
      </c>
      <c r="H1433" s="111"/>
      <c r="I1433" s="111">
        <f>SUM(I1427:I1432)</f>
        <v>336</v>
      </c>
      <c r="J1433" s="111">
        <f t="shared" si="1083"/>
        <v>-24</v>
      </c>
      <c r="K1433" s="92">
        <f t="shared" si="1084"/>
        <v>0.9285714286</v>
      </c>
      <c r="L1433" s="111">
        <f t="shared" ref="L1433:M1433" si="1088">SUM(L1427:L1432)</f>
        <v>70</v>
      </c>
      <c r="M1433" s="111">
        <f t="shared" si="1088"/>
        <v>397</v>
      </c>
      <c r="N1433" s="111"/>
      <c r="O1433" s="112"/>
      <c r="P1433" s="111">
        <f t="shared" ref="P1433:AH1433" si="1089">SUM(P1427:P1432)</f>
        <v>14</v>
      </c>
      <c r="Q1433" s="111">
        <f t="shared" si="1089"/>
        <v>12</v>
      </c>
      <c r="R1433" s="111">
        <f t="shared" si="1089"/>
        <v>21</v>
      </c>
      <c r="S1433" s="111">
        <f t="shared" si="1089"/>
        <v>10</v>
      </c>
      <c r="T1433" s="111">
        <f t="shared" si="1089"/>
        <v>41</v>
      </c>
      <c r="U1433" s="111">
        <f t="shared" si="1089"/>
        <v>8</v>
      </c>
      <c r="V1433" s="111">
        <f t="shared" si="1089"/>
        <v>0</v>
      </c>
      <c r="W1433" s="111">
        <f t="shared" si="1089"/>
        <v>0</v>
      </c>
      <c r="X1433" s="111">
        <f t="shared" si="1089"/>
        <v>0</v>
      </c>
      <c r="Y1433" s="111">
        <f t="shared" si="1089"/>
        <v>0</v>
      </c>
      <c r="Z1433" s="111">
        <f t="shared" si="1089"/>
        <v>0</v>
      </c>
      <c r="AA1433" s="111">
        <f t="shared" si="1089"/>
        <v>0</v>
      </c>
      <c r="AB1433" s="111">
        <f t="shared" si="1089"/>
        <v>0</v>
      </c>
      <c r="AC1433" s="111">
        <f t="shared" si="1089"/>
        <v>6</v>
      </c>
      <c r="AD1433" s="111">
        <f t="shared" si="1089"/>
        <v>0</v>
      </c>
      <c r="AE1433" s="111">
        <f t="shared" si="1089"/>
        <v>0</v>
      </c>
      <c r="AF1433" s="111">
        <f t="shared" si="1089"/>
        <v>0</v>
      </c>
      <c r="AG1433" s="111">
        <f t="shared" si="1089"/>
        <v>0</v>
      </c>
      <c r="AH1433" s="111">
        <f t="shared" si="1089"/>
        <v>0</v>
      </c>
    </row>
    <row r="1434" hidden="1">
      <c r="A1434" s="83" t="s">
        <v>40</v>
      </c>
      <c r="B1434" s="84" t="s">
        <v>216</v>
      </c>
      <c r="C1434" s="85">
        <v>1.0</v>
      </c>
      <c r="D1434" s="94">
        <v>0.0</v>
      </c>
      <c r="E1434" s="86">
        <v>29.0</v>
      </c>
      <c r="F1434" s="85">
        <v>3.0</v>
      </c>
      <c r="G1434" s="85">
        <v>49.0</v>
      </c>
      <c r="H1434" s="94">
        <v>0.0</v>
      </c>
      <c r="I1434" s="85">
        <v>52.0</v>
      </c>
      <c r="J1434" s="95">
        <f t="shared" si="1083"/>
        <v>-3</v>
      </c>
      <c r="K1434" s="87">
        <f t="shared" si="1084"/>
        <v>0.9423076923</v>
      </c>
      <c r="L1434" s="85">
        <v>30.0</v>
      </c>
      <c r="M1434" s="85">
        <v>60.0</v>
      </c>
      <c r="N1434" s="85">
        <v>1.0</v>
      </c>
      <c r="O1434" s="110">
        <f t="shared" ref="O1434:O1439" si="1090">(E1434*N1434)</f>
        <v>29</v>
      </c>
      <c r="P1434" s="85">
        <v>2.0</v>
      </c>
      <c r="Q1434" s="85">
        <v>4.0</v>
      </c>
      <c r="R1434" s="85">
        <v>4.0</v>
      </c>
      <c r="S1434" s="85">
        <v>1.0</v>
      </c>
      <c r="T1434" s="85">
        <v>7.0</v>
      </c>
      <c r="U1434" s="85">
        <v>1.0</v>
      </c>
      <c r="V1434" s="94">
        <v>0.0</v>
      </c>
      <c r="W1434" s="94">
        <v>0.0</v>
      </c>
      <c r="X1434" s="94">
        <v>0.0</v>
      </c>
      <c r="Y1434" s="94">
        <v>0.0</v>
      </c>
      <c r="Z1434" s="94">
        <v>0.0</v>
      </c>
      <c r="AA1434" s="94">
        <v>0.0</v>
      </c>
      <c r="AB1434" s="94">
        <v>0.0</v>
      </c>
      <c r="AC1434" s="94">
        <v>0.0</v>
      </c>
      <c r="AD1434" s="94">
        <v>0.0</v>
      </c>
      <c r="AE1434" s="94">
        <v>0.0</v>
      </c>
      <c r="AF1434" s="94">
        <v>0.0</v>
      </c>
      <c r="AG1434" s="94">
        <v>0.0</v>
      </c>
      <c r="AH1434" s="94">
        <v>0.0</v>
      </c>
    </row>
    <row r="1435" hidden="1">
      <c r="A1435" s="83" t="s">
        <v>40</v>
      </c>
      <c r="B1435" s="84" t="s">
        <v>217</v>
      </c>
      <c r="C1435" s="85">
        <v>1.0</v>
      </c>
      <c r="D1435" s="94">
        <v>0.0</v>
      </c>
      <c r="E1435" s="86">
        <v>29.0</v>
      </c>
      <c r="F1435" s="94">
        <v>0.0</v>
      </c>
      <c r="G1435" s="85">
        <v>92.0</v>
      </c>
      <c r="H1435" s="94">
        <v>0.0</v>
      </c>
      <c r="I1435" s="85">
        <v>87.0</v>
      </c>
      <c r="J1435" s="95">
        <f t="shared" si="1083"/>
        <v>5</v>
      </c>
      <c r="K1435" s="87">
        <f t="shared" si="1084"/>
        <v>1.057471264</v>
      </c>
      <c r="L1435" s="85">
        <v>17.0</v>
      </c>
      <c r="M1435" s="85">
        <v>121.0</v>
      </c>
      <c r="N1435" s="85">
        <v>1.0</v>
      </c>
      <c r="O1435" s="110">
        <f t="shared" si="1090"/>
        <v>29</v>
      </c>
      <c r="P1435" s="85">
        <v>2.0</v>
      </c>
      <c r="Q1435" s="85">
        <v>1.0</v>
      </c>
      <c r="R1435" s="85">
        <v>13.0</v>
      </c>
      <c r="S1435" s="94">
        <v>0.0</v>
      </c>
      <c r="T1435" s="85">
        <v>12.0</v>
      </c>
      <c r="U1435" s="85">
        <v>2.0</v>
      </c>
      <c r="V1435" s="94">
        <v>0.0</v>
      </c>
      <c r="W1435" s="94">
        <v>0.0</v>
      </c>
      <c r="X1435" s="94">
        <v>0.0</v>
      </c>
      <c r="Y1435" s="94">
        <v>0.0</v>
      </c>
      <c r="Z1435" s="94">
        <v>0.0</v>
      </c>
      <c r="AA1435" s="94">
        <v>0.0</v>
      </c>
      <c r="AB1435" s="94">
        <v>0.0</v>
      </c>
      <c r="AC1435" s="85">
        <v>3.0</v>
      </c>
      <c r="AD1435" s="94">
        <v>0.0</v>
      </c>
      <c r="AE1435" s="94">
        <v>0.0</v>
      </c>
      <c r="AF1435" s="94">
        <v>0.0</v>
      </c>
      <c r="AG1435" s="94">
        <v>0.0</v>
      </c>
      <c r="AH1435" s="94">
        <v>0.0</v>
      </c>
    </row>
    <row r="1436" hidden="1">
      <c r="A1436" s="83" t="s">
        <v>40</v>
      </c>
      <c r="B1436" s="84" t="s">
        <v>218</v>
      </c>
      <c r="C1436" s="85">
        <v>1.0</v>
      </c>
      <c r="D1436" s="94">
        <v>0.0</v>
      </c>
      <c r="E1436" s="86">
        <v>29.0</v>
      </c>
      <c r="F1436" s="94">
        <v>0.0</v>
      </c>
      <c r="G1436" s="85">
        <v>89.0</v>
      </c>
      <c r="H1436" s="94">
        <v>0.0</v>
      </c>
      <c r="I1436" s="85">
        <v>79.0</v>
      </c>
      <c r="J1436" s="95">
        <f t="shared" si="1083"/>
        <v>10</v>
      </c>
      <c r="K1436" s="87">
        <f t="shared" si="1084"/>
        <v>1.126582278</v>
      </c>
      <c r="L1436" s="85">
        <v>19.0</v>
      </c>
      <c r="M1436" s="85">
        <v>111.0</v>
      </c>
      <c r="N1436" s="85">
        <v>1.0</v>
      </c>
      <c r="O1436" s="110">
        <f t="shared" si="1090"/>
        <v>29</v>
      </c>
      <c r="P1436" s="85">
        <v>5.0</v>
      </c>
      <c r="Q1436" s="85">
        <v>2.0</v>
      </c>
      <c r="R1436" s="85">
        <v>10.0</v>
      </c>
      <c r="S1436" s="85">
        <v>2.0</v>
      </c>
      <c r="T1436" s="85">
        <v>7.0</v>
      </c>
      <c r="U1436" s="94">
        <v>0.0</v>
      </c>
      <c r="V1436" s="94">
        <v>0.0</v>
      </c>
      <c r="W1436" s="94">
        <v>0.0</v>
      </c>
      <c r="X1436" s="94">
        <v>0.0</v>
      </c>
      <c r="Y1436" s="94">
        <v>0.0</v>
      </c>
      <c r="Z1436" s="94">
        <v>0.0</v>
      </c>
      <c r="AA1436" s="94">
        <v>0.0</v>
      </c>
      <c r="AB1436" s="94">
        <v>0.0</v>
      </c>
      <c r="AC1436" s="85">
        <v>4.0</v>
      </c>
      <c r="AD1436" s="94">
        <v>0.0</v>
      </c>
      <c r="AE1436" s="94">
        <v>0.0</v>
      </c>
      <c r="AF1436" s="94">
        <v>0.0</v>
      </c>
      <c r="AG1436" s="94">
        <v>0.0</v>
      </c>
      <c r="AH1436" s="94">
        <v>0.0</v>
      </c>
    </row>
    <row r="1437" hidden="1">
      <c r="A1437" s="83" t="s">
        <v>40</v>
      </c>
      <c r="B1437" s="84" t="s">
        <v>219</v>
      </c>
      <c r="C1437" s="94">
        <v>0.0</v>
      </c>
      <c r="D1437" s="94">
        <v>0.0</v>
      </c>
      <c r="E1437" s="96">
        <f>SUM(L1437*I1437)/60</f>
        <v>0</v>
      </c>
      <c r="F1437" s="94">
        <v>0.0</v>
      </c>
      <c r="G1437" s="94">
        <v>0.0</v>
      </c>
      <c r="H1437" s="94">
        <v>0.0</v>
      </c>
      <c r="I1437" s="94">
        <v>0.0</v>
      </c>
      <c r="J1437" s="95">
        <f t="shared" si="1083"/>
        <v>0</v>
      </c>
      <c r="K1437" s="87" t="str">
        <f t="shared" si="1084"/>
        <v>#DIV/0!</v>
      </c>
      <c r="L1437" s="94">
        <v>0.0</v>
      </c>
      <c r="M1437" s="94">
        <v>0.0</v>
      </c>
      <c r="N1437" s="85">
        <v>0.0</v>
      </c>
      <c r="O1437" s="110">
        <f t="shared" si="1090"/>
        <v>0</v>
      </c>
      <c r="P1437" s="94">
        <v>0.0</v>
      </c>
      <c r="Q1437" s="94">
        <v>0.0</v>
      </c>
      <c r="R1437" s="94">
        <v>0.0</v>
      </c>
      <c r="S1437" s="94">
        <v>0.0</v>
      </c>
      <c r="T1437" s="94">
        <v>0.0</v>
      </c>
      <c r="U1437" s="94">
        <v>0.0</v>
      </c>
      <c r="V1437" s="94">
        <v>0.0</v>
      </c>
      <c r="W1437" s="94">
        <v>0.0</v>
      </c>
      <c r="X1437" s="94">
        <v>0.0</v>
      </c>
      <c r="Y1437" s="94">
        <v>0.0</v>
      </c>
      <c r="Z1437" s="94">
        <v>0.0</v>
      </c>
      <c r="AA1437" s="94">
        <v>0.0</v>
      </c>
      <c r="AB1437" s="94">
        <v>0.0</v>
      </c>
      <c r="AC1437" s="94">
        <v>0.0</v>
      </c>
      <c r="AD1437" s="94">
        <v>0.0</v>
      </c>
      <c r="AE1437" s="94">
        <v>0.0</v>
      </c>
      <c r="AF1437" s="94">
        <v>0.0</v>
      </c>
      <c r="AG1437" s="94">
        <v>0.0</v>
      </c>
      <c r="AH1437" s="94">
        <v>0.0</v>
      </c>
    </row>
    <row r="1438" hidden="1">
      <c r="A1438" s="83" t="s">
        <v>40</v>
      </c>
      <c r="B1438" s="84" t="s">
        <v>220</v>
      </c>
      <c r="C1438" s="85">
        <v>1.0</v>
      </c>
      <c r="D1438" s="94">
        <v>0.0</v>
      </c>
      <c r="E1438" s="86">
        <v>29.0</v>
      </c>
      <c r="F1438" s="94">
        <v>0.0</v>
      </c>
      <c r="G1438" s="85">
        <v>103.0</v>
      </c>
      <c r="H1438" s="94">
        <v>0.0</v>
      </c>
      <c r="I1438" s="85">
        <v>107.0</v>
      </c>
      <c r="J1438" s="95">
        <f t="shared" si="1083"/>
        <v>-4</v>
      </c>
      <c r="K1438" s="87">
        <f t="shared" si="1084"/>
        <v>0.9626168224</v>
      </c>
      <c r="L1438" s="85">
        <v>13.0</v>
      </c>
      <c r="M1438" s="85">
        <v>127.0</v>
      </c>
      <c r="N1438" s="85">
        <v>1.0</v>
      </c>
      <c r="O1438" s="110">
        <f t="shared" si="1090"/>
        <v>29</v>
      </c>
      <c r="P1438" s="85">
        <v>3.0</v>
      </c>
      <c r="Q1438" s="85">
        <v>3.0</v>
      </c>
      <c r="R1438" s="85">
        <v>8.0</v>
      </c>
      <c r="S1438" s="85">
        <v>2.0</v>
      </c>
      <c r="T1438" s="85">
        <v>10.0</v>
      </c>
      <c r="U1438" s="85">
        <v>3.0</v>
      </c>
      <c r="V1438" s="85">
        <v>1.0</v>
      </c>
      <c r="W1438" s="94">
        <v>0.0</v>
      </c>
      <c r="X1438" s="94">
        <v>0.0</v>
      </c>
      <c r="Y1438" s="94">
        <v>0.0</v>
      </c>
      <c r="Z1438" s="94">
        <v>0.0</v>
      </c>
      <c r="AA1438" s="94">
        <v>0.0</v>
      </c>
      <c r="AB1438" s="94">
        <v>0.0</v>
      </c>
      <c r="AC1438" s="85">
        <v>3.0</v>
      </c>
      <c r="AD1438" s="94">
        <v>0.0</v>
      </c>
      <c r="AE1438" s="94">
        <v>0.0</v>
      </c>
      <c r="AF1438" s="94">
        <v>0.0</v>
      </c>
      <c r="AG1438" s="94">
        <v>0.0</v>
      </c>
      <c r="AH1438" s="94">
        <v>0.0</v>
      </c>
    </row>
    <row r="1439" hidden="1">
      <c r="A1439" s="83" t="s">
        <v>214</v>
      </c>
      <c r="B1439" s="84" t="s">
        <v>189</v>
      </c>
      <c r="C1439" s="94">
        <v>0.0</v>
      </c>
      <c r="D1439" s="94">
        <v>0.0</v>
      </c>
      <c r="E1439" s="96">
        <f>SUM(L1439*I1439)/60</f>
        <v>0</v>
      </c>
      <c r="F1439" s="94">
        <v>0.0</v>
      </c>
      <c r="G1439" s="94">
        <v>0.0</v>
      </c>
      <c r="H1439" s="94">
        <v>0.0</v>
      </c>
      <c r="I1439" s="94">
        <v>0.0</v>
      </c>
      <c r="J1439" s="95">
        <f t="shared" si="1083"/>
        <v>0</v>
      </c>
      <c r="K1439" s="87" t="str">
        <f t="shared" si="1084"/>
        <v>#DIV/0!</v>
      </c>
      <c r="L1439" s="94">
        <v>0.0</v>
      </c>
      <c r="M1439" s="94">
        <v>0.0</v>
      </c>
      <c r="N1439" s="85">
        <v>0.0</v>
      </c>
      <c r="O1439" s="110">
        <f t="shared" si="1090"/>
        <v>0</v>
      </c>
      <c r="P1439" s="94">
        <v>0.0</v>
      </c>
      <c r="Q1439" s="94">
        <v>0.0</v>
      </c>
      <c r="R1439" s="94">
        <v>0.0</v>
      </c>
      <c r="S1439" s="94">
        <v>0.0</v>
      </c>
      <c r="T1439" s="94">
        <v>0.0</v>
      </c>
      <c r="U1439" s="94">
        <v>0.0</v>
      </c>
      <c r="V1439" s="94">
        <v>0.0</v>
      </c>
      <c r="W1439" s="94">
        <v>0.0</v>
      </c>
      <c r="X1439" s="94">
        <v>0.0</v>
      </c>
      <c r="Y1439" s="94">
        <v>0.0</v>
      </c>
      <c r="Z1439" s="94">
        <v>0.0</v>
      </c>
      <c r="AA1439" s="94">
        <v>0.0</v>
      </c>
      <c r="AB1439" s="94">
        <v>0.0</v>
      </c>
      <c r="AC1439" s="94">
        <v>0.0</v>
      </c>
      <c r="AD1439" s="94">
        <v>0.0</v>
      </c>
      <c r="AE1439" s="94">
        <v>0.0</v>
      </c>
      <c r="AF1439" s="94">
        <v>0.0</v>
      </c>
      <c r="AG1439" s="94">
        <v>0.0</v>
      </c>
      <c r="AH1439" s="94">
        <v>0.0</v>
      </c>
    </row>
    <row r="1440" hidden="1">
      <c r="A1440" s="89" t="s">
        <v>185</v>
      </c>
      <c r="B1440" s="111"/>
      <c r="C1440" s="111">
        <f>SUM(C1434:C1439)</f>
        <v>4</v>
      </c>
      <c r="D1440" s="111">
        <f t="shared" ref="D1440:E1440" si="1091">SUM(D1434:D1439)/4</f>
        <v>0</v>
      </c>
      <c r="E1440" s="91">
        <f t="shared" si="1091"/>
        <v>29</v>
      </c>
      <c r="F1440" s="111">
        <f t="shared" ref="F1440:G1440" si="1092">SUM(F1434:F1439)</f>
        <v>3</v>
      </c>
      <c r="G1440" s="111">
        <f t="shared" si="1092"/>
        <v>333</v>
      </c>
      <c r="H1440" s="111"/>
      <c r="I1440" s="111">
        <f>SUM(I1434:I1439)</f>
        <v>325</v>
      </c>
      <c r="J1440" s="111">
        <f t="shared" si="1083"/>
        <v>8</v>
      </c>
      <c r="K1440" s="92">
        <f t="shared" si="1084"/>
        <v>1.024615385</v>
      </c>
      <c r="L1440" s="111">
        <f t="shared" ref="L1440:M1440" si="1093">SUM(L1434:L1439)</f>
        <v>79</v>
      </c>
      <c r="M1440" s="111">
        <f t="shared" si="1093"/>
        <v>419</v>
      </c>
      <c r="N1440" s="111"/>
      <c r="O1440" s="112"/>
      <c r="P1440" s="111">
        <f t="shared" ref="P1440:AH1440" si="1094">SUM(P1434:P1439)</f>
        <v>12</v>
      </c>
      <c r="Q1440" s="111">
        <f t="shared" si="1094"/>
        <v>10</v>
      </c>
      <c r="R1440" s="111">
        <f t="shared" si="1094"/>
        <v>35</v>
      </c>
      <c r="S1440" s="111">
        <f t="shared" si="1094"/>
        <v>5</v>
      </c>
      <c r="T1440" s="111">
        <f t="shared" si="1094"/>
        <v>36</v>
      </c>
      <c r="U1440" s="111">
        <f t="shared" si="1094"/>
        <v>6</v>
      </c>
      <c r="V1440" s="111">
        <f t="shared" si="1094"/>
        <v>1</v>
      </c>
      <c r="W1440" s="111">
        <f t="shared" si="1094"/>
        <v>0</v>
      </c>
      <c r="X1440" s="111">
        <f t="shared" si="1094"/>
        <v>0</v>
      </c>
      <c r="Y1440" s="111">
        <f t="shared" si="1094"/>
        <v>0</v>
      </c>
      <c r="Z1440" s="111">
        <f t="shared" si="1094"/>
        <v>0</v>
      </c>
      <c r="AA1440" s="111">
        <f t="shared" si="1094"/>
        <v>0</v>
      </c>
      <c r="AB1440" s="111">
        <f t="shared" si="1094"/>
        <v>0</v>
      </c>
      <c r="AC1440" s="111">
        <f t="shared" si="1094"/>
        <v>10</v>
      </c>
      <c r="AD1440" s="111">
        <f t="shared" si="1094"/>
        <v>0</v>
      </c>
      <c r="AE1440" s="111">
        <f t="shared" si="1094"/>
        <v>0</v>
      </c>
      <c r="AF1440" s="111">
        <f t="shared" si="1094"/>
        <v>0</v>
      </c>
      <c r="AG1440" s="111">
        <f t="shared" si="1094"/>
        <v>0</v>
      </c>
      <c r="AH1440" s="111">
        <f t="shared" si="1094"/>
        <v>0</v>
      </c>
    </row>
    <row r="1441">
      <c r="A1441" s="115" t="s">
        <v>336</v>
      </c>
    </row>
    <row r="1443" hidden="1">
      <c r="A1443" s="105"/>
      <c r="F1443" s="106" t="s">
        <v>251</v>
      </c>
      <c r="L1443" s="107" t="s">
        <v>252</v>
      </c>
      <c r="N1443" s="108" t="s">
        <v>253</v>
      </c>
    </row>
    <row r="1444" hidden="1">
      <c r="A1444" s="76" t="s">
        <v>148</v>
      </c>
      <c r="B1444" s="76" t="s">
        <v>149</v>
      </c>
      <c r="C1444" s="76" t="s">
        <v>150</v>
      </c>
      <c r="D1444" s="76" t="s">
        <v>13</v>
      </c>
      <c r="E1444" s="77" t="s">
        <v>151</v>
      </c>
      <c r="F1444" s="78" t="s">
        <v>15</v>
      </c>
      <c r="G1444" s="78" t="s">
        <v>152</v>
      </c>
      <c r="H1444" s="78" t="s">
        <v>153</v>
      </c>
      <c r="I1444" s="78" t="s">
        <v>154</v>
      </c>
      <c r="J1444" s="78" t="s">
        <v>155</v>
      </c>
      <c r="K1444" s="79" t="s">
        <v>156</v>
      </c>
      <c r="L1444" s="80" t="s">
        <v>157</v>
      </c>
      <c r="M1444" s="80" t="s">
        <v>158</v>
      </c>
      <c r="N1444" s="81" t="s">
        <v>254</v>
      </c>
      <c r="O1444" s="81" t="s">
        <v>151</v>
      </c>
      <c r="P1444" s="81" t="s">
        <v>160</v>
      </c>
      <c r="Q1444" s="81" t="s">
        <v>161</v>
      </c>
      <c r="R1444" s="81" t="s">
        <v>162</v>
      </c>
      <c r="S1444" s="81" t="s">
        <v>163</v>
      </c>
      <c r="T1444" s="81" t="s">
        <v>164</v>
      </c>
      <c r="U1444" s="81" t="s">
        <v>165</v>
      </c>
      <c r="V1444" s="81" t="s">
        <v>166</v>
      </c>
      <c r="W1444" s="81" t="s">
        <v>167</v>
      </c>
      <c r="X1444" s="81" t="s">
        <v>168</v>
      </c>
      <c r="Y1444" s="81" t="s">
        <v>169</v>
      </c>
      <c r="Z1444" s="81" t="s">
        <v>170</v>
      </c>
      <c r="AA1444" s="81" t="s">
        <v>171</v>
      </c>
      <c r="AB1444" s="81" t="s">
        <v>172</v>
      </c>
      <c r="AC1444" s="81" t="s">
        <v>173</v>
      </c>
      <c r="AD1444" s="81" t="s">
        <v>174</v>
      </c>
      <c r="AE1444" s="81" t="s">
        <v>175</v>
      </c>
      <c r="AF1444" s="81" t="s">
        <v>176</v>
      </c>
      <c r="AG1444" s="81" t="s">
        <v>177</v>
      </c>
      <c r="AH1444" s="81" t="s">
        <v>178</v>
      </c>
    </row>
    <row r="1445" hidden="1">
      <c r="A1445" s="83" t="s">
        <v>49</v>
      </c>
      <c r="B1445" s="84" t="s">
        <v>198</v>
      </c>
      <c r="C1445" s="85">
        <v>1.0</v>
      </c>
      <c r="D1445" s="85">
        <v>1.0</v>
      </c>
      <c r="E1445" s="86">
        <v>70.0</v>
      </c>
      <c r="F1445" s="94">
        <v>0.0</v>
      </c>
      <c r="G1445" s="85">
        <v>219.0</v>
      </c>
      <c r="H1445" s="85">
        <v>2.0</v>
      </c>
      <c r="I1445" s="85">
        <v>188.0</v>
      </c>
      <c r="J1445" s="95">
        <f t="shared" ref="J1445:J1458" si="1095">SUM(G1445-I1445)</f>
        <v>31</v>
      </c>
      <c r="K1445" s="87">
        <f t="shared" ref="K1445:K1458" si="1096">SUM(G1445/I1445)</f>
        <v>1.164893617</v>
      </c>
      <c r="L1445" s="85">
        <v>19.0</v>
      </c>
      <c r="M1445" s="85">
        <v>279.0</v>
      </c>
      <c r="N1445" s="85">
        <v>1.0</v>
      </c>
      <c r="O1445" s="110">
        <f t="shared" ref="O1445:O1450" si="1097">(E1445*N1445)</f>
        <v>70</v>
      </c>
      <c r="P1445" s="85">
        <v>3.0</v>
      </c>
      <c r="Q1445" s="85">
        <v>4.0</v>
      </c>
      <c r="R1445" s="85">
        <v>22.0</v>
      </c>
      <c r="S1445" s="85">
        <v>4.0</v>
      </c>
      <c r="T1445" s="85">
        <v>22.0</v>
      </c>
      <c r="U1445" s="85">
        <v>3.0</v>
      </c>
      <c r="V1445" s="85">
        <v>2.0</v>
      </c>
      <c r="W1445" s="85">
        <v>1.0</v>
      </c>
      <c r="X1445" s="85">
        <v>1.0</v>
      </c>
      <c r="Y1445" s="94">
        <v>0.0</v>
      </c>
      <c r="Z1445" s="94">
        <v>0.0</v>
      </c>
      <c r="AA1445" s="94">
        <v>0.0</v>
      </c>
      <c r="AB1445" s="94">
        <v>0.0</v>
      </c>
      <c r="AC1445" s="85">
        <v>7.0</v>
      </c>
      <c r="AD1445" s="85">
        <v>1.0</v>
      </c>
      <c r="AE1445" s="94">
        <v>0.0</v>
      </c>
      <c r="AF1445" s="94">
        <v>0.0</v>
      </c>
      <c r="AG1445" s="94">
        <v>0.0</v>
      </c>
      <c r="AH1445" s="94">
        <v>0.0</v>
      </c>
    </row>
    <row r="1446" hidden="1">
      <c r="A1446" s="83" t="s">
        <v>49</v>
      </c>
      <c r="B1446" s="84" t="s">
        <v>199</v>
      </c>
      <c r="C1446" s="85">
        <v>1.0</v>
      </c>
      <c r="D1446" s="85">
        <v>1.0</v>
      </c>
      <c r="E1446" s="86">
        <v>70.0</v>
      </c>
      <c r="F1446" s="94">
        <v>0.0</v>
      </c>
      <c r="G1446" s="85">
        <v>215.0</v>
      </c>
      <c r="H1446" s="85">
        <v>0.0</v>
      </c>
      <c r="I1446" s="85">
        <v>178.0</v>
      </c>
      <c r="J1446" s="95">
        <f t="shared" si="1095"/>
        <v>37</v>
      </c>
      <c r="K1446" s="87">
        <f t="shared" si="1096"/>
        <v>1.207865169</v>
      </c>
      <c r="L1446" s="85">
        <v>20.0</v>
      </c>
      <c r="M1446" s="85">
        <v>261.0</v>
      </c>
      <c r="N1446" s="85">
        <v>1.0</v>
      </c>
      <c r="O1446" s="110">
        <f t="shared" si="1097"/>
        <v>70</v>
      </c>
      <c r="P1446" s="85">
        <v>8.0</v>
      </c>
      <c r="Q1446" s="85">
        <v>10.0</v>
      </c>
      <c r="R1446" s="85">
        <v>14.0</v>
      </c>
      <c r="S1446" s="85">
        <v>3.0</v>
      </c>
      <c r="T1446" s="85">
        <v>23.0</v>
      </c>
      <c r="U1446" s="85">
        <v>5.0</v>
      </c>
      <c r="V1446" s="94">
        <v>0.0</v>
      </c>
      <c r="W1446" s="94">
        <v>0.0</v>
      </c>
      <c r="X1446" s="94">
        <v>0.0</v>
      </c>
      <c r="Y1446" s="94">
        <v>0.0</v>
      </c>
      <c r="Z1446" s="94">
        <v>0.0</v>
      </c>
      <c r="AA1446" s="94">
        <v>0.0</v>
      </c>
      <c r="AB1446" s="94">
        <v>0.0</v>
      </c>
      <c r="AC1446" s="85">
        <v>6.0</v>
      </c>
      <c r="AD1446" s="94">
        <v>0.0</v>
      </c>
      <c r="AE1446" s="94">
        <v>0.0</v>
      </c>
      <c r="AF1446" s="94">
        <v>0.0</v>
      </c>
      <c r="AG1446" s="94">
        <v>0.0</v>
      </c>
      <c r="AH1446" s="94">
        <v>0.0</v>
      </c>
    </row>
    <row r="1447" hidden="1">
      <c r="A1447" s="83" t="s">
        <v>49</v>
      </c>
      <c r="B1447" s="84" t="s">
        <v>200</v>
      </c>
      <c r="C1447" s="85">
        <v>1.0</v>
      </c>
      <c r="D1447" s="85">
        <v>1.0</v>
      </c>
      <c r="E1447" s="86">
        <v>70.0</v>
      </c>
      <c r="F1447" s="94">
        <v>0.0</v>
      </c>
      <c r="G1447" s="85">
        <v>230.0</v>
      </c>
      <c r="H1447" s="94">
        <v>0.0</v>
      </c>
      <c r="I1447" s="85">
        <v>227.0</v>
      </c>
      <c r="J1447" s="95">
        <f t="shared" si="1095"/>
        <v>3</v>
      </c>
      <c r="K1447" s="87">
        <f t="shared" si="1096"/>
        <v>1.013215859</v>
      </c>
      <c r="L1447" s="85">
        <v>15.0</v>
      </c>
      <c r="M1447" s="85">
        <v>300.0</v>
      </c>
      <c r="N1447" s="85">
        <v>1.0</v>
      </c>
      <c r="O1447" s="110">
        <f t="shared" si="1097"/>
        <v>70</v>
      </c>
      <c r="P1447" s="85">
        <v>12.0</v>
      </c>
      <c r="Q1447" s="85">
        <v>7.0</v>
      </c>
      <c r="R1447" s="85">
        <v>10.0</v>
      </c>
      <c r="S1447" s="85">
        <v>5.0</v>
      </c>
      <c r="T1447" s="85">
        <v>34.0</v>
      </c>
      <c r="U1447" s="85">
        <v>6.0</v>
      </c>
      <c r="V1447" s="94">
        <v>0.0</v>
      </c>
      <c r="W1447" s="94">
        <v>0.0</v>
      </c>
      <c r="X1447" s="94">
        <v>0.0</v>
      </c>
      <c r="Y1447" s="94">
        <v>0.0</v>
      </c>
      <c r="Z1447" s="94">
        <v>0.0</v>
      </c>
      <c r="AA1447" s="94">
        <v>0.0</v>
      </c>
      <c r="AB1447" s="94">
        <v>0.0</v>
      </c>
      <c r="AC1447" s="85">
        <v>4.0</v>
      </c>
      <c r="AD1447" s="94">
        <v>0.0</v>
      </c>
      <c r="AE1447" s="94">
        <v>0.0</v>
      </c>
      <c r="AF1447" s="94">
        <v>0.0</v>
      </c>
      <c r="AG1447" s="94">
        <v>0.0</v>
      </c>
      <c r="AH1447" s="85">
        <v>1.0</v>
      </c>
    </row>
    <row r="1448" hidden="1">
      <c r="A1448" s="83" t="s">
        <v>49</v>
      </c>
      <c r="B1448" s="84" t="s">
        <v>201</v>
      </c>
      <c r="C1448" s="94">
        <v>0.0</v>
      </c>
      <c r="D1448" s="94">
        <v>0.0</v>
      </c>
      <c r="E1448" s="96">
        <f>SUM(L1448*I1448)/60</f>
        <v>0</v>
      </c>
      <c r="F1448" s="94">
        <v>0.0</v>
      </c>
      <c r="G1448" s="94">
        <v>0.0</v>
      </c>
      <c r="H1448" s="94">
        <v>0.0</v>
      </c>
      <c r="I1448" s="94">
        <v>0.0</v>
      </c>
      <c r="J1448" s="95">
        <f t="shared" si="1095"/>
        <v>0</v>
      </c>
      <c r="K1448" s="87" t="str">
        <f t="shared" si="1096"/>
        <v>#DIV/0!</v>
      </c>
      <c r="L1448" s="94">
        <v>0.0</v>
      </c>
      <c r="M1448" s="94">
        <v>0.0</v>
      </c>
      <c r="N1448" s="85">
        <v>0.0</v>
      </c>
      <c r="O1448" s="110">
        <f t="shared" si="1097"/>
        <v>0</v>
      </c>
      <c r="P1448" s="94">
        <v>0.0</v>
      </c>
      <c r="Q1448" s="94">
        <v>0.0</v>
      </c>
      <c r="R1448" s="94">
        <v>0.0</v>
      </c>
      <c r="S1448" s="94">
        <v>0.0</v>
      </c>
      <c r="T1448" s="94">
        <v>0.0</v>
      </c>
      <c r="U1448" s="94">
        <v>0.0</v>
      </c>
      <c r="V1448" s="94">
        <v>0.0</v>
      </c>
      <c r="W1448" s="94">
        <v>0.0</v>
      </c>
      <c r="X1448" s="94">
        <v>0.0</v>
      </c>
      <c r="Y1448" s="94">
        <v>0.0</v>
      </c>
      <c r="Z1448" s="94">
        <v>0.0</v>
      </c>
      <c r="AA1448" s="94">
        <v>0.0</v>
      </c>
      <c r="AB1448" s="94">
        <v>0.0</v>
      </c>
      <c r="AC1448" s="94">
        <v>0.0</v>
      </c>
      <c r="AD1448" s="94">
        <v>0.0</v>
      </c>
      <c r="AE1448" s="94">
        <v>0.0</v>
      </c>
      <c r="AF1448" s="94">
        <v>0.0</v>
      </c>
      <c r="AG1448" s="94">
        <v>0.0</v>
      </c>
      <c r="AH1448" s="94">
        <v>0.0</v>
      </c>
    </row>
    <row r="1449" hidden="1">
      <c r="A1449" s="83" t="s">
        <v>49</v>
      </c>
      <c r="B1449" s="84" t="s">
        <v>202</v>
      </c>
      <c r="C1449" s="85">
        <v>1.0</v>
      </c>
      <c r="D1449" s="85">
        <v>1.0</v>
      </c>
      <c r="E1449" s="86">
        <v>70.0</v>
      </c>
      <c r="F1449" s="85">
        <v>5.0</v>
      </c>
      <c r="G1449" s="85">
        <v>121.0</v>
      </c>
      <c r="H1449" s="85">
        <v>1.0</v>
      </c>
      <c r="I1449" s="85">
        <v>170.0</v>
      </c>
      <c r="J1449" s="95">
        <f t="shared" si="1095"/>
        <v>-49</v>
      </c>
      <c r="K1449" s="87">
        <f t="shared" si="1096"/>
        <v>0.7117647059</v>
      </c>
      <c r="L1449" s="85">
        <v>21.0</v>
      </c>
      <c r="M1449" s="85">
        <v>165.0</v>
      </c>
      <c r="N1449" s="85">
        <v>1.0</v>
      </c>
      <c r="O1449" s="110">
        <f t="shared" si="1097"/>
        <v>70</v>
      </c>
      <c r="P1449" s="85">
        <v>8.0</v>
      </c>
      <c r="Q1449" s="94">
        <v>0.0</v>
      </c>
      <c r="R1449" s="85">
        <v>10.0</v>
      </c>
      <c r="S1449" s="85">
        <v>2.0</v>
      </c>
      <c r="T1449" s="85">
        <v>15.0</v>
      </c>
      <c r="U1449" s="85">
        <v>1.0</v>
      </c>
      <c r="V1449" s="85">
        <v>1.0</v>
      </c>
      <c r="W1449" s="94">
        <v>0.0</v>
      </c>
      <c r="X1449" s="94">
        <v>0.0</v>
      </c>
      <c r="Y1449" s="94">
        <v>0.0</v>
      </c>
      <c r="Z1449" s="94">
        <v>0.0</v>
      </c>
      <c r="AA1449" s="94">
        <v>0.0</v>
      </c>
      <c r="AB1449" s="94">
        <v>0.0</v>
      </c>
      <c r="AC1449" s="85">
        <v>3.0</v>
      </c>
      <c r="AD1449" s="94">
        <v>0.0</v>
      </c>
      <c r="AE1449" s="94">
        <v>0.0</v>
      </c>
      <c r="AF1449" s="94">
        <v>0.0</v>
      </c>
      <c r="AG1449" s="94">
        <v>0.0</v>
      </c>
      <c r="AH1449" s="94">
        <v>0.0</v>
      </c>
    </row>
    <row r="1450" hidden="1">
      <c r="A1450" s="83" t="s">
        <v>49</v>
      </c>
      <c r="B1450" s="93"/>
      <c r="C1450" s="94">
        <v>0.0</v>
      </c>
      <c r="D1450" s="94">
        <v>0.0</v>
      </c>
      <c r="E1450" s="96">
        <f>SUM(L1450*I1450)/60</f>
        <v>0</v>
      </c>
      <c r="F1450" s="94">
        <v>0.0</v>
      </c>
      <c r="G1450" s="94">
        <v>0.0</v>
      </c>
      <c r="H1450" s="94">
        <v>0.0</v>
      </c>
      <c r="I1450" s="94">
        <v>0.0</v>
      </c>
      <c r="J1450" s="95">
        <f t="shared" si="1095"/>
        <v>0</v>
      </c>
      <c r="K1450" s="87" t="str">
        <f t="shared" si="1096"/>
        <v>#DIV/0!</v>
      </c>
      <c r="L1450" s="94">
        <v>0.0</v>
      </c>
      <c r="M1450" s="94">
        <v>0.0</v>
      </c>
      <c r="N1450" s="85">
        <v>0.0</v>
      </c>
      <c r="O1450" s="110">
        <f t="shared" si="1097"/>
        <v>0</v>
      </c>
      <c r="P1450" s="94">
        <v>0.0</v>
      </c>
      <c r="Q1450" s="94">
        <v>0.0</v>
      </c>
      <c r="R1450" s="94">
        <v>0.0</v>
      </c>
      <c r="S1450" s="94">
        <v>0.0</v>
      </c>
      <c r="T1450" s="94">
        <v>0.0</v>
      </c>
      <c r="U1450" s="94">
        <v>0.0</v>
      </c>
      <c r="V1450" s="94">
        <v>0.0</v>
      </c>
      <c r="W1450" s="94">
        <v>0.0</v>
      </c>
      <c r="X1450" s="94">
        <v>0.0</v>
      </c>
      <c r="Y1450" s="94">
        <v>0.0</v>
      </c>
      <c r="Z1450" s="94">
        <v>0.0</v>
      </c>
      <c r="AA1450" s="94">
        <v>0.0</v>
      </c>
      <c r="AB1450" s="94">
        <v>0.0</v>
      </c>
      <c r="AC1450" s="94">
        <v>0.0</v>
      </c>
      <c r="AD1450" s="94">
        <v>0.0</v>
      </c>
      <c r="AE1450" s="94">
        <v>0.0</v>
      </c>
      <c r="AF1450" s="94">
        <v>0.0</v>
      </c>
      <c r="AG1450" s="94">
        <v>0.0</v>
      </c>
      <c r="AH1450" s="94">
        <v>0.0</v>
      </c>
    </row>
    <row r="1451" hidden="1">
      <c r="A1451" s="89"/>
      <c r="B1451" s="111"/>
      <c r="C1451" s="111">
        <f t="shared" ref="C1451:D1451" si="1098">SUM(C1445:C1450)/4</f>
        <v>1</v>
      </c>
      <c r="D1451" s="111">
        <f t="shared" si="1098"/>
        <v>1</v>
      </c>
      <c r="E1451" s="91">
        <f t="shared" ref="E1451:G1451" si="1099">SUM(E1445:E1450)</f>
        <v>280</v>
      </c>
      <c r="F1451" s="111">
        <f t="shared" si="1099"/>
        <v>5</v>
      </c>
      <c r="G1451" s="111">
        <f t="shared" si="1099"/>
        <v>785</v>
      </c>
      <c r="H1451" s="111"/>
      <c r="I1451" s="111">
        <f>SUM(I1445:I1450)</f>
        <v>763</v>
      </c>
      <c r="J1451" s="111">
        <f t="shared" si="1095"/>
        <v>22</v>
      </c>
      <c r="K1451" s="92">
        <f t="shared" si="1096"/>
        <v>1.028833552</v>
      </c>
      <c r="L1451" s="111">
        <f t="shared" ref="L1451:M1451" si="1100">SUM(L1445:L1450)</f>
        <v>75</v>
      </c>
      <c r="M1451" s="111">
        <f t="shared" si="1100"/>
        <v>1005</v>
      </c>
      <c r="N1451" s="111"/>
      <c r="O1451" s="112"/>
      <c r="P1451" s="111">
        <f t="shared" ref="P1451:AH1451" si="1101">SUM(P1445:P1450)</f>
        <v>31</v>
      </c>
      <c r="Q1451" s="111">
        <f t="shared" si="1101"/>
        <v>21</v>
      </c>
      <c r="R1451" s="111">
        <f t="shared" si="1101"/>
        <v>56</v>
      </c>
      <c r="S1451" s="111">
        <f t="shared" si="1101"/>
        <v>14</v>
      </c>
      <c r="T1451" s="111">
        <f t="shared" si="1101"/>
        <v>94</v>
      </c>
      <c r="U1451" s="111">
        <f t="shared" si="1101"/>
        <v>15</v>
      </c>
      <c r="V1451" s="111">
        <f t="shared" si="1101"/>
        <v>3</v>
      </c>
      <c r="W1451" s="111">
        <f t="shared" si="1101"/>
        <v>1</v>
      </c>
      <c r="X1451" s="111">
        <f t="shared" si="1101"/>
        <v>1</v>
      </c>
      <c r="Y1451" s="111">
        <f t="shared" si="1101"/>
        <v>0</v>
      </c>
      <c r="Z1451" s="111">
        <f t="shared" si="1101"/>
        <v>0</v>
      </c>
      <c r="AA1451" s="111">
        <f t="shared" si="1101"/>
        <v>0</v>
      </c>
      <c r="AB1451" s="111">
        <f t="shared" si="1101"/>
        <v>0</v>
      </c>
      <c r="AC1451" s="111">
        <f t="shared" si="1101"/>
        <v>20</v>
      </c>
      <c r="AD1451" s="111">
        <f t="shared" si="1101"/>
        <v>1</v>
      </c>
      <c r="AE1451" s="111">
        <f t="shared" si="1101"/>
        <v>0</v>
      </c>
      <c r="AF1451" s="111">
        <f t="shared" si="1101"/>
        <v>0</v>
      </c>
      <c r="AG1451" s="111">
        <f t="shared" si="1101"/>
        <v>0</v>
      </c>
      <c r="AH1451" s="111">
        <f t="shared" si="1101"/>
        <v>1</v>
      </c>
    </row>
    <row r="1452" hidden="1">
      <c r="A1452" s="83" t="s">
        <v>40</v>
      </c>
      <c r="B1452" s="84" t="s">
        <v>216</v>
      </c>
      <c r="C1452" s="85">
        <v>1.0</v>
      </c>
      <c r="D1452" s="94">
        <v>0.0</v>
      </c>
      <c r="E1452" s="86">
        <v>70.0</v>
      </c>
      <c r="F1452" s="85">
        <v>4.0</v>
      </c>
      <c r="G1452" s="85">
        <v>123.0</v>
      </c>
      <c r="H1452" s="85">
        <v>1.0</v>
      </c>
      <c r="I1452" s="85">
        <v>129.0</v>
      </c>
      <c r="J1452" s="95">
        <f t="shared" si="1095"/>
        <v>-6</v>
      </c>
      <c r="K1452" s="87">
        <f t="shared" si="1096"/>
        <v>0.9534883721</v>
      </c>
      <c r="L1452" s="85">
        <v>29.0</v>
      </c>
      <c r="M1452" s="85">
        <v>156.0</v>
      </c>
      <c r="N1452" s="85">
        <v>1.0</v>
      </c>
      <c r="O1452" s="110">
        <f t="shared" ref="O1452:O1457" si="1102">(E1452*N1452)</f>
        <v>70</v>
      </c>
      <c r="P1452" s="85">
        <v>5.0</v>
      </c>
      <c r="Q1452" s="85">
        <v>5.0</v>
      </c>
      <c r="R1452" s="85">
        <v>4.0</v>
      </c>
      <c r="S1452" s="85">
        <v>3.0</v>
      </c>
      <c r="T1452" s="85">
        <v>13.0</v>
      </c>
      <c r="U1452" s="85">
        <v>2.0</v>
      </c>
      <c r="V1452" s="85">
        <v>1.0</v>
      </c>
      <c r="W1452" s="94">
        <v>0.0</v>
      </c>
      <c r="X1452" s="94">
        <v>0.0</v>
      </c>
      <c r="Y1452" s="94">
        <v>0.0</v>
      </c>
      <c r="Z1452" s="94">
        <v>0.0</v>
      </c>
      <c r="AA1452" s="94">
        <v>0.0</v>
      </c>
      <c r="AB1452" s="94">
        <v>0.0</v>
      </c>
      <c r="AC1452" s="85">
        <v>4.0</v>
      </c>
      <c r="AD1452" s="94">
        <v>0.0</v>
      </c>
      <c r="AE1452" s="94">
        <v>0.0</v>
      </c>
      <c r="AF1452" s="94">
        <v>0.0</v>
      </c>
      <c r="AG1452" s="94">
        <v>0.0</v>
      </c>
      <c r="AH1452" s="94">
        <v>0.0</v>
      </c>
    </row>
    <row r="1453" hidden="1">
      <c r="A1453" s="83" t="s">
        <v>40</v>
      </c>
      <c r="B1453" s="84" t="s">
        <v>217</v>
      </c>
      <c r="C1453" s="85">
        <v>1.0</v>
      </c>
      <c r="D1453" s="94">
        <v>0.0</v>
      </c>
      <c r="E1453" s="86">
        <v>70.0</v>
      </c>
      <c r="F1453" s="94">
        <v>0.0</v>
      </c>
      <c r="G1453" s="85">
        <v>207.0</v>
      </c>
      <c r="H1453" s="94">
        <v>0.0</v>
      </c>
      <c r="I1453" s="85">
        <v>201.0</v>
      </c>
      <c r="J1453" s="95">
        <f t="shared" si="1095"/>
        <v>6</v>
      </c>
      <c r="K1453" s="87">
        <f t="shared" si="1096"/>
        <v>1.029850746</v>
      </c>
      <c r="L1453" s="85">
        <v>17.0</v>
      </c>
      <c r="M1453" s="85">
        <v>265.0</v>
      </c>
      <c r="N1453" s="85">
        <v>1.0</v>
      </c>
      <c r="O1453" s="110">
        <f t="shared" si="1102"/>
        <v>70</v>
      </c>
      <c r="P1453" s="85">
        <v>6.0</v>
      </c>
      <c r="Q1453" s="85">
        <v>3.0</v>
      </c>
      <c r="R1453" s="85">
        <v>22.0</v>
      </c>
      <c r="S1453" s="85">
        <v>3.0</v>
      </c>
      <c r="T1453" s="85">
        <v>27.0</v>
      </c>
      <c r="U1453" s="85">
        <v>4.0</v>
      </c>
      <c r="V1453" s="85">
        <v>1.0</v>
      </c>
      <c r="W1453" s="94">
        <v>0.0</v>
      </c>
      <c r="X1453" s="94">
        <v>0.0</v>
      </c>
      <c r="Y1453" s="94">
        <v>0.0</v>
      </c>
      <c r="Z1453" s="94">
        <v>0.0</v>
      </c>
      <c r="AA1453" s="94">
        <v>0.0</v>
      </c>
      <c r="AB1453" s="94">
        <v>0.0</v>
      </c>
      <c r="AC1453" s="85">
        <v>2.0</v>
      </c>
      <c r="AD1453" s="94">
        <v>0.0</v>
      </c>
      <c r="AE1453" s="94">
        <v>0.0</v>
      </c>
      <c r="AF1453" s="94">
        <v>0.0</v>
      </c>
      <c r="AG1453" s="94">
        <v>0.0</v>
      </c>
      <c r="AH1453" s="94">
        <v>0.0</v>
      </c>
    </row>
    <row r="1454" hidden="1">
      <c r="A1454" s="83" t="s">
        <v>40</v>
      </c>
      <c r="B1454" s="84" t="s">
        <v>218</v>
      </c>
      <c r="C1454" s="85">
        <v>1.0</v>
      </c>
      <c r="D1454" s="94">
        <v>0.0</v>
      </c>
      <c r="E1454" s="86">
        <v>70.0</v>
      </c>
      <c r="F1454" s="94">
        <v>0.0</v>
      </c>
      <c r="G1454" s="85">
        <v>239.0</v>
      </c>
      <c r="H1454" s="94">
        <v>0.0</v>
      </c>
      <c r="I1454" s="85">
        <v>208.0</v>
      </c>
      <c r="J1454" s="95">
        <f t="shared" si="1095"/>
        <v>31</v>
      </c>
      <c r="K1454" s="87">
        <f t="shared" si="1096"/>
        <v>1.149038462</v>
      </c>
      <c r="L1454" s="85">
        <v>17.0</v>
      </c>
      <c r="M1454" s="85">
        <v>323.0</v>
      </c>
      <c r="N1454" s="85">
        <v>1.0</v>
      </c>
      <c r="O1454" s="110">
        <f t="shared" si="1102"/>
        <v>70</v>
      </c>
      <c r="P1454" s="85">
        <v>9.0</v>
      </c>
      <c r="Q1454" s="85">
        <v>4.0</v>
      </c>
      <c r="R1454" s="85">
        <v>32.0</v>
      </c>
      <c r="S1454" s="85">
        <v>8.0</v>
      </c>
      <c r="T1454" s="85">
        <v>32.0</v>
      </c>
      <c r="U1454" s="85">
        <v>6.0</v>
      </c>
      <c r="V1454" s="85">
        <v>2.0</v>
      </c>
      <c r="W1454" s="94">
        <v>0.0</v>
      </c>
      <c r="X1454" s="94">
        <v>0.0</v>
      </c>
      <c r="Y1454" s="94">
        <v>0.0</v>
      </c>
      <c r="Z1454" s="94">
        <v>0.0</v>
      </c>
      <c r="AA1454" s="94">
        <v>0.0</v>
      </c>
      <c r="AB1454" s="94">
        <v>0.0</v>
      </c>
      <c r="AC1454" s="85">
        <v>6.0</v>
      </c>
      <c r="AD1454" s="94">
        <v>0.0</v>
      </c>
      <c r="AE1454" s="94">
        <v>0.0</v>
      </c>
      <c r="AF1454" s="94">
        <v>0.0</v>
      </c>
      <c r="AG1454" s="94">
        <v>0.0</v>
      </c>
      <c r="AH1454" s="94">
        <v>0.0</v>
      </c>
    </row>
    <row r="1455" hidden="1">
      <c r="A1455" s="83" t="s">
        <v>40</v>
      </c>
      <c r="B1455" s="84" t="s">
        <v>219</v>
      </c>
      <c r="C1455" s="94">
        <v>0.0</v>
      </c>
      <c r="D1455" s="94">
        <v>0.0</v>
      </c>
      <c r="E1455" s="96">
        <f>SUM(L1455*I1455)/60</f>
        <v>0</v>
      </c>
      <c r="F1455" s="94">
        <v>0.0</v>
      </c>
      <c r="G1455" s="94">
        <v>0.0</v>
      </c>
      <c r="H1455" s="94">
        <v>0.0</v>
      </c>
      <c r="I1455" s="94">
        <v>0.0</v>
      </c>
      <c r="J1455" s="95">
        <f t="shared" si="1095"/>
        <v>0</v>
      </c>
      <c r="K1455" s="87" t="str">
        <f t="shared" si="1096"/>
        <v>#DIV/0!</v>
      </c>
      <c r="L1455" s="94">
        <v>0.0</v>
      </c>
      <c r="M1455" s="94">
        <v>0.0</v>
      </c>
      <c r="N1455" s="85">
        <v>0.0</v>
      </c>
      <c r="O1455" s="110">
        <f t="shared" si="1102"/>
        <v>0</v>
      </c>
      <c r="P1455" s="94">
        <v>0.0</v>
      </c>
      <c r="Q1455" s="94">
        <v>0.0</v>
      </c>
      <c r="R1455" s="94">
        <v>0.0</v>
      </c>
      <c r="S1455" s="94">
        <v>0.0</v>
      </c>
      <c r="T1455" s="94">
        <v>0.0</v>
      </c>
      <c r="U1455" s="94">
        <v>0.0</v>
      </c>
      <c r="V1455" s="94">
        <v>0.0</v>
      </c>
      <c r="W1455" s="94">
        <v>0.0</v>
      </c>
      <c r="X1455" s="94">
        <v>0.0</v>
      </c>
      <c r="Y1455" s="94">
        <v>0.0</v>
      </c>
      <c r="Z1455" s="94">
        <v>0.0</v>
      </c>
      <c r="AA1455" s="94">
        <v>0.0</v>
      </c>
      <c r="AB1455" s="94">
        <v>0.0</v>
      </c>
      <c r="AC1455" s="94">
        <v>0.0</v>
      </c>
      <c r="AD1455" s="94">
        <v>0.0</v>
      </c>
      <c r="AE1455" s="94">
        <v>0.0</v>
      </c>
      <c r="AF1455" s="94">
        <v>0.0</v>
      </c>
      <c r="AG1455" s="94">
        <v>0.0</v>
      </c>
      <c r="AH1455" s="94">
        <v>0.0</v>
      </c>
    </row>
    <row r="1456" hidden="1">
      <c r="A1456" s="83" t="s">
        <v>40</v>
      </c>
      <c r="B1456" s="84" t="s">
        <v>220</v>
      </c>
      <c r="C1456" s="85">
        <v>1.0</v>
      </c>
      <c r="D1456" s="85">
        <v>0.0</v>
      </c>
      <c r="E1456" s="86">
        <v>70.0</v>
      </c>
      <c r="F1456" s="94">
        <v>0.0</v>
      </c>
      <c r="G1456" s="85">
        <v>185.0</v>
      </c>
      <c r="H1456" s="85">
        <v>1.0</v>
      </c>
      <c r="I1456" s="85">
        <v>262.0</v>
      </c>
      <c r="J1456" s="95">
        <f t="shared" si="1095"/>
        <v>-77</v>
      </c>
      <c r="K1456" s="87">
        <f t="shared" si="1096"/>
        <v>0.7061068702</v>
      </c>
      <c r="L1456" s="85">
        <v>13.0</v>
      </c>
      <c r="M1456" s="85">
        <v>236.0</v>
      </c>
      <c r="N1456" s="85">
        <v>1.0</v>
      </c>
      <c r="O1456" s="110">
        <f t="shared" si="1102"/>
        <v>70</v>
      </c>
      <c r="P1456" s="85">
        <v>9.0</v>
      </c>
      <c r="Q1456" s="85">
        <v>10.0</v>
      </c>
      <c r="R1456" s="85">
        <v>13.0</v>
      </c>
      <c r="S1456" s="85">
        <v>4.0</v>
      </c>
      <c r="T1456" s="85">
        <v>22.0</v>
      </c>
      <c r="U1456" s="85">
        <v>3.0</v>
      </c>
      <c r="V1456" s="85">
        <v>1.0</v>
      </c>
      <c r="W1456" s="94">
        <v>0.0</v>
      </c>
      <c r="X1456" s="94">
        <v>0.0</v>
      </c>
      <c r="Y1456" s="94">
        <v>0.0</v>
      </c>
      <c r="Z1456" s="94">
        <v>0.0</v>
      </c>
      <c r="AA1456" s="94">
        <v>0.0</v>
      </c>
      <c r="AB1456" s="94">
        <v>0.0</v>
      </c>
      <c r="AC1456" s="85">
        <v>2.0</v>
      </c>
      <c r="AD1456" s="94">
        <v>0.0</v>
      </c>
      <c r="AE1456" s="94">
        <v>0.0</v>
      </c>
      <c r="AF1456" s="94">
        <v>0.0</v>
      </c>
      <c r="AG1456" s="94">
        <v>0.0</v>
      </c>
      <c r="AH1456" s="94">
        <v>0.0</v>
      </c>
    </row>
    <row r="1457" hidden="1">
      <c r="A1457" s="83" t="s">
        <v>214</v>
      </c>
      <c r="B1457" s="84" t="s">
        <v>189</v>
      </c>
      <c r="C1457" s="94">
        <v>0.0</v>
      </c>
      <c r="D1457" s="94">
        <v>0.0</v>
      </c>
      <c r="E1457" s="96">
        <f>SUM(L1457*I1457)/60</f>
        <v>0</v>
      </c>
      <c r="F1457" s="94">
        <v>0.0</v>
      </c>
      <c r="G1457" s="94">
        <v>0.0</v>
      </c>
      <c r="H1457" s="94">
        <v>0.0</v>
      </c>
      <c r="I1457" s="94">
        <v>0.0</v>
      </c>
      <c r="J1457" s="95">
        <f t="shared" si="1095"/>
        <v>0</v>
      </c>
      <c r="K1457" s="87" t="str">
        <f t="shared" si="1096"/>
        <v>#DIV/0!</v>
      </c>
      <c r="L1457" s="94">
        <v>0.0</v>
      </c>
      <c r="M1457" s="94">
        <v>0.0</v>
      </c>
      <c r="N1457" s="85">
        <v>0.0</v>
      </c>
      <c r="O1457" s="110">
        <f t="shared" si="1102"/>
        <v>0</v>
      </c>
      <c r="P1457" s="94">
        <v>0.0</v>
      </c>
      <c r="Q1457" s="94">
        <v>0.0</v>
      </c>
      <c r="R1457" s="94">
        <v>0.0</v>
      </c>
      <c r="S1457" s="94">
        <v>0.0</v>
      </c>
      <c r="T1457" s="94">
        <v>0.0</v>
      </c>
      <c r="U1457" s="94">
        <v>0.0</v>
      </c>
      <c r="V1457" s="94">
        <v>0.0</v>
      </c>
      <c r="W1457" s="94">
        <v>0.0</v>
      </c>
      <c r="X1457" s="94">
        <v>0.0</v>
      </c>
      <c r="Y1457" s="94">
        <v>0.0</v>
      </c>
      <c r="Z1457" s="94">
        <v>0.0</v>
      </c>
      <c r="AA1457" s="94">
        <v>0.0</v>
      </c>
      <c r="AB1457" s="94">
        <v>0.0</v>
      </c>
      <c r="AC1457" s="94">
        <v>0.0</v>
      </c>
      <c r="AD1457" s="94">
        <v>0.0</v>
      </c>
      <c r="AE1457" s="94">
        <v>0.0</v>
      </c>
      <c r="AF1457" s="94">
        <v>0.0</v>
      </c>
      <c r="AG1457" s="94">
        <v>0.0</v>
      </c>
      <c r="AH1457" s="94">
        <v>0.0</v>
      </c>
    </row>
    <row r="1458" hidden="1">
      <c r="A1458" s="89" t="s">
        <v>185</v>
      </c>
      <c r="B1458" s="111"/>
      <c r="C1458" s="111">
        <f>SUM(C1452:C1457)</f>
        <v>4</v>
      </c>
      <c r="D1458" s="111">
        <f t="shared" ref="D1458:E1458" si="1103">SUM(D1452:D1457)/4</f>
        <v>0</v>
      </c>
      <c r="E1458" s="91">
        <f t="shared" si="1103"/>
        <v>70</v>
      </c>
      <c r="F1458" s="111">
        <f t="shared" ref="F1458:G1458" si="1104">SUM(F1452:F1457)</f>
        <v>4</v>
      </c>
      <c r="G1458" s="111">
        <f t="shared" si="1104"/>
        <v>754</v>
      </c>
      <c r="H1458" s="111"/>
      <c r="I1458" s="111">
        <f>SUM(I1452:I1457)</f>
        <v>800</v>
      </c>
      <c r="J1458" s="111">
        <f t="shared" si="1095"/>
        <v>-46</v>
      </c>
      <c r="K1458" s="92">
        <f t="shared" si="1096"/>
        <v>0.9425</v>
      </c>
      <c r="L1458" s="111">
        <f t="shared" ref="L1458:M1458" si="1105">SUM(L1452:L1457)</f>
        <v>76</v>
      </c>
      <c r="M1458" s="111">
        <f t="shared" si="1105"/>
        <v>980</v>
      </c>
      <c r="N1458" s="111"/>
      <c r="O1458" s="112"/>
      <c r="P1458" s="111">
        <f t="shared" ref="P1458:AH1458" si="1106">SUM(P1452:P1457)</f>
        <v>29</v>
      </c>
      <c r="Q1458" s="111">
        <f t="shared" si="1106"/>
        <v>22</v>
      </c>
      <c r="R1458" s="111">
        <f t="shared" si="1106"/>
        <v>71</v>
      </c>
      <c r="S1458" s="111">
        <f t="shared" si="1106"/>
        <v>18</v>
      </c>
      <c r="T1458" s="111">
        <f t="shared" si="1106"/>
        <v>94</v>
      </c>
      <c r="U1458" s="111">
        <f t="shared" si="1106"/>
        <v>15</v>
      </c>
      <c r="V1458" s="111">
        <f t="shared" si="1106"/>
        <v>5</v>
      </c>
      <c r="W1458" s="111">
        <f t="shared" si="1106"/>
        <v>0</v>
      </c>
      <c r="X1458" s="111">
        <f t="shared" si="1106"/>
        <v>0</v>
      </c>
      <c r="Y1458" s="111">
        <f t="shared" si="1106"/>
        <v>0</v>
      </c>
      <c r="Z1458" s="111">
        <f t="shared" si="1106"/>
        <v>0</v>
      </c>
      <c r="AA1458" s="111">
        <f t="shared" si="1106"/>
        <v>0</v>
      </c>
      <c r="AB1458" s="111">
        <f t="shared" si="1106"/>
        <v>0</v>
      </c>
      <c r="AC1458" s="111">
        <f t="shared" si="1106"/>
        <v>14</v>
      </c>
      <c r="AD1458" s="111">
        <f t="shared" si="1106"/>
        <v>0</v>
      </c>
      <c r="AE1458" s="111">
        <f t="shared" si="1106"/>
        <v>0</v>
      </c>
      <c r="AF1458" s="111">
        <f t="shared" si="1106"/>
        <v>0</v>
      </c>
      <c r="AG1458" s="111">
        <f t="shared" si="1106"/>
        <v>0</v>
      </c>
      <c r="AH1458" s="111">
        <f t="shared" si="1106"/>
        <v>0</v>
      </c>
    </row>
    <row r="1459">
      <c r="A1459" s="104" t="s">
        <v>337</v>
      </c>
    </row>
    <row r="1461" hidden="1">
      <c r="A1461" s="105"/>
      <c r="F1461" s="106" t="s">
        <v>251</v>
      </c>
      <c r="L1461" s="107" t="s">
        <v>252</v>
      </c>
      <c r="N1461" s="108" t="s">
        <v>253</v>
      </c>
    </row>
    <row r="1462" hidden="1">
      <c r="A1462" s="76" t="s">
        <v>148</v>
      </c>
      <c r="B1462" s="76" t="s">
        <v>149</v>
      </c>
      <c r="C1462" s="76" t="s">
        <v>150</v>
      </c>
      <c r="D1462" s="76" t="s">
        <v>13</v>
      </c>
      <c r="E1462" s="77" t="s">
        <v>151</v>
      </c>
      <c r="F1462" s="78" t="s">
        <v>15</v>
      </c>
      <c r="G1462" s="78" t="s">
        <v>152</v>
      </c>
      <c r="H1462" s="78" t="s">
        <v>153</v>
      </c>
      <c r="I1462" s="78" t="s">
        <v>154</v>
      </c>
      <c r="J1462" s="78" t="s">
        <v>155</v>
      </c>
      <c r="K1462" s="79" t="s">
        <v>156</v>
      </c>
      <c r="L1462" s="80" t="s">
        <v>157</v>
      </c>
      <c r="M1462" s="80" t="s">
        <v>158</v>
      </c>
      <c r="N1462" s="81" t="s">
        <v>254</v>
      </c>
      <c r="O1462" s="81" t="s">
        <v>151</v>
      </c>
      <c r="P1462" s="81" t="s">
        <v>160</v>
      </c>
      <c r="Q1462" s="81" t="s">
        <v>161</v>
      </c>
      <c r="R1462" s="81" t="s">
        <v>162</v>
      </c>
      <c r="S1462" s="81" t="s">
        <v>163</v>
      </c>
      <c r="T1462" s="81" t="s">
        <v>164</v>
      </c>
      <c r="U1462" s="81" t="s">
        <v>165</v>
      </c>
      <c r="V1462" s="81" t="s">
        <v>166</v>
      </c>
      <c r="W1462" s="81" t="s">
        <v>167</v>
      </c>
      <c r="X1462" s="81" t="s">
        <v>168</v>
      </c>
      <c r="Y1462" s="81" t="s">
        <v>169</v>
      </c>
      <c r="Z1462" s="81" t="s">
        <v>170</v>
      </c>
      <c r="AA1462" s="81" t="s">
        <v>171</v>
      </c>
      <c r="AB1462" s="81" t="s">
        <v>172</v>
      </c>
      <c r="AC1462" s="81" t="s">
        <v>173</v>
      </c>
      <c r="AD1462" s="81" t="s">
        <v>174</v>
      </c>
      <c r="AE1462" s="81" t="s">
        <v>175</v>
      </c>
      <c r="AF1462" s="81" t="s">
        <v>176</v>
      </c>
      <c r="AG1462" s="81" t="s">
        <v>177</v>
      </c>
      <c r="AH1462" s="81" t="s">
        <v>178</v>
      </c>
    </row>
    <row r="1463" hidden="1">
      <c r="A1463" s="83" t="s">
        <v>53</v>
      </c>
      <c r="B1463" s="84" t="s">
        <v>192</v>
      </c>
      <c r="C1463" s="85">
        <v>1.0</v>
      </c>
      <c r="D1463" s="94">
        <v>0.0</v>
      </c>
      <c r="E1463" s="86">
        <v>17.0</v>
      </c>
      <c r="F1463" s="85">
        <v>1.0</v>
      </c>
      <c r="G1463" s="85">
        <v>44.0</v>
      </c>
      <c r="H1463" s="85">
        <v>0.0</v>
      </c>
      <c r="I1463" s="85">
        <v>61.0</v>
      </c>
      <c r="J1463" s="95">
        <f t="shared" ref="J1463:J1476" si="1107">SUM(G1463-I1463)</f>
        <v>-17</v>
      </c>
      <c r="K1463" s="87">
        <f t="shared" ref="K1463:K1476" si="1108">SUM(G1463/I1463)</f>
        <v>0.7213114754</v>
      </c>
      <c r="L1463" s="85">
        <v>13.0</v>
      </c>
      <c r="M1463" s="85">
        <v>65.0</v>
      </c>
      <c r="N1463" s="85">
        <v>1.0</v>
      </c>
      <c r="O1463" s="110">
        <f t="shared" ref="O1463:O1468" si="1109">(E1463*N1463)</f>
        <v>17</v>
      </c>
      <c r="P1463" s="85">
        <v>5.0</v>
      </c>
      <c r="Q1463" s="85">
        <v>2.0</v>
      </c>
      <c r="R1463" s="85">
        <v>2.0</v>
      </c>
      <c r="S1463" s="85">
        <v>3.0</v>
      </c>
      <c r="T1463" s="85">
        <v>8.0</v>
      </c>
      <c r="U1463" s="85">
        <v>1.0</v>
      </c>
      <c r="V1463" s="94">
        <v>0.0</v>
      </c>
      <c r="W1463" s="94">
        <v>0.0</v>
      </c>
      <c r="X1463" s="94">
        <v>0.0</v>
      </c>
      <c r="Y1463" s="94">
        <v>0.0</v>
      </c>
      <c r="Z1463" s="94">
        <v>0.0</v>
      </c>
      <c r="AA1463" s="94">
        <v>0.0</v>
      </c>
      <c r="AB1463" s="94">
        <v>0.0</v>
      </c>
      <c r="AC1463" s="85">
        <v>1.0</v>
      </c>
      <c r="AD1463" s="94">
        <v>0.0</v>
      </c>
      <c r="AE1463" s="94">
        <v>0.0</v>
      </c>
      <c r="AF1463" s="94">
        <v>0.0</v>
      </c>
      <c r="AG1463" s="94">
        <v>0.0</v>
      </c>
      <c r="AH1463" s="85">
        <v>1.0</v>
      </c>
    </row>
    <row r="1464" hidden="1">
      <c r="A1464" s="83" t="s">
        <v>53</v>
      </c>
      <c r="B1464" s="84" t="s">
        <v>193</v>
      </c>
      <c r="C1464" s="94">
        <v>0.0</v>
      </c>
      <c r="D1464" s="94">
        <v>0.0</v>
      </c>
      <c r="E1464" s="96">
        <f>SUM(L1464*I1464)/60</f>
        <v>0</v>
      </c>
      <c r="F1464" s="94">
        <v>0.0</v>
      </c>
      <c r="G1464" s="94">
        <v>0.0</v>
      </c>
      <c r="H1464" s="94">
        <v>0.0</v>
      </c>
      <c r="I1464" s="94">
        <v>0.0</v>
      </c>
      <c r="J1464" s="95">
        <f t="shared" si="1107"/>
        <v>0</v>
      </c>
      <c r="K1464" s="87" t="str">
        <f t="shared" si="1108"/>
        <v>#DIV/0!</v>
      </c>
      <c r="L1464" s="94">
        <v>0.0</v>
      </c>
      <c r="M1464" s="94">
        <v>0.0</v>
      </c>
      <c r="N1464" s="85">
        <v>0.0</v>
      </c>
      <c r="O1464" s="110">
        <f t="shared" si="1109"/>
        <v>0</v>
      </c>
      <c r="P1464" s="94">
        <v>0.0</v>
      </c>
      <c r="Q1464" s="94">
        <v>0.0</v>
      </c>
      <c r="R1464" s="94">
        <v>0.0</v>
      </c>
      <c r="S1464" s="94">
        <v>0.0</v>
      </c>
      <c r="T1464" s="94">
        <v>0.0</v>
      </c>
      <c r="U1464" s="94">
        <v>0.0</v>
      </c>
      <c r="V1464" s="94">
        <v>0.0</v>
      </c>
      <c r="W1464" s="94">
        <v>0.0</v>
      </c>
      <c r="X1464" s="94">
        <v>0.0</v>
      </c>
      <c r="Y1464" s="94">
        <v>0.0</v>
      </c>
      <c r="Z1464" s="94">
        <v>0.0</v>
      </c>
      <c r="AA1464" s="94">
        <v>0.0</v>
      </c>
      <c r="AB1464" s="94">
        <v>0.0</v>
      </c>
      <c r="AC1464" s="94">
        <v>0.0</v>
      </c>
      <c r="AD1464" s="94">
        <v>0.0</v>
      </c>
      <c r="AE1464" s="94">
        <v>0.0</v>
      </c>
      <c r="AF1464" s="94">
        <v>0.0</v>
      </c>
      <c r="AG1464" s="94">
        <v>0.0</v>
      </c>
      <c r="AH1464" s="94">
        <v>0.0</v>
      </c>
    </row>
    <row r="1465" hidden="1">
      <c r="A1465" s="83" t="s">
        <v>53</v>
      </c>
      <c r="B1465" s="84" t="s">
        <v>194</v>
      </c>
      <c r="C1465" s="85">
        <v>1.0</v>
      </c>
      <c r="D1465" s="94">
        <v>0.0</v>
      </c>
      <c r="E1465" s="86">
        <v>17.0</v>
      </c>
      <c r="F1465" s="94">
        <v>0.0</v>
      </c>
      <c r="G1465" s="85">
        <v>54.0</v>
      </c>
      <c r="H1465" s="94">
        <v>0.0</v>
      </c>
      <c r="I1465" s="85">
        <v>63.0</v>
      </c>
      <c r="J1465" s="95">
        <f t="shared" si="1107"/>
        <v>-9</v>
      </c>
      <c r="K1465" s="87">
        <f t="shared" si="1108"/>
        <v>0.8571428571</v>
      </c>
      <c r="L1465" s="85">
        <v>12.0</v>
      </c>
      <c r="M1465" s="85">
        <v>66.0</v>
      </c>
      <c r="N1465" s="85">
        <v>1.0</v>
      </c>
      <c r="O1465" s="110">
        <f t="shared" si="1109"/>
        <v>17</v>
      </c>
      <c r="P1465" s="85">
        <v>3.0</v>
      </c>
      <c r="Q1465" s="85">
        <v>2.0</v>
      </c>
      <c r="R1465" s="85">
        <v>2.0</v>
      </c>
      <c r="S1465" s="85">
        <v>2.0</v>
      </c>
      <c r="T1465" s="85">
        <v>7.0</v>
      </c>
      <c r="U1465" s="94">
        <v>0.0</v>
      </c>
      <c r="V1465" s="94">
        <v>0.0</v>
      </c>
      <c r="W1465" s="94">
        <v>0.0</v>
      </c>
      <c r="X1465" s="94">
        <v>0.0</v>
      </c>
      <c r="Y1465" s="94">
        <v>0.0</v>
      </c>
      <c r="Z1465" s="94">
        <v>0.0</v>
      </c>
      <c r="AA1465" s="94">
        <v>0.0</v>
      </c>
      <c r="AB1465" s="94">
        <v>0.0</v>
      </c>
      <c r="AC1465" s="85">
        <v>1.0</v>
      </c>
      <c r="AD1465" s="94">
        <v>0.0</v>
      </c>
      <c r="AE1465" s="94">
        <v>0.0</v>
      </c>
      <c r="AF1465" s="94">
        <v>0.0</v>
      </c>
      <c r="AG1465" s="94">
        <v>0.0</v>
      </c>
      <c r="AH1465" s="94">
        <v>0.0</v>
      </c>
    </row>
    <row r="1466" hidden="1">
      <c r="A1466" s="83" t="s">
        <v>53</v>
      </c>
      <c r="B1466" s="84" t="s">
        <v>195</v>
      </c>
      <c r="C1466" s="94">
        <v>0.0</v>
      </c>
      <c r="D1466" s="94">
        <v>0.0</v>
      </c>
      <c r="E1466" s="96">
        <f>SUM(L1466*I1466)/60</f>
        <v>0</v>
      </c>
      <c r="F1466" s="94">
        <v>0.0</v>
      </c>
      <c r="G1466" s="94">
        <v>0.0</v>
      </c>
      <c r="H1466" s="94">
        <v>0.0</v>
      </c>
      <c r="I1466" s="94">
        <v>0.0</v>
      </c>
      <c r="J1466" s="95">
        <f t="shared" si="1107"/>
        <v>0</v>
      </c>
      <c r="K1466" s="87" t="str">
        <f t="shared" si="1108"/>
        <v>#DIV/0!</v>
      </c>
      <c r="L1466" s="94">
        <v>0.0</v>
      </c>
      <c r="M1466" s="94">
        <v>0.0</v>
      </c>
      <c r="N1466" s="85">
        <v>0.0</v>
      </c>
      <c r="O1466" s="110">
        <f t="shared" si="1109"/>
        <v>0</v>
      </c>
      <c r="P1466" s="94">
        <v>0.0</v>
      </c>
      <c r="Q1466" s="94">
        <v>0.0</v>
      </c>
      <c r="R1466" s="94">
        <v>0.0</v>
      </c>
      <c r="S1466" s="94">
        <v>0.0</v>
      </c>
      <c r="T1466" s="94">
        <v>0.0</v>
      </c>
      <c r="U1466" s="94">
        <v>0.0</v>
      </c>
      <c r="V1466" s="94">
        <v>0.0</v>
      </c>
      <c r="W1466" s="94">
        <v>0.0</v>
      </c>
      <c r="X1466" s="94">
        <v>0.0</v>
      </c>
      <c r="Y1466" s="94">
        <v>0.0</v>
      </c>
      <c r="Z1466" s="94">
        <v>0.0</v>
      </c>
      <c r="AA1466" s="94">
        <v>0.0</v>
      </c>
      <c r="AB1466" s="94">
        <v>0.0</v>
      </c>
      <c r="AC1466" s="94">
        <v>0.0</v>
      </c>
      <c r="AD1466" s="94">
        <v>0.0</v>
      </c>
      <c r="AE1466" s="94">
        <v>0.0</v>
      </c>
      <c r="AF1466" s="94">
        <v>0.0</v>
      </c>
      <c r="AG1466" s="94">
        <v>0.0</v>
      </c>
      <c r="AH1466" s="94">
        <v>0.0</v>
      </c>
    </row>
    <row r="1467" hidden="1">
      <c r="A1467" s="83" t="s">
        <v>53</v>
      </c>
      <c r="B1467" s="84" t="s">
        <v>196</v>
      </c>
      <c r="C1467" s="85">
        <v>1.0</v>
      </c>
      <c r="D1467" s="94">
        <v>0.0</v>
      </c>
      <c r="E1467" s="86">
        <v>17.0</v>
      </c>
      <c r="F1467" s="94">
        <v>0.0</v>
      </c>
      <c r="G1467" s="85">
        <v>55.0</v>
      </c>
      <c r="H1467" s="94">
        <v>0.0</v>
      </c>
      <c r="I1467" s="85">
        <v>55.0</v>
      </c>
      <c r="J1467" s="95">
        <f t="shared" si="1107"/>
        <v>0</v>
      </c>
      <c r="K1467" s="87">
        <f t="shared" si="1108"/>
        <v>1</v>
      </c>
      <c r="L1467" s="85">
        <v>15.0</v>
      </c>
      <c r="M1467" s="85">
        <v>71.0</v>
      </c>
      <c r="N1467" s="85">
        <v>1.0</v>
      </c>
      <c r="O1467" s="110">
        <f t="shared" si="1109"/>
        <v>17</v>
      </c>
      <c r="P1467" s="85">
        <v>1.0</v>
      </c>
      <c r="Q1467" s="85">
        <v>1.0</v>
      </c>
      <c r="R1467" s="85">
        <v>6.0</v>
      </c>
      <c r="S1467" s="85">
        <v>1.0</v>
      </c>
      <c r="T1467" s="85">
        <v>6.0</v>
      </c>
      <c r="U1467" s="85">
        <v>2.0</v>
      </c>
      <c r="V1467" s="85">
        <v>2.0</v>
      </c>
      <c r="W1467" s="94">
        <v>0.0</v>
      </c>
      <c r="X1467" s="94">
        <v>0.0</v>
      </c>
      <c r="Y1467" s="94">
        <v>0.0</v>
      </c>
      <c r="Z1467" s="94">
        <v>0.0</v>
      </c>
      <c r="AA1467" s="94">
        <v>0.0</v>
      </c>
      <c r="AB1467" s="94">
        <v>0.0</v>
      </c>
      <c r="AC1467" s="85">
        <v>2.0</v>
      </c>
      <c r="AD1467" s="94">
        <v>0.0</v>
      </c>
      <c r="AE1467" s="94">
        <v>0.0</v>
      </c>
      <c r="AF1467" s="94">
        <v>0.0</v>
      </c>
      <c r="AG1467" s="94">
        <v>0.0</v>
      </c>
      <c r="AH1467" s="94">
        <v>0.0</v>
      </c>
    </row>
    <row r="1468" hidden="1">
      <c r="A1468" s="83" t="s">
        <v>53</v>
      </c>
      <c r="B1468" s="84" t="s">
        <v>198</v>
      </c>
      <c r="C1468" s="85">
        <v>1.0</v>
      </c>
      <c r="D1468" s="94">
        <v>0.0</v>
      </c>
      <c r="E1468" s="86">
        <v>17.0</v>
      </c>
      <c r="F1468" s="94">
        <v>0.0</v>
      </c>
      <c r="G1468" s="85">
        <v>56.0</v>
      </c>
      <c r="H1468" s="85">
        <v>2.0</v>
      </c>
      <c r="I1468" s="85">
        <v>53.0</v>
      </c>
      <c r="J1468" s="95">
        <f t="shared" si="1107"/>
        <v>3</v>
      </c>
      <c r="K1468" s="87">
        <f t="shared" si="1108"/>
        <v>1.056603774</v>
      </c>
      <c r="L1468" s="85">
        <v>15.0</v>
      </c>
      <c r="M1468" s="85">
        <v>75.0</v>
      </c>
      <c r="N1468" s="85">
        <v>1.0</v>
      </c>
      <c r="O1468" s="110">
        <f t="shared" si="1109"/>
        <v>17</v>
      </c>
      <c r="P1468" s="85">
        <v>2.0</v>
      </c>
      <c r="Q1468" s="85">
        <v>2.0</v>
      </c>
      <c r="R1468" s="85">
        <v>2.0</v>
      </c>
      <c r="S1468" s="94">
        <v>0.0</v>
      </c>
      <c r="T1468" s="85">
        <v>9.0</v>
      </c>
      <c r="U1468" s="85">
        <v>1.0</v>
      </c>
      <c r="V1468" s="85">
        <v>1.0</v>
      </c>
      <c r="W1468" s="85">
        <v>1.0</v>
      </c>
      <c r="X1468" s="85">
        <v>1.0</v>
      </c>
      <c r="Y1468" s="85">
        <v>1.0</v>
      </c>
      <c r="Z1468" s="85">
        <v>1.0</v>
      </c>
      <c r="AA1468" s="85">
        <v>1.0</v>
      </c>
      <c r="AB1468" s="85">
        <v>1.0</v>
      </c>
      <c r="AC1468" s="85">
        <v>2.0</v>
      </c>
      <c r="AD1468" s="85">
        <v>1.0</v>
      </c>
      <c r="AE1468" s="94">
        <v>0.0</v>
      </c>
      <c r="AF1468" s="94">
        <v>0.0</v>
      </c>
      <c r="AG1468" s="94">
        <v>0.0</v>
      </c>
      <c r="AH1468" s="94">
        <v>0.0</v>
      </c>
    </row>
    <row r="1469" hidden="1">
      <c r="A1469" s="89"/>
      <c r="B1469" s="111"/>
      <c r="C1469" s="111">
        <f t="shared" ref="C1469:D1469" si="1110">SUM(C1463:C1468)/4</f>
        <v>1</v>
      </c>
      <c r="D1469" s="111">
        <f t="shared" si="1110"/>
        <v>0</v>
      </c>
      <c r="E1469" s="91">
        <f t="shared" ref="E1469:G1469" si="1111">SUM(E1463:E1468)</f>
        <v>68</v>
      </c>
      <c r="F1469" s="111">
        <f t="shared" si="1111"/>
        <v>1</v>
      </c>
      <c r="G1469" s="111">
        <f t="shared" si="1111"/>
        <v>209</v>
      </c>
      <c r="H1469" s="111"/>
      <c r="I1469" s="111">
        <f>SUM(I1463:I1468)</f>
        <v>232</v>
      </c>
      <c r="J1469" s="111">
        <f t="shared" si="1107"/>
        <v>-23</v>
      </c>
      <c r="K1469" s="92">
        <f t="shared" si="1108"/>
        <v>0.900862069</v>
      </c>
      <c r="L1469" s="111">
        <f t="shared" ref="L1469:M1469" si="1112">SUM(L1463:L1468)</f>
        <v>55</v>
      </c>
      <c r="M1469" s="111">
        <f t="shared" si="1112"/>
        <v>277</v>
      </c>
      <c r="N1469" s="111"/>
      <c r="O1469" s="112"/>
      <c r="P1469" s="111">
        <f t="shared" ref="P1469:AH1469" si="1113">SUM(P1463:P1468)</f>
        <v>11</v>
      </c>
      <c r="Q1469" s="111">
        <f t="shared" si="1113"/>
        <v>7</v>
      </c>
      <c r="R1469" s="111">
        <f t="shared" si="1113"/>
        <v>12</v>
      </c>
      <c r="S1469" s="111">
        <f t="shared" si="1113"/>
        <v>6</v>
      </c>
      <c r="T1469" s="111">
        <f t="shared" si="1113"/>
        <v>30</v>
      </c>
      <c r="U1469" s="111">
        <f t="shared" si="1113"/>
        <v>4</v>
      </c>
      <c r="V1469" s="111">
        <f t="shared" si="1113"/>
        <v>3</v>
      </c>
      <c r="W1469" s="111">
        <f t="shared" si="1113"/>
        <v>1</v>
      </c>
      <c r="X1469" s="111">
        <f t="shared" si="1113"/>
        <v>1</v>
      </c>
      <c r="Y1469" s="111">
        <f t="shared" si="1113"/>
        <v>1</v>
      </c>
      <c r="Z1469" s="111">
        <f t="shared" si="1113"/>
        <v>1</v>
      </c>
      <c r="AA1469" s="111">
        <f t="shared" si="1113"/>
        <v>1</v>
      </c>
      <c r="AB1469" s="111">
        <f t="shared" si="1113"/>
        <v>1</v>
      </c>
      <c r="AC1469" s="111">
        <f t="shared" si="1113"/>
        <v>6</v>
      </c>
      <c r="AD1469" s="111">
        <f t="shared" si="1113"/>
        <v>1</v>
      </c>
      <c r="AE1469" s="111">
        <f t="shared" si="1113"/>
        <v>0</v>
      </c>
      <c r="AF1469" s="111">
        <f t="shared" si="1113"/>
        <v>0</v>
      </c>
      <c r="AG1469" s="111">
        <f t="shared" si="1113"/>
        <v>0</v>
      </c>
      <c r="AH1469" s="111">
        <f t="shared" si="1113"/>
        <v>1</v>
      </c>
    </row>
    <row r="1470" hidden="1">
      <c r="A1470" s="83" t="s">
        <v>58</v>
      </c>
      <c r="B1470" s="84" t="s">
        <v>209</v>
      </c>
      <c r="C1470" s="94">
        <v>0.0</v>
      </c>
      <c r="D1470" s="94">
        <v>0.0</v>
      </c>
      <c r="E1470" s="96">
        <f>SUM(L1470*I1470)/60</f>
        <v>0</v>
      </c>
      <c r="F1470" s="94">
        <v>0.0</v>
      </c>
      <c r="G1470" s="94">
        <v>0.0</v>
      </c>
      <c r="H1470" s="94">
        <v>0.0</v>
      </c>
      <c r="I1470" s="94">
        <v>0.0</v>
      </c>
      <c r="J1470" s="95">
        <f t="shared" si="1107"/>
        <v>0</v>
      </c>
      <c r="K1470" s="87" t="str">
        <f t="shared" si="1108"/>
        <v>#DIV/0!</v>
      </c>
      <c r="L1470" s="94">
        <v>0.0</v>
      </c>
      <c r="M1470" s="94">
        <v>0.0</v>
      </c>
      <c r="N1470" s="85">
        <v>0.0</v>
      </c>
      <c r="O1470" s="110">
        <f t="shared" ref="O1470:O1475" si="1114">(E1470*N1470)</f>
        <v>0</v>
      </c>
      <c r="P1470" s="94">
        <v>0.0</v>
      </c>
      <c r="Q1470" s="94">
        <v>0.0</v>
      </c>
      <c r="R1470" s="94">
        <v>0.0</v>
      </c>
      <c r="S1470" s="94">
        <v>0.0</v>
      </c>
      <c r="T1470" s="94">
        <v>0.0</v>
      </c>
      <c r="U1470" s="94">
        <v>0.0</v>
      </c>
      <c r="V1470" s="94">
        <v>0.0</v>
      </c>
      <c r="W1470" s="94">
        <v>0.0</v>
      </c>
      <c r="X1470" s="94">
        <v>0.0</v>
      </c>
      <c r="Y1470" s="94">
        <v>0.0</v>
      </c>
      <c r="Z1470" s="94">
        <v>0.0</v>
      </c>
      <c r="AA1470" s="94">
        <v>0.0</v>
      </c>
      <c r="AB1470" s="94">
        <v>0.0</v>
      </c>
      <c r="AC1470" s="94">
        <v>0.0</v>
      </c>
      <c r="AD1470" s="94">
        <v>0.0</v>
      </c>
      <c r="AE1470" s="94">
        <v>0.0</v>
      </c>
      <c r="AF1470" s="94">
        <v>0.0</v>
      </c>
      <c r="AG1470" s="94">
        <v>0.0</v>
      </c>
      <c r="AH1470" s="94">
        <v>0.0</v>
      </c>
    </row>
    <row r="1471" hidden="1">
      <c r="A1471" s="83" t="s">
        <v>58</v>
      </c>
      <c r="B1471" s="84" t="s">
        <v>210</v>
      </c>
      <c r="C1471" s="85">
        <v>1.0</v>
      </c>
      <c r="D1471" s="85">
        <v>1.0</v>
      </c>
      <c r="E1471" s="86">
        <v>17.0</v>
      </c>
      <c r="F1471" s="85">
        <v>1.0</v>
      </c>
      <c r="G1471" s="85">
        <v>65.0</v>
      </c>
      <c r="H1471" s="94">
        <v>0.0</v>
      </c>
      <c r="I1471" s="85">
        <v>67.0</v>
      </c>
      <c r="J1471" s="95">
        <f t="shared" si="1107"/>
        <v>-2</v>
      </c>
      <c r="K1471" s="87">
        <f t="shared" si="1108"/>
        <v>0.9701492537</v>
      </c>
      <c r="L1471" s="85">
        <v>12.0</v>
      </c>
      <c r="M1471" s="85">
        <v>82.0</v>
      </c>
      <c r="N1471" s="85">
        <v>1.0</v>
      </c>
      <c r="O1471" s="110">
        <f t="shared" si="1114"/>
        <v>17</v>
      </c>
      <c r="P1471" s="85">
        <v>2.0</v>
      </c>
      <c r="Q1471" s="94">
        <v>0.0</v>
      </c>
      <c r="R1471" s="85">
        <v>5.0</v>
      </c>
      <c r="S1471" s="85">
        <v>1.0</v>
      </c>
      <c r="T1471" s="85">
        <v>11.0</v>
      </c>
      <c r="U1471" s="85">
        <v>1.0</v>
      </c>
      <c r="V1471" s="94">
        <v>0.0</v>
      </c>
      <c r="W1471" s="94">
        <v>0.0</v>
      </c>
      <c r="X1471" s="94">
        <v>0.0</v>
      </c>
      <c r="Y1471" s="94">
        <v>0.0</v>
      </c>
      <c r="Z1471" s="94">
        <v>0.0</v>
      </c>
      <c r="AA1471" s="94">
        <v>0.0</v>
      </c>
      <c r="AB1471" s="94">
        <v>0.0</v>
      </c>
      <c r="AC1471" s="85">
        <v>1.0</v>
      </c>
      <c r="AD1471" s="94">
        <v>0.0</v>
      </c>
      <c r="AE1471" s="94">
        <v>0.0</v>
      </c>
      <c r="AF1471" s="94">
        <v>0.0</v>
      </c>
      <c r="AG1471" s="94">
        <v>0.0</v>
      </c>
      <c r="AH1471" s="94">
        <v>0.0</v>
      </c>
    </row>
    <row r="1472" hidden="1">
      <c r="A1472" s="83" t="s">
        <v>58</v>
      </c>
      <c r="B1472" s="84" t="s">
        <v>211</v>
      </c>
      <c r="C1472" s="85">
        <v>1.0</v>
      </c>
      <c r="D1472" s="85">
        <v>1.0</v>
      </c>
      <c r="E1472" s="86">
        <v>17.0</v>
      </c>
      <c r="F1472" s="85">
        <v>1.0</v>
      </c>
      <c r="G1472" s="85">
        <v>62.0</v>
      </c>
      <c r="H1472" s="85">
        <v>1.0</v>
      </c>
      <c r="I1472" s="85">
        <v>57.0</v>
      </c>
      <c r="J1472" s="95">
        <f t="shared" si="1107"/>
        <v>5</v>
      </c>
      <c r="K1472" s="87">
        <f t="shared" si="1108"/>
        <v>1.087719298</v>
      </c>
      <c r="L1472" s="85">
        <v>14.0</v>
      </c>
      <c r="M1472" s="85">
        <v>90.0</v>
      </c>
      <c r="N1472" s="85">
        <v>1.0</v>
      </c>
      <c r="O1472" s="110">
        <f t="shared" si="1114"/>
        <v>17</v>
      </c>
      <c r="P1472" s="85">
        <v>4.0</v>
      </c>
      <c r="Q1472" s="85">
        <v>4.0</v>
      </c>
      <c r="R1472" s="85">
        <v>7.0</v>
      </c>
      <c r="S1472" s="85">
        <v>2.0</v>
      </c>
      <c r="T1472" s="85">
        <v>10.0</v>
      </c>
      <c r="U1472" s="85">
        <v>3.0</v>
      </c>
      <c r="V1472" s="85">
        <v>1.0</v>
      </c>
      <c r="W1472" s="85">
        <v>1.0</v>
      </c>
      <c r="X1472" s="94">
        <v>0.0</v>
      </c>
      <c r="Y1472" s="94">
        <v>0.0</v>
      </c>
      <c r="Z1472" s="94">
        <v>0.0</v>
      </c>
      <c r="AA1472" s="94">
        <v>0.0</v>
      </c>
      <c r="AB1472" s="94">
        <v>0.0</v>
      </c>
      <c r="AC1472" s="85">
        <v>2.0</v>
      </c>
      <c r="AD1472" s="94">
        <v>0.0</v>
      </c>
      <c r="AE1472" s="94">
        <v>0.0</v>
      </c>
      <c r="AF1472" s="94">
        <v>0.0</v>
      </c>
      <c r="AG1472" s="85">
        <v>1.0</v>
      </c>
      <c r="AH1472" s="94">
        <v>0.0</v>
      </c>
    </row>
    <row r="1473" hidden="1">
      <c r="A1473" s="83" t="s">
        <v>58</v>
      </c>
      <c r="B1473" s="84" t="s">
        <v>212</v>
      </c>
      <c r="C1473" s="85">
        <v>1.0</v>
      </c>
      <c r="D1473" s="85">
        <v>1.0</v>
      </c>
      <c r="E1473" s="86">
        <v>17.0</v>
      </c>
      <c r="F1473" s="94">
        <v>0.0</v>
      </c>
      <c r="G1473" s="85">
        <v>54.0</v>
      </c>
      <c r="H1473" s="85">
        <v>1.0</v>
      </c>
      <c r="I1473" s="85">
        <v>56.0</v>
      </c>
      <c r="J1473" s="95">
        <f t="shared" si="1107"/>
        <v>-2</v>
      </c>
      <c r="K1473" s="87">
        <f t="shared" si="1108"/>
        <v>0.9642857143</v>
      </c>
      <c r="L1473" s="85">
        <v>14.0</v>
      </c>
      <c r="M1473" s="85">
        <v>68.0</v>
      </c>
      <c r="N1473" s="85">
        <v>1.0</v>
      </c>
      <c r="O1473" s="110">
        <f t="shared" si="1114"/>
        <v>17</v>
      </c>
      <c r="P1473" s="85">
        <v>1.0</v>
      </c>
      <c r="Q1473" s="94">
        <v>0.0</v>
      </c>
      <c r="R1473" s="85">
        <v>2.0</v>
      </c>
      <c r="S1473" s="85">
        <v>1.0</v>
      </c>
      <c r="T1473" s="85">
        <v>10.0</v>
      </c>
      <c r="U1473" s="85">
        <v>1.0</v>
      </c>
      <c r="V1473" s="94">
        <v>0.0</v>
      </c>
      <c r="W1473" s="94">
        <v>0.0</v>
      </c>
      <c r="X1473" s="94">
        <v>0.0</v>
      </c>
      <c r="Y1473" s="94">
        <v>0.0</v>
      </c>
      <c r="Z1473" s="94">
        <v>0.0</v>
      </c>
      <c r="AA1473" s="94">
        <v>0.0</v>
      </c>
      <c r="AB1473" s="94">
        <v>0.0</v>
      </c>
      <c r="AC1473" s="85">
        <v>3.0</v>
      </c>
      <c r="AD1473" s="94">
        <v>0.0</v>
      </c>
      <c r="AE1473" s="94">
        <v>0.0</v>
      </c>
      <c r="AF1473" s="94">
        <v>0.0</v>
      </c>
      <c r="AG1473" s="94">
        <v>0.0</v>
      </c>
      <c r="AH1473" s="94">
        <v>0.0</v>
      </c>
    </row>
    <row r="1474" hidden="1">
      <c r="A1474" s="83" t="s">
        <v>58</v>
      </c>
      <c r="B1474" s="84" t="s">
        <v>213</v>
      </c>
      <c r="C1474" s="94">
        <v>0.0</v>
      </c>
      <c r="D1474" s="94">
        <v>0.0</v>
      </c>
      <c r="E1474" s="96">
        <f>SUM(L1474*I1474)/60</f>
        <v>0</v>
      </c>
      <c r="F1474" s="94">
        <v>0.0</v>
      </c>
      <c r="G1474" s="94">
        <v>0.0</v>
      </c>
      <c r="H1474" s="94">
        <v>0.0</v>
      </c>
      <c r="I1474" s="94">
        <v>0.0</v>
      </c>
      <c r="J1474" s="95">
        <f t="shared" si="1107"/>
        <v>0</v>
      </c>
      <c r="K1474" s="87" t="str">
        <f t="shared" si="1108"/>
        <v>#DIV/0!</v>
      </c>
      <c r="L1474" s="94">
        <v>0.0</v>
      </c>
      <c r="M1474" s="94">
        <v>0.0</v>
      </c>
      <c r="N1474" s="85">
        <v>0.0</v>
      </c>
      <c r="O1474" s="110">
        <f t="shared" si="1114"/>
        <v>0</v>
      </c>
      <c r="P1474" s="94">
        <v>0.0</v>
      </c>
      <c r="Q1474" s="94">
        <v>0.0</v>
      </c>
      <c r="R1474" s="94">
        <v>0.0</v>
      </c>
      <c r="S1474" s="94">
        <v>0.0</v>
      </c>
      <c r="T1474" s="94">
        <v>0.0</v>
      </c>
      <c r="U1474" s="94">
        <v>0.0</v>
      </c>
      <c r="V1474" s="94">
        <v>0.0</v>
      </c>
      <c r="W1474" s="94">
        <v>0.0</v>
      </c>
      <c r="X1474" s="94">
        <v>0.0</v>
      </c>
      <c r="Y1474" s="94">
        <v>0.0</v>
      </c>
      <c r="Z1474" s="94">
        <v>0.0</v>
      </c>
      <c r="AA1474" s="94">
        <v>0.0</v>
      </c>
      <c r="AB1474" s="94">
        <v>0.0</v>
      </c>
      <c r="AC1474" s="94">
        <v>0.0</v>
      </c>
      <c r="AD1474" s="94">
        <v>0.0</v>
      </c>
      <c r="AE1474" s="94">
        <v>0.0</v>
      </c>
      <c r="AF1474" s="94">
        <v>0.0</v>
      </c>
      <c r="AG1474" s="94">
        <v>0.0</v>
      </c>
      <c r="AH1474" s="94">
        <v>0.0</v>
      </c>
    </row>
    <row r="1475" hidden="1">
      <c r="A1475" s="83" t="s">
        <v>214</v>
      </c>
      <c r="B1475" s="84" t="s">
        <v>216</v>
      </c>
      <c r="C1475" s="85">
        <v>1.0</v>
      </c>
      <c r="D1475" s="85">
        <v>1.0</v>
      </c>
      <c r="E1475" s="86">
        <v>17.0</v>
      </c>
      <c r="F1475" s="85">
        <v>3.0</v>
      </c>
      <c r="G1475" s="85">
        <v>41.0</v>
      </c>
      <c r="H1475" s="94">
        <v>0.0</v>
      </c>
      <c r="I1475" s="85">
        <v>33.0</v>
      </c>
      <c r="J1475" s="95">
        <f t="shared" si="1107"/>
        <v>8</v>
      </c>
      <c r="K1475" s="87">
        <f t="shared" si="1108"/>
        <v>1.242424242</v>
      </c>
      <c r="L1475" s="85">
        <v>26.0</v>
      </c>
      <c r="M1475" s="85">
        <v>60.0</v>
      </c>
      <c r="N1475" s="85">
        <v>1.0</v>
      </c>
      <c r="O1475" s="110">
        <f t="shared" si="1114"/>
        <v>17</v>
      </c>
      <c r="P1475" s="85">
        <v>4.0</v>
      </c>
      <c r="Q1475" s="94">
        <v>0.0</v>
      </c>
      <c r="R1475" s="85">
        <v>4.0</v>
      </c>
      <c r="S1475" s="85">
        <v>1.0</v>
      </c>
      <c r="T1475" s="85">
        <v>4.0</v>
      </c>
      <c r="U1475" s="85">
        <v>1.0</v>
      </c>
      <c r="V1475" s="85">
        <v>1.0</v>
      </c>
      <c r="W1475" s="94">
        <v>0.0</v>
      </c>
      <c r="X1475" s="94">
        <v>0.0</v>
      </c>
      <c r="Y1475" s="94">
        <v>0.0</v>
      </c>
      <c r="Z1475" s="94">
        <v>0.0</v>
      </c>
      <c r="AA1475" s="94">
        <v>0.0</v>
      </c>
      <c r="AB1475" s="94">
        <v>0.0</v>
      </c>
      <c r="AC1475" s="85">
        <v>1.0</v>
      </c>
      <c r="AD1475" s="94">
        <v>0.0</v>
      </c>
      <c r="AE1475" s="94">
        <v>0.0</v>
      </c>
      <c r="AF1475" s="94">
        <v>0.0</v>
      </c>
      <c r="AG1475" s="94">
        <v>0.0</v>
      </c>
      <c r="AH1475" s="94">
        <v>0.0</v>
      </c>
    </row>
    <row r="1476" hidden="1">
      <c r="A1476" s="89" t="s">
        <v>185</v>
      </c>
      <c r="B1476" s="111"/>
      <c r="C1476" s="111">
        <f>SUM(C1470:C1475)</f>
        <v>4</v>
      </c>
      <c r="D1476" s="111">
        <f t="shared" ref="D1476:E1476" si="1115">SUM(D1470:D1475)/4</f>
        <v>1</v>
      </c>
      <c r="E1476" s="91">
        <f t="shared" si="1115"/>
        <v>17</v>
      </c>
      <c r="F1476" s="111">
        <f t="shared" ref="F1476:G1476" si="1116">SUM(F1470:F1475)</f>
        <v>5</v>
      </c>
      <c r="G1476" s="111">
        <f t="shared" si="1116"/>
        <v>222</v>
      </c>
      <c r="H1476" s="111"/>
      <c r="I1476" s="111">
        <f>SUM(I1470:I1475)</f>
        <v>213</v>
      </c>
      <c r="J1476" s="111">
        <f t="shared" si="1107"/>
        <v>9</v>
      </c>
      <c r="K1476" s="92">
        <f t="shared" si="1108"/>
        <v>1.042253521</v>
      </c>
      <c r="L1476" s="111">
        <f t="shared" ref="L1476:M1476" si="1117">SUM(L1470:L1475)</f>
        <v>66</v>
      </c>
      <c r="M1476" s="111">
        <f t="shared" si="1117"/>
        <v>300</v>
      </c>
      <c r="N1476" s="111"/>
      <c r="O1476" s="112"/>
      <c r="P1476" s="111">
        <f t="shared" ref="P1476:AH1476" si="1118">SUM(P1470:P1475)</f>
        <v>11</v>
      </c>
      <c r="Q1476" s="111">
        <f t="shared" si="1118"/>
        <v>4</v>
      </c>
      <c r="R1476" s="111">
        <f t="shared" si="1118"/>
        <v>18</v>
      </c>
      <c r="S1476" s="111">
        <f t="shared" si="1118"/>
        <v>5</v>
      </c>
      <c r="T1476" s="111">
        <f t="shared" si="1118"/>
        <v>35</v>
      </c>
      <c r="U1476" s="111">
        <f t="shared" si="1118"/>
        <v>6</v>
      </c>
      <c r="V1476" s="111">
        <f t="shared" si="1118"/>
        <v>2</v>
      </c>
      <c r="W1476" s="111">
        <f t="shared" si="1118"/>
        <v>1</v>
      </c>
      <c r="X1476" s="111">
        <f t="shared" si="1118"/>
        <v>0</v>
      </c>
      <c r="Y1476" s="111">
        <f t="shared" si="1118"/>
        <v>0</v>
      </c>
      <c r="Z1476" s="111">
        <f t="shared" si="1118"/>
        <v>0</v>
      </c>
      <c r="AA1476" s="111">
        <f t="shared" si="1118"/>
        <v>0</v>
      </c>
      <c r="AB1476" s="111">
        <f t="shared" si="1118"/>
        <v>0</v>
      </c>
      <c r="AC1476" s="111">
        <f t="shared" si="1118"/>
        <v>7</v>
      </c>
      <c r="AD1476" s="111">
        <f t="shared" si="1118"/>
        <v>0</v>
      </c>
      <c r="AE1476" s="111">
        <f t="shared" si="1118"/>
        <v>0</v>
      </c>
      <c r="AF1476" s="111">
        <f t="shared" si="1118"/>
        <v>0</v>
      </c>
      <c r="AG1476" s="111">
        <f t="shared" si="1118"/>
        <v>1</v>
      </c>
      <c r="AH1476" s="111">
        <f t="shared" si="1118"/>
        <v>0</v>
      </c>
    </row>
    <row r="1477">
      <c r="A1477" s="104" t="s">
        <v>338</v>
      </c>
    </row>
    <row r="1479" hidden="1">
      <c r="A1479" s="105"/>
      <c r="F1479" s="106" t="s">
        <v>251</v>
      </c>
      <c r="L1479" s="107" t="s">
        <v>252</v>
      </c>
      <c r="N1479" s="108" t="s">
        <v>253</v>
      </c>
    </row>
    <row r="1480" hidden="1">
      <c r="A1480" s="76" t="s">
        <v>148</v>
      </c>
      <c r="B1480" s="76" t="s">
        <v>149</v>
      </c>
      <c r="C1480" s="76" t="s">
        <v>150</v>
      </c>
      <c r="D1480" s="76" t="s">
        <v>13</v>
      </c>
      <c r="E1480" s="77" t="s">
        <v>151</v>
      </c>
      <c r="F1480" s="78" t="s">
        <v>15</v>
      </c>
      <c r="G1480" s="78" t="s">
        <v>152</v>
      </c>
      <c r="H1480" s="78" t="s">
        <v>153</v>
      </c>
      <c r="I1480" s="78" t="s">
        <v>154</v>
      </c>
      <c r="J1480" s="78" t="s">
        <v>155</v>
      </c>
      <c r="K1480" s="79" t="s">
        <v>156</v>
      </c>
      <c r="L1480" s="80" t="s">
        <v>157</v>
      </c>
      <c r="M1480" s="80" t="s">
        <v>158</v>
      </c>
      <c r="N1480" s="81" t="s">
        <v>254</v>
      </c>
      <c r="O1480" s="81" t="s">
        <v>151</v>
      </c>
      <c r="P1480" s="81" t="s">
        <v>160</v>
      </c>
      <c r="Q1480" s="81" t="s">
        <v>161</v>
      </c>
      <c r="R1480" s="81" t="s">
        <v>162</v>
      </c>
      <c r="S1480" s="81" t="s">
        <v>163</v>
      </c>
      <c r="T1480" s="81" t="s">
        <v>164</v>
      </c>
      <c r="U1480" s="81" t="s">
        <v>165</v>
      </c>
      <c r="V1480" s="81" t="s">
        <v>166</v>
      </c>
      <c r="W1480" s="81" t="s">
        <v>167</v>
      </c>
      <c r="X1480" s="81" t="s">
        <v>168</v>
      </c>
      <c r="Y1480" s="81" t="s">
        <v>169</v>
      </c>
      <c r="Z1480" s="81" t="s">
        <v>170</v>
      </c>
      <c r="AA1480" s="81" t="s">
        <v>171</v>
      </c>
      <c r="AB1480" s="81" t="s">
        <v>172</v>
      </c>
      <c r="AC1480" s="81" t="s">
        <v>173</v>
      </c>
      <c r="AD1480" s="81" t="s">
        <v>174</v>
      </c>
      <c r="AE1480" s="81" t="s">
        <v>175</v>
      </c>
      <c r="AF1480" s="81" t="s">
        <v>176</v>
      </c>
      <c r="AG1480" s="81" t="s">
        <v>177</v>
      </c>
      <c r="AH1480" s="81" t="s">
        <v>178</v>
      </c>
    </row>
    <row r="1481" hidden="1">
      <c r="A1481" s="83" t="s">
        <v>53</v>
      </c>
      <c r="B1481" s="84" t="s">
        <v>192</v>
      </c>
      <c r="C1481" s="85">
        <v>1.0</v>
      </c>
      <c r="D1481" s="94">
        <v>0.0</v>
      </c>
      <c r="E1481" s="86">
        <v>19.0</v>
      </c>
      <c r="F1481" s="85">
        <v>4.0</v>
      </c>
      <c r="G1481" s="85">
        <v>44.0</v>
      </c>
      <c r="H1481" s="85">
        <v>1.0</v>
      </c>
      <c r="I1481" s="85">
        <v>79.0</v>
      </c>
      <c r="J1481" s="95">
        <f t="shared" ref="J1481:J1494" si="1119">SUM(G1481-I1481)</f>
        <v>-35</v>
      </c>
      <c r="K1481" s="87">
        <f t="shared" ref="K1481:K1494" si="1120">SUM(G1481/I1481)</f>
        <v>0.5569620253</v>
      </c>
      <c r="L1481" s="85">
        <v>11.0</v>
      </c>
      <c r="M1481" s="85">
        <v>57.0</v>
      </c>
      <c r="N1481" s="85">
        <v>1.0</v>
      </c>
      <c r="O1481" s="110">
        <f t="shared" ref="O1481:O1486" si="1121">(E1481*N1481)</f>
        <v>19</v>
      </c>
      <c r="P1481" s="85">
        <v>4.0</v>
      </c>
      <c r="Q1481" s="85">
        <v>1.0</v>
      </c>
      <c r="R1481" s="85">
        <v>1.0</v>
      </c>
      <c r="S1481" s="85">
        <v>3.0</v>
      </c>
      <c r="T1481" s="85">
        <v>1.0</v>
      </c>
      <c r="U1481" s="94">
        <v>0.0</v>
      </c>
      <c r="V1481" s="94">
        <v>0.0</v>
      </c>
      <c r="W1481" s="94">
        <v>0.0</v>
      </c>
      <c r="X1481" s="94">
        <v>0.0</v>
      </c>
      <c r="Y1481" s="94">
        <v>0.0</v>
      </c>
      <c r="Z1481" s="94">
        <v>0.0</v>
      </c>
      <c r="AA1481" s="94">
        <v>0.0</v>
      </c>
      <c r="AB1481" s="94">
        <v>0.0</v>
      </c>
      <c r="AC1481" s="94">
        <v>0.0</v>
      </c>
      <c r="AD1481" s="94">
        <v>0.0</v>
      </c>
      <c r="AE1481" s="94">
        <v>0.0</v>
      </c>
      <c r="AF1481" s="94">
        <v>0.0</v>
      </c>
      <c r="AG1481" s="94">
        <v>0.0</v>
      </c>
      <c r="AH1481" s="94">
        <v>0.0</v>
      </c>
    </row>
    <row r="1482" hidden="1">
      <c r="A1482" s="83" t="s">
        <v>53</v>
      </c>
      <c r="B1482" s="84" t="s">
        <v>193</v>
      </c>
      <c r="C1482" s="85">
        <v>0.0</v>
      </c>
      <c r="D1482" s="85">
        <v>0.0</v>
      </c>
      <c r="E1482" s="96">
        <f>SUM(L1482*I1482)/60</f>
        <v>0</v>
      </c>
      <c r="F1482" s="94">
        <v>0.0</v>
      </c>
      <c r="G1482" s="94">
        <v>0.0</v>
      </c>
      <c r="H1482" s="94">
        <v>0.0</v>
      </c>
      <c r="I1482" s="94">
        <v>0.0</v>
      </c>
      <c r="J1482" s="95">
        <f t="shared" si="1119"/>
        <v>0</v>
      </c>
      <c r="K1482" s="87" t="str">
        <f t="shared" si="1120"/>
        <v>#DIV/0!</v>
      </c>
      <c r="L1482" s="94">
        <v>0.0</v>
      </c>
      <c r="M1482" s="94">
        <v>0.0</v>
      </c>
      <c r="N1482" s="85">
        <v>0.0</v>
      </c>
      <c r="O1482" s="110">
        <f t="shared" si="1121"/>
        <v>0</v>
      </c>
      <c r="P1482" s="94">
        <v>0.0</v>
      </c>
      <c r="Q1482" s="94">
        <v>0.0</v>
      </c>
      <c r="R1482" s="94">
        <v>0.0</v>
      </c>
      <c r="S1482" s="94">
        <v>0.0</v>
      </c>
      <c r="T1482" s="94">
        <v>0.0</v>
      </c>
      <c r="U1482" s="94">
        <v>0.0</v>
      </c>
      <c r="V1482" s="94">
        <v>0.0</v>
      </c>
      <c r="W1482" s="94">
        <v>0.0</v>
      </c>
      <c r="X1482" s="94">
        <v>0.0</v>
      </c>
      <c r="Y1482" s="94">
        <v>0.0</v>
      </c>
      <c r="Z1482" s="94">
        <v>0.0</v>
      </c>
      <c r="AA1482" s="94">
        <v>0.0</v>
      </c>
      <c r="AB1482" s="94">
        <v>0.0</v>
      </c>
      <c r="AC1482" s="94">
        <v>0.0</v>
      </c>
      <c r="AD1482" s="94">
        <v>0.0</v>
      </c>
      <c r="AE1482" s="94">
        <v>0.0</v>
      </c>
      <c r="AF1482" s="94">
        <v>0.0</v>
      </c>
      <c r="AG1482" s="94">
        <v>0.0</v>
      </c>
      <c r="AH1482" s="94">
        <v>0.0</v>
      </c>
    </row>
    <row r="1483" hidden="1">
      <c r="A1483" s="83" t="s">
        <v>53</v>
      </c>
      <c r="B1483" s="84" t="s">
        <v>194</v>
      </c>
      <c r="C1483" s="85">
        <v>1.0</v>
      </c>
      <c r="D1483" s="85">
        <v>0.0</v>
      </c>
      <c r="E1483" s="86">
        <v>19.0</v>
      </c>
      <c r="F1483" s="85">
        <v>1.0</v>
      </c>
      <c r="G1483" s="85">
        <v>71.0</v>
      </c>
      <c r="H1483" s="94">
        <v>0.0</v>
      </c>
      <c r="I1483" s="85">
        <v>69.0</v>
      </c>
      <c r="J1483" s="95">
        <f t="shared" si="1119"/>
        <v>2</v>
      </c>
      <c r="K1483" s="87">
        <f t="shared" si="1120"/>
        <v>1.028985507</v>
      </c>
      <c r="L1483" s="85">
        <v>13.0</v>
      </c>
      <c r="M1483" s="85">
        <v>100.0</v>
      </c>
      <c r="N1483" s="85">
        <v>1.0</v>
      </c>
      <c r="O1483" s="110">
        <f t="shared" si="1121"/>
        <v>19</v>
      </c>
      <c r="P1483" s="85">
        <v>2.0</v>
      </c>
      <c r="Q1483" s="85">
        <v>4.0</v>
      </c>
      <c r="R1483" s="85">
        <v>3.0</v>
      </c>
      <c r="S1483" s="85">
        <v>4.0</v>
      </c>
      <c r="T1483" s="85">
        <v>13.0</v>
      </c>
      <c r="U1483" s="85">
        <v>5.0</v>
      </c>
      <c r="V1483" s="94">
        <v>0.0</v>
      </c>
      <c r="W1483" s="94">
        <v>0.0</v>
      </c>
      <c r="X1483" s="94">
        <v>0.0</v>
      </c>
      <c r="Y1483" s="94">
        <v>0.0</v>
      </c>
      <c r="Z1483" s="94">
        <v>0.0</v>
      </c>
      <c r="AA1483" s="94">
        <v>0.0</v>
      </c>
      <c r="AB1483" s="94">
        <v>0.0</v>
      </c>
      <c r="AC1483" s="85">
        <v>1.0</v>
      </c>
      <c r="AD1483" s="94">
        <v>0.0</v>
      </c>
      <c r="AE1483" s="94">
        <v>0.0</v>
      </c>
      <c r="AF1483" s="94">
        <v>0.0</v>
      </c>
      <c r="AG1483" s="94">
        <v>0.0</v>
      </c>
      <c r="AH1483" s="94">
        <v>0.0</v>
      </c>
    </row>
    <row r="1484" hidden="1">
      <c r="A1484" s="83" t="s">
        <v>53</v>
      </c>
      <c r="B1484" s="84" t="s">
        <v>195</v>
      </c>
      <c r="C1484" s="85">
        <v>0.0</v>
      </c>
      <c r="D1484" s="94">
        <v>0.0</v>
      </c>
      <c r="E1484" s="96">
        <f>SUM(L1484*I1484)/60</f>
        <v>0</v>
      </c>
      <c r="F1484" s="94">
        <v>0.0</v>
      </c>
      <c r="G1484" s="94">
        <v>0.0</v>
      </c>
      <c r="H1484" s="94">
        <v>0.0</v>
      </c>
      <c r="I1484" s="94">
        <v>0.0</v>
      </c>
      <c r="J1484" s="95">
        <f t="shared" si="1119"/>
        <v>0</v>
      </c>
      <c r="K1484" s="87" t="str">
        <f t="shared" si="1120"/>
        <v>#DIV/0!</v>
      </c>
      <c r="L1484" s="94">
        <v>0.0</v>
      </c>
      <c r="M1484" s="94">
        <v>0.0</v>
      </c>
      <c r="N1484" s="85">
        <v>0.0</v>
      </c>
      <c r="O1484" s="110">
        <f t="shared" si="1121"/>
        <v>0</v>
      </c>
      <c r="P1484" s="94">
        <v>0.0</v>
      </c>
      <c r="Q1484" s="94">
        <v>0.0</v>
      </c>
      <c r="R1484" s="94">
        <v>0.0</v>
      </c>
      <c r="S1484" s="94">
        <v>0.0</v>
      </c>
      <c r="T1484" s="94">
        <v>0.0</v>
      </c>
      <c r="U1484" s="94">
        <v>0.0</v>
      </c>
      <c r="V1484" s="94">
        <v>0.0</v>
      </c>
      <c r="W1484" s="94">
        <v>0.0</v>
      </c>
      <c r="X1484" s="94">
        <v>0.0</v>
      </c>
      <c r="Y1484" s="94">
        <v>0.0</v>
      </c>
      <c r="Z1484" s="94">
        <v>0.0</v>
      </c>
      <c r="AA1484" s="94">
        <v>0.0</v>
      </c>
      <c r="AB1484" s="94">
        <v>0.0</v>
      </c>
      <c r="AC1484" s="94">
        <v>0.0</v>
      </c>
      <c r="AD1484" s="94">
        <v>0.0</v>
      </c>
      <c r="AE1484" s="94">
        <v>0.0</v>
      </c>
      <c r="AF1484" s="94">
        <v>0.0</v>
      </c>
      <c r="AG1484" s="94">
        <v>0.0</v>
      </c>
      <c r="AH1484" s="94">
        <v>0.0</v>
      </c>
    </row>
    <row r="1485" hidden="1">
      <c r="A1485" s="83" t="s">
        <v>53</v>
      </c>
      <c r="B1485" s="84" t="s">
        <v>196</v>
      </c>
      <c r="C1485" s="85">
        <v>1.0</v>
      </c>
      <c r="D1485" s="94">
        <v>0.0</v>
      </c>
      <c r="E1485" s="86">
        <v>19.0</v>
      </c>
      <c r="F1485" s="94">
        <v>0.0</v>
      </c>
      <c r="G1485" s="85">
        <v>54.0</v>
      </c>
      <c r="H1485" s="94">
        <v>0.0</v>
      </c>
      <c r="I1485" s="85">
        <v>60.0</v>
      </c>
      <c r="J1485" s="95">
        <f t="shared" si="1119"/>
        <v>-6</v>
      </c>
      <c r="K1485" s="87">
        <f t="shared" si="1120"/>
        <v>0.9</v>
      </c>
      <c r="L1485" s="85">
        <v>16.0</v>
      </c>
      <c r="M1485" s="85">
        <v>59.0</v>
      </c>
      <c r="N1485" s="85">
        <v>1.0</v>
      </c>
      <c r="O1485" s="110">
        <f t="shared" si="1121"/>
        <v>19</v>
      </c>
      <c r="P1485" s="85">
        <v>1.0</v>
      </c>
      <c r="Q1485" s="85">
        <v>1.0</v>
      </c>
      <c r="R1485" s="85">
        <v>1.0</v>
      </c>
      <c r="S1485" s="85">
        <v>1.0</v>
      </c>
      <c r="T1485" s="85">
        <v>10.0</v>
      </c>
      <c r="U1485" s="85">
        <v>3.0</v>
      </c>
      <c r="V1485" s="94">
        <v>0.0</v>
      </c>
      <c r="W1485" s="94">
        <v>0.0</v>
      </c>
      <c r="X1485" s="94">
        <v>0.0</v>
      </c>
      <c r="Y1485" s="94">
        <v>0.0</v>
      </c>
      <c r="Z1485" s="94">
        <v>0.0</v>
      </c>
      <c r="AA1485" s="94">
        <v>0.0</v>
      </c>
      <c r="AB1485" s="94">
        <v>0.0</v>
      </c>
      <c r="AC1485" s="94">
        <v>0.0</v>
      </c>
      <c r="AD1485" s="94">
        <v>0.0</v>
      </c>
      <c r="AE1485" s="94">
        <v>0.0</v>
      </c>
      <c r="AF1485" s="94">
        <v>0.0</v>
      </c>
      <c r="AG1485" s="94">
        <v>0.0</v>
      </c>
      <c r="AH1485" s="94">
        <v>0.0</v>
      </c>
    </row>
    <row r="1486" hidden="1">
      <c r="A1486" s="83" t="s">
        <v>53</v>
      </c>
      <c r="B1486" s="84" t="s">
        <v>216</v>
      </c>
      <c r="C1486" s="85">
        <v>1.0</v>
      </c>
      <c r="D1486" s="94">
        <v>0.0</v>
      </c>
      <c r="E1486" s="86">
        <v>19.0</v>
      </c>
      <c r="F1486" s="94">
        <v>0.0</v>
      </c>
      <c r="G1486" s="85">
        <v>46.0</v>
      </c>
      <c r="H1486" s="85">
        <v>1.0</v>
      </c>
      <c r="I1486" s="85">
        <v>62.0</v>
      </c>
      <c r="J1486" s="95">
        <f t="shared" si="1119"/>
        <v>-16</v>
      </c>
      <c r="K1486" s="87">
        <f t="shared" si="1120"/>
        <v>0.7419354839</v>
      </c>
      <c r="L1486" s="85">
        <v>15.0</v>
      </c>
      <c r="M1486" s="85">
        <v>63.0</v>
      </c>
      <c r="N1486" s="85">
        <v>1.0</v>
      </c>
      <c r="O1486" s="110">
        <f t="shared" si="1121"/>
        <v>19</v>
      </c>
      <c r="P1486" s="85">
        <v>5.0</v>
      </c>
      <c r="Q1486" s="85">
        <v>1.0</v>
      </c>
      <c r="R1486" s="94">
        <v>0.0</v>
      </c>
      <c r="S1486" s="85">
        <v>3.0</v>
      </c>
      <c r="T1486" s="85">
        <v>5.0</v>
      </c>
      <c r="U1486" s="85">
        <v>3.0</v>
      </c>
      <c r="V1486" s="85">
        <v>1.0</v>
      </c>
      <c r="W1486" s="85">
        <v>1.0</v>
      </c>
      <c r="X1486" s="94">
        <v>0.0</v>
      </c>
      <c r="Y1486" s="94">
        <v>0.0</v>
      </c>
      <c r="Z1486" s="94">
        <v>0.0</v>
      </c>
      <c r="AA1486" s="94">
        <v>0.0</v>
      </c>
      <c r="AB1486" s="94">
        <v>0.0</v>
      </c>
      <c r="AC1486" s="85">
        <v>1.0</v>
      </c>
      <c r="AD1486" s="94">
        <v>0.0</v>
      </c>
      <c r="AE1486" s="94">
        <v>0.0</v>
      </c>
      <c r="AF1486" s="94">
        <v>0.0</v>
      </c>
      <c r="AG1486" s="94">
        <v>0.0</v>
      </c>
      <c r="AH1486" s="94">
        <v>0.0</v>
      </c>
    </row>
    <row r="1487" hidden="1">
      <c r="A1487" s="89"/>
      <c r="B1487" s="111"/>
      <c r="C1487" s="111">
        <f t="shared" ref="C1487:D1487" si="1122">SUM(C1481:C1486)/4</f>
        <v>1</v>
      </c>
      <c r="D1487" s="111">
        <f t="shared" si="1122"/>
        <v>0</v>
      </c>
      <c r="E1487" s="91">
        <f t="shared" ref="E1487:G1487" si="1123">SUM(E1481:E1486)</f>
        <v>76</v>
      </c>
      <c r="F1487" s="111">
        <f t="shared" si="1123"/>
        <v>5</v>
      </c>
      <c r="G1487" s="111">
        <f t="shared" si="1123"/>
        <v>215</v>
      </c>
      <c r="H1487" s="111"/>
      <c r="I1487" s="111">
        <f>SUM(I1481:I1486)</f>
        <v>270</v>
      </c>
      <c r="J1487" s="111">
        <f t="shared" si="1119"/>
        <v>-55</v>
      </c>
      <c r="K1487" s="92">
        <f t="shared" si="1120"/>
        <v>0.7962962963</v>
      </c>
      <c r="L1487" s="111">
        <f t="shared" ref="L1487:M1487" si="1124">SUM(L1481:L1486)</f>
        <v>55</v>
      </c>
      <c r="M1487" s="111">
        <f t="shared" si="1124"/>
        <v>279</v>
      </c>
      <c r="N1487" s="111"/>
      <c r="O1487" s="112"/>
      <c r="P1487" s="111">
        <f t="shared" ref="P1487:AH1487" si="1125">SUM(P1481:P1486)</f>
        <v>12</v>
      </c>
      <c r="Q1487" s="111">
        <f t="shared" si="1125"/>
        <v>7</v>
      </c>
      <c r="R1487" s="111">
        <f t="shared" si="1125"/>
        <v>5</v>
      </c>
      <c r="S1487" s="111">
        <f t="shared" si="1125"/>
        <v>11</v>
      </c>
      <c r="T1487" s="111">
        <f t="shared" si="1125"/>
        <v>29</v>
      </c>
      <c r="U1487" s="111">
        <f t="shared" si="1125"/>
        <v>11</v>
      </c>
      <c r="V1487" s="111">
        <f t="shared" si="1125"/>
        <v>1</v>
      </c>
      <c r="W1487" s="111">
        <f t="shared" si="1125"/>
        <v>1</v>
      </c>
      <c r="X1487" s="111">
        <f t="shared" si="1125"/>
        <v>0</v>
      </c>
      <c r="Y1487" s="111">
        <f t="shared" si="1125"/>
        <v>0</v>
      </c>
      <c r="Z1487" s="111">
        <f t="shared" si="1125"/>
        <v>0</v>
      </c>
      <c r="AA1487" s="111">
        <f t="shared" si="1125"/>
        <v>0</v>
      </c>
      <c r="AB1487" s="111">
        <f t="shared" si="1125"/>
        <v>0</v>
      </c>
      <c r="AC1487" s="111">
        <f t="shared" si="1125"/>
        <v>2</v>
      </c>
      <c r="AD1487" s="111">
        <f t="shared" si="1125"/>
        <v>0</v>
      </c>
      <c r="AE1487" s="111">
        <f t="shared" si="1125"/>
        <v>0</v>
      </c>
      <c r="AF1487" s="111">
        <f t="shared" si="1125"/>
        <v>0</v>
      </c>
      <c r="AG1487" s="111">
        <f t="shared" si="1125"/>
        <v>0</v>
      </c>
      <c r="AH1487" s="111">
        <f t="shared" si="1125"/>
        <v>0</v>
      </c>
    </row>
    <row r="1488" hidden="1">
      <c r="A1488" s="83" t="s">
        <v>58</v>
      </c>
      <c r="B1488" s="84" t="s">
        <v>209</v>
      </c>
      <c r="C1488" s="94">
        <v>0.0</v>
      </c>
      <c r="D1488" s="94">
        <v>0.0</v>
      </c>
      <c r="E1488" s="96">
        <f>SUM(L1488*I1488)/60</f>
        <v>0</v>
      </c>
      <c r="F1488" s="94">
        <v>0.0</v>
      </c>
      <c r="G1488" s="94">
        <v>0.0</v>
      </c>
      <c r="H1488" s="94">
        <v>0.0</v>
      </c>
      <c r="I1488" s="94">
        <v>0.0</v>
      </c>
      <c r="J1488" s="95">
        <f t="shared" si="1119"/>
        <v>0</v>
      </c>
      <c r="K1488" s="87" t="str">
        <f t="shared" si="1120"/>
        <v>#DIV/0!</v>
      </c>
      <c r="L1488" s="94">
        <v>0.0</v>
      </c>
      <c r="M1488" s="94">
        <v>0.0</v>
      </c>
      <c r="N1488" s="85">
        <v>0.0</v>
      </c>
      <c r="O1488" s="110">
        <f t="shared" ref="O1488:O1493" si="1126">(E1488*N1488)</f>
        <v>0</v>
      </c>
      <c r="P1488" s="94">
        <v>0.0</v>
      </c>
      <c r="Q1488" s="94">
        <v>0.0</v>
      </c>
      <c r="R1488" s="94">
        <v>0.0</v>
      </c>
      <c r="S1488" s="94">
        <v>0.0</v>
      </c>
      <c r="T1488" s="94">
        <v>0.0</v>
      </c>
      <c r="U1488" s="94">
        <v>0.0</v>
      </c>
      <c r="V1488" s="94">
        <v>0.0</v>
      </c>
      <c r="W1488" s="94">
        <v>0.0</v>
      </c>
      <c r="X1488" s="94">
        <v>0.0</v>
      </c>
      <c r="Y1488" s="94">
        <v>0.0</v>
      </c>
      <c r="Z1488" s="94">
        <v>0.0</v>
      </c>
      <c r="AA1488" s="94">
        <v>0.0</v>
      </c>
      <c r="AB1488" s="94">
        <v>0.0</v>
      </c>
      <c r="AC1488" s="94">
        <v>0.0</v>
      </c>
      <c r="AD1488" s="94">
        <v>0.0</v>
      </c>
      <c r="AE1488" s="94">
        <v>0.0</v>
      </c>
      <c r="AF1488" s="94">
        <v>0.0</v>
      </c>
      <c r="AG1488" s="94">
        <v>0.0</v>
      </c>
      <c r="AH1488" s="94">
        <v>0.0</v>
      </c>
    </row>
    <row r="1489" hidden="1">
      <c r="A1489" s="83" t="s">
        <v>58</v>
      </c>
      <c r="B1489" s="84" t="s">
        <v>210</v>
      </c>
      <c r="C1489" s="85">
        <v>1.0</v>
      </c>
      <c r="D1489" s="85">
        <v>1.0</v>
      </c>
      <c r="E1489" s="86">
        <v>19.0</v>
      </c>
      <c r="F1489" s="94">
        <v>0.0</v>
      </c>
      <c r="G1489" s="85">
        <v>63.0</v>
      </c>
      <c r="H1489" s="94">
        <v>0.0</v>
      </c>
      <c r="I1489" s="85">
        <v>62.0</v>
      </c>
      <c r="J1489" s="95">
        <f t="shared" si="1119"/>
        <v>1</v>
      </c>
      <c r="K1489" s="87">
        <f t="shared" si="1120"/>
        <v>1.016129032</v>
      </c>
      <c r="L1489" s="85">
        <v>15.0</v>
      </c>
      <c r="M1489" s="85">
        <v>79.0</v>
      </c>
      <c r="N1489" s="85">
        <v>1.0</v>
      </c>
      <c r="O1489" s="110">
        <f t="shared" si="1126"/>
        <v>19</v>
      </c>
      <c r="P1489" s="85">
        <v>1.0</v>
      </c>
      <c r="Q1489" s="94">
        <v>0.0</v>
      </c>
      <c r="R1489" s="85">
        <v>5.0</v>
      </c>
      <c r="S1489" s="85">
        <v>1.0</v>
      </c>
      <c r="T1489" s="85">
        <v>10.0</v>
      </c>
      <c r="U1489" s="94">
        <v>0.0</v>
      </c>
      <c r="V1489" s="94">
        <v>0.0</v>
      </c>
      <c r="W1489" s="94">
        <v>0.0</v>
      </c>
      <c r="X1489" s="94">
        <v>0.0</v>
      </c>
      <c r="Y1489" s="94">
        <v>0.0</v>
      </c>
      <c r="Z1489" s="94">
        <v>0.0</v>
      </c>
      <c r="AA1489" s="94">
        <v>0.0</v>
      </c>
      <c r="AB1489" s="94">
        <v>0.0</v>
      </c>
      <c r="AC1489" s="85">
        <v>2.0</v>
      </c>
      <c r="AD1489" s="94">
        <v>0.0</v>
      </c>
      <c r="AE1489" s="94">
        <v>0.0</v>
      </c>
      <c r="AF1489" s="94">
        <v>0.0</v>
      </c>
      <c r="AG1489" s="94">
        <v>0.0</v>
      </c>
      <c r="AH1489" s="94">
        <v>0.0</v>
      </c>
    </row>
    <row r="1490" hidden="1">
      <c r="A1490" s="83" t="s">
        <v>58</v>
      </c>
      <c r="B1490" s="84" t="s">
        <v>211</v>
      </c>
      <c r="C1490" s="85">
        <v>1.0</v>
      </c>
      <c r="D1490" s="85">
        <v>1.0</v>
      </c>
      <c r="E1490" s="86">
        <v>19.0</v>
      </c>
      <c r="F1490" s="94">
        <v>0.0</v>
      </c>
      <c r="G1490" s="85">
        <v>62.0</v>
      </c>
      <c r="H1490" s="94">
        <v>0.0</v>
      </c>
      <c r="I1490" s="85">
        <v>62.0</v>
      </c>
      <c r="J1490" s="95">
        <f t="shared" si="1119"/>
        <v>0</v>
      </c>
      <c r="K1490" s="87">
        <f t="shared" si="1120"/>
        <v>1</v>
      </c>
      <c r="L1490" s="85">
        <v>15.0</v>
      </c>
      <c r="M1490" s="85">
        <v>83.0</v>
      </c>
      <c r="N1490" s="85">
        <v>1.0</v>
      </c>
      <c r="O1490" s="110">
        <f t="shared" si="1126"/>
        <v>19</v>
      </c>
      <c r="P1490" s="85">
        <v>3.0</v>
      </c>
      <c r="Q1490" s="94">
        <v>0.0</v>
      </c>
      <c r="R1490" s="85">
        <v>6.0</v>
      </c>
      <c r="S1490" s="94">
        <v>0.0</v>
      </c>
      <c r="T1490" s="85">
        <v>7.0</v>
      </c>
      <c r="U1490" s="85">
        <v>2.0</v>
      </c>
      <c r="V1490" s="85">
        <v>2.0</v>
      </c>
      <c r="W1490" s="85">
        <v>2.0</v>
      </c>
      <c r="X1490" s="85">
        <v>1.0</v>
      </c>
      <c r="Y1490" s="94">
        <v>0.0</v>
      </c>
      <c r="Z1490" s="94">
        <v>0.0</v>
      </c>
      <c r="AA1490" s="94">
        <v>0.0</v>
      </c>
      <c r="AB1490" s="94">
        <v>0.0</v>
      </c>
      <c r="AC1490" s="85">
        <v>3.0</v>
      </c>
      <c r="AD1490" s="94">
        <v>0.0</v>
      </c>
      <c r="AE1490" s="94">
        <v>0.0</v>
      </c>
      <c r="AF1490" s="94">
        <v>0.0</v>
      </c>
      <c r="AG1490" s="94">
        <v>0.0</v>
      </c>
      <c r="AH1490" s="94">
        <v>0.0</v>
      </c>
    </row>
    <row r="1491" hidden="1">
      <c r="A1491" s="83" t="s">
        <v>58</v>
      </c>
      <c r="B1491" s="84" t="s">
        <v>212</v>
      </c>
      <c r="C1491" s="85">
        <v>1.0</v>
      </c>
      <c r="D1491" s="85">
        <v>1.0</v>
      </c>
      <c r="E1491" s="86">
        <v>19.0</v>
      </c>
      <c r="F1491" s="94">
        <v>0.0</v>
      </c>
      <c r="G1491" s="85">
        <v>85.0</v>
      </c>
      <c r="H1491" s="94">
        <v>0.0</v>
      </c>
      <c r="I1491" s="85">
        <v>63.0</v>
      </c>
      <c r="J1491" s="95">
        <f t="shared" si="1119"/>
        <v>22</v>
      </c>
      <c r="K1491" s="87">
        <f t="shared" si="1120"/>
        <v>1.349206349</v>
      </c>
      <c r="L1491" s="85">
        <v>15.0</v>
      </c>
      <c r="M1491" s="85">
        <v>117.0</v>
      </c>
      <c r="N1491" s="85">
        <v>1.0</v>
      </c>
      <c r="O1491" s="110">
        <f t="shared" si="1126"/>
        <v>19</v>
      </c>
      <c r="P1491" s="94">
        <v>0.0</v>
      </c>
      <c r="Q1491" s="94">
        <v>0.0</v>
      </c>
      <c r="R1491" s="85">
        <v>7.0</v>
      </c>
      <c r="S1491" s="85">
        <v>1.0</v>
      </c>
      <c r="T1491" s="85">
        <v>18.0</v>
      </c>
      <c r="U1491" s="85">
        <v>5.0</v>
      </c>
      <c r="V1491" s="85">
        <v>1.0</v>
      </c>
      <c r="W1491" s="94">
        <v>0.0</v>
      </c>
      <c r="X1491" s="94">
        <v>0.0</v>
      </c>
      <c r="Y1491" s="94">
        <v>0.0</v>
      </c>
      <c r="Z1491" s="94">
        <v>0.0</v>
      </c>
      <c r="AA1491" s="94">
        <v>0.0</v>
      </c>
      <c r="AB1491" s="94">
        <v>0.0</v>
      </c>
      <c r="AC1491" s="85">
        <v>5.0</v>
      </c>
      <c r="AD1491" s="94">
        <v>0.0</v>
      </c>
      <c r="AE1491" s="94">
        <v>0.0</v>
      </c>
      <c r="AF1491" s="94">
        <v>0.0</v>
      </c>
      <c r="AG1491" s="94">
        <v>0.0</v>
      </c>
      <c r="AH1491" s="94">
        <v>0.0</v>
      </c>
    </row>
    <row r="1492" hidden="1">
      <c r="A1492" s="83" t="s">
        <v>58</v>
      </c>
      <c r="B1492" s="84" t="s">
        <v>213</v>
      </c>
      <c r="C1492" s="94">
        <v>0.0</v>
      </c>
      <c r="D1492" s="94">
        <v>0.0</v>
      </c>
      <c r="E1492" s="96">
        <f>SUM(L1492*I1492)/60</f>
        <v>0</v>
      </c>
      <c r="F1492" s="94">
        <v>0.0</v>
      </c>
      <c r="G1492" s="94">
        <v>0.0</v>
      </c>
      <c r="H1492" s="94">
        <v>0.0</v>
      </c>
      <c r="I1492" s="94">
        <v>0.0</v>
      </c>
      <c r="J1492" s="95">
        <f t="shared" si="1119"/>
        <v>0</v>
      </c>
      <c r="K1492" s="87" t="str">
        <f t="shared" si="1120"/>
        <v>#DIV/0!</v>
      </c>
      <c r="L1492" s="94">
        <v>0.0</v>
      </c>
      <c r="M1492" s="94">
        <v>0.0</v>
      </c>
      <c r="N1492" s="85">
        <v>0.0</v>
      </c>
      <c r="O1492" s="110">
        <f t="shared" si="1126"/>
        <v>0</v>
      </c>
      <c r="P1492" s="94">
        <v>0.0</v>
      </c>
      <c r="Q1492" s="94">
        <v>0.0</v>
      </c>
      <c r="R1492" s="94">
        <v>0.0</v>
      </c>
      <c r="S1492" s="94">
        <v>0.0</v>
      </c>
      <c r="T1492" s="94">
        <v>0.0</v>
      </c>
      <c r="U1492" s="94">
        <v>0.0</v>
      </c>
      <c r="V1492" s="94">
        <v>0.0</v>
      </c>
      <c r="W1492" s="94">
        <v>0.0</v>
      </c>
      <c r="X1492" s="94">
        <v>0.0</v>
      </c>
      <c r="Y1492" s="94">
        <v>0.0</v>
      </c>
      <c r="Z1492" s="94">
        <v>0.0</v>
      </c>
      <c r="AA1492" s="94">
        <v>0.0</v>
      </c>
      <c r="AB1492" s="94">
        <v>0.0</v>
      </c>
      <c r="AC1492" s="94">
        <v>0.0</v>
      </c>
      <c r="AD1492" s="94">
        <v>0.0</v>
      </c>
      <c r="AE1492" s="94">
        <v>0.0</v>
      </c>
      <c r="AF1492" s="94">
        <v>0.0</v>
      </c>
      <c r="AG1492" s="94">
        <v>0.0</v>
      </c>
      <c r="AH1492" s="94">
        <v>0.0</v>
      </c>
    </row>
    <row r="1493" hidden="1">
      <c r="A1493" s="83" t="s">
        <v>214</v>
      </c>
      <c r="B1493" s="84" t="s">
        <v>182</v>
      </c>
      <c r="C1493" s="85">
        <v>1.0</v>
      </c>
      <c r="D1493" s="85">
        <v>1.0</v>
      </c>
      <c r="E1493" s="86">
        <v>19.0</v>
      </c>
      <c r="F1493" s="85">
        <v>4.0</v>
      </c>
      <c r="G1493" s="85">
        <v>51.0</v>
      </c>
      <c r="H1493" s="94">
        <v>0.0</v>
      </c>
      <c r="I1493" s="85">
        <v>30.0</v>
      </c>
      <c r="J1493" s="95">
        <f t="shared" si="1119"/>
        <v>21</v>
      </c>
      <c r="K1493" s="87">
        <f t="shared" si="1120"/>
        <v>1.7</v>
      </c>
      <c r="L1493" s="85">
        <v>35.0</v>
      </c>
      <c r="M1493" s="85">
        <v>71.0</v>
      </c>
      <c r="N1493" s="85">
        <v>1.0</v>
      </c>
      <c r="O1493" s="110">
        <f t="shared" si="1126"/>
        <v>19</v>
      </c>
      <c r="P1493" s="85">
        <v>3.0</v>
      </c>
      <c r="Q1493" s="85">
        <v>3.0</v>
      </c>
      <c r="R1493" s="85">
        <v>2.0</v>
      </c>
      <c r="S1493" s="94">
        <v>0.0</v>
      </c>
      <c r="T1493" s="85">
        <v>8.0</v>
      </c>
      <c r="U1493" s="85">
        <v>1.0</v>
      </c>
      <c r="V1493" s="94">
        <v>0.0</v>
      </c>
      <c r="W1493" s="94">
        <v>0.0</v>
      </c>
      <c r="X1493" s="94">
        <v>0.0</v>
      </c>
      <c r="Y1493" s="94">
        <v>0.0</v>
      </c>
      <c r="Z1493" s="94">
        <v>0.0</v>
      </c>
      <c r="AA1493" s="94">
        <v>0.0</v>
      </c>
      <c r="AB1493" s="94">
        <v>0.0</v>
      </c>
      <c r="AC1493" s="85">
        <v>2.0</v>
      </c>
      <c r="AD1493" s="85">
        <v>1.0</v>
      </c>
      <c r="AE1493" s="94">
        <v>0.0</v>
      </c>
      <c r="AF1493" s="94">
        <v>0.0</v>
      </c>
      <c r="AG1493" s="94">
        <v>0.0</v>
      </c>
      <c r="AH1493" s="94">
        <v>0.0</v>
      </c>
    </row>
    <row r="1494" hidden="1">
      <c r="A1494" s="89" t="s">
        <v>185</v>
      </c>
      <c r="B1494" s="111"/>
      <c r="C1494" s="111">
        <f>SUM(C1488:C1493)</f>
        <v>4</v>
      </c>
      <c r="D1494" s="111">
        <f t="shared" ref="D1494:E1494" si="1127">SUM(D1488:D1493)/4</f>
        <v>1</v>
      </c>
      <c r="E1494" s="91">
        <f t="shared" si="1127"/>
        <v>19</v>
      </c>
      <c r="F1494" s="111">
        <f t="shared" ref="F1494:G1494" si="1128">SUM(F1488:F1493)</f>
        <v>4</v>
      </c>
      <c r="G1494" s="111">
        <f t="shared" si="1128"/>
        <v>261</v>
      </c>
      <c r="H1494" s="111"/>
      <c r="I1494" s="111">
        <f>SUM(I1488:I1493)</f>
        <v>217</v>
      </c>
      <c r="J1494" s="111">
        <f t="shared" si="1119"/>
        <v>44</v>
      </c>
      <c r="K1494" s="92">
        <f t="shared" si="1120"/>
        <v>1.202764977</v>
      </c>
      <c r="L1494" s="111">
        <f t="shared" ref="L1494:M1494" si="1129">SUM(L1488:L1493)</f>
        <v>80</v>
      </c>
      <c r="M1494" s="111">
        <f t="shared" si="1129"/>
        <v>350</v>
      </c>
      <c r="N1494" s="111"/>
      <c r="O1494" s="112"/>
      <c r="P1494" s="111">
        <f t="shared" ref="P1494:AH1494" si="1130">SUM(P1488:P1493)</f>
        <v>7</v>
      </c>
      <c r="Q1494" s="111">
        <f t="shared" si="1130"/>
        <v>3</v>
      </c>
      <c r="R1494" s="111">
        <f t="shared" si="1130"/>
        <v>20</v>
      </c>
      <c r="S1494" s="111">
        <f t="shared" si="1130"/>
        <v>2</v>
      </c>
      <c r="T1494" s="111">
        <f t="shared" si="1130"/>
        <v>43</v>
      </c>
      <c r="U1494" s="111">
        <f t="shared" si="1130"/>
        <v>8</v>
      </c>
      <c r="V1494" s="111">
        <f t="shared" si="1130"/>
        <v>3</v>
      </c>
      <c r="W1494" s="111">
        <f t="shared" si="1130"/>
        <v>2</v>
      </c>
      <c r="X1494" s="111">
        <f t="shared" si="1130"/>
        <v>1</v>
      </c>
      <c r="Y1494" s="111">
        <f t="shared" si="1130"/>
        <v>0</v>
      </c>
      <c r="Z1494" s="111">
        <f t="shared" si="1130"/>
        <v>0</v>
      </c>
      <c r="AA1494" s="111">
        <f t="shared" si="1130"/>
        <v>0</v>
      </c>
      <c r="AB1494" s="111">
        <f t="shared" si="1130"/>
        <v>0</v>
      </c>
      <c r="AC1494" s="111">
        <f t="shared" si="1130"/>
        <v>12</v>
      </c>
      <c r="AD1494" s="111">
        <f t="shared" si="1130"/>
        <v>1</v>
      </c>
      <c r="AE1494" s="111">
        <f t="shared" si="1130"/>
        <v>0</v>
      </c>
      <c r="AF1494" s="111">
        <f t="shared" si="1130"/>
        <v>0</v>
      </c>
      <c r="AG1494" s="111">
        <f t="shared" si="1130"/>
        <v>0</v>
      </c>
      <c r="AH1494" s="111">
        <f t="shared" si="1130"/>
        <v>0</v>
      </c>
    </row>
    <row r="1495">
      <c r="A1495" s="113" t="s">
        <v>339</v>
      </c>
    </row>
    <row r="1497" hidden="1">
      <c r="A1497" s="105"/>
      <c r="F1497" s="106" t="s">
        <v>251</v>
      </c>
      <c r="L1497" s="107" t="s">
        <v>252</v>
      </c>
      <c r="N1497" s="108" t="s">
        <v>253</v>
      </c>
    </row>
    <row r="1498" hidden="1">
      <c r="A1498" s="76" t="s">
        <v>148</v>
      </c>
      <c r="B1498" s="76" t="s">
        <v>149</v>
      </c>
      <c r="C1498" s="76" t="s">
        <v>150</v>
      </c>
      <c r="D1498" s="76" t="s">
        <v>13</v>
      </c>
      <c r="E1498" s="77" t="s">
        <v>151</v>
      </c>
      <c r="F1498" s="78" t="s">
        <v>15</v>
      </c>
      <c r="G1498" s="78" t="s">
        <v>152</v>
      </c>
      <c r="H1498" s="78" t="s">
        <v>153</v>
      </c>
      <c r="I1498" s="78" t="s">
        <v>154</v>
      </c>
      <c r="J1498" s="78" t="s">
        <v>155</v>
      </c>
      <c r="K1498" s="79" t="s">
        <v>156</v>
      </c>
      <c r="L1498" s="80" t="s">
        <v>157</v>
      </c>
      <c r="M1498" s="80" t="s">
        <v>158</v>
      </c>
      <c r="N1498" s="81" t="s">
        <v>254</v>
      </c>
      <c r="O1498" s="81" t="s">
        <v>151</v>
      </c>
      <c r="P1498" s="81" t="s">
        <v>160</v>
      </c>
      <c r="Q1498" s="81" t="s">
        <v>161</v>
      </c>
      <c r="R1498" s="81" t="s">
        <v>162</v>
      </c>
      <c r="S1498" s="81" t="s">
        <v>163</v>
      </c>
      <c r="T1498" s="81" t="s">
        <v>164</v>
      </c>
      <c r="U1498" s="81" t="s">
        <v>165</v>
      </c>
      <c r="V1498" s="81" t="s">
        <v>166</v>
      </c>
      <c r="W1498" s="81" t="s">
        <v>167</v>
      </c>
      <c r="X1498" s="81" t="s">
        <v>168</v>
      </c>
      <c r="Y1498" s="81" t="s">
        <v>169</v>
      </c>
      <c r="Z1498" s="81" t="s">
        <v>170</v>
      </c>
      <c r="AA1498" s="81" t="s">
        <v>171</v>
      </c>
      <c r="AB1498" s="81" t="s">
        <v>172</v>
      </c>
      <c r="AC1498" s="81" t="s">
        <v>173</v>
      </c>
      <c r="AD1498" s="81" t="s">
        <v>174</v>
      </c>
      <c r="AE1498" s="81" t="s">
        <v>175</v>
      </c>
      <c r="AF1498" s="81" t="s">
        <v>176</v>
      </c>
      <c r="AG1498" s="81" t="s">
        <v>177</v>
      </c>
      <c r="AH1498" s="81" t="s">
        <v>178</v>
      </c>
    </row>
    <row r="1499" hidden="1">
      <c r="A1499" s="83" t="s">
        <v>49</v>
      </c>
      <c r="B1499" s="84" t="s">
        <v>198</v>
      </c>
      <c r="C1499" s="85">
        <v>1.0</v>
      </c>
      <c r="D1499" s="85">
        <v>1.0</v>
      </c>
      <c r="E1499" s="86">
        <v>26.0</v>
      </c>
      <c r="F1499" s="94">
        <v>0.0</v>
      </c>
      <c r="G1499" s="85">
        <v>76.0</v>
      </c>
      <c r="H1499" s="85">
        <v>1.0</v>
      </c>
      <c r="I1499" s="85">
        <v>79.0</v>
      </c>
      <c r="J1499" s="95">
        <f t="shared" ref="J1499:J1512" si="1131">SUM(G1499-I1499)</f>
        <v>-3</v>
      </c>
      <c r="K1499" s="87">
        <f t="shared" ref="K1499:K1512" si="1132">SUM(G1499/I1499)</f>
        <v>0.9620253165</v>
      </c>
      <c r="L1499" s="85">
        <v>16.0</v>
      </c>
      <c r="M1499" s="85">
        <v>88.0</v>
      </c>
      <c r="N1499" s="85">
        <v>1.0</v>
      </c>
      <c r="O1499" s="110">
        <f t="shared" ref="O1499:O1504" si="1133">(E1499*N1499)</f>
        <v>26</v>
      </c>
      <c r="P1499" s="85">
        <v>1.0</v>
      </c>
      <c r="Q1499" s="85">
        <v>1.0</v>
      </c>
      <c r="R1499" s="85">
        <v>5.0</v>
      </c>
      <c r="S1499" s="85">
        <v>3.0</v>
      </c>
      <c r="T1499" s="85">
        <v>5.0</v>
      </c>
      <c r="U1499" s="94">
        <v>0.0</v>
      </c>
      <c r="V1499" s="94">
        <v>0.0</v>
      </c>
      <c r="W1499" s="94">
        <v>0.0</v>
      </c>
      <c r="X1499" s="94">
        <v>0.0</v>
      </c>
      <c r="Y1499" s="94">
        <v>0.0</v>
      </c>
      <c r="Z1499" s="94">
        <v>0.0</v>
      </c>
      <c r="AA1499" s="94">
        <v>0.0</v>
      </c>
      <c r="AB1499" s="94">
        <v>0.0</v>
      </c>
      <c r="AC1499" s="94">
        <v>0.0</v>
      </c>
      <c r="AD1499" s="94">
        <v>0.0</v>
      </c>
      <c r="AE1499" s="94">
        <v>0.0</v>
      </c>
      <c r="AF1499" s="94">
        <v>0.0</v>
      </c>
      <c r="AG1499" s="94">
        <v>0.0</v>
      </c>
      <c r="AH1499" s="94">
        <v>0.0</v>
      </c>
    </row>
    <row r="1500" hidden="1">
      <c r="A1500" s="83" t="s">
        <v>49</v>
      </c>
      <c r="B1500" s="84" t="s">
        <v>199</v>
      </c>
      <c r="C1500" s="85">
        <v>1.0</v>
      </c>
      <c r="D1500" s="85">
        <v>1.0</v>
      </c>
      <c r="E1500" s="86">
        <v>26.0</v>
      </c>
      <c r="F1500" s="85">
        <v>1.0</v>
      </c>
      <c r="G1500" s="85">
        <v>103.0</v>
      </c>
      <c r="H1500" s="94">
        <v>0.0</v>
      </c>
      <c r="I1500" s="85">
        <v>65.0</v>
      </c>
      <c r="J1500" s="95">
        <f t="shared" si="1131"/>
        <v>38</v>
      </c>
      <c r="K1500" s="87">
        <f t="shared" si="1132"/>
        <v>1.584615385</v>
      </c>
      <c r="L1500" s="85">
        <v>21.0</v>
      </c>
      <c r="M1500" s="85">
        <v>137.0</v>
      </c>
      <c r="N1500" s="85">
        <v>1.0</v>
      </c>
      <c r="O1500" s="110">
        <f t="shared" si="1133"/>
        <v>26</v>
      </c>
      <c r="P1500" s="85">
        <v>6.0</v>
      </c>
      <c r="Q1500" s="85">
        <v>6.0</v>
      </c>
      <c r="R1500" s="85">
        <v>8.0</v>
      </c>
      <c r="S1500" s="94">
        <v>0.0</v>
      </c>
      <c r="T1500" s="85">
        <v>17.0</v>
      </c>
      <c r="U1500" s="85">
        <v>4.0</v>
      </c>
      <c r="V1500" s="94">
        <v>0.0</v>
      </c>
      <c r="W1500" s="94">
        <v>0.0</v>
      </c>
      <c r="X1500" s="94">
        <v>0.0</v>
      </c>
      <c r="Y1500" s="94">
        <v>0.0</v>
      </c>
      <c r="Z1500" s="94">
        <v>0.0</v>
      </c>
      <c r="AA1500" s="94">
        <v>0.0</v>
      </c>
      <c r="AB1500" s="94">
        <v>0.0</v>
      </c>
      <c r="AC1500" s="85">
        <v>4.0</v>
      </c>
      <c r="AD1500" s="85">
        <v>1.0</v>
      </c>
      <c r="AE1500" s="94">
        <v>0.0</v>
      </c>
      <c r="AF1500" s="94">
        <v>0.0</v>
      </c>
      <c r="AG1500" s="94">
        <v>0.0</v>
      </c>
      <c r="AH1500" s="85">
        <v>1.0</v>
      </c>
    </row>
    <row r="1501" hidden="1">
      <c r="A1501" s="83" t="s">
        <v>49</v>
      </c>
      <c r="B1501" s="84" t="s">
        <v>200</v>
      </c>
      <c r="C1501" s="85">
        <v>1.0</v>
      </c>
      <c r="D1501" s="85">
        <v>1.0</v>
      </c>
      <c r="E1501" s="86">
        <v>26.0</v>
      </c>
      <c r="F1501" s="85">
        <v>1.0</v>
      </c>
      <c r="G1501" s="85">
        <v>82.0</v>
      </c>
      <c r="H1501" s="94">
        <v>0.0</v>
      </c>
      <c r="I1501" s="85">
        <v>70.0</v>
      </c>
      <c r="J1501" s="95">
        <f t="shared" si="1131"/>
        <v>12</v>
      </c>
      <c r="K1501" s="87">
        <f t="shared" si="1132"/>
        <v>1.171428571</v>
      </c>
      <c r="L1501" s="85">
        <v>19.0</v>
      </c>
      <c r="M1501" s="85">
        <v>107.0</v>
      </c>
      <c r="N1501" s="85">
        <v>1.0</v>
      </c>
      <c r="O1501" s="110">
        <f t="shared" si="1133"/>
        <v>26</v>
      </c>
      <c r="P1501" s="85">
        <v>8.0</v>
      </c>
      <c r="Q1501" s="85">
        <v>5.0</v>
      </c>
      <c r="R1501" s="85">
        <v>5.0</v>
      </c>
      <c r="S1501" s="85">
        <v>1.0</v>
      </c>
      <c r="T1501" s="85">
        <v>12.0</v>
      </c>
      <c r="U1501" s="85">
        <v>1.0</v>
      </c>
      <c r="V1501" s="85">
        <v>1.0</v>
      </c>
      <c r="W1501" s="94">
        <v>0.0</v>
      </c>
      <c r="X1501" s="94">
        <v>0.0</v>
      </c>
      <c r="Y1501" s="94">
        <v>0.0</v>
      </c>
      <c r="Z1501" s="94">
        <v>0.0</v>
      </c>
      <c r="AA1501" s="94">
        <v>0.0</v>
      </c>
      <c r="AB1501" s="94">
        <v>0.0</v>
      </c>
      <c r="AC1501" s="85">
        <v>1.0</v>
      </c>
      <c r="AD1501" s="94">
        <v>0.0</v>
      </c>
      <c r="AE1501" s="94">
        <v>0.0</v>
      </c>
      <c r="AF1501" s="94">
        <v>0.0</v>
      </c>
      <c r="AG1501" s="94">
        <v>0.0</v>
      </c>
      <c r="AH1501" s="94">
        <v>0.0</v>
      </c>
    </row>
    <row r="1502" hidden="1">
      <c r="A1502" s="83" t="s">
        <v>49</v>
      </c>
      <c r="B1502" s="84" t="s">
        <v>201</v>
      </c>
      <c r="C1502" s="85">
        <v>0.0</v>
      </c>
      <c r="D1502" s="94">
        <v>0.0</v>
      </c>
      <c r="E1502" s="96">
        <f>SUM(L1502*I1502)/60</f>
        <v>0</v>
      </c>
      <c r="F1502" s="94">
        <v>0.0</v>
      </c>
      <c r="G1502" s="94">
        <v>0.0</v>
      </c>
      <c r="H1502" s="94">
        <v>0.0</v>
      </c>
      <c r="I1502" s="94">
        <v>0.0</v>
      </c>
      <c r="J1502" s="95">
        <f t="shared" si="1131"/>
        <v>0</v>
      </c>
      <c r="K1502" s="87" t="str">
        <f t="shared" si="1132"/>
        <v>#DIV/0!</v>
      </c>
      <c r="L1502" s="94">
        <v>0.0</v>
      </c>
      <c r="M1502" s="94">
        <v>0.0</v>
      </c>
      <c r="N1502" s="85">
        <v>0.0</v>
      </c>
      <c r="O1502" s="110">
        <f t="shared" si="1133"/>
        <v>0</v>
      </c>
      <c r="P1502" s="94">
        <v>0.0</v>
      </c>
      <c r="Q1502" s="94">
        <v>0.0</v>
      </c>
      <c r="R1502" s="94">
        <v>0.0</v>
      </c>
      <c r="S1502" s="94">
        <v>0.0</v>
      </c>
      <c r="T1502" s="94">
        <v>0.0</v>
      </c>
      <c r="U1502" s="94">
        <v>0.0</v>
      </c>
      <c r="V1502" s="94">
        <v>0.0</v>
      </c>
      <c r="W1502" s="94">
        <v>0.0</v>
      </c>
      <c r="X1502" s="94">
        <v>0.0</v>
      </c>
      <c r="Y1502" s="94">
        <v>0.0</v>
      </c>
      <c r="Z1502" s="94">
        <v>0.0</v>
      </c>
      <c r="AA1502" s="94">
        <v>0.0</v>
      </c>
      <c r="AB1502" s="94">
        <v>0.0</v>
      </c>
      <c r="AC1502" s="94">
        <v>0.0</v>
      </c>
      <c r="AD1502" s="94">
        <v>0.0</v>
      </c>
      <c r="AE1502" s="94">
        <v>0.0</v>
      </c>
      <c r="AF1502" s="94">
        <v>0.0</v>
      </c>
      <c r="AG1502" s="94">
        <v>0.0</v>
      </c>
      <c r="AH1502" s="94">
        <v>0.0</v>
      </c>
    </row>
    <row r="1503" hidden="1">
      <c r="A1503" s="83" t="s">
        <v>49</v>
      </c>
      <c r="B1503" s="84" t="s">
        <v>202</v>
      </c>
      <c r="C1503" s="85">
        <v>1.0</v>
      </c>
      <c r="D1503" s="85">
        <v>1.0</v>
      </c>
      <c r="E1503" s="86">
        <v>26.0</v>
      </c>
      <c r="F1503" s="85">
        <v>3.0</v>
      </c>
      <c r="G1503" s="85">
        <v>48.0</v>
      </c>
      <c r="H1503" s="94">
        <v>0.0</v>
      </c>
      <c r="I1503" s="85">
        <v>66.0</v>
      </c>
      <c r="J1503" s="95">
        <f t="shared" si="1131"/>
        <v>-18</v>
      </c>
      <c r="K1503" s="87">
        <f t="shared" si="1132"/>
        <v>0.7272727273</v>
      </c>
      <c r="L1503" s="85">
        <v>20.0</v>
      </c>
      <c r="M1503" s="85">
        <v>62.0</v>
      </c>
      <c r="N1503" s="85">
        <v>1.0</v>
      </c>
      <c r="O1503" s="110">
        <f t="shared" si="1133"/>
        <v>26</v>
      </c>
      <c r="P1503" s="85">
        <v>2.0</v>
      </c>
      <c r="Q1503" s="94">
        <v>0.0</v>
      </c>
      <c r="R1503" s="85">
        <v>3.0</v>
      </c>
      <c r="S1503" s="85">
        <v>3.0</v>
      </c>
      <c r="T1503" s="85">
        <v>5.0</v>
      </c>
      <c r="U1503" s="85">
        <v>2.0</v>
      </c>
      <c r="V1503" s="94">
        <v>0.0</v>
      </c>
      <c r="W1503" s="94">
        <v>0.0</v>
      </c>
      <c r="X1503" s="94">
        <v>0.0</v>
      </c>
      <c r="Y1503" s="94">
        <v>0.0</v>
      </c>
      <c r="Z1503" s="94">
        <v>0.0</v>
      </c>
      <c r="AA1503" s="94">
        <v>0.0</v>
      </c>
      <c r="AB1503" s="94">
        <v>0.0</v>
      </c>
      <c r="AC1503" s="94">
        <v>0.0</v>
      </c>
      <c r="AD1503" s="94">
        <v>0.0</v>
      </c>
      <c r="AE1503" s="94">
        <v>0.0</v>
      </c>
      <c r="AF1503" s="94">
        <v>0.0</v>
      </c>
      <c r="AG1503" s="94">
        <v>0.0</v>
      </c>
      <c r="AH1503" s="94">
        <v>0.0</v>
      </c>
    </row>
    <row r="1504" hidden="1">
      <c r="A1504" s="83" t="s">
        <v>49</v>
      </c>
      <c r="B1504" s="93"/>
      <c r="C1504" s="94">
        <v>0.0</v>
      </c>
      <c r="D1504" s="94">
        <v>0.0</v>
      </c>
      <c r="E1504" s="96">
        <f>SUM(L1504*I1504)/60</f>
        <v>0</v>
      </c>
      <c r="F1504" s="94">
        <v>0.0</v>
      </c>
      <c r="G1504" s="94">
        <v>0.0</v>
      </c>
      <c r="H1504" s="94">
        <v>0.0</v>
      </c>
      <c r="I1504" s="94">
        <v>0.0</v>
      </c>
      <c r="J1504" s="95">
        <f t="shared" si="1131"/>
        <v>0</v>
      </c>
      <c r="K1504" s="87" t="str">
        <f t="shared" si="1132"/>
        <v>#DIV/0!</v>
      </c>
      <c r="L1504" s="94">
        <v>0.0</v>
      </c>
      <c r="M1504" s="94">
        <v>0.0</v>
      </c>
      <c r="N1504" s="85">
        <v>0.0</v>
      </c>
      <c r="O1504" s="110">
        <f t="shared" si="1133"/>
        <v>0</v>
      </c>
      <c r="P1504" s="94">
        <v>0.0</v>
      </c>
      <c r="Q1504" s="94">
        <v>0.0</v>
      </c>
      <c r="R1504" s="94">
        <v>0.0</v>
      </c>
      <c r="S1504" s="94">
        <v>0.0</v>
      </c>
      <c r="T1504" s="94">
        <v>0.0</v>
      </c>
      <c r="U1504" s="94">
        <v>0.0</v>
      </c>
      <c r="V1504" s="94">
        <v>0.0</v>
      </c>
      <c r="W1504" s="94">
        <v>0.0</v>
      </c>
      <c r="X1504" s="94">
        <v>0.0</v>
      </c>
      <c r="Y1504" s="94">
        <v>0.0</v>
      </c>
      <c r="Z1504" s="94">
        <v>0.0</v>
      </c>
      <c r="AA1504" s="94">
        <v>0.0</v>
      </c>
      <c r="AB1504" s="94">
        <v>0.0</v>
      </c>
      <c r="AC1504" s="94">
        <v>0.0</v>
      </c>
      <c r="AD1504" s="94">
        <v>0.0</v>
      </c>
      <c r="AE1504" s="94">
        <v>0.0</v>
      </c>
      <c r="AF1504" s="94">
        <v>0.0</v>
      </c>
      <c r="AG1504" s="94">
        <v>0.0</v>
      </c>
      <c r="AH1504" s="94">
        <v>0.0</v>
      </c>
    </row>
    <row r="1505" hidden="1">
      <c r="A1505" s="89"/>
      <c r="B1505" s="111"/>
      <c r="C1505" s="111">
        <f t="shared" ref="C1505:D1505" si="1134">SUM(C1499:C1504)/4</f>
        <v>1</v>
      </c>
      <c r="D1505" s="111">
        <f t="shared" si="1134"/>
        <v>1</v>
      </c>
      <c r="E1505" s="91">
        <f t="shared" ref="E1505:G1505" si="1135">SUM(E1499:E1504)</f>
        <v>104</v>
      </c>
      <c r="F1505" s="111">
        <f t="shared" si="1135"/>
        <v>5</v>
      </c>
      <c r="G1505" s="111">
        <f t="shared" si="1135"/>
        <v>309</v>
      </c>
      <c r="H1505" s="111"/>
      <c r="I1505" s="111">
        <f>SUM(I1499:I1504)</f>
        <v>280</v>
      </c>
      <c r="J1505" s="111">
        <f t="shared" si="1131"/>
        <v>29</v>
      </c>
      <c r="K1505" s="92">
        <f t="shared" si="1132"/>
        <v>1.103571429</v>
      </c>
      <c r="L1505" s="111">
        <f t="shared" ref="L1505:M1505" si="1136">SUM(L1499:L1504)</f>
        <v>76</v>
      </c>
      <c r="M1505" s="111">
        <f t="shared" si="1136"/>
        <v>394</v>
      </c>
      <c r="N1505" s="111"/>
      <c r="O1505" s="112"/>
      <c r="P1505" s="111">
        <f t="shared" ref="P1505:AH1505" si="1137">SUM(P1499:P1504)</f>
        <v>17</v>
      </c>
      <c r="Q1505" s="111">
        <f t="shared" si="1137"/>
        <v>12</v>
      </c>
      <c r="R1505" s="111">
        <f t="shared" si="1137"/>
        <v>21</v>
      </c>
      <c r="S1505" s="111">
        <f t="shared" si="1137"/>
        <v>7</v>
      </c>
      <c r="T1505" s="111">
        <f t="shared" si="1137"/>
        <v>39</v>
      </c>
      <c r="U1505" s="111">
        <f t="shared" si="1137"/>
        <v>7</v>
      </c>
      <c r="V1505" s="111">
        <f t="shared" si="1137"/>
        <v>1</v>
      </c>
      <c r="W1505" s="111">
        <f t="shared" si="1137"/>
        <v>0</v>
      </c>
      <c r="X1505" s="111">
        <f t="shared" si="1137"/>
        <v>0</v>
      </c>
      <c r="Y1505" s="111">
        <f t="shared" si="1137"/>
        <v>0</v>
      </c>
      <c r="Z1505" s="111">
        <f t="shared" si="1137"/>
        <v>0</v>
      </c>
      <c r="AA1505" s="111">
        <f t="shared" si="1137"/>
        <v>0</v>
      </c>
      <c r="AB1505" s="111">
        <f t="shared" si="1137"/>
        <v>0</v>
      </c>
      <c r="AC1505" s="111">
        <f t="shared" si="1137"/>
        <v>5</v>
      </c>
      <c r="AD1505" s="111">
        <f t="shared" si="1137"/>
        <v>1</v>
      </c>
      <c r="AE1505" s="111">
        <f t="shared" si="1137"/>
        <v>0</v>
      </c>
      <c r="AF1505" s="111">
        <f t="shared" si="1137"/>
        <v>0</v>
      </c>
      <c r="AG1505" s="111">
        <f t="shared" si="1137"/>
        <v>0</v>
      </c>
      <c r="AH1505" s="111">
        <f t="shared" si="1137"/>
        <v>1</v>
      </c>
    </row>
    <row r="1506" hidden="1">
      <c r="A1506" s="83" t="s">
        <v>51</v>
      </c>
      <c r="B1506" s="84" t="s">
        <v>222</v>
      </c>
      <c r="C1506" s="85">
        <v>1.0</v>
      </c>
      <c r="D1506" s="94">
        <v>0.0</v>
      </c>
      <c r="E1506" s="86">
        <v>26.0</v>
      </c>
      <c r="F1506" s="94">
        <v>0.0</v>
      </c>
      <c r="G1506" s="85">
        <v>60.0</v>
      </c>
      <c r="H1506" s="94">
        <v>0.0</v>
      </c>
      <c r="I1506" s="85">
        <v>73.0</v>
      </c>
      <c r="J1506" s="95">
        <f t="shared" si="1131"/>
        <v>-13</v>
      </c>
      <c r="K1506" s="87">
        <f t="shared" si="1132"/>
        <v>0.8219178082</v>
      </c>
      <c r="L1506" s="85">
        <v>18.0</v>
      </c>
      <c r="M1506" s="85">
        <v>66.0</v>
      </c>
      <c r="N1506" s="85">
        <v>1.0</v>
      </c>
      <c r="O1506" s="110">
        <f t="shared" ref="O1506:O1511" si="1138">(E1506*N1506)</f>
        <v>26</v>
      </c>
      <c r="P1506" s="85">
        <v>1.0</v>
      </c>
      <c r="Q1506" s="94">
        <v>0.0</v>
      </c>
      <c r="R1506" s="85">
        <v>2.0</v>
      </c>
      <c r="S1506" s="85">
        <v>0.0</v>
      </c>
      <c r="T1506" s="85">
        <v>3.0</v>
      </c>
      <c r="U1506" s="85">
        <v>1.0</v>
      </c>
      <c r="V1506" s="94">
        <v>0.0</v>
      </c>
      <c r="W1506" s="94">
        <v>0.0</v>
      </c>
      <c r="X1506" s="94">
        <v>0.0</v>
      </c>
      <c r="Y1506" s="94">
        <v>0.0</v>
      </c>
      <c r="Z1506" s="94">
        <v>0.0</v>
      </c>
      <c r="AA1506" s="94">
        <v>0.0</v>
      </c>
      <c r="AB1506" s="94">
        <v>0.0</v>
      </c>
      <c r="AC1506" s="94">
        <v>0.0</v>
      </c>
      <c r="AD1506" s="94">
        <v>0.0</v>
      </c>
      <c r="AE1506" s="94">
        <v>0.0</v>
      </c>
      <c r="AF1506" s="94">
        <v>0.0</v>
      </c>
      <c r="AG1506" s="94">
        <v>0.0</v>
      </c>
      <c r="AH1506" s="94">
        <v>0.0</v>
      </c>
    </row>
    <row r="1507" hidden="1">
      <c r="A1507" s="83" t="s">
        <v>51</v>
      </c>
      <c r="B1507" s="84" t="s">
        <v>223</v>
      </c>
      <c r="C1507" s="85">
        <v>1.0</v>
      </c>
      <c r="D1507" s="94">
        <v>0.0</v>
      </c>
      <c r="E1507" s="86">
        <v>26.0</v>
      </c>
      <c r="F1507" s="94">
        <v>0.0</v>
      </c>
      <c r="G1507" s="85">
        <v>78.0</v>
      </c>
      <c r="H1507" s="85">
        <v>1.0</v>
      </c>
      <c r="I1507" s="85">
        <v>68.0</v>
      </c>
      <c r="J1507" s="95">
        <f t="shared" si="1131"/>
        <v>10</v>
      </c>
      <c r="K1507" s="87">
        <f t="shared" si="1132"/>
        <v>1.147058824</v>
      </c>
      <c r="L1507" s="85">
        <v>19.0</v>
      </c>
      <c r="M1507" s="85">
        <v>104.0</v>
      </c>
      <c r="N1507" s="85">
        <v>1.0</v>
      </c>
      <c r="O1507" s="110">
        <f t="shared" si="1138"/>
        <v>26</v>
      </c>
      <c r="P1507" s="85">
        <v>2.0</v>
      </c>
      <c r="Q1507" s="85">
        <v>3.0</v>
      </c>
      <c r="R1507" s="85">
        <v>7.0</v>
      </c>
      <c r="S1507" s="85">
        <v>1.0</v>
      </c>
      <c r="T1507" s="85">
        <v>11.0</v>
      </c>
      <c r="U1507" s="85">
        <v>2.0</v>
      </c>
      <c r="V1507" s="94">
        <v>0.0</v>
      </c>
      <c r="W1507" s="94">
        <v>0.0</v>
      </c>
      <c r="X1507" s="94">
        <v>0.0</v>
      </c>
      <c r="Y1507" s="94">
        <v>0.0</v>
      </c>
      <c r="Z1507" s="94">
        <v>0.0</v>
      </c>
      <c r="AA1507" s="94">
        <v>0.0</v>
      </c>
      <c r="AB1507" s="94">
        <v>0.0</v>
      </c>
      <c r="AC1507" s="85">
        <v>3.0</v>
      </c>
      <c r="AD1507" s="94">
        <v>0.0</v>
      </c>
      <c r="AE1507" s="94">
        <v>0.0</v>
      </c>
      <c r="AF1507" s="94">
        <v>0.0</v>
      </c>
      <c r="AG1507" s="94">
        <v>0.0</v>
      </c>
      <c r="AH1507" s="94">
        <v>0.0</v>
      </c>
    </row>
    <row r="1508" hidden="1">
      <c r="A1508" s="83" t="s">
        <v>51</v>
      </c>
      <c r="B1508" s="84" t="s">
        <v>224</v>
      </c>
      <c r="C1508" s="85">
        <v>1.0</v>
      </c>
      <c r="D1508" s="94">
        <v>0.0</v>
      </c>
      <c r="E1508" s="86">
        <v>26.0</v>
      </c>
      <c r="F1508" s="94">
        <v>0.0</v>
      </c>
      <c r="G1508" s="85">
        <v>81.0</v>
      </c>
      <c r="H1508" s="94">
        <v>0.0</v>
      </c>
      <c r="I1508" s="85">
        <v>87.0</v>
      </c>
      <c r="J1508" s="95">
        <f t="shared" si="1131"/>
        <v>-6</v>
      </c>
      <c r="K1508" s="87">
        <f t="shared" si="1132"/>
        <v>0.9310344828</v>
      </c>
      <c r="L1508" s="85">
        <v>15.0</v>
      </c>
      <c r="M1508" s="85">
        <v>99.0</v>
      </c>
      <c r="N1508" s="85">
        <v>1.0</v>
      </c>
      <c r="O1508" s="110">
        <f t="shared" si="1138"/>
        <v>26</v>
      </c>
      <c r="P1508" s="85">
        <v>2.0</v>
      </c>
      <c r="Q1508" s="85">
        <v>0.0</v>
      </c>
      <c r="R1508" s="85">
        <v>3.0</v>
      </c>
      <c r="S1508" s="85">
        <v>3.0</v>
      </c>
      <c r="T1508" s="85">
        <v>10.0</v>
      </c>
      <c r="U1508" s="85">
        <v>2.0</v>
      </c>
      <c r="V1508" s="94">
        <v>0.0</v>
      </c>
      <c r="W1508" s="94">
        <v>0.0</v>
      </c>
      <c r="X1508" s="94">
        <v>0.0</v>
      </c>
      <c r="Y1508" s="94">
        <v>0.0</v>
      </c>
      <c r="Z1508" s="94">
        <v>0.0</v>
      </c>
      <c r="AA1508" s="94">
        <v>0.0</v>
      </c>
      <c r="AB1508" s="94">
        <v>0.0</v>
      </c>
      <c r="AC1508" s="85">
        <v>3.0</v>
      </c>
      <c r="AD1508" s="94">
        <v>0.0</v>
      </c>
      <c r="AE1508" s="94">
        <v>0.0</v>
      </c>
      <c r="AF1508" s="94">
        <v>0.0</v>
      </c>
      <c r="AG1508" s="94">
        <v>0.0</v>
      </c>
      <c r="AH1508" s="94">
        <v>0.0</v>
      </c>
    </row>
    <row r="1509" hidden="1">
      <c r="A1509" s="83" t="s">
        <v>51</v>
      </c>
      <c r="B1509" s="84" t="s">
        <v>225</v>
      </c>
      <c r="C1509" s="85">
        <v>1.0</v>
      </c>
      <c r="D1509" s="94">
        <v>0.0</v>
      </c>
      <c r="E1509" s="86">
        <v>26.0</v>
      </c>
      <c r="F1509" s="85">
        <v>1.0</v>
      </c>
      <c r="G1509" s="85">
        <v>57.0</v>
      </c>
      <c r="H1509" s="94">
        <v>0.0</v>
      </c>
      <c r="I1509" s="85">
        <v>85.0</v>
      </c>
      <c r="J1509" s="95">
        <f t="shared" si="1131"/>
        <v>-28</v>
      </c>
      <c r="K1509" s="87">
        <f t="shared" si="1132"/>
        <v>0.6705882353</v>
      </c>
      <c r="L1509" s="85">
        <v>15.0</v>
      </c>
      <c r="M1509" s="85">
        <v>74.0</v>
      </c>
      <c r="N1509" s="85">
        <v>1.0</v>
      </c>
      <c r="O1509" s="110">
        <f t="shared" si="1138"/>
        <v>26</v>
      </c>
      <c r="P1509" s="85">
        <v>5.0</v>
      </c>
      <c r="Q1509" s="85">
        <v>4.0</v>
      </c>
      <c r="R1509" s="85">
        <v>1.0</v>
      </c>
      <c r="S1509" s="85">
        <v>1.0</v>
      </c>
      <c r="T1509" s="85">
        <v>8.0</v>
      </c>
      <c r="U1509" s="85">
        <v>1.0</v>
      </c>
      <c r="V1509" s="85">
        <v>1.0</v>
      </c>
      <c r="W1509" s="94">
        <v>0.0</v>
      </c>
      <c r="X1509" s="94">
        <v>0.0</v>
      </c>
      <c r="Y1509" s="94">
        <v>0.0</v>
      </c>
      <c r="Z1509" s="94">
        <v>0.0</v>
      </c>
      <c r="AA1509" s="94">
        <v>0.0</v>
      </c>
      <c r="AB1509" s="94">
        <v>0.0</v>
      </c>
      <c r="AC1509" s="85">
        <v>1.0</v>
      </c>
      <c r="AD1509" s="94">
        <v>0.0</v>
      </c>
      <c r="AE1509" s="94">
        <v>0.0</v>
      </c>
      <c r="AF1509" s="94">
        <v>0.0</v>
      </c>
      <c r="AG1509" s="94">
        <v>0.0</v>
      </c>
      <c r="AH1509" s="94">
        <v>0.0</v>
      </c>
    </row>
    <row r="1510" hidden="1">
      <c r="A1510" s="83" t="s">
        <v>51</v>
      </c>
      <c r="B1510" s="84" t="s">
        <v>226</v>
      </c>
      <c r="C1510" s="94">
        <v>0.0</v>
      </c>
      <c r="D1510" s="94">
        <v>0.0</v>
      </c>
      <c r="E1510" s="96">
        <f t="shared" ref="E1510:E1511" si="1139">SUM(L1510*I1510)/60</f>
        <v>0</v>
      </c>
      <c r="F1510" s="94">
        <v>0.0</v>
      </c>
      <c r="G1510" s="94">
        <v>0.0</v>
      </c>
      <c r="H1510" s="94">
        <v>0.0</v>
      </c>
      <c r="I1510" s="94">
        <v>0.0</v>
      </c>
      <c r="J1510" s="95">
        <f t="shared" si="1131"/>
        <v>0</v>
      </c>
      <c r="K1510" s="87" t="str">
        <f t="shared" si="1132"/>
        <v>#DIV/0!</v>
      </c>
      <c r="L1510" s="94">
        <v>0.0</v>
      </c>
      <c r="M1510" s="94">
        <v>0.0</v>
      </c>
      <c r="N1510" s="85">
        <v>0.0</v>
      </c>
      <c r="O1510" s="110">
        <f t="shared" si="1138"/>
        <v>0</v>
      </c>
      <c r="P1510" s="94">
        <v>0.0</v>
      </c>
      <c r="Q1510" s="94">
        <v>0.0</v>
      </c>
      <c r="R1510" s="94">
        <v>0.0</v>
      </c>
      <c r="S1510" s="94">
        <v>0.0</v>
      </c>
      <c r="T1510" s="94">
        <v>0.0</v>
      </c>
      <c r="U1510" s="94">
        <v>0.0</v>
      </c>
      <c r="V1510" s="94">
        <v>0.0</v>
      </c>
      <c r="W1510" s="94">
        <v>0.0</v>
      </c>
      <c r="X1510" s="94">
        <v>0.0</v>
      </c>
      <c r="Y1510" s="94">
        <v>0.0</v>
      </c>
      <c r="Z1510" s="94">
        <v>0.0</v>
      </c>
      <c r="AA1510" s="94">
        <v>0.0</v>
      </c>
      <c r="AB1510" s="94">
        <v>0.0</v>
      </c>
      <c r="AC1510" s="94">
        <v>0.0</v>
      </c>
      <c r="AD1510" s="94">
        <v>0.0</v>
      </c>
      <c r="AE1510" s="94">
        <v>0.0</v>
      </c>
      <c r="AF1510" s="94">
        <v>0.0</v>
      </c>
      <c r="AG1510" s="94">
        <v>0.0</v>
      </c>
      <c r="AH1510" s="94">
        <v>0.0</v>
      </c>
    </row>
    <row r="1511" hidden="1">
      <c r="A1511" s="83" t="s">
        <v>51</v>
      </c>
      <c r="B1511" s="93"/>
      <c r="C1511" s="94">
        <v>0.0</v>
      </c>
      <c r="D1511" s="94">
        <v>0.0</v>
      </c>
      <c r="E1511" s="96">
        <f t="shared" si="1139"/>
        <v>0</v>
      </c>
      <c r="F1511" s="94">
        <v>0.0</v>
      </c>
      <c r="G1511" s="94">
        <v>0.0</v>
      </c>
      <c r="H1511" s="94">
        <v>0.0</v>
      </c>
      <c r="I1511" s="94">
        <v>0.0</v>
      </c>
      <c r="J1511" s="95">
        <f t="shared" si="1131"/>
        <v>0</v>
      </c>
      <c r="K1511" s="87" t="str">
        <f t="shared" si="1132"/>
        <v>#DIV/0!</v>
      </c>
      <c r="L1511" s="94">
        <v>0.0</v>
      </c>
      <c r="M1511" s="94">
        <v>0.0</v>
      </c>
      <c r="N1511" s="85">
        <v>0.0</v>
      </c>
      <c r="O1511" s="110">
        <f t="shared" si="1138"/>
        <v>0</v>
      </c>
      <c r="P1511" s="94">
        <v>0.0</v>
      </c>
      <c r="Q1511" s="94">
        <v>0.0</v>
      </c>
      <c r="R1511" s="94">
        <v>0.0</v>
      </c>
      <c r="S1511" s="94">
        <v>0.0</v>
      </c>
      <c r="T1511" s="94">
        <v>0.0</v>
      </c>
      <c r="U1511" s="94">
        <v>0.0</v>
      </c>
      <c r="V1511" s="94">
        <v>0.0</v>
      </c>
      <c r="W1511" s="94">
        <v>0.0</v>
      </c>
      <c r="X1511" s="94">
        <v>0.0</v>
      </c>
      <c r="Y1511" s="94">
        <v>0.0</v>
      </c>
      <c r="Z1511" s="94">
        <v>0.0</v>
      </c>
      <c r="AA1511" s="94">
        <v>0.0</v>
      </c>
      <c r="AB1511" s="94">
        <v>0.0</v>
      </c>
      <c r="AC1511" s="94">
        <v>0.0</v>
      </c>
      <c r="AD1511" s="94">
        <v>0.0</v>
      </c>
      <c r="AE1511" s="94">
        <v>0.0</v>
      </c>
      <c r="AF1511" s="94">
        <v>0.0</v>
      </c>
      <c r="AG1511" s="94">
        <v>0.0</v>
      </c>
      <c r="AH1511" s="94">
        <v>0.0</v>
      </c>
    </row>
    <row r="1512" hidden="1">
      <c r="A1512" s="89" t="s">
        <v>185</v>
      </c>
      <c r="B1512" s="111"/>
      <c r="C1512" s="111">
        <f>SUM(C1506:C1511)</f>
        <v>4</v>
      </c>
      <c r="D1512" s="111">
        <f t="shared" ref="D1512:E1512" si="1140">SUM(D1506:D1511)/4</f>
        <v>0</v>
      </c>
      <c r="E1512" s="91">
        <f t="shared" si="1140"/>
        <v>26</v>
      </c>
      <c r="F1512" s="111">
        <f t="shared" ref="F1512:G1512" si="1141">SUM(F1506:F1511)</f>
        <v>1</v>
      </c>
      <c r="G1512" s="111">
        <f t="shared" si="1141"/>
        <v>276</v>
      </c>
      <c r="H1512" s="111"/>
      <c r="I1512" s="111">
        <f>SUM(I1506:I1511)</f>
        <v>313</v>
      </c>
      <c r="J1512" s="111">
        <f t="shared" si="1131"/>
        <v>-37</v>
      </c>
      <c r="K1512" s="92">
        <f t="shared" si="1132"/>
        <v>0.8817891374</v>
      </c>
      <c r="L1512" s="111">
        <f t="shared" ref="L1512:M1512" si="1142">SUM(L1506:L1511)</f>
        <v>67</v>
      </c>
      <c r="M1512" s="111">
        <f t="shared" si="1142"/>
        <v>343</v>
      </c>
      <c r="N1512" s="111"/>
      <c r="O1512" s="112"/>
      <c r="P1512" s="111">
        <f t="shared" ref="P1512:AH1512" si="1143">SUM(P1506:P1511)</f>
        <v>10</v>
      </c>
      <c r="Q1512" s="111">
        <f t="shared" si="1143"/>
        <v>7</v>
      </c>
      <c r="R1512" s="111">
        <f t="shared" si="1143"/>
        <v>13</v>
      </c>
      <c r="S1512" s="111">
        <f t="shared" si="1143"/>
        <v>5</v>
      </c>
      <c r="T1512" s="111">
        <f t="shared" si="1143"/>
        <v>32</v>
      </c>
      <c r="U1512" s="111">
        <f t="shared" si="1143"/>
        <v>6</v>
      </c>
      <c r="V1512" s="111">
        <f t="shared" si="1143"/>
        <v>1</v>
      </c>
      <c r="W1512" s="111">
        <f t="shared" si="1143"/>
        <v>0</v>
      </c>
      <c r="X1512" s="111">
        <f t="shared" si="1143"/>
        <v>0</v>
      </c>
      <c r="Y1512" s="111">
        <f t="shared" si="1143"/>
        <v>0</v>
      </c>
      <c r="Z1512" s="111">
        <f t="shared" si="1143"/>
        <v>0</v>
      </c>
      <c r="AA1512" s="111">
        <f t="shared" si="1143"/>
        <v>0</v>
      </c>
      <c r="AB1512" s="111">
        <f t="shared" si="1143"/>
        <v>0</v>
      </c>
      <c r="AC1512" s="111">
        <f t="shared" si="1143"/>
        <v>7</v>
      </c>
      <c r="AD1512" s="111">
        <f t="shared" si="1143"/>
        <v>0</v>
      </c>
      <c r="AE1512" s="111">
        <f t="shared" si="1143"/>
        <v>0</v>
      </c>
      <c r="AF1512" s="111">
        <f t="shared" si="1143"/>
        <v>0</v>
      </c>
      <c r="AG1512" s="111">
        <f t="shared" si="1143"/>
        <v>0</v>
      </c>
      <c r="AH1512" s="111">
        <f t="shared" si="1143"/>
        <v>0</v>
      </c>
    </row>
    <row r="1513">
      <c r="A1513" s="113" t="s">
        <v>340</v>
      </c>
    </row>
    <row r="1515" hidden="1">
      <c r="A1515" s="105"/>
      <c r="F1515" s="106" t="s">
        <v>251</v>
      </c>
      <c r="L1515" s="107" t="s">
        <v>252</v>
      </c>
      <c r="N1515" s="108" t="s">
        <v>253</v>
      </c>
    </row>
    <row r="1516" hidden="1">
      <c r="A1516" s="76" t="s">
        <v>148</v>
      </c>
      <c r="B1516" s="76" t="s">
        <v>149</v>
      </c>
      <c r="C1516" s="76" t="s">
        <v>150</v>
      </c>
      <c r="D1516" s="76" t="s">
        <v>13</v>
      </c>
      <c r="E1516" s="77" t="s">
        <v>151</v>
      </c>
      <c r="F1516" s="78" t="s">
        <v>15</v>
      </c>
      <c r="G1516" s="78" t="s">
        <v>152</v>
      </c>
      <c r="H1516" s="78" t="s">
        <v>153</v>
      </c>
      <c r="I1516" s="78" t="s">
        <v>154</v>
      </c>
      <c r="J1516" s="78" t="s">
        <v>155</v>
      </c>
      <c r="K1516" s="79" t="s">
        <v>156</v>
      </c>
      <c r="L1516" s="80" t="s">
        <v>157</v>
      </c>
      <c r="M1516" s="80" t="s">
        <v>158</v>
      </c>
      <c r="N1516" s="81" t="s">
        <v>254</v>
      </c>
      <c r="O1516" s="81" t="s">
        <v>151</v>
      </c>
      <c r="P1516" s="81" t="s">
        <v>160</v>
      </c>
      <c r="Q1516" s="81" t="s">
        <v>161</v>
      </c>
      <c r="R1516" s="81" t="s">
        <v>162</v>
      </c>
      <c r="S1516" s="81" t="s">
        <v>163</v>
      </c>
      <c r="T1516" s="81" t="s">
        <v>164</v>
      </c>
      <c r="U1516" s="81" t="s">
        <v>165</v>
      </c>
      <c r="V1516" s="81" t="s">
        <v>166</v>
      </c>
      <c r="W1516" s="81" t="s">
        <v>167</v>
      </c>
      <c r="X1516" s="81" t="s">
        <v>168</v>
      </c>
      <c r="Y1516" s="81" t="s">
        <v>169</v>
      </c>
      <c r="Z1516" s="81" t="s">
        <v>170</v>
      </c>
      <c r="AA1516" s="81" t="s">
        <v>171</v>
      </c>
      <c r="AB1516" s="81" t="s">
        <v>172</v>
      </c>
      <c r="AC1516" s="81" t="s">
        <v>173</v>
      </c>
      <c r="AD1516" s="81" t="s">
        <v>174</v>
      </c>
      <c r="AE1516" s="81" t="s">
        <v>175</v>
      </c>
      <c r="AF1516" s="81" t="s">
        <v>176</v>
      </c>
      <c r="AG1516" s="81" t="s">
        <v>177</v>
      </c>
      <c r="AH1516" s="81" t="s">
        <v>178</v>
      </c>
    </row>
    <row r="1517" hidden="1">
      <c r="A1517" s="83" t="s">
        <v>49</v>
      </c>
      <c r="B1517" s="84" t="s">
        <v>198</v>
      </c>
      <c r="C1517" s="85">
        <v>1.0</v>
      </c>
      <c r="D1517" s="94">
        <v>0.0</v>
      </c>
      <c r="E1517" s="86">
        <v>43.0</v>
      </c>
      <c r="F1517" s="85">
        <v>1.0</v>
      </c>
      <c r="G1517" s="85">
        <v>108.0</v>
      </c>
      <c r="H1517" s="85">
        <v>2.0</v>
      </c>
      <c r="I1517" s="85">
        <v>87.0</v>
      </c>
      <c r="J1517" s="95">
        <f t="shared" ref="J1517:J1530" si="1144">SUM(G1517-I1517)</f>
        <v>21</v>
      </c>
      <c r="K1517" s="87">
        <f t="shared" ref="K1517:K1530" si="1145">SUM(G1517/I1517)</f>
        <v>1.24137931</v>
      </c>
      <c r="L1517" s="85">
        <v>26.0</v>
      </c>
      <c r="M1517" s="85">
        <v>139.0</v>
      </c>
      <c r="N1517" s="85">
        <v>1.0</v>
      </c>
      <c r="O1517" s="110">
        <f t="shared" ref="O1517:O1522" si="1146">(E1517*N1517)</f>
        <v>43</v>
      </c>
      <c r="P1517" s="85">
        <v>6.0</v>
      </c>
      <c r="Q1517" s="85">
        <v>2.0</v>
      </c>
      <c r="R1517" s="85">
        <v>6.0</v>
      </c>
      <c r="S1517" s="85">
        <v>2.0</v>
      </c>
      <c r="T1517" s="85">
        <v>19.0</v>
      </c>
      <c r="U1517" s="85">
        <v>2.0</v>
      </c>
      <c r="V1517" s="94">
        <v>0.0</v>
      </c>
      <c r="W1517" s="94">
        <v>0.0</v>
      </c>
      <c r="X1517" s="94">
        <v>0.0</v>
      </c>
      <c r="Y1517" s="94">
        <v>0.0</v>
      </c>
      <c r="Z1517" s="94">
        <v>0.0</v>
      </c>
      <c r="AA1517" s="94">
        <v>0.0</v>
      </c>
      <c r="AB1517" s="94">
        <v>0.0</v>
      </c>
      <c r="AC1517" s="85">
        <v>3.0</v>
      </c>
      <c r="AD1517" s="94">
        <v>0.0</v>
      </c>
      <c r="AE1517" s="94">
        <v>0.0</v>
      </c>
      <c r="AF1517" s="94">
        <v>0.0</v>
      </c>
      <c r="AG1517" s="94">
        <v>0.0</v>
      </c>
      <c r="AH1517" s="94">
        <v>0.0</v>
      </c>
    </row>
    <row r="1518" hidden="1">
      <c r="A1518" s="83" t="s">
        <v>49</v>
      </c>
      <c r="B1518" s="84" t="s">
        <v>199</v>
      </c>
      <c r="C1518" s="85">
        <v>1.0</v>
      </c>
      <c r="D1518" s="94">
        <v>0.0</v>
      </c>
      <c r="E1518" s="86">
        <v>43.0</v>
      </c>
      <c r="F1518" s="94">
        <v>0.0</v>
      </c>
      <c r="G1518" s="85">
        <v>141.0</v>
      </c>
      <c r="H1518" s="94">
        <v>0.0</v>
      </c>
      <c r="I1518" s="85">
        <v>129.0</v>
      </c>
      <c r="J1518" s="95">
        <f t="shared" si="1144"/>
        <v>12</v>
      </c>
      <c r="K1518" s="87">
        <f t="shared" si="1145"/>
        <v>1.093023256</v>
      </c>
      <c r="L1518" s="85">
        <v>16.0</v>
      </c>
      <c r="M1518" s="85">
        <v>165.0</v>
      </c>
      <c r="N1518" s="85">
        <v>1.0</v>
      </c>
      <c r="O1518" s="110">
        <f t="shared" si="1146"/>
        <v>43</v>
      </c>
      <c r="P1518" s="85">
        <v>5.0</v>
      </c>
      <c r="Q1518" s="85">
        <v>2.0</v>
      </c>
      <c r="R1518" s="85">
        <v>4.0</v>
      </c>
      <c r="S1518" s="85">
        <v>1.0</v>
      </c>
      <c r="T1518" s="85">
        <v>17.0</v>
      </c>
      <c r="U1518" s="94">
        <v>0.0</v>
      </c>
      <c r="V1518" s="94">
        <v>0.0</v>
      </c>
      <c r="W1518" s="94">
        <v>0.0</v>
      </c>
      <c r="X1518" s="94">
        <v>0.0</v>
      </c>
      <c r="Y1518" s="94">
        <v>0.0</v>
      </c>
      <c r="Z1518" s="94">
        <v>0.0</v>
      </c>
      <c r="AA1518" s="94">
        <v>0.0</v>
      </c>
      <c r="AB1518" s="94">
        <v>0.0</v>
      </c>
      <c r="AC1518" s="85">
        <v>3.0</v>
      </c>
      <c r="AD1518" s="94">
        <v>0.0</v>
      </c>
      <c r="AE1518" s="94">
        <v>0.0</v>
      </c>
      <c r="AF1518" s="94">
        <v>0.0</v>
      </c>
      <c r="AG1518" s="94">
        <v>0.0</v>
      </c>
      <c r="AH1518" s="94">
        <v>0.0</v>
      </c>
    </row>
    <row r="1519" hidden="1">
      <c r="A1519" s="83" t="s">
        <v>49</v>
      </c>
      <c r="B1519" s="84" t="s">
        <v>200</v>
      </c>
      <c r="C1519" s="85">
        <v>1.0</v>
      </c>
      <c r="D1519" s="94">
        <v>0.0</v>
      </c>
      <c r="E1519" s="86">
        <v>43.0</v>
      </c>
      <c r="F1519" s="94">
        <v>0.0</v>
      </c>
      <c r="G1519" s="85">
        <v>155.0</v>
      </c>
      <c r="H1519" s="85">
        <v>1.0</v>
      </c>
      <c r="I1519" s="85">
        <v>136.0</v>
      </c>
      <c r="J1519" s="95">
        <f t="shared" si="1144"/>
        <v>19</v>
      </c>
      <c r="K1519" s="87">
        <f t="shared" si="1145"/>
        <v>1.139705882</v>
      </c>
      <c r="L1519" s="85">
        <v>15.0</v>
      </c>
      <c r="M1519" s="85">
        <v>201.0</v>
      </c>
      <c r="N1519" s="85">
        <v>1.0</v>
      </c>
      <c r="O1519" s="110">
        <f t="shared" si="1146"/>
        <v>43</v>
      </c>
      <c r="P1519" s="85">
        <v>6.0</v>
      </c>
      <c r="Q1519" s="85">
        <v>4.0</v>
      </c>
      <c r="R1519" s="85">
        <v>11.0</v>
      </c>
      <c r="S1519" s="85">
        <v>2.0</v>
      </c>
      <c r="T1519" s="85">
        <v>22.0</v>
      </c>
      <c r="U1519" s="85">
        <v>5.0</v>
      </c>
      <c r="V1519" s="94">
        <v>0.0</v>
      </c>
      <c r="W1519" s="94">
        <v>0.0</v>
      </c>
      <c r="X1519" s="94">
        <v>0.0</v>
      </c>
      <c r="Y1519" s="94">
        <v>0.0</v>
      </c>
      <c r="Z1519" s="94">
        <v>0.0</v>
      </c>
      <c r="AA1519" s="94">
        <v>0.0</v>
      </c>
      <c r="AB1519" s="94">
        <v>0.0</v>
      </c>
      <c r="AC1519" s="85">
        <v>5.0</v>
      </c>
      <c r="AD1519" s="94">
        <v>0.0</v>
      </c>
      <c r="AE1519" s="94">
        <v>0.0</v>
      </c>
      <c r="AF1519" s="94">
        <v>0.0</v>
      </c>
      <c r="AG1519" s="94">
        <v>0.0</v>
      </c>
      <c r="AH1519" s="94">
        <v>0.0</v>
      </c>
    </row>
    <row r="1520" hidden="1">
      <c r="A1520" s="83" t="s">
        <v>49</v>
      </c>
      <c r="B1520" s="84" t="s">
        <v>201</v>
      </c>
      <c r="C1520" s="85">
        <v>1.0</v>
      </c>
      <c r="D1520" s="94">
        <v>0.0</v>
      </c>
      <c r="E1520" s="86">
        <v>43.0</v>
      </c>
      <c r="F1520" s="94">
        <v>0.0</v>
      </c>
      <c r="G1520" s="85">
        <v>122.0</v>
      </c>
      <c r="H1520" s="94">
        <v>0.0</v>
      </c>
      <c r="I1520" s="85">
        <v>159.0</v>
      </c>
      <c r="J1520" s="95">
        <f t="shared" si="1144"/>
        <v>-37</v>
      </c>
      <c r="K1520" s="87">
        <f t="shared" si="1145"/>
        <v>0.7672955975</v>
      </c>
      <c r="L1520" s="85">
        <v>13.0</v>
      </c>
      <c r="M1520" s="85">
        <v>151.0</v>
      </c>
      <c r="N1520" s="85">
        <v>1.0</v>
      </c>
      <c r="O1520" s="110">
        <f t="shared" si="1146"/>
        <v>43</v>
      </c>
      <c r="P1520" s="85">
        <v>3.0</v>
      </c>
      <c r="Q1520" s="85">
        <v>2.0</v>
      </c>
      <c r="R1520" s="85">
        <v>7.0</v>
      </c>
      <c r="S1520" s="85">
        <v>2.0</v>
      </c>
      <c r="T1520" s="85">
        <v>14.0</v>
      </c>
      <c r="U1520" s="85">
        <v>1.0</v>
      </c>
      <c r="V1520" s="94">
        <v>0.0</v>
      </c>
      <c r="W1520" s="94">
        <v>0.0</v>
      </c>
      <c r="X1520" s="94">
        <v>0.0</v>
      </c>
      <c r="Y1520" s="94">
        <v>0.0</v>
      </c>
      <c r="Z1520" s="94">
        <v>0.0</v>
      </c>
      <c r="AA1520" s="94">
        <v>0.0</v>
      </c>
      <c r="AB1520" s="94">
        <v>0.0</v>
      </c>
      <c r="AC1520" s="85">
        <v>2.0</v>
      </c>
      <c r="AD1520" s="94">
        <v>0.0</v>
      </c>
      <c r="AE1520" s="94">
        <v>0.0</v>
      </c>
      <c r="AF1520" s="94">
        <v>0.0</v>
      </c>
      <c r="AG1520" s="94">
        <v>0.0</v>
      </c>
      <c r="AH1520" s="85">
        <v>1.0</v>
      </c>
    </row>
    <row r="1521" hidden="1">
      <c r="A1521" s="83" t="s">
        <v>49</v>
      </c>
      <c r="B1521" s="84" t="s">
        <v>202</v>
      </c>
      <c r="C1521" s="94">
        <v>0.0</v>
      </c>
      <c r="D1521" s="94">
        <v>0.0</v>
      </c>
      <c r="E1521" s="96">
        <f t="shared" ref="E1521:E1522" si="1147">SUM(L1521*I1521)/60</f>
        <v>0</v>
      </c>
      <c r="F1521" s="94">
        <v>0.0</v>
      </c>
      <c r="G1521" s="94">
        <v>0.0</v>
      </c>
      <c r="H1521" s="94">
        <v>0.0</v>
      </c>
      <c r="I1521" s="94">
        <v>0.0</v>
      </c>
      <c r="J1521" s="95">
        <f t="shared" si="1144"/>
        <v>0</v>
      </c>
      <c r="K1521" s="87" t="str">
        <f t="shared" si="1145"/>
        <v>#DIV/0!</v>
      </c>
      <c r="L1521" s="94">
        <v>0.0</v>
      </c>
      <c r="M1521" s="94">
        <v>0.0</v>
      </c>
      <c r="N1521" s="85">
        <v>0.0</v>
      </c>
      <c r="O1521" s="110">
        <f t="shared" si="1146"/>
        <v>0</v>
      </c>
      <c r="P1521" s="94">
        <v>0.0</v>
      </c>
      <c r="Q1521" s="94">
        <v>0.0</v>
      </c>
      <c r="R1521" s="94">
        <v>0.0</v>
      </c>
      <c r="S1521" s="94">
        <v>0.0</v>
      </c>
      <c r="T1521" s="94">
        <v>0.0</v>
      </c>
      <c r="U1521" s="94">
        <v>0.0</v>
      </c>
      <c r="V1521" s="94">
        <v>0.0</v>
      </c>
      <c r="W1521" s="94">
        <v>0.0</v>
      </c>
      <c r="X1521" s="94">
        <v>0.0</v>
      </c>
      <c r="Y1521" s="94">
        <v>0.0</v>
      </c>
      <c r="Z1521" s="94">
        <v>0.0</v>
      </c>
      <c r="AA1521" s="94">
        <v>0.0</v>
      </c>
      <c r="AB1521" s="94">
        <v>0.0</v>
      </c>
      <c r="AC1521" s="94">
        <v>0.0</v>
      </c>
      <c r="AD1521" s="94">
        <v>0.0</v>
      </c>
      <c r="AE1521" s="94">
        <v>0.0</v>
      </c>
      <c r="AF1521" s="94">
        <v>0.0</v>
      </c>
      <c r="AG1521" s="94">
        <v>0.0</v>
      </c>
      <c r="AH1521" s="94">
        <v>0.0</v>
      </c>
    </row>
    <row r="1522" hidden="1">
      <c r="A1522" s="83" t="s">
        <v>49</v>
      </c>
      <c r="B1522" s="93"/>
      <c r="C1522" s="94">
        <v>0.0</v>
      </c>
      <c r="D1522" s="94">
        <v>0.0</v>
      </c>
      <c r="E1522" s="96">
        <f t="shared" si="1147"/>
        <v>0</v>
      </c>
      <c r="F1522" s="94">
        <v>0.0</v>
      </c>
      <c r="G1522" s="94">
        <v>0.0</v>
      </c>
      <c r="H1522" s="94">
        <v>0.0</v>
      </c>
      <c r="I1522" s="94">
        <v>0.0</v>
      </c>
      <c r="J1522" s="95">
        <f t="shared" si="1144"/>
        <v>0</v>
      </c>
      <c r="K1522" s="87" t="str">
        <f t="shared" si="1145"/>
        <v>#DIV/0!</v>
      </c>
      <c r="L1522" s="94">
        <v>0.0</v>
      </c>
      <c r="M1522" s="94">
        <v>0.0</v>
      </c>
      <c r="N1522" s="85">
        <v>0.0</v>
      </c>
      <c r="O1522" s="110">
        <f t="shared" si="1146"/>
        <v>0</v>
      </c>
      <c r="P1522" s="94">
        <v>0.0</v>
      </c>
      <c r="Q1522" s="94">
        <v>0.0</v>
      </c>
      <c r="R1522" s="94">
        <v>0.0</v>
      </c>
      <c r="S1522" s="94">
        <v>0.0</v>
      </c>
      <c r="T1522" s="94">
        <v>0.0</v>
      </c>
      <c r="U1522" s="94">
        <v>0.0</v>
      </c>
      <c r="V1522" s="94">
        <v>0.0</v>
      </c>
      <c r="W1522" s="94">
        <v>0.0</v>
      </c>
      <c r="X1522" s="94">
        <v>0.0</v>
      </c>
      <c r="Y1522" s="94">
        <v>0.0</v>
      </c>
      <c r="Z1522" s="94">
        <v>0.0</v>
      </c>
      <c r="AA1522" s="94">
        <v>0.0</v>
      </c>
      <c r="AB1522" s="94">
        <v>0.0</v>
      </c>
      <c r="AC1522" s="94">
        <v>0.0</v>
      </c>
      <c r="AD1522" s="94">
        <v>0.0</v>
      </c>
      <c r="AE1522" s="94">
        <v>0.0</v>
      </c>
      <c r="AF1522" s="94">
        <v>0.0</v>
      </c>
      <c r="AG1522" s="94">
        <v>0.0</v>
      </c>
      <c r="AH1522" s="94">
        <v>0.0</v>
      </c>
    </row>
    <row r="1523" hidden="1">
      <c r="A1523" s="89"/>
      <c r="B1523" s="111"/>
      <c r="C1523" s="111">
        <f t="shared" ref="C1523:D1523" si="1148">SUM(C1517:C1522)/4</f>
        <v>1</v>
      </c>
      <c r="D1523" s="111">
        <f t="shared" si="1148"/>
        <v>0</v>
      </c>
      <c r="E1523" s="91">
        <f t="shared" ref="E1523:G1523" si="1149">SUM(E1517:E1522)</f>
        <v>172</v>
      </c>
      <c r="F1523" s="111">
        <f t="shared" si="1149"/>
        <v>1</v>
      </c>
      <c r="G1523" s="111">
        <f t="shared" si="1149"/>
        <v>526</v>
      </c>
      <c r="H1523" s="111"/>
      <c r="I1523" s="111">
        <f>SUM(I1517:I1522)</f>
        <v>511</v>
      </c>
      <c r="J1523" s="111">
        <f t="shared" si="1144"/>
        <v>15</v>
      </c>
      <c r="K1523" s="92">
        <f t="shared" si="1145"/>
        <v>1.029354207</v>
      </c>
      <c r="L1523" s="111">
        <f t="shared" ref="L1523:M1523" si="1150">SUM(L1517:L1522)</f>
        <v>70</v>
      </c>
      <c r="M1523" s="111">
        <f t="shared" si="1150"/>
        <v>656</v>
      </c>
      <c r="N1523" s="111"/>
      <c r="O1523" s="112"/>
      <c r="P1523" s="111">
        <f t="shared" ref="P1523:AH1523" si="1151">SUM(P1517:P1522)</f>
        <v>20</v>
      </c>
      <c r="Q1523" s="111">
        <f t="shared" si="1151"/>
        <v>10</v>
      </c>
      <c r="R1523" s="111">
        <f t="shared" si="1151"/>
        <v>28</v>
      </c>
      <c r="S1523" s="111">
        <f t="shared" si="1151"/>
        <v>7</v>
      </c>
      <c r="T1523" s="111">
        <f t="shared" si="1151"/>
        <v>72</v>
      </c>
      <c r="U1523" s="111">
        <f t="shared" si="1151"/>
        <v>8</v>
      </c>
      <c r="V1523" s="111">
        <f t="shared" si="1151"/>
        <v>0</v>
      </c>
      <c r="W1523" s="111">
        <f t="shared" si="1151"/>
        <v>0</v>
      </c>
      <c r="X1523" s="111">
        <f t="shared" si="1151"/>
        <v>0</v>
      </c>
      <c r="Y1523" s="111">
        <f t="shared" si="1151"/>
        <v>0</v>
      </c>
      <c r="Z1523" s="111">
        <f t="shared" si="1151"/>
        <v>0</v>
      </c>
      <c r="AA1523" s="111">
        <f t="shared" si="1151"/>
        <v>0</v>
      </c>
      <c r="AB1523" s="111">
        <f t="shared" si="1151"/>
        <v>0</v>
      </c>
      <c r="AC1523" s="111">
        <f t="shared" si="1151"/>
        <v>13</v>
      </c>
      <c r="AD1523" s="111">
        <f t="shared" si="1151"/>
        <v>0</v>
      </c>
      <c r="AE1523" s="111">
        <f t="shared" si="1151"/>
        <v>0</v>
      </c>
      <c r="AF1523" s="111">
        <f t="shared" si="1151"/>
        <v>0</v>
      </c>
      <c r="AG1523" s="111">
        <f t="shared" si="1151"/>
        <v>0</v>
      </c>
      <c r="AH1523" s="111">
        <f t="shared" si="1151"/>
        <v>1</v>
      </c>
    </row>
    <row r="1524" hidden="1">
      <c r="A1524" s="83" t="s">
        <v>51</v>
      </c>
      <c r="B1524" s="84" t="s">
        <v>222</v>
      </c>
      <c r="C1524" s="85">
        <v>1.0</v>
      </c>
      <c r="D1524" s="85">
        <v>1.0</v>
      </c>
      <c r="E1524" s="86">
        <v>43.0</v>
      </c>
      <c r="F1524" s="85">
        <v>1.0</v>
      </c>
      <c r="G1524" s="85">
        <v>120.0</v>
      </c>
      <c r="H1524" s="94">
        <v>0.0</v>
      </c>
      <c r="I1524" s="85">
        <v>131.0</v>
      </c>
      <c r="J1524" s="95">
        <f t="shared" si="1144"/>
        <v>-11</v>
      </c>
      <c r="K1524" s="87">
        <f t="shared" si="1145"/>
        <v>0.9160305344</v>
      </c>
      <c r="L1524" s="85">
        <v>16.0</v>
      </c>
      <c r="M1524" s="85">
        <v>153.0</v>
      </c>
      <c r="N1524" s="85">
        <v>1.0</v>
      </c>
      <c r="O1524" s="110">
        <f t="shared" ref="O1524:O1529" si="1152">(E1524*N1524)</f>
        <v>43</v>
      </c>
      <c r="P1524" s="85">
        <v>4.0</v>
      </c>
      <c r="Q1524" s="85">
        <v>6.0</v>
      </c>
      <c r="R1524" s="85">
        <v>8.0</v>
      </c>
      <c r="S1524" s="85">
        <v>2.0</v>
      </c>
      <c r="T1524" s="85">
        <v>19.0</v>
      </c>
      <c r="U1524" s="85">
        <v>3.0</v>
      </c>
      <c r="V1524" s="94">
        <v>0.0</v>
      </c>
      <c r="W1524" s="94">
        <v>0.0</v>
      </c>
      <c r="X1524" s="94">
        <v>0.0</v>
      </c>
      <c r="Y1524" s="94">
        <v>0.0</v>
      </c>
      <c r="Z1524" s="94">
        <v>0.0</v>
      </c>
      <c r="AA1524" s="94">
        <v>0.0</v>
      </c>
      <c r="AB1524" s="94">
        <v>0.0</v>
      </c>
      <c r="AC1524" s="85">
        <v>2.0</v>
      </c>
      <c r="AD1524" s="94">
        <v>0.0</v>
      </c>
      <c r="AE1524" s="94">
        <v>0.0</v>
      </c>
      <c r="AF1524" s="94">
        <v>0.0</v>
      </c>
      <c r="AG1524" s="94">
        <v>0.0</v>
      </c>
      <c r="AH1524" s="94">
        <v>0.0</v>
      </c>
    </row>
    <row r="1525" hidden="1">
      <c r="A1525" s="83" t="s">
        <v>51</v>
      </c>
      <c r="B1525" s="84" t="s">
        <v>223</v>
      </c>
      <c r="C1525" s="85">
        <v>1.0</v>
      </c>
      <c r="D1525" s="85">
        <v>1.0</v>
      </c>
      <c r="E1525" s="86">
        <v>43.0</v>
      </c>
      <c r="F1525" s="94">
        <v>0.0</v>
      </c>
      <c r="G1525" s="85">
        <v>135.0</v>
      </c>
      <c r="H1525" s="94">
        <v>0.0</v>
      </c>
      <c r="I1525" s="85">
        <v>117.0</v>
      </c>
      <c r="J1525" s="95">
        <f t="shared" si="1144"/>
        <v>18</v>
      </c>
      <c r="K1525" s="87">
        <f t="shared" si="1145"/>
        <v>1.153846154</v>
      </c>
      <c r="L1525" s="85">
        <v>18.0</v>
      </c>
      <c r="M1525" s="85">
        <v>162.0</v>
      </c>
      <c r="N1525" s="85">
        <v>1.0</v>
      </c>
      <c r="O1525" s="110">
        <f t="shared" si="1152"/>
        <v>43</v>
      </c>
      <c r="P1525" s="85">
        <v>4.0</v>
      </c>
      <c r="Q1525" s="85">
        <v>3.0</v>
      </c>
      <c r="R1525" s="85">
        <v>6.0</v>
      </c>
      <c r="S1525" s="85">
        <v>3.0</v>
      </c>
      <c r="T1525" s="85">
        <v>13.0</v>
      </c>
      <c r="U1525" s="94">
        <v>0.0</v>
      </c>
      <c r="V1525" s="94">
        <v>0.0</v>
      </c>
      <c r="W1525" s="94">
        <v>0.0</v>
      </c>
      <c r="X1525" s="94">
        <v>0.0</v>
      </c>
      <c r="Y1525" s="94">
        <v>0.0</v>
      </c>
      <c r="Z1525" s="94">
        <v>0.0</v>
      </c>
      <c r="AA1525" s="94">
        <v>0.0</v>
      </c>
      <c r="AB1525" s="94">
        <v>0.0</v>
      </c>
      <c r="AC1525" s="85">
        <v>4.0</v>
      </c>
      <c r="AD1525" s="94">
        <v>0.0</v>
      </c>
      <c r="AE1525" s="94">
        <v>0.0</v>
      </c>
      <c r="AF1525" s="94">
        <v>0.0</v>
      </c>
      <c r="AG1525" s="94">
        <v>0.0</v>
      </c>
      <c r="AH1525" s="94">
        <v>0.0</v>
      </c>
    </row>
    <row r="1526" hidden="1">
      <c r="A1526" s="83" t="s">
        <v>51</v>
      </c>
      <c r="B1526" s="84" t="s">
        <v>224</v>
      </c>
      <c r="C1526" s="85">
        <v>1.0</v>
      </c>
      <c r="D1526" s="85">
        <v>1.0</v>
      </c>
      <c r="E1526" s="86">
        <v>43.0</v>
      </c>
      <c r="F1526" s="85">
        <v>2.0</v>
      </c>
      <c r="G1526" s="85">
        <v>162.0</v>
      </c>
      <c r="H1526" s="94">
        <v>0.0</v>
      </c>
      <c r="I1526" s="85">
        <v>165.0</v>
      </c>
      <c r="J1526" s="95">
        <f t="shared" si="1144"/>
        <v>-3</v>
      </c>
      <c r="K1526" s="87">
        <f t="shared" si="1145"/>
        <v>0.9818181818</v>
      </c>
      <c r="L1526" s="85">
        <v>12.0</v>
      </c>
      <c r="M1526" s="85">
        <v>213.0</v>
      </c>
      <c r="N1526" s="85">
        <v>1.0</v>
      </c>
      <c r="O1526" s="110">
        <f t="shared" si="1152"/>
        <v>43</v>
      </c>
      <c r="P1526" s="85">
        <v>4.0</v>
      </c>
      <c r="Q1526" s="94">
        <v>0.0</v>
      </c>
      <c r="R1526" s="85">
        <v>15.0</v>
      </c>
      <c r="S1526" s="85">
        <v>5.0</v>
      </c>
      <c r="T1526" s="85">
        <v>26.0</v>
      </c>
      <c r="U1526" s="85">
        <v>6.0</v>
      </c>
      <c r="V1526" s="94">
        <v>0.0</v>
      </c>
      <c r="W1526" s="94">
        <v>0.0</v>
      </c>
      <c r="X1526" s="94">
        <v>0.0</v>
      </c>
      <c r="Y1526" s="94">
        <v>0.0</v>
      </c>
      <c r="Z1526" s="94">
        <v>0.0</v>
      </c>
      <c r="AA1526" s="94">
        <v>0.0</v>
      </c>
      <c r="AB1526" s="94">
        <v>0.0</v>
      </c>
      <c r="AC1526" s="85">
        <v>1.0</v>
      </c>
      <c r="AD1526" s="94">
        <v>0.0</v>
      </c>
      <c r="AE1526" s="94">
        <v>0.0</v>
      </c>
      <c r="AF1526" s="94">
        <v>0.0</v>
      </c>
      <c r="AG1526" s="94">
        <v>0.0</v>
      </c>
      <c r="AH1526" s="94">
        <v>0.0</v>
      </c>
    </row>
    <row r="1527" hidden="1">
      <c r="A1527" s="83" t="s">
        <v>51</v>
      </c>
      <c r="B1527" s="84" t="s">
        <v>225</v>
      </c>
      <c r="C1527" s="85">
        <v>1.0</v>
      </c>
      <c r="D1527" s="85">
        <v>1.0</v>
      </c>
      <c r="E1527" s="86">
        <v>43.0</v>
      </c>
      <c r="F1527" s="85">
        <v>2.0</v>
      </c>
      <c r="G1527" s="85">
        <v>84.0</v>
      </c>
      <c r="H1527" s="85">
        <v>1.0</v>
      </c>
      <c r="I1527" s="85">
        <v>130.0</v>
      </c>
      <c r="J1527" s="95">
        <f t="shared" si="1144"/>
        <v>-46</v>
      </c>
      <c r="K1527" s="87">
        <f t="shared" si="1145"/>
        <v>0.6461538462</v>
      </c>
      <c r="L1527" s="85">
        <v>16.0</v>
      </c>
      <c r="M1527" s="85">
        <v>106.0</v>
      </c>
      <c r="N1527" s="85">
        <v>1.0</v>
      </c>
      <c r="O1527" s="110">
        <f t="shared" si="1152"/>
        <v>43</v>
      </c>
      <c r="P1527" s="85">
        <v>4.0</v>
      </c>
      <c r="Q1527" s="85">
        <v>2.0</v>
      </c>
      <c r="R1527" s="85">
        <v>6.0</v>
      </c>
      <c r="S1527" s="85">
        <v>3.0</v>
      </c>
      <c r="T1527" s="85">
        <v>5.0</v>
      </c>
      <c r="U1527" s="85">
        <v>1.0</v>
      </c>
      <c r="V1527" s="85">
        <v>1.0</v>
      </c>
      <c r="W1527" s="94">
        <v>0.0</v>
      </c>
      <c r="X1527" s="94">
        <v>0.0</v>
      </c>
      <c r="Y1527" s="94">
        <v>0.0</v>
      </c>
      <c r="Z1527" s="94">
        <v>0.0</v>
      </c>
      <c r="AA1527" s="94">
        <v>0.0</v>
      </c>
      <c r="AB1527" s="94">
        <v>0.0</v>
      </c>
      <c r="AC1527" s="85">
        <v>1.0</v>
      </c>
      <c r="AD1527" s="94">
        <v>0.0</v>
      </c>
      <c r="AE1527" s="94">
        <v>0.0</v>
      </c>
      <c r="AF1527" s="94">
        <v>0.0</v>
      </c>
      <c r="AG1527" s="94">
        <v>0.0</v>
      </c>
      <c r="AH1527" s="94">
        <v>0.0</v>
      </c>
    </row>
    <row r="1528" hidden="1">
      <c r="A1528" s="83" t="s">
        <v>51</v>
      </c>
      <c r="B1528" s="84" t="s">
        <v>226</v>
      </c>
      <c r="C1528" s="94">
        <v>0.0</v>
      </c>
      <c r="D1528" s="94">
        <v>0.0</v>
      </c>
      <c r="E1528" s="96">
        <f t="shared" ref="E1528:E1529" si="1153">SUM(L1528*I1528)/60</f>
        <v>0</v>
      </c>
      <c r="F1528" s="94">
        <v>0.0</v>
      </c>
      <c r="G1528" s="94">
        <v>0.0</v>
      </c>
      <c r="H1528" s="94">
        <v>0.0</v>
      </c>
      <c r="I1528" s="94">
        <v>0.0</v>
      </c>
      <c r="J1528" s="95">
        <f t="shared" si="1144"/>
        <v>0</v>
      </c>
      <c r="K1528" s="87" t="str">
        <f t="shared" si="1145"/>
        <v>#DIV/0!</v>
      </c>
      <c r="L1528" s="94">
        <v>0.0</v>
      </c>
      <c r="M1528" s="94">
        <v>0.0</v>
      </c>
      <c r="N1528" s="85">
        <v>0.0</v>
      </c>
      <c r="O1528" s="110">
        <f t="shared" si="1152"/>
        <v>0</v>
      </c>
      <c r="P1528" s="94">
        <v>0.0</v>
      </c>
      <c r="Q1528" s="94">
        <v>0.0</v>
      </c>
      <c r="R1528" s="94">
        <v>0.0</v>
      </c>
      <c r="S1528" s="94">
        <v>0.0</v>
      </c>
      <c r="T1528" s="94">
        <v>0.0</v>
      </c>
      <c r="U1528" s="94">
        <v>0.0</v>
      </c>
      <c r="V1528" s="94">
        <v>0.0</v>
      </c>
      <c r="W1528" s="94">
        <v>0.0</v>
      </c>
      <c r="X1528" s="94">
        <v>0.0</v>
      </c>
      <c r="Y1528" s="94">
        <v>0.0</v>
      </c>
      <c r="Z1528" s="94">
        <v>0.0</v>
      </c>
      <c r="AA1528" s="94">
        <v>0.0</v>
      </c>
      <c r="AB1528" s="94">
        <v>0.0</v>
      </c>
      <c r="AC1528" s="94">
        <v>0.0</v>
      </c>
      <c r="AD1528" s="94">
        <v>0.0</v>
      </c>
      <c r="AE1528" s="94">
        <v>0.0</v>
      </c>
      <c r="AF1528" s="94">
        <v>0.0</v>
      </c>
      <c r="AG1528" s="94">
        <v>0.0</v>
      </c>
      <c r="AH1528" s="94">
        <v>0.0</v>
      </c>
    </row>
    <row r="1529" hidden="1">
      <c r="A1529" s="83" t="s">
        <v>51</v>
      </c>
      <c r="B1529" s="93"/>
      <c r="C1529" s="94">
        <v>0.0</v>
      </c>
      <c r="D1529" s="94">
        <v>0.0</v>
      </c>
      <c r="E1529" s="96">
        <f t="shared" si="1153"/>
        <v>0</v>
      </c>
      <c r="F1529" s="94">
        <v>0.0</v>
      </c>
      <c r="G1529" s="94">
        <v>0.0</v>
      </c>
      <c r="H1529" s="94">
        <v>0.0</v>
      </c>
      <c r="I1529" s="94">
        <v>0.0</v>
      </c>
      <c r="J1529" s="95">
        <f t="shared" si="1144"/>
        <v>0</v>
      </c>
      <c r="K1529" s="87" t="str">
        <f t="shared" si="1145"/>
        <v>#DIV/0!</v>
      </c>
      <c r="L1529" s="94">
        <v>0.0</v>
      </c>
      <c r="M1529" s="94">
        <v>0.0</v>
      </c>
      <c r="N1529" s="85">
        <v>0.0</v>
      </c>
      <c r="O1529" s="110">
        <f t="shared" si="1152"/>
        <v>0</v>
      </c>
      <c r="P1529" s="94">
        <v>0.0</v>
      </c>
      <c r="Q1529" s="94">
        <v>0.0</v>
      </c>
      <c r="R1529" s="94">
        <v>0.0</v>
      </c>
      <c r="S1529" s="94">
        <v>0.0</v>
      </c>
      <c r="T1529" s="94">
        <v>0.0</v>
      </c>
      <c r="U1529" s="94">
        <v>0.0</v>
      </c>
      <c r="V1529" s="94">
        <v>0.0</v>
      </c>
      <c r="W1529" s="94">
        <v>0.0</v>
      </c>
      <c r="X1529" s="94">
        <v>0.0</v>
      </c>
      <c r="Y1529" s="94">
        <v>0.0</v>
      </c>
      <c r="Z1529" s="94">
        <v>0.0</v>
      </c>
      <c r="AA1529" s="94">
        <v>0.0</v>
      </c>
      <c r="AB1529" s="94">
        <v>0.0</v>
      </c>
      <c r="AC1529" s="94">
        <v>0.0</v>
      </c>
      <c r="AD1529" s="94">
        <v>0.0</v>
      </c>
      <c r="AE1529" s="94">
        <v>0.0</v>
      </c>
      <c r="AF1529" s="94">
        <v>0.0</v>
      </c>
      <c r="AG1529" s="94">
        <v>0.0</v>
      </c>
      <c r="AH1529" s="94">
        <v>0.0</v>
      </c>
    </row>
    <row r="1530" hidden="1">
      <c r="A1530" s="89" t="s">
        <v>185</v>
      </c>
      <c r="B1530" s="111"/>
      <c r="C1530" s="111">
        <f>SUM(C1524:C1529)</f>
        <v>4</v>
      </c>
      <c r="D1530" s="111">
        <f t="shared" ref="D1530:E1530" si="1154">SUM(D1524:D1529)/4</f>
        <v>1</v>
      </c>
      <c r="E1530" s="91">
        <f t="shared" si="1154"/>
        <v>43</v>
      </c>
      <c r="F1530" s="111">
        <f t="shared" ref="F1530:G1530" si="1155">SUM(F1524:F1529)</f>
        <v>5</v>
      </c>
      <c r="G1530" s="111">
        <f t="shared" si="1155"/>
        <v>501</v>
      </c>
      <c r="H1530" s="111"/>
      <c r="I1530" s="111">
        <f>SUM(I1524:I1529)</f>
        <v>543</v>
      </c>
      <c r="J1530" s="111">
        <f t="shared" si="1144"/>
        <v>-42</v>
      </c>
      <c r="K1530" s="92">
        <f t="shared" si="1145"/>
        <v>0.9226519337</v>
      </c>
      <c r="L1530" s="111">
        <f t="shared" ref="L1530:M1530" si="1156">SUM(L1524:L1529)</f>
        <v>62</v>
      </c>
      <c r="M1530" s="111">
        <f t="shared" si="1156"/>
        <v>634</v>
      </c>
      <c r="N1530" s="111"/>
      <c r="O1530" s="112"/>
      <c r="P1530" s="111">
        <f t="shared" ref="P1530:AH1530" si="1157">SUM(P1524:P1529)</f>
        <v>16</v>
      </c>
      <c r="Q1530" s="111">
        <f t="shared" si="1157"/>
        <v>11</v>
      </c>
      <c r="R1530" s="111">
        <f t="shared" si="1157"/>
        <v>35</v>
      </c>
      <c r="S1530" s="111">
        <f t="shared" si="1157"/>
        <v>13</v>
      </c>
      <c r="T1530" s="111">
        <f t="shared" si="1157"/>
        <v>63</v>
      </c>
      <c r="U1530" s="111">
        <f t="shared" si="1157"/>
        <v>10</v>
      </c>
      <c r="V1530" s="111">
        <f t="shared" si="1157"/>
        <v>1</v>
      </c>
      <c r="W1530" s="111">
        <f t="shared" si="1157"/>
        <v>0</v>
      </c>
      <c r="X1530" s="111">
        <f t="shared" si="1157"/>
        <v>0</v>
      </c>
      <c r="Y1530" s="111">
        <f t="shared" si="1157"/>
        <v>0</v>
      </c>
      <c r="Z1530" s="111">
        <f t="shared" si="1157"/>
        <v>0</v>
      </c>
      <c r="AA1530" s="111">
        <f t="shared" si="1157"/>
        <v>0</v>
      </c>
      <c r="AB1530" s="111">
        <f t="shared" si="1157"/>
        <v>0</v>
      </c>
      <c r="AC1530" s="111">
        <f t="shared" si="1157"/>
        <v>8</v>
      </c>
      <c r="AD1530" s="111">
        <f t="shared" si="1157"/>
        <v>0</v>
      </c>
      <c r="AE1530" s="111">
        <f t="shared" si="1157"/>
        <v>0</v>
      </c>
      <c r="AF1530" s="111">
        <f t="shared" si="1157"/>
        <v>0</v>
      </c>
      <c r="AG1530" s="111">
        <f t="shared" si="1157"/>
        <v>0</v>
      </c>
      <c r="AH1530" s="111">
        <f t="shared" si="1157"/>
        <v>0</v>
      </c>
    </row>
    <row r="1531">
      <c r="A1531" s="104" t="s">
        <v>341</v>
      </c>
    </row>
    <row r="1533" hidden="1">
      <c r="A1533" s="105"/>
      <c r="F1533" s="106" t="s">
        <v>251</v>
      </c>
      <c r="L1533" s="107" t="s">
        <v>252</v>
      </c>
      <c r="N1533" s="108" t="s">
        <v>253</v>
      </c>
    </row>
    <row r="1534" hidden="1">
      <c r="A1534" s="76" t="s">
        <v>148</v>
      </c>
      <c r="B1534" s="76" t="s">
        <v>149</v>
      </c>
      <c r="C1534" s="76" t="s">
        <v>150</v>
      </c>
      <c r="D1534" s="76" t="s">
        <v>13</v>
      </c>
      <c r="E1534" s="77" t="s">
        <v>151</v>
      </c>
      <c r="F1534" s="78" t="s">
        <v>15</v>
      </c>
      <c r="G1534" s="78" t="s">
        <v>152</v>
      </c>
      <c r="H1534" s="78" t="s">
        <v>153</v>
      </c>
      <c r="I1534" s="78" t="s">
        <v>154</v>
      </c>
      <c r="J1534" s="78" t="s">
        <v>155</v>
      </c>
      <c r="K1534" s="79" t="s">
        <v>156</v>
      </c>
      <c r="L1534" s="80" t="s">
        <v>157</v>
      </c>
      <c r="M1534" s="80" t="s">
        <v>158</v>
      </c>
      <c r="N1534" s="81" t="s">
        <v>254</v>
      </c>
      <c r="O1534" s="81" t="s">
        <v>151</v>
      </c>
      <c r="P1534" s="81" t="s">
        <v>160</v>
      </c>
      <c r="Q1534" s="81" t="s">
        <v>161</v>
      </c>
      <c r="R1534" s="81" t="s">
        <v>162</v>
      </c>
      <c r="S1534" s="81" t="s">
        <v>163</v>
      </c>
      <c r="T1534" s="81" t="s">
        <v>164</v>
      </c>
      <c r="U1534" s="81" t="s">
        <v>165</v>
      </c>
      <c r="V1534" s="81" t="s">
        <v>166</v>
      </c>
      <c r="W1534" s="81" t="s">
        <v>167</v>
      </c>
      <c r="X1534" s="81" t="s">
        <v>168</v>
      </c>
      <c r="Y1534" s="81" t="s">
        <v>169</v>
      </c>
      <c r="Z1534" s="81" t="s">
        <v>170</v>
      </c>
      <c r="AA1534" s="81" t="s">
        <v>171</v>
      </c>
      <c r="AB1534" s="81" t="s">
        <v>172</v>
      </c>
      <c r="AC1534" s="81" t="s">
        <v>173</v>
      </c>
      <c r="AD1534" s="81" t="s">
        <v>174</v>
      </c>
      <c r="AE1534" s="81" t="s">
        <v>175</v>
      </c>
      <c r="AF1534" s="81" t="s">
        <v>176</v>
      </c>
      <c r="AG1534" s="81" t="s">
        <v>177</v>
      </c>
      <c r="AH1534" s="81" t="s">
        <v>178</v>
      </c>
    </row>
    <row r="1535" hidden="1">
      <c r="A1535" s="109"/>
      <c r="B1535" s="93"/>
      <c r="C1535" s="94">
        <v>0.0</v>
      </c>
      <c r="D1535" s="94">
        <v>0.0</v>
      </c>
      <c r="E1535" s="96">
        <f t="shared" ref="E1535:E1540" si="1158">SUM(L1535*I1535)/60</f>
        <v>0</v>
      </c>
      <c r="F1535" s="94">
        <v>0.0</v>
      </c>
      <c r="G1535" s="94">
        <v>0.0</v>
      </c>
      <c r="H1535" s="94">
        <v>0.0</v>
      </c>
      <c r="I1535" s="94">
        <v>0.0</v>
      </c>
      <c r="J1535" s="95">
        <f t="shared" ref="J1535:J1548" si="1159">SUM(G1535-I1535)</f>
        <v>0</v>
      </c>
      <c r="K1535" s="87" t="str">
        <f t="shared" ref="K1535:K1548" si="1160">SUM(G1535/I1535)</f>
        <v>#DIV/0!</v>
      </c>
      <c r="L1535" s="94">
        <v>0.0</v>
      </c>
      <c r="M1535" s="94">
        <v>0.0</v>
      </c>
      <c r="N1535" s="94" t="s">
        <v>255</v>
      </c>
      <c r="O1535" s="110" t="str">
        <f t="shared" ref="O1535:O1540" si="1161">(E1535*N1535)</f>
        <v>#VALUE!</v>
      </c>
      <c r="P1535" s="94">
        <v>0.0</v>
      </c>
      <c r="Q1535" s="94">
        <v>0.0</v>
      </c>
      <c r="R1535" s="94">
        <v>0.0</v>
      </c>
      <c r="S1535" s="94">
        <v>0.0</v>
      </c>
      <c r="T1535" s="94">
        <v>0.0</v>
      </c>
      <c r="U1535" s="94">
        <v>0.0</v>
      </c>
      <c r="V1535" s="94">
        <v>0.0</v>
      </c>
      <c r="W1535" s="94">
        <v>0.0</v>
      </c>
      <c r="X1535" s="94">
        <v>0.0</v>
      </c>
      <c r="Y1535" s="94">
        <v>0.0</v>
      </c>
      <c r="Z1535" s="94">
        <v>0.0</v>
      </c>
      <c r="AA1535" s="94">
        <v>0.0</v>
      </c>
      <c r="AB1535" s="94">
        <v>0.0</v>
      </c>
      <c r="AC1535" s="94">
        <v>0.0</v>
      </c>
      <c r="AD1535" s="94">
        <v>0.0</v>
      </c>
      <c r="AE1535" s="94">
        <v>0.0</v>
      </c>
      <c r="AF1535" s="94">
        <v>0.0</v>
      </c>
      <c r="AG1535" s="94">
        <v>0.0</v>
      </c>
      <c r="AH1535" s="94">
        <v>0.0</v>
      </c>
    </row>
    <row r="1536" hidden="1">
      <c r="A1536" s="109"/>
      <c r="B1536" s="93"/>
      <c r="C1536" s="94">
        <v>0.0</v>
      </c>
      <c r="D1536" s="94">
        <v>0.0</v>
      </c>
      <c r="E1536" s="96">
        <f t="shared" si="1158"/>
        <v>0</v>
      </c>
      <c r="F1536" s="94">
        <v>0.0</v>
      </c>
      <c r="G1536" s="94">
        <v>0.0</v>
      </c>
      <c r="H1536" s="94">
        <v>0.0</v>
      </c>
      <c r="I1536" s="94">
        <v>0.0</v>
      </c>
      <c r="J1536" s="95">
        <f t="shared" si="1159"/>
        <v>0</v>
      </c>
      <c r="K1536" s="87" t="str">
        <f t="shared" si="1160"/>
        <v>#DIV/0!</v>
      </c>
      <c r="L1536" s="94">
        <v>0.0</v>
      </c>
      <c r="M1536" s="94">
        <v>0.0</v>
      </c>
      <c r="N1536" s="94" t="s">
        <v>255</v>
      </c>
      <c r="O1536" s="110" t="str">
        <f t="shared" si="1161"/>
        <v>#VALUE!</v>
      </c>
      <c r="P1536" s="94">
        <v>0.0</v>
      </c>
      <c r="Q1536" s="94">
        <v>0.0</v>
      </c>
      <c r="R1536" s="94">
        <v>0.0</v>
      </c>
      <c r="S1536" s="94">
        <v>0.0</v>
      </c>
      <c r="T1536" s="94">
        <v>0.0</v>
      </c>
      <c r="U1536" s="94">
        <v>0.0</v>
      </c>
      <c r="V1536" s="94">
        <v>0.0</v>
      </c>
      <c r="W1536" s="94">
        <v>0.0</v>
      </c>
      <c r="X1536" s="94">
        <v>0.0</v>
      </c>
      <c r="Y1536" s="94">
        <v>0.0</v>
      </c>
      <c r="Z1536" s="94">
        <v>0.0</v>
      </c>
      <c r="AA1536" s="94">
        <v>0.0</v>
      </c>
      <c r="AB1536" s="94">
        <v>0.0</v>
      </c>
      <c r="AC1536" s="94">
        <v>0.0</v>
      </c>
      <c r="AD1536" s="94">
        <v>0.0</v>
      </c>
      <c r="AE1536" s="94">
        <v>0.0</v>
      </c>
      <c r="AF1536" s="94">
        <v>0.0</v>
      </c>
      <c r="AG1536" s="94">
        <v>0.0</v>
      </c>
      <c r="AH1536" s="94">
        <v>0.0</v>
      </c>
    </row>
    <row r="1537" hidden="1">
      <c r="A1537" s="109"/>
      <c r="B1537" s="93"/>
      <c r="C1537" s="94">
        <v>0.0</v>
      </c>
      <c r="D1537" s="94">
        <v>0.0</v>
      </c>
      <c r="E1537" s="96">
        <f t="shared" si="1158"/>
        <v>0</v>
      </c>
      <c r="F1537" s="94">
        <v>0.0</v>
      </c>
      <c r="G1537" s="94">
        <v>0.0</v>
      </c>
      <c r="H1537" s="94">
        <v>0.0</v>
      </c>
      <c r="I1537" s="94">
        <v>0.0</v>
      </c>
      <c r="J1537" s="95">
        <f t="shared" si="1159"/>
        <v>0</v>
      </c>
      <c r="K1537" s="87" t="str">
        <f t="shared" si="1160"/>
        <v>#DIV/0!</v>
      </c>
      <c r="L1537" s="94">
        <v>0.0</v>
      </c>
      <c r="M1537" s="94">
        <v>0.0</v>
      </c>
      <c r="N1537" s="94" t="s">
        <v>255</v>
      </c>
      <c r="O1537" s="110" t="str">
        <f t="shared" si="1161"/>
        <v>#VALUE!</v>
      </c>
      <c r="P1537" s="94">
        <v>0.0</v>
      </c>
      <c r="Q1537" s="94">
        <v>0.0</v>
      </c>
      <c r="R1537" s="94">
        <v>0.0</v>
      </c>
      <c r="S1537" s="94">
        <v>0.0</v>
      </c>
      <c r="T1537" s="94">
        <v>0.0</v>
      </c>
      <c r="U1537" s="94">
        <v>0.0</v>
      </c>
      <c r="V1537" s="94">
        <v>0.0</v>
      </c>
      <c r="W1537" s="94">
        <v>0.0</v>
      </c>
      <c r="X1537" s="94">
        <v>0.0</v>
      </c>
      <c r="Y1537" s="94">
        <v>0.0</v>
      </c>
      <c r="Z1537" s="94">
        <v>0.0</v>
      </c>
      <c r="AA1537" s="94">
        <v>0.0</v>
      </c>
      <c r="AB1537" s="94">
        <v>0.0</v>
      </c>
      <c r="AC1537" s="94">
        <v>0.0</v>
      </c>
      <c r="AD1537" s="94">
        <v>0.0</v>
      </c>
      <c r="AE1537" s="94">
        <v>0.0</v>
      </c>
      <c r="AF1537" s="94">
        <v>0.0</v>
      </c>
      <c r="AG1537" s="94">
        <v>0.0</v>
      </c>
      <c r="AH1537" s="94">
        <v>0.0</v>
      </c>
    </row>
    <row r="1538" hidden="1">
      <c r="A1538" s="109"/>
      <c r="B1538" s="93"/>
      <c r="C1538" s="94">
        <v>0.0</v>
      </c>
      <c r="D1538" s="94">
        <v>0.0</v>
      </c>
      <c r="E1538" s="96">
        <f t="shared" si="1158"/>
        <v>0</v>
      </c>
      <c r="F1538" s="94">
        <v>0.0</v>
      </c>
      <c r="G1538" s="94">
        <v>0.0</v>
      </c>
      <c r="H1538" s="94">
        <v>0.0</v>
      </c>
      <c r="I1538" s="94">
        <v>0.0</v>
      </c>
      <c r="J1538" s="95">
        <f t="shared" si="1159"/>
        <v>0</v>
      </c>
      <c r="K1538" s="87" t="str">
        <f t="shared" si="1160"/>
        <v>#DIV/0!</v>
      </c>
      <c r="L1538" s="94">
        <v>0.0</v>
      </c>
      <c r="M1538" s="94">
        <v>0.0</v>
      </c>
      <c r="N1538" s="94" t="s">
        <v>255</v>
      </c>
      <c r="O1538" s="110" t="str">
        <f t="shared" si="1161"/>
        <v>#VALUE!</v>
      </c>
      <c r="P1538" s="94">
        <v>0.0</v>
      </c>
      <c r="Q1538" s="94">
        <v>0.0</v>
      </c>
      <c r="R1538" s="94">
        <v>0.0</v>
      </c>
      <c r="S1538" s="94">
        <v>0.0</v>
      </c>
      <c r="T1538" s="94">
        <v>0.0</v>
      </c>
      <c r="U1538" s="94">
        <v>0.0</v>
      </c>
      <c r="V1538" s="94">
        <v>0.0</v>
      </c>
      <c r="W1538" s="94">
        <v>0.0</v>
      </c>
      <c r="X1538" s="94">
        <v>0.0</v>
      </c>
      <c r="Y1538" s="94">
        <v>0.0</v>
      </c>
      <c r="Z1538" s="94">
        <v>0.0</v>
      </c>
      <c r="AA1538" s="94">
        <v>0.0</v>
      </c>
      <c r="AB1538" s="94">
        <v>0.0</v>
      </c>
      <c r="AC1538" s="94">
        <v>0.0</v>
      </c>
      <c r="AD1538" s="94">
        <v>0.0</v>
      </c>
      <c r="AE1538" s="94">
        <v>0.0</v>
      </c>
      <c r="AF1538" s="94">
        <v>0.0</v>
      </c>
      <c r="AG1538" s="94">
        <v>0.0</v>
      </c>
      <c r="AH1538" s="94">
        <v>0.0</v>
      </c>
    </row>
    <row r="1539" hidden="1">
      <c r="A1539" s="109"/>
      <c r="B1539" s="93"/>
      <c r="C1539" s="94">
        <v>0.0</v>
      </c>
      <c r="D1539" s="94">
        <v>0.0</v>
      </c>
      <c r="E1539" s="96">
        <f t="shared" si="1158"/>
        <v>0</v>
      </c>
      <c r="F1539" s="94">
        <v>0.0</v>
      </c>
      <c r="G1539" s="94">
        <v>0.0</v>
      </c>
      <c r="H1539" s="94">
        <v>0.0</v>
      </c>
      <c r="I1539" s="94">
        <v>0.0</v>
      </c>
      <c r="J1539" s="95">
        <f t="shared" si="1159"/>
        <v>0</v>
      </c>
      <c r="K1539" s="87" t="str">
        <f t="shared" si="1160"/>
        <v>#DIV/0!</v>
      </c>
      <c r="L1539" s="94">
        <v>0.0</v>
      </c>
      <c r="M1539" s="94">
        <v>0.0</v>
      </c>
      <c r="N1539" s="94" t="s">
        <v>255</v>
      </c>
      <c r="O1539" s="110" t="str">
        <f t="shared" si="1161"/>
        <v>#VALUE!</v>
      </c>
      <c r="P1539" s="94">
        <v>0.0</v>
      </c>
      <c r="Q1539" s="94">
        <v>0.0</v>
      </c>
      <c r="R1539" s="94">
        <v>0.0</v>
      </c>
      <c r="S1539" s="94">
        <v>0.0</v>
      </c>
      <c r="T1539" s="94">
        <v>0.0</v>
      </c>
      <c r="U1539" s="94">
        <v>0.0</v>
      </c>
      <c r="V1539" s="94">
        <v>0.0</v>
      </c>
      <c r="W1539" s="94">
        <v>0.0</v>
      </c>
      <c r="X1539" s="94">
        <v>0.0</v>
      </c>
      <c r="Y1539" s="94">
        <v>0.0</v>
      </c>
      <c r="Z1539" s="94">
        <v>0.0</v>
      </c>
      <c r="AA1539" s="94">
        <v>0.0</v>
      </c>
      <c r="AB1539" s="94">
        <v>0.0</v>
      </c>
      <c r="AC1539" s="94">
        <v>0.0</v>
      </c>
      <c r="AD1539" s="94">
        <v>0.0</v>
      </c>
      <c r="AE1539" s="94">
        <v>0.0</v>
      </c>
      <c r="AF1539" s="94">
        <v>0.0</v>
      </c>
      <c r="AG1539" s="94">
        <v>0.0</v>
      </c>
      <c r="AH1539" s="94">
        <v>0.0</v>
      </c>
    </row>
    <row r="1540" hidden="1">
      <c r="A1540" s="109"/>
      <c r="B1540" s="93"/>
      <c r="C1540" s="94">
        <v>0.0</v>
      </c>
      <c r="D1540" s="94">
        <v>0.0</v>
      </c>
      <c r="E1540" s="96">
        <f t="shared" si="1158"/>
        <v>0</v>
      </c>
      <c r="F1540" s="94">
        <v>0.0</v>
      </c>
      <c r="G1540" s="94">
        <v>0.0</v>
      </c>
      <c r="H1540" s="94">
        <v>0.0</v>
      </c>
      <c r="I1540" s="94">
        <v>0.0</v>
      </c>
      <c r="J1540" s="95">
        <f t="shared" si="1159"/>
        <v>0</v>
      </c>
      <c r="K1540" s="87" t="str">
        <f t="shared" si="1160"/>
        <v>#DIV/0!</v>
      </c>
      <c r="L1540" s="94">
        <v>0.0</v>
      </c>
      <c r="M1540" s="94">
        <v>0.0</v>
      </c>
      <c r="N1540" s="94" t="s">
        <v>255</v>
      </c>
      <c r="O1540" s="110" t="str">
        <f t="shared" si="1161"/>
        <v>#VALUE!</v>
      </c>
      <c r="P1540" s="94">
        <v>0.0</v>
      </c>
      <c r="Q1540" s="94">
        <v>0.0</v>
      </c>
      <c r="R1540" s="94">
        <v>0.0</v>
      </c>
      <c r="S1540" s="94">
        <v>0.0</v>
      </c>
      <c r="T1540" s="94">
        <v>0.0</v>
      </c>
      <c r="U1540" s="94">
        <v>0.0</v>
      </c>
      <c r="V1540" s="94">
        <v>0.0</v>
      </c>
      <c r="W1540" s="94">
        <v>0.0</v>
      </c>
      <c r="X1540" s="94">
        <v>0.0</v>
      </c>
      <c r="Y1540" s="94">
        <v>0.0</v>
      </c>
      <c r="Z1540" s="94">
        <v>0.0</v>
      </c>
      <c r="AA1540" s="94">
        <v>0.0</v>
      </c>
      <c r="AB1540" s="94">
        <v>0.0</v>
      </c>
      <c r="AC1540" s="94">
        <v>0.0</v>
      </c>
      <c r="AD1540" s="94">
        <v>0.0</v>
      </c>
      <c r="AE1540" s="94">
        <v>0.0</v>
      </c>
      <c r="AF1540" s="94">
        <v>0.0</v>
      </c>
      <c r="AG1540" s="94">
        <v>0.0</v>
      </c>
      <c r="AH1540" s="94">
        <v>0.0</v>
      </c>
    </row>
    <row r="1541" hidden="1">
      <c r="A1541" s="89"/>
      <c r="B1541" s="111"/>
      <c r="C1541" s="111">
        <f t="shared" ref="C1541:D1541" si="1162">SUM(C1535:C1540)/4</f>
        <v>0</v>
      </c>
      <c r="D1541" s="111">
        <f t="shared" si="1162"/>
        <v>0</v>
      </c>
      <c r="E1541" s="91">
        <f t="shared" ref="E1541:G1541" si="1163">SUM(E1535:E1540)</f>
        <v>0</v>
      </c>
      <c r="F1541" s="111">
        <f t="shared" si="1163"/>
        <v>0</v>
      </c>
      <c r="G1541" s="111">
        <f t="shared" si="1163"/>
        <v>0</v>
      </c>
      <c r="H1541" s="111"/>
      <c r="I1541" s="111">
        <f>SUM(I1535:I1540)</f>
        <v>0</v>
      </c>
      <c r="J1541" s="111">
        <f t="shared" si="1159"/>
        <v>0</v>
      </c>
      <c r="K1541" s="92" t="str">
        <f t="shared" si="1160"/>
        <v>#DIV/0!</v>
      </c>
      <c r="L1541" s="111">
        <f t="shared" ref="L1541:M1541" si="1164">SUM(L1535:L1540)</f>
        <v>0</v>
      </c>
      <c r="M1541" s="111">
        <f t="shared" si="1164"/>
        <v>0</v>
      </c>
      <c r="N1541" s="111"/>
      <c r="O1541" s="112"/>
      <c r="P1541" s="111">
        <f t="shared" ref="P1541:AH1541" si="1165">SUM(P1535:P1540)</f>
        <v>0</v>
      </c>
      <c r="Q1541" s="111">
        <f t="shared" si="1165"/>
        <v>0</v>
      </c>
      <c r="R1541" s="111">
        <f t="shared" si="1165"/>
        <v>0</v>
      </c>
      <c r="S1541" s="111">
        <f t="shared" si="1165"/>
        <v>0</v>
      </c>
      <c r="T1541" s="111">
        <f t="shared" si="1165"/>
        <v>0</v>
      </c>
      <c r="U1541" s="111">
        <f t="shared" si="1165"/>
        <v>0</v>
      </c>
      <c r="V1541" s="111">
        <f t="shared" si="1165"/>
        <v>0</v>
      </c>
      <c r="W1541" s="111">
        <f t="shared" si="1165"/>
        <v>0</v>
      </c>
      <c r="X1541" s="111">
        <f t="shared" si="1165"/>
        <v>0</v>
      </c>
      <c r="Y1541" s="111">
        <f t="shared" si="1165"/>
        <v>0</v>
      </c>
      <c r="Z1541" s="111">
        <f t="shared" si="1165"/>
        <v>0</v>
      </c>
      <c r="AA1541" s="111">
        <f t="shared" si="1165"/>
        <v>0</v>
      </c>
      <c r="AB1541" s="111">
        <f t="shared" si="1165"/>
        <v>0</v>
      </c>
      <c r="AC1541" s="111">
        <f t="shared" si="1165"/>
        <v>0</v>
      </c>
      <c r="AD1541" s="111">
        <f t="shared" si="1165"/>
        <v>0</v>
      </c>
      <c r="AE1541" s="111">
        <f t="shared" si="1165"/>
        <v>0</v>
      </c>
      <c r="AF1541" s="111">
        <f t="shared" si="1165"/>
        <v>0</v>
      </c>
      <c r="AG1541" s="111">
        <f t="shared" si="1165"/>
        <v>0</v>
      </c>
      <c r="AH1541" s="111">
        <f t="shared" si="1165"/>
        <v>0</v>
      </c>
    </row>
    <row r="1542" hidden="1">
      <c r="A1542" s="109"/>
      <c r="B1542" s="93"/>
      <c r="C1542" s="94">
        <v>0.0</v>
      </c>
      <c r="D1542" s="94">
        <v>0.0</v>
      </c>
      <c r="E1542" s="96">
        <f t="shared" ref="E1542:E1547" si="1166">SUM(L1542*I1542)/60</f>
        <v>0</v>
      </c>
      <c r="F1542" s="94">
        <v>0.0</v>
      </c>
      <c r="G1542" s="94">
        <v>0.0</v>
      </c>
      <c r="H1542" s="94">
        <v>0.0</v>
      </c>
      <c r="I1542" s="94">
        <v>0.0</v>
      </c>
      <c r="J1542" s="95">
        <f t="shared" si="1159"/>
        <v>0</v>
      </c>
      <c r="K1542" s="87" t="str">
        <f t="shared" si="1160"/>
        <v>#DIV/0!</v>
      </c>
      <c r="L1542" s="94">
        <v>0.0</v>
      </c>
      <c r="M1542" s="94">
        <v>0.0</v>
      </c>
      <c r="N1542" s="94" t="s">
        <v>255</v>
      </c>
      <c r="O1542" s="110" t="str">
        <f t="shared" ref="O1542:O1547" si="1167">(E1542*N1542)</f>
        <v>#VALUE!</v>
      </c>
      <c r="P1542" s="94">
        <v>0.0</v>
      </c>
      <c r="Q1542" s="94">
        <v>0.0</v>
      </c>
      <c r="R1542" s="94">
        <v>0.0</v>
      </c>
      <c r="S1542" s="94">
        <v>0.0</v>
      </c>
      <c r="T1542" s="94">
        <v>0.0</v>
      </c>
      <c r="U1542" s="94">
        <v>0.0</v>
      </c>
      <c r="V1542" s="94">
        <v>0.0</v>
      </c>
      <c r="W1542" s="94">
        <v>0.0</v>
      </c>
      <c r="X1542" s="94">
        <v>0.0</v>
      </c>
      <c r="Y1542" s="94">
        <v>0.0</v>
      </c>
      <c r="Z1542" s="94">
        <v>0.0</v>
      </c>
      <c r="AA1542" s="94">
        <v>0.0</v>
      </c>
      <c r="AB1542" s="94">
        <v>0.0</v>
      </c>
      <c r="AC1542" s="94">
        <v>0.0</v>
      </c>
      <c r="AD1542" s="94">
        <v>0.0</v>
      </c>
      <c r="AE1542" s="94">
        <v>0.0</v>
      </c>
      <c r="AF1542" s="94">
        <v>0.0</v>
      </c>
      <c r="AG1542" s="94">
        <v>0.0</v>
      </c>
      <c r="AH1542" s="94">
        <v>0.0</v>
      </c>
    </row>
    <row r="1543" hidden="1">
      <c r="A1543" s="109"/>
      <c r="B1543" s="93"/>
      <c r="C1543" s="94">
        <v>0.0</v>
      </c>
      <c r="D1543" s="94">
        <v>0.0</v>
      </c>
      <c r="E1543" s="96">
        <f t="shared" si="1166"/>
        <v>0</v>
      </c>
      <c r="F1543" s="94">
        <v>0.0</v>
      </c>
      <c r="G1543" s="94">
        <v>0.0</v>
      </c>
      <c r="H1543" s="94">
        <v>0.0</v>
      </c>
      <c r="I1543" s="94">
        <v>0.0</v>
      </c>
      <c r="J1543" s="95">
        <f t="shared" si="1159"/>
        <v>0</v>
      </c>
      <c r="K1543" s="87" t="str">
        <f t="shared" si="1160"/>
        <v>#DIV/0!</v>
      </c>
      <c r="L1543" s="94">
        <v>0.0</v>
      </c>
      <c r="M1543" s="94">
        <v>0.0</v>
      </c>
      <c r="N1543" s="94" t="s">
        <v>255</v>
      </c>
      <c r="O1543" s="110" t="str">
        <f t="shared" si="1167"/>
        <v>#VALUE!</v>
      </c>
      <c r="P1543" s="94">
        <v>0.0</v>
      </c>
      <c r="Q1543" s="94">
        <v>0.0</v>
      </c>
      <c r="R1543" s="94">
        <v>0.0</v>
      </c>
      <c r="S1543" s="94">
        <v>0.0</v>
      </c>
      <c r="T1543" s="94">
        <v>0.0</v>
      </c>
      <c r="U1543" s="94">
        <v>0.0</v>
      </c>
      <c r="V1543" s="94">
        <v>0.0</v>
      </c>
      <c r="W1543" s="94">
        <v>0.0</v>
      </c>
      <c r="X1543" s="94">
        <v>0.0</v>
      </c>
      <c r="Y1543" s="94">
        <v>0.0</v>
      </c>
      <c r="Z1543" s="94">
        <v>0.0</v>
      </c>
      <c r="AA1543" s="94">
        <v>0.0</v>
      </c>
      <c r="AB1543" s="94">
        <v>0.0</v>
      </c>
      <c r="AC1543" s="94">
        <v>0.0</v>
      </c>
      <c r="AD1543" s="94">
        <v>0.0</v>
      </c>
      <c r="AE1543" s="94">
        <v>0.0</v>
      </c>
      <c r="AF1543" s="94">
        <v>0.0</v>
      </c>
      <c r="AG1543" s="94">
        <v>0.0</v>
      </c>
      <c r="AH1543" s="94">
        <v>0.0</v>
      </c>
    </row>
    <row r="1544" hidden="1">
      <c r="A1544" s="109"/>
      <c r="B1544" s="93"/>
      <c r="C1544" s="94">
        <v>0.0</v>
      </c>
      <c r="D1544" s="94">
        <v>0.0</v>
      </c>
      <c r="E1544" s="96">
        <f t="shared" si="1166"/>
        <v>0</v>
      </c>
      <c r="F1544" s="94">
        <v>0.0</v>
      </c>
      <c r="G1544" s="94">
        <v>0.0</v>
      </c>
      <c r="H1544" s="94">
        <v>0.0</v>
      </c>
      <c r="I1544" s="94">
        <v>0.0</v>
      </c>
      <c r="J1544" s="95">
        <f t="shared" si="1159"/>
        <v>0</v>
      </c>
      <c r="K1544" s="87" t="str">
        <f t="shared" si="1160"/>
        <v>#DIV/0!</v>
      </c>
      <c r="L1544" s="94">
        <v>0.0</v>
      </c>
      <c r="M1544" s="94">
        <v>0.0</v>
      </c>
      <c r="N1544" s="94" t="s">
        <v>255</v>
      </c>
      <c r="O1544" s="110" t="str">
        <f t="shared" si="1167"/>
        <v>#VALUE!</v>
      </c>
      <c r="P1544" s="94">
        <v>0.0</v>
      </c>
      <c r="Q1544" s="94">
        <v>0.0</v>
      </c>
      <c r="R1544" s="94">
        <v>0.0</v>
      </c>
      <c r="S1544" s="94">
        <v>0.0</v>
      </c>
      <c r="T1544" s="94">
        <v>0.0</v>
      </c>
      <c r="U1544" s="94">
        <v>0.0</v>
      </c>
      <c r="V1544" s="94">
        <v>0.0</v>
      </c>
      <c r="W1544" s="94">
        <v>0.0</v>
      </c>
      <c r="X1544" s="94">
        <v>0.0</v>
      </c>
      <c r="Y1544" s="94">
        <v>0.0</v>
      </c>
      <c r="Z1544" s="94">
        <v>0.0</v>
      </c>
      <c r="AA1544" s="94">
        <v>0.0</v>
      </c>
      <c r="AB1544" s="94">
        <v>0.0</v>
      </c>
      <c r="AC1544" s="94">
        <v>0.0</v>
      </c>
      <c r="AD1544" s="94">
        <v>0.0</v>
      </c>
      <c r="AE1544" s="94">
        <v>0.0</v>
      </c>
      <c r="AF1544" s="94">
        <v>0.0</v>
      </c>
      <c r="AG1544" s="94">
        <v>0.0</v>
      </c>
      <c r="AH1544" s="94">
        <v>0.0</v>
      </c>
    </row>
    <row r="1545" hidden="1">
      <c r="A1545" s="109"/>
      <c r="B1545" s="93"/>
      <c r="C1545" s="94">
        <v>0.0</v>
      </c>
      <c r="D1545" s="94">
        <v>0.0</v>
      </c>
      <c r="E1545" s="96">
        <f t="shared" si="1166"/>
        <v>0</v>
      </c>
      <c r="F1545" s="94">
        <v>0.0</v>
      </c>
      <c r="G1545" s="94">
        <v>0.0</v>
      </c>
      <c r="H1545" s="94">
        <v>0.0</v>
      </c>
      <c r="I1545" s="94">
        <v>0.0</v>
      </c>
      <c r="J1545" s="95">
        <f t="shared" si="1159"/>
        <v>0</v>
      </c>
      <c r="K1545" s="87" t="str">
        <f t="shared" si="1160"/>
        <v>#DIV/0!</v>
      </c>
      <c r="L1545" s="94">
        <v>0.0</v>
      </c>
      <c r="M1545" s="94">
        <v>0.0</v>
      </c>
      <c r="N1545" s="94" t="s">
        <v>255</v>
      </c>
      <c r="O1545" s="110" t="str">
        <f t="shared" si="1167"/>
        <v>#VALUE!</v>
      </c>
      <c r="P1545" s="94">
        <v>0.0</v>
      </c>
      <c r="Q1545" s="94">
        <v>0.0</v>
      </c>
      <c r="R1545" s="94">
        <v>0.0</v>
      </c>
      <c r="S1545" s="94">
        <v>0.0</v>
      </c>
      <c r="T1545" s="94">
        <v>0.0</v>
      </c>
      <c r="U1545" s="94">
        <v>0.0</v>
      </c>
      <c r="V1545" s="94">
        <v>0.0</v>
      </c>
      <c r="W1545" s="94">
        <v>0.0</v>
      </c>
      <c r="X1545" s="94">
        <v>0.0</v>
      </c>
      <c r="Y1545" s="94">
        <v>0.0</v>
      </c>
      <c r="Z1545" s="94">
        <v>0.0</v>
      </c>
      <c r="AA1545" s="94">
        <v>0.0</v>
      </c>
      <c r="AB1545" s="94">
        <v>0.0</v>
      </c>
      <c r="AC1545" s="94">
        <v>0.0</v>
      </c>
      <c r="AD1545" s="94">
        <v>0.0</v>
      </c>
      <c r="AE1545" s="94">
        <v>0.0</v>
      </c>
      <c r="AF1545" s="94">
        <v>0.0</v>
      </c>
      <c r="AG1545" s="94">
        <v>0.0</v>
      </c>
      <c r="AH1545" s="94">
        <v>0.0</v>
      </c>
    </row>
    <row r="1546" hidden="1">
      <c r="A1546" s="109"/>
      <c r="B1546" s="93"/>
      <c r="C1546" s="94">
        <v>0.0</v>
      </c>
      <c r="D1546" s="94">
        <v>0.0</v>
      </c>
      <c r="E1546" s="96">
        <f t="shared" si="1166"/>
        <v>0</v>
      </c>
      <c r="F1546" s="94">
        <v>0.0</v>
      </c>
      <c r="G1546" s="94">
        <v>0.0</v>
      </c>
      <c r="H1546" s="94">
        <v>0.0</v>
      </c>
      <c r="I1546" s="94">
        <v>0.0</v>
      </c>
      <c r="J1546" s="95">
        <f t="shared" si="1159"/>
        <v>0</v>
      </c>
      <c r="K1546" s="87" t="str">
        <f t="shared" si="1160"/>
        <v>#DIV/0!</v>
      </c>
      <c r="L1546" s="94">
        <v>0.0</v>
      </c>
      <c r="M1546" s="94">
        <v>0.0</v>
      </c>
      <c r="N1546" s="94" t="s">
        <v>255</v>
      </c>
      <c r="O1546" s="110" t="str">
        <f t="shared" si="1167"/>
        <v>#VALUE!</v>
      </c>
      <c r="P1546" s="94">
        <v>0.0</v>
      </c>
      <c r="Q1546" s="94">
        <v>0.0</v>
      </c>
      <c r="R1546" s="94">
        <v>0.0</v>
      </c>
      <c r="S1546" s="94">
        <v>0.0</v>
      </c>
      <c r="T1546" s="94">
        <v>0.0</v>
      </c>
      <c r="U1546" s="94">
        <v>0.0</v>
      </c>
      <c r="V1546" s="94">
        <v>0.0</v>
      </c>
      <c r="W1546" s="94">
        <v>0.0</v>
      </c>
      <c r="X1546" s="94">
        <v>0.0</v>
      </c>
      <c r="Y1546" s="94">
        <v>0.0</v>
      </c>
      <c r="Z1546" s="94">
        <v>0.0</v>
      </c>
      <c r="AA1546" s="94">
        <v>0.0</v>
      </c>
      <c r="AB1546" s="94">
        <v>0.0</v>
      </c>
      <c r="AC1546" s="94">
        <v>0.0</v>
      </c>
      <c r="AD1546" s="94">
        <v>0.0</v>
      </c>
      <c r="AE1546" s="94">
        <v>0.0</v>
      </c>
      <c r="AF1546" s="94">
        <v>0.0</v>
      </c>
      <c r="AG1546" s="94">
        <v>0.0</v>
      </c>
      <c r="AH1546" s="94">
        <v>0.0</v>
      </c>
    </row>
    <row r="1547" hidden="1">
      <c r="A1547" s="109"/>
      <c r="B1547" s="93"/>
      <c r="C1547" s="94">
        <v>0.0</v>
      </c>
      <c r="D1547" s="94">
        <v>0.0</v>
      </c>
      <c r="E1547" s="96">
        <f t="shared" si="1166"/>
        <v>0</v>
      </c>
      <c r="F1547" s="94">
        <v>0.0</v>
      </c>
      <c r="G1547" s="94">
        <v>0.0</v>
      </c>
      <c r="H1547" s="94">
        <v>0.0</v>
      </c>
      <c r="I1547" s="94">
        <v>0.0</v>
      </c>
      <c r="J1547" s="95">
        <f t="shared" si="1159"/>
        <v>0</v>
      </c>
      <c r="K1547" s="87" t="str">
        <f t="shared" si="1160"/>
        <v>#DIV/0!</v>
      </c>
      <c r="L1547" s="94">
        <v>0.0</v>
      </c>
      <c r="M1547" s="94">
        <v>0.0</v>
      </c>
      <c r="N1547" s="94" t="s">
        <v>255</v>
      </c>
      <c r="O1547" s="110" t="str">
        <f t="shared" si="1167"/>
        <v>#VALUE!</v>
      </c>
      <c r="P1547" s="94">
        <v>0.0</v>
      </c>
      <c r="Q1547" s="94">
        <v>0.0</v>
      </c>
      <c r="R1547" s="94">
        <v>0.0</v>
      </c>
      <c r="S1547" s="94">
        <v>0.0</v>
      </c>
      <c r="T1547" s="94">
        <v>0.0</v>
      </c>
      <c r="U1547" s="94">
        <v>0.0</v>
      </c>
      <c r="V1547" s="94">
        <v>0.0</v>
      </c>
      <c r="W1547" s="94">
        <v>0.0</v>
      </c>
      <c r="X1547" s="94">
        <v>0.0</v>
      </c>
      <c r="Y1547" s="94">
        <v>0.0</v>
      </c>
      <c r="Z1547" s="94">
        <v>0.0</v>
      </c>
      <c r="AA1547" s="94">
        <v>0.0</v>
      </c>
      <c r="AB1547" s="94">
        <v>0.0</v>
      </c>
      <c r="AC1547" s="94">
        <v>0.0</v>
      </c>
      <c r="AD1547" s="94">
        <v>0.0</v>
      </c>
      <c r="AE1547" s="94">
        <v>0.0</v>
      </c>
      <c r="AF1547" s="94">
        <v>0.0</v>
      </c>
      <c r="AG1547" s="94">
        <v>0.0</v>
      </c>
      <c r="AH1547" s="94">
        <v>0.0</v>
      </c>
    </row>
    <row r="1548" hidden="1">
      <c r="A1548" s="89" t="s">
        <v>185</v>
      </c>
      <c r="B1548" s="111"/>
      <c r="C1548" s="111">
        <f>SUM(C1542:C1547)</f>
        <v>0</v>
      </c>
      <c r="D1548" s="111">
        <f t="shared" ref="D1548:E1548" si="1168">SUM(D1542:D1547)/4</f>
        <v>0</v>
      </c>
      <c r="E1548" s="91">
        <f t="shared" si="1168"/>
        <v>0</v>
      </c>
      <c r="F1548" s="111">
        <f t="shared" ref="F1548:G1548" si="1169">SUM(F1542:F1547)</f>
        <v>0</v>
      </c>
      <c r="G1548" s="111">
        <f t="shared" si="1169"/>
        <v>0</v>
      </c>
      <c r="H1548" s="111"/>
      <c r="I1548" s="111">
        <f>SUM(I1542:I1547)</f>
        <v>0</v>
      </c>
      <c r="J1548" s="111">
        <f t="shared" si="1159"/>
        <v>0</v>
      </c>
      <c r="K1548" s="92" t="str">
        <f t="shared" si="1160"/>
        <v>#DIV/0!</v>
      </c>
      <c r="L1548" s="111">
        <f t="shared" ref="L1548:M1548" si="1170">SUM(L1542:L1547)</f>
        <v>0</v>
      </c>
      <c r="M1548" s="111">
        <f t="shared" si="1170"/>
        <v>0</v>
      </c>
      <c r="N1548" s="111"/>
      <c r="O1548" s="112"/>
      <c r="P1548" s="111">
        <f t="shared" ref="P1548:AH1548" si="1171">SUM(P1542:P1547)</f>
        <v>0</v>
      </c>
      <c r="Q1548" s="111">
        <f t="shared" si="1171"/>
        <v>0</v>
      </c>
      <c r="R1548" s="111">
        <f t="shared" si="1171"/>
        <v>0</v>
      </c>
      <c r="S1548" s="111">
        <f t="shared" si="1171"/>
        <v>0</v>
      </c>
      <c r="T1548" s="111">
        <f t="shared" si="1171"/>
        <v>0</v>
      </c>
      <c r="U1548" s="111">
        <f t="shared" si="1171"/>
        <v>0</v>
      </c>
      <c r="V1548" s="111">
        <f t="shared" si="1171"/>
        <v>0</v>
      </c>
      <c r="W1548" s="111">
        <f t="shared" si="1171"/>
        <v>0</v>
      </c>
      <c r="X1548" s="111">
        <f t="shared" si="1171"/>
        <v>0</v>
      </c>
      <c r="Y1548" s="111">
        <f t="shared" si="1171"/>
        <v>0</v>
      </c>
      <c r="Z1548" s="111">
        <f t="shared" si="1171"/>
        <v>0</v>
      </c>
      <c r="AA1548" s="111">
        <f t="shared" si="1171"/>
        <v>0</v>
      </c>
      <c r="AB1548" s="111">
        <f t="shared" si="1171"/>
        <v>0</v>
      </c>
      <c r="AC1548" s="111">
        <f t="shared" si="1171"/>
        <v>0</v>
      </c>
      <c r="AD1548" s="111">
        <f t="shared" si="1171"/>
        <v>0</v>
      </c>
      <c r="AE1548" s="111">
        <f t="shared" si="1171"/>
        <v>0</v>
      </c>
      <c r="AF1548" s="111">
        <f t="shared" si="1171"/>
        <v>0</v>
      </c>
      <c r="AG1548" s="111">
        <f t="shared" si="1171"/>
        <v>0</v>
      </c>
      <c r="AH1548" s="111">
        <f t="shared" si="1171"/>
        <v>0</v>
      </c>
    </row>
    <row r="1549">
      <c r="A1549" s="104" t="s">
        <v>341</v>
      </c>
    </row>
    <row r="1551" hidden="1">
      <c r="A1551" s="105"/>
      <c r="F1551" s="106" t="s">
        <v>251</v>
      </c>
      <c r="L1551" s="107" t="s">
        <v>252</v>
      </c>
      <c r="N1551" s="108" t="s">
        <v>253</v>
      </c>
    </row>
    <row r="1552" hidden="1">
      <c r="A1552" s="76" t="s">
        <v>148</v>
      </c>
      <c r="B1552" s="76" t="s">
        <v>149</v>
      </c>
      <c r="C1552" s="76" t="s">
        <v>150</v>
      </c>
      <c r="D1552" s="76" t="s">
        <v>13</v>
      </c>
      <c r="E1552" s="77" t="s">
        <v>151</v>
      </c>
      <c r="F1552" s="78" t="s">
        <v>15</v>
      </c>
      <c r="G1552" s="78" t="s">
        <v>152</v>
      </c>
      <c r="H1552" s="78" t="s">
        <v>153</v>
      </c>
      <c r="I1552" s="78" t="s">
        <v>154</v>
      </c>
      <c r="J1552" s="78" t="s">
        <v>155</v>
      </c>
      <c r="K1552" s="79" t="s">
        <v>156</v>
      </c>
      <c r="L1552" s="80" t="s">
        <v>157</v>
      </c>
      <c r="M1552" s="80" t="s">
        <v>158</v>
      </c>
      <c r="N1552" s="81" t="s">
        <v>254</v>
      </c>
      <c r="O1552" s="81" t="s">
        <v>151</v>
      </c>
      <c r="P1552" s="81" t="s">
        <v>160</v>
      </c>
      <c r="Q1552" s="81" t="s">
        <v>161</v>
      </c>
      <c r="R1552" s="81" t="s">
        <v>162</v>
      </c>
      <c r="S1552" s="81" t="s">
        <v>163</v>
      </c>
      <c r="T1552" s="81" t="s">
        <v>164</v>
      </c>
      <c r="U1552" s="81" t="s">
        <v>165</v>
      </c>
      <c r="V1552" s="81" t="s">
        <v>166</v>
      </c>
      <c r="W1552" s="81" t="s">
        <v>167</v>
      </c>
      <c r="X1552" s="81" t="s">
        <v>168</v>
      </c>
      <c r="Y1552" s="81" t="s">
        <v>169</v>
      </c>
      <c r="Z1552" s="81" t="s">
        <v>170</v>
      </c>
      <c r="AA1552" s="81" t="s">
        <v>171</v>
      </c>
      <c r="AB1552" s="81" t="s">
        <v>172</v>
      </c>
      <c r="AC1552" s="81" t="s">
        <v>173</v>
      </c>
      <c r="AD1552" s="81" t="s">
        <v>174</v>
      </c>
      <c r="AE1552" s="81" t="s">
        <v>175</v>
      </c>
      <c r="AF1552" s="81" t="s">
        <v>176</v>
      </c>
      <c r="AG1552" s="81" t="s">
        <v>177</v>
      </c>
      <c r="AH1552" s="81" t="s">
        <v>178</v>
      </c>
    </row>
    <row r="1553" hidden="1">
      <c r="A1553" s="109"/>
      <c r="B1553" s="93"/>
      <c r="C1553" s="94">
        <v>0.0</v>
      </c>
      <c r="D1553" s="94">
        <v>0.0</v>
      </c>
      <c r="E1553" s="96">
        <f t="shared" ref="E1553:E1558" si="1172">SUM(L1553*I1553)/60</f>
        <v>0</v>
      </c>
      <c r="F1553" s="94">
        <v>0.0</v>
      </c>
      <c r="G1553" s="94">
        <v>0.0</v>
      </c>
      <c r="H1553" s="94">
        <v>0.0</v>
      </c>
      <c r="I1553" s="94">
        <v>0.0</v>
      </c>
      <c r="J1553" s="95">
        <f t="shared" ref="J1553:J1566" si="1173">SUM(G1553-I1553)</f>
        <v>0</v>
      </c>
      <c r="K1553" s="87" t="str">
        <f t="shared" ref="K1553:K1566" si="1174">SUM(G1553/I1553)</f>
        <v>#DIV/0!</v>
      </c>
      <c r="L1553" s="94">
        <v>0.0</v>
      </c>
      <c r="M1553" s="94">
        <v>0.0</v>
      </c>
      <c r="N1553" s="94" t="s">
        <v>255</v>
      </c>
      <c r="O1553" s="110" t="str">
        <f t="shared" ref="O1553:O1558" si="1175">(E1553*N1553)</f>
        <v>#VALUE!</v>
      </c>
      <c r="P1553" s="94">
        <v>0.0</v>
      </c>
      <c r="Q1553" s="94">
        <v>0.0</v>
      </c>
      <c r="R1553" s="94">
        <v>0.0</v>
      </c>
      <c r="S1553" s="94">
        <v>0.0</v>
      </c>
      <c r="T1553" s="94">
        <v>0.0</v>
      </c>
      <c r="U1553" s="94">
        <v>0.0</v>
      </c>
      <c r="V1553" s="94">
        <v>0.0</v>
      </c>
      <c r="W1553" s="94">
        <v>0.0</v>
      </c>
      <c r="X1553" s="94">
        <v>0.0</v>
      </c>
      <c r="Y1553" s="94">
        <v>0.0</v>
      </c>
      <c r="Z1553" s="94">
        <v>0.0</v>
      </c>
      <c r="AA1553" s="94">
        <v>0.0</v>
      </c>
      <c r="AB1553" s="94">
        <v>0.0</v>
      </c>
      <c r="AC1553" s="94">
        <v>0.0</v>
      </c>
      <c r="AD1553" s="94">
        <v>0.0</v>
      </c>
      <c r="AE1553" s="94">
        <v>0.0</v>
      </c>
      <c r="AF1553" s="94">
        <v>0.0</v>
      </c>
      <c r="AG1553" s="94">
        <v>0.0</v>
      </c>
      <c r="AH1553" s="94">
        <v>0.0</v>
      </c>
    </row>
    <row r="1554" hidden="1">
      <c r="A1554" s="109"/>
      <c r="B1554" s="93"/>
      <c r="C1554" s="94">
        <v>0.0</v>
      </c>
      <c r="D1554" s="94">
        <v>0.0</v>
      </c>
      <c r="E1554" s="96">
        <f t="shared" si="1172"/>
        <v>0</v>
      </c>
      <c r="F1554" s="94">
        <v>0.0</v>
      </c>
      <c r="G1554" s="94">
        <v>0.0</v>
      </c>
      <c r="H1554" s="94">
        <v>0.0</v>
      </c>
      <c r="I1554" s="94">
        <v>0.0</v>
      </c>
      <c r="J1554" s="95">
        <f t="shared" si="1173"/>
        <v>0</v>
      </c>
      <c r="K1554" s="87" t="str">
        <f t="shared" si="1174"/>
        <v>#DIV/0!</v>
      </c>
      <c r="L1554" s="94">
        <v>0.0</v>
      </c>
      <c r="M1554" s="94">
        <v>0.0</v>
      </c>
      <c r="N1554" s="94" t="s">
        <v>255</v>
      </c>
      <c r="O1554" s="110" t="str">
        <f t="shared" si="1175"/>
        <v>#VALUE!</v>
      </c>
      <c r="P1554" s="94">
        <v>0.0</v>
      </c>
      <c r="Q1554" s="94">
        <v>0.0</v>
      </c>
      <c r="R1554" s="94">
        <v>0.0</v>
      </c>
      <c r="S1554" s="94">
        <v>0.0</v>
      </c>
      <c r="T1554" s="94">
        <v>0.0</v>
      </c>
      <c r="U1554" s="94">
        <v>0.0</v>
      </c>
      <c r="V1554" s="94">
        <v>0.0</v>
      </c>
      <c r="W1554" s="94">
        <v>0.0</v>
      </c>
      <c r="X1554" s="94">
        <v>0.0</v>
      </c>
      <c r="Y1554" s="94">
        <v>0.0</v>
      </c>
      <c r="Z1554" s="94">
        <v>0.0</v>
      </c>
      <c r="AA1554" s="94">
        <v>0.0</v>
      </c>
      <c r="AB1554" s="94">
        <v>0.0</v>
      </c>
      <c r="AC1554" s="94">
        <v>0.0</v>
      </c>
      <c r="AD1554" s="94">
        <v>0.0</v>
      </c>
      <c r="AE1554" s="94">
        <v>0.0</v>
      </c>
      <c r="AF1554" s="94">
        <v>0.0</v>
      </c>
      <c r="AG1554" s="94">
        <v>0.0</v>
      </c>
      <c r="AH1554" s="94">
        <v>0.0</v>
      </c>
    </row>
    <row r="1555" hidden="1">
      <c r="A1555" s="109"/>
      <c r="B1555" s="93"/>
      <c r="C1555" s="94">
        <v>0.0</v>
      </c>
      <c r="D1555" s="94">
        <v>0.0</v>
      </c>
      <c r="E1555" s="96">
        <f t="shared" si="1172"/>
        <v>0</v>
      </c>
      <c r="F1555" s="94">
        <v>0.0</v>
      </c>
      <c r="G1555" s="94">
        <v>0.0</v>
      </c>
      <c r="H1555" s="94">
        <v>0.0</v>
      </c>
      <c r="I1555" s="94">
        <v>0.0</v>
      </c>
      <c r="J1555" s="95">
        <f t="shared" si="1173"/>
        <v>0</v>
      </c>
      <c r="K1555" s="87" t="str">
        <f t="shared" si="1174"/>
        <v>#DIV/0!</v>
      </c>
      <c r="L1555" s="94">
        <v>0.0</v>
      </c>
      <c r="M1555" s="94">
        <v>0.0</v>
      </c>
      <c r="N1555" s="94" t="s">
        <v>255</v>
      </c>
      <c r="O1555" s="110" t="str">
        <f t="shared" si="1175"/>
        <v>#VALUE!</v>
      </c>
      <c r="P1555" s="94">
        <v>0.0</v>
      </c>
      <c r="Q1555" s="94">
        <v>0.0</v>
      </c>
      <c r="R1555" s="94">
        <v>0.0</v>
      </c>
      <c r="S1555" s="94">
        <v>0.0</v>
      </c>
      <c r="T1555" s="94">
        <v>0.0</v>
      </c>
      <c r="U1555" s="94">
        <v>0.0</v>
      </c>
      <c r="V1555" s="94">
        <v>0.0</v>
      </c>
      <c r="W1555" s="94">
        <v>0.0</v>
      </c>
      <c r="X1555" s="94">
        <v>0.0</v>
      </c>
      <c r="Y1555" s="94">
        <v>0.0</v>
      </c>
      <c r="Z1555" s="94">
        <v>0.0</v>
      </c>
      <c r="AA1555" s="94">
        <v>0.0</v>
      </c>
      <c r="AB1555" s="94">
        <v>0.0</v>
      </c>
      <c r="AC1555" s="94">
        <v>0.0</v>
      </c>
      <c r="AD1555" s="94">
        <v>0.0</v>
      </c>
      <c r="AE1555" s="94">
        <v>0.0</v>
      </c>
      <c r="AF1555" s="94">
        <v>0.0</v>
      </c>
      <c r="AG1555" s="94">
        <v>0.0</v>
      </c>
      <c r="AH1555" s="94">
        <v>0.0</v>
      </c>
    </row>
    <row r="1556" hidden="1">
      <c r="A1556" s="109"/>
      <c r="B1556" s="93"/>
      <c r="C1556" s="94">
        <v>0.0</v>
      </c>
      <c r="D1556" s="94">
        <v>0.0</v>
      </c>
      <c r="E1556" s="96">
        <f t="shared" si="1172"/>
        <v>0</v>
      </c>
      <c r="F1556" s="94">
        <v>0.0</v>
      </c>
      <c r="G1556" s="94">
        <v>0.0</v>
      </c>
      <c r="H1556" s="94">
        <v>0.0</v>
      </c>
      <c r="I1556" s="94">
        <v>0.0</v>
      </c>
      <c r="J1556" s="95">
        <f t="shared" si="1173"/>
        <v>0</v>
      </c>
      <c r="K1556" s="87" t="str">
        <f t="shared" si="1174"/>
        <v>#DIV/0!</v>
      </c>
      <c r="L1556" s="94">
        <v>0.0</v>
      </c>
      <c r="M1556" s="94">
        <v>0.0</v>
      </c>
      <c r="N1556" s="94" t="s">
        <v>255</v>
      </c>
      <c r="O1556" s="110" t="str">
        <f t="shared" si="1175"/>
        <v>#VALUE!</v>
      </c>
      <c r="P1556" s="94">
        <v>0.0</v>
      </c>
      <c r="Q1556" s="94">
        <v>0.0</v>
      </c>
      <c r="R1556" s="94">
        <v>0.0</v>
      </c>
      <c r="S1556" s="94">
        <v>0.0</v>
      </c>
      <c r="T1556" s="94">
        <v>0.0</v>
      </c>
      <c r="U1556" s="94">
        <v>0.0</v>
      </c>
      <c r="V1556" s="94">
        <v>0.0</v>
      </c>
      <c r="W1556" s="94">
        <v>0.0</v>
      </c>
      <c r="X1556" s="94">
        <v>0.0</v>
      </c>
      <c r="Y1556" s="94">
        <v>0.0</v>
      </c>
      <c r="Z1556" s="94">
        <v>0.0</v>
      </c>
      <c r="AA1556" s="94">
        <v>0.0</v>
      </c>
      <c r="AB1556" s="94">
        <v>0.0</v>
      </c>
      <c r="AC1556" s="94">
        <v>0.0</v>
      </c>
      <c r="AD1556" s="94">
        <v>0.0</v>
      </c>
      <c r="AE1556" s="94">
        <v>0.0</v>
      </c>
      <c r="AF1556" s="94">
        <v>0.0</v>
      </c>
      <c r="AG1556" s="94">
        <v>0.0</v>
      </c>
      <c r="AH1556" s="94">
        <v>0.0</v>
      </c>
    </row>
    <row r="1557" hidden="1">
      <c r="A1557" s="109"/>
      <c r="B1557" s="93"/>
      <c r="C1557" s="94">
        <v>0.0</v>
      </c>
      <c r="D1557" s="94">
        <v>0.0</v>
      </c>
      <c r="E1557" s="96">
        <f t="shared" si="1172"/>
        <v>0</v>
      </c>
      <c r="F1557" s="94">
        <v>0.0</v>
      </c>
      <c r="G1557" s="94">
        <v>0.0</v>
      </c>
      <c r="H1557" s="94">
        <v>0.0</v>
      </c>
      <c r="I1557" s="94">
        <v>0.0</v>
      </c>
      <c r="J1557" s="95">
        <f t="shared" si="1173"/>
        <v>0</v>
      </c>
      <c r="K1557" s="87" t="str">
        <f t="shared" si="1174"/>
        <v>#DIV/0!</v>
      </c>
      <c r="L1557" s="94">
        <v>0.0</v>
      </c>
      <c r="M1557" s="94">
        <v>0.0</v>
      </c>
      <c r="N1557" s="94" t="s">
        <v>255</v>
      </c>
      <c r="O1557" s="110" t="str">
        <f t="shared" si="1175"/>
        <v>#VALUE!</v>
      </c>
      <c r="P1557" s="94">
        <v>0.0</v>
      </c>
      <c r="Q1557" s="94">
        <v>0.0</v>
      </c>
      <c r="R1557" s="94">
        <v>0.0</v>
      </c>
      <c r="S1557" s="94">
        <v>0.0</v>
      </c>
      <c r="T1557" s="94">
        <v>0.0</v>
      </c>
      <c r="U1557" s="94">
        <v>0.0</v>
      </c>
      <c r="V1557" s="94">
        <v>0.0</v>
      </c>
      <c r="W1557" s="94">
        <v>0.0</v>
      </c>
      <c r="X1557" s="94">
        <v>0.0</v>
      </c>
      <c r="Y1557" s="94">
        <v>0.0</v>
      </c>
      <c r="Z1557" s="94">
        <v>0.0</v>
      </c>
      <c r="AA1557" s="94">
        <v>0.0</v>
      </c>
      <c r="AB1557" s="94">
        <v>0.0</v>
      </c>
      <c r="AC1557" s="94">
        <v>0.0</v>
      </c>
      <c r="AD1557" s="94">
        <v>0.0</v>
      </c>
      <c r="AE1557" s="94">
        <v>0.0</v>
      </c>
      <c r="AF1557" s="94">
        <v>0.0</v>
      </c>
      <c r="AG1557" s="94">
        <v>0.0</v>
      </c>
      <c r="AH1557" s="94">
        <v>0.0</v>
      </c>
    </row>
    <row r="1558" hidden="1">
      <c r="A1558" s="109"/>
      <c r="B1558" s="93"/>
      <c r="C1558" s="94">
        <v>0.0</v>
      </c>
      <c r="D1558" s="94">
        <v>0.0</v>
      </c>
      <c r="E1558" s="96">
        <f t="shared" si="1172"/>
        <v>0</v>
      </c>
      <c r="F1558" s="94">
        <v>0.0</v>
      </c>
      <c r="G1558" s="94">
        <v>0.0</v>
      </c>
      <c r="H1558" s="94">
        <v>0.0</v>
      </c>
      <c r="I1558" s="94">
        <v>0.0</v>
      </c>
      <c r="J1558" s="95">
        <f t="shared" si="1173"/>
        <v>0</v>
      </c>
      <c r="K1558" s="87" t="str">
        <f t="shared" si="1174"/>
        <v>#DIV/0!</v>
      </c>
      <c r="L1558" s="94">
        <v>0.0</v>
      </c>
      <c r="M1558" s="94">
        <v>0.0</v>
      </c>
      <c r="N1558" s="94" t="s">
        <v>255</v>
      </c>
      <c r="O1558" s="110" t="str">
        <f t="shared" si="1175"/>
        <v>#VALUE!</v>
      </c>
      <c r="P1558" s="94">
        <v>0.0</v>
      </c>
      <c r="Q1558" s="94">
        <v>0.0</v>
      </c>
      <c r="R1558" s="94">
        <v>0.0</v>
      </c>
      <c r="S1558" s="94">
        <v>0.0</v>
      </c>
      <c r="T1558" s="94">
        <v>0.0</v>
      </c>
      <c r="U1558" s="94">
        <v>0.0</v>
      </c>
      <c r="V1558" s="94">
        <v>0.0</v>
      </c>
      <c r="W1558" s="94">
        <v>0.0</v>
      </c>
      <c r="X1558" s="94">
        <v>0.0</v>
      </c>
      <c r="Y1558" s="94">
        <v>0.0</v>
      </c>
      <c r="Z1558" s="94">
        <v>0.0</v>
      </c>
      <c r="AA1558" s="94">
        <v>0.0</v>
      </c>
      <c r="AB1558" s="94">
        <v>0.0</v>
      </c>
      <c r="AC1558" s="94">
        <v>0.0</v>
      </c>
      <c r="AD1558" s="94">
        <v>0.0</v>
      </c>
      <c r="AE1558" s="94">
        <v>0.0</v>
      </c>
      <c r="AF1558" s="94">
        <v>0.0</v>
      </c>
      <c r="AG1558" s="94">
        <v>0.0</v>
      </c>
      <c r="AH1558" s="94">
        <v>0.0</v>
      </c>
    </row>
    <row r="1559" hidden="1">
      <c r="A1559" s="89"/>
      <c r="B1559" s="111"/>
      <c r="C1559" s="111">
        <f t="shared" ref="C1559:D1559" si="1176">SUM(C1553:C1558)/4</f>
        <v>0</v>
      </c>
      <c r="D1559" s="111">
        <f t="shared" si="1176"/>
        <v>0</v>
      </c>
      <c r="E1559" s="91">
        <f t="shared" ref="E1559:G1559" si="1177">SUM(E1553:E1558)</f>
        <v>0</v>
      </c>
      <c r="F1559" s="111">
        <f t="shared" si="1177"/>
        <v>0</v>
      </c>
      <c r="G1559" s="111">
        <f t="shared" si="1177"/>
        <v>0</v>
      </c>
      <c r="H1559" s="111"/>
      <c r="I1559" s="111">
        <f>SUM(I1553:I1558)</f>
        <v>0</v>
      </c>
      <c r="J1559" s="111">
        <f t="shared" si="1173"/>
        <v>0</v>
      </c>
      <c r="K1559" s="92" t="str">
        <f t="shared" si="1174"/>
        <v>#DIV/0!</v>
      </c>
      <c r="L1559" s="111">
        <f t="shared" ref="L1559:M1559" si="1178">SUM(L1553:L1558)</f>
        <v>0</v>
      </c>
      <c r="M1559" s="111">
        <f t="shared" si="1178"/>
        <v>0</v>
      </c>
      <c r="N1559" s="111"/>
      <c r="O1559" s="112"/>
      <c r="P1559" s="111">
        <f t="shared" ref="P1559:AH1559" si="1179">SUM(P1553:P1558)</f>
        <v>0</v>
      </c>
      <c r="Q1559" s="111">
        <f t="shared" si="1179"/>
        <v>0</v>
      </c>
      <c r="R1559" s="111">
        <f t="shared" si="1179"/>
        <v>0</v>
      </c>
      <c r="S1559" s="111">
        <f t="shared" si="1179"/>
        <v>0</v>
      </c>
      <c r="T1559" s="111">
        <f t="shared" si="1179"/>
        <v>0</v>
      </c>
      <c r="U1559" s="111">
        <f t="shared" si="1179"/>
        <v>0</v>
      </c>
      <c r="V1559" s="111">
        <f t="shared" si="1179"/>
        <v>0</v>
      </c>
      <c r="W1559" s="111">
        <f t="shared" si="1179"/>
        <v>0</v>
      </c>
      <c r="X1559" s="111">
        <f t="shared" si="1179"/>
        <v>0</v>
      </c>
      <c r="Y1559" s="111">
        <f t="shared" si="1179"/>
        <v>0</v>
      </c>
      <c r="Z1559" s="111">
        <f t="shared" si="1179"/>
        <v>0</v>
      </c>
      <c r="AA1559" s="111">
        <f t="shared" si="1179"/>
        <v>0</v>
      </c>
      <c r="AB1559" s="111">
        <f t="shared" si="1179"/>
        <v>0</v>
      </c>
      <c r="AC1559" s="111">
        <f t="shared" si="1179"/>
        <v>0</v>
      </c>
      <c r="AD1559" s="111">
        <f t="shared" si="1179"/>
        <v>0</v>
      </c>
      <c r="AE1559" s="111">
        <f t="shared" si="1179"/>
        <v>0</v>
      </c>
      <c r="AF1559" s="111">
        <f t="shared" si="1179"/>
        <v>0</v>
      </c>
      <c r="AG1559" s="111">
        <f t="shared" si="1179"/>
        <v>0</v>
      </c>
      <c r="AH1559" s="111">
        <f t="shared" si="1179"/>
        <v>0</v>
      </c>
    </row>
    <row r="1560" hidden="1">
      <c r="A1560" s="109"/>
      <c r="B1560" s="93"/>
      <c r="C1560" s="94">
        <v>0.0</v>
      </c>
      <c r="D1560" s="94">
        <v>0.0</v>
      </c>
      <c r="E1560" s="96">
        <f t="shared" ref="E1560:E1565" si="1180">SUM(L1560*I1560)/60</f>
        <v>0</v>
      </c>
      <c r="F1560" s="94">
        <v>0.0</v>
      </c>
      <c r="G1560" s="94">
        <v>0.0</v>
      </c>
      <c r="H1560" s="94">
        <v>0.0</v>
      </c>
      <c r="I1560" s="94">
        <v>0.0</v>
      </c>
      <c r="J1560" s="95">
        <f t="shared" si="1173"/>
        <v>0</v>
      </c>
      <c r="K1560" s="87" t="str">
        <f t="shared" si="1174"/>
        <v>#DIV/0!</v>
      </c>
      <c r="L1560" s="94">
        <v>0.0</v>
      </c>
      <c r="M1560" s="94">
        <v>0.0</v>
      </c>
      <c r="N1560" s="94" t="s">
        <v>255</v>
      </c>
      <c r="O1560" s="110" t="str">
        <f t="shared" ref="O1560:O1565" si="1181">(E1560*N1560)</f>
        <v>#VALUE!</v>
      </c>
      <c r="P1560" s="94">
        <v>0.0</v>
      </c>
      <c r="Q1560" s="94">
        <v>0.0</v>
      </c>
      <c r="R1560" s="94">
        <v>0.0</v>
      </c>
      <c r="S1560" s="94">
        <v>0.0</v>
      </c>
      <c r="T1560" s="94">
        <v>0.0</v>
      </c>
      <c r="U1560" s="94">
        <v>0.0</v>
      </c>
      <c r="V1560" s="94">
        <v>0.0</v>
      </c>
      <c r="W1560" s="94">
        <v>0.0</v>
      </c>
      <c r="X1560" s="94">
        <v>0.0</v>
      </c>
      <c r="Y1560" s="94">
        <v>0.0</v>
      </c>
      <c r="Z1560" s="94">
        <v>0.0</v>
      </c>
      <c r="AA1560" s="94">
        <v>0.0</v>
      </c>
      <c r="AB1560" s="94">
        <v>0.0</v>
      </c>
      <c r="AC1560" s="94">
        <v>0.0</v>
      </c>
      <c r="AD1560" s="94">
        <v>0.0</v>
      </c>
      <c r="AE1560" s="94">
        <v>0.0</v>
      </c>
      <c r="AF1560" s="94">
        <v>0.0</v>
      </c>
      <c r="AG1560" s="94">
        <v>0.0</v>
      </c>
      <c r="AH1560" s="94">
        <v>0.0</v>
      </c>
    </row>
    <row r="1561" hidden="1">
      <c r="A1561" s="109"/>
      <c r="B1561" s="93"/>
      <c r="C1561" s="94">
        <v>0.0</v>
      </c>
      <c r="D1561" s="94">
        <v>0.0</v>
      </c>
      <c r="E1561" s="96">
        <f t="shared" si="1180"/>
        <v>0</v>
      </c>
      <c r="F1561" s="94">
        <v>0.0</v>
      </c>
      <c r="G1561" s="94">
        <v>0.0</v>
      </c>
      <c r="H1561" s="94">
        <v>0.0</v>
      </c>
      <c r="I1561" s="94">
        <v>0.0</v>
      </c>
      <c r="J1561" s="95">
        <f t="shared" si="1173"/>
        <v>0</v>
      </c>
      <c r="K1561" s="87" t="str">
        <f t="shared" si="1174"/>
        <v>#DIV/0!</v>
      </c>
      <c r="L1561" s="94">
        <v>0.0</v>
      </c>
      <c r="M1561" s="94">
        <v>0.0</v>
      </c>
      <c r="N1561" s="94" t="s">
        <v>255</v>
      </c>
      <c r="O1561" s="110" t="str">
        <f t="shared" si="1181"/>
        <v>#VALUE!</v>
      </c>
      <c r="P1561" s="94">
        <v>0.0</v>
      </c>
      <c r="Q1561" s="94">
        <v>0.0</v>
      </c>
      <c r="R1561" s="94">
        <v>0.0</v>
      </c>
      <c r="S1561" s="94">
        <v>0.0</v>
      </c>
      <c r="T1561" s="94">
        <v>0.0</v>
      </c>
      <c r="U1561" s="94">
        <v>0.0</v>
      </c>
      <c r="V1561" s="94">
        <v>0.0</v>
      </c>
      <c r="W1561" s="94">
        <v>0.0</v>
      </c>
      <c r="X1561" s="94">
        <v>0.0</v>
      </c>
      <c r="Y1561" s="94">
        <v>0.0</v>
      </c>
      <c r="Z1561" s="94">
        <v>0.0</v>
      </c>
      <c r="AA1561" s="94">
        <v>0.0</v>
      </c>
      <c r="AB1561" s="94">
        <v>0.0</v>
      </c>
      <c r="AC1561" s="94">
        <v>0.0</v>
      </c>
      <c r="AD1561" s="94">
        <v>0.0</v>
      </c>
      <c r="AE1561" s="94">
        <v>0.0</v>
      </c>
      <c r="AF1561" s="94">
        <v>0.0</v>
      </c>
      <c r="AG1561" s="94">
        <v>0.0</v>
      </c>
      <c r="AH1561" s="94">
        <v>0.0</v>
      </c>
    </row>
    <row r="1562" hidden="1">
      <c r="A1562" s="109"/>
      <c r="B1562" s="93"/>
      <c r="C1562" s="94">
        <v>0.0</v>
      </c>
      <c r="D1562" s="94">
        <v>0.0</v>
      </c>
      <c r="E1562" s="96">
        <f t="shared" si="1180"/>
        <v>0</v>
      </c>
      <c r="F1562" s="94">
        <v>0.0</v>
      </c>
      <c r="G1562" s="94">
        <v>0.0</v>
      </c>
      <c r="H1562" s="94">
        <v>0.0</v>
      </c>
      <c r="I1562" s="94">
        <v>0.0</v>
      </c>
      <c r="J1562" s="95">
        <f t="shared" si="1173"/>
        <v>0</v>
      </c>
      <c r="K1562" s="87" t="str">
        <f t="shared" si="1174"/>
        <v>#DIV/0!</v>
      </c>
      <c r="L1562" s="94">
        <v>0.0</v>
      </c>
      <c r="M1562" s="94">
        <v>0.0</v>
      </c>
      <c r="N1562" s="94" t="s">
        <v>255</v>
      </c>
      <c r="O1562" s="110" t="str">
        <f t="shared" si="1181"/>
        <v>#VALUE!</v>
      </c>
      <c r="P1562" s="94">
        <v>0.0</v>
      </c>
      <c r="Q1562" s="94">
        <v>0.0</v>
      </c>
      <c r="R1562" s="94">
        <v>0.0</v>
      </c>
      <c r="S1562" s="94">
        <v>0.0</v>
      </c>
      <c r="T1562" s="94">
        <v>0.0</v>
      </c>
      <c r="U1562" s="94">
        <v>0.0</v>
      </c>
      <c r="V1562" s="94">
        <v>0.0</v>
      </c>
      <c r="W1562" s="94">
        <v>0.0</v>
      </c>
      <c r="X1562" s="94">
        <v>0.0</v>
      </c>
      <c r="Y1562" s="94">
        <v>0.0</v>
      </c>
      <c r="Z1562" s="94">
        <v>0.0</v>
      </c>
      <c r="AA1562" s="94">
        <v>0.0</v>
      </c>
      <c r="AB1562" s="94">
        <v>0.0</v>
      </c>
      <c r="AC1562" s="94">
        <v>0.0</v>
      </c>
      <c r="AD1562" s="94">
        <v>0.0</v>
      </c>
      <c r="AE1562" s="94">
        <v>0.0</v>
      </c>
      <c r="AF1562" s="94">
        <v>0.0</v>
      </c>
      <c r="AG1562" s="94">
        <v>0.0</v>
      </c>
      <c r="AH1562" s="94">
        <v>0.0</v>
      </c>
    </row>
    <row r="1563" hidden="1">
      <c r="A1563" s="109"/>
      <c r="B1563" s="93"/>
      <c r="C1563" s="94">
        <v>0.0</v>
      </c>
      <c r="D1563" s="94">
        <v>0.0</v>
      </c>
      <c r="E1563" s="96">
        <f t="shared" si="1180"/>
        <v>0</v>
      </c>
      <c r="F1563" s="94">
        <v>0.0</v>
      </c>
      <c r="G1563" s="94">
        <v>0.0</v>
      </c>
      <c r="H1563" s="94">
        <v>0.0</v>
      </c>
      <c r="I1563" s="94">
        <v>0.0</v>
      </c>
      <c r="J1563" s="95">
        <f t="shared" si="1173"/>
        <v>0</v>
      </c>
      <c r="K1563" s="87" t="str">
        <f t="shared" si="1174"/>
        <v>#DIV/0!</v>
      </c>
      <c r="L1563" s="94">
        <v>0.0</v>
      </c>
      <c r="M1563" s="94">
        <v>0.0</v>
      </c>
      <c r="N1563" s="94" t="s">
        <v>255</v>
      </c>
      <c r="O1563" s="110" t="str">
        <f t="shared" si="1181"/>
        <v>#VALUE!</v>
      </c>
      <c r="P1563" s="94">
        <v>0.0</v>
      </c>
      <c r="Q1563" s="94">
        <v>0.0</v>
      </c>
      <c r="R1563" s="94">
        <v>0.0</v>
      </c>
      <c r="S1563" s="94">
        <v>0.0</v>
      </c>
      <c r="T1563" s="94">
        <v>0.0</v>
      </c>
      <c r="U1563" s="94">
        <v>0.0</v>
      </c>
      <c r="V1563" s="94">
        <v>0.0</v>
      </c>
      <c r="W1563" s="94">
        <v>0.0</v>
      </c>
      <c r="X1563" s="94">
        <v>0.0</v>
      </c>
      <c r="Y1563" s="94">
        <v>0.0</v>
      </c>
      <c r="Z1563" s="94">
        <v>0.0</v>
      </c>
      <c r="AA1563" s="94">
        <v>0.0</v>
      </c>
      <c r="AB1563" s="94">
        <v>0.0</v>
      </c>
      <c r="AC1563" s="94">
        <v>0.0</v>
      </c>
      <c r="AD1563" s="94">
        <v>0.0</v>
      </c>
      <c r="AE1563" s="94">
        <v>0.0</v>
      </c>
      <c r="AF1563" s="94">
        <v>0.0</v>
      </c>
      <c r="AG1563" s="94">
        <v>0.0</v>
      </c>
      <c r="AH1563" s="94">
        <v>0.0</v>
      </c>
    </row>
    <row r="1564" hidden="1">
      <c r="A1564" s="109"/>
      <c r="B1564" s="93"/>
      <c r="C1564" s="94">
        <v>0.0</v>
      </c>
      <c r="D1564" s="94">
        <v>0.0</v>
      </c>
      <c r="E1564" s="96">
        <f t="shared" si="1180"/>
        <v>0</v>
      </c>
      <c r="F1564" s="94">
        <v>0.0</v>
      </c>
      <c r="G1564" s="94">
        <v>0.0</v>
      </c>
      <c r="H1564" s="94">
        <v>0.0</v>
      </c>
      <c r="I1564" s="94">
        <v>0.0</v>
      </c>
      <c r="J1564" s="95">
        <f t="shared" si="1173"/>
        <v>0</v>
      </c>
      <c r="K1564" s="87" t="str">
        <f t="shared" si="1174"/>
        <v>#DIV/0!</v>
      </c>
      <c r="L1564" s="94">
        <v>0.0</v>
      </c>
      <c r="M1564" s="94">
        <v>0.0</v>
      </c>
      <c r="N1564" s="94" t="s">
        <v>255</v>
      </c>
      <c r="O1564" s="110" t="str">
        <f t="shared" si="1181"/>
        <v>#VALUE!</v>
      </c>
      <c r="P1564" s="94">
        <v>0.0</v>
      </c>
      <c r="Q1564" s="94">
        <v>0.0</v>
      </c>
      <c r="R1564" s="94">
        <v>0.0</v>
      </c>
      <c r="S1564" s="94">
        <v>0.0</v>
      </c>
      <c r="T1564" s="94">
        <v>0.0</v>
      </c>
      <c r="U1564" s="94">
        <v>0.0</v>
      </c>
      <c r="V1564" s="94">
        <v>0.0</v>
      </c>
      <c r="W1564" s="94">
        <v>0.0</v>
      </c>
      <c r="X1564" s="94">
        <v>0.0</v>
      </c>
      <c r="Y1564" s="94">
        <v>0.0</v>
      </c>
      <c r="Z1564" s="94">
        <v>0.0</v>
      </c>
      <c r="AA1564" s="94">
        <v>0.0</v>
      </c>
      <c r="AB1564" s="94">
        <v>0.0</v>
      </c>
      <c r="AC1564" s="94">
        <v>0.0</v>
      </c>
      <c r="AD1564" s="94">
        <v>0.0</v>
      </c>
      <c r="AE1564" s="94">
        <v>0.0</v>
      </c>
      <c r="AF1564" s="94">
        <v>0.0</v>
      </c>
      <c r="AG1564" s="94">
        <v>0.0</v>
      </c>
      <c r="AH1564" s="94">
        <v>0.0</v>
      </c>
    </row>
    <row r="1565" hidden="1">
      <c r="A1565" s="109"/>
      <c r="B1565" s="93"/>
      <c r="C1565" s="94">
        <v>0.0</v>
      </c>
      <c r="D1565" s="94">
        <v>0.0</v>
      </c>
      <c r="E1565" s="96">
        <f t="shared" si="1180"/>
        <v>0</v>
      </c>
      <c r="F1565" s="94">
        <v>0.0</v>
      </c>
      <c r="G1565" s="94">
        <v>0.0</v>
      </c>
      <c r="H1565" s="94">
        <v>0.0</v>
      </c>
      <c r="I1565" s="94">
        <v>0.0</v>
      </c>
      <c r="J1565" s="95">
        <f t="shared" si="1173"/>
        <v>0</v>
      </c>
      <c r="K1565" s="87" t="str">
        <f t="shared" si="1174"/>
        <v>#DIV/0!</v>
      </c>
      <c r="L1565" s="94">
        <v>0.0</v>
      </c>
      <c r="M1565" s="94">
        <v>0.0</v>
      </c>
      <c r="N1565" s="94" t="s">
        <v>255</v>
      </c>
      <c r="O1565" s="110" t="str">
        <f t="shared" si="1181"/>
        <v>#VALUE!</v>
      </c>
      <c r="P1565" s="94">
        <v>0.0</v>
      </c>
      <c r="Q1565" s="94">
        <v>0.0</v>
      </c>
      <c r="R1565" s="94">
        <v>0.0</v>
      </c>
      <c r="S1565" s="94">
        <v>0.0</v>
      </c>
      <c r="T1565" s="94">
        <v>0.0</v>
      </c>
      <c r="U1565" s="94">
        <v>0.0</v>
      </c>
      <c r="V1565" s="94">
        <v>0.0</v>
      </c>
      <c r="W1565" s="94">
        <v>0.0</v>
      </c>
      <c r="X1565" s="94">
        <v>0.0</v>
      </c>
      <c r="Y1565" s="94">
        <v>0.0</v>
      </c>
      <c r="Z1565" s="94">
        <v>0.0</v>
      </c>
      <c r="AA1565" s="94">
        <v>0.0</v>
      </c>
      <c r="AB1565" s="94">
        <v>0.0</v>
      </c>
      <c r="AC1565" s="94">
        <v>0.0</v>
      </c>
      <c r="AD1565" s="94">
        <v>0.0</v>
      </c>
      <c r="AE1565" s="94">
        <v>0.0</v>
      </c>
      <c r="AF1565" s="94">
        <v>0.0</v>
      </c>
      <c r="AG1565" s="94">
        <v>0.0</v>
      </c>
      <c r="AH1565" s="94">
        <v>0.0</v>
      </c>
    </row>
    <row r="1566" hidden="1">
      <c r="A1566" s="89" t="s">
        <v>185</v>
      </c>
      <c r="B1566" s="111"/>
      <c r="C1566" s="111">
        <f>SUM(C1560:C1565)</f>
        <v>0</v>
      </c>
      <c r="D1566" s="111">
        <f t="shared" ref="D1566:E1566" si="1182">SUM(D1560:D1565)/4</f>
        <v>0</v>
      </c>
      <c r="E1566" s="91">
        <f t="shared" si="1182"/>
        <v>0</v>
      </c>
      <c r="F1566" s="111">
        <f t="shared" ref="F1566:G1566" si="1183">SUM(F1560:F1565)</f>
        <v>0</v>
      </c>
      <c r="G1566" s="111">
        <f t="shared" si="1183"/>
        <v>0</v>
      </c>
      <c r="H1566" s="111"/>
      <c r="I1566" s="111">
        <f>SUM(I1560:I1565)</f>
        <v>0</v>
      </c>
      <c r="J1566" s="111">
        <f t="shared" si="1173"/>
        <v>0</v>
      </c>
      <c r="K1566" s="92" t="str">
        <f t="shared" si="1174"/>
        <v>#DIV/0!</v>
      </c>
      <c r="L1566" s="111">
        <f t="shared" ref="L1566:M1566" si="1184">SUM(L1560:L1565)</f>
        <v>0</v>
      </c>
      <c r="M1566" s="111">
        <f t="shared" si="1184"/>
        <v>0</v>
      </c>
      <c r="N1566" s="111"/>
      <c r="O1566" s="112"/>
      <c r="P1566" s="111">
        <f t="shared" ref="P1566:AH1566" si="1185">SUM(P1560:P1565)</f>
        <v>0</v>
      </c>
      <c r="Q1566" s="111">
        <f t="shared" si="1185"/>
        <v>0</v>
      </c>
      <c r="R1566" s="111">
        <f t="shared" si="1185"/>
        <v>0</v>
      </c>
      <c r="S1566" s="111">
        <f t="shared" si="1185"/>
        <v>0</v>
      </c>
      <c r="T1566" s="111">
        <f t="shared" si="1185"/>
        <v>0</v>
      </c>
      <c r="U1566" s="111">
        <f t="shared" si="1185"/>
        <v>0</v>
      </c>
      <c r="V1566" s="111">
        <f t="shared" si="1185"/>
        <v>0</v>
      </c>
      <c r="W1566" s="111">
        <f t="shared" si="1185"/>
        <v>0</v>
      </c>
      <c r="X1566" s="111">
        <f t="shared" si="1185"/>
        <v>0</v>
      </c>
      <c r="Y1566" s="111">
        <f t="shared" si="1185"/>
        <v>0</v>
      </c>
      <c r="Z1566" s="111">
        <f t="shared" si="1185"/>
        <v>0</v>
      </c>
      <c r="AA1566" s="111">
        <f t="shared" si="1185"/>
        <v>0</v>
      </c>
      <c r="AB1566" s="111">
        <f t="shared" si="1185"/>
        <v>0</v>
      </c>
      <c r="AC1566" s="111">
        <f t="shared" si="1185"/>
        <v>0</v>
      </c>
      <c r="AD1566" s="111">
        <f t="shared" si="1185"/>
        <v>0</v>
      </c>
      <c r="AE1566" s="111">
        <f t="shared" si="1185"/>
        <v>0</v>
      </c>
      <c r="AF1566" s="111">
        <f t="shared" si="1185"/>
        <v>0</v>
      </c>
      <c r="AG1566" s="111">
        <f t="shared" si="1185"/>
        <v>0</v>
      </c>
      <c r="AH1566" s="111">
        <f t="shared" si="1185"/>
        <v>0</v>
      </c>
    </row>
    <row r="1567">
      <c r="A1567" s="104" t="s">
        <v>342</v>
      </c>
    </row>
    <row r="1569" hidden="1">
      <c r="A1569" s="105"/>
      <c r="F1569" s="106" t="s">
        <v>251</v>
      </c>
      <c r="L1569" s="107" t="s">
        <v>252</v>
      </c>
      <c r="N1569" s="108" t="s">
        <v>253</v>
      </c>
    </row>
    <row r="1570" hidden="1">
      <c r="A1570" s="76" t="s">
        <v>148</v>
      </c>
      <c r="B1570" s="76" t="s">
        <v>149</v>
      </c>
      <c r="C1570" s="76" t="s">
        <v>150</v>
      </c>
      <c r="D1570" s="76" t="s">
        <v>13</v>
      </c>
      <c r="E1570" s="77" t="s">
        <v>151</v>
      </c>
      <c r="F1570" s="78" t="s">
        <v>15</v>
      </c>
      <c r="G1570" s="78" t="s">
        <v>152</v>
      </c>
      <c r="H1570" s="78" t="s">
        <v>153</v>
      </c>
      <c r="I1570" s="78" t="s">
        <v>154</v>
      </c>
      <c r="J1570" s="78" t="s">
        <v>155</v>
      </c>
      <c r="K1570" s="79" t="s">
        <v>156</v>
      </c>
      <c r="L1570" s="80" t="s">
        <v>157</v>
      </c>
      <c r="M1570" s="80" t="s">
        <v>158</v>
      </c>
      <c r="N1570" s="81" t="s">
        <v>254</v>
      </c>
      <c r="O1570" s="81" t="s">
        <v>151</v>
      </c>
      <c r="P1570" s="81" t="s">
        <v>160</v>
      </c>
      <c r="Q1570" s="81" t="s">
        <v>161</v>
      </c>
      <c r="R1570" s="81" t="s">
        <v>162</v>
      </c>
      <c r="S1570" s="81" t="s">
        <v>163</v>
      </c>
      <c r="T1570" s="81" t="s">
        <v>164</v>
      </c>
      <c r="U1570" s="81" t="s">
        <v>165</v>
      </c>
      <c r="V1570" s="81" t="s">
        <v>166</v>
      </c>
      <c r="W1570" s="81" t="s">
        <v>167</v>
      </c>
      <c r="X1570" s="81" t="s">
        <v>168</v>
      </c>
      <c r="Y1570" s="81" t="s">
        <v>169</v>
      </c>
      <c r="Z1570" s="81" t="s">
        <v>170</v>
      </c>
      <c r="AA1570" s="81" t="s">
        <v>171</v>
      </c>
      <c r="AB1570" s="81" t="s">
        <v>172</v>
      </c>
      <c r="AC1570" s="81" t="s">
        <v>173</v>
      </c>
      <c r="AD1570" s="81" t="s">
        <v>174</v>
      </c>
      <c r="AE1570" s="81" t="s">
        <v>175</v>
      </c>
      <c r="AF1570" s="81" t="s">
        <v>176</v>
      </c>
      <c r="AG1570" s="81" t="s">
        <v>177</v>
      </c>
      <c r="AH1570" s="81" t="s">
        <v>178</v>
      </c>
    </row>
    <row r="1571" hidden="1">
      <c r="A1571" s="109"/>
      <c r="B1571" s="93"/>
      <c r="C1571" s="94">
        <v>0.0</v>
      </c>
      <c r="D1571" s="94">
        <v>0.0</v>
      </c>
      <c r="E1571" s="96">
        <f t="shared" ref="E1571:E1576" si="1186">SUM(L1571*I1571)/60</f>
        <v>0</v>
      </c>
      <c r="F1571" s="94">
        <v>0.0</v>
      </c>
      <c r="G1571" s="94">
        <v>0.0</v>
      </c>
      <c r="H1571" s="94">
        <v>0.0</v>
      </c>
      <c r="I1571" s="94">
        <v>0.0</v>
      </c>
      <c r="J1571" s="95">
        <f t="shared" ref="J1571:J1584" si="1187">SUM(G1571-I1571)</f>
        <v>0</v>
      </c>
      <c r="K1571" s="87" t="str">
        <f t="shared" ref="K1571:K1584" si="1188">SUM(G1571/I1571)</f>
        <v>#DIV/0!</v>
      </c>
      <c r="L1571" s="94">
        <v>0.0</v>
      </c>
      <c r="M1571" s="94">
        <v>0.0</v>
      </c>
      <c r="N1571" s="94" t="s">
        <v>255</v>
      </c>
      <c r="O1571" s="110" t="str">
        <f t="shared" ref="O1571:O1576" si="1189">(E1571*N1571)</f>
        <v>#VALUE!</v>
      </c>
      <c r="P1571" s="94">
        <v>0.0</v>
      </c>
      <c r="Q1571" s="94">
        <v>0.0</v>
      </c>
      <c r="R1571" s="94">
        <v>0.0</v>
      </c>
      <c r="S1571" s="94">
        <v>0.0</v>
      </c>
      <c r="T1571" s="94">
        <v>0.0</v>
      </c>
      <c r="U1571" s="94">
        <v>0.0</v>
      </c>
      <c r="V1571" s="94">
        <v>0.0</v>
      </c>
      <c r="W1571" s="94">
        <v>0.0</v>
      </c>
      <c r="X1571" s="94">
        <v>0.0</v>
      </c>
      <c r="Y1571" s="94">
        <v>0.0</v>
      </c>
      <c r="Z1571" s="94">
        <v>0.0</v>
      </c>
      <c r="AA1571" s="94">
        <v>0.0</v>
      </c>
      <c r="AB1571" s="94">
        <v>0.0</v>
      </c>
      <c r="AC1571" s="94">
        <v>0.0</v>
      </c>
      <c r="AD1571" s="94">
        <v>0.0</v>
      </c>
      <c r="AE1571" s="94">
        <v>0.0</v>
      </c>
      <c r="AF1571" s="94">
        <v>0.0</v>
      </c>
      <c r="AG1571" s="94">
        <v>0.0</v>
      </c>
      <c r="AH1571" s="94">
        <v>0.0</v>
      </c>
    </row>
    <row r="1572" hidden="1">
      <c r="A1572" s="109"/>
      <c r="B1572" s="93"/>
      <c r="C1572" s="94">
        <v>0.0</v>
      </c>
      <c r="D1572" s="94">
        <v>0.0</v>
      </c>
      <c r="E1572" s="96">
        <f t="shared" si="1186"/>
        <v>0</v>
      </c>
      <c r="F1572" s="94">
        <v>0.0</v>
      </c>
      <c r="G1572" s="94">
        <v>0.0</v>
      </c>
      <c r="H1572" s="94">
        <v>0.0</v>
      </c>
      <c r="I1572" s="94">
        <v>0.0</v>
      </c>
      <c r="J1572" s="95">
        <f t="shared" si="1187"/>
        <v>0</v>
      </c>
      <c r="K1572" s="87" t="str">
        <f t="shared" si="1188"/>
        <v>#DIV/0!</v>
      </c>
      <c r="L1572" s="94">
        <v>0.0</v>
      </c>
      <c r="M1572" s="94">
        <v>0.0</v>
      </c>
      <c r="N1572" s="94" t="s">
        <v>255</v>
      </c>
      <c r="O1572" s="110" t="str">
        <f t="shared" si="1189"/>
        <v>#VALUE!</v>
      </c>
      <c r="P1572" s="94">
        <v>0.0</v>
      </c>
      <c r="Q1572" s="94">
        <v>0.0</v>
      </c>
      <c r="R1572" s="94">
        <v>0.0</v>
      </c>
      <c r="S1572" s="94">
        <v>0.0</v>
      </c>
      <c r="T1572" s="94">
        <v>0.0</v>
      </c>
      <c r="U1572" s="94">
        <v>0.0</v>
      </c>
      <c r="V1572" s="94">
        <v>0.0</v>
      </c>
      <c r="W1572" s="94">
        <v>0.0</v>
      </c>
      <c r="X1572" s="94">
        <v>0.0</v>
      </c>
      <c r="Y1572" s="94">
        <v>0.0</v>
      </c>
      <c r="Z1572" s="94">
        <v>0.0</v>
      </c>
      <c r="AA1572" s="94">
        <v>0.0</v>
      </c>
      <c r="AB1572" s="94">
        <v>0.0</v>
      </c>
      <c r="AC1572" s="94">
        <v>0.0</v>
      </c>
      <c r="AD1572" s="94">
        <v>0.0</v>
      </c>
      <c r="AE1572" s="94">
        <v>0.0</v>
      </c>
      <c r="AF1572" s="94">
        <v>0.0</v>
      </c>
      <c r="AG1572" s="94">
        <v>0.0</v>
      </c>
      <c r="AH1572" s="94">
        <v>0.0</v>
      </c>
    </row>
    <row r="1573" hidden="1">
      <c r="A1573" s="109"/>
      <c r="B1573" s="93"/>
      <c r="C1573" s="94">
        <v>0.0</v>
      </c>
      <c r="D1573" s="94">
        <v>0.0</v>
      </c>
      <c r="E1573" s="96">
        <f t="shared" si="1186"/>
        <v>0</v>
      </c>
      <c r="F1573" s="94">
        <v>0.0</v>
      </c>
      <c r="G1573" s="94">
        <v>0.0</v>
      </c>
      <c r="H1573" s="94">
        <v>0.0</v>
      </c>
      <c r="I1573" s="94">
        <v>0.0</v>
      </c>
      <c r="J1573" s="95">
        <f t="shared" si="1187"/>
        <v>0</v>
      </c>
      <c r="K1573" s="87" t="str">
        <f t="shared" si="1188"/>
        <v>#DIV/0!</v>
      </c>
      <c r="L1573" s="94">
        <v>0.0</v>
      </c>
      <c r="M1573" s="94">
        <v>0.0</v>
      </c>
      <c r="N1573" s="94" t="s">
        <v>255</v>
      </c>
      <c r="O1573" s="110" t="str">
        <f t="shared" si="1189"/>
        <v>#VALUE!</v>
      </c>
      <c r="P1573" s="94">
        <v>0.0</v>
      </c>
      <c r="Q1573" s="94">
        <v>0.0</v>
      </c>
      <c r="R1573" s="94">
        <v>0.0</v>
      </c>
      <c r="S1573" s="94">
        <v>0.0</v>
      </c>
      <c r="T1573" s="94">
        <v>0.0</v>
      </c>
      <c r="U1573" s="94">
        <v>0.0</v>
      </c>
      <c r="V1573" s="94">
        <v>0.0</v>
      </c>
      <c r="W1573" s="94">
        <v>0.0</v>
      </c>
      <c r="X1573" s="94">
        <v>0.0</v>
      </c>
      <c r="Y1573" s="94">
        <v>0.0</v>
      </c>
      <c r="Z1573" s="94">
        <v>0.0</v>
      </c>
      <c r="AA1573" s="94">
        <v>0.0</v>
      </c>
      <c r="AB1573" s="94">
        <v>0.0</v>
      </c>
      <c r="AC1573" s="94">
        <v>0.0</v>
      </c>
      <c r="AD1573" s="94">
        <v>0.0</v>
      </c>
      <c r="AE1573" s="94">
        <v>0.0</v>
      </c>
      <c r="AF1573" s="94">
        <v>0.0</v>
      </c>
      <c r="AG1573" s="94">
        <v>0.0</v>
      </c>
      <c r="AH1573" s="94">
        <v>0.0</v>
      </c>
    </row>
    <row r="1574" hidden="1">
      <c r="A1574" s="109"/>
      <c r="B1574" s="93"/>
      <c r="C1574" s="94">
        <v>0.0</v>
      </c>
      <c r="D1574" s="94">
        <v>0.0</v>
      </c>
      <c r="E1574" s="96">
        <f t="shared" si="1186"/>
        <v>0</v>
      </c>
      <c r="F1574" s="94">
        <v>0.0</v>
      </c>
      <c r="G1574" s="94">
        <v>0.0</v>
      </c>
      <c r="H1574" s="94">
        <v>0.0</v>
      </c>
      <c r="I1574" s="94">
        <v>0.0</v>
      </c>
      <c r="J1574" s="95">
        <f t="shared" si="1187"/>
        <v>0</v>
      </c>
      <c r="K1574" s="87" t="str">
        <f t="shared" si="1188"/>
        <v>#DIV/0!</v>
      </c>
      <c r="L1574" s="94">
        <v>0.0</v>
      </c>
      <c r="M1574" s="94">
        <v>0.0</v>
      </c>
      <c r="N1574" s="94" t="s">
        <v>255</v>
      </c>
      <c r="O1574" s="110" t="str">
        <f t="shared" si="1189"/>
        <v>#VALUE!</v>
      </c>
      <c r="P1574" s="94">
        <v>0.0</v>
      </c>
      <c r="Q1574" s="94">
        <v>0.0</v>
      </c>
      <c r="R1574" s="94">
        <v>0.0</v>
      </c>
      <c r="S1574" s="94">
        <v>0.0</v>
      </c>
      <c r="T1574" s="94">
        <v>0.0</v>
      </c>
      <c r="U1574" s="94">
        <v>0.0</v>
      </c>
      <c r="V1574" s="94">
        <v>0.0</v>
      </c>
      <c r="W1574" s="94">
        <v>0.0</v>
      </c>
      <c r="X1574" s="94">
        <v>0.0</v>
      </c>
      <c r="Y1574" s="94">
        <v>0.0</v>
      </c>
      <c r="Z1574" s="94">
        <v>0.0</v>
      </c>
      <c r="AA1574" s="94">
        <v>0.0</v>
      </c>
      <c r="AB1574" s="94">
        <v>0.0</v>
      </c>
      <c r="AC1574" s="94">
        <v>0.0</v>
      </c>
      <c r="AD1574" s="94">
        <v>0.0</v>
      </c>
      <c r="AE1574" s="94">
        <v>0.0</v>
      </c>
      <c r="AF1574" s="94">
        <v>0.0</v>
      </c>
      <c r="AG1574" s="94">
        <v>0.0</v>
      </c>
      <c r="AH1574" s="94">
        <v>0.0</v>
      </c>
    </row>
    <row r="1575" hidden="1">
      <c r="A1575" s="109"/>
      <c r="B1575" s="93"/>
      <c r="C1575" s="94">
        <v>0.0</v>
      </c>
      <c r="D1575" s="94">
        <v>0.0</v>
      </c>
      <c r="E1575" s="96">
        <f t="shared" si="1186"/>
        <v>0</v>
      </c>
      <c r="F1575" s="94">
        <v>0.0</v>
      </c>
      <c r="G1575" s="94">
        <v>0.0</v>
      </c>
      <c r="H1575" s="94">
        <v>0.0</v>
      </c>
      <c r="I1575" s="94">
        <v>0.0</v>
      </c>
      <c r="J1575" s="95">
        <f t="shared" si="1187"/>
        <v>0</v>
      </c>
      <c r="K1575" s="87" t="str">
        <f t="shared" si="1188"/>
        <v>#DIV/0!</v>
      </c>
      <c r="L1575" s="94">
        <v>0.0</v>
      </c>
      <c r="M1575" s="94">
        <v>0.0</v>
      </c>
      <c r="N1575" s="94" t="s">
        <v>255</v>
      </c>
      <c r="O1575" s="110" t="str">
        <f t="shared" si="1189"/>
        <v>#VALUE!</v>
      </c>
      <c r="P1575" s="94">
        <v>0.0</v>
      </c>
      <c r="Q1575" s="94">
        <v>0.0</v>
      </c>
      <c r="R1575" s="94">
        <v>0.0</v>
      </c>
      <c r="S1575" s="94">
        <v>0.0</v>
      </c>
      <c r="T1575" s="94">
        <v>0.0</v>
      </c>
      <c r="U1575" s="94">
        <v>0.0</v>
      </c>
      <c r="V1575" s="94">
        <v>0.0</v>
      </c>
      <c r="W1575" s="94">
        <v>0.0</v>
      </c>
      <c r="X1575" s="94">
        <v>0.0</v>
      </c>
      <c r="Y1575" s="94">
        <v>0.0</v>
      </c>
      <c r="Z1575" s="94">
        <v>0.0</v>
      </c>
      <c r="AA1575" s="94">
        <v>0.0</v>
      </c>
      <c r="AB1575" s="94">
        <v>0.0</v>
      </c>
      <c r="AC1575" s="94">
        <v>0.0</v>
      </c>
      <c r="AD1575" s="94">
        <v>0.0</v>
      </c>
      <c r="AE1575" s="94">
        <v>0.0</v>
      </c>
      <c r="AF1575" s="94">
        <v>0.0</v>
      </c>
      <c r="AG1575" s="94">
        <v>0.0</v>
      </c>
      <c r="AH1575" s="94">
        <v>0.0</v>
      </c>
    </row>
    <row r="1576" hidden="1">
      <c r="A1576" s="109"/>
      <c r="B1576" s="93"/>
      <c r="C1576" s="94">
        <v>0.0</v>
      </c>
      <c r="D1576" s="94">
        <v>0.0</v>
      </c>
      <c r="E1576" s="96">
        <f t="shared" si="1186"/>
        <v>0</v>
      </c>
      <c r="F1576" s="94">
        <v>0.0</v>
      </c>
      <c r="G1576" s="94">
        <v>0.0</v>
      </c>
      <c r="H1576" s="94">
        <v>0.0</v>
      </c>
      <c r="I1576" s="94">
        <v>0.0</v>
      </c>
      <c r="J1576" s="95">
        <f t="shared" si="1187"/>
        <v>0</v>
      </c>
      <c r="K1576" s="87" t="str">
        <f t="shared" si="1188"/>
        <v>#DIV/0!</v>
      </c>
      <c r="L1576" s="94">
        <v>0.0</v>
      </c>
      <c r="M1576" s="94">
        <v>0.0</v>
      </c>
      <c r="N1576" s="94" t="s">
        <v>255</v>
      </c>
      <c r="O1576" s="110" t="str">
        <f t="shared" si="1189"/>
        <v>#VALUE!</v>
      </c>
      <c r="P1576" s="94">
        <v>0.0</v>
      </c>
      <c r="Q1576" s="94">
        <v>0.0</v>
      </c>
      <c r="R1576" s="94">
        <v>0.0</v>
      </c>
      <c r="S1576" s="94">
        <v>0.0</v>
      </c>
      <c r="T1576" s="94">
        <v>0.0</v>
      </c>
      <c r="U1576" s="94">
        <v>0.0</v>
      </c>
      <c r="V1576" s="94">
        <v>0.0</v>
      </c>
      <c r="W1576" s="94">
        <v>0.0</v>
      </c>
      <c r="X1576" s="94">
        <v>0.0</v>
      </c>
      <c r="Y1576" s="94">
        <v>0.0</v>
      </c>
      <c r="Z1576" s="94">
        <v>0.0</v>
      </c>
      <c r="AA1576" s="94">
        <v>0.0</v>
      </c>
      <c r="AB1576" s="94">
        <v>0.0</v>
      </c>
      <c r="AC1576" s="94">
        <v>0.0</v>
      </c>
      <c r="AD1576" s="94">
        <v>0.0</v>
      </c>
      <c r="AE1576" s="94">
        <v>0.0</v>
      </c>
      <c r="AF1576" s="94">
        <v>0.0</v>
      </c>
      <c r="AG1576" s="94">
        <v>0.0</v>
      </c>
      <c r="AH1576" s="94">
        <v>0.0</v>
      </c>
    </row>
    <row r="1577" hidden="1">
      <c r="A1577" s="89"/>
      <c r="B1577" s="111"/>
      <c r="C1577" s="111">
        <f t="shared" ref="C1577:D1577" si="1190">SUM(C1571:C1576)/4</f>
        <v>0</v>
      </c>
      <c r="D1577" s="111">
        <f t="shared" si="1190"/>
        <v>0</v>
      </c>
      <c r="E1577" s="91">
        <f t="shared" ref="E1577:G1577" si="1191">SUM(E1571:E1576)</f>
        <v>0</v>
      </c>
      <c r="F1577" s="111">
        <f t="shared" si="1191"/>
        <v>0</v>
      </c>
      <c r="G1577" s="111">
        <f t="shared" si="1191"/>
        <v>0</v>
      </c>
      <c r="H1577" s="111"/>
      <c r="I1577" s="111">
        <f>SUM(I1571:I1576)</f>
        <v>0</v>
      </c>
      <c r="J1577" s="111">
        <f t="shared" si="1187"/>
        <v>0</v>
      </c>
      <c r="K1577" s="92" t="str">
        <f t="shared" si="1188"/>
        <v>#DIV/0!</v>
      </c>
      <c r="L1577" s="111">
        <f t="shared" ref="L1577:M1577" si="1192">SUM(L1571:L1576)</f>
        <v>0</v>
      </c>
      <c r="M1577" s="111">
        <f t="shared" si="1192"/>
        <v>0</v>
      </c>
      <c r="N1577" s="111"/>
      <c r="O1577" s="112"/>
      <c r="P1577" s="111">
        <f t="shared" ref="P1577:AH1577" si="1193">SUM(P1571:P1576)</f>
        <v>0</v>
      </c>
      <c r="Q1577" s="111">
        <f t="shared" si="1193"/>
        <v>0</v>
      </c>
      <c r="R1577" s="111">
        <f t="shared" si="1193"/>
        <v>0</v>
      </c>
      <c r="S1577" s="111">
        <f t="shared" si="1193"/>
        <v>0</v>
      </c>
      <c r="T1577" s="111">
        <f t="shared" si="1193"/>
        <v>0</v>
      </c>
      <c r="U1577" s="111">
        <f t="shared" si="1193"/>
        <v>0</v>
      </c>
      <c r="V1577" s="111">
        <f t="shared" si="1193"/>
        <v>0</v>
      </c>
      <c r="W1577" s="111">
        <f t="shared" si="1193"/>
        <v>0</v>
      </c>
      <c r="X1577" s="111">
        <f t="shared" si="1193"/>
        <v>0</v>
      </c>
      <c r="Y1577" s="111">
        <f t="shared" si="1193"/>
        <v>0</v>
      </c>
      <c r="Z1577" s="111">
        <f t="shared" si="1193"/>
        <v>0</v>
      </c>
      <c r="AA1577" s="111">
        <f t="shared" si="1193"/>
        <v>0</v>
      </c>
      <c r="AB1577" s="111">
        <f t="shared" si="1193"/>
        <v>0</v>
      </c>
      <c r="AC1577" s="111">
        <f t="shared" si="1193"/>
        <v>0</v>
      </c>
      <c r="AD1577" s="111">
        <f t="shared" si="1193"/>
        <v>0</v>
      </c>
      <c r="AE1577" s="111">
        <f t="shared" si="1193"/>
        <v>0</v>
      </c>
      <c r="AF1577" s="111">
        <f t="shared" si="1193"/>
        <v>0</v>
      </c>
      <c r="AG1577" s="111">
        <f t="shared" si="1193"/>
        <v>0</v>
      </c>
      <c r="AH1577" s="111">
        <f t="shared" si="1193"/>
        <v>0</v>
      </c>
    </row>
    <row r="1578" hidden="1">
      <c r="A1578" s="109"/>
      <c r="B1578" s="93"/>
      <c r="C1578" s="94">
        <v>0.0</v>
      </c>
      <c r="D1578" s="94">
        <v>0.0</v>
      </c>
      <c r="E1578" s="96">
        <f t="shared" ref="E1578:E1583" si="1194">SUM(L1578*I1578)/60</f>
        <v>0</v>
      </c>
      <c r="F1578" s="94">
        <v>0.0</v>
      </c>
      <c r="G1578" s="94">
        <v>0.0</v>
      </c>
      <c r="H1578" s="94">
        <v>0.0</v>
      </c>
      <c r="I1578" s="94">
        <v>0.0</v>
      </c>
      <c r="J1578" s="95">
        <f t="shared" si="1187"/>
        <v>0</v>
      </c>
      <c r="K1578" s="87" t="str">
        <f t="shared" si="1188"/>
        <v>#DIV/0!</v>
      </c>
      <c r="L1578" s="94">
        <v>0.0</v>
      </c>
      <c r="M1578" s="94">
        <v>0.0</v>
      </c>
      <c r="N1578" s="94" t="s">
        <v>255</v>
      </c>
      <c r="O1578" s="110" t="str">
        <f t="shared" ref="O1578:O1583" si="1195">(E1578*N1578)</f>
        <v>#VALUE!</v>
      </c>
      <c r="P1578" s="94">
        <v>0.0</v>
      </c>
      <c r="Q1578" s="94">
        <v>0.0</v>
      </c>
      <c r="R1578" s="94">
        <v>0.0</v>
      </c>
      <c r="S1578" s="94">
        <v>0.0</v>
      </c>
      <c r="T1578" s="94">
        <v>0.0</v>
      </c>
      <c r="U1578" s="94">
        <v>0.0</v>
      </c>
      <c r="V1578" s="94">
        <v>0.0</v>
      </c>
      <c r="W1578" s="94">
        <v>0.0</v>
      </c>
      <c r="X1578" s="94">
        <v>0.0</v>
      </c>
      <c r="Y1578" s="94">
        <v>0.0</v>
      </c>
      <c r="Z1578" s="94">
        <v>0.0</v>
      </c>
      <c r="AA1578" s="94">
        <v>0.0</v>
      </c>
      <c r="AB1578" s="94">
        <v>0.0</v>
      </c>
      <c r="AC1578" s="94">
        <v>0.0</v>
      </c>
      <c r="AD1578" s="94">
        <v>0.0</v>
      </c>
      <c r="AE1578" s="94">
        <v>0.0</v>
      </c>
      <c r="AF1578" s="94">
        <v>0.0</v>
      </c>
      <c r="AG1578" s="94">
        <v>0.0</v>
      </c>
      <c r="AH1578" s="94">
        <v>0.0</v>
      </c>
    </row>
    <row r="1579" hidden="1">
      <c r="A1579" s="109"/>
      <c r="B1579" s="93"/>
      <c r="C1579" s="94">
        <v>0.0</v>
      </c>
      <c r="D1579" s="94">
        <v>0.0</v>
      </c>
      <c r="E1579" s="96">
        <f t="shared" si="1194"/>
        <v>0</v>
      </c>
      <c r="F1579" s="94">
        <v>0.0</v>
      </c>
      <c r="G1579" s="94">
        <v>0.0</v>
      </c>
      <c r="H1579" s="94">
        <v>0.0</v>
      </c>
      <c r="I1579" s="94">
        <v>0.0</v>
      </c>
      <c r="J1579" s="95">
        <f t="shared" si="1187"/>
        <v>0</v>
      </c>
      <c r="K1579" s="87" t="str">
        <f t="shared" si="1188"/>
        <v>#DIV/0!</v>
      </c>
      <c r="L1579" s="94">
        <v>0.0</v>
      </c>
      <c r="M1579" s="94">
        <v>0.0</v>
      </c>
      <c r="N1579" s="94" t="s">
        <v>255</v>
      </c>
      <c r="O1579" s="110" t="str">
        <f t="shared" si="1195"/>
        <v>#VALUE!</v>
      </c>
      <c r="P1579" s="94">
        <v>0.0</v>
      </c>
      <c r="Q1579" s="94">
        <v>0.0</v>
      </c>
      <c r="R1579" s="94">
        <v>0.0</v>
      </c>
      <c r="S1579" s="94">
        <v>0.0</v>
      </c>
      <c r="T1579" s="94">
        <v>0.0</v>
      </c>
      <c r="U1579" s="94">
        <v>0.0</v>
      </c>
      <c r="V1579" s="94">
        <v>0.0</v>
      </c>
      <c r="W1579" s="94">
        <v>0.0</v>
      </c>
      <c r="X1579" s="94">
        <v>0.0</v>
      </c>
      <c r="Y1579" s="94">
        <v>0.0</v>
      </c>
      <c r="Z1579" s="94">
        <v>0.0</v>
      </c>
      <c r="AA1579" s="94">
        <v>0.0</v>
      </c>
      <c r="AB1579" s="94">
        <v>0.0</v>
      </c>
      <c r="AC1579" s="94">
        <v>0.0</v>
      </c>
      <c r="AD1579" s="94">
        <v>0.0</v>
      </c>
      <c r="AE1579" s="94">
        <v>0.0</v>
      </c>
      <c r="AF1579" s="94">
        <v>0.0</v>
      </c>
      <c r="AG1579" s="94">
        <v>0.0</v>
      </c>
      <c r="AH1579" s="94">
        <v>0.0</v>
      </c>
    </row>
    <row r="1580" hidden="1">
      <c r="A1580" s="109"/>
      <c r="B1580" s="93"/>
      <c r="C1580" s="94">
        <v>0.0</v>
      </c>
      <c r="D1580" s="94">
        <v>0.0</v>
      </c>
      <c r="E1580" s="96">
        <f t="shared" si="1194"/>
        <v>0</v>
      </c>
      <c r="F1580" s="94">
        <v>0.0</v>
      </c>
      <c r="G1580" s="94">
        <v>0.0</v>
      </c>
      <c r="H1580" s="94">
        <v>0.0</v>
      </c>
      <c r="I1580" s="94">
        <v>0.0</v>
      </c>
      <c r="J1580" s="95">
        <f t="shared" si="1187"/>
        <v>0</v>
      </c>
      <c r="K1580" s="87" t="str">
        <f t="shared" si="1188"/>
        <v>#DIV/0!</v>
      </c>
      <c r="L1580" s="94">
        <v>0.0</v>
      </c>
      <c r="M1580" s="94">
        <v>0.0</v>
      </c>
      <c r="N1580" s="94" t="s">
        <v>255</v>
      </c>
      <c r="O1580" s="110" t="str">
        <f t="shared" si="1195"/>
        <v>#VALUE!</v>
      </c>
      <c r="P1580" s="94">
        <v>0.0</v>
      </c>
      <c r="Q1580" s="94">
        <v>0.0</v>
      </c>
      <c r="R1580" s="94">
        <v>0.0</v>
      </c>
      <c r="S1580" s="94">
        <v>0.0</v>
      </c>
      <c r="T1580" s="94">
        <v>0.0</v>
      </c>
      <c r="U1580" s="94">
        <v>0.0</v>
      </c>
      <c r="V1580" s="94">
        <v>0.0</v>
      </c>
      <c r="W1580" s="94">
        <v>0.0</v>
      </c>
      <c r="X1580" s="94">
        <v>0.0</v>
      </c>
      <c r="Y1580" s="94">
        <v>0.0</v>
      </c>
      <c r="Z1580" s="94">
        <v>0.0</v>
      </c>
      <c r="AA1580" s="94">
        <v>0.0</v>
      </c>
      <c r="AB1580" s="94">
        <v>0.0</v>
      </c>
      <c r="AC1580" s="94">
        <v>0.0</v>
      </c>
      <c r="AD1580" s="94">
        <v>0.0</v>
      </c>
      <c r="AE1580" s="94">
        <v>0.0</v>
      </c>
      <c r="AF1580" s="94">
        <v>0.0</v>
      </c>
      <c r="AG1580" s="94">
        <v>0.0</v>
      </c>
      <c r="AH1580" s="94">
        <v>0.0</v>
      </c>
    </row>
    <row r="1581" hidden="1">
      <c r="A1581" s="109"/>
      <c r="B1581" s="93"/>
      <c r="C1581" s="94">
        <v>0.0</v>
      </c>
      <c r="D1581" s="94">
        <v>0.0</v>
      </c>
      <c r="E1581" s="96">
        <f t="shared" si="1194"/>
        <v>0</v>
      </c>
      <c r="F1581" s="94">
        <v>0.0</v>
      </c>
      <c r="G1581" s="94">
        <v>0.0</v>
      </c>
      <c r="H1581" s="94">
        <v>0.0</v>
      </c>
      <c r="I1581" s="94">
        <v>0.0</v>
      </c>
      <c r="J1581" s="95">
        <f t="shared" si="1187"/>
        <v>0</v>
      </c>
      <c r="K1581" s="87" t="str">
        <f t="shared" si="1188"/>
        <v>#DIV/0!</v>
      </c>
      <c r="L1581" s="94">
        <v>0.0</v>
      </c>
      <c r="M1581" s="94">
        <v>0.0</v>
      </c>
      <c r="N1581" s="94" t="s">
        <v>255</v>
      </c>
      <c r="O1581" s="110" t="str">
        <f t="shared" si="1195"/>
        <v>#VALUE!</v>
      </c>
      <c r="P1581" s="94">
        <v>0.0</v>
      </c>
      <c r="Q1581" s="94">
        <v>0.0</v>
      </c>
      <c r="R1581" s="94">
        <v>0.0</v>
      </c>
      <c r="S1581" s="94">
        <v>0.0</v>
      </c>
      <c r="T1581" s="94">
        <v>0.0</v>
      </c>
      <c r="U1581" s="94">
        <v>0.0</v>
      </c>
      <c r="V1581" s="94">
        <v>0.0</v>
      </c>
      <c r="W1581" s="94">
        <v>0.0</v>
      </c>
      <c r="X1581" s="94">
        <v>0.0</v>
      </c>
      <c r="Y1581" s="94">
        <v>0.0</v>
      </c>
      <c r="Z1581" s="94">
        <v>0.0</v>
      </c>
      <c r="AA1581" s="94">
        <v>0.0</v>
      </c>
      <c r="AB1581" s="94">
        <v>0.0</v>
      </c>
      <c r="AC1581" s="94">
        <v>0.0</v>
      </c>
      <c r="AD1581" s="94">
        <v>0.0</v>
      </c>
      <c r="AE1581" s="94">
        <v>0.0</v>
      </c>
      <c r="AF1581" s="94">
        <v>0.0</v>
      </c>
      <c r="AG1581" s="94">
        <v>0.0</v>
      </c>
      <c r="AH1581" s="94">
        <v>0.0</v>
      </c>
    </row>
    <row r="1582" hidden="1">
      <c r="A1582" s="109"/>
      <c r="B1582" s="93"/>
      <c r="C1582" s="94">
        <v>0.0</v>
      </c>
      <c r="D1582" s="94">
        <v>0.0</v>
      </c>
      <c r="E1582" s="96">
        <f t="shared" si="1194"/>
        <v>0</v>
      </c>
      <c r="F1582" s="94">
        <v>0.0</v>
      </c>
      <c r="G1582" s="94">
        <v>0.0</v>
      </c>
      <c r="H1582" s="94">
        <v>0.0</v>
      </c>
      <c r="I1582" s="94">
        <v>0.0</v>
      </c>
      <c r="J1582" s="95">
        <f t="shared" si="1187"/>
        <v>0</v>
      </c>
      <c r="K1582" s="87" t="str">
        <f t="shared" si="1188"/>
        <v>#DIV/0!</v>
      </c>
      <c r="L1582" s="94">
        <v>0.0</v>
      </c>
      <c r="M1582" s="94">
        <v>0.0</v>
      </c>
      <c r="N1582" s="94" t="s">
        <v>255</v>
      </c>
      <c r="O1582" s="110" t="str">
        <f t="shared" si="1195"/>
        <v>#VALUE!</v>
      </c>
      <c r="P1582" s="94">
        <v>0.0</v>
      </c>
      <c r="Q1582" s="94">
        <v>0.0</v>
      </c>
      <c r="R1582" s="94">
        <v>0.0</v>
      </c>
      <c r="S1582" s="94">
        <v>0.0</v>
      </c>
      <c r="T1582" s="94">
        <v>0.0</v>
      </c>
      <c r="U1582" s="94">
        <v>0.0</v>
      </c>
      <c r="V1582" s="94">
        <v>0.0</v>
      </c>
      <c r="W1582" s="94">
        <v>0.0</v>
      </c>
      <c r="X1582" s="94">
        <v>0.0</v>
      </c>
      <c r="Y1582" s="94">
        <v>0.0</v>
      </c>
      <c r="Z1582" s="94">
        <v>0.0</v>
      </c>
      <c r="AA1582" s="94">
        <v>0.0</v>
      </c>
      <c r="AB1582" s="94">
        <v>0.0</v>
      </c>
      <c r="AC1582" s="94">
        <v>0.0</v>
      </c>
      <c r="AD1582" s="94">
        <v>0.0</v>
      </c>
      <c r="AE1582" s="94">
        <v>0.0</v>
      </c>
      <c r="AF1582" s="94">
        <v>0.0</v>
      </c>
      <c r="AG1582" s="94">
        <v>0.0</v>
      </c>
      <c r="AH1582" s="94">
        <v>0.0</v>
      </c>
    </row>
    <row r="1583" hidden="1">
      <c r="A1583" s="109"/>
      <c r="B1583" s="93"/>
      <c r="C1583" s="94">
        <v>0.0</v>
      </c>
      <c r="D1583" s="94">
        <v>0.0</v>
      </c>
      <c r="E1583" s="96">
        <f t="shared" si="1194"/>
        <v>0</v>
      </c>
      <c r="F1583" s="94">
        <v>0.0</v>
      </c>
      <c r="G1583" s="94">
        <v>0.0</v>
      </c>
      <c r="H1583" s="94">
        <v>0.0</v>
      </c>
      <c r="I1583" s="94">
        <v>0.0</v>
      </c>
      <c r="J1583" s="95">
        <f t="shared" si="1187"/>
        <v>0</v>
      </c>
      <c r="K1583" s="87" t="str">
        <f t="shared" si="1188"/>
        <v>#DIV/0!</v>
      </c>
      <c r="L1583" s="94">
        <v>0.0</v>
      </c>
      <c r="M1583" s="94">
        <v>0.0</v>
      </c>
      <c r="N1583" s="94" t="s">
        <v>255</v>
      </c>
      <c r="O1583" s="110" t="str">
        <f t="shared" si="1195"/>
        <v>#VALUE!</v>
      </c>
      <c r="P1583" s="94">
        <v>0.0</v>
      </c>
      <c r="Q1583" s="94">
        <v>0.0</v>
      </c>
      <c r="R1583" s="94">
        <v>0.0</v>
      </c>
      <c r="S1583" s="94">
        <v>0.0</v>
      </c>
      <c r="T1583" s="94">
        <v>0.0</v>
      </c>
      <c r="U1583" s="94">
        <v>0.0</v>
      </c>
      <c r="V1583" s="94">
        <v>0.0</v>
      </c>
      <c r="W1583" s="94">
        <v>0.0</v>
      </c>
      <c r="X1583" s="94">
        <v>0.0</v>
      </c>
      <c r="Y1583" s="94">
        <v>0.0</v>
      </c>
      <c r="Z1583" s="94">
        <v>0.0</v>
      </c>
      <c r="AA1583" s="94">
        <v>0.0</v>
      </c>
      <c r="AB1583" s="94">
        <v>0.0</v>
      </c>
      <c r="AC1583" s="94">
        <v>0.0</v>
      </c>
      <c r="AD1583" s="94">
        <v>0.0</v>
      </c>
      <c r="AE1583" s="94">
        <v>0.0</v>
      </c>
      <c r="AF1583" s="94">
        <v>0.0</v>
      </c>
      <c r="AG1583" s="94">
        <v>0.0</v>
      </c>
      <c r="AH1583" s="94">
        <v>0.0</v>
      </c>
    </row>
    <row r="1584" hidden="1">
      <c r="A1584" s="89" t="s">
        <v>185</v>
      </c>
      <c r="B1584" s="111"/>
      <c r="C1584" s="111">
        <f>SUM(C1578:C1583)</f>
        <v>0</v>
      </c>
      <c r="D1584" s="111">
        <f t="shared" ref="D1584:E1584" si="1196">SUM(D1578:D1583)/4</f>
        <v>0</v>
      </c>
      <c r="E1584" s="91">
        <f t="shared" si="1196"/>
        <v>0</v>
      </c>
      <c r="F1584" s="111">
        <f t="shared" ref="F1584:G1584" si="1197">SUM(F1578:F1583)</f>
        <v>0</v>
      </c>
      <c r="G1584" s="111">
        <f t="shared" si="1197"/>
        <v>0</v>
      </c>
      <c r="H1584" s="111"/>
      <c r="I1584" s="111">
        <f>SUM(I1578:I1583)</f>
        <v>0</v>
      </c>
      <c r="J1584" s="111">
        <f t="shared" si="1187"/>
        <v>0</v>
      </c>
      <c r="K1584" s="92" t="str">
        <f t="shared" si="1188"/>
        <v>#DIV/0!</v>
      </c>
      <c r="L1584" s="111">
        <f t="shared" ref="L1584:M1584" si="1198">SUM(L1578:L1583)</f>
        <v>0</v>
      </c>
      <c r="M1584" s="111">
        <f t="shared" si="1198"/>
        <v>0</v>
      </c>
      <c r="N1584" s="111"/>
      <c r="O1584" s="112"/>
      <c r="P1584" s="111">
        <f t="shared" ref="P1584:AH1584" si="1199">SUM(P1578:P1583)</f>
        <v>0</v>
      </c>
      <c r="Q1584" s="111">
        <f t="shared" si="1199"/>
        <v>0</v>
      </c>
      <c r="R1584" s="111">
        <f t="shared" si="1199"/>
        <v>0</v>
      </c>
      <c r="S1584" s="111">
        <f t="shared" si="1199"/>
        <v>0</v>
      </c>
      <c r="T1584" s="111">
        <f t="shared" si="1199"/>
        <v>0</v>
      </c>
      <c r="U1584" s="111">
        <f t="shared" si="1199"/>
        <v>0</v>
      </c>
      <c r="V1584" s="111">
        <f t="shared" si="1199"/>
        <v>0</v>
      </c>
      <c r="W1584" s="111">
        <f t="shared" si="1199"/>
        <v>0</v>
      </c>
      <c r="X1584" s="111">
        <f t="shared" si="1199"/>
        <v>0</v>
      </c>
      <c r="Y1584" s="111">
        <f t="shared" si="1199"/>
        <v>0</v>
      </c>
      <c r="Z1584" s="111">
        <f t="shared" si="1199"/>
        <v>0</v>
      </c>
      <c r="AA1584" s="111">
        <f t="shared" si="1199"/>
        <v>0</v>
      </c>
      <c r="AB1584" s="111">
        <f t="shared" si="1199"/>
        <v>0</v>
      </c>
      <c r="AC1584" s="111">
        <f t="shared" si="1199"/>
        <v>0</v>
      </c>
      <c r="AD1584" s="111">
        <f t="shared" si="1199"/>
        <v>0</v>
      </c>
      <c r="AE1584" s="111">
        <f t="shared" si="1199"/>
        <v>0</v>
      </c>
      <c r="AF1584" s="111">
        <f t="shared" si="1199"/>
        <v>0</v>
      </c>
      <c r="AG1584" s="111">
        <f t="shared" si="1199"/>
        <v>0</v>
      </c>
      <c r="AH1584" s="111">
        <f t="shared" si="1199"/>
        <v>0</v>
      </c>
    </row>
    <row r="1585">
      <c r="A1585" s="104" t="s">
        <v>342</v>
      </c>
    </row>
    <row r="1587" hidden="1">
      <c r="A1587" s="105"/>
      <c r="F1587" s="106" t="s">
        <v>251</v>
      </c>
      <c r="L1587" s="107" t="s">
        <v>252</v>
      </c>
      <c r="N1587" s="108" t="s">
        <v>253</v>
      </c>
    </row>
    <row r="1588" hidden="1">
      <c r="A1588" s="76" t="s">
        <v>148</v>
      </c>
      <c r="B1588" s="76" t="s">
        <v>149</v>
      </c>
      <c r="C1588" s="76" t="s">
        <v>150</v>
      </c>
      <c r="D1588" s="76" t="s">
        <v>13</v>
      </c>
      <c r="E1588" s="77" t="s">
        <v>151</v>
      </c>
      <c r="F1588" s="78" t="s">
        <v>15</v>
      </c>
      <c r="G1588" s="78" t="s">
        <v>152</v>
      </c>
      <c r="H1588" s="78" t="s">
        <v>153</v>
      </c>
      <c r="I1588" s="78" t="s">
        <v>154</v>
      </c>
      <c r="J1588" s="78" t="s">
        <v>155</v>
      </c>
      <c r="K1588" s="79" t="s">
        <v>156</v>
      </c>
      <c r="L1588" s="80" t="s">
        <v>157</v>
      </c>
      <c r="M1588" s="80" t="s">
        <v>158</v>
      </c>
      <c r="N1588" s="81" t="s">
        <v>254</v>
      </c>
      <c r="O1588" s="81" t="s">
        <v>151</v>
      </c>
      <c r="P1588" s="81" t="s">
        <v>160</v>
      </c>
      <c r="Q1588" s="81" t="s">
        <v>161</v>
      </c>
      <c r="R1588" s="81" t="s">
        <v>162</v>
      </c>
      <c r="S1588" s="81" t="s">
        <v>163</v>
      </c>
      <c r="T1588" s="81" t="s">
        <v>164</v>
      </c>
      <c r="U1588" s="81" t="s">
        <v>165</v>
      </c>
      <c r="V1588" s="81" t="s">
        <v>166</v>
      </c>
      <c r="W1588" s="81" t="s">
        <v>167</v>
      </c>
      <c r="X1588" s="81" t="s">
        <v>168</v>
      </c>
      <c r="Y1588" s="81" t="s">
        <v>169</v>
      </c>
      <c r="Z1588" s="81" t="s">
        <v>170</v>
      </c>
      <c r="AA1588" s="81" t="s">
        <v>171</v>
      </c>
      <c r="AB1588" s="81" t="s">
        <v>172</v>
      </c>
      <c r="AC1588" s="81" t="s">
        <v>173</v>
      </c>
      <c r="AD1588" s="81" t="s">
        <v>174</v>
      </c>
      <c r="AE1588" s="81" t="s">
        <v>175</v>
      </c>
      <c r="AF1588" s="81" t="s">
        <v>176</v>
      </c>
      <c r="AG1588" s="81" t="s">
        <v>177</v>
      </c>
      <c r="AH1588" s="81" t="s">
        <v>178</v>
      </c>
    </row>
    <row r="1589" hidden="1">
      <c r="A1589" s="109"/>
      <c r="B1589" s="93"/>
      <c r="C1589" s="94">
        <v>0.0</v>
      </c>
      <c r="D1589" s="94">
        <v>0.0</v>
      </c>
      <c r="E1589" s="96">
        <f t="shared" ref="E1589:E1594" si="1200">SUM(L1589*I1589)/60</f>
        <v>0</v>
      </c>
      <c r="F1589" s="94">
        <v>0.0</v>
      </c>
      <c r="G1589" s="94">
        <v>0.0</v>
      </c>
      <c r="H1589" s="94">
        <v>0.0</v>
      </c>
      <c r="I1589" s="94">
        <v>0.0</v>
      </c>
      <c r="J1589" s="95">
        <f t="shared" ref="J1589:J1602" si="1201">SUM(G1589-I1589)</f>
        <v>0</v>
      </c>
      <c r="K1589" s="87" t="str">
        <f t="shared" ref="K1589:K1602" si="1202">SUM(G1589/I1589)</f>
        <v>#DIV/0!</v>
      </c>
      <c r="L1589" s="94">
        <v>0.0</v>
      </c>
      <c r="M1589" s="94">
        <v>0.0</v>
      </c>
      <c r="N1589" s="94" t="s">
        <v>255</v>
      </c>
      <c r="O1589" s="110" t="str">
        <f t="shared" ref="O1589:O1594" si="1203">(E1589*N1589)</f>
        <v>#VALUE!</v>
      </c>
      <c r="P1589" s="94">
        <v>0.0</v>
      </c>
      <c r="Q1589" s="94">
        <v>0.0</v>
      </c>
      <c r="R1589" s="94">
        <v>0.0</v>
      </c>
      <c r="S1589" s="94">
        <v>0.0</v>
      </c>
      <c r="T1589" s="94">
        <v>0.0</v>
      </c>
      <c r="U1589" s="94">
        <v>0.0</v>
      </c>
      <c r="V1589" s="94">
        <v>0.0</v>
      </c>
      <c r="W1589" s="94">
        <v>0.0</v>
      </c>
      <c r="X1589" s="94">
        <v>0.0</v>
      </c>
      <c r="Y1589" s="94">
        <v>0.0</v>
      </c>
      <c r="Z1589" s="94">
        <v>0.0</v>
      </c>
      <c r="AA1589" s="94">
        <v>0.0</v>
      </c>
      <c r="AB1589" s="94">
        <v>0.0</v>
      </c>
      <c r="AC1589" s="94">
        <v>0.0</v>
      </c>
      <c r="AD1589" s="94">
        <v>0.0</v>
      </c>
      <c r="AE1589" s="94">
        <v>0.0</v>
      </c>
      <c r="AF1589" s="94">
        <v>0.0</v>
      </c>
      <c r="AG1589" s="94">
        <v>0.0</v>
      </c>
      <c r="AH1589" s="94">
        <v>0.0</v>
      </c>
    </row>
    <row r="1590" hidden="1">
      <c r="A1590" s="109"/>
      <c r="B1590" s="93"/>
      <c r="C1590" s="94">
        <v>0.0</v>
      </c>
      <c r="D1590" s="94">
        <v>0.0</v>
      </c>
      <c r="E1590" s="96">
        <f t="shared" si="1200"/>
        <v>0</v>
      </c>
      <c r="F1590" s="94">
        <v>0.0</v>
      </c>
      <c r="G1590" s="94">
        <v>0.0</v>
      </c>
      <c r="H1590" s="94">
        <v>0.0</v>
      </c>
      <c r="I1590" s="94">
        <v>0.0</v>
      </c>
      <c r="J1590" s="95">
        <f t="shared" si="1201"/>
        <v>0</v>
      </c>
      <c r="K1590" s="87" t="str">
        <f t="shared" si="1202"/>
        <v>#DIV/0!</v>
      </c>
      <c r="L1590" s="94">
        <v>0.0</v>
      </c>
      <c r="M1590" s="94">
        <v>0.0</v>
      </c>
      <c r="N1590" s="94" t="s">
        <v>255</v>
      </c>
      <c r="O1590" s="110" t="str">
        <f t="shared" si="1203"/>
        <v>#VALUE!</v>
      </c>
      <c r="P1590" s="94">
        <v>0.0</v>
      </c>
      <c r="Q1590" s="94">
        <v>0.0</v>
      </c>
      <c r="R1590" s="94">
        <v>0.0</v>
      </c>
      <c r="S1590" s="94">
        <v>0.0</v>
      </c>
      <c r="T1590" s="94">
        <v>0.0</v>
      </c>
      <c r="U1590" s="94">
        <v>0.0</v>
      </c>
      <c r="V1590" s="94">
        <v>0.0</v>
      </c>
      <c r="W1590" s="94">
        <v>0.0</v>
      </c>
      <c r="X1590" s="94">
        <v>0.0</v>
      </c>
      <c r="Y1590" s="94">
        <v>0.0</v>
      </c>
      <c r="Z1590" s="94">
        <v>0.0</v>
      </c>
      <c r="AA1590" s="94">
        <v>0.0</v>
      </c>
      <c r="AB1590" s="94">
        <v>0.0</v>
      </c>
      <c r="AC1590" s="94">
        <v>0.0</v>
      </c>
      <c r="AD1590" s="94">
        <v>0.0</v>
      </c>
      <c r="AE1590" s="94">
        <v>0.0</v>
      </c>
      <c r="AF1590" s="94">
        <v>0.0</v>
      </c>
      <c r="AG1590" s="94">
        <v>0.0</v>
      </c>
      <c r="AH1590" s="94">
        <v>0.0</v>
      </c>
    </row>
    <row r="1591" hidden="1">
      <c r="A1591" s="109"/>
      <c r="B1591" s="93"/>
      <c r="C1591" s="94">
        <v>0.0</v>
      </c>
      <c r="D1591" s="94">
        <v>0.0</v>
      </c>
      <c r="E1591" s="96">
        <f t="shared" si="1200"/>
        <v>0</v>
      </c>
      <c r="F1591" s="94">
        <v>0.0</v>
      </c>
      <c r="G1591" s="94">
        <v>0.0</v>
      </c>
      <c r="H1591" s="94">
        <v>0.0</v>
      </c>
      <c r="I1591" s="94">
        <v>0.0</v>
      </c>
      <c r="J1591" s="95">
        <f t="shared" si="1201"/>
        <v>0</v>
      </c>
      <c r="K1591" s="87" t="str">
        <f t="shared" si="1202"/>
        <v>#DIV/0!</v>
      </c>
      <c r="L1591" s="94">
        <v>0.0</v>
      </c>
      <c r="M1591" s="94">
        <v>0.0</v>
      </c>
      <c r="N1591" s="94" t="s">
        <v>255</v>
      </c>
      <c r="O1591" s="110" t="str">
        <f t="shared" si="1203"/>
        <v>#VALUE!</v>
      </c>
      <c r="P1591" s="94">
        <v>0.0</v>
      </c>
      <c r="Q1591" s="94">
        <v>0.0</v>
      </c>
      <c r="R1591" s="94">
        <v>0.0</v>
      </c>
      <c r="S1591" s="94">
        <v>0.0</v>
      </c>
      <c r="T1591" s="94">
        <v>0.0</v>
      </c>
      <c r="U1591" s="94">
        <v>0.0</v>
      </c>
      <c r="V1591" s="94">
        <v>0.0</v>
      </c>
      <c r="W1591" s="94">
        <v>0.0</v>
      </c>
      <c r="X1591" s="94">
        <v>0.0</v>
      </c>
      <c r="Y1591" s="94">
        <v>0.0</v>
      </c>
      <c r="Z1591" s="94">
        <v>0.0</v>
      </c>
      <c r="AA1591" s="94">
        <v>0.0</v>
      </c>
      <c r="AB1591" s="94">
        <v>0.0</v>
      </c>
      <c r="AC1591" s="94">
        <v>0.0</v>
      </c>
      <c r="AD1591" s="94">
        <v>0.0</v>
      </c>
      <c r="AE1591" s="94">
        <v>0.0</v>
      </c>
      <c r="AF1591" s="94">
        <v>0.0</v>
      </c>
      <c r="AG1591" s="94">
        <v>0.0</v>
      </c>
      <c r="AH1591" s="94">
        <v>0.0</v>
      </c>
    </row>
    <row r="1592" hidden="1">
      <c r="A1592" s="109"/>
      <c r="B1592" s="93"/>
      <c r="C1592" s="94">
        <v>0.0</v>
      </c>
      <c r="D1592" s="94">
        <v>0.0</v>
      </c>
      <c r="E1592" s="96">
        <f t="shared" si="1200"/>
        <v>0</v>
      </c>
      <c r="F1592" s="94">
        <v>0.0</v>
      </c>
      <c r="G1592" s="94">
        <v>0.0</v>
      </c>
      <c r="H1592" s="94">
        <v>0.0</v>
      </c>
      <c r="I1592" s="94">
        <v>0.0</v>
      </c>
      <c r="J1592" s="95">
        <f t="shared" si="1201"/>
        <v>0</v>
      </c>
      <c r="K1592" s="87" t="str">
        <f t="shared" si="1202"/>
        <v>#DIV/0!</v>
      </c>
      <c r="L1592" s="94">
        <v>0.0</v>
      </c>
      <c r="M1592" s="94">
        <v>0.0</v>
      </c>
      <c r="N1592" s="94" t="s">
        <v>255</v>
      </c>
      <c r="O1592" s="110" t="str">
        <f t="shared" si="1203"/>
        <v>#VALUE!</v>
      </c>
      <c r="P1592" s="94">
        <v>0.0</v>
      </c>
      <c r="Q1592" s="94">
        <v>0.0</v>
      </c>
      <c r="R1592" s="94">
        <v>0.0</v>
      </c>
      <c r="S1592" s="94">
        <v>0.0</v>
      </c>
      <c r="T1592" s="94">
        <v>0.0</v>
      </c>
      <c r="U1592" s="94">
        <v>0.0</v>
      </c>
      <c r="V1592" s="94">
        <v>0.0</v>
      </c>
      <c r="W1592" s="94">
        <v>0.0</v>
      </c>
      <c r="X1592" s="94">
        <v>0.0</v>
      </c>
      <c r="Y1592" s="94">
        <v>0.0</v>
      </c>
      <c r="Z1592" s="94">
        <v>0.0</v>
      </c>
      <c r="AA1592" s="94">
        <v>0.0</v>
      </c>
      <c r="AB1592" s="94">
        <v>0.0</v>
      </c>
      <c r="AC1592" s="94">
        <v>0.0</v>
      </c>
      <c r="AD1592" s="94">
        <v>0.0</v>
      </c>
      <c r="AE1592" s="94">
        <v>0.0</v>
      </c>
      <c r="AF1592" s="94">
        <v>0.0</v>
      </c>
      <c r="AG1592" s="94">
        <v>0.0</v>
      </c>
      <c r="AH1592" s="94">
        <v>0.0</v>
      </c>
    </row>
    <row r="1593" hidden="1">
      <c r="A1593" s="109"/>
      <c r="B1593" s="93"/>
      <c r="C1593" s="94">
        <v>0.0</v>
      </c>
      <c r="D1593" s="94">
        <v>0.0</v>
      </c>
      <c r="E1593" s="96">
        <f t="shared" si="1200"/>
        <v>0</v>
      </c>
      <c r="F1593" s="94">
        <v>0.0</v>
      </c>
      <c r="G1593" s="94">
        <v>0.0</v>
      </c>
      <c r="H1593" s="94">
        <v>0.0</v>
      </c>
      <c r="I1593" s="94">
        <v>0.0</v>
      </c>
      <c r="J1593" s="95">
        <f t="shared" si="1201"/>
        <v>0</v>
      </c>
      <c r="K1593" s="87" t="str">
        <f t="shared" si="1202"/>
        <v>#DIV/0!</v>
      </c>
      <c r="L1593" s="94">
        <v>0.0</v>
      </c>
      <c r="M1593" s="94">
        <v>0.0</v>
      </c>
      <c r="N1593" s="94" t="s">
        <v>255</v>
      </c>
      <c r="O1593" s="110" t="str">
        <f t="shared" si="1203"/>
        <v>#VALUE!</v>
      </c>
      <c r="P1593" s="94">
        <v>0.0</v>
      </c>
      <c r="Q1593" s="94">
        <v>0.0</v>
      </c>
      <c r="R1593" s="94">
        <v>0.0</v>
      </c>
      <c r="S1593" s="94">
        <v>0.0</v>
      </c>
      <c r="T1593" s="94">
        <v>0.0</v>
      </c>
      <c r="U1593" s="94">
        <v>0.0</v>
      </c>
      <c r="V1593" s="94">
        <v>0.0</v>
      </c>
      <c r="W1593" s="94">
        <v>0.0</v>
      </c>
      <c r="X1593" s="94">
        <v>0.0</v>
      </c>
      <c r="Y1593" s="94">
        <v>0.0</v>
      </c>
      <c r="Z1593" s="94">
        <v>0.0</v>
      </c>
      <c r="AA1593" s="94">
        <v>0.0</v>
      </c>
      <c r="AB1593" s="94">
        <v>0.0</v>
      </c>
      <c r="AC1593" s="94">
        <v>0.0</v>
      </c>
      <c r="AD1593" s="94">
        <v>0.0</v>
      </c>
      <c r="AE1593" s="94">
        <v>0.0</v>
      </c>
      <c r="AF1593" s="94">
        <v>0.0</v>
      </c>
      <c r="AG1593" s="94">
        <v>0.0</v>
      </c>
      <c r="AH1593" s="94">
        <v>0.0</v>
      </c>
    </row>
    <row r="1594" hidden="1">
      <c r="A1594" s="109"/>
      <c r="B1594" s="93"/>
      <c r="C1594" s="94">
        <v>0.0</v>
      </c>
      <c r="D1594" s="94">
        <v>0.0</v>
      </c>
      <c r="E1594" s="96">
        <f t="shared" si="1200"/>
        <v>0</v>
      </c>
      <c r="F1594" s="94">
        <v>0.0</v>
      </c>
      <c r="G1594" s="94">
        <v>0.0</v>
      </c>
      <c r="H1594" s="94">
        <v>0.0</v>
      </c>
      <c r="I1594" s="94">
        <v>0.0</v>
      </c>
      <c r="J1594" s="95">
        <f t="shared" si="1201"/>
        <v>0</v>
      </c>
      <c r="K1594" s="87" t="str">
        <f t="shared" si="1202"/>
        <v>#DIV/0!</v>
      </c>
      <c r="L1594" s="94">
        <v>0.0</v>
      </c>
      <c r="M1594" s="94">
        <v>0.0</v>
      </c>
      <c r="N1594" s="94" t="s">
        <v>255</v>
      </c>
      <c r="O1594" s="110" t="str">
        <f t="shared" si="1203"/>
        <v>#VALUE!</v>
      </c>
      <c r="P1594" s="94">
        <v>0.0</v>
      </c>
      <c r="Q1594" s="94">
        <v>0.0</v>
      </c>
      <c r="R1594" s="94">
        <v>0.0</v>
      </c>
      <c r="S1594" s="94">
        <v>0.0</v>
      </c>
      <c r="T1594" s="94">
        <v>0.0</v>
      </c>
      <c r="U1594" s="94">
        <v>0.0</v>
      </c>
      <c r="V1594" s="94">
        <v>0.0</v>
      </c>
      <c r="W1594" s="94">
        <v>0.0</v>
      </c>
      <c r="X1594" s="94">
        <v>0.0</v>
      </c>
      <c r="Y1594" s="94">
        <v>0.0</v>
      </c>
      <c r="Z1594" s="94">
        <v>0.0</v>
      </c>
      <c r="AA1594" s="94">
        <v>0.0</v>
      </c>
      <c r="AB1594" s="94">
        <v>0.0</v>
      </c>
      <c r="AC1594" s="94">
        <v>0.0</v>
      </c>
      <c r="AD1594" s="94">
        <v>0.0</v>
      </c>
      <c r="AE1594" s="94">
        <v>0.0</v>
      </c>
      <c r="AF1594" s="94">
        <v>0.0</v>
      </c>
      <c r="AG1594" s="94">
        <v>0.0</v>
      </c>
      <c r="AH1594" s="94">
        <v>0.0</v>
      </c>
    </row>
    <row r="1595" hidden="1">
      <c r="A1595" s="89"/>
      <c r="B1595" s="111"/>
      <c r="C1595" s="111">
        <f t="shared" ref="C1595:D1595" si="1204">SUM(C1589:C1594)/4</f>
        <v>0</v>
      </c>
      <c r="D1595" s="111">
        <f t="shared" si="1204"/>
        <v>0</v>
      </c>
      <c r="E1595" s="91">
        <f t="shared" ref="E1595:G1595" si="1205">SUM(E1589:E1594)</f>
        <v>0</v>
      </c>
      <c r="F1595" s="111">
        <f t="shared" si="1205"/>
        <v>0</v>
      </c>
      <c r="G1595" s="111">
        <f t="shared" si="1205"/>
        <v>0</v>
      </c>
      <c r="H1595" s="111"/>
      <c r="I1595" s="111">
        <f>SUM(I1589:I1594)</f>
        <v>0</v>
      </c>
      <c r="J1595" s="111">
        <f t="shared" si="1201"/>
        <v>0</v>
      </c>
      <c r="K1595" s="92" t="str">
        <f t="shared" si="1202"/>
        <v>#DIV/0!</v>
      </c>
      <c r="L1595" s="111">
        <f t="shared" ref="L1595:M1595" si="1206">SUM(L1589:L1594)</f>
        <v>0</v>
      </c>
      <c r="M1595" s="111">
        <f t="shared" si="1206"/>
        <v>0</v>
      </c>
      <c r="N1595" s="111"/>
      <c r="O1595" s="112"/>
      <c r="P1595" s="111">
        <f t="shared" ref="P1595:AH1595" si="1207">SUM(P1589:P1594)</f>
        <v>0</v>
      </c>
      <c r="Q1595" s="111">
        <f t="shared" si="1207"/>
        <v>0</v>
      </c>
      <c r="R1595" s="111">
        <f t="shared" si="1207"/>
        <v>0</v>
      </c>
      <c r="S1595" s="111">
        <f t="shared" si="1207"/>
        <v>0</v>
      </c>
      <c r="T1595" s="111">
        <f t="shared" si="1207"/>
        <v>0</v>
      </c>
      <c r="U1595" s="111">
        <f t="shared" si="1207"/>
        <v>0</v>
      </c>
      <c r="V1595" s="111">
        <f t="shared" si="1207"/>
        <v>0</v>
      </c>
      <c r="W1595" s="111">
        <f t="shared" si="1207"/>
        <v>0</v>
      </c>
      <c r="X1595" s="111">
        <f t="shared" si="1207"/>
        <v>0</v>
      </c>
      <c r="Y1595" s="111">
        <f t="shared" si="1207"/>
        <v>0</v>
      </c>
      <c r="Z1595" s="111">
        <f t="shared" si="1207"/>
        <v>0</v>
      </c>
      <c r="AA1595" s="111">
        <f t="shared" si="1207"/>
        <v>0</v>
      </c>
      <c r="AB1595" s="111">
        <f t="shared" si="1207"/>
        <v>0</v>
      </c>
      <c r="AC1595" s="111">
        <f t="shared" si="1207"/>
        <v>0</v>
      </c>
      <c r="AD1595" s="111">
        <f t="shared" si="1207"/>
        <v>0</v>
      </c>
      <c r="AE1595" s="111">
        <f t="shared" si="1207"/>
        <v>0</v>
      </c>
      <c r="AF1595" s="111">
        <f t="shared" si="1207"/>
        <v>0</v>
      </c>
      <c r="AG1595" s="111">
        <f t="shared" si="1207"/>
        <v>0</v>
      </c>
      <c r="AH1595" s="111">
        <f t="shared" si="1207"/>
        <v>0</v>
      </c>
    </row>
    <row r="1596" hidden="1">
      <c r="A1596" s="109"/>
      <c r="B1596" s="93"/>
      <c r="C1596" s="94">
        <v>0.0</v>
      </c>
      <c r="D1596" s="94">
        <v>0.0</v>
      </c>
      <c r="E1596" s="96">
        <f t="shared" ref="E1596:E1601" si="1208">SUM(L1596*I1596)/60</f>
        <v>0</v>
      </c>
      <c r="F1596" s="94">
        <v>0.0</v>
      </c>
      <c r="G1596" s="94">
        <v>0.0</v>
      </c>
      <c r="H1596" s="94">
        <v>0.0</v>
      </c>
      <c r="I1596" s="94">
        <v>0.0</v>
      </c>
      <c r="J1596" s="95">
        <f t="shared" si="1201"/>
        <v>0</v>
      </c>
      <c r="K1596" s="87" t="str">
        <f t="shared" si="1202"/>
        <v>#DIV/0!</v>
      </c>
      <c r="L1596" s="94">
        <v>0.0</v>
      </c>
      <c r="M1596" s="94">
        <v>0.0</v>
      </c>
      <c r="N1596" s="94" t="s">
        <v>255</v>
      </c>
      <c r="O1596" s="110" t="str">
        <f t="shared" ref="O1596:O1601" si="1209">(E1596*N1596)</f>
        <v>#VALUE!</v>
      </c>
      <c r="P1596" s="94">
        <v>0.0</v>
      </c>
      <c r="Q1596" s="94">
        <v>0.0</v>
      </c>
      <c r="R1596" s="94">
        <v>0.0</v>
      </c>
      <c r="S1596" s="94">
        <v>0.0</v>
      </c>
      <c r="T1596" s="94">
        <v>0.0</v>
      </c>
      <c r="U1596" s="94">
        <v>0.0</v>
      </c>
      <c r="V1596" s="94">
        <v>0.0</v>
      </c>
      <c r="W1596" s="94">
        <v>0.0</v>
      </c>
      <c r="X1596" s="94">
        <v>0.0</v>
      </c>
      <c r="Y1596" s="94">
        <v>0.0</v>
      </c>
      <c r="Z1596" s="94">
        <v>0.0</v>
      </c>
      <c r="AA1596" s="94">
        <v>0.0</v>
      </c>
      <c r="AB1596" s="94">
        <v>0.0</v>
      </c>
      <c r="AC1596" s="94">
        <v>0.0</v>
      </c>
      <c r="AD1596" s="94">
        <v>0.0</v>
      </c>
      <c r="AE1596" s="94">
        <v>0.0</v>
      </c>
      <c r="AF1596" s="94">
        <v>0.0</v>
      </c>
      <c r="AG1596" s="94">
        <v>0.0</v>
      </c>
      <c r="AH1596" s="94">
        <v>0.0</v>
      </c>
    </row>
    <row r="1597" hidden="1">
      <c r="A1597" s="109"/>
      <c r="B1597" s="93"/>
      <c r="C1597" s="94">
        <v>0.0</v>
      </c>
      <c r="D1597" s="94">
        <v>0.0</v>
      </c>
      <c r="E1597" s="96">
        <f t="shared" si="1208"/>
        <v>0</v>
      </c>
      <c r="F1597" s="94">
        <v>0.0</v>
      </c>
      <c r="G1597" s="94">
        <v>0.0</v>
      </c>
      <c r="H1597" s="94">
        <v>0.0</v>
      </c>
      <c r="I1597" s="94">
        <v>0.0</v>
      </c>
      <c r="J1597" s="95">
        <f t="shared" si="1201"/>
        <v>0</v>
      </c>
      <c r="K1597" s="87" t="str">
        <f t="shared" si="1202"/>
        <v>#DIV/0!</v>
      </c>
      <c r="L1597" s="94">
        <v>0.0</v>
      </c>
      <c r="M1597" s="94">
        <v>0.0</v>
      </c>
      <c r="N1597" s="94" t="s">
        <v>255</v>
      </c>
      <c r="O1597" s="110" t="str">
        <f t="shared" si="1209"/>
        <v>#VALUE!</v>
      </c>
      <c r="P1597" s="94">
        <v>0.0</v>
      </c>
      <c r="Q1597" s="94">
        <v>0.0</v>
      </c>
      <c r="R1597" s="94">
        <v>0.0</v>
      </c>
      <c r="S1597" s="94">
        <v>0.0</v>
      </c>
      <c r="T1597" s="94">
        <v>0.0</v>
      </c>
      <c r="U1597" s="94">
        <v>0.0</v>
      </c>
      <c r="V1597" s="94">
        <v>0.0</v>
      </c>
      <c r="W1597" s="94">
        <v>0.0</v>
      </c>
      <c r="X1597" s="94">
        <v>0.0</v>
      </c>
      <c r="Y1597" s="94">
        <v>0.0</v>
      </c>
      <c r="Z1597" s="94">
        <v>0.0</v>
      </c>
      <c r="AA1597" s="94">
        <v>0.0</v>
      </c>
      <c r="AB1597" s="94">
        <v>0.0</v>
      </c>
      <c r="AC1597" s="94">
        <v>0.0</v>
      </c>
      <c r="AD1597" s="94">
        <v>0.0</v>
      </c>
      <c r="AE1597" s="94">
        <v>0.0</v>
      </c>
      <c r="AF1597" s="94">
        <v>0.0</v>
      </c>
      <c r="AG1597" s="94">
        <v>0.0</v>
      </c>
      <c r="AH1597" s="94">
        <v>0.0</v>
      </c>
    </row>
    <row r="1598" hidden="1">
      <c r="A1598" s="109"/>
      <c r="B1598" s="93"/>
      <c r="C1598" s="94">
        <v>0.0</v>
      </c>
      <c r="D1598" s="94">
        <v>0.0</v>
      </c>
      <c r="E1598" s="96">
        <f t="shared" si="1208"/>
        <v>0</v>
      </c>
      <c r="F1598" s="94">
        <v>0.0</v>
      </c>
      <c r="G1598" s="94">
        <v>0.0</v>
      </c>
      <c r="H1598" s="94">
        <v>0.0</v>
      </c>
      <c r="I1598" s="94">
        <v>0.0</v>
      </c>
      <c r="J1598" s="95">
        <f t="shared" si="1201"/>
        <v>0</v>
      </c>
      <c r="K1598" s="87" t="str">
        <f t="shared" si="1202"/>
        <v>#DIV/0!</v>
      </c>
      <c r="L1598" s="94">
        <v>0.0</v>
      </c>
      <c r="M1598" s="94">
        <v>0.0</v>
      </c>
      <c r="N1598" s="94" t="s">
        <v>255</v>
      </c>
      <c r="O1598" s="110" t="str">
        <f t="shared" si="1209"/>
        <v>#VALUE!</v>
      </c>
      <c r="P1598" s="94">
        <v>0.0</v>
      </c>
      <c r="Q1598" s="94">
        <v>0.0</v>
      </c>
      <c r="R1598" s="94">
        <v>0.0</v>
      </c>
      <c r="S1598" s="94">
        <v>0.0</v>
      </c>
      <c r="T1598" s="94">
        <v>0.0</v>
      </c>
      <c r="U1598" s="94">
        <v>0.0</v>
      </c>
      <c r="V1598" s="94">
        <v>0.0</v>
      </c>
      <c r="W1598" s="94">
        <v>0.0</v>
      </c>
      <c r="X1598" s="94">
        <v>0.0</v>
      </c>
      <c r="Y1598" s="94">
        <v>0.0</v>
      </c>
      <c r="Z1598" s="94">
        <v>0.0</v>
      </c>
      <c r="AA1598" s="94">
        <v>0.0</v>
      </c>
      <c r="AB1598" s="94">
        <v>0.0</v>
      </c>
      <c r="AC1598" s="94">
        <v>0.0</v>
      </c>
      <c r="AD1598" s="94">
        <v>0.0</v>
      </c>
      <c r="AE1598" s="94">
        <v>0.0</v>
      </c>
      <c r="AF1598" s="94">
        <v>0.0</v>
      </c>
      <c r="AG1598" s="94">
        <v>0.0</v>
      </c>
      <c r="AH1598" s="94">
        <v>0.0</v>
      </c>
    </row>
    <row r="1599" hidden="1">
      <c r="A1599" s="109"/>
      <c r="B1599" s="93"/>
      <c r="C1599" s="94">
        <v>0.0</v>
      </c>
      <c r="D1599" s="94">
        <v>0.0</v>
      </c>
      <c r="E1599" s="96">
        <f t="shared" si="1208"/>
        <v>0</v>
      </c>
      <c r="F1599" s="94">
        <v>0.0</v>
      </c>
      <c r="G1599" s="94">
        <v>0.0</v>
      </c>
      <c r="H1599" s="94">
        <v>0.0</v>
      </c>
      <c r="I1599" s="94">
        <v>0.0</v>
      </c>
      <c r="J1599" s="95">
        <f t="shared" si="1201"/>
        <v>0</v>
      </c>
      <c r="K1599" s="87" t="str">
        <f t="shared" si="1202"/>
        <v>#DIV/0!</v>
      </c>
      <c r="L1599" s="94">
        <v>0.0</v>
      </c>
      <c r="M1599" s="94">
        <v>0.0</v>
      </c>
      <c r="N1599" s="94" t="s">
        <v>255</v>
      </c>
      <c r="O1599" s="110" t="str">
        <f t="shared" si="1209"/>
        <v>#VALUE!</v>
      </c>
      <c r="P1599" s="94">
        <v>0.0</v>
      </c>
      <c r="Q1599" s="94">
        <v>0.0</v>
      </c>
      <c r="R1599" s="94">
        <v>0.0</v>
      </c>
      <c r="S1599" s="94">
        <v>0.0</v>
      </c>
      <c r="T1599" s="94">
        <v>0.0</v>
      </c>
      <c r="U1599" s="94">
        <v>0.0</v>
      </c>
      <c r="V1599" s="94">
        <v>0.0</v>
      </c>
      <c r="W1599" s="94">
        <v>0.0</v>
      </c>
      <c r="X1599" s="94">
        <v>0.0</v>
      </c>
      <c r="Y1599" s="94">
        <v>0.0</v>
      </c>
      <c r="Z1599" s="94">
        <v>0.0</v>
      </c>
      <c r="AA1599" s="94">
        <v>0.0</v>
      </c>
      <c r="AB1599" s="94">
        <v>0.0</v>
      </c>
      <c r="AC1599" s="94">
        <v>0.0</v>
      </c>
      <c r="AD1599" s="94">
        <v>0.0</v>
      </c>
      <c r="AE1599" s="94">
        <v>0.0</v>
      </c>
      <c r="AF1599" s="94">
        <v>0.0</v>
      </c>
      <c r="AG1599" s="94">
        <v>0.0</v>
      </c>
      <c r="AH1599" s="94">
        <v>0.0</v>
      </c>
    </row>
    <row r="1600" hidden="1">
      <c r="A1600" s="109"/>
      <c r="B1600" s="93"/>
      <c r="C1600" s="94">
        <v>0.0</v>
      </c>
      <c r="D1600" s="94">
        <v>0.0</v>
      </c>
      <c r="E1600" s="96">
        <f t="shared" si="1208"/>
        <v>0</v>
      </c>
      <c r="F1600" s="94">
        <v>0.0</v>
      </c>
      <c r="G1600" s="94">
        <v>0.0</v>
      </c>
      <c r="H1600" s="94">
        <v>0.0</v>
      </c>
      <c r="I1600" s="94">
        <v>0.0</v>
      </c>
      <c r="J1600" s="95">
        <f t="shared" si="1201"/>
        <v>0</v>
      </c>
      <c r="K1600" s="87" t="str">
        <f t="shared" si="1202"/>
        <v>#DIV/0!</v>
      </c>
      <c r="L1600" s="94">
        <v>0.0</v>
      </c>
      <c r="M1600" s="94">
        <v>0.0</v>
      </c>
      <c r="N1600" s="94" t="s">
        <v>255</v>
      </c>
      <c r="O1600" s="110" t="str">
        <f t="shared" si="1209"/>
        <v>#VALUE!</v>
      </c>
      <c r="P1600" s="94">
        <v>0.0</v>
      </c>
      <c r="Q1600" s="94">
        <v>0.0</v>
      </c>
      <c r="R1600" s="94">
        <v>0.0</v>
      </c>
      <c r="S1600" s="94">
        <v>0.0</v>
      </c>
      <c r="T1600" s="94">
        <v>0.0</v>
      </c>
      <c r="U1600" s="94">
        <v>0.0</v>
      </c>
      <c r="V1600" s="94">
        <v>0.0</v>
      </c>
      <c r="W1600" s="94">
        <v>0.0</v>
      </c>
      <c r="X1600" s="94">
        <v>0.0</v>
      </c>
      <c r="Y1600" s="94">
        <v>0.0</v>
      </c>
      <c r="Z1600" s="94">
        <v>0.0</v>
      </c>
      <c r="AA1600" s="94">
        <v>0.0</v>
      </c>
      <c r="AB1600" s="94">
        <v>0.0</v>
      </c>
      <c r="AC1600" s="94">
        <v>0.0</v>
      </c>
      <c r="AD1600" s="94">
        <v>0.0</v>
      </c>
      <c r="AE1600" s="94">
        <v>0.0</v>
      </c>
      <c r="AF1600" s="94">
        <v>0.0</v>
      </c>
      <c r="AG1600" s="94">
        <v>0.0</v>
      </c>
      <c r="AH1600" s="94">
        <v>0.0</v>
      </c>
    </row>
    <row r="1601" hidden="1">
      <c r="A1601" s="109"/>
      <c r="B1601" s="93"/>
      <c r="C1601" s="94">
        <v>0.0</v>
      </c>
      <c r="D1601" s="94">
        <v>0.0</v>
      </c>
      <c r="E1601" s="96">
        <f t="shared" si="1208"/>
        <v>0</v>
      </c>
      <c r="F1601" s="94">
        <v>0.0</v>
      </c>
      <c r="G1601" s="94">
        <v>0.0</v>
      </c>
      <c r="H1601" s="94">
        <v>0.0</v>
      </c>
      <c r="I1601" s="94">
        <v>0.0</v>
      </c>
      <c r="J1601" s="95">
        <f t="shared" si="1201"/>
        <v>0</v>
      </c>
      <c r="K1601" s="87" t="str">
        <f t="shared" si="1202"/>
        <v>#DIV/0!</v>
      </c>
      <c r="L1601" s="94">
        <v>0.0</v>
      </c>
      <c r="M1601" s="94">
        <v>0.0</v>
      </c>
      <c r="N1601" s="94" t="s">
        <v>255</v>
      </c>
      <c r="O1601" s="110" t="str">
        <f t="shared" si="1209"/>
        <v>#VALUE!</v>
      </c>
      <c r="P1601" s="94">
        <v>0.0</v>
      </c>
      <c r="Q1601" s="94">
        <v>0.0</v>
      </c>
      <c r="R1601" s="94">
        <v>0.0</v>
      </c>
      <c r="S1601" s="94">
        <v>0.0</v>
      </c>
      <c r="T1601" s="94">
        <v>0.0</v>
      </c>
      <c r="U1601" s="94">
        <v>0.0</v>
      </c>
      <c r="V1601" s="94">
        <v>0.0</v>
      </c>
      <c r="W1601" s="94">
        <v>0.0</v>
      </c>
      <c r="X1601" s="94">
        <v>0.0</v>
      </c>
      <c r="Y1601" s="94">
        <v>0.0</v>
      </c>
      <c r="Z1601" s="94">
        <v>0.0</v>
      </c>
      <c r="AA1601" s="94">
        <v>0.0</v>
      </c>
      <c r="AB1601" s="94">
        <v>0.0</v>
      </c>
      <c r="AC1601" s="94">
        <v>0.0</v>
      </c>
      <c r="AD1601" s="94">
        <v>0.0</v>
      </c>
      <c r="AE1601" s="94">
        <v>0.0</v>
      </c>
      <c r="AF1601" s="94">
        <v>0.0</v>
      </c>
      <c r="AG1601" s="94">
        <v>0.0</v>
      </c>
      <c r="AH1601" s="94">
        <v>0.0</v>
      </c>
    </row>
    <row r="1602" hidden="1">
      <c r="A1602" s="89" t="s">
        <v>185</v>
      </c>
      <c r="B1602" s="111"/>
      <c r="C1602" s="111">
        <f>SUM(C1596:C1601)</f>
        <v>0</v>
      </c>
      <c r="D1602" s="111">
        <f t="shared" ref="D1602:E1602" si="1210">SUM(D1596:D1601)/4</f>
        <v>0</v>
      </c>
      <c r="E1602" s="91">
        <f t="shared" si="1210"/>
        <v>0</v>
      </c>
      <c r="F1602" s="111">
        <f t="shared" ref="F1602:G1602" si="1211">SUM(F1596:F1601)</f>
        <v>0</v>
      </c>
      <c r="G1602" s="111">
        <f t="shared" si="1211"/>
        <v>0</v>
      </c>
      <c r="H1602" s="111"/>
      <c r="I1602" s="111">
        <f>SUM(I1596:I1601)</f>
        <v>0</v>
      </c>
      <c r="J1602" s="111">
        <f t="shared" si="1201"/>
        <v>0</v>
      </c>
      <c r="K1602" s="92" t="str">
        <f t="shared" si="1202"/>
        <v>#DIV/0!</v>
      </c>
      <c r="L1602" s="111">
        <f t="shared" ref="L1602:M1602" si="1212">SUM(L1596:L1601)</f>
        <v>0</v>
      </c>
      <c r="M1602" s="111">
        <f t="shared" si="1212"/>
        <v>0</v>
      </c>
      <c r="N1602" s="111"/>
      <c r="O1602" s="112"/>
      <c r="P1602" s="111">
        <f t="shared" ref="P1602:AH1602" si="1213">SUM(P1596:P1601)</f>
        <v>0</v>
      </c>
      <c r="Q1602" s="111">
        <f t="shared" si="1213"/>
        <v>0</v>
      </c>
      <c r="R1602" s="111">
        <f t="shared" si="1213"/>
        <v>0</v>
      </c>
      <c r="S1602" s="111">
        <f t="shared" si="1213"/>
        <v>0</v>
      </c>
      <c r="T1602" s="111">
        <f t="shared" si="1213"/>
        <v>0</v>
      </c>
      <c r="U1602" s="111">
        <f t="shared" si="1213"/>
        <v>0</v>
      </c>
      <c r="V1602" s="111">
        <f t="shared" si="1213"/>
        <v>0</v>
      </c>
      <c r="W1602" s="111">
        <f t="shared" si="1213"/>
        <v>0</v>
      </c>
      <c r="X1602" s="111">
        <f t="shared" si="1213"/>
        <v>0</v>
      </c>
      <c r="Y1602" s="111">
        <f t="shared" si="1213"/>
        <v>0</v>
      </c>
      <c r="Z1602" s="111">
        <f t="shared" si="1213"/>
        <v>0</v>
      </c>
      <c r="AA1602" s="111">
        <f t="shared" si="1213"/>
        <v>0</v>
      </c>
      <c r="AB1602" s="111">
        <f t="shared" si="1213"/>
        <v>0</v>
      </c>
      <c r="AC1602" s="111">
        <f t="shared" si="1213"/>
        <v>0</v>
      </c>
      <c r="AD1602" s="111">
        <f t="shared" si="1213"/>
        <v>0</v>
      </c>
      <c r="AE1602" s="111">
        <f t="shared" si="1213"/>
        <v>0</v>
      </c>
      <c r="AF1602" s="111">
        <f t="shared" si="1213"/>
        <v>0</v>
      </c>
      <c r="AG1602" s="111">
        <f t="shared" si="1213"/>
        <v>0</v>
      </c>
      <c r="AH1602" s="111">
        <f t="shared" si="1213"/>
        <v>0</v>
      </c>
    </row>
    <row r="1603">
      <c r="A1603" s="104" t="s">
        <v>343</v>
      </c>
    </row>
    <row r="1605" hidden="1">
      <c r="A1605" s="105"/>
      <c r="F1605" s="106" t="s">
        <v>251</v>
      </c>
      <c r="L1605" s="107" t="s">
        <v>252</v>
      </c>
      <c r="N1605" s="108" t="s">
        <v>253</v>
      </c>
    </row>
    <row r="1606" hidden="1">
      <c r="A1606" s="76" t="s">
        <v>148</v>
      </c>
      <c r="B1606" s="76" t="s">
        <v>149</v>
      </c>
      <c r="C1606" s="76" t="s">
        <v>150</v>
      </c>
      <c r="D1606" s="76" t="s">
        <v>13</v>
      </c>
      <c r="E1606" s="77" t="s">
        <v>151</v>
      </c>
      <c r="F1606" s="78" t="s">
        <v>15</v>
      </c>
      <c r="G1606" s="78" t="s">
        <v>152</v>
      </c>
      <c r="H1606" s="78" t="s">
        <v>153</v>
      </c>
      <c r="I1606" s="78" t="s">
        <v>154</v>
      </c>
      <c r="J1606" s="78" t="s">
        <v>155</v>
      </c>
      <c r="K1606" s="79" t="s">
        <v>156</v>
      </c>
      <c r="L1606" s="80" t="s">
        <v>157</v>
      </c>
      <c r="M1606" s="80" t="s">
        <v>158</v>
      </c>
      <c r="N1606" s="81" t="s">
        <v>254</v>
      </c>
      <c r="O1606" s="81" t="s">
        <v>151</v>
      </c>
      <c r="P1606" s="81" t="s">
        <v>160</v>
      </c>
      <c r="Q1606" s="81" t="s">
        <v>161</v>
      </c>
      <c r="R1606" s="81" t="s">
        <v>162</v>
      </c>
      <c r="S1606" s="81" t="s">
        <v>163</v>
      </c>
      <c r="T1606" s="81" t="s">
        <v>164</v>
      </c>
      <c r="U1606" s="81" t="s">
        <v>165</v>
      </c>
      <c r="V1606" s="81" t="s">
        <v>166</v>
      </c>
      <c r="W1606" s="81" t="s">
        <v>167</v>
      </c>
      <c r="X1606" s="81" t="s">
        <v>168</v>
      </c>
      <c r="Y1606" s="81" t="s">
        <v>169</v>
      </c>
      <c r="Z1606" s="81" t="s">
        <v>170</v>
      </c>
      <c r="AA1606" s="81" t="s">
        <v>171</v>
      </c>
      <c r="AB1606" s="81" t="s">
        <v>172</v>
      </c>
      <c r="AC1606" s="81" t="s">
        <v>173</v>
      </c>
      <c r="AD1606" s="81" t="s">
        <v>174</v>
      </c>
      <c r="AE1606" s="81" t="s">
        <v>175</v>
      </c>
      <c r="AF1606" s="81" t="s">
        <v>176</v>
      </c>
      <c r="AG1606" s="81" t="s">
        <v>177</v>
      </c>
      <c r="AH1606" s="81" t="s">
        <v>178</v>
      </c>
    </row>
    <row r="1607" hidden="1">
      <c r="A1607" s="83" t="s">
        <v>28</v>
      </c>
      <c r="B1607" s="84" t="s">
        <v>179</v>
      </c>
      <c r="C1607" s="94">
        <v>0.0</v>
      </c>
      <c r="D1607" s="94">
        <v>0.0</v>
      </c>
      <c r="E1607" s="96">
        <f>SUM(L1607*I1607)/60</f>
        <v>0</v>
      </c>
      <c r="F1607" s="94">
        <v>0.0</v>
      </c>
      <c r="G1607" s="94">
        <v>0.0</v>
      </c>
      <c r="H1607" s="94">
        <v>0.0</v>
      </c>
      <c r="I1607" s="94">
        <v>0.0</v>
      </c>
      <c r="J1607" s="95">
        <f t="shared" ref="J1607:J1620" si="1214">SUM(G1607-I1607)</f>
        <v>0</v>
      </c>
      <c r="K1607" s="87" t="str">
        <f t="shared" ref="K1607:K1620" si="1215">SUM(G1607/I1607)</f>
        <v>#DIV/0!</v>
      </c>
      <c r="L1607" s="94">
        <v>0.0</v>
      </c>
      <c r="M1607" s="94">
        <v>0.0</v>
      </c>
      <c r="N1607" s="85">
        <v>0.0</v>
      </c>
      <c r="O1607" s="110">
        <f t="shared" ref="O1607:O1612" si="1216">(E1607*N1607)</f>
        <v>0</v>
      </c>
      <c r="P1607" s="94">
        <v>0.0</v>
      </c>
      <c r="Q1607" s="94">
        <v>0.0</v>
      </c>
      <c r="R1607" s="94">
        <v>0.0</v>
      </c>
      <c r="S1607" s="94">
        <v>0.0</v>
      </c>
      <c r="T1607" s="94">
        <v>0.0</v>
      </c>
      <c r="U1607" s="94">
        <v>0.0</v>
      </c>
      <c r="V1607" s="94">
        <v>0.0</v>
      </c>
      <c r="W1607" s="94">
        <v>0.0</v>
      </c>
      <c r="X1607" s="94">
        <v>0.0</v>
      </c>
      <c r="Y1607" s="94">
        <v>0.0</v>
      </c>
      <c r="Z1607" s="94">
        <v>0.0</v>
      </c>
      <c r="AA1607" s="94">
        <v>0.0</v>
      </c>
      <c r="AB1607" s="94">
        <v>0.0</v>
      </c>
      <c r="AC1607" s="94">
        <v>0.0</v>
      </c>
      <c r="AD1607" s="94">
        <v>0.0</v>
      </c>
      <c r="AE1607" s="94">
        <v>0.0</v>
      </c>
      <c r="AF1607" s="94">
        <v>0.0</v>
      </c>
      <c r="AG1607" s="94">
        <v>0.0</v>
      </c>
      <c r="AH1607" s="94">
        <v>0.0</v>
      </c>
    </row>
    <row r="1608" hidden="1">
      <c r="A1608" s="83" t="s">
        <v>28</v>
      </c>
      <c r="B1608" s="84" t="s">
        <v>180</v>
      </c>
      <c r="C1608" s="85">
        <v>1.0</v>
      </c>
      <c r="D1608" s="85">
        <v>1.0</v>
      </c>
      <c r="E1608" s="86">
        <v>19.0</v>
      </c>
      <c r="F1608" s="85">
        <v>1.0</v>
      </c>
      <c r="G1608" s="85">
        <v>76.0</v>
      </c>
      <c r="H1608" s="94">
        <v>0.0</v>
      </c>
      <c r="I1608" s="85">
        <v>57.0</v>
      </c>
      <c r="J1608" s="95">
        <f t="shared" si="1214"/>
        <v>19</v>
      </c>
      <c r="K1608" s="87">
        <f t="shared" si="1215"/>
        <v>1.333333333</v>
      </c>
      <c r="L1608" s="85">
        <v>16.0</v>
      </c>
      <c r="M1608" s="85">
        <v>99.0</v>
      </c>
      <c r="N1608" s="85">
        <v>0.0</v>
      </c>
      <c r="O1608" s="110">
        <f t="shared" si="1216"/>
        <v>0</v>
      </c>
      <c r="P1608" s="94">
        <v>0.0</v>
      </c>
      <c r="Q1608" s="94">
        <v>0.0</v>
      </c>
      <c r="R1608" s="94">
        <v>0.0</v>
      </c>
      <c r="S1608" s="94">
        <v>0.0</v>
      </c>
      <c r="T1608" s="94">
        <v>0.0</v>
      </c>
      <c r="U1608" s="94">
        <v>0.0</v>
      </c>
      <c r="V1608" s="94">
        <v>0.0</v>
      </c>
      <c r="W1608" s="94">
        <v>0.0</v>
      </c>
      <c r="X1608" s="94">
        <v>0.0</v>
      </c>
      <c r="Y1608" s="94">
        <v>0.0</v>
      </c>
      <c r="Z1608" s="94">
        <v>0.0</v>
      </c>
      <c r="AA1608" s="94">
        <v>0.0</v>
      </c>
      <c r="AB1608" s="94">
        <v>0.0</v>
      </c>
      <c r="AC1608" s="94">
        <v>0.0</v>
      </c>
      <c r="AD1608" s="94">
        <v>0.0</v>
      </c>
      <c r="AE1608" s="94">
        <v>0.0</v>
      </c>
      <c r="AF1608" s="94">
        <v>0.0</v>
      </c>
      <c r="AG1608" s="94">
        <v>0.0</v>
      </c>
      <c r="AH1608" s="94">
        <v>0.0</v>
      </c>
    </row>
    <row r="1609" hidden="1">
      <c r="A1609" s="83" t="s">
        <v>28</v>
      </c>
      <c r="B1609" s="84" t="s">
        <v>181</v>
      </c>
      <c r="C1609" s="85">
        <v>1.0</v>
      </c>
      <c r="D1609" s="85">
        <v>1.0</v>
      </c>
      <c r="E1609" s="86">
        <v>19.0</v>
      </c>
      <c r="F1609" s="85">
        <v>1.0</v>
      </c>
      <c r="G1609" s="85">
        <v>67.0</v>
      </c>
      <c r="H1609" s="85">
        <v>1.0</v>
      </c>
      <c r="I1609" s="85">
        <v>67.0</v>
      </c>
      <c r="J1609" s="95">
        <f t="shared" si="1214"/>
        <v>0</v>
      </c>
      <c r="K1609" s="87">
        <f t="shared" si="1215"/>
        <v>1</v>
      </c>
      <c r="L1609" s="85">
        <v>13.0</v>
      </c>
      <c r="M1609" s="85">
        <v>79.0</v>
      </c>
      <c r="N1609" s="85">
        <v>0.0</v>
      </c>
      <c r="O1609" s="110">
        <f t="shared" si="1216"/>
        <v>0</v>
      </c>
      <c r="P1609" s="94">
        <v>0.0</v>
      </c>
      <c r="Q1609" s="94">
        <v>0.0</v>
      </c>
      <c r="R1609" s="94">
        <v>0.0</v>
      </c>
      <c r="S1609" s="94">
        <v>0.0</v>
      </c>
      <c r="T1609" s="94">
        <v>0.0</v>
      </c>
      <c r="U1609" s="94">
        <v>0.0</v>
      </c>
      <c r="V1609" s="94">
        <v>0.0</v>
      </c>
      <c r="W1609" s="94">
        <v>0.0</v>
      </c>
      <c r="X1609" s="94">
        <v>0.0</v>
      </c>
      <c r="Y1609" s="94">
        <v>0.0</v>
      </c>
      <c r="Z1609" s="94">
        <v>0.0</v>
      </c>
      <c r="AA1609" s="94">
        <v>0.0</v>
      </c>
      <c r="AB1609" s="94">
        <v>0.0</v>
      </c>
      <c r="AC1609" s="94">
        <v>0.0</v>
      </c>
      <c r="AD1609" s="94">
        <v>0.0</v>
      </c>
      <c r="AE1609" s="94">
        <v>0.0</v>
      </c>
      <c r="AF1609" s="94">
        <v>0.0</v>
      </c>
      <c r="AG1609" s="94">
        <v>0.0</v>
      </c>
      <c r="AH1609" s="94">
        <v>0.0</v>
      </c>
    </row>
    <row r="1610" hidden="1">
      <c r="A1610" s="83" t="s">
        <v>28</v>
      </c>
      <c r="B1610" s="84" t="s">
        <v>182</v>
      </c>
      <c r="C1610" s="85">
        <v>1.0</v>
      </c>
      <c r="D1610" s="85">
        <v>1.0</v>
      </c>
      <c r="E1610" s="86">
        <v>19.0</v>
      </c>
      <c r="F1610" s="85">
        <v>0.0</v>
      </c>
      <c r="G1610" s="85">
        <v>67.0</v>
      </c>
      <c r="H1610" s="85">
        <v>0.0</v>
      </c>
      <c r="I1610" s="85">
        <v>69.0</v>
      </c>
      <c r="J1610" s="95">
        <f t="shared" si="1214"/>
        <v>-2</v>
      </c>
      <c r="K1610" s="87">
        <f t="shared" si="1215"/>
        <v>0.9710144928</v>
      </c>
      <c r="L1610" s="85">
        <v>13.0</v>
      </c>
      <c r="M1610" s="85">
        <v>88.0</v>
      </c>
      <c r="N1610" s="85">
        <v>0.0</v>
      </c>
      <c r="O1610" s="110">
        <f t="shared" si="1216"/>
        <v>0</v>
      </c>
      <c r="P1610" s="94">
        <v>0.0</v>
      </c>
      <c r="Q1610" s="94">
        <v>0.0</v>
      </c>
      <c r="R1610" s="94">
        <v>0.0</v>
      </c>
      <c r="S1610" s="94">
        <v>0.0</v>
      </c>
      <c r="T1610" s="94">
        <v>0.0</v>
      </c>
      <c r="U1610" s="94">
        <v>0.0</v>
      </c>
      <c r="V1610" s="94">
        <v>0.0</v>
      </c>
      <c r="W1610" s="94">
        <v>0.0</v>
      </c>
      <c r="X1610" s="94">
        <v>0.0</v>
      </c>
      <c r="Y1610" s="94">
        <v>0.0</v>
      </c>
      <c r="Z1610" s="94">
        <v>0.0</v>
      </c>
      <c r="AA1610" s="94">
        <v>0.0</v>
      </c>
      <c r="AB1610" s="94">
        <v>0.0</v>
      </c>
      <c r="AC1610" s="94">
        <v>0.0</v>
      </c>
      <c r="AD1610" s="94">
        <v>0.0</v>
      </c>
      <c r="AE1610" s="94">
        <v>0.0</v>
      </c>
      <c r="AF1610" s="94">
        <v>0.0</v>
      </c>
      <c r="AG1610" s="94">
        <v>0.0</v>
      </c>
      <c r="AH1610" s="94">
        <v>0.0</v>
      </c>
    </row>
    <row r="1611" hidden="1">
      <c r="A1611" s="83" t="s">
        <v>28</v>
      </c>
      <c r="B1611" s="84" t="s">
        <v>183</v>
      </c>
      <c r="C1611" s="85">
        <v>1.0</v>
      </c>
      <c r="D1611" s="85">
        <v>1.0</v>
      </c>
      <c r="E1611" s="86">
        <v>19.0</v>
      </c>
      <c r="F1611" s="85">
        <v>3.0</v>
      </c>
      <c r="G1611" s="85">
        <v>67.0</v>
      </c>
      <c r="H1611" s="85">
        <v>1.0</v>
      </c>
      <c r="I1611" s="85">
        <v>58.0</v>
      </c>
      <c r="J1611" s="95">
        <f t="shared" si="1214"/>
        <v>9</v>
      </c>
      <c r="K1611" s="87">
        <f t="shared" si="1215"/>
        <v>1.155172414</v>
      </c>
      <c r="L1611" s="85">
        <v>16.0</v>
      </c>
      <c r="M1611" s="85">
        <v>85.0</v>
      </c>
      <c r="N1611" s="85">
        <v>0.0</v>
      </c>
      <c r="O1611" s="110">
        <f t="shared" si="1216"/>
        <v>0</v>
      </c>
      <c r="P1611" s="94">
        <v>0.0</v>
      </c>
      <c r="Q1611" s="94">
        <v>0.0</v>
      </c>
      <c r="R1611" s="94">
        <v>0.0</v>
      </c>
      <c r="S1611" s="94">
        <v>0.0</v>
      </c>
      <c r="T1611" s="94">
        <v>0.0</v>
      </c>
      <c r="U1611" s="94">
        <v>0.0</v>
      </c>
      <c r="V1611" s="94">
        <v>0.0</v>
      </c>
      <c r="W1611" s="94">
        <v>0.0</v>
      </c>
      <c r="X1611" s="94">
        <v>0.0</v>
      </c>
      <c r="Y1611" s="94">
        <v>0.0</v>
      </c>
      <c r="Z1611" s="94">
        <v>0.0</v>
      </c>
      <c r="AA1611" s="94">
        <v>0.0</v>
      </c>
      <c r="AB1611" s="94">
        <v>0.0</v>
      </c>
      <c r="AC1611" s="94">
        <v>0.0</v>
      </c>
      <c r="AD1611" s="94">
        <v>0.0</v>
      </c>
      <c r="AE1611" s="94">
        <v>0.0</v>
      </c>
      <c r="AF1611" s="94">
        <v>0.0</v>
      </c>
      <c r="AG1611" s="94">
        <v>0.0</v>
      </c>
      <c r="AH1611" s="94">
        <v>0.0</v>
      </c>
    </row>
    <row r="1612" hidden="1">
      <c r="A1612" s="83" t="s">
        <v>28</v>
      </c>
      <c r="B1612" s="84" t="s">
        <v>184</v>
      </c>
      <c r="C1612" s="94">
        <v>0.0</v>
      </c>
      <c r="D1612" s="94">
        <v>0.0</v>
      </c>
      <c r="E1612" s="96">
        <f>SUM(L1612*I1612)/60</f>
        <v>0</v>
      </c>
      <c r="F1612" s="94">
        <v>0.0</v>
      </c>
      <c r="G1612" s="94">
        <v>0.0</v>
      </c>
      <c r="H1612" s="94">
        <v>0.0</v>
      </c>
      <c r="I1612" s="94">
        <v>0.0</v>
      </c>
      <c r="J1612" s="95">
        <f t="shared" si="1214"/>
        <v>0</v>
      </c>
      <c r="K1612" s="87" t="str">
        <f t="shared" si="1215"/>
        <v>#DIV/0!</v>
      </c>
      <c r="L1612" s="94">
        <v>0.0</v>
      </c>
      <c r="M1612" s="94">
        <v>0.0</v>
      </c>
      <c r="N1612" s="85">
        <v>0.0</v>
      </c>
      <c r="O1612" s="110">
        <f t="shared" si="1216"/>
        <v>0</v>
      </c>
      <c r="P1612" s="94">
        <v>0.0</v>
      </c>
      <c r="Q1612" s="94">
        <v>0.0</v>
      </c>
      <c r="R1612" s="94">
        <v>0.0</v>
      </c>
      <c r="S1612" s="94">
        <v>0.0</v>
      </c>
      <c r="T1612" s="94">
        <v>0.0</v>
      </c>
      <c r="U1612" s="94">
        <v>0.0</v>
      </c>
      <c r="V1612" s="94">
        <v>0.0</v>
      </c>
      <c r="W1612" s="94">
        <v>0.0</v>
      </c>
      <c r="X1612" s="94">
        <v>0.0</v>
      </c>
      <c r="Y1612" s="94">
        <v>0.0</v>
      </c>
      <c r="Z1612" s="94">
        <v>0.0</v>
      </c>
      <c r="AA1612" s="94">
        <v>0.0</v>
      </c>
      <c r="AB1612" s="94">
        <v>0.0</v>
      </c>
      <c r="AC1612" s="94">
        <v>0.0</v>
      </c>
      <c r="AD1612" s="94">
        <v>0.0</v>
      </c>
      <c r="AE1612" s="94">
        <v>0.0</v>
      </c>
      <c r="AF1612" s="94">
        <v>0.0</v>
      </c>
      <c r="AG1612" s="94">
        <v>0.0</v>
      </c>
      <c r="AH1612" s="94">
        <v>0.0</v>
      </c>
    </row>
    <row r="1613" hidden="1">
      <c r="A1613" s="89"/>
      <c r="B1613" s="111"/>
      <c r="C1613" s="111">
        <f t="shared" ref="C1613:D1613" si="1217">SUM(C1607:C1612)/4</f>
        <v>1</v>
      </c>
      <c r="D1613" s="111">
        <f t="shared" si="1217"/>
        <v>1</v>
      </c>
      <c r="E1613" s="91">
        <f t="shared" ref="E1613:G1613" si="1218">SUM(E1607:E1612)</f>
        <v>76</v>
      </c>
      <c r="F1613" s="111">
        <f t="shared" si="1218"/>
        <v>5</v>
      </c>
      <c r="G1613" s="111">
        <f t="shared" si="1218"/>
        <v>277</v>
      </c>
      <c r="H1613" s="111"/>
      <c r="I1613" s="111">
        <f>SUM(I1607:I1612)</f>
        <v>251</v>
      </c>
      <c r="J1613" s="111">
        <f t="shared" si="1214"/>
        <v>26</v>
      </c>
      <c r="K1613" s="92">
        <f t="shared" si="1215"/>
        <v>1.103585657</v>
      </c>
      <c r="L1613" s="111">
        <f t="shared" ref="L1613:M1613" si="1219">SUM(L1607:L1612)</f>
        <v>58</v>
      </c>
      <c r="M1613" s="111">
        <f t="shared" si="1219"/>
        <v>351</v>
      </c>
      <c r="N1613" s="111"/>
      <c r="O1613" s="112"/>
      <c r="P1613" s="111">
        <f t="shared" ref="P1613:AH1613" si="1220">SUM(P1607:P1612)</f>
        <v>0</v>
      </c>
      <c r="Q1613" s="111">
        <f t="shared" si="1220"/>
        <v>0</v>
      </c>
      <c r="R1613" s="111">
        <f t="shared" si="1220"/>
        <v>0</v>
      </c>
      <c r="S1613" s="111">
        <f t="shared" si="1220"/>
        <v>0</v>
      </c>
      <c r="T1613" s="111">
        <f t="shared" si="1220"/>
        <v>0</v>
      </c>
      <c r="U1613" s="111">
        <f t="shared" si="1220"/>
        <v>0</v>
      </c>
      <c r="V1613" s="111">
        <f t="shared" si="1220"/>
        <v>0</v>
      </c>
      <c r="W1613" s="111">
        <f t="shared" si="1220"/>
        <v>0</v>
      </c>
      <c r="X1613" s="111">
        <f t="shared" si="1220"/>
        <v>0</v>
      </c>
      <c r="Y1613" s="111">
        <f t="shared" si="1220"/>
        <v>0</v>
      </c>
      <c r="Z1613" s="111">
        <f t="shared" si="1220"/>
        <v>0</v>
      </c>
      <c r="AA1613" s="111">
        <f t="shared" si="1220"/>
        <v>0</v>
      </c>
      <c r="AB1613" s="111">
        <f t="shared" si="1220"/>
        <v>0</v>
      </c>
      <c r="AC1613" s="111">
        <f t="shared" si="1220"/>
        <v>0</v>
      </c>
      <c r="AD1613" s="111">
        <f t="shared" si="1220"/>
        <v>0</v>
      </c>
      <c r="AE1613" s="111">
        <f t="shared" si="1220"/>
        <v>0</v>
      </c>
      <c r="AF1613" s="111">
        <f t="shared" si="1220"/>
        <v>0</v>
      </c>
      <c r="AG1613" s="111">
        <f t="shared" si="1220"/>
        <v>0</v>
      </c>
      <c r="AH1613" s="111">
        <f t="shared" si="1220"/>
        <v>0</v>
      </c>
    </row>
    <row r="1614" hidden="1">
      <c r="A1614" s="83" t="s">
        <v>20</v>
      </c>
      <c r="B1614" s="84" t="s">
        <v>232</v>
      </c>
      <c r="C1614" s="85">
        <v>1.0</v>
      </c>
      <c r="D1614" s="94">
        <v>0.0</v>
      </c>
      <c r="E1614" s="86">
        <v>19.0</v>
      </c>
      <c r="F1614" s="94">
        <v>0.0</v>
      </c>
      <c r="G1614" s="85">
        <v>82.0</v>
      </c>
      <c r="H1614" s="94">
        <v>0.0</v>
      </c>
      <c r="I1614" s="85">
        <v>72.0</v>
      </c>
      <c r="J1614" s="95">
        <f t="shared" si="1214"/>
        <v>10</v>
      </c>
      <c r="K1614" s="87">
        <f t="shared" si="1215"/>
        <v>1.138888889</v>
      </c>
      <c r="L1614" s="85">
        <v>12.0</v>
      </c>
      <c r="M1614" s="85">
        <v>108.0</v>
      </c>
      <c r="N1614" s="85">
        <v>0.0</v>
      </c>
      <c r="O1614" s="110">
        <f t="shared" ref="O1614:O1619" si="1221">(E1614*N1614)</f>
        <v>0</v>
      </c>
      <c r="P1614" s="94">
        <v>0.0</v>
      </c>
      <c r="Q1614" s="94">
        <v>0.0</v>
      </c>
      <c r="R1614" s="94">
        <v>0.0</v>
      </c>
      <c r="S1614" s="94">
        <v>0.0</v>
      </c>
      <c r="T1614" s="94">
        <v>0.0</v>
      </c>
      <c r="U1614" s="94">
        <v>0.0</v>
      </c>
      <c r="V1614" s="94">
        <v>0.0</v>
      </c>
      <c r="W1614" s="94">
        <v>0.0</v>
      </c>
      <c r="X1614" s="94">
        <v>0.0</v>
      </c>
      <c r="Y1614" s="94">
        <v>0.0</v>
      </c>
      <c r="Z1614" s="94">
        <v>0.0</v>
      </c>
      <c r="AA1614" s="94">
        <v>0.0</v>
      </c>
      <c r="AB1614" s="94">
        <v>0.0</v>
      </c>
      <c r="AC1614" s="94">
        <v>0.0</v>
      </c>
      <c r="AD1614" s="94">
        <v>0.0</v>
      </c>
      <c r="AE1614" s="94">
        <v>0.0</v>
      </c>
      <c r="AF1614" s="94">
        <v>0.0</v>
      </c>
      <c r="AG1614" s="94">
        <v>0.0</v>
      </c>
      <c r="AH1614" s="94">
        <v>0.0</v>
      </c>
    </row>
    <row r="1615" hidden="1">
      <c r="A1615" s="83" t="s">
        <v>20</v>
      </c>
      <c r="B1615" s="84" t="s">
        <v>233</v>
      </c>
      <c r="C1615" s="85">
        <v>1.0</v>
      </c>
      <c r="D1615" s="94">
        <v>0.0</v>
      </c>
      <c r="E1615" s="86">
        <v>19.0</v>
      </c>
      <c r="F1615" s="94">
        <v>0.0</v>
      </c>
      <c r="G1615" s="85">
        <v>77.0</v>
      </c>
      <c r="H1615" s="85">
        <v>1.0</v>
      </c>
      <c r="I1615" s="85">
        <v>85.0</v>
      </c>
      <c r="J1615" s="95">
        <f t="shared" si="1214"/>
        <v>-8</v>
      </c>
      <c r="K1615" s="87">
        <f t="shared" si="1215"/>
        <v>0.9058823529</v>
      </c>
      <c r="L1615" s="85">
        <v>10.0</v>
      </c>
      <c r="M1615" s="85">
        <v>96.0</v>
      </c>
      <c r="N1615" s="85">
        <v>0.0</v>
      </c>
      <c r="O1615" s="110">
        <f t="shared" si="1221"/>
        <v>0</v>
      </c>
      <c r="P1615" s="94">
        <v>0.0</v>
      </c>
      <c r="Q1615" s="94">
        <v>0.0</v>
      </c>
      <c r="R1615" s="94">
        <v>0.0</v>
      </c>
      <c r="S1615" s="94">
        <v>0.0</v>
      </c>
      <c r="T1615" s="94">
        <v>0.0</v>
      </c>
      <c r="U1615" s="94">
        <v>0.0</v>
      </c>
      <c r="V1615" s="94">
        <v>0.0</v>
      </c>
      <c r="W1615" s="94">
        <v>0.0</v>
      </c>
      <c r="X1615" s="94">
        <v>0.0</v>
      </c>
      <c r="Y1615" s="94">
        <v>0.0</v>
      </c>
      <c r="Z1615" s="94">
        <v>0.0</v>
      </c>
      <c r="AA1615" s="94">
        <v>0.0</v>
      </c>
      <c r="AB1615" s="94">
        <v>0.0</v>
      </c>
      <c r="AC1615" s="94">
        <v>0.0</v>
      </c>
      <c r="AD1615" s="94">
        <v>0.0</v>
      </c>
      <c r="AE1615" s="94">
        <v>0.0</v>
      </c>
      <c r="AF1615" s="94">
        <v>0.0</v>
      </c>
      <c r="AG1615" s="94">
        <v>0.0</v>
      </c>
      <c r="AH1615" s="94">
        <v>0.0</v>
      </c>
    </row>
    <row r="1616" hidden="1">
      <c r="A1616" s="83" t="s">
        <v>20</v>
      </c>
      <c r="B1616" s="84" t="s">
        <v>234</v>
      </c>
      <c r="C1616" s="85">
        <v>1.0</v>
      </c>
      <c r="D1616" s="94">
        <v>0.0</v>
      </c>
      <c r="E1616" s="86">
        <v>19.0</v>
      </c>
      <c r="F1616" s="94">
        <v>0.0</v>
      </c>
      <c r="G1616" s="85">
        <v>53.0</v>
      </c>
      <c r="H1616" s="85">
        <v>1.0</v>
      </c>
      <c r="I1616" s="85">
        <v>81.0</v>
      </c>
      <c r="J1616" s="95">
        <f t="shared" si="1214"/>
        <v>-28</v>
      </c>
      <c r="K1616" s="87">
        <f t="shared" si="1215"/>
        <v>0.6543209877</v>
      </c>
      <c r="L1616" s="85">
        <v>10.0</v>
      </c>
      <c r="M1616" s="85">
        <v>67.0</v>
      </c>
      <c r="N1616" s="85">
        <v>0.0</v>
      </c>
      <c r="O1616" s="110">
        <f t="shared" si="1221"/>
        <v>0</v>
      </c>
      <c r="P1616" s="94">
        <v>0.0</v>
      </c>
      <c r="Q1616" s="94">
        <v>0.0</v>
      </c>
      <c r="R1616" s="94">
        <v>0.0</v>
      </c>
      <c r="S1616" s="94">
        <v>0.0</v>
      </c>
      <c r="T1616" s="94">
        <v>0.0</v>
      </c>
      <c r="U1616" s="94">
        <v>0.0</v>
      </c>
      <c r="V1616" s="94">
        <v>0.0</v>
      </c>
      <c r="W1616" s="94">
        <v>0.0</v>
      </c>
      <c r="X1616" s="94">
        <v>0.0</v>
      </c>
      <c r="Y1616" s="94">
        <v>0.0</v>
      </c>
      <c r="Z1616" s="94">
        <v>0.0</v>
      </c>
      <c r="AA1616" s="94">
        <v>0.0</v>
      </c>
      <c r="AB1616" s="94">
        <v>0.0</v>
      </c>
      <c r="AC1616" s="94">
        <v>0.0</v>
      </c>
      <c r="AD1616" s="94">
        <v>0.0</v>
      </c>
      <c r="AE1616" s="94">
        <v>0.0</v>
      </c>
      <c r="AF1616" s="94">
        <v>0.0</v>
      </c>
      <c r="AG1616" s="94">
        <v>0.0</v>
      </c>
      <c r="AH1616" s="94">
        <v>0.0</v>
      </c>
    </row>
    <row r="1617" hidden="1">
      <c r="A1617" s="83" t="s">
        <v>20</v>
      </c>
      <c r="B1617" s="84" t="s">
        <v>235</v>
      </c>
      <c r="C1617" s="85">
        <v>1.0</v>
      </c>
      <c r="D1617" s="94">
        <v>0.0</v>
      </c>
      <c r="E1617" s="86">
        <v>19.0</v>
      </c>
      <c r="F1617" s="85">
        <v>2.0</v>
      </c>
      <c r="G1617" s="85">
        <v>33.0</v>
      </c>
      <c r="H1617" s="85">
        <v>1.0</v>
      </c>
      <c r="I1617" s="85">
        <v>53.0</v>
      </c>
      <c r="J1617" s="95">
        <f t="shared" si="1214"/>
        <v>-20</v>
      </c>
      <c r="K1617" s="87">
        <f t="shared" si="1215"/>
        <v>0.6226415094</v>
      </c>
      <c r="L1617" s="85">
        <v>17.0</v>
      </c>
      <c r="M1617" s="85">
        <v>44.0</v>
      </c>
      <c r="N1617" s="85">
        <v>0.0</v>
      </c>
      <c r="O1617" s="110">
        <f t="shared" si="1221"/>
        <v>0</v>
      </c>
      <c r="P1617" s="94">
        <v>0.0</v>
      </c>
      <c r="Q1617" s="94">
        <v>0.0</v>
      </c>
      <c r="R1617" s="94">
        <v>0.0</v>
      </c>
      <c r="S1617" s="94">
        <v>0.0</v>
      </c>
      <c r="T1617" s="94">
        <v>0.0</v>
      </c>
      <c r="U1617" s="94">
        <v>0.0</v>
      </c>
      <c r="V1617" s="94">
        <v>0.0</v>
      </c>
      <c r="W1617" s="94">
        <v>0.0</v>
      </c>
      <c r="X1617" s="94">
        <v>0.0</v>
      </c>
      <c r="Y1617" s="94">
        <v>0.0</v>
      </c>
      <c r="Z1617" s="94">
        <v>0.0</v>
      </c>
      <c r="AA1617" s="94">
        <v>0.0</v>
      </c>
      <c r="AB1617" s="94">
        <v>0.0</v>
      </c>
      <c r="AC1617" s="94">
        <v>0.0</v>
      </c>
      <c r="AD1617" s="94">
        <v>0.0</v>
      </c>
      <c r="AE1617" s="94">
        <v>0.0</v>
      </c>
      <c r="AF1617" s="94">
        <v>0.0</v>
      </c>
      <c r="AG1617" s="94">
        <v>0.0</v>
      </c>
      <c r="AH1617" s="94">
        <v>0.0</v>
      </c>
    </row>
    <row r="1618" hidden="1">
      <c r="A1618" s="83" t="s">
        <v>20</v>
      </c>
      <c r="B1618" s="84" t="s">
        <v>236</v>
      </c>
      <c r="C1618" s="94">
        <v>0.0</v>
      </c>
      <c r="D1618" s="94">
        <v>0.0</v>
      </c>
      <c r="E1618" s="96">
        <f t="shared" ref="E1618:E1619" si="1222">SUM(L1618*I1618)/60</f>
        <v>0</v>
      </c>
      <c r="F1618" s="94">
        <v>0.0</v>
      </c>
      <c r="G1618" s="94">
        <v>0.0</v>
      </c>
      <c r="H1618" s="94">
        <v>0.0</v>
      </c>
      <c r="I1618" s="94">
        <v>0.0</v>
      </c>
      <c r="J1618" s="95">
        <f t="shared" si="1214"/>
        <v>0</v>
      </c>
      <c r="K1618" s="87" t="str">
        <f t="shared" si="1215"/>
        <v>#DIV/0!</v>
      </c>
      <c r="L1618" s="85">
        <v>0.0</v>
      </c>
      <c r="M1618" s="85">
        <v>0.0</v>
      </c>
      <c r="N1618" s="85">
        <v>0.0</v>
      </c>
      <c r="O1618" s="110">
        <f t="shared" si="1221"/>
        <v>0</v>
      </c>
      <c r="P1618" s="94">
        <v>0.0</v>
      </c>
      <c r="Q1618" s="94">
        <v>0.0</v>
      </c>
      <c r="R1618" s="94">
        <v>0.0</v>
      </c>
      <c r="S1618" s="94">
        <v>0.0</v>
      </c>
      <c r="T1618" s="94">
        <v>0.0</v>
      </c>
      <c r="U1618" s="94">
        <v>0.0</v>
      </c>
      <c r="V1618" s="94">
        <v>0.0</v>
      </c>
      <c r="W1618" s="94">
        <v>0.0</v>
      </c>
      <c r="X1618" s="94">
        <v>0.0</v>
      </c>
      <c r="Y1618" s="94">
        <v>0.0</v>
      </c>
      <c r="Z1618" s="94">
        <v>0.0</v>
      </c>
      <c r="AA1618" s="94">
        <v>0.0</v>
      </c>
      <c r="AB1618" s="94">
        <v>0.0</v>
      </c>
      <c r="AC1618" s="94">
        <v>0.0</v>
      </c>
      <c r="AD1618" s="94">
        <v>0.0</v>
      </c>
      <c r="AE1618" s="94">
        <v>0.0</v>
      </c>
      <c r="AF1618" s="94">
        <v>0.0</v>
      </c>
      <c r="AG1618" s="94">
        <v>0.0</v>
      </c>
      <c r="AH1618" s="94">
        <v>0.0</v>
      </c>
    </row>
    <row r="1619" hidden="1">
      <c r="A1619" s="83" t="s">
        <v>20</v>
      </c>
      <c r="B1619" s="93"/>
      <c r="C1619" s="94">
        <v>0.0</v>
      </c>
      <c r="D1619" s="94">
        <v>0.0</v>
      </c>
      <c r="E1619" s="96">
        <f t="shared" si="1222"/>
        <v>0</v>
      </c>
      <c r="F1619" s="94">
        <v>0.0</v>
      </c>
      <c r="G1619" s="94">
        <v>0.0</v>
      </c>
      <c r="H1619" s="94">
        <v>0.0</v>
      </c>
      <c r="I1619" s="94">
        <v>0.0</v>
      </c>
      <c r="J1619" s="95">
        <f t="shared" si="1214"/>
        <v>0</v>
      </c>
      <c r="K1619" s="87" t="str">
        <f t="shared" si="1215"/>
        <v>#DIV/0!</v>
      </c>
      <c r="L1619" s="94">
        <v>0.0</v>
      </c>
      <c r="M1619" s="94">
        <v>0.0</v>
      </c>
      <c r="N1619" s="85">
        <v>0.0</v>
      </c>
      <c r="O1619" s="110">
        <f t="shared" si="1221"/>
        <v>0</v>
      </c>
      <c r="P1619" s="94">
        <v>0.0</v>
      </c>
      <c r="Q1619" s="94">
        <v>0.0</v>
      </c>
      <c r="R1619" s="94">
        <v>0.0</v>
      </c>
      <c r="S1619" s="94">
        <v>0.0</v>
      </c>
      <c r="T1619" s="94">
        <v>0.0</v>
      </c>
      <c r="U1619" s="94">
        <v>0.0</v>
      </c>
      <c r="V1619" s="94">
        <v>0.0</v>
      </c>
      <c r="W1619" s="94">
        <v>0.0</v>
      </c>
      <c r="X1619" s="94">
        <v>0.0</v>
      </c>
      <c r="Y1619" s="94">
        <v>0.0</v>
      </c>
      <c r="Z1619" s="94">
        <v>0.0</v>
      </c>
      <c r="AA1619" s="94">
        <v>0.0</v>
      </c>
      <c r="AB1619" s="94">
        <v>0.0</v>
      </c>
      <c r="AC1619" s="94">
        <v>0.0</v>
      </c>
      <c r="AD1619" s="94">
        <v>0.0</v>
      </c>
      <c r="AE1619" s="94">
        <v>0.0</v>
      </c>
      <c r="AF1619" s="94">
        <v>0.0</v>
      </c>
      <c r="AG1619" s="94">
        <v>0.0</v>
      </c>
      <c r="AH1619" s="94">
        <v>0.0</v>
      </c>
    </row>
    <row r="1620" hidden="1">
      <c r="A1620" s="89" t="s">
        <v>185</v>
      </c>
      <c r="B1620" s="111"/>
      <c r="C1620" s="111">
        <f>SUM(C1614:C1619)</f>
        <v>4</v>
      </c>
      <c r="D1620" s="111">
        <f t="shared" ref="D1620:E1620" si="1223">SUM(D1614:D1619)/4</f>
        <v>0</v>
      </c>
      <c r="E1620" s="91">
        <f t="shared" si="1223"/>
        <v>19</v>
      </c>
      <c r="F1620" s="111">
        <f t="shared" ref="F1620:G1620" si="1224">SUM(F1614:F1619)</f>
        <v>2</v>
      </c>
      <c r="G1620" s="111">
        <f t="shared" si="1224"/>
        <v>245</v>
      </c>
      <c r="H1620" s="111"/>
      <c r="I1620" s="111">
        <f>SUM(I1614:I1619)</f>
        <v>291</v>
      </c>
      <c r="J1620" s="111">
        <f t="shared" si="1214"/>
        <v>-46</v>
      </c>
      <c r="K1620" s="92">
        <f t="shared" si="1215"/>
        <v>0.8419243986</v>
      </c>
      <c r="L1620" s="111">
        <f t="shared" ref="L1620:M1620" si="1225">SUM(L1614:L1619)</f>
        <v>49</v>
      </c>
      <c r="M1620" s="111">
        <f t="shared" si="1225"/>
        <v>315</v>
      </c>
      <c r="N1620" s="111"/>
      <c r="O1620" s="112"/>
      <c r="P1620" s="111">
        <f t="shared" ref="P1620:AH1620" si="1226">SUM(P1614:P1619)</f>
        <v>0</v>
      </c>
      <c r="Q1620" s="111">
        <f t="shared" si="1226"/>
        <v>0</v>
      </c>
      <c r="R1620" s="111">
        <f t="shared" si="1226"/>
        <v>0</v>
      </c>
      <c r="S1620" s="111">
        <f t="shared" si="1226"/>
        <v>0</v>
      </c>
      <c r="T1620" s="111">
        <f t="shared" si="1226"/>
        <v>0</v>
      </c>
      <c r="U1620" s="111">
        <f t="shared" si="1226"/>
        <v>0</v>
      </c>
      <c r="V1620" s="111">
        <f t="shared" si="1226"/>
        <v>0</v>
      </c>
      <c r="W1620" s="111">
        <f t="shared" si="1226"/>
        <v>0</v>
      </c>
      <c r="X1620" s="111">
        <f t="shared" si="1226"/>
        <v>0</v>
      </c>
      <c r="Y1620" s="111">
        <f t="shared" si="1226"/>
        <v>0</v>
      </c>
      <c r="Z1620" s="111">
        <f t="shared" si="1226"/>
        <v>0</v>
      </c>
      <c r="AA1620" s="111">
        <f t="shared" si="1226"/>
        <v>0</v>
      </c>
      <c r="AB1620" s="111">
        <f t="shared" si="1226"/>
        <v>0</v>
      </c>
      <c r="AC1620" s="111">
        <f t="shared" si="1226"/>
        <v>0</v>
      </c>
      <c r="AD1620" s="111">
        <f t="shared" si="1226"/>
        <v>0</v>
      </c>
      <c r="AE1620" s="111">
        <f t="shared" si="1226"/>
        <v>0</v>
      </c>
      <c r="AF1620" s="111">
        <f t="shared" si="1226"/>
        <v>0</v>
      </c>
      <c r="AG1620" s="111">
        <f t="shared" si="1226"/>
        <v>0</v>
      </c>
      <c r="AH1620" s="111">
        <f t="shared" si="1226"/>
        <v>0</v>
      </c>
    </row>
    <row r="1621">
      <c r="A1621" s="104" t="s">
        <v>344</v>
      </c>
    </row>
    <row r="1623" hidden="1">
      <c r="A1623" s="105"/>
      <c r="F1623" s="106" t="s">
        <v>251</v>
      </c>
      <c r="L1623" s="107" t="s">
        <v>252</v>
      </c>
      <c r="N1623" s="108" t="s">
        <v>253</v>
      </c>
    </row>
    <row r="1624" hidden="1">
      <c r="A1624" s="76" t="s">
        <v>148</v>
      </c>
      <c r="B1624" s="76" t="s">
        <v>149</v>
      </c>
      <c r="C1624" s="76" t="s">
        <v>150</v>
      </c>
      <c r="D1624" s="76" t="s">
        <v>13</v>
      </c>
      <c r="E1624" s="77" t="s">
        <v>151</v>
      </c>
      <c r="F1624" s="78" t="s">
        <v>15</v>
      </c>
      <c r="G1624" s="78" t="s">
        <v>152</v>
      </c>
      <c r="H1624" s="78" t="s">
        <v>153</v>
      </c>
      <c r="I1624" s="78" t="s">
        <v>154</v>
      </c>
      <c r="J1624" s="78" t="s">
        <v>155</v>
      </c>
      <c r="K1624" s="79" t="s">
        <v>156</v>
      </c>
      <c r="L1624" s="80" t="s">
        <v>157</v>
      </c>
      <c r="M1624" s="80" t="s">
        <v>158</v>
      </c>
      <c r="N1624" s="81" t="s">
        <v>254</v>
      </c>
      <c r="O1624" s="81" t="s">
        <v>151</v>
      </c>
      <c r="P1624" s="81" t="s">
        <v>160</v>
      </c>
      <c r="Q1624" s="81" t="s">
        <v>161</v>
      </c>
      <c r="R1624" s="81" t="s">
        <v>162</v>
      </c>
      <c r="S1624" s="81" t="s">
        <v>163</v>
      </c>
      <c r="T1624" s="81" t="s">
        <v>164</v>
      </c>
      <c r="U1624" s="81" t="s">
        <v>165</v>
      </c>
      <c r="V1624" s="81" t="s">
        <v>166</v>
      </c>
      <c r="W1624" s="81" t="s">
        <v>167</v>
      </c>
      <c r="X1624" s="81" t="s">
        <v>168</v>
      </c>
      <c r="Y1624" s="81" t="s">
        <v>169</v>
      </c>
      <c r="Z1624" s="81" t="s">
        <v>170</v>
      </c>
      <c r="AA1624" s="81" t="s">
        <v>171</v>
      </c>
      <c r="AB1624" s="81" t="s">
        <v>172</v>
      </c>
      <c r="AC1624" s="81" t="s">
        <v>173</v>
      </c>
      <c r="AD1624" s="81" t="s">
        <v>174</v>
      </c>
      <c r="AE1624" s="81" t="s">
        <v>175</v>
      </c>
      <c r="AF1624" s="81" t="s">
        <v>176</v>
      </c>
      <c r="AG1624" s="81" t="s">
        <v>177</v>
      </c>
      <c r="AH1624" s="81" t="s">
        <v>178</v>
      </c>
    </row>
    <row r="1625" hidden="1">
      <c r="A1625" s="83" t="s">
        <v>28</v>
      </c>
      <c r="B1625" s="84" t="s">
        <v>179</v>
      </c>
      <c r="C1625" s="94">
        <v>0.0</v>
      </c>
      <c r="D1625" s="94">
        <v>0.0</v>
      </c>
      <c r="E1625" s="96">
        <f>SUM(L1625*I1625)/60</f>
        <v>0</v>
      </c>
      <c r="F1625" s="94">
        <v>0.0</v>
      </c>
      <c r="G1625" s="94">
        <v>0.0</v>
      </c>
      <c r="H1625" s="94">
        <v>0.0</v>
      </c>
      <c r="I1625" s="94">
        <v>0.0</v>
      </c>
      <c r="J1625" s="95">
        <f t="shared" ref="J1625:J1638" si="1227">SUM(G1625-I1625)</f>
        <v>0</v>
      </c>
      <c r="K1625" s="87" t="str">
        <f t="shared" ref="K1625:K1638" si="1228">SUM(G1625/I1625)</f>
        <v>#DIV/0!</v>
      </c>
      <c r="L1625" s="94">
        <v>0.0</v>
      </c>
      <c r="M1625" s="94">
        <v>0.0</v>
      </c>
      <c r="N1625" s="85">
        <v>0.0</v>
      </c>
      <c r="O1625" s="110">
        <f t="shared" ref="O1625:O1630" si="1229">(E1625*N1625)</f>
        <v>0</v>
      </c>
      <c r="P1625" s="94">
        <v>0.0</v>
      </c>
      <c r="Q1625" s="94">
        <v>0.0</v>
      </c>
      <c r="R1625" s="94">
        <v>0.0</v>
      </c>
      <c r="S1625" s="94">
        <v>0.0</v>
      </c>
      <c r="T1625" s="94">
        <v>0.0</v>
      </c>
      <c r="U1625" s="94">
        <v>0.0</v>
      </c>
      <c r="V1625" s="94">
        <v>0.0</v>
      </c>
      <c r="W1625" s="94">
        <v>0.0</v>
      </c>
      <c r="X1625" s="94">
        <v>0.0</v>
      </c>
      <c r="Y1625" s="94">
        <v>0.0</v>
      </c>
      <c r="Z1625" s="94">
        <v>0.0</v>
      </c>
      <c r="AA1625" s="94">
        <v>0.0</v>
      </c>
      <c r="AB1625" s="94">
        <v>0.0</v>
      </c>
      <c r="AC1625" s="94">
        <v>0.0</v>
      </c>
      <c r="AD1625" s="94">
        <v>0.0</v>
      </c>
      <c r="AE1625" s="94">
        <v>0.0</v>
      </c>
      <c r="AF1625" s="94">
        <v>0.0</v>
      </c>
      <c r="AG1625" s="94">
        <v>0.0</v>
      </c>
      <c r="AH1625" s="94">
        <v>0.0</v>
      </c>
    </row>
    <row r="1626" hidden="1">
      <c r="A1626" s="83" t="s">
        <v>28</v>
      </c>
      <c r="B1626" s="84" t="s">
        <v>180</v>
      </c>
      <c r="C1626" s="85">
        <v>1.0</v>
      </c>
      <c r="D1626" s="85">
        <v>1.0</v>
      </c>
      <c r="E1626" s="86">
        <v>16.0</v>
      </c>
      <c r="F1626" s="94">
        <v>0.0</v>
      </c>
      <c r="G1626" s="85">
        <v>57.0</v>
      </c>
      <c r="H1626" s="94">
        <v>0.0</v>
      </c>
      <c r="I1626" s="85">
        <v>51.0</v>
      </c>
      <c r="J1626" s="95">
        <f t="shared" si="1227"/>
        <v>6</v>
      </c>
      <c r="K1626" s="87">
        <f t="shared" si="1228"/>
        <v>1.117647059</v>
      </c>
      <c r="L1626" s="85">
        <v>15.0</v>
      </c>
      <c r="M1626" s="85">
        <v>69.0</v>
      </c>
      <c r="N1626" s="85">
        <v>0.0</v>
      </c>
      <c r="O1626" s="110">
        <f t="shared" si="1229"/>
        <v>0</v>
      </c>
      <c r="P1626" s="94">
        <v>0.0</v>
      </c>
      <c r="Q1626" s="94">
        <v>0.0</v>
      </c>
      <c r="R1626" s="94">
        <v>0.0</v>
      </c>
      <c r="S1626" s="94">
        <v>0.0</v>
      </c>
      <c r="T1626" s="94">
        <v>0.0</v>
      </c>
      <c r="U1626" s="94">
        <v>0.0</v>
      </c>
      <c r="V1626" s="94">
        <v>0.0</v>
      </c>
      <c r="W1626" s="94">
        <v>0.0</v>
      </c>
      <c r="X1626" s="94">
        <v>0.0</v>
      </c>
      <c r="Y1626" s="94">
        <v>0.0</v>
      </c>
      <c r="Z1626" s="94">
        <v>0.0</v>
      </c>
      <c r="AA1626" s="94">
        <v>0.0</v>
      </c>
      <c r="AB1626" s="94">
        <v>0.0</v>
      </c>
      <c r="AC1626" s="94">
        <v>0.0</v>
      </c>
      <c r="AD1626" s="94">
        <v>0.0</v>
      </c>
      <c r="AE1626" s="94">
        <v>0.0</v>
      </c>
      <c r="AF1626" s="94">
        <v>0.0</v>
      </c>
      <c r="AG1626" s="94">
        <v>0.0</v>
      </c>
      <c r="AH1626" s="94">
        <v>0.0</v>
      </c>
    </row>
    <row r="1627" hidden="1">
      <c r="A1627" s="83" t="s">
        <v>28</v>
      </c>
      <c r="B1627" s="84" t="s">
        <v>181</v>
      </c>
      <c r="C1627" s="85">
        <v>1.0</v>
      </c>
      <c r="D1627" s="85">
        <v>1.0</v>
      </c>
      <c r="E1627" s="86">
        <v>16.0</v>
      </c>
      <c r="F1627" s="85">
        <v>1.0</v>
      </c>
      <c r="G1627" s="85">
        <v>73.0</v>
      </c>
      <c r="H1627" s="85">
        <v>1.0</v>
      </c>
      <c r="I1627" s="85">
        <v>54.0</v>
      </c>
      <c r="J1627" s="95">
        <f t="shared" si="1227"/>
        <v>19</v>
      </c>
      <c r="K1627" s="87">
        <f t="shared" si="1228"/>
        <v>1.351851852</v>
      </c>
      <c r="L1627" s="85">
        <v>14.0</v>
      </c>
      <c r="M1627" s="85">
        <v>93.0</v>
      </c>
      <c r="N1627" s="85">
        <v>0.0</v>
      </c>
      <c r="O1627" s="110">
        <f t="shared" si="1229"/>
        <v>0</v>
      </c>
      <c r="P1627" s="94">
        <v>0.0</v>
      </c>
      <c r="Q1627" s="94">
        <v>0.0</v>
      </c>
      <c r="R1627" s="94">
        <v>0.0</v>
      </c>
      <c r="S1627" s="94">
        <v>0.0</v>
      </c>
      <c r="T1627" s="94">
        <v>0.0</v>
      </c>
      <c r="U1627" s="94">
        <v>0.0</v>
      </c>
      <c r="V1627" s="94">
        <v>0.0</v>
      </c>
      <c r="W1627" s="94">
        <v>0.0</v>
      </c>
      <c r="X1627" s="94">
        <v>0.0</v>
      </c>
      <c r="Y1627" s="94">
        <v>0.0</v>
      </c>
      <c r="Z1627" s="94">
        <v>0.0</v>
      </c>
      <c r="AA1627" s="94">
        <v>0.0</v>
      </c>
      <c r="AB1627" s="94">
        <v>0.0</v>
      </c>
      <c r="AC1627" s="94">
        <v>0.0</v>
      </c>
      <c r="AD1627" s="94">
        <v>0.0</v>
      </c>
      <c r="AE1627" s="94">
        <v>0.0</v>
      </c>
      <c r="AF1627" s="94">
        <v>0.0</v>
      </c>
      <c r="AG1627" s="94">
        <v>0.0</v>
      </c>
      <c r="AH1627" s="94">
        <v>0.0</v>
      </c>
    </row>
    <row r="1628" hidden="1">
      <c r="A1628" s="83" t="s">
        <v>28</v>
      </c>
      <c r="B1628" s="84" t="s">
        <v>182</v>
      </c>
      <c r="C1628" s="85">
        <v>1.0</v>
      </c>
      <c r="D1628" s="85">
        <v>1.0</v>
      </c>
      <c r="E1628" s="86">
        <v>16.0</v>
      </c>
      <c r="F1628" s="94">
        <v>0.0</v>
      </c>
      <c r="G1628" s="85">
        <v>53.0</v>
      </c>
      <c r="H1628" s="94">
        <v>0.0</v>
      </c>
      <c r="I1628" s="85">
        <v>63.0</v>
      </c>
      <c r="J1628" s="95">
        <f t="shared" si="1227"/>
        <v>-10</v>
      </c>
      <c r="K1628" s="87">
        <f t="shared" si="1228"/>
        <v>0.8412698413</v>
      </c>
      <c r="L1628" s="85">
        <v>12.0</v>
      </c>
      <c r="M1628" s="85">
        <v>66.0</v>
      </c>
      <c r="N1628" s="85">
        <v>0.0</v>
      </c>
      <c r="O1628" s="110">
        <f t="shared" si="1229"/>
        <v>0</v>
      </c>
      <c r="P1628" s="94">
        <v>0.0</v>
      </c>
      <c r="Q1628" s="94">
        <v>0.0</v>
      </c>
      <c r="R1628" s="94">
        <v>0.0</v>
      </c>
      <c r="S1628" s="94">
        <v>0.0</v>
      </c>
      <c r="T1628" s="94">
        <v>0.0</v>
      </c>
      <c r="U1628" s="94">
        <v>0.0</v>
      </c>
      <c r="V1628" s="94">
        <v>0.0</v>
      </c>
      <c r="W1628" s="94">
        <v>0.0</v>
      </c>
      <c r="X1628" s="94">
        <v>0.0</v>
      </c>
      <c r="Y1628" s="94">
        <v>0.0</v>
      </c>
      <c r="Z1628" s="94">
        <v>0.0</v>
      </c>
      <c r="AA1628" s="94">
        <v>0.0</v>
      </c>
      <c r="AB1628" s="94">
        <v>0.0</v>
      </c>
      <c r="AC1628" s="94">
        <v>0.0</v>
      </c>
      <c r="AD1628" s="94">
        <v>0.0</v>
      </c>
      <c r="AE1628" s="94">
        <v>0.0</v>
      </c>
      <c r="AF1628" s="94">
        <v>0.0</v>
      </c>
      <c r="AG1628" s="94">
        <v>0.0</v>
      </c>
      <c r="AH1628" s="94">
        <v>0.0</v>
      </c>
    </row>
    <row r="1629" hidden="1">
      <c r="A1629" s="83" t="s">
        <v>28</v>
      </c>
      <c r="B1629" s="84" t="s">
        <v>183</v>
      </c>
      <c r="C1629" s="85">
        <v>1.0</v>
      </c>
      <c r="D1629" s="85">
        <v>1.0</v>
      </c>
      <c r="E1629" s="86">
        <v>16.0</v>
      </c>
      <c r="F1629" s="85">
        <v>4.0</v>
      </c>
      <c r="G1629" s="85">
        <v>40.0</v>
      </c>
      <c r="H1629" s="85">
        <v>1.0</v>
      </c>
      <c r="I1629" s="85">
        <v>48.0</v>
      </c>
      <c r="J1629" s="95">
        <f t="shared" si="1227"/>
        <v>-8</v>
      </c>
      <c r="K1629" s="87">
        <f t="shared" si="1228"/>
        <v>0.8333333333</v>
      </c>
      <c r="L1629" s="85">
        <v>16.0</v>
      </c>
      <c r="M1629" s="85">
        <v>52.0</v>
      </c>
      <c r="N1629" s="85">
        <v>0.0</v>
      </c>
      <c r="O1629" s="110">
        <f t="shared" si="1229"/>
        <v>0</v>
      </c>
      <c r="P1629" s="94">
        <v>0.0</v>
      </c>
      <c r="Q1629" s="94">
        <v>0.0</v>
      </c>
      <c r="R1629" s="94">
        <v>0.0</v>
      </c>
      <c r="S1629" s="94">
        <v>0.0</v>
      </c>
      <c r="T1629" s="94">
        <v>0.0</v>
      </c>
      <c r="U1629" s="94">
        <v>0.0</v>
      </c>
      <c r="V1629" s="94">
        <v>0.0</v>
      </c>
      <c r="W1629" s="94">
        <v>0.0</v>
      </c>
      <c r="X1629" s="94">
        <v>0.0</v>
      </c>
      <c r="Y1629" s="94">
        <v>0.0</v>
      </c>
      <c r="Z1629" s="94">
        <v>0.0</v>
      </c>
      <c r="AA1629" s="94">
        <v>0.0</v>
      </c>
      <c r="AB1629" s="94">
        <v>0.0</v>
      </c>
      <c r="AC1629" s="94">
        <v>0.0</v>
      </c>
      <c r="AD1629" s="94">
        <v>0.0</v>
      </c>
      <c r="AE1629" s="94">
        <v>0.0</v>
      </c>
      <c r="AF1629" s="94">
        <v>0.0</v>
      </c>
      <c r="AG1629" s="94">
        <v>0.0</v>
      </c>
      <c r="AH1629" s="94">
        <v>0.0</v>
      </c>
    </row>
    <row r="1630" hidden="1">
      <c r="A1630" s="83" t="s">
        <v>28</v>
      </c>
      <c r="B1630" s="84" t="s">
        <v>184</v>
      </c>
      <c r="C1630" s="94">
        <v>0.0</v>
      </c>
      <c r="D1630" s="94">
        <v>0.0</v>
      </c>
      <c r="E1630" s="96">
        <f>SUM(L1630*I1630)/60</f>
        <v>0</v>
      </c>
      <c r="F1630" s="94">
        <v>0.0</v>
      </c>
      <c r="G1630" s="94">
        <v>0.0</v>
      </c>
      <c r="H1630" s="94">
        <v>0.0</v>
      </c>
      <c r="I1630" s="94">
        <v>0.0</v>
      </c>
      <c r="J1630" s="95">
        <f t="shared" si="1227"/>
        <v>0</v>
      </c>
      <c r="K1630" s="87" t="str">
        <f t="shared" si="1228"/>
        <v>#DIV/0!</v>
      </c>
      <c r="L1630" s="94">
        <v>0.0</v>
      </c>
      <c r="M1630" s="94">
        <v>0.0</v>
      </c>
      <c r="N1630" s="85">
        <v>0.0</v>
      </c>
      <c r="O1630" s="110">
        <f t="shared" si="1229"/>
        <v>0</v>
      </c>
      <c r="P1630" s="94">
        <v>0.0</v>
      </c>
      <c r="Q1630" s="94">
        <v>0.0</v>
      </c>
      <c r="R1630" s="94">
        <v>0.0</v>
      </c>
      <c r="S1630" s="94">
        <v>0.0</v>
      </c>
      <c r="T1630" s="94">
        <v>0.0</v>
      </c>
      <c r="U1630" s="94">
        <v>0.0</v>
      </c>
      <c r="V1630" s="94">
        <v>0.0</v>
      </c>
      <c r="W1630" s="94">
        <v>0.0</v>
      </c>
      <c r="X1630" s="94">
        <v>0.0</v>
      </c>
      <c r="Y1630" s="94">
        <v>0.0</v>
      </c>
      <c r="Z1630" s="94">
        <v>0.0</v>
      </c>
      <c r="AA1630" s="94">
        <v>0.0</v>
      </c>
      <c r="AB1630" s="94">
        <v>0.0</v>
      </c>
      <c r="AC1630" s="94">
        <v>0.0</v>
      </c>
      <c r="AD1630" s="94">
        <v>0.0</v>
      </c>
      <c r="AE1630" s="94">
        <v>0.0</v>
      </c>
      <c r="AF1630" s="94">
        <v>0.0</v>
      </c>
      <c r="AG1630" s="94">
        <v>0.0</v>
      </c>
      <c r="AH1630" s="94">
        <v>0.0</v>
      </c>
    </row>
    <row r="1631" hidden="1">
      <c r="A1631" s="89"/>
      <c r="B1631" s="111"/>
      <c r="C1631" s="111">
        <f t="shared" ref="C1631:D1631" si="1230">SUM(C1625:C1630)/4</f>
        <v>1</v>
      </c>
      <c r="D1631" s="111">
        <f t="shared" si="1230"/>
        <v>1</v>
      </c>
      <c r="E1631" s="91">
        <f t="shared" ref="E1631:G1631" si="1231">SUM(E1625:E1630)</f>
        <v>64</v>
      </c>
      <c r="F1631" s="111">
        <f t="shared" si="1231"/>
        <v>5</v>
      </c>
      <c r="G1631" s="111">
        <f t="shared" si="1231"/>
        <v>223</v>
      </c>
      <c r="H1631" s="111"/>
      <c r="I1631" s="111">
        <f>SUM(I1625:I1630)</f>
        <v>216</v>
      </c>
      <c r="J1631" s="111">
        <f t="shared" si="1227"/>
        <v>7</v>
      </c>
      <c r="K1631" s="92">
        <f t="shared" si="1228"/>
        <v>1.032407407</v>
      </c>
      <c r="L1631" s="111">
        <f t="shared" ref="L1631:M1631" si="1232">SUM(L1625:L1630)</f>
        <v>57</v>
      </c>
      <c r="M1631" s="111">
        <f t="shared" si="1232"/>
        <v>280</v>
      </c>
      <c r="N1631" s="111"/>
      <c r="O1631" s="112"/>
      <c r="P1631" s="111">
        <f t="shared" ref="P1631:AH1631" si="1233">SUM(P1625:P1630)</f>
        <v>0</v>
      </c>
      <c r="Q1631" s="111">
        <f t="shared" si="1233"/>
        <v>0</v>
      </c>
      <c r="R1631" s="111">
        <f t="shared" si="1233"/>
        <v>0</v>
      </c>
      <c r="S1631" s="111">
        <f t="shared" si="1233"/>
        <v>0</v>
      </c>
      <c r="T1631" s="111">
        <f t="shared" si="1233"/>
        <v>0</v>
      </c>
      <c r="U1631" s="111">
        <f t="shared" si="1233"/>
        <v>0</v>
      </c>
      <c r="V1631" s="111">
        <f t="shared" si="1233"/>
        <v>0</v>
      </c>
      <c r="W1631" s="111">
        <f t="shared" si="1233"/>
        <v>0</v>
      </c>
      <c r="X1631" s="111">
        <f t="shared" si="1233"/>
        <v>0</v>
      </c>
      <c r="Y1631" s="111">
        <f t="shared" si="1233"/>
        <v>0</v>
      </c>
      <c r="Z1631" s="111">
        <f t="shared" si="1233"/>
        <v>0</v>
      </c>
      <c r="AA1631" s="111">
        <f t="shared" si="1233"/>
        <v>0</v>
      </c>
      <c r="AB1631" s="111">
        <f t="shared" si="1233"/>
        <v>0</v>
      </c>
      <c r="AC1631" s="111">
        <f t="shared" si="1233"/>
        <v>0</v>
      </c>
      <c r="AD1631" s="111">
        <f t="shared" si="1233"/>
        <v>0</v>
      </c>
      <c r="AE1631" s="111">
        <f t="shared" si="1233"/>
        <v>0</v>
      </c>
      <c r="AF1631" s="111">
        <f t="shared" si="1233"/>
        <v>0</v>
      </c>
      <c r="AG1631" s="111">
        <f t="shared" si="1233"/>
        <v>0</v>
      </c>
      <c r="AH1631" s="111">
        <f t="shared" si="1233"/>
        <v>0</v>
      </c>
    </row>
    <row r="1632" hidden="1">
      <c r="A1632" s="83" t="s">
        <v>20</v>
      </c>
      <c r="B1632" s="84" t="s">
        <v>232</v>
      </c>
      <c r="C1632" s="85">
        <v>1.0</v>
      </c>
      <c r="D1632" s="94">
        <v>0.0</v>
      </c>
      <c r="E1632" s="86">
        <v>16.0</v>
      </c>
      <c r="F1632" s="85">
        <v>1.0</v>
      </c>
      <c r="G1632" s="85">
        <v>65.0</v>
      </c>
      <c r="H1632" s="85">
        <v>1.0</v>
      </c>
      <c r="I1632" s="85">
        <v>64.0</v>
      </c>
      <c r="J1632" s="95">
        <f t="shared" si="1227"/>
        <v>1</v>
      </c>
      <c r="K1632" s="87">
        <f t="shared" si="1228"/>
        <v>1.015625</v>
      </c>
      <c r="L1632" s="85">
        <v>11.0</v>
      </c>
      <c r="M1632" s="85">
        <v>86.0</v>
      </c>
      <c r="N1632" s="85">
        <v>0.0</v>
      </c>
      <c r="O1632" s="110">
        <f t="shared" ref="O1632:O1637" si="1234">(E1632*N1632)</f>
        <v>0</v>
      </c>
      <c r="P1632" s="94">
        <v>0.0</v>
      </c>
      <c r="Q1632" s="94">
        <v>0.0</v>
      </c>
      <c r="R1632" s="94">
        <v>0.0</v>
      </c>
      <c r="S1632" s="94">
        <v>0.0</v>
      </c>
      <c r="T1632" s="94">
        <v>0.0</v>
      </c>
      <c r="U1632" s="94">
        <v>0.0</v>
      </c>
      <c r="V1632" s="94">
        <v>0.0</v>
      </c>
      <c r="W1632" s="94">
        <v>0.0</v>
      </c>
      <c r="X1632" s="94">
        <v>0.0</v>
      </c>
      <c r="Y1632" s="94">
        <v>0.0</v>
      </c>
      <c r="Z1632" s="94">
        <v>0.0</v>
      </c>
      <c r="AA1632" s="94">
        <v>0.0</v>
      </c>
      <c r="AB1632" s="94">
        <v>0.0</v>
      </c>
      <c r="AC1632" s="94">
        <v>0.0</v>
      </c>
      <c r="AD1632" s="94">
        <v>0.0</v>
      </c>
      <c r="AE1632" s="94">
        <v>0.0</v>
      </c>
      <c r="AF1632" s="94">
        <v>0.0</v>
      </c>
      <c r="AG1632" s="94">
        <v>0.0</v>
      </c>
      <c r="AH1632" s="94">
        <v>0.0</v>
      </c>
    </row>
    <row r="1633" hidden="1">
      <c r="A1633" s="83" t="s">
        <v>20</v>
      </c>
      <c r="B1633" s="84" t="s">
        <v>233</v>
      </c>
      <c r="C1633" s="85">
        <v>1.0</v>
      </c>
      <c r="D1633" s="94">
        <v>0.0</v>
      </c>
      <c r="E1633" s="86">
        <v>16.0</v>
      </c>
      <c r="F1633" s="94">
        <v>0.0</v>
      </c>
      <c r="G1633" s="85">
        <v>63.0</v>
      </c>
      <c r="H1633" s="85">
        <v>2.0</v>
      </c>
      <c r="I1633" s="85">
        <v>70.0</v>
      </c>
      <c r="J1633" s="95">
        <f t="shared" si="1227"/>
        <v>-7</v>
      </c>
      <c r="K1633" s="87">
        <f t="shared" si="1228"/>
        <v>0.9</v>
      </c>
      <c r="L1633" s="85">
        <v>10.0</v>
      </c>
      <c r="M1633" s="85">
        <v>79.0</v>
      </c>
      <c r="N1633" s="85">
        <v>0.0</v>
      </c>
      <c r="O1633" s="110">
        <f t="shared" si="1234"/>
        <v>0</v>
      </c>
      <c r="P1633" s="94">
        <v>0.0</v>
      </c>
      <c r="Q1633" s="94">
        <v>0.0</v>
      </c>
      <c r="R1633" s="94">
        <v>0.0</v>
      </c>
      <c r="S1633" s="94">
        <v>0.0</v>
      </c>
      <c r="T1633" s="94">
        <v>0.0</v>
      </c>
      <c r="U1633" s="94">
        <v>0.0</v>
      </c>
      <c r="V1633" s="94">
        <v>0.0</v>
      </c>
      <c r="W1633" s="94">
        <v>0.0</v>
      </c>
      <c r="X1633" s="94">
        <v>0.0</v>
      </c>
      <c r="Y1633" s="94">
        <v>0.0</v>
      </c>
      <c r="Z1633" s="94">
        <v>0.0</v>
      </c>
      <c r="AA1633" s="94">
        <v>0.0</v>
      </c>
      <c r="AB1633" s="94">
        <v>0.0</v>
      </c>
      <c r="AC1633" s="94">
        <v>0.0</v>
      </c>
      <c r="AD1633" s="94">
        <v>0.0</v>
      </c>
      <c r="AE1633" s="94">
        <v>0.0</v>
      </c>
      <c r="AF1633" s="94">
        <v>0.0</v>
      </c>
      <c r="AG1633" s="94">
        <v>0.0</v>
      </c>
      <c r="AH1633" s="94">
        <v>0.0</v>
      </c>
    </row>
    <row r="1634" hidden="1">
      <c r="A1634" s="83" t="s">
        <v>20</v>
      </c>
      <c r="B1634" s="84" t="s">
        <v>234</v>
      </c>
      <c r="C1634" s="85">
        <v>1.0</v>
      </c>
      <c r="D1634" s="94">
        <v>0.0</v>
      </c>
      <c r="E1634" s="86">
        <v>16.0</v>
      </c>
      <c r="F1634" s="94">
        <v>0.0</v>
      </c>
      <c r="G1634" s="85">
        <v>44.0</v>
      </c>
      <c r="H1634" s="94">
        <v>0.0</v>
      </c>
      <c r="I1634" s="85">
        <v>61.0</v>
      </c>
      <c r="J1634" s="95">
        <f t="shared" si="1227"/>
        <v>-17</v>
      </c>
      <c r="K1634" s="87">
        <f t="shared" si="1228"/>
        <v>0.7213114754</v>
      </c>
      <c r="L1634" s="85">
        <v>12.0</v>
      </c>
      <c r="M1634" s="85">
        <v>53.0</v>
      </c>
      <c r="N1634" s="85">
        <v>0.0</v>
      </c>
      <c r="O1634" s="110">
        <f t="shared" si="1234"/>
        <v>0</v>
      </c>
      <c r="P1634" s="94">
        <v>0.0</v>
      </c>
      <c r="Q1634" s="94">
        <v>0.0</v>
      </c>
      <c r="R1634" s="94">
        <v>0.0</v>
      </c>
      <c r="S1634" s="94">
        <v>0.0</v>
      </c>
      <c r="T1634" s="94">
        <v>0.0</v>
      </c>
      <c r="U1634" s="94">
        <v>0.0</v>
      </c>
      <c r="V1634" s="94">
        <v>0.0</v>
      </c>
      <c r="W1634" s="94">
        <v>0.0</v>
      </c>
      <c r="X1634" s="94">
        <v>0.0</v>
      </c>
      <c r="Y1634" s="94">
        <v>0.0</v>
      </c>
      <c r="Z1634" s="94">
        <v>0.0</v>
      </c>
      <c r="AA1634" s="94">
        <v>0.0</v>
      </c>
      <c r="AB1634" s="94">
        <v>0.0</v>
      </c>
      <c r="AC1634" s="94">
        <v>0.0</v>
      </c>
      <c r="AD1634" s="94">
        <v>0.0</v>
      </c>
      <c r="AE1634" s="94">
        <v>0.0</v>
      </c>
      <c r="AF1634" s="94">
        <v>0.0</v>
      </c>
      <c r="AG1634" s="94">
        <v>0.0</v>
      </c>
      <c r="AH1634" s="94">
        <v>0.0</v>
      </c>
    </row>
    <row r="1635" hidden="1">
      <c r="A1635" s="83" t="s">
        <v>20</v>
      </c>
      <c r="B1635" s="84" t="s">
        <v>235</v>
      </c>
      <c r="C1635" s="85">
        <v>1.0</v>
      </c>
      <c r="D1635" s="94">
        <v>0.0</v>
      </c>
      <c r="E1635" s="86">
        <v>16.0</v>
      </c>
      <c r="F1635" s="85">
        <v>2.0</v>
      </c>
      <c r="G1635" s="85">
        <v>39.0</v>
      </c>
      <c r="H1635" s="94">
        <v>0.0</v>
      </c>
      <c r="I1635" s="85">
        <v>36.0</v>
      </c>
      <c r="J1635" s="95">
        <f t="shared" si="1227"/>
        <v>3</v>
      </c>
      <c r="K1635" s="87">
        <f t="shared" si="1228"/>
        <v>1.083333333</v>
      </c>
      <c r="L1635" s="85">
        <v>22.0</v>
      </c>
      <c r="M1635" s="85">
        <v>55.0</v>
      </c>
      <c r="N1635" s="85">
        <v>0.0</v>
      </c>
      <c r="O1635" s="110">
        <f t="shared" si="1234"/>
        <v>0</v>
      </c>
      <c r="P1635" s="94">
        <v>0.0</v>
      </c>
      <c r="Q1635" s="94">
        <v>0.0</v>
      </c>
      <c r="R1635" s="94">
        <v>0.0</v>
      </c>
      <c r="S1635" s="94">
        <v>0.0</v>
      </c>
      <c r="T1635" s="94">
        <v>0.0</v>
      </c>
      <c r="U1635" s="94">
        <v>0.0</v>
      </c>
      <c r="V1635" s="94">
        <v>0.0</v>
      </c>
      <c r="W1635" s="94">
        <v>0.0</v>
      </c>
      <c r="X1635" s="94">
        <v>0.0</v>
      </c>
      <c r="Y1635" s="94">
        <v>0.0</v>
      </c>
      <c r="Z1635" s="94">
        <v>0.0</v>
      </c>
      <c r="AA1635" s="94">
        <v>0.0</v>
      </c>
      <c r="AB1635" s="94">
        <v>0.0</v>
      </c>
      <c r="AC1635" s="94">
        <v>0.0</v>
      </c>
      <c r="AD1635" s="94">
        <v>0.0</v>
      </c>
      <c r="AE1635" s="94">
        <v>0.0</v>
      </c>
      <c r="AF1635" s="94">
        <v>0.0</v>
      </c>
      <c r="AG1635" s="94">
        <v>0.0</v>
      </c>
      <c r="AH1635" s="94">
        <v>0.0</v>
      </c>
    </row>
    <row r="1636" hidden="1">
      <c r="A1636" s="83" t="s">
        <v>20</v>
      </c>
      <c r="B1636" s="84" t="s">
        <v>236</v>
      </c>
      <c r="C1636" s="94">
        <v>0.0</v>
      </c>
      <c r="D1636" s="94">
        <v>0.0</v>
      </c>
      <c r="E1636" s="96">
        <f t="shared" ref="E1636:E1637" si="1235">SUM(L1636*I1636)/60</f>
        <v>0</v>
      </c>
      <c r="F1636" s="94">
        <v>0.0</v>
      </c>
      <c r="G1636" s="94">
        <v>0.0</v>
      </c>
      <c r="H1636" s="94">
        <v>0.0</v>
      </c>
      <c r="I1636" s="94">
        <v>0.0</v>
      </c>
      <c r="J1636" s="95">
        <f t="shared" si="1227"/>
        <v>0</v>
      </c>
      <c r="K1636" s="87" t="str">
        <f t="shared" si="1228"/>
        <v>#DIV/0!</v>
      </c>
      <c r="L1636" s="94">
        <v>0.0</v>
      </c>
      <c r="M1636" s="94">
        <v>0.0</v>
      </c>
      <c r="N1636" s="85">
        <v>0.0</v>
      </c>
      <c r="O1636" s="110">
        <f t="shared" si="1234"/>
        <v>0</v>
      </c>
      <c r="P1636" s="94">
        <v>0.0</v>
      </c>
      <c r="Q1636" s="94">
        <v>0.0</v>
      </c>
      <c r="R1636" s="94">
        <v>0.0</v>
      </c>
      <c r="S1636" s="94">
        <v>0.0</v>
      </c>
      <c r="T1636" s="94">
        <v>0.0</v>
      </c>
      <c r="U1636" s="94">
        <v>0.0</v>
      </c>
      <c r="V1636" s="94">
        <v>0.0</v>
      </c>
      <c r="W1636" s="94">
        <v>0.0</v>
      </c>
      <c r="X1636" s="94">
        <v>0.0</v>
      </c>
      <c r="Y1636" s="94">
        <v>0.0</v>
      </c>
      <c r="Z1636" s="94">
        <v>0.0</v>
      </c>
      <c r="AA1636" s="94">
        <v>0.0</v>
      </c>
      <c r="AB1636" s="94">
        <v>0.0</v>
      </c>
      <c r="AC1636" s="94">
        <v>0.0</v>
      </c>
      <c r="AD1636" s="94">
        <v>0.0</v>
      </c>
      <c r="AE1636" s="94">
        <v>0.0</v>
      </c>
      <c r="AF1636" s="94">
        <v>0.0</v>
      </c>
      <c r="AG1636" s="94">
        <v>0.0</v>
      </c>
      <c r="AH1636" s="94">
        <v>0.0</v>
      </c>
    </row>
    <row r="1637" hidden="1">
      <c r="A1637" s="83" t="s">
        <v>20</v>
      </c>
      <c r="B1637" s="93"/>
      <c r="C1637" s="94">
        <v>0.0</v>
      </c>
      <c r="D1637" s="94">
        <v>0.0</v>
      </c>
      <c r="E1637" s="96">
        <f t="shared" si="1235"/>
        <v>0</v>
      </c>
      <c r="F1637" s="94">
        <v>0.0</v>
      </c>
      <c r="G1637" s="94">
        <v>0.0</v>
      </c>
      <c r="H1637" s="94">
        <v>0.0</v>
      </c>
      <c r="I1637" s="94">
        <v>0.0</v>
      </c>
      <c r="J1637" s="95">
        <f t="shared" si="1227"/>
        <v>0</v>
      </c>
      <c r="K1637" s="87" t="str">
        <f t="shared" si="1228"/>
        <v>#DIV/0!</v>
      </c>
      <c r="L1637" s="94">
        <v>0.0</v>
      </c>
      <c r="M1637" s="94">
        <v>0.0</v>
      </c>
      <c r="N1637" s="85">
        <v>0.0</v>
      </c>
      <c r="O1637" s="110">
        <f t="shared" si="1234"/>
        <v>0</v>
      </c>
      <c r="P1637" s="94">
        <v>0.0</v>
      </c>
      <c r="Q1637" s="94">
        <v>0.0</v>
      </c>
      <c r="R1637" s="94">
        <v>0.0</v>
      </c>
      <c r="S1637" s="94">
        <v>0.0</v>
      </c>
      <c r="T1637" s="94">
        <v>0.0</v>
      </c>
      <c r="U1637" s="94">
        <v>0.0</v>
      </c>
      <c r="V1637" s="94">
        <v>0.0</v>
      </c>
      <c r="W1637" s="94">
        <v>0.0</v>
      </c>
      <c r="X1637" s="94">
        <v>0.0</v>
      </c>
      <c r="Y1637" s="94">
        <v>0.0</v>
      </c>
      <c r="Z1637" s="94">
        <v>0.0</v>
      </c>
      <c r="AA1637" s="94">
        <v>0.0</v>
      </c>
      <c r="AB1637" s="94">
        <v>0.0</v>
      </c>
      <c r="AC1637" s="94">
        <v>0.0</v>
      </c>
      <c r="AD1637" s="94">
        <v>0.0</v>
      </c>
      <c r="AE1637" s="94">
        <v>0.0</v>
      </c>
      <c r="AF1637" s="94">
        <v>0.0</v>
      </c>
      <c r="AG1637" s="94">
        <v>0.0</v>
      </c>
      <c r="AH1637" s="94">
        <v>0.0</v>
      </c>
    </row>
    <row r="1638" hidden="1">
      <c r="A1638" s="89" t="s">
        <v>185</v>
      </c>
      <c r="B1638" s="111"/>
      <c r="C1638" s="111">
        <f>SUM(C1632:C1637)</f>
        <v>4</v>
      </c>
      <c r="D1638" s="111">
        <f t="shared" ref="D1638:E1638" si="1236">SUM(D1632:D1637)/4</f>
        <v>0</v>
      </c>
      <c r="E1638" s="91">
        <f t="shared" si="1236"/>
        <v>16</v>
      </c>
      <c r="F1638" s="111">
        <f t="shared" ref="F1638:G1638" si="1237">SUM(F1632:F1637)</f>
        <v>3</v>
      </c>
      <c r="G1638" s="111">
        <f t="shared" si="1237"/>
        <v>211</v>
      </c>
      <c r="H1638" s="111"/>
      <c r="I1638" s="111">
        <f>SUM(I1632:I1637)</f>
        <v>231</v>
      </c>
      <c r="J1638" s="111">
        <f t="shared" si="1227"/>
        <v>-20</v>
      </c>
      <c r="K1638" s="92">
        <f t="shared" si="1228"/>
        <v>0.9134199134</v>
      </c>
      <c r="L1638" s="111">
        <f t="shared" ref="L1638:M1638" si="1238">SUM(L1632:L1637)</f>
        <v>55</v>
      </c>
      <c r="M1638" s="111">
        <f t="shared" si="1238"/>
        <v>273</v>
      </c>
      <c r="N1638" s="111"/>
      <c r="O1638" s="112"/>
      <c r="P1638" s="111">
        <f t="shared" ref="P1638:AH1638" si="1239">SUM(P1632:P1637)</f>
        <v>0</v>
      </c>
      <c r="Q1638" s="111">
        <f t="shared" si="1239"/>
        <v>0</v>
      </c>
      <c r="R1638" s="111">
        <f t="shared" si="1239"/>
        <v>0</v>
      </c>
      <c r="S1638" s="111">
        <f t="shared" si="1239"/>
        <v>0</v>
      </c>
      <c r="T1638" s="111">
        <f t="shared" si="1239"/>
        <v>0</v>
      </c>
      <c r="U1638" s="111">
        <f t="shared" si="1239"/>
        <v>0</v>
      </c>
      <c r="V1638" s="111">
        <f t="shared" si="1239"/>
        <v>0</v>
      </c>
      <c r="W1638" s="111">
        <f t="shared" si="1239"/>
        <v>0</v>
      </c>
      <c r="X1638" s="111">
        <f t="shared" si="1239"/>
        <v>0</v>
      </c>
      <c r="Y1638" s="111">
        <f t="shared" si="1239"/>
        <v>0</v>
      </c>
      <c r="Z1638" s="111">
        <f t="shared" si="1239"/>
        <v>0</v>
      </c>
      <c r="AA1638" s="111">
        <f t="shared" si="1239"/>
        <v>0</v>
      </c>
      <c r="AB1638" s="111">
        <f t="shared" si="1239"/>
        <v>0</v>
      </c>
      <c r="AC1638" s="111">
        <f t="shared" si="1239"/>
        <v>0</v>
      </c>
      <c r="AD1638" s="111">
        <f t="shared" si="1239"/>
        <v>0</v>
      </c>
      <c r="AE1638" s="111">
        <f t="shared" si="1239"/>
        <v>0</v>
      </c>
      <c r="AF1638" s="111">
        <f t="shared" si="1239"/>
        <v>0</v>
      </c>
      <c r="AG1638" s="111">
        <f t="shared" si="1239"/>
        <v>0</v>
      </c>
      <c r="AH1638" s="111">
        <f t="shared" si="1239"/>
        <v>0</v>
      </c>
    </row>
    <row r="1639">
      <c r="A1639" s="113" t="s">
        <v>345</v>
      </c>
    </row>
    <row r="1641" hidden="1">
      <c r="A1641" s="105"/>
      <c r="F1641" s="106" t="s">
        <v>251</v>
      </c>
      <c r="L1641" s="107" t="s">
        <v>252</v>
      </c>
      <c r="N1641" s="108" t="s">
        <v>253</v>
      </c>
    </row>
    <row r="1642" hidden="1">
      <c r="A1642" s="76" t="s">
        <v>148</v>
      </c>
      <c r="B1642" s="76" t="s">
        <v>149</v>
      </c>
      <c r="C1642" s="76" t="s">
        <v>150</v>
      </c>
      <c r="D1642" s="76" t="s">
        <v>13</v>
      </c>
      <c r="E1642" s="77" t="s">
        <v>151</v>
      </c>
      <c r="F1642" s="78" t="s">
        <v>15</v>
      </c>
      <c r="G1642" s="78" t="s">
        <v>152</v>
      </c>
      <c r="H1642" s="78" t="s">
        <v>153</v>
      </c>
      <c r="I1642" s="78" t="s">
        <v>154</v>
      </c>
      <c r="J1642" s="78" t="s">
        <v>155</v>
      </c>
      <c r="K1642" s="79" t="s">
        <v>156</v>
      </c>
      <c r="L1642" s="80" t="s">
        <v>157</v>
      </c>
      <c r="M1642" s="80" t="s">
        <v>158</v>
      </c>
      <c r="N1642" s="81" t="s">
        <v>254</v>
      </c>
      <c r="O1642" s="81" t="s">
        <v>151</v>
      </c>
      <c r="P1642" s="81" t="s">
        <v>160</v>
      </c>
      <c r="Q1642" s="81" t="s">
        <v>161</v>
      </c>
      <c r="R1642" s="81" t="s">
        <v>162</v>
      </c>
      <c r="S1642" s="81" t="s">
        <v>163</v>
      </c>
      <c r="T1642" s="81" t="s">
        <v>164</v>
      </c>
      <c r="U1642" s="81" t="s">
        <v>165</v>
      </c>
      <c r="V1642" s="81" t="s">
        <v>166</v>
      </c>
      <c r="W1642" s="81" t="s">
        <v>167</v>
      </c>
      <c r="X1642" s="81" t="s">
        <v>168</v>
      </c>
      <c r="Y1642" s="81" t="s">
        <v>169</v>
      </c>
      <c r="Z1642" s="81" t="s">
        <v>170</v>
      </c>
      <c r="AA1642" s="81" t="s">
        <v>171</v>
      </c>
      <c r="AB1642" s="81" t="s">
        <v>172</v>
      </c>
      <c r="AC1642" s="81" t="s">
        <v>173</v>
      </c>
      <c r="AD1642" s="81" t="s">
        <v>174</v>
      </c>
      <c r="AE1642" s="81" t="s">
        <v>175</v>
      </c>
      <c r="AF1642" s="81" t="s">
        <v>176</v>
      </c>
      <c r="AG1642" s="81" t="s">
        <v>177</v>
      </c>
      <c r="AH1642" s="81" t="s">
        <v>178</v>
      </c>
    </row>
    <row r="1643" hidden="1">
      <c r="A1643" s="83" t="s">
        <v>44</v>
      </c>
      <c r="B1643" s="84" t="s">
        <v>186</v>
      </c>
      <c r="C1643" s="85">
        <v>1.0</v>
      </c>
      <c r="D1643" s="94">
        <v>0.0</v>
      </c>
      <c r="E1643" s="86">
        <v>38.0</v>
      </c>
      <c r="F1643" s="94">
        <v>0.0</v>
      </c>
      <c r="G1643" s="85">
        <v>128.0</v>
      </c>
      <c r="H1643" s="94">
        <v>0.0</v>
      </c>
      <c r="I1643" s="85">
        <v>169.0</v>
      </c>
      <c r="J1643" s="95">
        <f t="shared" ref="J1643:J1656" si="1240">SUM(G1643-I1643)</f>
        <v>-41</v>
      </c>
      <c r="K1643" s="87">
        <f t="shared" ref="K1643:K1656" si="1241">SUM(G1643/I1643)</f>
        <v>0.7573964497</v>
      </c>
      <c r="L1643" s="85">
        <v>10.0</v>
      </c>
      <c r="M1643" s="85">
        <v>169.0</v>
      </c>
      <c r="N1643" s="85">
        <v>1.0</v>
      </c>
      <c r="O1643" s="110">
        <f t="shared" ref="O1643:O1648" si="1242">(E1643*N1643)</f>
        <v>38</v>
      </c>
      <c r="P1643" s="85">
        <v>4.0</v>
      </c>
      <c r="Q1643" s="85">
        <v>6.0</v>
      </c>
      <c r="R1643" s="85">
        <v>13.0</v>
      </c>
      <c r="S1643" s="85">
        <v>3.0</v>
      </c>
      <c r="T1643" s="85">
        <v>20.0</v>
      </c>
      <c r="U1643" s="85">
        <v>4.0</v>
      </c>
      <c r="V1643" s="94">
        <v>0.0</v>
      </c>
      <c r="W1643" s="94">
        <v>0.0</v>
      </c>
      <c r="X1643" s="94">
        <v>0.0</v>
      </c>
      <c r="Y1643" s="94">
        <v>0.0</v>
      </c>
      <c r="Z1643" s="94">
        <v>0.0</v>
      </c>
      <c r="AA1643" s="94">
        <v>0.0</v>
      </c>
      <c r="AB1643" s="94">
        <v>0.0</v>
      </c>
      <c r="AC1643" s="85">
        <v>1.0</v>
      </c>
      <c r="AD1643" s="94">
        <v>0.0</v>
      </c>
      <c r="AE1643" s="94">
        <v>0.0</v>
      </c>
      <c r="AF1643" s="94">
        <v>0.0</v>
      </c>
      <c r="AG1643" s="94">
        <v>0.0</v>
      </c>
      <c r="AH1643" s="94">
        <v>0.0</v>
      </c>
    </row>
    <row r="1644" hidden="1">
      <c r="A1644" s="83" t="s">
        <v>44</v>
      </c>
      <c r="B1644" s="84" t="s">
        <v>187</v>
      </c>
      <c r="C1644" s="85">
        <v>1.0</v>
      </c>
      <c r="D1644" s="94">
        <v>0.0</v>
      </c>
      <c r="E1644" s="86">
        <v>38.0</v>
      </c>
      <c r="F1644" s="94">
        <v>0.0</v>
      </c>
      <c r="G1644" s="85">
        <v>151.0</v>
      </c>
      <c r="H1644" s="85">
        <v>1.0</v>
      </c>
      <c r="I1644" s="85">
        <v>144.0</v>
      </c>
      <c r="J1644" s="95">
        <f t="shared" si="1240"/>
        <v>7</v>
      </c>
      <c r="K1644" s="87">
        <f t="shared" si="1241"/>
        <v>1.048611111</v>
      </c>
      <c r="L1644" s="85">
        <v>13.0</v>
      </c>
      <c r="M1644" s="85">
        <v>198.0</v>
      </c>
      <c r="N1644" s="85">
        <v>1.0</v>
      </c>
      <c r="O1644" s="110">
        <f t="shared" si="1242"/>
        <v>38</v>
      </c>
      <c r="P1644" s="85">
        <v>6.0</v>
      </c>
      <c r="Q1644" s="85">
        <v>4.0</v>
      </c>
      <c r="R1644" s="85">
        <v>18.0</v>
      </c>
      <c r="S1644" s="94">
        <v>0.0</v>
      </c>
      <c r="T1644" s="85">
        <v>21.0</v>
      </c>
      <c r="U1644" s="85">
        <v>5.0</v>
      </c>
      <c r="V1644" s="85">
        <v>1.0</v>
      </c>
      <c r="W1644" s="85">
        <v>1.0</v>
      </c>
      <c r="X1644" s="94">
        <v>0.0</v>
      </c>
      <c r="Y1644" s="94">
        <v>0.0</v>
      </c>
      <c r="Z1644" s="94">
        <v>0.0</v>
      </c>
      <c r="AA1644" s="94">
        <v>0.0</v>
      </c>
      <c r="AB1644" s="94">
        <v>0.0</v>
      </c>
      <c r="AC1644" s="94">
        <v>0.0</v>
      </c>
      <c r="AD1644" s="85">
        <v>2.0</v>
      </c>
      <c r="AE1644" s="94">
        <v>0.0</v>
      </c>
      <c r="AF1644" s="94">
        <v>0.0</v>
      </c>
      <c r="AG1644" s="85">
        <v>1.0</v>
      </c>
      <c r="AH1644" s="94">
        <v>0.0</v>
      </c>
    </row>
    <row r="1645" hidden="1">
      <c r="A1645" s="83" t="s">
        <v>44</v>
      </c>
      <c r="B1645" s="84" t="s">
        <v>188</v>
      </c>
      <c r="C1645" s="85">
        <v>1.0</v>
      </c>
      <c r="D1645" s="94">
        <v>0.0</v>
      </c>
      <c r="E1645" s="86">
        <v>38.0</v>
      </c>
      <c r="F1645" s="85">
        <v>2.0</v>
      </c>
      <c r="G1645" s="85">
        <v>65.0</v>
      </c>
      <c r="H1645" s="94">
        <v>0.0</v>
      </c>
      <c r="I1645" s="85">
        <v>97.0</v>
      </c>
      <c r="J1645" s="95">
        <f t="shared" si="1240"/>
        <v>-32</v>
      </c>
      <c r="K1645" s="87">
        <f t="shared" si="1241"/>
        <v>0.6701030928</v>
      </c>
      <c r="L1645" s="85">
        <v>20.0</v>
      </c>
      <c r="M1645" s="85">
        <v>79.0</v>
      </c>
      <c r="N1645" s="85">
        <v>1.0</v>
      </c>
      <c r="O1645" s="110">
        <f t="shared" si="1242"/>
        <v>38</v>
      </c>
      <c r="P1645" s="85">
        <v>5.0</v>
      </c>
      <c r="Q1645" s="85">
        <v>2.0</v>
      </c>
      <c r="R1645" s="85">
        <v>2.0</v>
      </c>
      <c r="S1645" s="85">
        <v>2.0</v>
      </c>
      <c r="T1645" s="85">
        <v>3.0</v>
      </c>
      <c r="U1645" s="94">
        <v>0.0</v>
      </c>
      <c r="V1645" s="94">
        <v>0.0</v>
      </c>
      <c r="W1645" s="94">
        <v>0.0</v>
      </c>
      <c r="X1645" s="94">
        <v>0.0</v>
      </c>
      <c r="Y1645" s="94">
        <v>0.0</v>
      </c>
      <c r="Z1645" s="94">
        <v>0.0</v>
      </c>
      <c r="AA1645" s="94">
        <v>0.0</v>
      </c>
      <c r="AB1645" s="94">
        <v>0.0</v>
      </c>
      <c r="AC1645" s="94">
        <v>0.0</v>
      </c>
      <c r="AD1645" s="94">
        <v>0.0</v>
      </c>
      <c r="AE1645" s="94">
        <v>0.0</v>
      </c>
      <c r="AF1645" s="94">
        <v>0.0</v>
      </c>
      <c r="AG1645" s="94">
        <v>0.0</v>
      </c>
      <c r="AH1645" s="94">
        <v>0.0</v>
      </c>
    </row>
    <row r="1646" hidden="1">
      <c r="A1646" s="83" t="s">
        <v>44</v>
      </c>
      <c r="B1646" s="84" t="s">
        <v>189</v>
      </c>
      <c r="C1646" s="85">
        <v>1.0</v>
      </c>
      <c r="D1646" s="94">
        <v>0.0</v>
      </c>
      <c r="E1646" s="86">
        <v>38.0</v>
      </c>
      <c r="F1646" s="94">
        <v>0.0</v>
      </c>
      <c r="G1646" s="85">
        <v>143.0</v>
      </c>
      <c r="H1646" s="85">
        <v>1.0</v>
      </c>
      <c r="I1646" s="85">
        <v>136.0</v>
      </c>
      <c r="J1646" s="95">
        <f t="shared" si="1240"/>
        <v>7</v>
      </c>
      <c r="K1646" s="87">
        <f t="shared" si="1241"/>
        <v>1.051470588</v>
      </c>
      <c r="L1646" s="85">
        <v>13.0</v>
      </c>
      <c r="M1646" s="85">
        <v>192.0</v>
      </c>
      <c r="N1646" s="85">
        <v>1.0</v>
      </c>
      <c r="O1646" s="110">
        <f t="shared" si="1242"/>
        <v>38</v>
      </c>
      <c r="P1646" s="85">
        <v>9.0</v>
      </c>
      <c r="Q1646" s="85">
        <v>3.0</v>
      </c>
      <c r="R1646" s="85">
        <v>23.0</v>
      </c>
      <c r="S1646" s="85">
        <v>2.0</v>
      </c>
      <c r="T1646" s="85">
        <v>21.0</v>
      </c>
      <c r="U1646" s="85">
        <v>1.0</v>
      </c>
      <c r="V1646" s="94">
        <v>0.0</v>
      </c>
      <c r="W1646" s="94">
        <v>0.0</v>
      </c>
      <c r="X1646" s="94">
        <v>0.0</v>
      </c>
      <c r="Y1646" s="94">
        <v>0.0</v>
      </c>
      <c r="Z1646" s="94">
        <v>0.0</v>
      </c>
      <c r="AA1646" s="94">
        <v>0.0</v>
      </c>
      <c r="AB1646" s="94">
        <v>0.0</v>
      </c>
      <c r="AC1646" s="94">
        <v>0.0</v>
      </c>
      <c r="AD1646" s="94">
        <v>0.0</v>
      </c>
      <c r="AE1646" s="94">
        <v>0.0</v>
      </c>
      <c r="AF1646" s="94">
        <v>0.0</v>
      </c>
      <c r="AG1646" s="94">
        <v>0.0</v>
      </c>
      <c r="AH1646" s="94">
        <v>0.0</v>
      </c>
    </row>
    <row r="1647" hidden="1">
      <c r="A1647" s="83" t="s">
        <v>44</v>
      </c>
      <c r="B1647" s="84" t="s">
        <v>190</v>
      </c>
      <c r="C1647" s="94">
        <v>0.0</v>
      </c>
      <c r="D1647" s="94">
        <v>0.0</v>
      </c>
      <c r="E1647" s="96">
        <f t="shared" ref="E1647:E1648" si="1243">SUM(L1647*I1647)/60</f>
        <v>0</v>
      </c>
      <c r="F1647" s="94">
        <v>0.0</v>
      </c>
      <c r="G1647" s="94">
        <v>0.0</v>
      </c>
      <c r="H1647" s="94">
        <v>0.0</v>
      </c>
      <c r="I1647" s="94">
        <v>0.0</v>
      </c>
      <c r="J1647" s="95">
        <f t="shared" si="1240"/>
        <v>0</v>
      </c>
      <c r="K1647" s="87" t="str">
        <f t="shared" si="1241"/>
        <v>#DIV/0!</v>
      </c>
      <c r="L1647" s="94">
        <v>0.0</v>
      </c>
      <c r="M1647" s="94">
        <v>0.0</v>
      </c>
      <c r="N1647" s="85">
        <v>0.0</v>
      </c>
      <c r="O1647" s="110">
        <f t="shared" si="1242"/>
        <v>0</v>
      </c>
      <c r="P1647" s="94">
        <v>0.0</v>
      </c>
      <c r="Q1647" s="94">
        <v>0.0</v>
      </c>
      <c r="R1647" s="94">
        <v>0.0</v>
      </c>
      <c r="S1647" s="94">
        <v>0.0</v>
      </c>
      <c r="T1647" s="94">
        <v>0.0</v>
      </c>
      <c r="U1647" s="94">
        <v>0.0</v>
      </c>
      <c r="V1647" s="94">
        <v>0.0</v>
      </c>
      <c r="W1647" s="94">
        <v>0.0</v>
      </c>
      <c r="X1647" s="94">
        <v>0.0</v>
      </c>
      <c r="Y1647" s="94">
        <v>0.0</v>
      </c>
      <c r="Z1647" s="94">
        <v>0.0</v>
      </c>
      <c r="AA1647" s="94">
        <v>0.0</v>
      </c>
      <c r="AB1647" s="94">
        <v>0.0</v>
      </c>
      <c r="AC1647" s="94">
        <v>0.0</v>
      </c>
      <c r="AD1647" s="94">
        <v>0.0</v>
      </c>
      <c r="AE1647" s="94">
        <v>0.0</v>
      </c>
      <c r="AF1647" s="94">
        <v>0.0</v>
      </c>
      <c r="AG1647" s="94">
        <v>0.0</v>
      </c>
      <c r="AH1647" s="94">
        <v>0.0</v>
      </c>
    </row>
    <row r="1648" hidden="1">
      <c r="A1648" s="83" t="s">
        <v>44</v>
      </c>
      <c r="B1648" s="93"/>
      <c r="C1648" s="94">
        <v>0.0</v>
      </c>
      <c r="D1648" s="94">
        <v>0.0</v>
      </c>
      <c r="E1648" s="96">
        <f t="shared" si="1243"/>
        <v>0</v>
      </c>
      <c r="F1648" s="94">
        <v>0.0</v>
      </c>
      <c r="G1648" s="94">
        <v>0.0</v>
      </c>
      <c r="H1648" s="94">
        <v>0.0</v>
      </c>
      <c r="I1648" s="94">
        <v>0.0</v>
      </c>
      <c r="J1648" s="95">
        <f t="shared" si="1240"/>
        <v>0</v>
      </c>
      <c r="K1648" s="87" t="str">
        <f t="shared" si="1241"/>
        <v>#DIV/0!</v>
      </c>
      <c r="L1648" s="94">
        <v>0.0</v>
      </c>
      <c r="M1648" s="94">
        <v>0.0</v>
      </c>
      <c r="N1648" s="85">
        <v>0.0</v>
      </c>
      <c r="O1648" s="110">
        <f t="shared" si="1242"/>
        <v>0</v>
      </c>
      <c r="P1648" s="94">
        <v>0.0</v>
      </c>
      <c r="Q1648" s="94">
        <v>0.0</v>
      </c>
      <c r="R1648" s="94">
        <v>0.0</v>
      </c>
      <c r="S1648" s="94">
        <v>0.0</v>
      </c>
      <c r="T1648" s="94">
        <v>0.0</v>
      </c>
      <c r="U1648" s="94">
        <v>0.0</v>
      </c>
      <c r="V1648" s="94">
        <v>0.0</v>
      </c>
      <c r="W1648" s="94">
        <v>0.0</v>
      </c>
      <c r="X1648" s="94">
        <v>0.0</v>
      </c>
      <c r="Y1648" s="94">
        <v>0.0</v>
      </c>
      <c r="Z1648" s="94">
        <v>0.0</v>
      </c>
      <c r="AA1648" s="94">
        <v>0.0</v>
      </c>
      <c r="AB1648" s="94">
        <v>0.0</v>
      </c>
      <c r="AC1648" s="94">
        <v>0.0</v>
      </c>
      <c r="AD1648" s="94">
        <v>0.0</v>
      </c>
      <c r="AE1648" s="94">
        <v>0.0</v>
      </c>
      <c r="AF1648" s="94">
        <v>0.0</v>
      </c>
      <c r="AG1648" s="94">
        <v>0.0</v>
      </c>
      <c r="AH1648" s="94">
        <v>0.0</v>
      </c>
    </row>
    <row r="1649" hidden="1">
      <c r="A1649" s="89"/>
      <c r="B1649" s="111"/>
      <c r="C1649" s="111">
        <f t="shared" ref="C1649:D1649" si="1244">SUM(C1643:C1648)/4</f>
        <v>1</v>
      </c>
      <c r="D1649" s="111">
        <f t="shared" si="1244"/>
        <v>0</v>
      </c>
      <c r="E1649" s="91">
        <f t="shared" ref="E1649:G1649" si="1245">SUM(E1643:E1648)</f>
        <v>152</v>
      </c>
      <c r="F1649" s="111">
        <f t="shared" si="1245"/>
        <v>2</v>
      </c>
      <c r="G1649" s="111">
        <f t="shared" si="1245"/>
        <v>487</v>
      </c>
      <c r="H1649" s="111"/>
      <c r="I1649" s="111">
        <f>SUM(I1643:I1648)</f>
        <v>546</v>
      </c>
      <c r="J1649" s="111">
        <f t="shared" si="1240"/>
        <v>-59</v>
      </c>
      <c r="K1649" s="92">
        <f t="shared" si="1241"/>
        <v>0.8919413919</v>
      </c>
      <c r="L1649" s="111">
        <f t="shared" ref="L1649:M1649" si="1246">SUM(L1643:L1648)</f>
        <v>56</v>
      </c>
      <c r="M1649" s="111">
        <f t="shared" si="1246"/>
        <v>638</v>
      </c>
      <c r="N1649" s="111"/>
      <c r="O1649" s="112"/>
      <c r="P1649" s="111">
        <f t="shared" ref="P1649:AH1649" si="1247">SUM(P1643:P1648)</f>
        <v>24</v>
      </c>
      <c r="Q1649" s="111">
        <f t="shared" si="1247"/>
        <v>15</v>
      </c>
      <c r="R1649" s="111">
        <f t="shared" si="1247"/>
        <v>56</v>
      </c>
      <c r="S1649" s="111">
        <f t="shared" si="1247"/>
        <v>7</v>
      </c>
      <c r="T1649" s="111">
        <f t="shared" si="1247"/>
        <v>65</v>
      </c>
      <c r="U1649" s="111">
        <f t="shared" si="1247"/>
        <v>10</v>
      </c>
      <c r="V1649" s="111">
        <f t="shared" si="1247"/>
        <v>1</v>
      </c>
      <c r="W1649" s="111">
        <f t="shared" si="1247"/>
        <v>1</v>
      </c>
      <c r="X1649" s="111">
        <f t="shared" si="1247"/>
        <v>0</v>
      </c>
      <c r="Y1649" s="111">
        <f t="shared" si="1247"/>
        <v>0</v>
      </c>
      <c r="Z1649" s="111">
        <f t="shared" si="1247"/>
        <v>0</v>
      </c>
      <c r="AA1649" s="111">
        <f t="shared" si="1247"/>
        <v>0</v>
      </c>
      <c r="AB1649" s="111">
        <f t="shared" si="1247"/>
        <v>0</v>
      </c>
      <c r="AC1649" s="111">
        <f t="shared" si="1247"/>
        <v>1</v>
      </c>
      <c r="AD1649" s="111">
        <f t="shared" si="1247"/>
        <v>2</v>
      </c>
      <c r="AE1649" s="111">
        <f t="shared" si="1247"/>
        <v>0</v>
      </c>
      <c r="AF1649" s="111">
        <f t="shared" si="1247"/>
        <v>0</v>
      </c>
      <c r="AG1649" s="111">
        <f t="shared" si="1247"/>
        <v>1</v>
      </c>
      <c r="AH1649" s="111">
        <f t="shared" si="1247"/>
        <v>0</v>
      </c>
    </row>
    <row r="1650" hidden="1">
      <c r="A1650" s="83" t="s">
        <v>51</v>
      </c>
      <c r="B1650" s="84" t="s">
        <v>222</v>
      </c>
      <c r="C1650" s="85">
        <v>1.0</v>
      </c>
      <c r="D1650" s="94">
        <v>0.0</v>
      </c>
      <c r="E1650" s="86">
        <v>38.0</v>
      </c>
      <c r="F1650" s="85">
        <v>1.0</v>
      </c>
      <c r="G1650" s="85">
        <v>138.0</v>
      </c>
      <c r="H1650" s="94">
        <v>0.0</v>
      </c>
      <c r="I1650" s="85">
        <v>136.0</v>
      </c>
      <c r="J1650" s="95">
        <f t="shared" si="1240"/>
        <v>2</v>
      </c>
      <c r="K1650" s="87">
        <f t="shared" si="1241"/>
        <v>1.014705882</v>
      </c>
      <c r="L1650" s="85">
        <v>13.0</v>
      </c>
      <c r="M1650" s="85">
        <v>172.0</v>
      </c>
      <c r="N1650" s="85">
        <v>1.0</v>
      </c>
      <c r="O1650" s="110">
        <f t="shared" ref="O1650:O1655" si="1248">(E1650*N1650)</f>
        <v>38</v>
      </c>
      <c r="P1650" s="85">
        <v>5.0</v>
      </c>
      <c r="Q1650" s="85">
        <v>4.0</v>
      </c>
      <c r="R1650" s="85">
        <v>13.0</v>
      </c>
      <c r="S1650" s="85">
        <v>3.0</v>
      </c>
      <c r="T1650" s="85">
        <v>15.0</v>
      </c>
      <c r="U1650" s="85">
        <v>3.0</v>
      </c>
      <c r="V1650" s="94">
        <v>0.0</v>
      </c>
      <c r="W1650" s="94">
        <v>0.0</v>
      </c>
      <c r="X1650" s="94">
        <v>0.0</v>
      </c>
      <c r="Y1650" s="94">
        <v>0.0</v>
      </c>
      <c r="Z1650" s="94">
        <v>0.0</v>
      </c>
      <c r="AA1650" s="94">
        <v>0.0</v>
      </c>
      <c r="AB1650" s="94">
        <v>0.0</v>
      </c>
      <c r="AC1650" s="85">
        <v>3.0</v>
      </c>
      <c r="AD1650" s="94">
        <v>0.0</v>
      </c>
      <c r="AE1650" s="94">
        <v>0.0</v>
      </c>
      <c r="AF1650" s="94">
        <v>0.0</v>
      </c>
      <c r="AG1650" s="94">
        <v>0.0</v>
      </c>
      <c r="AH1650" s="85">
        <v>1.0</v>
      </c>
    </row>
    <row r="1651" hidden="1">
      <c r="A1651" s="83" t="s">
        <v>51</v>
      </c>
      <c r="B1651" s="84" t="s">
        <v>223</v>
      </c>
      <c r="C1651" s="85">
        <v>1.0</v>
      </c>
      <c r="D1651" s="94">
        <v>0.0</v>
      </c>
      <c r="E1651" s="86">
        <v>38.0</v>
      </c>
      <c r="F1651" s="85">
        <v>1.0</v>
      </c>
      <c r="G1651" s="85">
        <v>165.0</v>
      </c>
      <c r="H1651" s="94">
        <v>0.0</v>
      </c>
      <c r="I1651" s="85">
        <v>112.0</v>
      </c>
      <c r="J1651" s="95">
        <f t="shared" si="1240"/>
        <v>53</v>
      </c>
      <c r="K1651" s="87">
        <f t="shared" si="1241"/>
        <v>1.473214286</v>
      </c>
      <c r="L1651" s="85">
        <v>17.0</v>
      </c>
      <c r="M1651" s="85">
        <v>220.0</v>
      </c>
      <c r="N1651" s="85">
        <v>1.0</v>
      </c>
      <c r="O1651" s="110">
        <f t="shared" si="1248"/>
        <v>38</v>
      </c>
      <c r="P1651" s="85">
        <v>8.0</v>
      </c>
      <c r="Q1651" s="85">
        <v>9.0</v>
      </c>
      <c r="R1651" s="85">
        <v>14.0</v>
      </c>
      <c r="S1651" s="85">
        <v>1.0</v>
      </c>
      <c r="T1651" s="85">
        <v>24.0</v>
      </c>
      <c r="U1651" s="85">
        <v>3.0</v>
      </c>
      <c r="V1651" s="94">
        <v>0.0</v>
      </c>
      <c r="W1651" s="94">
        <v>0.0</v>
      </c>
      <c r="X1651" s="94">
        <v>0.0</v>
      </c>
      <c r="Y1651" s="94">
        <v>0.0</v>
      </c>
      <c r="Z1651" s="94">
        <v>0.0</v>
      </c>
      <c r="AA1651" s="94">
        <v>0.0</v>
      </c>
      <c r="AB1651" s="94">
        <v>0.0</v>
      </c>
      <c r="AC1651" s="85">
        <v>6.0</v>
      </c>
      <c r="AD1651" s="94">
        <v>0.0</v>
      </c>
      <c r="AE1651" s="94">
        <v>0.0</v>
      </c>
      <c r="AF1651" s="94">
        <v>0.0</v>
      </c>
      <c r="AG1651" s="94">
        <v>0.0</v>
      </c>
      <c r="AH1651" s="85">
        <v>1.0</v>
      </c>
    </row>
    <row r="1652" hidden="1">
      <c r="A1652" s="83" t="s">
        <v>51</v>
      </c>
      <c r="B1652" s="84" t="s">
        <v>224</v>
      </c>
      <c r="C1652" s="85">
        <v>1.0</v>
      </c>
      <c r="D1652" s="94">
        <v>0.0</v>
      </c>
      <c r="E1652" s="86">
        <v>38.0</v>
      </c>
      <c r="F1652" s="94">
        <v>0.0</v>
      </c>
      <c r="G1652" s="85">
        <v>146.0</v>
      </c>
      <c r="H1652" s="85">
        <v>2.0</v>
      </c>
      <c r="I1652" s="85">
        <v>141.0</v>
      </c>
      <c r="J1652" s="95">
        <f t="shared" si="1240"/>
        <v>5</v>
      </c>
      <c r="K1652" s="87">
        <f t="shared" si="1241"/>
        <v>1.035460993</v>
      </c>
      <c r="L1652" s="85">
        <v>13.0</v>
      </c>
      <c r="M1652" s="85">
        <v>184.0</v>
      </c>
      <c r="N1652" s="85">
        <v>1.0</v>
      </c>
      <c r="O1652" s="110">
        <f t="shared" si="1248"/>
        <v>38</v>
      </c>
      <c r="P1652" s="85">
        <v>6.0</v>
      </c>
      <c r="Q1652" s="85">
        <v>2.0</v>
      </c>
      <c r="R1652" s="85">
        <v>6.0</v>
      </c>
      <c r="S1652" s="85">
        <v>1.0</v>
      </c>
      <c r="T1652" s="85">
        <v>22.0</v>
      </c>
      <c r="U1652" s="85">
        <v>3.0</v>
      </c>
      <c r="V1652" s="94">
        <v>0.0</v>
      </c>
      <c r="W1652" s="94">
        <v>0.0</v>
      </c>
      <c r="X1652" s="94">
        <v>0.0</v>
      </c>
      <c r="Y1652" s="94">
        <v>0.0</v>
      </c>
      <c r="Z1652" s="94">
        <v>0.0</v>
      </c>
      <c r="AA1652" s="94">
        <v>0.0</v>
      </c>
      <c r="AB1652" s="94">
        <v>0.0</v>
      </c>
      <c r="AC1652" s="85">
        <v>2.0</v>
      </c>
      <c r="AD1652" s="85">
        <v>0.0</v>
      </c>
      <c r="AE1652" s="94">
        <v>0.0</v>
      </c>
      <c r="AF1652" s="94">
        <v>0.0</v>
      </c>
      <c r="AG1652" s="94">
        <v>0.0</v>
      </c>
      <c r="AH1652" s="94">
        <v>0.0</v>
      </c>
    </row>
    <row r="1653" hidden="1">
      <c r="A1653" s="83" t="s">
        <v>51</v>
      </c>
      <c r="B1653" s="84" t="s">
        <v>225</v>
      </c>
      <c r="C1653" s="85">
        <v>1.0</v>
      </c>
      <c r="D1653" s="94">
        <v>0.0</v>
      </c>
      <c r="E1653" s="86">
        <v>38.0</v>
      </c>
      <c r="F1653" s="85">
        <v>3.0</v>
      </c>
      <c r="G1653" s="85">
        <v>74.0</v>
      </c>
      <c r="H1653" s="85">
        <v>1.0</v>
      </c>
      <c r="I1653" s="85">
        <v>104.0</v>
      </c>
      <c r="J1653" s="95">
        <f t="shared" si="1240"/>
        <v>-30</v>
      </c>
      <c r="K1653" s="87">
        <f t="shared" si="1241"/>
        <v>0.7115384615</v>
      </c>
      <c r="L1653" s="85">
        <v>19.0</v>
      </c>
      <c r="M1653" s="85">
        <v>94.0</v>
      </c>
      <c r="N1653" s="85">
        <v>1.0</v>
      </c>
      <c r="O1653" s="110">
        <f t="shared" si="1248"/>
        <v>38</v>
      </c>
      <c r="P1653" s="85">
        <v>5.0</v>
      </c>
      <c r="Q1653" s="85">
        <v>2.0</v>
      </c>
      <c r="R1653" s="85">
        <v>2.0</v>
      </c>
      <c r="S1653" s="85">
        <v>1.0</v>
      </c>
      <c r="T1653" s="85">
        <v>8.0</v>
      </c>
      <c r="U1653" s="85">
        <v>1.0</v>
      </c>
      <c r="V1653" s="94">
        <v>0.0</v>
      </c>
      <c r="W1653" s="94">
        <v>0.0</v>
      </c>
      <c r="X1653" s="94">
        <v>0.0</v>
      </c>
      <c r="Y1653" s="94">
        <v>0.0</v>
      </c>
      <c r="Z1653" s="94">
        <v>0.0</v>
      </c>
      <c r="AA1653" s="94">
        <v>0.0</v>
      </c>
      <c r="AB1653" s="94">
        <v>0.0</v>
      </c>
      <c r="AC1653" s="94">
        <v>0.0</v>
      </c>
      <c r="AD1653" s="94">
        <v>0.0</v>
      </c>
      <c r="AE1653" s="94">
        <v>0.0</v>
      </c>
      <c r="AF1653" s="94">
        <v>0.0</v>
      </c>
      <c r="AG1653" s="94">
        <v>0.0</v>
      </c>
      <c r="AH1653" s="94">
        <v>0.0</v>
      </c>
    </row>
    <row r="1654" hidden="1">
      <c r="A1654" s="83" t="s">
        <v>51</v>
      </c>
      <c r="B1654" s="84" t="s">
        <v>226</v>
      </c>
      <c r="C1654" s="94">
        <v>0.0</v>
      </c>
      <c r="D1654" s="94">
        <v>0.0</v>
      </c>
      <c r="E1654" s="96">
        <f t="shared" ref="E1654:E1655" si="1249">SUM(L1654*I1654)/60</f>
        <v>0</v>
      </c>
      <c r="F1654" s="94">
        <v>0.0</v>
      </c>
      <c r="G1654" s="94">
        <v>0.0</v>
      </c>
      <c r="H1654" s="94">
        <v>0.0</v>
      </c>
      <c r="I1654" s="94">
        <v>0.0</v>
      </c>
      <c r="J1654" s="95">
        <f t="shared" si="1240"/>
        <v>0</v>
      </c>
      <c r="K1654" s="87" t="str">
        <f t="shared" si="1241"/>
        <v>#DIV/0!</v>
      </c>
      <c r="L1654" s="94">
        <v>0.0</v>
      </c>
      <c r="M1654" s="94">
        <v>0.0</v>
      </c>
      <c r="N1654" s="85">
        <v>0.0</v>
      </c>
      <c r="O1654" s="110">
        <f t="shared" si="1248"/>
        <v>0</v>
      </c>
      <c r="P1654" s="94">
        <v>0.0</v>
      </c>
      <c r="Q1654" s="94">
        <v>0.0</v>
      </c>
      <c r="R1654" s="94">
        <v>0.0</v>
      </c>
      <c r="S1654" s="94">
        <v>0.0</v>
      </c>
      <c r="T1654" s="94">
        <v>0.0</v>
      </c>
      <c r="U1654" s="94">
        <v>0.0</v>
      </c>
      <c r="V1654" s="94">
        <v>0.0</v>
      </c>
      <c r="W1654" s="94">
        <v>0.0</v>
      </c>
      <c r="X1654" s="94">
        <v>0.0</v>
      </c>
      <c r="Y1654" s="94">
        <v>0.0</v>
      </c>
      <c r="Z1654" s="94">
        <v>0.0</v>
      </c>
      <c r="AA1654" s="94">
        <v>0.0</v>
      </c>
      <c r="AB1654" s="94">
        <v>0.0</v>
      </c>
      <c r="AC1654" s="94">
        <v>0.0</v>
      </c>
      <c r="AD1654" s="94">
        <v>0.0</v>
      </c>
      <c r="AE1654" s="94">
        <v>0.0</v>
      </c>
      <c r="AF1654" s="94">
        <v>0.0</v>
      </c>
      <c r="AG1654" s="94">
        <v>0.0</v>
      </c>
      <c r="AH1654" s="94">
        <v>0.0</v>
      </c>
    </row>
    <row r="1655" hidden="1">
      <c r="A1655" s="83" t="s">
        <v>51</v>
      </c>
      <c r="B1655" s="93"/>
      <c r="C1655" s="94">
        <v>0.0</v>
      </c>
      <c r="D1655" s="94">
        <v>0.0</v>
      </c>
      <c r="E1655" s="96">
        <f t="shared" si="1249"/>
        <v>0</v>
      </c>
      <c r="F1655" s="94">
        <v>0.0</v>
      </c>
      <c r="G1655" s="94">
        <v>0.0</v>
      </c>
      <c r="H1655" s="94">
        <v>0.0</v>
      </c>
      <c r="I1655" s="94">
        <v>0.0</v>
      </c>
      <c r="J1655" s="95">
        <f t="shared" si="1240"/>
        <v>0</v>
      </c>
      <c r="K1655" s="87" t="str">
        <f t="shared" si="1241"/>
        <v>#DIV/0!</v>
      </c>
      <c r="L1655" s="94">
        <v>0.0</v>
      </c>
      <c r="M1655" s="94">
        <v>0.0</v>
      </c>
      <c r="N1655" s="85">
        <v>0.0</v>
      </c>
      <c r="O1655" s="110">
        <f t="shared" si="1248"/>
        <v>0</v>
      </c>
      <c r="P1655" s="94">
        <v>0.0</v>
      </c>
      <c r="Q1655" s="94">
        <v>0.0</v>
      </c>
      <c r="R1655" s="94">
        <v>0.0</v>
      </c>
      <c r="S1655" s="94">
        <v>0.0</v>
      </c>
      <c r="T1655" s="94">
        <v>0.0</v>
      </c>
      <c r="U1655" s="94">
        <v>0.0</v>
      </c>
      <c r="V1655" s="94">
        <v>0.0</v>
      </c>
      <c r="W1655" s="94">
        <v>0.0</v>
      </c>
      <c r="X1655" s="94">
        <v>0.0</v>
      </c>
      <c r="Y1655" s="94">
        <v>0.0</v>
      </c>
      <c r="Z1655" s="94">
        <v>0.0</v>
      </c>
      <c r="AA1655" s="94">
        <v>0.0</v>
      </c>
      <c r="AB1655" s="94">
        <v>0.0</v>
      </c>
      <c r="AC1655" s="94">
        <v>0.0</v>
      </c>
      <c r="AD1655" s="94">
        <v>0.0</v>
      </c>
      <c r="AE1655" s="94">
        <v>0.0</v>
      </c>
      <c r="AF1655" s="94">
        <v>0.0</v>
      </c>
      <c r="AG1655" s="94">
        <v>0.0</v>
      </c>
      <c r="AH1655" s="94">
        <v>0.0</v>
      </c>
    </row>
    <row r="1656" hidden="1">
      <c r="A1656" s="89" t="s">
        <v>185</v>
      </c>
      <c r="B1656" s="111"/>
      <c r="C1656" s="111">
        <f>SUM(C1650:C1655)</f>
        <v>4</v>
      </c>
      <c r="D1656" s="111">
        <f t="shared" ref="D1656:E1656" si="1250">SUM(D1650:D1655)/4</f>
        <v>0</v>
      </c>
      <c r="E1656" s="91">
        <f t="shared" si="1250"/>
        <v>38</v>
      </c>
      <c r="F1656" s="111">
        <f t="shared" ref="F1656:G1656" si="1251">SUM(F1650:F1655)</f>
        <v>5</v>
      </c>
      <c r="G1656" s="111">
        <f t="shared" si="1251"/>
        <v>523</v>
      </c>
      <c r="H1656" s="111"/>
      <c r="I1656" s="111">
        <f>SUM(I1650:I1655)</f>
        <v>493</v>
      </c>
      <c r="J1656" s="111">
        <f t="shared" si="1240"/>
        <v>30</v>
      </c>
      <c r="K1656" s="92">
        <f t="shared" si="1241"/>
        <v>1.060851927</v>
      </c>
      <c r="L1656" s="111">
        <f t="shared" ref="L1656:M1656" si="1252">SUM(L1650:L1655)</f>
        <v>62</v>
      </c>
      <c r="M1656" s="111">
        <f t="shared" si="1252"/>
        <v>670</v>
      </c>
      <c r="N1656" s="111"/>
      <c r="O1656" s="112"/>
      <c r="P1656" s="111">
        <f t="shared" ref="P1656:AH1656" si="1253">SUM(P1650:P1655)</f>
        <v>24</v>
      </c>
      <c r="Q1656" s="111">
        <f t="shared" si="1253"/>
        <v>17</v>
      </c>
      <c r="R1656" s="111">
        <f t="shared" si="1253"/>
        <v>35</v>
      </c>
      <c r="S1656" s="111">
        <f t="shared" si="1253"/>
        <v>6</v>
      </c>
      <c r="T1656" s="111">
        <f t="shared" si="1253"/>
        <v>69</v>
      </c>
      <c r="U1656" s="111">
        <f t="shared" si="1253"/>
        <v>10</v>
      </c>
      <c r="V1656" s="111">
        <f t="shared" si="1253"/>
        <v>0</v>
      </c>
      <c r="W1656" s="111">
        <f t="shared" si="1253"/>
        <v>0</v>
      </c>
      <c r="X1656" s="111">
        <f t="shared" si="1253"/>
        <v>0</v>
      </c>
      <c r="Y1656" s="111">
        <f t="shared" si="1253"/>
        <v>0</v>
      </c>
      <c r="Z1656" s="111">
        <f t="shared" si="1253"/>
        <v>0</v>
      </c>
      <c r="AA1656" s="111">
        <f t="shared" si="1253"/>
        <v>0</v>
      </c>
      <c r="AB1656" s="111">
        <f t="shared" si="1253"/>
        <v>0</v>
      </c>
      <c r="AC1656" s="111">
        <f t="shared" si="1253"/>
        <v>11</v>
      </c>
      <c r="AD1656" s="111">
        <f t="shared" si="1253"/>
        <v>0</v>
      </c>
      <c r="AE1656" s="111">
        <f t="shared" si="1253"/>
        <v>0</v>
      </c>
      <c r="AF1656" s="111">
        <f t="shared" si="1253"/>
        <v>0</v>
      </c>
      <c r="AG1656" s="111">
        <f t="shared" si="1253"/>
        <v>0</v>
      </c>
      <c r="AH1656" s="111">
        <f t="shared" si="1253"/>
        <v>2</v>
      </c>
    </row>
    <row r="1657">
      <c r="A1657" s="113" t="s">
        <v>346</v>
      </c>
    </row>
    <row r="1659" hidden="1">
      <c r="A1659" s="105"/>
      <c r="F1659" s="106" t="s">
        <v>251</v>
      </c>
      <c r="L1659" s="107" t="s">
        <v>252</v>
      </c>
      <c r="N1659" s="108" t="s">
        <v>253</v>
      </c>
    </row>
    <row r="1660" hidden="1">
      <c r="A1660" s="76" t="s">
        <v>148</v>
      </c>
      <c r="B1660" s="76" t="s">
        <v>149</v>
      </c>
      <c r="C1660" s="76" t="s">
        <v>150</v>
      </c>
      <c r="D1660" s="76" t="s">
        <v>13</v>
      </c>
      <c r="E1660" s="77" t="s">
        <v>151</v>
      </c>
      <c r="F1660" s="78" t="s">
        <v>15</v>
      </c>
      <c r="G1660" s="78" t="s">
        <v>152</v>
      </c>
      <c r="H1660" s="78" t="s">
        <v>153</v>
      </c>
      <c r="I1660" s="78" t="s">
        <v>154</v>
      </c>
      <c r="J1660" s="78" t="s">
        <v>155</v>
      </c>
      <c r="K1660" s="79" t="s">
        <v>156</v>
      </c>
      <c r="L1660" s="80" t="s">
        <v>157</v>
      </c>
      <c r="M1660" s="80" t="s">
        <v>158</v>
      </c>
      <c r="N1660" s="81" t="s">
        <v>254</v>
      </c>
      <c r="O1660" s="81" t="s">
        <v>151</v>
      </c>
      <c r="P1660" s="81" t="s">
        <v>160</v>
      </c>
      <c r="Q1660" s="81" t="s">
        <v>161</v>
      </c>
      <c r="R1660" s="81" t="s">
        <v>162</v>
      </c>
      <c r="S1660" s="81" t="s">
        <v>163</v>
      </c>
      <c r="T1660" s="81" t="s">
        <v>164</v>
      </c>
      <c r="U1660" s="81" t="s">
        <v>165</v>
      </c>
      <c r="V1660" s="81" t="s">
        <v>166</v>
      </c>
      <c r="W1660" s="81" t="s">
        <v>167</v>
      </c>
      <c r="X1660" s="81" t="s">
        <v>168</v>
      </c>
      <c r="Y1660" s="81" t="s">
        <v>169</v>
      </c>
      <c r="Z1660" s="81" t="s">
        <v>170</v>
      </c>
      <c r="AA1660" s="81" t="s">
        <v>171</v>
      </c>
      <c r="AB1660" s="81" t="s">
        <v>172</v>
      </c>
      <c r="AC1660" s="81" t="s">
        <v>173</v>
      </c>
      <c r="AD1660" s="81" t="s">
        <v>174</v>
      </c>
      <c r="AE1660" s="81" t="s">
        <v>175</v>
      </c>
      <c r="AF1660" s="81" t="s">
        <v>176</v>
      </c>
      <c r="AG1660" s="81" t="s">
        <v>177</v>
      </c>
      <c r="AH1660" s="81" t="s">
        <v>178</v>
      </c>
    </row>
    <row r="1661" hidden="1">
      <c r="A1661" s="83" t="s">
        <v>44</v>
      </c>
      <c r="B1661" s="84" t="s">
        <v>186</v>
      </c>
      <c r="C1661" s="85">
        <v>1.0</v>
      </c>
      <c r="D1661" s="94">
        <v>0.0</v>
      </c>
      <c r="E1661" s="86">
        <v>66.0</v>
      </c>
      <c r="F1661" s="94">
        <v>0.0</v>
      </c>
      <c r="G1661" s="85">
        <v>228.0</v>
      </c>
      <c r="H1661" s="94">
        <v>0.0</v>
      </c>
      <c r="I1661" s="85">
        <v>299.0</v>
      </c>
      <c r="J1661" s="95">
        <f t="shared" ref="J1661:J1674" si="1254">SUM(G1661-I1661)</f>
        <v>-71</v>
      </c>
      <c r="K1661" s="87">
        <f t="shared" ref="K1661:K1674" si="1255">SUM(G1661/I1661)</f>
        <v>0.762541806</v>
      </c>
      <c r="L1661" s="85">
        <v>10.0</v>
      </c>
      <c r="M1661" s="85">
        <v>295.0</v>
      </c>
      <c r="N1661" s="85">
        <v>1.0</v>
      </c>
      <c r="O1661" s="110">
        <f t="shared" ref="O1661:O1666" si="1256">(E1661*N1661)</f>
        <v>66</v>
      </c>
      <c r="P1661" s="85">
        <v>7.0</v>
      </c>
      <c r="Q1661" s="85">
        <v>5.0</v>
      </c>
      <c r="R1661" s="85">
        <v>34.0</v>
      </c>
      <c r="S1661" s="85">
        <v>3.0</v>
      </c>
      <c r="T1661" s="85">
        <v>33.0</v>
      </c>
      <c r="U1661" s="85">
        <v>2.0</v>
      </c>
      <c r="V1661" s="94">
        <v>0.0</v>
      </c>
      <c r="W1661" s="94">
        <v>0.0</v>
      </c>
      <c r="X1661" s="94">
        <v>0.0</v>
      </c>
      <c r="Y1661" s="94">
        <v>0.0</v>
      </c>
      <c r="Z1661" s="94">
        <v>0.0</v>
      </c>
      <c r="AA1661" s="94">
        <v>0.0</v>
      </c>
      <c r="AB1661" s="94">
        <v>0.0</v>
      </c>
      <c r="AC1661" s="94">
        <v>0.0</v>
      </c>
      <c r="AD1661" s="94">
        <v>0.0</v>
      </c>
      <c r="AE1661" s="94">
        <v>0.0</v>
      </c>
      <c r="AF1661" s="94">
        <v>0.0</v>
      </c>
      <c r="AG1661" s="94">
        <v>0.0</v>
      </c>
      <c r="AH1661" s="94">
        <v>0.0</v>
      </c>
    </row>
    <row r="1662" hidden="1">
      <c r="A1662" s="83" t="s">
        <v>44</v>
      </c>
      <c r="B1662" s="84" t="s">
        <v>187</v>
      </c>
      <c r="C1662" s="85">
        <v>0.0</v>
      </c>
      <c r="D1662" s="94">
        <v>0.0</v>
      </c>
      <c r="E1662" s="86">
        <v>0.0</v>
      </c>
      <c r="F1662" s="94">
        <v>0.0</v>
      </c>
      <c r="G1662" s="94">
        <v>0.0</v>
      </c>
      <c r="H1662" s="94">
        <v>0.0</v>
      </c>
      <c r="I1662" s="94">
        <v>0.0</v>
      </c>
      <c r="J1662" s="95">
        <f t="shared" si="1254"/>
        <v>0</v>
      </c>
      <c r="K1662" s="87" t="str">
        <f t="shared" si="1255"/>
        <v>#DIV/0!</v>
      </c>
      <c r="L1662" s="94">
        <v>0.0</v>
      </c>
      <c r="M1662" s="94">
        <v>0.0</v>
      </c>
      <c r="N1662" s="85">
        <v>0.0</v>
      </c>
      <c r="O1662" s="110">
        <f t="shared" si="1256"/>
        <v>0</v>
      </c>
      <c r="P1662" s="94">
        <v>0.0</v>
      </c>
      <c r="Q1662" s="94">
        <v>0.0</v>
      </c>
      <c r="R1662" s="94">
        <v>0.0</v>
      </c>
      <c r="S1662" s="94">
        <v>0.0</v>
      </c>
      <c r="T1662" s="94">
        <v>0.0</v>
      </c>
      <c r="U1662" s="94">
        <v>0.0</v>
      </c>
      <c r="V1662" s="94">
        <v>0.0</v>
      </c>
      <c r="W1662" s="94">
        <v>0.0</v>
      </c>
      <c r="X1662" s="94">
        <v>0.0</v>
      </c>
      <c r="Y1662" s="94">
        <v>0.0</v>
      </c>
      <c r="Z1662" s="94">
        <v>0.0</v>
      </c>
      <c r="AA1662" s="94">
        <v>0.0</v>
      </c>
      <c r="AB1662" s="94">
        <v>0.0</v>
      </c>
      <c r="AC1662" s="94">
        <v>0.0</v>
      </c>
      <c r="AD1662" s="94">
        <v>0.0</v>
      </c>
      <c r="AE1662" s="94">
        <v>0.0</v>
      </c>
      <c r="AF1662" s="94">
        <v>0.0</v>
      </c>
      <c r="AG1662" s="94">
        <v>0.0</v>
      </c>
      <c r="AH1662" s="94">
        <v>0.0</v>
      </c>
    </row>
    <row r="1663" hidden="1">
      <c r="A1663" s="83" t="s">
        <v>44</v>
      </c>
      <c r="B1663" s="84" t="s">
        <v>188</v>
      </c>
      <c r="C1663" s="85">
        <v>1.0</v>
      </c>
      <c r="D1663" s="94">
        <v>0.0</v>
      </c>
      <c r="E1663" s="86">
        <v>66.0</v>
      </c>
      <c r="F1663" s="85">
        <v>3.0</v>
      </c>
      <c r="G1663" s="85">
        <v>141.0</v>
      </c>
      <c r="H1663" s="94">
        <v>0.0</v>
      </c>
      <c r="I1663" s="85">
        <v>109.0</v>
      </c>
      <c r="J1663" s="95">
        <f t="shared" si="1254"/>
        <v>32</v>
      </c>
      <c r="K1663" s="87">
        <f t="shared" si="1255"/>
        <v>1.293577982</v>
      </c>
      <c r="L1663" s="85">
        <v>33.0</v>
      </c>
      <c r="M1663" s="85">
        <v>181.0</v>
      </c>
      <c r="N1663" s="85">
        <v>1.0</v>
      </c>
      <c r="O1663" s="110">
        <f t="shared" si="1256"/>
        <v>66</v>
      </c>
      <c r="P1663" s="85">
        <v>4.0</v>
      </c>
      <c r="Q1663" s="85">
        <v>5.0</v>
      </c>
      <c r="R1663" s="85">
        <v>10.0</v>
      </c>
      <c r="S1663" s="85">
        <v>5.0</v>
      </c>
      <c r="T1663" s="85">
        <v>11.0</v>
      </c>
      <c r="U1663" s="85">
        <v>2.0</v>
      </c>
      <c r="V1663" s="94">
        <v>0.0</v>
      </c>
      <c r="W1663" s="94">
        <v>0.0</v>
      </c>
      <c r="X1663" s="94">
        <v>0.0</v>
      </c>
      <c r="Y1663" s="94">
        <v>0.0</v>
      </c>
      <c r="Z1663" s="94">
        <v>0.0</v>
      </c>
      <c r="AA1663" s="94">
        <v>0.0</v>
      </c>
      <c r="AB1663" s="94">
        <v>0.0</v>
      </c>
      <c r="AC1663" s="85">
        <v>6.0</v>
      </c>
      <c r="AD1663" s="94">
        <v>0.0</v>
      </c>
      <c r="AE1663" s="94">
        <v>0.0</v>
      </c>
      <c r="AF1663" s="94">
        <v>0.0</v>
      </c>
      <c r="AG1663" s="94">
        <v>0.0</v>
      </c>
      <c r="AH1663" s="94">
        <v>0.0</v>
      </c>
    </row>
    <row r="1664" hidden="1">
      <c r="A1664" s="83" t="s">
        <v>44</v>
      </c>
      <c r="B1664" s="84" t="s">
        <v>189</v>
      </c>
      <c r="C1664" s="85">
        <v>1.0</v>
      </c>
      <c r="D1664" s="94">
        <v>0.0</v>
      </c>
      <c r="E1664" s="86">
        <v>66.0</v>
      </c>
      <c r="F1664" s="85">
        <v>1.0</v>
      </c>
      <c r="G1664" s="85">
        <v>233.0</v>
      </c>
      <c r="H1664" s="85">
        <v>2.0</v>
      </c>
      <c r="I1664" s="85">
        <v>247.0</v>
      </c>
      <c r="J1664" s="95">
        <f t="shared" si="1254"/>
        <v>-14</v>
      </c>
      <c r="K1664" s="87">
        <f t="shared" si="1255"/>
        <v>0.9433198381</v>
      </c>
      <c r="L1664" s="85">
        <v>13.0</v>
      </c>
      <c r="M1664" s="85">
        <v>310.0</v>
      </c>
      <c r="N1664" s="85">
        <v>1.0</v>
      </c>
      <c r="O1664" s="110">
        <f t="shared" si="1256"/>
        <v>66</v>
      </c>
      <c r="P1664" s="85">
        <v>5.0</v>
      </c>
      <c r="Q1664" s="85">
        <v>4.0</v>
      </c>
      <c r="R1664" s="85">
        <v>27.0</v>
      </c>
      <c r="S1664" s="85">
        <v>2.0</v>
      </c>
      <c r="T1664" s="85">
        <v>36.0</v>
      </c>
      <c r="U1664" s="85">
        <v>6.0</v>
      </c>
      <c r="V1664" s="94">
        <v>0.0</v>
      </c>
      <c r="W1664" s="94">
        <v>0.0</v>
      </c>
      <c r="X1664" s="94">
        <v>0.0</v>
      </c>
      <c r="Y1664" s="94">
        <v>0.0</v>
      </c>
      <c r="Z1664" s="94">
        <v>0.0</v>
      </c>
      <c r="AA1664" s="94">
        <v>0.0</v>
      </c>
      <c r="AB1664" s="94">
        <v>0.0</v>
      </c>
      <c r="AC1664" s="85">
        <v>5.0</v>
      </c>
      <c r="AD1664" s="94">
        <v>0.0</v>
      </c>
      <c r="AE1664" s="94">
        <v>0.0</v>
      </c>
      <c r="AF1664" s="94">
        <v>0.0</v>
      </c>
      <c r="AG1664" s="94">
        <v>0.0</v>
      </c>
      <c r="AH1664" s="94">
        <v>0.0</v>
      </c>
    </row>
    <row r="1665" hidden="1">
      <c r="A1665" s="83" t="s">
        <v>44</v>
      </c>
      <c r="B1665" s="84" t="s">
        <v>190</v>
      </c>
      <c r="C1665" s="94">
        <v>0.0</v>
      </c>
      <c r="D1665" s="94">
        <v>0.0</v>
      </c>
      <c r="E1665" s="96">
        <f>SUM(L1665*I1665)/60</f>
        <v>0</v>
      </c>
      <c r="F1665" s="94">
        <v>0.0</v>
      </c>
      <c r="G1665" s="94">
        <v>0.0</v>
      </c>
      <c r="H1665" s="94">
        <v>0.0</v>
      </c>
      <c r="I1665" s="94">
        <v>0.0</v>
      </c>
      <c r="J1665" s="95">
        <f t="shared" si="1254"/>
        <v>0</v>
      </c>
      <c r="K1665" s="87" t="str">
        <f t="shared" si="1255"/>
        <v>#DIV/0!</v>
      </c>
      <c r="L1665" s="94">
        <v>0.0</v>
      </c>
      <c r="M1665" s="94">
        <v>0.0</v>
      </c>
      <c r="N1665" s="85">
        <v>0.0</v>
      </c>
      <c r="O1665" s="110">
        <f t="shared" si="1256"/>
        <v>0</v>
      </c>
      <c r="P1665" s="94">
        <v>0.0</v>
      </c>
      <c r="Q1665" s="94">
        <v>0.0</v>
      </c>
      <c r="R1665" s="94">
        <v>0.0</v>
      </c>
      <c r="S1665" s="94">
        <v>0.0</v>
      </c>
      <c r="T1665" s="94">
        <v>0.0</v>
      </c>
      <c r="U1665" s="94">
        <v>0.0</v>
      </c>
      <c r="V1665" s="94">
        <v>0.0</v>
      </c>
      <c r="W1665" s="94">
        <v>0.0</v>
      </c>
      <c r="X1665" s="94">
        <v>0.0</v>
      </c>
      <c r="Y1665" s="94">
        <v>0.0</v>
      </c>
      <c r="Z1665" s="94">
        <v>0.0</v>
      </c>
      <c r="AA1665" s="94">
        <v>0.0</v>
      </c>
      <c r="AB1665" s="94">
        <v>0.0</v>
      </c>
      <c r="AC1665" s="94">
        <v>0.0</v>
      </c>
      <c r="AD1665" s="94">
        <v>0.0</v>
      </c>
      <c r="AE1665" s="94">
        <v>0.0</v>
      </c>
      <c r="AF1665" s="94">
        <v>0.0</v>
      </c>
      <c r="AG1665" s="94">
        <v>0.0</v>
      </c>
      <c r="AH1665" s="94">
        <v>0.0</v>
      </c>
    </row>
    <row r="1666" hidden="1">
      <c r="A1666" s="83" t="s">
        <v>44</v>
      </c>
      <c r="B1666" s="84" t="s">
        <v>191</v>
      </c>
      <c r="C1666" s="85">
        <v>1.0</v>
      </c>
      <c r="D1666" s="94">
        <v>0.0</v>
      </c>
      <c r="E1666" s="86">
        <v>66.0</v>
      </c>
      <c r="F1666" s="94">
        <v>0.0</v>
      </c>
      <c r="G1666" s="85">
        <v>281.0</v>
      </c>
      <c r="H1666" s="94">
        <v>0.0</v>
      </c>
      <c r="I1666" s="85">
        <v>219.0</v>
      </c>
      <c r="J1666" s="95">
        <f t="shared" si="1254"/>
        <v>62</v>
      </c>
      <c r="K1666" s="87">
        <f t="shared" si="1255"/>
        <v>1.283105023</v>
      </c>
      <c r="L1666" s="85">
        <v>15.0</v>
      </c>
      <c r="M1666" s="85">
        <v>393.0</v>
      </c>
      <c r="N1666" s="85">
        <v>1.0</v>
      </c>
      <c r="O1666" s="110">
        <f t="shared" si="1256"/>
        <v>66</v>
      </c>
      <c r="P1666" s="85">
        <v>7.0</v>
      </c>
      <c r="Q1666" s="85">
        <v>11.0</v>
      </c>
      <c r="R1666" s="85">
        <v>46.0</v>
      </c>
      <c r="S1666" s="85">
        <v>6.0</v>
      </c>
      <c r="T1666" s="85">
        <v>44.0</v>
      </c>
      <c r="U1666" s="85">
        <v>11.0</v>
      </c>
      <c r="V1666" s="85">
        <v>1.0</v>
      </c>
      <c r="W1666" s="85">
        <v>1.0</v>
      </c>
      <c r="X1666" s="94">
        <v>0.0</v>
      </c>
      <c r="Y1666" s="94">
        <v>0.0</v>
      </c>
      <c r="Z1666" s="94">
        <v>0.0</v>
      </c>
      <c r="AA1666" s="94">
        <v>0.0</v>
      </c>
      <c r="AB1666" s="94">
        <v>0.0</v>
      </c>
      <c r="AC1666" s="85">
        <v>11.0</v>
      </c>
      <c r="AD1666" s="94">
        <v>0.0</v>
      </c>
      <c r="AE1666" s="94">
        <v>0.0</v>
      </c>
      <c r="AF1666" s="94">
        <v>0.0</v>
      </c>
      <c r="AG1666" s="94">
        <v>0.0</v>
      </c>
      <c r="AH1666" s="94">
        <v>0.0</v>
      </c>
    </row>
    <row r="1667" hidden="1">
      <c r="A1667" s="89"/>
      <c r="B1667" s="111"/>
      <c r="C1667" s="111">
        <f t="shared" ref="C1667:D1667" si="1257">SUM(C1661:C1666)/4</f>
        <v>1</v>
      </c>
      <c r="D1667" s="111">
        <f t="shared" si="1257"/>
        <v>0</v>
      </c>
      <c r="E1667" s="91">
        <f t="shared" ref="E1667:G1667" si="1258">SUM(E1661:E1666)</f>
        <v>264</v>
      </c>
      <c r="F1667" s="111">
        <f t="shared" si="1258"/>
        <v>4</v>
      </c>
      <c r="G1667" s="111">
        <f t="shared" si="1258"/>
        <v>883</v>
      </c>
      <c r="H1667" s="111"/>
      <c r="I1667" s="111">
        <f>SUM(I1661:I1666)</f>
        <v>874</v>
      </c>
      <c r="J1667" s="111">
        <f t="shared" si="1254"/>
        <v>9</v>
      </c>
      <c r="K1667" s="92">
        <f t="shared" si="1255"/>
        <v>1.010297483</v>
      </c>
      <c r="L1667" s="111">
        <f t="shared" ref="L1667:M1667" si="1259">SUM(L1661:L1666)</f>
        <v>71</v>
      </c>
      <c r="M1667" s="111">
        <f t="shared" si="1259"/>
        <v>1179</v>
      </c>
      <c r="N1667" s="111"/>
      <c r="O1667" s="112"/>
      <c r="P1667" s="111">
        <f t="shared" ref="P1667:AH1667" si="1260">SUM(P1661:P1666)</f>
        <v>23</v>
      </c>
      <c r="Q1667" s="111">
        <f t="shared" si="1260"/>
        <v>25</v>
      </c>
      <c r="R1667" s="111">
        <f t="shared" si="1260"/>
        <v>117</v>
      </c>
      <c r="S1667" s="111">
        <f t="shared" si="1260"/>
        <v>16</v>
      </c>
      <c r="T1667" s="111">
        <f t="shared" si="1260"/>
        <v>124</v>
      </c>
      <c r="U1667" s="111">
        <f t="shared" si="1260"/>
        <v>21</v>
      </c>
      <c r="V1667" s="111">
        <f t="shared" si="1260"/>
        <v>1</v>
      </c>
      <c r="W1667" s="111">
        <f t="shared" si="1260"/>
        <v>1</v>
      </c>
      <c r="X1667" s="111">
        <f t="shared" si="1260"/>
        <v>0</v>
      </c>
      <c r="Y1667" s="111">
        <f t="shared" si="1260"/>
        <v>0</v>
      </c>
      <c r="Z1667" s="111">
        <f t="shared" si="1260"/>
        <v>0</v>
      </c>
      <c r="AA1667" s="111">
        <f t="shared" si="1260"/>
        <v>0</v>
      </c>
      <c r="AB1667" s="111">
        <f t="shared" si="1260"/>
        <v>0</v>
      </c>
      <c r="AC1667" s="111">
        <f t="shared" si="1260"/>
        <v>22</v>
      </c>
      <c r="AD1667" s="111">
        <f t="shared" si="1260"/>
        <v>0</v>
      </c>
      <c r="AE1667" s="111">
        <f t="shared" si="1260"/>
        <v>0</v>
      </c>
      <c r="AF1667" s="111">
        <f t="shared" si="1260"/>
        <v>0</v>
      </c>
      <c r="AG1667" s="111">
        <f t="shared" si="1260"/>
        <v>0</v>
      </c>
      <c r="AH1667" s="111">
        <f t="shared" si="1260"/>
        <v>0</v>
      </c>
    </row>
    <row r="1668" hidden="1">
      <c r="A1668" s="83" t="s">
        <v>51</v>
      </c>
      <c r="B1668" s="84" t="s">
        <v>222</v>
      </c>
      <c r="C1668" s="85">
        <v>1.0</v>
      </c>
      <c r="D1668" s="94">
        <v>0.0</v>
      </c>
      <c r="E1668" s="86">
        <v>66.0</v>
      </c>
      <c r="F1668" s="85">
        <v>3.0</v>
      </c>
      <c r="G1668" s="85">
        <v>179.0</v>
      </c>
      <c r="H1668" s="85">
        <v>2.0</v>
      </c>
      <c r="I1668" s="85">
        <v>196.0</v>
      </c>
      <c r="J1668" s="95">
        <f t="shared" si="1254"/>
        <v>-17</v>
      </c>
      <c r="K1668" s="87">
        <f t="shared" si="1255"/>
        <v>0.9132653061</v>
      </c>
      <c r="L1668" s="85">
        <v>17.0</v>
      </c>
      <c r="M1668" s="85">
        <v>218.0</v>
      </c>
      <c r="N1668" s="85">
        <v>1.0</v>
      </c>
      <c r="O1668" s="110">
        <f t="shared" ref="O1668:O1673" si="1261">(E1668*N1668)</f>
        <v>66</v>
      </c>
      <c r="P1668" s="85">
        <v>10.0</v>
      </c>
      <c r="Q1668" s="85">
        <v>2.0</v>
      </c>
      <c r="R1668" s="85">
        <v>5.0</v>
      </c>
      <c r="S1668" s="85">
        <v>6.0</v>
      </c>
      <c r="T1668" s="85">
        <v>19.0</v>
      </c>
      <c r="U1668" s="85">
        <v>1.0</v>
      </c>
      <c r="V1668" s="94">
        <v>0.0</v>
      </c>
      <c r="W1668" s="94">
        <v>0.0</v>
      </c>
      <c r="X1668" s="94">
        <v>0.0</v>
      </c>
      <c r="Y1668" s="94">
        <v>0.0</v>
      </c>
      <c r="Z1668" s="94">
        <v>0.0</v>
      </c>
      <c r="AA1668" s="94">
        <v>0.0</v>
      </c>
      <c r="AB1668" s="94">
        <v>0.0</v>
      </c>
      <c r="AC1668" s="85">
        <v>2.0</v>
      </c>
      <c r="AD1668" s="94">
        <v>0.0</v>
      </c>
      <c r="AE1668" s="94">
        <v>0.0</v>
      </c>
      <c r="AF1668" s="94">
        <v>0.0</v>
      </c>
      <c r="AG1668" s="94">
        <v>0.0</v>
      </c>
      <c r="AH1668" s="94">
        <v>0.0</v>
      </c>
    </row>
    <row r="1669" hidden="1">
      <c r="A1669" s="83" t="s">
        <v>51</v>
      </c>
      <c r="B1669" s="84" t="s">
        <v>223</v>
      </c>
      <c r="C1669" s="85">
        <v>1.0</v>
      </c>
      <c r="D1669" s="94">
        <v>0.0</v>
      </c>
      <c r="E1669" s="86">
        <v>66.0</v>
      </c>
      <c r="F1669" s="85">
        <v>1.0</v>
      </c>
      <c r="G1669" s="85">
        <v>228.0</v>
      </c>
      <c r="H1669" s="94">
        <v>0.0</v>
      </c>
      <c r="I1669" s="85">
        <v>217.0</v>
      </c>
      <c r="J1669" s="95">
        <f t="shared" si="1254"/>
        <v>11</v>
      </c>
      <c r="K1669" s="87">
        <f t="shared" si="1255"/>
        <v>1.050691244</v>
      </c>
      <c r="L1669" s="85">
        <v>15.0</v>
      </c>
      <c r="M1669" s="85">
        <v>288.0</v>
      </c>
      <c r="N1669" s="85">
        <v>1.0</v>
      </c>
      <c r="O1669" s="110">
        <f t="shared" si="1261"/>
        <v>66</v>
      </c>
      <c r="P1669" s="85">
        <v>11.0</v>
      </c>
      <c r="Q1669" s="85">
        <v>11.0</v>
      </c>
      <c r="R1669" s="85">
        <v>11.0</v>
      </c>
      <c r="S1669" s="85">
        <v>6.0</v>
      </c>
      <c r="T1669" s="85">
        <v>33.0</v>
      </c>
      <c r="U1669" s="85">
        <v>3.0</v>
      </c>
      <c r="V1669" s="85">
        <v>1.0</v>
      </c>
      <c r="W1669" s="94">
        <v>0.0</v>
      </c>
      <c r="X1669" s="94">
        <v>0.0</v>
      </c>
      <c r="Y1669" s="94">
        <v>0.0</v>
      </c>
      <c r="Z1669" s="94">
        <v>0.0</v>
      </c>
      <c r="AA1669" s="94">
        <v>0.0</v>
      </c>
      <c r="AB1669" s="94">
        <v>0.0</v>
      </c>
      <c r="AC1669" s="85">
        <v>5.0</v>
      </c>
      <c r="AD1669" s="94">
        <v>0.0</v>
      </c>
      <c r="AE1669" s="94">
        <v>0.0</v>
      </c>
      <c r="AF1669" s="94">
        <v>0.0</v>
      </c>
      <c r="AG1669" s="94">
        <v>0.0</v>
      </c>
      <c r="AH1669" s="94">
        <v>0.0</v>
      </c>
    </row>
    <row r="1670" hidden="1">
      <c r="A1670" s="83" t="s">
        <v>51</v>
      </c>
      <c r="B1670" s="84" t="s">
        <v>224</v>
      </c>
      <c r="C1670" s="85">
        <v>1.0</v>
      </c>
      <c r="D1670" s="94">
        <v>0.0</v>
      </c>
      <c r="E1670" s="86">
        <v>66.0</v>
      </c>
      <c r="F1670" s="94">
        <v>0.0</v>
      </c>
      <c r="G1670" s="85">
        <v>246.0</v>
      </c>
      <c r="H1670" s="94">
        <v>0.0</v>
      </c>
      <c r="I1670" s="85">
        <v>252.0</v>
      </c>
      <c r="J1670" s="95">
        <f t="shared" si="1254"/>
        <v>-6</v>
      </c>
      <c r="K1670" s="87">
        <f t="shared" si="1255"/>
        <v>0.9761904762</v>
      </c>
      <c r="L1670" s="85">
        <v>12.0</v>
      </c>
      <c r="M1670" s="85">
        <v>323.0</v>
      </c>
      <c r="N1670" s="85">
        <v>1.0</v>
      </c>
      <c r="O1670" s="110">
        <f t="shared" si="1261"/>
        <v>66</v>
      </c>
      <c r="P1670" s="85">
        <v>10.0</v>
      </c>
      <c r="Q1670" s="85">
        <v>1.0</v>
      </c>
      <c r="R1670" s="85">
        <v>18.0</v>
      </c>
      <c r="S1670" s="85">
        <v>8.0</v>
      </c>
      <c r="T1670" s="85">
        <v>34.0</v>
      </c>
      <c r="U1670" s="85">
        <v>7.0</v>
      </c>
      <c r="V1670" s="85">
        <v>4.0</v>
      </c>
      <c r="W1670" s="94">
        <v>0.0</v>
      </c>
      <c r="X1670" s="94">
        <v>0.0</v>
      </c>
      <c r="Y1670" s="94">
        <v>0.0</v>
      </c>
      <c r="Z1670" s="94">
        <v>0.0</v>
      </c>
      <c r="AA1670" s="94">
        <v>0.0</v>
      </c>
      <c r="AB1670" s="94">
        <v>0.0</v>
      </c>
      <c r="AC1670" s="85">
        <v>5.0</v>
      </c>
      <c r="AD1670" s="94">
        <v>0.0</v>
      </c>
      <c r="AE1670" s="94">
        <v>0.0</v>
      </c>
      <c r="AF1670" s="94">
        <v>0.0</v>
      </c>
      <c r="AG1670" s="94">
        <v>0.0</v>
      </c>
      <c r="AH1670" s="94">
        <v>0.0</v>
      </c>
    </row>
    <row r="1671" hidden="1">
      <c r="A1671" s="83" t="s">
        <v>51</v>
      </c>
      <c r="B1671" s="84" t="s">
        <v>225</v>
      </c>
      <c r="C1671" s="85">
        <v>1.0</v>
      </c>
      <c r="D1671" s="94">
        <v>0.0</v>
      </c>
      <c r="E1671" s="86">
        <v>66.0</v>
      </c>
      <c r="F1671" s="85">
        <v>1.0</v>
      </c>
      <c r="G1671" s="85">
        <v>195.0</v>
      </c>
      <c r="H1671" s="85">
        <v>3.0</v>
      </c>
      <c r="I1671" s="85">
        <v>236.0</v>
      </c>
      <c r="J1671" s="95">
        <f t="shared" si="1254"/>
        <v>-41</v>
      </c>
      <c r="K1671" s="87">
        <f t="shared" si="1255"/>
        <v>0.8262711864</v>
      </c>
      <c r="L1671" s="85">
        <v>13.0</v>
      </c>
      <c r="M1671" s="85">
        <v>233.0</v>
      </c>
      <c r="N1671" s="85">
        <v>1.0</v>
      </c>
      <c r="O1671" s="110">
        <f t="shared" si="1261"/>
        <v>66</v>
      </c>
      <c r="P1671" s="85">
        <v>3.0</v>
      </c>
      <c r="Q1671" s="85">
        <v>1.0</v>
      </c>
      <c r="R1671" s="85">
        <v>5.0</v>
      </c>
      <c r="S1671" s="85">
        <v>2.0</v>
      </c>
      <c r="T1671" s="85">
        <v>24.0</v>
      </c>
      <c r="U1671" s="85">
        <v>2.0</v>
      </c>
      <c r="V1671" s="85">
        <v>1.0</v>
      </c>
      <c r="W1671" s="94">
        <v>0.0</v>
      </c>
      <c r="X1671" s="94">
        <v>0.0</v>
      </c>
      <c r="Y1671" s="94">
        <v>0.0</v>
      </c>
      <c r="Z1671" s="94">
        <v>0.0</v>
      </c>
      <c r="AA1671" s="94">
        <v>0.0</v>
      </c>
      <c r="AB1671" s="94">
        <v>0.0</v>
      </c>
      <c r="AC1671" s="85">
        <v>4.0</v>
      </c>
      <c r="AD1671" s="94">
        <v>0.0</v>
      </c>
      <c r="AE1671" s="94">
        <v>0.0</v>
      </c>
      <c r="AF1671" s="94">
        <v>0.0</v>
      </c>
      <c r="AG1671" s="94">
        <v>0.0</v>
      </c>
      <c r="AH1671" s="94">
        <v>0.0</v>
      </c>
    </row>
    <row r="1672" hidden="1">
      <c r="A1672" s="83" t="s">
        <v>51</v>
      </c>
      <c r="B1672" s="84" t="s">
        <v>226</v>
      </c>
      <c r="C1672" s="94">
        <v>0.0</v>
      </c>
      <c r="D1672" s="94">
        <v>0.0</v>
      </c>
      <c r="E1672" s="96">
        <f t="shared" ref="E1672:E1673" si="1262">SUM(L1672*I1672)/60</f>
        <v>0</v>
      </c>
      <c r="F1672" s="94">
        <v>0.0</v>
      </c>
      <c r="G1672" s="94">
        <v>0.0</v>
      </c>
      <c r="H1672" s="94">
        <v>0.0</v>
      </c>
      <c r="I1672" s="94">
        <v>0.0</v>
      </c>
      <c r="J1672" s="95">
        <f t="shared" si="1254"/>
        <v>0</v>
      </c>
      <c r="K1672" s="87" t="str">
        <f t="shared" si="1255"/>
        <v>#DIV/0!</v>
      </c>
      <c r="L1672" s="94">
        <v>0.0</v>
      </c>
      <c r="M1672" s="94">
        <v>0.0</v>
      </c>
      <c r="N1672" s="85">
        <v>0.0</v>
      </c>
      <c r="O1672" s="110">
        <f t="shared" si="1261"/>
        <v>0</v>
      </c>
      <c r="P1672" s="94">
        <v>0.0</v>
      </c>
      <c r="Q1672" s="94">
        <v>0.0</v>
      </c>
      <c r="R1672" s="94">
        <v>0.0</v>
      </c>
      <c r="S1672" s="94">
        <v>0.0</v>
      </c>
      <c r="T1672" s="94">
        <v>0.0</v>
      </c>
      <c r="U1672" s="94">
        <v>0.0</v>
      </c>
      <c r="V1672" s="94">
        <v>0.0</v>
      </c>
      <c r="W1672" s="94">
        <v>0.0</v>
      </c>
      <c r="X1672" s="94">
        <v>0.0</v>
      </c>
      <c r="Y1672" s="94">
        <v>0.0</v>
      </c>
      <c r="Z1672" s="94">
        <v>0.0</v>
      </c>
      <c r="AA1672" s="94">
        <v>0.0</v>
      </c>
      <c r="AB1672" s="94">
        <v>0.0</v>
      </c>
      <c r="AC1672" s="94">
        <v>0.0</v>
      </c>
      <c r="AD1672" s="94">
        <v>0.0</v>
      </c>
      <c r="AE1672" s="94">
        <v>0.0</v>
      </c>
      <c r="AF1672" s="94">
        <v>0.0</v>
      </c>
      <c r="AG1672" s="94">
        <v>0.0</v>
      </c>
      <c r="AH1672" s="94">
        <v>0.0</v>
      </c>
    </row>
    <row r="1673" hidden="1">
      <c r="A1673" s="83" t="s">
        <v>51</v>
      </c>
      <c r="B1673" s="93"/>
      <c r="C1673" s="94">
        <v>0.0</v>
      </c>
      <c r="D1673" s="94">
        <v>0.0</v>
      </c>
      <c r="E1673" s="96">
        <f t="shared" si="1262"/>
        <v>0</v>
      </c>
      <c r="F1673" s="94">
        <v>0.0</v>
      </c>
      <c r="G1673" s="94">
        <v>0.0</v>
      </c>
      <c r="H1673" s="94">
        <v>0.0</v>
      </c>
      <c r="I1673" s="94">
        <v>0.0</v>
      </c>
      <c r="J1673" s="95">
        <f t="shared" si="1254"/>
        <v>0</v>
      </c>
      <c r="K1673" s="87" t="str">
        <f t="shared" si="1255"/>
        <v>#DIV/0!</v>
      </c>
      <c r="L1673" s="94">
        <v>0.0</v>
      </c>
      <c r="M1673" s="94">
        <v>0.0</v>
      </c>
      <c r="N1673" s="85">
        <v>0.0</v>
      </c>
      <c r="O1673" s="110">
        <f t="shared" si="1261"/>
        <v>0</v>
      </c>
      <c r="P1673" s="94">
        <v>0.0</v>
      </c>
      <c r="Q1673" s="94">
        <v>0.0</v>
      </c>
      <c r="R1673" s="94">
        <v>0.0</v>
      </c>
      <c r="S1673" s="94">
        <v>0.0</v>
      </c>
      <c r="T1673" s="94">
        <v>0.0</v>
      </c>
      <c r="U1673" s="94">
        <v>0.0</v>
      </c>
      <c r="V1673" s="94">
        <v>0.0</v>
      </c>
      <c r="W1673" s="94">
        <v>0.0</v>
      </c>
      <c r="X1673" s="94">
        <v>0.0</v>
      </c>
      <c r="Y1673" s="94">
        <v>0.0</v>
      </c>
      <c r="Z1673" s="94">
        <v>0.0</v>
      </c>
      <c r="AA1673" s="94">
        <v>0.0</v>
      </c>
      <c r="AB1673" s="94">
        <v>0.0</v>
      </c>
      <c r="AC1673" s="94">
        <v>0.0</v>
      </c>
      <c r="AD1673" s="94">
        <v>0.0</v>
      </c>
      <c r="AE1673" s="94">
        <v>0.0</v>
      </c>
      <c r="AF1673" s="94">
        <v>0.0</v>
      </c>
      <c r="AG1673" s="94">
        <v>0.0</v>
      </c>
      <c r="AH1673" s="94">
        <v>0.0</v>
      </c>
    </row>
    <row r="1674" hidden="1">
      <c r="A1674" s="89" t="s">
        <v>185</v>
      </c>
      <c r="B1674" s="111"/>
      <c r="C1674" s="111">
        <f>SUM(C1668:C1673)</f>
        <v>4</v>
      </c>
      <c r="D1674" s="111">
        <f t="shared" ref="D1674:E1674" si="1263">SUM(D1668:D1673)/4</f>
        <v>0</v>
      </c>
      <c r="E1674" s="91">
        <f t="shared" si="1263"/>
        <v>66</v>
      </c>
      <c r="F1674" s="111">
        <f t="shared" ref="F1674:G1674" si="1264">SUM(F1668:F1673)</f>
        <v>5</v>
      </c>
      <c r="G1674" s="111">
        <f t="shared" si="1264"/>
        <v>848</v>
      </c>
      <c r="H1674" s="111"/>
      <c r="I1674" s="111">
        <f>SUM(I1668:I1673)</f>
        <v>901</v>
      </c>
      <c r="J1674" s="111">
        <f t="shared" si="1254"/>
        <v>-53</v>
      </c>
      <c r="K1674" s="92">
        <f t="shared" si="1255"/>
        <v>0.9411764706</v>
      </c>
      <c r="L1674" s="111">
        <f t="shared" ref="L1674:M1674" si="1265">SUM(L1668:L1673)</f>
        <v>57</v>
      </c>
      <c r="M1674" s="111">
        <f t="shared" si="1265"/>
        <v>1062</v>
      </c>
      <c r="N1674" s="111"/>
      <c r="O1674" s="112"/>
      <c r="P1674" s="111">
        <f t="shared" ref="P1674:AH1674" si="1266">SUM(P1668:P1673)</f>
        <v>34</v>
      </c>
      <c r="Q1674" s="111">
        <f t="shared" si="1266"/>
        <v>15</v>
      </c>
      <c r="R1674" s="111">
        <f t="shared" si="1266"/>
        <v>39</v>
      </c>
      <c r="S1674" s="111">
        <f t="shared" si="1266"/>
        <v>22</v>
      </c>
      <c r="T1674" s="111">
        <f t="shared" si="1266"/>
        <v>110</v>
      </c>
      <c r="U1674" s="111">
        <f t="shared" si="1266"/>
        <v>13</v>
      </c>
      <c r="V1674" s="111">
        <f t="shared" si="1266"/>
        <v>6</v>
      </c>
      <c r="W1674" s="111">
        <f t="shared" si="1266"/>
        <v>0</v>
      </c>
      <c r="X1674" s="111">
        <f t="shared" si="1266"/>
        <v>0</v>
      </c>
      <c r="Y1674" s="111">
        <f t="shared" si="1266"/>
        <v>0</v>
      </c>
      <c r="Z1674" s="111">
        <f t="shared" si="1266"/>
        <v>0</v>
      </c>
      <c r="AA1674" s="111">
        <f t="shared" si="1266"/>
        <v>0</v>
      </c>
      <c r="AB1674" s="111">
        <f t="shared" si="1266"/>
        <v>0</v>
      </c>
      <c r="AC1674" s="111">
        <f t="shared" si="1266"/>
        <v>16</v>
      </c>
      <c r="AD1674" s="111">
        <f t="shared" si="1266"/>
        <v>0</v>
      </c>
      <c r="AE1674" s="111">
        <f t="shared" si="1266"/>
        <v>0</v>
      </c>
      <c r="AF1674" s="111">
        <f t="shared" si="1266"/>
        <v>0</v>
      </c>
      <c r="AG1674" s="111">
        <f t="shared" si="1266"/>
        <v>0</v>
      </c>
      <c r="AH1674" s="111">
        <f t="shared" si="1266"/>
        <v>0</v>
      </c>
    </row>
    <row r="1675">
      <c r="A1675" s="104" t="s">
        <v>347</v>
      </c>
    </row>
    <row r="1677" hidden="1">
      <c r="A1677" s="105"/>
      <c r="F1677" s="106" t="s">
        <v>251</v>
      </c>
      <c r="L1677" s="107" t="s">
        <v>252</v>
      </c>
      <c r="N1677" s="108" t="s">
        <v>253</v>
      </c>
    </row>
    <row r="1678" hidden="1">
      <c r="A1678" s="76" t="s">
        <v>148</v>
      </c>
      <c r="B1678" s="76" t="s">
        <v>149</v>
      </c>
      <c r="C1678" s="76" t="s">
        <v>150</v>
      </c>
      <c r="D1678" s="76" t="s">
        <v>13</v>
      </c>
      <c r="E1678" s="77" t="s">
        <v>151</v>
      </c>
      <c r="F1678" s="78" t="s">
        <v>15</v>
      </c>
      <c r="G1678" s="78" t="s">
        <v>152</v>
      </c>
      <c r="H1678" s="78" t="s">
        <v>153</v>
      </c>
      <c r="I1678" s="78" t="s">
        <v>154</v>
      </c>
      <c r="J1678" s="78" t="s">
        <v>155</v>
      </c>
      <c r="K1678" s="79" t="s">
        <v>156</v>
      </c>
      <c r="L1678" s="80" t="s">
        <v>157</v>
      </c>
      <c r="M1678" s="80" t="s">
        <v>158</v>
      </c>
      <c r="N1678" s="81" t="s">
        <v>254</v>
      </c>
      <c r="O1678" s="81" t="s">
        <v>151</v>
      </c>
      <c r="P1678" s="81" t="s">
        <v>160</v>
      </c>
      <c r="Q1678" s="81" t="s">
        <v>161</v>
      </c>
      <c r="R1678" s="81" t="s">
        <v>162</v>
      </c>
      <c r="S1678" s="81" t="s">
        <v>163</v>
      </c>
      <c r="T1678" s="81" t="s">
        <v>164</v>
      </c>
      <c r="U1678" s="81" t="s">
        <v>165</v>
      </c>
      <c r="V1678" s="81" t="s">
        <v>166</v>
      </c>
      <c r="W1678" s="81" t="s">
        <v>167</v>
      </c>
      <c r="X1678" s="81" t="s">
        <v>168</v>
      </c>
      <c r="Y1678" s="81" t="s">
        <v>169</v>
      </c>
      <c r="Z1678" s="81" t="s">
        <v>170</v>
      </c>
      <c r="AA1678" s="81" t="s">
        <v>171</v>
      </c>
      <c r="AB1678" s="81" t="s">
        <v>172</v>
      </c>
      <c r="AC1678" s="81" t="s">
        <v>173</v>
      </c>
      <c r="AD1678" s="81" t="s">
        <v>174</v>
      </c>
      <c r="AE1678" s="81" t="s">
        <v>175</v>
      </c>
      <c r="AF1678" s="81" t="s">
        <v>176</v>
      </c>
      <c r="AG1678" s="81" t="s">
        <v>177</v>
      </c>
      <c r="AH1678" s="81" t="s">
        <v>178</v>
      </c>
    </row>
    <row r="1679" hidden="1">
      <c r="A1679" s="83" t="s">
        <v>40</v>
      </c>
      <c r="B1679" s="84" t="s">
        <v>216</v>
      </c>
      <c r="C1679" s="85">
        <v>1.0</v>
      </c>
      <c r="D1679" s="85">
        <v>1.0</v>
      </c>
      <c r="E1679" s="86">
        <v>32.0</v>
      </c>
      <c r="F1679" s="85">
        <v>4.0</v>
      </c>
      <c r="G1679" s="85">
        <v>70.0</v>
      </c>
      <c r="H1679" s="85">
        <v>1.0</v>
      </c>
      <c r="I1679" s="85">
        <v>87.0</v>
      </c>
      <c r="J1679" s="95">
        <f t="shared" ref="J1679:J1692" si="1267">SUM(G1679-I1679)</f>
        <v>-17</v>
      </c>
      <c r="K1679" s="87">
        <f t="shared" ref="K1679:K1692" si="1268">SUM(G1679/I1679)</f>
        <v>0.8045977011</v>
      </c>
      <c r="L1679" s="85">
        <v>19.0</v>
      </c>
      <c r="M1679" s="85">
        <v>90.0</v>
      </c>
      <c r="N1679" s="85">
        <v>1.0</v>
      </c>
      <c r="O1679" s="110">
        <f t="shared" ref="O1679:O1684" si="1269">(E1679*N1679)</f>
        <v>32</v>
      </c>
      <c r="P1679" s="85">
        <v>2.0</v>
      </c>
      <c r="Q1679" s="85">
        <v>6.0</v>
      </c>
      <c r="R1679" s="85">
        <v>2.0</v>
      </c>
      <c r="S1679" s="85">
        <v>2.0</v>
      </c>
      <c r="T1679" s="85">
        <v>9.0</v>
      </c>
      <c r="U1679" s="85">
        <v>1.0</v>
      </c>
      <c r="V1679" s="94">
        <v>0.0</v>
      </c>
      <c r="W1679" s="94">
        <v>0.0</v>
      </c>
      <c r="X1679" s="94">
        <v>0.0</v>
      </c>
      <c r="Y1679" s="94">
        <v>0.0</v>
      </c>
      <c r="Z1679" s="94">
        <v>0.0</v>
      </c>
      <c r="AA1679" s="94">
        <v>0.0</v>
      </c>
      <c r="AB1679" s="94">
        <v>0.0</v>
      </c>
      <c r="AC1679" s="85">
        <v>1.0</v>
      </c>
      <c r="AD1679" s="94">
        <v>0.0</v>
      </c>
      <c r="AE1679" s="94">
        <v>0.0</v>
      </c>
      <c r="AF1679" s="94">
        <v>0.0</v>
      </c>
      <c r="AG1679" s="94">
        <v>0.0</v>
      </c>
      <c r="AH1679" s="94">
        <v>0.0</v>
      </c>
    </row>
    <row r="1680" hidden="1">
      <c r="A1680" s="83" t="s">
        <v>40</v>
      </c>
      <c r="B1680" s="84" t="s">
        <v>217</v>
      </c>
      <c r="C1680" s="85">
        <v>1.0</v>
      </c>
      <c r="D1680" s="85">
        <v>1.0</v>
      </c>
      <c r="E1680" s="86">
        <v>32.0</v>
      </c>
      <c r="F1680" s="94">
        <v>0.0</v>
      </c>
      <c r="G1680" s="85">
        <v>101.0</v>
      </c>
      <c r="H1680" s="85">
        <v>1.0</v>
      </c>
      <c r="I1680" s="85">
        <v>116.0</v>
      </c>
      <c r="J1680" s="95">
        <f t="shared" si="1267"/>
        <v>-15</v>
      </c>
      <c r="K1680" s="87">
        <f t="shared" si="1268"/>
        <v>0.8706896552</v>
      </c>
      <c r="L1680" s="85">
        <v>13.0</v>
      </c>
      <c r="M1680" s="85">
        <v>129.0</v>
      </c>
      <c r="N1680" s="85">
        <v>1.0</v>
      </c>
      <c r="O1680" s="110">
        <f t="shared" si="1269"/>
        <v>32</v>
      </c>
      <c r="P1680" s="85">
        <v>8.0</v>
      </c>
      <c r="Q1680" s="85">
        <v>2.0</v>
      </c>
      <c r="R1680" s="85">
        <v>7.0</v>
      </c>
      <c r="S1680" s="85">
        <v>2.0</v>
      </c>
      <c r="T1680" s="85">
        <v>11.0</v>
      </c>
      <c r="U1680" s="85">
        <v>2.0</v>
      </c>
      <c r="V1680" s="94">
        <v>0.0</v>
      </c>
      <c r="W1680" s="94">
        <v>0.0</v>
      </c>
      <c r="X1680" s="94">
        <v>0.0</v>
      </c>
      <c r="Y1680" s="94">
        <v>0.0</v>
      </c>
      <c r="Z1680" s="94">
        <v>0.0</v>
      </c>
      <c r="AA1680" s="94">
        <v>0.0</v>
      </c>
      <c r="AB1680" s="94">
        <v>0.0</v>
      </c>
      <c r="AC1680" s="85">
        <v>1.0</v>
      </c>
      <c r="AD1680" s="94">
        <v>0.0</v>
      </c>
      <c r="AE1680" s="94">
        <v>0.0</v>
      </c>
      <c r="AF1680" s="94">
        <v>0.0</v>
      </c>
      <c r="AG1680" s="94">
        <v>0.0</v>
      </c>
      <c r="AH1680" s="94">
        <v>0.0</v>
      </c>
    </row>
    <row r="1681" hidden="1">
      <c r="A1681" s="83" t="s">
        <v>40</v>
      </c>
      <c r="B1681" s="84" t="s">
        <v>218</v>
      </c>
      <c r="C1681" s="85">
        <v>1.0</v>
      </c>
      <c r="D1681" s="85">
        <v>1.0</v>
      </c>
      <c r="E1681" s="86">
        <v>32.0</v>
      </c>
      <c r="F1681" s="94">
        <v>0.0</v>
      </c>
      <c r="G1681" s="85">
        <v>116.0</v>
      </c>
      <c r="H1681" s="94">
        <v>0.0</v>
      </c>
      <c r="I1681" s="85">
        <v>87.0</v>
      </c>
      <c r="J1681" s="95">
        <f t="shared" si="1267"/>
        <v>29</v>
      </c>
      <c r="K1681" s="87">
        <f t="shared" si="1268"/>
        <v>1.333333333</v>
      </c>
      <c r="L1681" s="85">
        <v>18.0</v>
      </c>
      <c r="M1681" s="85">
        <v>154.0</v>
      </c>
      <c r="N1681" s="85">
        <v>1.0</v>
      </c>
      <c r="O1681" s="110">
        <f t="shared" si="1269"/>
        <v>32</v>
      </c>
      <c r="P1681" s="85">
        <v>5.0</v>
      </c>
      <c r="Q1681" s="94">
        <v>0.0</v>
      </c>
      <c r="R1681" s="85">
        <v>19.0</v>
      </c>
      <c r="S1681" s="85">
        <v>4.0</v>
      </c>
      <c r="T1681" s="85">
        <v>12.0</v>
      </c>
      <c r="U1681" s="85">
        <v>1.0</v>
      </c>
      <c r="V1681" s="85">
        <v>1.0</v>
      </c>
      <c r="W1681" s="85">
        <v>1.0</v>
      </c>
      <c r="X1681" s="94">
        <v>0.0</v>
      </c>
      <c r="Y1681" s="94">
        <v>0.0</v>
      </c>
      <c r="Z1681" s="94">
        <v>0.0</v>
      </c>
      <c r="AA1681" s="94">
        <v>0.0</v>
      </c>
      <c r="AB1681" s="94">
        <v>0.0</v>
      </c>
      <c r="AC1681" s="85">
        <v>3.0</v>
      </c>
      <c r="AD1681" s="94">
        <v>0.0</v>
      </c>
      <c r="AE1681" s="94">
        <v>0.0</v>
      </c>
      <c r="AF1681" s="94">
        <v>0.0</v>
      </c>
      <c r="AG1681" s="94">
        <v>0.0</v>
      </c>
      <c r="AH1681" s="94">
        <v>0.0</v>
      </c>
    </row>
    <row r="1682" hidden="1">
      <c r="A1682" s="83" t="s">
        <v>40</v>
      </c>
      <c r="B1682" s="84" t="s">
        <v>219</v>
      </c>
      <c r="C1682" s="94">
        <v>0.0</v>
      </c>
      <c r="D1682" s="94">
        <v>0.0</v>
      </c>
      <c r="E1682" s="96">
        <f t="shared" ref="E1682:E1683" si="1270">SUM(L1682*I1682)/60</f>
        <v>0</v>
      </c>
      <c r="F1682" s="94">
        <v>0.0</v>
      </c>
      <c r="G1682" s="94">
        <v>0.0</v>
      </c>
      <c r="H1682" s="94">
        <v>0.0</v>
      </c>
      <c r="I1682" s="94">
        <v>0.0</v>
      </c>
      <c r="J1682" s="95">
        <f t="shared" si="1267"/>
        <v>0</v>
      </c>
      <c r="K1682" s="87" t="str">
        <f t="shared" si="1268"/>
        <v>#DIV/0!</v>
      </c>
      <c r="L1682" s="94">
        <v>0.0</v>
      </c>
      <c r="M1682" s="94">
        <v>0.0</v>
      </c>
      <c r="N1682" s="85">
        <v>0.0</v>
      </c>
      <c r="O1682" s="110">
        <f t="shared" si="1269"/>
        <v>0</v>
      </c>
      <c r="P1682" s="94">
        <v>0.0</v>
      </c>
      <c r="Q1682" s="94">
        <v>0.0</v>
      </c>
      <c r="R1682" s="94">
        <v>0.0</v>
      </c>
      <c r="S1682" s="94">
        <v>0.0</v>
      </c>
      <c r="T1682" s="94">
        <v>0.0</v>
      </c>
      <c r="U1682" s="94">
        <v>0.0</v>
      </c>
      <c r="V1682" s="94">
        <v>0.0</v>
      </c>
      <c r="W1682" s="94">
        <v>0.0</v>
      </c>
      <c r="X1682" s="94">
        <v>0.0</v>
      </c>
      <c r="Y1682" s="94">
        <v>0.0</v>
      </c>
      <c r="Z1682" s="94">
        <v>0.0</v>
      </c>
      <c r="AA1682" s="94">
        <v>0.0</v>
      </c>
      <c r="AB1682" s="94">
        <v>0.0</v>
      </c>
      <c r="AC1682" s="94">
        <v>0.0</v>
      </c>
      <c r="AD1682" s="94">
        <v>0.0</v>
      </c>
      <c r="AE1682" s="94">
        <v>0.0</v>
      </c>
      <c r="AF1682" s="94">
        <v>0.0</v>
      </c>
      <c r="AG1682" s="94">
        <v>0.0</v>
      </c>
      <c r="AH1682" s="94">
        <v>0.0</v>
      </c>
    </row>
    <row r="1683" hidden="1">
      <c r="A1683" s="83" t="s">
        <v>40</v>
      </c>
      <c r="B1683" s="84" t="s">
        <v>220</v>
      </c>
      <c r="C1683" s="85">
        <v>0.0</v>
      </c>
      <c r="D1683" s="94">
        <v>0.0</v>
      </c>
      <c r="E1683" s="96">
        <f t="shared" si="1270"/>
        <v>0</v>
      </c>
      <c r="F1683" s="94">
        <v>0.0</v>
      </c>
      <c r="G1683" s="94">
        <v>0.0</v>
      </c>
      <c r="H1683" s="94">
        <v>0.0</v>
      </c>
      <c r="I1683" s="94">
        <v>0.0</v>
      </c>
      <c r="J1683" s="95">
        <f t="shared" si="1267"/>
        <v>0</v>
      </c>
      <c r="K1683" s="87" t="str">
        <f t="shared" si="1268"/>
        <v>#DIV/0!</v>
      </c>
      <c r="L1683" s="94">
        <v>0.0</v>
      </c>
      <c r="M1683" s="94">
        <v>0.0</v>
      </c>
      <c r="N1683" s="85">
        <v>0.0</v>
      </c>
      <c r="O1683" s="110">
        <f t="shared" si="1269"/>
        <v>0</v>
      </c>
      <c r="P1683" s="94">
        <v>0.0</v>
      </c>
      <c r="Q1683" s="94">
        <v>0.0</v>
      </c>
      <c r="R1683" s="94">
        <v>0.0</v>
      </c>
      <c r="S1683" s="94">
        <v>0.0</v>
      </c>
      <c r="T1683" s="94">
        <v>0.0</v>
      </c>
      <c r="U1683" s="94">
        <v>0.0</v>
      </c>
      <c r="V1683" s="94">
        <v>0.0</v>
      </c>
      <c r="W1683" s="94">
        <v>0.0</v>
      </c>
      <c r="X1683" s="94">
        <v>0.0</v>
      </c>
      <c r="Y1683" s="94">
        <v>0.0</v>
      </c>
      <c r="Z1683" s="94">
        <v>0.0</v>
      </c>
      <c r="AA1683" s="94">
        <v>0.0</v>
      </c>
      <c r="AB1683" s="94">
        <v>0.0</v>
      </c>
      <c r="AC1683" s="94">
        <v>0.0</v>
      </c>
      <c r="AD1683" s="94">
        <v>0.0</v>
      </c>
      <c r="AE1683" s="94">
        <v>0.0</v>
      </c>
      <c r="AF1683" s="94">
        <v>0.0</v>
      </c>
      <c r="AG1683" s="94">
        <v>0.0</v>
      </c>
      <c r="AH1683" s="94">
        <v>0.0</v>
      </c>
    </row>
    <row r="1684" hidden="1">
      <c r="A1684" s="83" t="s">
        <v>214</v>
      </c>
      <c r="B1684" s="84" t="s">
        <v>221</v>
      </c>
      <c r="C1684" s="85">
        <v>1.0</v>
      </c>
      <c r="D1684" s="85">
        <v>1.0</v>
      </c>
      <c r="E1684" s="86">
        <v>32.0</v>
      </c>
      <c r="F1684" s="85">
        <v>1.0</v>
      </c>
      <c r="G1684" s="85">
        <v>91.0</v>
      </c>
      <c r="H1684" s="85">
        <v>1.0</v>
      </c>
      <c r="I1684" s="85">
        <v>117.0</v>
      </c>
      <c r="J1684" s="95">
        <f t="shared" si="1267"/>
        <v>-26</v>
      </c>
      <c r="K1684" s="87">
        <f t="shared" si="1268"/>
        <v>0.7777777778</v>
      </c>
      <c r="L1684" s="85">
        <v>13.0</v>
      </c>
      <c r="M1684" s="85">
        <v>115.0</v>
      </c>
      <c r="N1684" s="85">
        <v>1.0</v>
      </c>
      <c r="O1684" s="110">
        <f t="shared" si="1269"/>
        <v>32</v>
      </c>
      <c r="P1684" s="85">
        <v>5.0</v>
      </c>
      <c r="Q1684" s="85">
        <v>3.0</v>
      </c>
      <c r="R1684" s="85">
        <v>2.0</v>
      </c>
      <c r="S1684" s="85">
        <v>2.0</v>
      </c>
      <c r="T1684" s="85">
        <v>10.0</v>
      </c>
      <c r="U1684" s="85">
        <v>4.0</v>
      </c>
      <c r="V1684" s="85">
        <v>1.0</v>
      </c>
      <c r="W1684" s="94">
        <v>0.0</v>
      </c>
      <c r="X1684" s="94">
        <v>0.0</v>
      </c>
      <c r="Y1684" s="94">
        <v>0.0</v>
      </c>
      <c r="Z1684" s="94">
        <v>0.0</v>
      </c>
      <c r="AA1684" s="94">
        <v>0.0</v>
      </c>
      <c r="AB1684" s="94">
        <v>0.0</v>
      </c>
      <c r="AC1684" s="85">
        <v>2.0</v>
      </c>
      <c r="AD1684" s="94">
        <v>0.0</v>
      </c>
      <c r="AE1684" s="94">
        <v>0.0</v>
      </c>
      <c r="AF1684" s="94">
        <v>0.0</v>
      </c>
      <c r="AG1684" s="94">
        <v>0.0</v>
      </c>
      <c r="AH1684" s="94">
        <v>0.0</v>
      </c>
    </row>
    <row r="1685" hidden="1">
      <c r="A1685" s="89"/>
      <c r="B1685" s="111"/>
      <c r="C1685" s="111">
        <f t="shared" ref="C1685:D1685" si="1271">SUM(C1679:C1684)/4</f>
        <v>1</v>
      </c>
      <c r="D1685" s="111">
        <f t="shared" si="1271"/>
        <v>1</v>
      </c>
      <c r="E1685" s="91">
        <f t="shared" ref="E1685:G1685" si="1272">SUM(E1679:E1684)</f>
        <v>128</v>
      </c>
      <c r="F1685" s="111">
        <f t="shared" si="1272"/>
        <v>5</v>
      </c>
      <c r="G1685" s="111">
        <f t="shared" si="1272"/>
        <v>378</v>
      </c>
      <c r="H1685" s="111"/>
      <c r="I1685" s="111">
        <f>SUM(I1679:I1684)</f>
        <v>407</v>
      </c>
      <c r="J1685" s="111">
        <f t="shared" si="1267"/>
        <v>-29</v>
      </c>
      <c r="K1685" s="92">
        <f t="shared" si="1268"/>
        <v>0.9287469287</v>
      </c>
      <c r="L1685" s="111">
        <f t="shared" ref="L1685:M1685" si="1273">SUM(L1679:L1684)</f>
        <v>63</v>
      </c>
      <c r="M1685" s="111">
        <f t="shared" si="1273"/>
        <v>488</v>
      </c>
      <c r="N1685" s="111"/>
      <c r="O1685" s="112"/>
      <c r="P1685" s="111">
        <f t="shared" ref="P1685:AH1685" si="1274">SUM(P1679:P1684)</f>
        <v>20</v>
      </c>
      <c r="Q1685" s="111">
        <f t="shared" si="1274"/>
        <v>11</v>
      </c>
      <c r="R1685" s="111">
        <f t="shared" si="1274"/>
        <v>30</v>
      </c>
      <c r="S1685" s="111">
        <f t="shared" si="1274"/>
        <v>10</v>
      </c>
      <c r="T1685" s="111">
        <f t="shared" si="1274"/>
        <v>42</v>
      </c>
      <c r="U1685" s="111">
        <f t="shared" si="1274"/>
        <v>8</v>
      </c>
      <c r="V1685" s="111">
        <f t="shared" si="1274"/>
        <v>2</v>
      </c>
      <c r="W1685" s="111">
        <f t="shared" si="1274"/>
        <v>1</v>
      </c>
      <c r="X1685" s="111">
        <f t="shared" si="1274"/>
        <v>0</v>
      </c>
      <c r="Y1685" s="111">
        <f t="shared" si="1274"/>
        <v>0</v>
      </c>
      <c r="Z1685" s="111">
        <f t="shared" si="1274"/>
        <v>0</v>
      </c>
      <c r="AA1685" s="111">
        <f t="shared" si="1274"/>
        <v>0</v>
      </c>
      <c r="AB1685" s="111">
        <f t="shared" si="1274"/>
        <v>0</v>
      </c>
      <c r="AC1685" s="111">
        <f t="shared" si="1274"/>
        <v>7</v>
      </c>
      <c r="AD1685" s="111">
        <f t="shared" si="1274"/>
        <v>0</v>
      </c>
      <c r="AE1685" s="111">
        <f t="shared" si="1274"/>
        <v>0</v>
      </c>
      <c r="AF1685" s="111">
        <f t="shared" si="1274"/>
        <v>0</v>
      </c>
      <c r="AG1685" s="111">
        <f t="shared" si="1274"/>
        <v>0</v>
      </c>
      <c r="AH1685" s="111">
        <f t="shared" si="1274"/>
        <v>0</v>
      </c>
    </row>
    <row r="1686" hidden="1">
      <c r="A1686" s="83" t="s">
        <v>51</v>
      </c>
      <c r="B1686" s="84" t="s">
        <v>222</v>
      </c>
      <c r="C1686" s="85">
        <v>1.0</v>
      </c>
      <c r="D1686" s="94">
        <v>0.0</v>
      </c>
      <c r="E1686" s="86">
        <v>32.0</v>
      </c>
      <c r="F1686" s="94">
        <v>0.0</v>
      </c>
      <c r="G1686" s="85">
        <v>106.0</v>
      </c>
      <c r="H1686" s="94">
        <v>0.0</v>
      </c>
      <c r="I1686" s="85">
        <v>108.0</v>
      </c>
      <c r="J1686" s="95">
        <f t="shared" si="1267"/>
        <v>-2</v>
      </c>
      <c r="K1686" s="87">
        <f t="shared" si="1268"/>
        <v>0.9814814815</v>
      </c>
      <c r="L1686" s="85">
        <v>14.0</v>
      </c>
      <c r="M1686" s="85">
        <v>127.0</v>
      </c>
      <c r="N1686" s="85">
        <v>1.0</v>
      </c>
      <c r="O1686" s="110">
        <f t="shared" ref="O1686:O1691" si="1275">(E1686*N1686)</f>
        <v>32</v>
      </c>
      <c r="P1686" s="85">
        <v>2.0</v>
      </c>
      <c r="Q1686" s="85">
        <v>1.0</v>
      </c>
      <c r="R1686" s="85">
        <v>9.0</v>
      </c>
      <c r="S1686" s="85">
        <v>2.0</v>
      </c>
      <c r="T1686" s="85">
        <v>14.0</v>
      </c>
      <c r="U1686" s="85">
        <v>2.0</v>
      </c>
      <c r="V1686" s="94">
        <v>0.0</v>
      </c>
      <c r="W1686" s="94">
        <v>0.0</v>
      </c>
      <c r="X1686" s="94">
        <v>0.0</v>
      </c>
      <c r="Y1686" s="94">
        <v>0.0</v>
      </c>
      <c r="Z1686" s="94">
        <v>0.0</v>
      </c>
      <c r="AA1686" s="94">
        <v>0.0</v>
      </c>
      <c r="AB1686" s="94">
        <v>0.0</v>
      </c>
      <c r="AC1686" s="94">
        <v>0.0</v>
      </c>
      <c r="AD1686" s="94">
        <v>0.0</v>
      </c>
      <c r="AE1686" s="94">
        <v>0.0</v>
      </c>
      <c r="AF1686" s="94">
        <v>0.0</v>
      </c>
      <c r="AG1686" s="94">
        <v>0.0</v>
      </c>
      <c r="AH1686" s="94">
        <v>0.0</v>
      </c>
    </row>
    <row r="1687" hidden="1">
      <c r="A1687" s="83" t="s">
        <v>51</v>
      </c>
      <c r="B1687" s="84" t="s">
        <v>223</v>
      </c>
      <c r="C1687" s="85">
        <v>1.0</v>
      </c>
      <c r="D1687" s="94">
        <v>0.0</v>
      </c>
      <c r="E1687" s="86">
        <v>32.0</v>
      </c>
      <c r="F1687" s="85">
        <v>1.0</v>
      </c>
      <c r="G1687" s="85">
        <v>109.0</v>
      </c>
      <c r="H1687" s="94">
        <v>0.0</v>
      </c>
      <c r="I1687" s="85">
        <v>97.0</v>
      </c>
      <c r="J1687" s="95">
        <f t="shared" si="1267"/>
        <v>12</v>
      </c>
      <c r="K1687" s="87">
        <f t="shared" si="1268"/>
        <v>1.12371134</v>
      </c>
      <c r="L1687" s="85">
        <v>16.0</v>
      </c>
      <c r="M1687" s="85">
        <v>139.0</v>
      </c>
      <c r="N1687" s="85">
        <v>1.0</v>
      </c>
      <c r="O1687" s="110">
        <f t="shared" si="1275"/>
        <v>32</v>
      </c>
      <c r="P1687" s="85">
        <v>4.0</v>
      </c>
      <c r="Q1687" s="85">
        <v>4.0</v>
      </c>
      <c r="R1687" s="85">
        <v>5.0</v>
      </c>
      <c r="S1687" s="85">
        <v>2.0</v>
      </c>
      <c r="T1687" s="85">
        <v>13.0</v>
      </c>
      <c r="U1687" s="85">
        <v>2.0</v>
      </c>
      <c r="V1687" s="85">
        <v>1.0</v>
      </c>
      <c r="W1687" s="94">
        <v>0.0</v>
      </c>
      <c r="X1687" s="94">
        <v>0.0</v>
      </c>
      <c r="Y1687" s="94">
        <v>0.0</v>
      </c>
      <c r="Z1687" s="94">
        <v>0.0</v>
      </c>
      <c r="AA1687" s="94">
        <v>0.0</v>
      </c>
      <c r="AB1687" s="94">
        <v>0.0</v>
      </c>
      <c r="AC1687" s="85">
        <v>3.0</v>
      </c>
      <c r="AD1687" s="94">
        <v>0.0</v>
      </c>
      <c r="AE1687" s="94">
        <v>0.0</v>
      </c>
      <c r="AF1687" s="94">
        <v>0.0</v>
      </c>
      <c r="AG1687" s="94">
        <v>0.0</v>
      </c>
      <c r="AH1687" s="85">
        <v>1.0</v>
      </c>
    </row>
    <row r="1688" hidden="1">
      <c r="A1688" s="83" t="s">
        <v>51</v>
      </c>
      <c r="B1688" s="84" t="s">
        <v>224</v>
      </c>
      <c r="C1688" s="85">
        <v>1.0</v>
      </c>
      <c r="D1688" s="94">
        <v>0.0</v>
      </c>
      <c r="E1688" s="86">
        <v>32.0</v>
      </c>
      <c r="F1688" s="94">
        <v>0.0</v>
      </c>
      <c r="G1688" s="85">
        <v>104.0</v>
      </c>
      <c r="H1688" s="94">
        <v>0.0</v>
      </c>
      <c r="I1688" s="85">
        <v>109.0</v>
      </c>
      <c r="J1688" s="95">
        <f t="shared" si="1267"/>
        <v>-5</v>
      </c>
      <c r="K1688" s="87">
        <f t="shared" si="1268"/>
        <v>0.9541284404</v>
      </c>
      <c r="L1688" s="85">
        <v>14.0</v>
      </c>
      <c r="M1688" s="85">
        <v>123.0</v>
      </c>
      <c r="N1688" s="85">
        <v>1.0</v>
      </c>
      <c r="O1688" s="110">
        <f t="shared" si="1275"/>
        <v>32</v>
      </c>
      <c r="P1688" s="85">
        <v>2.0</v>
      </c>
      <c r="Q1688" s="85">
        <v>2.0</v>
      </c>
      <c r="R1688" s="85">
        <v>3.0</v>
      </c>
      <c r="S1688" s="85">
        <v>2.0</v>
      </c>
      <c r="T1688" s="85">
        <v>14.0</v>
      </c>
      <c r="U1688" s="85">
        <v>1.0</v>
      </c>
      <c r="V1688" s="85">
        <v>1.0</v>
      </c>
      <c r="W1688" s="94">
        <v>0.0</v>
      </c>
      <c r="X1688" s="94">
        <v>0.0</v>
      </c>
      <c r="Y1688" s="94">
        <v>0.0</v>
      </c>
      <c r="Z1688" s="94">
        <v>0.0</v>
      </c>
      <c r="AA1688" s="94">
        <v>0.0</v>
      </c>
      <c r="AB1688" s="94">
        <v>0.0</v>
      </c>
      <c r="AC1688" s="85">
        <v>2.0</v>
      </c>
      <c r="AD1688" s="94">
        <v>0.0</v>
      </c>
      <c r="AE1688" s="94">
        <v>0.0</v>
      </c>
      <c r="AF1688" s="94">
        <v>0.0</v>
      </c>
      <c r="AG1688" s="94">
        <v>0.0</v>
      </c>
      <c r="AH1688" s="94">
        <v>0.0</v>
      </c>
    </row>
    <row r="1689" hidden="1">
      <c r="A1689" s="83" t="s">
        <v>51</v>
      </c>
      <c r="B1689" s="84" t="s">
        <v>225</v>
      </c>
      <c r="C1689" s="85">
        <v>1.0</v>
      </c>
      <c r="D1689" s="94">
        <v>0.0</v>
      </c>
      <c r="E1689" s="86">
        <v>32.0</v>
      </c>
      <c r="F1689" s="85">
        <v>1.0</v>
      </c>
      <c r="G1689" s="85">
        <v>76.0</v>
      </c>
      <c r="H1689" s="85">
        <v>1.0</v>
      </c>
      <c r="I1689" s="85">
        <v>76.0</v>
      </c>
      <c r="J1689" s="95">
        <f t="shared" si="1267"/>
        <v>0</v>
      </c>
      <c r="K1689" s="87">
        <f t="shared" si="1268"/>
        <v>1</v>
      </c>
      <c r="L1689" s="85">
        <v>22.0</v>
      </c>
      <c r="M1689" s="85">
        <v>103.0</v>
      </c>
      <c r="N1689" s="85">
        <v>1.0</v>
      </c>
      <c r="O1689" s="110">
        <f t="shared" si="1275"/>
        <v>32</v>
      </c>
      <c r="P1689" s="85">
        <v>5.0</v>
      </c>
      <c r="Q1689" s="85">
        <v>1.0</v>
      </c>
      <c r="R1689" s="85">
        <v>4.0</v>
      </c>
      <c r="S1689" s="85">
        <v>1.0</v>
      </c>
      <c r="T1689" s="85">
        <v>11.0</v>
      </c>
      <c r="U1689" s="85">
        <v>2.0</v>
      </c>
      <c r="V1689" s="94">
        <v>0.0</v>
      </c>
      <c r="W1689" s="94">
        <v>0.0</v>
      </c>
      <c r="X1689" s="94">
        <v>0.0</v>
      </c>
      <c r="Y1689" s="94">
        <v>0.0</v>
      </c>
      <c r="Z1689" s="94">
        <v>0.0</v>
      </c>
      <c r="AA1689" s="94">
        <v>0.0</v>
      </c>
      <c r="AB1689" s="94">
        <v>0.0</v>
      </c>
      <c r="AC1689" s="85">
        <v>5.0</v>
      </c>
      <c r="AD1689" s="94">
        <v>0.0</v>
      </c>
      <c r="AE1689" s="94">
        <v>0.0</v>
      </c>
      <c r="AF1689" s="94">
        <v>0.0</v>
      </c>
      <c r="AG1689" s="94">
        <v>0.0</v>
      </c>
      <c r="AH1689" s="94">
        <v>0.0</v>
      </c>
    </row>
    <row r="1690" hidden="1">
      <c r="A1690" s="83" t="s">
        <v>51</v>
      </c>
      <c r="B1690" s="84" t="s">
        <v>226</v>
      </c>
      <c r="C1690" s="94">
        <v>0.0</v>
      </c>
      <c r="D1690" s="94">
        <v>0.0</v>
      </c>
      <c r="E1690" s="96">
        <f t="shared" ref="E1690:E1691" si="1276">SUM(L1690*I1690)/60</f>
        <v>0</v>
      </c>
      <c r="F1690" s="94">
        <v>0.0</v>
      </c>
      <c r="G1690" s="94">
        <v>0.0</v>
      </c>
      <c r="H1690" s="94">
        <v>0.0</v>
      </c>
      <c r="I1690" s="94">
        <v>0.0</v>
      </c>
      <c r="J1690" s="95">
        <f t="shared" si="1267"/>
        <v>0</v>
      </c>
      <c r="K1690" s="87" t="str">
        <f t="shared" si="1268"/>
        <v>#DIV/0!</v>
      </c>
      <c r="L1690" s="94">
        <v>0.0</v>
      </c>
      <c r="M1690" s="94">
        <v>0.0</v>
      </c>
      <c r="N1690" s="85">
        <v>0.0</v>
      </c>
      <c r="O1690" s="110">
        <f t="shared" si="1275"/>
        <v>0</v>
      </c>
      <c r="P1690" s="94">
        <v>0.0</v>
      </c>
      <c r="Q1690" s="94">
        <v>0.0</v>
      </c>
      <c r="R1690" s="94">
        <v>0.0</v>
      </c>
      <c r="S1690" s="94">
        <v>0.0</v>
      </c>
      <c r="T1690" s="94">
        <v>0.0</v>
      </c>
      <c r="U1690" s="94">
        <v>0.0</v>
      </c>
      <c r="V1690" s="94">
        <v>0.0</v>
      </c>
      <c r="W1690" s="94">
        <v>0.0</v>
      </c>
      <c r="X1690" s="94">
        <v>0.0</v>
      </c>
      <c r="Y1690" s="94">
        <v>0.0</v>
      </c>
      <c r="Z1690" s="94">
        <v>0.0</v>
      </c>
      <c r="AA1690" s="94">
        <v>0.0</v>
      </c>
      <c r="AB1690" s="94">
        <v>0.0</v>
      </c>
      <c r="AC1690" s="94">
        <v>0.0</v>
      </c>
      <c r="AD1690" s="94">
        <v>0.0</v>
      </c>
      <c r="AE1690" s="94">
        <v>0.0</v>
      </c>
      <c r="AF1690" s="94">
        <v>0.0</v>
      </c>
      <c r="AG1690" s="94">
        <v>0.0</v>
      </c>
      <c r="AH1690" s="94">
        <v>0.0</v>
      </c>
    </row>
    <row r="1691" hidden="1">
      <c r="A1691" s="83" t="s">
        <v>51</v>
      </c>
      <c r="B1691" s="84" t="s">
        <v>189</v>
      </c>
      <c r="C1691" s="94">
        <v>0.0</v>
      </c>
      <c r="D1691" s="94">
        <v>0.0</v>
      </c>
      <c r="E1691" s="96">
        <f t="shared" si="1276"/>
        <v>0</v>
      </c>
      <c r="F1691" s="94">
        <v>0.0</v>
      </c>
      <c r="G1691" s="94">
        <v>0.0</v>
      </c>
      <c r="H1691" s="94">
        <v>0.0</v>
      </c>
      <c r="I1691" s="94">
        <v>0.0</v>
      </c>
      <c r="J1691" s="95">
        <f t="shared" si="1267"/>
        <v>0</v>
      </c>
      <c r="K1691" s="87" t="str">
        <f t="shared" si="1268"/>
        <v>#DIV/0!</v>
      </c>
      <c r="L1691" s="94">
        <v>0.0</v>
      </c>
      <c r="M1691" s="94">
        <v>0.0</v>
      </c>
      <c r="N1691" s="85">
        <v>0.0</v>
      </c>
      <c r="O1691" s="110">
        <f t="shared" si="1275"/>
        <v>0</v>
      </c>
      <c r="P1691" s="94">
        <v>0.0</v>
      </c>
      <c r="Q1691" s="94">
        <v>0.0</v>
      </c>
      <c r="R1691" s="94">
        <v>0.0</v>
      </c>
      <c r="S1691" s="94">
        <v>0.0</v>
      </c>
      <c r="T1691" s="94">
        <v>0.0</v>
      </c>
      <c r="U1691" s="94">
        <v>0.0</v>
      </c>
      <c r="V1691" s="94">
        <v>0.0</v>
      </c>
      <c r="W1691" s="94">
        <v>0.0</v>
      </c>
      <c r="X1691" s="94">
        <v>0.0</v>
      </c>
      <c r="Y1691" s="94">
        <v>0.0</v>
      </c>
      <c r="Z1691" s="94">
        <v>0.0</v>
      </c>
      <c r="AA1691" s="94">
        <v>0.0</v>
      </c>
      <c r="AB1691" s="94">
        <v>0.0</v>
      </c>
      <c r="AC1691" s="94">
        <v>0.0</v>
      </c>
      <c r="AD1691" s="94">
        <v>0.0</v>
      </c>
      <c r="AE1691" s="94">
        <v>0.0</v>
      </c>
      <c r="AF1691" s="94">
        <v>0.0</v>
      </c>
      <c r="AG1691" s="94">
        <v>0.0</v>
      </c>
      <c r="AH1691" s="94">
        <v>0.0</v>
      </c>
    </row>
    <row r="1692" hidden="1">
      <c r="A1692" s="89" t="s">
        <v>185</v>
      </c>
      <c r="B1692" s="111"/>
      <c r="C1692" s="111">
        <f>SUM(C1686:C1691)</f>
        <v>4</v>
      </c>
      <c r="D1692" s="111">
        <f t="shared" ref="D1692:E1692" si="1277">SUM(D1686:D1691)/4</f>
        <v>0</v>
      </c>
      <c r="E1692" s="91">
        <f t="shared" si="1277"/>
        <v>32</v>
      </c>
      <c r="F1692" s="111">
        <f t="shared" ref="F1692:G1692" si="1278">SUM(F1686:F1691)</f>
        <v>2</v>
      </c>
      <c r="G1692" s="111">
        <f t="shared" si="1278"/>
        <v>395</v>
      </c>
      <c r="H1692" s="111"/>
      <c r="I1692" s="111">
        <f>SUM(I1686:I1691)</f>
        <v>390</v>
      </c>
      <c r="J1692" s="111">
        <f t="shared" si="1267"/>
        <v>5</v>
      </c>
      <c r="K1692" s="92">
        <f t="shared" si="1268"/>
        <v>1.012820513</v>
      </c>
      <c r="L1692" s="111">
        <f t="shared" ref="L1692:M1692" si="1279">SUM(L1686:L1691)</f>
        <v>66</v>
      </c>
      <c r="M1692" s="111">
        <f t="shared" si="1279"/>
        <v>492</v>
      </c>
      <c r="N1692" s="111"/>
      <c r="O1692" s="112"/>
      <c r="P1692" s="111">
        <f t="shared" ref="P1692:AH1692" si="1280">SUM(P1686:P1691)</f>
        <v>13</v>
      </c>
      <c r="Q1692" s="111">
        <f t="shared" si="1280"/>
        <v>8</v>
      </c>
      <c r="R1692" s="111">
        <f t="shared" si="1280"/>
        <v>21</v>
      </c>
      <c r="S1692" s="111">
        <f t="shared" si="1280"/>
        <v>7</v>
      </c>
      <c r="T1692" s="111">
        <f t="shared" si="1280"/>
        <v>52</v>
      </c>
      <c r="U1692" s="111">
        <f t="shared" si="1280"/>
        <v>7</v>
      </c>
      <c r="V1692" s="111">
        <f t="shared" si="1280"/>
        <v>2</v>
      </c>
      <c r="W1692" s="111">
        <f t="shared" si="1280"/>
        <v>0</v>
      </c>
      <c r="X1692" s="111">
        <f t="shared" si="1280"/>
        <v>0</v>
      </c>
      <c r="Y1692" s="111">
        <f t="shared" si="1280"/>
        <v>0</v>
      </c>
      <c r="Z1692" s="111">
        <f t="shared" si="1280"/>
        <v>0</v>
      </c>
      <c r="AA1692" s="111">
        <f t="shared" si="1280"/>
        <v>0</v>
      </c>
      <c r="AB1692" s="111">
        <f t="shared" si="1280"/>
        <v>0</v>
      </c>
      <c r="AC1692" s="111">
        <f t="shared" si="1280"/>
        <v>10</v>
      </c>
      <c r="AD1692" s="111">
        <f t="shared" si="1280"/>
        <v>0</v>
      </c>
      <c r="AE1692" s="111">
        <f t="shared" si="1280"/>
        <v>0</v>
      </c>
      <c r="AF1692" s="111">
        <f t="shared" si="1280"/>
        <v>0</v>
      </c>
      <c r="AG1692" s="111">
        <f t="shared" si="1280"/>
        <v>0</v>
      </c>
      <c r="AH1692" s="111">
        <f t="shared" si="1280"/>
        <v>1</v>
      </c>
    </row>
    <row r="1693">
      <c r="A1693" s="104" t="s">
        <v>348</v>
      </c>
    </row>
    <row r="1695" hidden="1">
      <c r="A1695" s="105"/>
      <c r="F1695" s="106" t="s">
        <v>251</v>
      </c>
      <c r="L1695" s="107" t="s">
        <v>252</v>
      </c>
      <c r="N1695" s="108" t="s">
        <v>253</v>
      </c>
    </row>
    <row r="1696" hidden="1">
      <c r="A1696" s="76" t="s">
        <v>148</v>
      </c>
      <c r="B1696" s="76" t="s">
        <v>149</v>
      </c>
      <c r="C1696" s="76" t="s">
        <v>150</v>
      </c>
      <c r="D1696" s="76" t="s">
        <v>13</v>
      </c>
      <c r="E1696" s="77" t="s">
        <v>151</v>
      </c>
      <c r="F1696" s="78" t="s">
        <v>15</v>
      </c>
      <c r="G1696" s="78" t="s">
        <v>152</v>
      </c>
      <c r="H1696" s="78" t="s">
        <v>153</v>
      </c>
      <c r="I1696" s="78" t="s">
        <v>154</v>
      </c>
      <c r="J1696" s="78" t="s">
        <v>155</v>
      </c>
      <c r="K1696" s="79" t="s">
        <v>156</v>
      </c>
      <c r="L1696" s="80" t="s">
        <v>157</v>
      </c>
      <c r="M1696" s="80" t="s">
        <v>158</v>
      </c>
      <c r="N1696" s="81" t="s">
        <v>254</v>
      </c>
      <c r="O1696" s="81" t="s">
        <v>151</v>
      </c>
      <c r="P1696" s="81" t="s">
        <v>160</v>
      </c>
      <c r="Q1696" s="81" t="s">
        <v>161</v>
      </c>
      <c r="R1696" s="81" t="s">
        <v>162</v>
      </c>
      <c r="S1696" s="81" t="s">
        <v>163</v>
      </c>
      <c r="T1696" s="81" t="s">
        <v>164</v>
      </c>
      <c r="U1696" s="81" t="s">
        <v>165</v>
      </c>
      <c r="V1696" s="81" t="s">
        <v>166</v>
      </c>
      <c r="W1696" s="81" t="s">
        <v>167</v>
      </c>
      <c r="X1696" s="81" t="s">
        <v>168</v>
      </c>
      <c r="Y1696" s="81" t="s">
        <v>169</v>
      </c>
      <c r="Z1696" s="81" t="s">
        <v>170</v>
      </c>
      <c r="AA1696" s="81" t="s">
        <v>171</v>
      </c>
      <c r="AB1696" s="81" t="s">
        <v>172</v>
      </c>
      <c r="AC1696" s="81" t="s">
        <v>173</v>
      </c>
      <c r="AD1696" s="81" t="s">
        <v>174</v>
      </c>
      <c r="AE1696" s="81" t="s">
        <v>175</v>
      </c>
      <c r="AF1696" s="81" t="s">
        <v>176</v>
      </c>
      <c r="AG1696" s="81" t="s">
        <v>177</v>
      </c>
      <c r="AH1696" s="81" t="s">
        <v>178</v>
      </c>
    </row>
    <row r="1697" hidden="1">
      <c r="A1697" s="83" t="s">
        <v>40</v>
      </c>
      <c r="B1697" s="84" t="s">
        <v>216</v>
      </c>
      <c r="C1697" s="85">
        <v>1.0</v>
      </c>
      <c r="D1697" s="85">
        <v>1.0</v>
      </c>
      <c r="E1697" s="86">
        <v>20.0</v>
      </c>
      <c r="F1697" s="85">
        <v>3.0</v>
      </c>
      <c r="G1697" s="85">
        <v>52.0</v>
      </c>
      <c r="H1697" s="85">
        <v>1.0</v>
      </c>
      <c r="I1697" s="85">
        <v>37.0</v>
      </c>
      <c r="J1697" s="95">
        <f t="shared" ref="J1697:J1710" si="1281">SUM(G1697-I1697)</f>
        <v>15</v>
      </c>
      <c r="K1697" s="87">
        <f t="shared" ref="K1697:K1710" si="1282">SUM(G1697/I1697)</f>
        <v>1.405405405</v>
      </c>
      <c r="L1697" s="85">
        <v>29.0</v>
      </c>
      <c r="M1697" s="85">
        <v>70.0</v>
      </c>
      <c r="N1697" s="85">
        <v>1.0</v>
      </c>
      <c r="O1697" s="110">
        <f t="shared" ref="O1697:O1702" si="1283">(E1697*N1697)</f>
        <v>20</v>
      </c>
      <c r="P1697" s="85">
        <v>3.0</v>
      </c>
      <c r="Q1697" s="85">
        <v>1.0</v>
      </c>
      <c r="R1697" s="85">
        <v>7.0</v>
      </c>
      <c r="S1697" s="94">
        <v>0.0</v>
      </c>
      <c r="T1697" s="85">
        <v>6.0</v>
      </c>
      <c r="U1697" s="94">
        <v>0.0</v>
      </c>
      <c r="V1697" s="94">
        <v>0.0</v>
      </c>
      <c r="W1697" s="94">
        <v>0.0</v>
      </c>
      <c r="X1697" s="94">
        <v>0.0</v>
      </c>
      <c r="Y1697" s="94">
        <v>0.0</v>
      </c>
      <c r="Z1697" s="94">
        <v>0.0</v>
      </c>
      <c r="AA1697" s="94">
        <v>0.0</v>
      </c>
      <c r="AB1697" s="94">
        <v>0.0</v>
      </c>
      <c r="AC1697" s="85">
        <v>1.0</v>
      </c>
      <c r="AD1697" s="94">
        <v>0.0</v>
      </c>
      <c r="AE1697" s="94">
        <v>0.0</v>
      </c>
      <c r="AF1697" s="94">
        <v>0.0</v>
      </c>
      <c r="AG1697" s="94">
        <v>0.0</v>
      </c>
      <c r="AH1697" s="94">
        <v>0.0</v>
      </c>
    </row>
    <row r="1698" hidden="1">
      <c r="A1698" s="83" t="s">
        <v>40</v>
      </c>
      <c r="B1698" s="84" t="s">
        <v>217</v>
      </c>
      <c r="C1698" s="85">
        <v>1.0</v>
      </c>
      <c r="D1698" s="85">
        <v>1.0</v>
      </c>
      <c r="E1698" s="86">
        <v>20.0</v>
      </c>
      <c r="F1698" s="94">
        <v>0.0</v>
      </c>
      <c r="G1698" s="85">
        <v>95.0</v>
      </c>
      <c r="H1698" s="94">
        <v>0.0</v>
      </c>
      <c r="I1698" s="85">
        <v>72.0</v>
      </c>
      <c r="J1698" s="95">
        <f t="shared" si="1281"/>
        <v>23</v>
      </c>
      <c r="K1698" s="87">
        <f t="shared" si="1282"/>
        <v>1.319444444</v>
      </c>
      <c r="L1698" s="85">
        <v>13.0</v>
      </c>
      <c r="M1698" s="85">
        <v>138.0</v>
      </c>
      <c r="N1698" s="85">
        <v>1.0</v>
      </c>
      <c r="O1698" s="110">
        <f t="shared" si="1283"/>
        <v>20</v>
      </c>
      <c r="P1698" s="85">
        <v>4.0</v>
      </c>
      <c r="Q1698" s="85">
        <v>2.0</v>
      </c>
      <c r="R1698" s="85">
        <v>15.0</v>
      </c>
      <c r="S1698" s="94">
        <v>0.0</v>
      </c>
      <c r="T1698" s="85">
        <v>17.0</v>
      </c>
      <c r="U1698" s="85">
        <v>4.0</v>
      </c>
      <c r="V1698" s="94">
        <v>0.0</v>
      </c>
      <c r="W1698" s="94">
        <v>0.0</v>
      </c>
      <c r="X1698" s="94">
        <v>0.0</v>
      </c>
      <c r="Y1698" s="94">
        <v>0.0</v>
      </c>
      <c r="Z1698" s="94">
        <v>0.0</v>
      </c>
      <c r="AA1698" s="94">
        <v>0.0</v>
      </c>
      <c r="AB1698" s="94">
        <v>0.0</v>
      </c>
      <c r="AC1698" s="85">
        <v>4.0</v>
      </c>
      <c r="AD1698" s="94">
        <v>0.0</v>
      </c>
      <c r="AE1698" s="94">
        <v>0.0</v>
      </c>
      <c r="AF1698" s="94">
        <v>0.0</v>
      </c>
      <c r="AG1698" s="94">
        <v>0.0</v>
      </c>
      <c r="AH1698" s="94">
        <v>0.0</v>
      </c>
    </row>
    <row r="1699" hidden="1">
      <c r="A1699" s="83" t="s">
        <v>40</v>
      </c>
      <c r="B1699" s="84" t="s">
        <v>218</v>
      </c>
      <c r="C1699" s="85">
        <v>1.0</v>
      </c>
      <c r="D1699" s="85">
        <v>1.0</v>
      </c>
      <c r="E1699" s="86">
        <v>20.0</v>
      </c>
      <c r="F1699" s="85">
        <v>1.0</v>
      </c>
      <c r="G1699" s="85">
        <v>89.0</v>
      </c>
      <c r="H1699" s="94">
        <v>0.0</v>
      </c>
      <c r="I1699" s="85">
        <v>71.0</v>
      </c>
      <c r="J1699" s="95">
        <f t="shared" si="1281"/>
        <v>18</v>
      </c>
      <c r="K1699" s="87">
        <f t="shared" si="1282"/>
        <v>1.253521127</v>
      </c>
      <c r="L1699" s="85">
        <v>13.0</v>
      </c>
      <c r="M1699" s="85">
        <v>123.0</v>
      </c>
      <c r="N1699" s="85">
        <v>1.0</v>
      </c>
      <c r="O1699" s="110">
        <f t="shared" si="1283"/>
        <v>20</v>
      </c>
      <c r="P1699" s="85">
        <v>4.0</v>
      </c>
      <c r="Q1699" s="85">
        <v>5.0</v>
      </c>
      <c r="R1699" s="85">
        <v>16.0</v>
      </c>
      <c r="S1699" s="94">
        <v>0.0</v>
      </c>
      <c r="T1699" s="85">
        <v>13.0</v>
      </c>
      <c r="U1699" s="85">
        <v>1.0</v>
      </c>
      <c r="V1699" s="85">
        <v>1.0</v>
      </c>
      <c r="W1699" s="94">
        <v>0.0</v>
      </c>
      <c r="X1699" s="94">
        <v>0.0</v>
      </c>
      <c r="Y1699" s="94">
        <v>0.0</v>
      </c>
      <c r="Z1699" s="94">
        <v>0.0</v>
      </c>
      <c r="AA1699" s="94">
        <v>0.0</v>
      </c>
      <c r="AB1699" s="94">
        <v>0.0</v>
      </c>
      <c r="AC1699" s="85">
        <v>2.0</v>
      </c>
      <c r="AD1699" s="94">
        <v>0.0</v>
      </c>
      <c r="AE1699" s="94">
        <v>0.0</v>
      </c>
      <c r="AF1699" s="94">
        <v>0.0</v>
      </c>
      <c r="AG1699" s="94">
        <v>0.0</v>
      </c>
      <c r="AH1699" s="94">
        <v>0.0</v>
      </c>
    </row>
    <row r="1700" hidden="1">
      <c r="A1700" s="83" t="s">
        <v>40</v>
      </c>
      <c r="B1700" s="84" t="s">
        <v>219</v>
      </c>
      <c r="C1700" s="94">
        <v>0.0</v>
      </c>
      <c r="D1700" s="94">
        <v>0.0</v>
      </c>
      <c r="E1700" s="96">
        <f t="shared" ref="E1700:E1701" si="1284">SUM(L1700*I1700)/60</f>
        <v>0</v>
      </c>
      <c r="F1700" s="94">
        <v>0.0</v>
      </c>
      <c r="G1700" s="94">
        <v>0.0</v>
      </c>
      <c r="H1700" s="94">
        <v>0.0</v>
      </c>
      <c r="I1700" s="94">
        <v>0.0</v>
      </c>
      <c r="J1700" s="95">
        <f t="shared" si="1281"/>
        <v>0</v>
      </c>
      <c r="K1700" s="87" t="str">
        <f t="shared" si="1282"/>
        <v>#DIV/0!</v>
      </c>
      <c r="L1700" s="94">
        <v>0.0</v>
      </c>
      <c r="M1700" s="94">
        <v>0.0</v>
      </c>
      <c r="N1700" s="85">
        <v>0.0</v>
      </c>
      <c r="O1700" s="110">
        <f t="shared" si="1283"/>
        <v>0</v>
      </c>
      <c r="P1700" s="94">
        <v>0.0</v>
      </c>
      <c r="Q1700" s="94">
        <v>0.0</v>
      </c>
      <c r="R1700" s="94">
        <v>0.0</v>
      </c>
      <c r="S1700" s="94">
        <v>0.0</v>
      </c>
      <c r="T1700" s="94">
        <v>0.0</v>
      </c>
      <c r="U1700" s="94">
        <v>0.0</v>
      </c>
      <c r="V1700" s="94">
        <v>0.0</v>
      </c>
      <c r="W1700" s="94">
        <v>0.0</v>
      </c>
      <c r="X1700" s="94">
        <v>0.0</v>
      </c>
      <c r="Y1700" s="94">
        <v>0.0</v>
      </c>
      <c r="Z1700" s="94">
        <v>0.0</v>
      </c>
      <c r="AA1700" s="94">
        <v>0.0</v>
      </c>
      <c r="AB1700" s="94">
        <v>0.0</v>
      </c>
      <c r="AC1700" s="94">
        <v>0.0</v>
      </c>
      <c r="AD1700" s="94">
        <v>0.0</v>
      </c>
      <c r="AE1700" s="94">
        <v>0.0</v>
      </c>
      <c r="AF1700" s="94">
        <v>0.0</v>
      </c>
      <c r="AG1700" s="94">
        <v>0.0</v>
      </c>
      <c r="AH1700" s="94">
        <v>0.0</v>
      </c>
    </row>
    <row r="1701" hidden="1">
      <c r="A1701" s="83" t="s">
        <v>40</v>
      </c>
      <c r="B1701" s="84" t="s">
        <v>220</v>
      </c>
      <c r="C1701" s="94">
        <v>0.0</v>
      </c>
      <c r="D1701" s="94">
        <v>0.0</v>
      </c>
      <c r="E1701" s="96">
        <f t="shared" si="1284"/>
        <v>0</v>
      </c>
      <c r="F1701" s="94">
        <v>0.0</v>
      </c>
      <c r="G1701" s="94">
        <v>0.0</v>
      </c>
      <c r="H1701" s="94">
        <v>0.0</v>
      </c>
      <c r="I1701" s="94">
        <v>0.0</v>
      </c>
      <c r="J1701" s="95">
        <f t="shared" si="1281"/>
        <v>0</v>
      </c>
      <c r="K1701" s="87" t="str">
        <f t="shared" si="1282"/>
        <v>#DIV/0!</v>
      </c>
      <c r="L1701" s="94">
        <v>0.0</v>
      </c>
      <c r="M1701" s="94">
        <v>0.0</v>
      </c>
      <c r="N1701" s="85">
        <v>0.0</v>
      </c>
      <c r="O1701" s="110">
        <f t="shared" si="1283"/>
        <v>0</v>
      </c>
      <c r="P1701" s="94">
        <v>0.0</v>
      </c>
      <c r="Q1701" s="94">
        <v>0.0</v>
      </c>
      <c r="R1701" s="94">
        <v>0.0</v>
      </c>
      <c r="S1701" s="94">
        <v>0.0</v>
      </c>
      <c r="T1701" s="94">
        <v>0.0</v>
      </c>
      <c r="U1701" s="94">
        <v>0.0</v>
      </c>
      <c r="V1701" s="94">
        <v>0.0</v>
      </c>
      <c r="W1701" s="94">
        <v>0.0</v>
      </c>
      <c r="X1701" s="94">
        <v>0.0</v>
      </c>
      <c r="Y1701" s="94">
        <v>0.0</v>
      </c>
      <c r="Z1701" s="94">
        <v>0.0</v>
      </c>
      <c r="AA1701" s="94">
        <v>0.0</v>
      </c>
      <c r="AB1701" s="94">
        <v>0.0</v>
      </c>
      <c r="AC1701" s="94">
        <v>0.0</v>
      </c>
      <c r="AD1701" s="94">
        <v>0.0</v>
      </c>
      <c r="AE1701" s="94">
        <v>0.0</v>
      </c>
      <c r="AF1701" s="94">
        <v>0.0</v>
      </c>
      <c r="AG1701" s="94">
        <v>0.0</v>
      </c>
      <c r="AH1701" s="94">
        <v>0.0</v>
      </c>
    </row>
    <row r="1702" hidden="1">
      <c r="A1702" s="83" t="s">
        <v>214</v>
      </c>
      <c r="B1702" s="84" t="s">
        <v>221</v>
      </c>
      <c r="C1702" s="85">
        <v>1.0</v>
      </c>
      <c r="D1702" s="85">
        <v>1.0</v>
      </c>
      <c r="E1702" s="86">
        <v>20.0</v>
      </c>
      <c r="F1702" s="85">
        <v>1.0</v>
      </c>
      <c r="G1702" s="85">
        <v>88.0</v>
      </c>
      <c r="H1702" s="94">
        <v>0.0</v>
      </c>
      <c r="I1702" s="85">
        <v>72.0</v>
      </c>
      <c r="J1702" s="95">
        <f t="shared" si="1281"/>
        <v>16</v>
      </c>
      <c r="K1702" s="87">
        <f t="shared" si="1282"/>
        <v>1.222222222</v>
      </c>
      <c r="L1702" s="85">
        <v>13.0</v>
      </c>
      <c r="M1702" s="85">
        <v>118.0</v>
      </c>
      <c r="N1702" s="85">
        <v>1.0</v>
      </c>
      <c r="O1702" s="110">
        <f t="shared" si="1283"/>
        <v>20</v>
      </c>
      <c r="P1702" s="85">
        <v>3.0</v>
      </c>
      <c r="Q1702" s="85">
        <v>3.0</v>
      </c>
      <c r="R1702" s="85">
        <v>15.0</v>
      </c>
      <c r="S1702" s="94">
        <v>0.0</v>
      </c>
      <c r="T1702" s="85">
        <v>10.0</v>
      </c>
      <c r="U1702" s="85">
        <v>4.0</v>
      </c>
      <c r="V1702" s="85">
        <v>1.0</v>
      </c>
      <c r="W1702" s="94">
        <v>0.0</v>
      </c>
      <c r="X1702" s="94">
        <v>0.0</v>
      </c>
      <c r="Y1702" s="94">
        <v>0.0</v>
      </c>
      <c r="Z1702" s="94">
        <v>0.0</v>
      </c>
      <c r="AA1702" s="94">
        <v>0.0</v>
      </c>
      <c r="AB1702" s="94">
        <v>0.0</v>
      </c>
      <c r="AC1702" s="85">
        <v>1.0</v>
      </c>
      <c r="AD1702" s="85">
        <v>1.0</v>
      </c>
      <c r="AE1702" s="94">
        <v>0.0</v>
      </c>
      <c r="AF1702" s="94">
        <v>0.0</v>
      </c>
      <c r="AG1702" s="94">
        <v>0.0</v>
      </c>
      <c r="AH1702" s="94">
        <v>0.0</v>
      </c>
    </row>
    <row r="1703" hidden="1">
      <c r="A1703" s="89"/>
      <c r="B1703" s="111"/>
      <c r="C1703" s="111">
        <f t="shared" ref="C1703:D1703" si="1285">SUM(C1697:C1702)/4</f>
        <v>1</v>
      </c>
      <c r="D1703" s="111">
        <f t="shared" si="1285"/>
        <v>1</v>
      </c>
      <c r="E1703" s="91">
        <f t="shared" ref="E1703:G1703" si="1286">SUM(E1697:E1702)</f>
        <v>80</v>
      </c>
      <c r="F1703" s="111">
        <f t="shared" si="1286"/>
        <v>5</v>
      </c>
      <c r="G1703" s="111">
        <f t="shared" si="1286"/>
        <v>324</v>
      </c>
      <c r="H1703" s="111"/>
      <c r="I1703" s="111">
        <f>SUM(I1697:I1702)</f>
        <v>252</v>
      </c>
      <c r="J1703" s="111">
        <f t="shared" si="1281"/>
        <v>72</v>
      </c>
      <c r="K1703" s="92">
        <f t="shared" si="1282"/>
        <v>1.285714286</v>
      </c>
      <c r="L1703" s="111">
        <f t="shared" ref="L1703:M1703" si="1287">SUM(L1697:L1702)</f>
        <v>68</v>
      </c>
      <c r="M1703" s="111">
        <f t="shared" si="1287"/>
        <v>449</v>
      </c>
      <c r="N1703" s="111"/>
      <c r="O1703" s="112"/>
      <c r="P1703" s="111">
        <f t="shared" ref="P1703:AH1703" si="1288">SUM(P1697:P1702)</f>
        <v>14</v>
      </c>
      <c r="Q1703" s="111">
        <f t="shared" si="1288"/>
        <v>11</v>
      </c>
      <c r="R1703" s="111">
        <f t="shared" si="1288"/>
        <v>53</v>
      </c>
      <c r="S1703" s="111">
        <f t="shared" si="1288"/>
        <v>0</v>
      </c>
      <c r="T1703" s="111">
        <f t="shared" si="1288"/>
        <v>46</v>
      </c>
      <c r="U1703" s="111">
        <f t="shared" si="1288"/>
        <v>9</v>
      </c>
      <c r="V1703" s="111">
        <f t="shared" si="1288"/>
        <v>2</v>
      </c>
      <c r="W1703" s="111">
        <f t="shared" si="1288"/>
        <v>0</v>
      </c>
      <c r="X1703" s="111">
        <f t="shared" si="1288"/>
        <v>0</v>
      </c>
      <c r="Y1703" s="111">
        <f t="shared" si="1288"/>
        <v>0</v>
      </c>
      <c r="Z1703" s="111">
        <f t="shared" si="1288"/>
        <v>0</v>
      </c>
      <c r="AA1703" s="111">
        <f t="shared" si="1288"/>
        <v>0</v>
      </c>
      <c r="AB1703" s="111">
        <f t="shared" si="1288"/>
        <v>0</v>
      </c>
      <c r="AC1703" s="111">
        <f t="shared" si="1288"/>
        <v>8</v>
      </c>
      <c r="AD1703" s="111">
        <f t="shared" si="1288"/>
        <v>1</v>
      </c>
      <c r="AE1703" s="111">
        <f t="shared" si="1288"/>
        <v>0</v>
      </c>
      <c r="AF1703" s="111">
        <f t="shared" si="1288"/>
        <v>0</v>
      </c>
      <c r="AG1703" s="111">
        <f t="shared" si="1288"/>
        <v>0</v>
      </c>
      <c r="AH1703" s="111">
        <f t="shared" si="1288"/>
        <v>0</v>
      </c>
    </row>
    <row r="1704" hidden="1">
      <c r="A1704" s="83" t="s">
        <v>51</v>
      </c>
      <c r="B1704" s="84" t="s">
        <v>222</v>
      </c>
      <c r="C1704" s="85">
        <v>1.0</v>
      </c>
      <c r="D1704" s="94">
        <v>0.0</v>
      </c>
      <c r="E1704" s="86">
        <v>20.0</v>
      </c>
      <c r="F1704" s="94">
        <v>0.0</v>
      </c>
      <c r="G1704" s="85">
        <v>56.0</v>
      </c>
      <c r="H1704" s="94">
        <v>0.0</v>
      </c>
      <c r="I1704" s="85">
        <v>83.0</v>
      </c>
      <c r="J1704" s="95">
        <f t="shared" si="1281"/>
        <v>-27</v>
      </c>
      <c r="K1704" s="87">
        <f t="shared" si="1282"/>
        <v>0.6746987952</v>
      </c>
      <c r="L1704" s="85">
        <v>11.0</v>
      </c>
      <c r="M1704" s="85">
        <v>61.0</v>
      </c>
      <c r="N1704" s="85">
        <v>1.0</v>
      </c>
      <c r="O1704" s="110">
        <f t="shared" ref="O1704:O1709" si="1289">(E1704*N1704)</f>
        <v>20</v>
      </c>
      <c r="P1704" s="85">
        <v>3.0</v>
      </c>
      <c r="Q1704" s="94">
        <v>0.0</v>
      </c>
      <c r="R1704" s="85">
        <v>2.0</v>
      </c>
      <c r="S1704" s="85">
        <v>1.0</v>
      </c>
      <c r="T1704" s="85">
        <v>4.0</v>
      </c>
      <c r="U1704" s="94">
        <v>0.0</v>
      </c>
      <c r="V1704" s="94">
        <v>0.0</v>
      </c>
      <c r="W1704" s="94">
        <v>0.0</v>
      </c>
      <c r="X1704" s="94">
        <v>0.0</v>
      </c>
      <c r="Y1704" s="94">
        <v>0.0</v>
      </c>
      <c r="Z1704" s="94">
        <v>0.0</v>
      </c>
      <c r="AA1704" s="94">
        <v>0.0</v>
      </c>
      <c r="AB1704" s="94">
        <v>0.0</v>
      </c>
      <c r="AC1704" s="94">
        <v>0.0</v>
      </c>
      <c r="AD1704" s="94">
        <v>0.0</v>
      </c>
      <c r="AE1704" s="94">
        <v>0.0</v>
      </c>
      <c r="AF1704" s="94">
        <v>0.0</v>
      </c>
      <c r="AG1704" s="94">
        <v>0.0</v>
      </c>
      <c r="AH1704" s="94">
        <v>0.0</v>
      </c>
    </row>
    <row r="1705" hidden="1">
      <c r="A1705" s="83" t="s">
        <v>51</v>
      </c>
      <c r="B1705" s="84" t="s">
        <v>223</v>
      </c>
      <c r="C1705" s="85">
        <v>1.0</v>
      </c>
      <c r="D1705" s="94">
        <v>0.0</v>
      </c>
      <c r="E1705" s="86">
        <v>20.0</v>
      </c>
      <c r="F1705" s="94">
        <v>0.0</v>
      </c>
      <c r="G1705" s="85">
        <v>71.0</v>
      </c>
      <c r="H1705" s="94">
        <v>0.0</v>
      </c>
      <c r="I1705" s="85">
        <v>73.0</v>
      </c>
      <c r="J1705" s="95">
        <f t="shared" si="1281"/>
        <v>-2</v>
      </c>
      <c r="K1705" s="87">
        <f t="shared" si="1282"/>
        <v>0.9726027397</v>
      </c>
      <c r="L1705" s="85">
        <v>13.0</v>
      </c>
      <c r="M1705" s="85">
        <v>85.0</v>
      </c>
      <c r="N1705" s="85">
        <v>1.0</v>
      </c>
      <c r="O1705" s="110">
        <f t="shared" si="1289"/>
        <v>20</v>
      </c>
      <c r="P1705" s="85">
        <v>7.0</v>
      </c>
      <c r="Q1705" s="85">
        <v>2.0</v>
      </c>
      <c r="R1705" s="85">
        <v>3.0</v>
      </c>
      <c r="S1705" s="85">
        <v>1.0</v>
      </c>
      <c r="T1705" s="85">
        <v>5.0</v>
      </c>
      <c r="U1705" s="85">
        <v>1.0</v>
      </c>
      <c r="V1705" s="94">
        <v>0.0</v>
      </c>
      <c r="W1705" s="94">
        <v>0.0</v>
      </c>
      <c r="X1705" s="94">
        <v>0.0</v>
      </c>
      <c r="Y1705" s="94">
        <v>0.0</v>
      </c>
      <c r="Z1705" s="94">
        <v>0.0</v>
      </c>
      <c r="AA1705" s="94">
        <v>0.0</v>
      </c>
      <c r="AB1705" s="94">
        <v>0.0</v>
      </c>
      <c r="AC1705" s="94">
        <v>0.0</v>
      </c>
      <c r="AD1705" s="94">
        <v>0.0</v>
      </c>
      <c r="AE1705" s="94">
        <v>0.0</v>
      </c>
      <c r="AF1705" s="94">
        <v>0.0</v>
      </c>
      <c r="AG1705" s="94">
        <v>0.0</v>
      </c>
      <c r="AH1705" s="94">
        <v>0.0</v>
      </c>
    </row>
    <row r="1706" hidden="1">
      <c r="A1706" s="83" t="s">
        <v>51</v>
      </c>
      <c r="B1706" s="84" t="s">
        <v>224</v>
      </c>
      <c r="C1706" s="85">
        <v>1.0</v>
      </c>
      <c r="D1706" s="94">
        <v>0.0</v>
      </c>
      <c r="E1706" s="86">
        <v>20.0</v>
      </c>
      <c r="F1706" s="85">
        <v>1.0</v>
      </c>
      <c r="G1706" s="85">
        <v>56.0</v>
      </c>
      <c r="H1706" s="94">
        <v>0.0</v>
      </c>
      <c r="I1706" s="85">
        <v>85.0</v>
      </c>
      <c r="J1706" s="95">
        <f t="shared" si="1281"/>
        <v>-29</v>
      </c>
      <c r="K1706" s="87">
        <f t="shared" si="1282"/>
        <v>0.6588235294</v>
      </c>
      <c r="L1706" s="85">
        <v>11.0</v>
      </c>
      <c r="M1706" s="85">
        <v>72.0</v>
      </c>
      <c r="N1706" s="85">
        <v>1.0</v>
      </c>
      <c r="O1706" s="110">
        <f t="shared" si="1289"/>
        <v>20</v>
      </c>
      <c r="P1706" s="85">
        <v>3.0</v>
      </c>
      <c r="Q1706" s="94">
        <v>0.0</v>
      </c>
      <c r="R1706" s="85">
        <v>1.0</v>
      </c>
      <c r="S1706" s="85">
        <v>4.0</v>
      </c>
      <c r="T1706" s="85">
        <v>9.0</v>
      </c>
      <c r="U1706" s="94">
        <v>0.0</v>
      </c>
      <c r="V1706" s="94">
        <v>0.0</v>
      </c>
      <c r="W1706" s="94">
        <v>0.0</v>
      </c>
      <c r="X1706" s="94">
        <v>0.0</v>
      </c>
      <c r="Y1706" s="94">
        <v>0.0</v>
      </c>
      <c r="Z1706" s="94">
        <v>0.0</v>
      </c>
      <c r="AA1706" s="94">
        <v>0.0</v>
      </c>
      <c r="AB1706" s="94">
        <v>0.0</v>
      </c>
      <c r="AC1706" s="94">
        <v>0.0</v>
      </c>
      <c r="AD1706" s="94">
        <v>0.0</v>
      </c>
      <c r="AE1706" s="94">
        <v>0.0</v>
      </c>
      <c r="AF1706" s="94">
        <v>0.0</v>
      </c>
      <c r="AG1706" s="94">
        <v>0.0</v>
      </c>
      <c r="AH1706" s="94">
        <v>0.0</v>
      </c>
    </row>
    <row r="1707" hidden="1">
      <c r="A1707" s="83" t="s">
        <v>51</v>
      </c>
      <c r="B1707" s="84" t="s">
        <v>225</v>
      </c>
      <c r="C1707" s="85">
        <v>1.0</v>
      </c>
      <c r="D1707" s="94">
        <v>0.0</v>
      </c>
      <c r="E1707" s="86">
        <v>20.0</v>
      </c>
      <c r="F1707" s="85">
        <v>2.0</v>
      </c>
      <c r="G1707" s="85">
        <v>62.0</v>
      </c>
      <c r="H1707" s="94">
        <v>0.0</v>
      </c>
      <c r="I1707" s="85">
        <v>97.0</v>
      </c>
      <c r="J1707" s="95">
        <f t="shared" si="1281"/>
        <v>-35</v>
      </c>
      <c r="K1707" s="87">
        <f t="shared" si="1282"/>
        <v>0.6391752577</v>
      </c>
      <c r="L1707" s="85">
        <v>9.0</v>
      </c>
      <c r="M1707" s="85">
        <v>77.0</v>
      </c>
      <c r="N1707" s="85">
        <v>1.0</v>
      </c>
      <c r="O1707" s="110">
        <f t="shared" si="1289"/>
        <v>20</v>
      </c>
      <c r="P1707" s="85">
        <v>3.0</v>
      </c>
      <c r="Q1707" s="85">
        <v>3.0</v>
      </c>
      <c r="R1707" s="85">
        <v>2.0</v>
      </c>
      <c r="S1707" s="85">
        <v>2.0</v>
      </c>
      <c r="T1707" s="85">
        <v>5.0</v>
      </c>
      <c r="U1707" s="85">
        <v>1.0</v>
      </c>
      <c r="V1707" s="85">
        <v>1.0</v>
      </c>
      <c r="W1707" s="94">
        <v>0.0</v>
      </c>
      <c r="X1707" s="94">
        <v>0.0</v>
      </c>
      <c r="Y1707" s="94">
        <v>0.0</v>
      </c>
      <c r="Z1707" s="94">
        <v>0.0</v>
      </c>
      <c r="AA1707" s="94">
        <v>0.0</v>
      </c>
      <c r="AB1707" s="94">
        <v>0.0</v>
      </c>
      <c r="AC1707" s="94">
        <v>0.0</v>
      </c>
      <c r="AD1707" s="94">
        <v>0.0</v>
      </c>
      <c r="AE1707" s="94">
        <v>0.0</v>
      </c>
      <c r="AF1707" s="94">
        <v>0.0</v>
      </c>
      <c r="AG1707" s="94">
        <v>0.0</v>
      </c>
      <c r="AH1707" s="94">
        <v>0.0</v>
      </c>
    </row>
    <row r="1708" hidden="1">
      <c r="A1708" s="83" t="s">
        <v>51</v>
      </c>
      <c r="B1708" s="84" t="s">
        <v>226</v>
      </c>
      <c r="C1708" s="94">
        <v>0.0</v>
      </c>
      <c r="D1708" s="94">
        <v>0.0</v>
      </c>
      <c r="E1708" s="96">
        <f t="shared" ref="E1708:E1709" si="1290">SUM(L1708*I1708)/60</f>
        <v>0</v>
      </c>
      <c r="F1708" s="94">
        <v>0.0</v>
      </c>
      <c r="G1708" s="94">
        <v>0.0</v>
      </c>
      <c r="H1708" s="94">
        <v>0.0</v>
      </c>
      <c r="I1708" s="94">
        <v>0.0</v>
      </c>
      <c r="J1708" s="95">
        <f t="shared" si="1281"/>
        <v>0</v>
      </c>
      <c r="K1708" s="87" t="str">
        <f t="shared" si="1282"/>
        <v>#DIV/0!</v>
      </c>
      <c r="L1708" s="94">
        <v>0.0</v>
      </c>
      <c r="M1708" s="94">
        <v>0.0</v>
      </c>
      <c r="N1708" s="85">
        <v>0.0</v>
      </c>
      <c r="O1708" s="110">
        <f t="shared" si="1289"/>
        <v>0</v>
      </c>
      <c r="P1708" s="94">
        <v>0.0</v>
      </c>
      <c r="Q1708" s="94">
        <v>0.0</v>
      </c>
      <c r="R1708" s="94">
        <v>0.0</v>
      </c>
      <c r="S1708" s="94">
        <v>0.0</v>
      </c>
      <c r="T1708" s="94">
        <v>0.0</v>
      </c>
      <c r="U1708" s="94">
        <v>0.0</v>
      </c>
      <c r="V1708" s="94">
        <v>0.0</v>
      </c>
      <c r="W1708" s="94">
        <v>0.0</v>
      </c>
      <c r="X1708" s="94">
        <v>0.0</v>
      </c>
      <c r="Y1708" s="94">
        <v>0.0</v>
      </c>
      <c r="Z1708" s="94">
        <v>0.0</v>
      </c>
      <c r="AA1708" s="94">
        <v>0.0</v>
      </c>
      <c r="AB1708" s="94">
        <v>0.0</v>
      </c>
      <c r="AC1708" s="94">
        <v>0.0</v>
      </c>
      <c r="AD1708" s="94">
        <v>0.0</v>
      </c>
      <c r="AE1708" s="94">
        <v>0.0</v>
      </c>
      <c r="AF1708" s="94">
        <v>0.0</v>
      </c>
      <c r="AG1708" s="94">
        <v>0.0</v>
      </c>
      <c r="AH1708" s="94">
        <v>0.0</v>
      </c>
    </row>
    <row r="1709" hidden="1">
      <c r="A1709" s="83" t="s">
        <v>51</v>
      </c>
      <c r="B1709" s="84" t="s">
        <v>189</v>
      </c>
      <c r="C1709" s="94">
        <v>0.0</v>
      </c>
      <c r="D1709" s="94">
        <v>0.0</v>
      </c>
      <c r="E1709" s="96">
        <f t="shared" si="1290"/>
        <v>0</v>
      </c>
      <c r="F1709" s="94">
        <v>0.0</v>
      </c>
      <c r="G1709" s="94">
        <v>0.0</v>
      </c>
      <c r="H1709" s="94">
        <v>0.0</v>
      </c>
      <c r="I1709" s="94">
        <v>0.0</v>
      </c>
      <c r="J1709" s="95">
        <f t="shared" si="1281"/>
        <v>0</v>
      </c>
      <c r="K1709" s="87" t="str">
        <f t="shared" si="1282"/>
        <v>#DIV/0!</v>
      </c>
      <c r="L1709" s="94">
        <v>0.0</v>
      </c>
      <c r="M1709" s="94">
        <v>0.0</v>
      </c>
      <c r="N1709" s="85">
        <v>0.0</v>
      </c>
      <c r="O1709" s="110">
        <f t="shared" si="1289"/>
        <v>0</v>
      </c>
      <c r="P1709" s="94">
        <v>0.0</v>
      </c>
      <c r="Q1709" s="94">
        <v>0.0</v>
      </c>
      <c r="R1709" s="94">
        <v>0.0</v>
      </c>
      <c r="S1709" s="94">
        <v>0.0</v>
      </c>
      <c r="T1709" s="94">
        <v>0.0</v>
      </c>
      <c r="U1709" s="94">
        <v>0.0</v>
      </c>
      <c r="V1709" s="94">
        <v>0.0</v>
      </c>
      <c r="W1709" s="94">
        <v>0.0</v>
      </c>
      <c r="X1709" s="94">
        <v>0.0</v>
      </c>
      <c r="Y1709" s="94">
        <v>0.0</v>
      </c>
      <c r="Z1709" s="94">
        <v>0.0</v>
      </c>
      <c r="AA1709" s="94">
        <v>0.0</v>
      </c>
      <c r="AB1709" s="94">
        <v>0.0</v>
      </c>
      <c r="AC1709" s="94">
        <v>0.0</v>
      </c>
      <c r="AD1709" s="94">
        <v>0.0</v>
      </c>
      <c r="AE1709" s="94">
        <v>0.0</v>
      </c>
      <c r="AF1709" s="94">
        <v>0.0</v>
      </c>
      <c r="AG1709" s="94">
        <v>0.0</v>
      </c>
      <c r="AH1709" s="94">
        <v>0.0</v>
      </c>
    </row>
    <row r="1710" hidden="1">
      <c r="A1710" s="89" t="s">
        <v>185</v>
      </c>
      <c r="B1710" s="111"/>
      <c r="C1710" s="111">
        <f>SUM(C1704:C1709)</f>
        <v>4</v>
      </c>
      <c r="D1710" s="111">
        <f t="shared" ref="D1710:E1710" si="1291">SUM(D1704:D1709)/4</f>
        <v>0</v>
      </c>
      <c r="E1710" s="91">
        <f t="shared" si="1291"/>
        <v>20</v>
      </c>
      <c r="F1710" s="111">
        <f t="shared" ref="F1710:G1710" si="1292">SUM(F1704:F1709)</f>
        <v>3</v>
      </c>
      <c r="G1710" s="111">
        <f t="shared" si="1292"/>
        <v>245</v>
      </c>
      <c r="H1710" s="111"/>
      <c r="I1710" s="111">
        <f>SUM(I1704:I1709)</f>
        <v>338</v>
      </c>
      <c r="J1710" s="111">
        <f t="shared" si="1281"/>
        <v>-93</v>
      </c>
      <c r="K1710" s="92">
        <f t="shared" si="1282"/>
        <v>0.724852071</v>
      </c>
      <c r="L1710" s="111">
        <f t="shared" ref="L1710:M1710" si="1293">SUM(L1704:L1709)</f>
        <v>44</v>
      </c>
      <c r="M1710" s="111">
        <f t="shared" si="1293"/>
        <v>295</v>
      </c>
      <c r="N1710" s="111"/>
      <c r="O1710" s="112"/>
      <c r="P1710" s="111">
        <f t="shared" ref="P1710:AH1710" si="1294">SUM(P1704:P1709)</f>
        <v>16</v>
      </c>
      <c r="Q1710" s="111">
        <f t="shared" si="1294"/>
        <v>5</v>
      </c>
      <c r="R1710" s="111">
        <f t="shared" si="1294"/>
        <v>8</v>
      </c>
      <c r="S1710" s="111">
        <f t="shared" si="1294"/>
        <v>8</v>
      </c>
      <c r="T1710" s="111">
        <f t="shared" si="1294"/>
        <v>23</v>
      </c>
      <c r="U1710" s="111">
        <f t="shared" si="1294"/>
        <v>2</v>
      </c>
      <c r="V1710" s="111">
        <f t="shared" si="1294"/>
        <v>1</v>
      </c>
      <c r="W1710" s="111">
        <f t="shared" si="1294"/>
        <v>0</v>
      </c>
      <c r="X1710" s="111">
        <f t="shared" si="1294"/>
        <v>0</v>
      </c>
      <c r="Y1710" s="111">
        <f t="shared" si="1294"/>
        <v>0</v>
      </c>
      <c r="Z1710" s="111">
        <f t="shared" si="1294"/>
        <v>0</v>
      </c>
      <c r="AA1710" s="111">
        <f t="shared" si="1294"/>
        <v>0</v>
      </c>
      <c r="AB1710" s="111">
        <f t="shared" si="1294"/>
        <v>0</v>
      </c>
      <c r="AC1710" s="111">
        <f t="shared" si="1294"/>
        <v>0</v>
      </c>
      <c r="AD1710" s="111">
        <f t="shared" si="1294"/>
        <v>0</v>
      </c>
      <c r="AE1710" s="111">
        <f t="shared" si="1294"/>
        <v>0</v>
      </c>
      <c r="AF1710" s="111">
        <f t="shared" si="1294"/>
        <v>0</v>
      </c>
      <c r="AG1710" s="111">
        <f t="shared" si="1294"/>
        <v>0</v>
      </c>
      <c r="AH1710" s="111">
        <f t="shared" si="1294"/>
        <v>0</v>
      </c>
    </row>
    <row r="1711">
      <c r="A1711" s="115" t="s">
        <v>349</v>
      </c>
    </row>
    <row r="1713" hidden="1">
      <c r="A1713" s="105"/>
      <c r="F1713" s="106" t="s">
        <v>251</v>
      </c>
      <c r="L1713" s="107" t="s">
        <v>252</v>
      </c>
      <c r="N1713" s="108" t="s">
        <v>253</v>
      </c>
    </row>
    <row r="1714" hidden="1">
      <c r="A1714" s="76" t="s">
        <v>148</v>
      </c>
      <c r="B1714" s="76" t="s">
        <v>149</v>
      </c>
      <c r="C1714" s="76" t="s">
        <v>150</v>
      </c>
      <c r="D1714" s="76" t="s">
        <v>13</v>
      </c>
      <c r="E1714" s="77" t="s">
        <v>151</v>
      </c>
      <c r="F1714" s="78" t="s">
        <v>15</v>
      </c>
      <c r="G1714" s="78" t="s">
        <v>152</v>
      </c>
      <c r="H1714" s="78" t="s">
        <v>153</v>
      </c>
      <c r="I1714" s="78" t="s">
        <v>154</v>
      </c>
      <c r="J1714" s="78" t="s">
        <v>155</v>
      </c>
      <c r="K1714" s="79" t="s">
        <v>156</v>
      </c>
      <c r="L1714" s="80" t="s">
        <v>157</v>
      </c>
      <c r="M1714" s="80" t="s">
        <v>158</v>
      </c>
      <c r="N1714" s="81" t="s">
        <v>254</v>
      </c>
      <c r="O1714" s="81" t="s">
        <v>151</v>
      </c>
      <c r="P1714" s="81" t="s">
        <v>160</v>
      </c>
      <c r="Q1714" s="81" t="s">
        <v>161</v>
      </c>
      <c r="R1714" s="81" t="s">
        <v>162</v>
      </c>
      <c r="S1714" s="81" t="s">
        <v>163</v>
      </c>
      <c r="T1714" s="81" t="s">
        <v>164</v>
      </c>
      <c r="U1714" s="81" t="s">
        <v>165</v>
      </c>
      <c r="V1714" s="81" t="s">
        <v>166</v>
      </c>
      <c r="W1714" s="81" t="s">
        <v>167</v>
      </c>
      <c r="X1714" s="81" t="s">
        <v>168</v>
      </c>
      <c r="Y1714" s="81" t="s">
        <v>169</v>
      </c>
      <c r="Z1714" s="81" t="s">
        <v>170</v>
      </c>
      <c r="AA1714" s="81" t="s">
        <v>171</v>
      </c>
      <c r="AB1714" s="81" t="s">
        <v>172</v>
      </c>
      <c r="AC1714" s="81" t="s">
        <v>173</v>
      </c>
      <c r="AD1714" s="81" t="s">
        <v>174</v>
      </c>
      <c r="AE1714" s="81" t="s">
        <v>175</v>
      </c>
      <c r="AF1714" s="81" t="s">
        <v>176</v>
      </c>
      <c r="AG1714" s="81" t="s">
        <v>177</v>
      </c>
      <c r="AH1714" s="81" t="s">
        <v>178</v>
      </c>
    </row>
    <row r="1715" hidden="1">
      <c r="A1715" s="83" t="s">
        <v>58</v>
      </c>
      <c r="B1715" s="84" t="s">
        <v>209</v>
      </c>
      <c r="C1715" s="85">
        <v>1.0</v>
      </c>
      <c r="D1715" s="94">
        <v>0.0</v>
      </c>
      <c r="E1715" s="86">
        <v>4.0</v>
      </c>
      <c r="F1715" s="94">
        <v>0.0</v>
      </c>
      <c r="G1715" s="85">
        <v>9.0</v>
      </c>
      <c r="H1715" s="85">
        <v>1.0</v>
      </c>
      <c r="I1715" s="85">
        <v>19.0</v>
      </c>
      <c r="J1715" s="95">
        <f t="shared" ref="J1715:J1728" si="1295">SUM(G1715-I1715)</f>
        <v>-10</v>
      </c>
      <c r="K1715" s="87">
        <f t="shared" ref="K1715:K1728" si="1296">SUM(G1715/I1715)</f>
        <v>0.4736842105</v>
      </c>
      <c r="L1715" s="85">
        <v>10.0</v>
      </c>
      <c r="M1715" s="85">
        <v>10.0</v>
      </c>
      <c r="N1715" s="85">
        <v>1.0</v>
      </c>
      <c r="O1715" s="110">
        <f t="shared" ref="O1715:O1720" si="1297">(E1715*N1715)</f>
        <v>4</v>
      </c>
      <c r="P1715" s="85">
        <v>1.0</v>
      </c>
      <c r="Q1715" s="94">
        <v>0.0</v>
      </c>
      <c r="R1715" s="94">
        <v>0.0</v>
      </c>
      <c r="S1715" s="85">
        <v>1.0</v>
      </c>
      <c r="T1715" s="85">
        <v>1.0</v>
      </c>
      <c r="U1715" s="94">
        <v>0.0</v>
      </c>
      <c r="V1715" s="94">
        <v>0.0</v>
      </c>
      <c r="W1715" s="94">
        <v>0.0</v>
      </c>
      <c r="X1715" s="94">
        <v>0.0</v>
      </c>
      <c r="Y1715" s="94">
        <v>0.0</v>
      </c>
      <c r="Z1715" s="94">
        <v>0.0</v>
      </c>
      <c r="AA1715" s="94">
        <v>0.0</v>
      </c>
      <c r="AB1715" s="94">
        <v>0.0</v>
      </c>
      <c r="AC1715" s="94">
        <v>0.0</v>
      </c>
      <c r="AD1715" s="94">
        <v>0.0</v>
      </c>
      <c r="AE1715" s="94">
        <v>0.0</v>
      </c>
      <c r="AF1715" s="94">
        <v>0.0</v>
      </c>
      <c r="AG1715" s="94">
        <v>0.0</v>
      </c>
      <c r="AH1715" s="94">
        <v>0.0</v>
      </c>
    </row>
    <row r="1716" hidden="1">
      <c r="A1716" s="83" t="s">
        <v>58</v>
      </c>
      <c r="B1716" s="84" t="s">
        <v>210</v>
      </c>
      <c r="C1716" s="85">
        <v>1.0</v>
      </c>
      <c r="D1716" s="94">
        <v>0.0</v>
      </c>
      <c r="E1716" s="86">
        <v>4.0</v>
      </c>
      <c r="F1716" s="94">
        <v>0.0</v>
      </c>
      <c r="G1716" s="85">
        <v>11.0</v>
      </c>
      <c r="H1716" s="94">
        <v>0.0</v>
      </c>
      <c r="I1716" s="85">
        <v>18.0</v>
      </c>
      <c r="J1716" s="95">
        <f t="shared" si="1295"/>
        <v>-7</v>
      </c>
      <c r="K1716" s="87">
        <f t="shared" si="1296"/>
        <v>0.6111111111</v>
      </c>
      <c r="L1716" s="85">
        <v>11.0</v>
      </c>
      <c r="M1716" s="85">
        <v>14.0</v>
      </c>
      <c r="N1716" s="85">
        <v>1.0</v>
      </c>
      <c r="O1716" s="110">
        <f t="shared" si="1297"/>
        <v>4</v>
      </c>
      <c r="P1716" s="85">
        <v>1.0</v>
      </c>
      <c r="Q1716" s="94">
        <v>0.0</v>
      </c>
      <c r="R1716" s="85">
        <v>1.0</v>
      </c>
      <c r="S1716" s="94">
        <v>0.0</v>
      </c>
      <c r="T1716" s="85">
        <v>2.0</v>
      </c>
      <c r="U1716" s="94">
        <v>0.0</v>
      </c>
      <c r="V1716" s="94">
        <v>0.0</v>
      </c>
      <c r="W1716" s="94">
        <v>0.0</v>
      </c>
      <c r="X1716" s="94">
        <v>0.0</v>
      </c>
      <c r="Y1716" s="94">
        <v>0.0</v>
      </c>
      <c r="Z1716" s="94">
        <v>0.0</v>
      </c>
      <c r="AA1716" s="94">
        <v>0.0</v>
      </c>
      <c r="AB1716" s="94">
        <v>0.0</v>
      </c>
      <c r="AC1716" s="94">
        <v>0.0</v>
      </c>
      <c r="AD1716" s="94">
        <v>0.0</v>
      </c>
      <c r="AE1716" s="94">
        <v>0.0</v>
      </c>
      <c r="AF1716" s="94">
        <v>0.0</v>
      </c>
      <c r="AG1716" s="94">
        <v>0.0</v>
      </c>
      <c r="AH1716" s="94">
        <v>0.0</v>
      </c>
    </row>
    <row r="1717" hidden="1">
      <c r="A1717" s="83" t="s">
        <v>58</v>
      </c>
      <c r="B1717" s="84" t="s">
        <v>211</v>
      </c>
      <c r="C1717" s="85">
        <v>1.0</v>
      </c>
      <c r="D1717" s="94">
        <v>0.0</v>
      </c>
      <c r="E1717" s="86">
        <v>4.0</v>
      </c>
      <c r="F1717" s="94">
        <v>0.0</v>
      </c>
      <c r="G1717" s="85">
        <v>10.0</v>
      </c>
      <c r="H1717" s="94">
        <v>0.0</v>
      </c>
      <c r="I1717" s="85">
        <v>13.0</v>
      </c>
      <c r="J1717" s="95">
        <f t="shared" si="1295"/>
        <v>-3</v>
      </c>
      <c r="K1717" s="87">
        <f t="shared" si="1296"/>
        <v>0.7692307692</v>
      </c>
      <c r="L1717" s="85">
        <v>16.0</v>
      </c>
      <c r="M1717" s="85">
        <v>13.0</v>
      </c>
      <c r="N1717" s="85">
        <v>1.0</v>
      </c>
      <c r="O1717" s="110">
        <f t="shared" si="1297"/>
        <v>4</v>
      </c>
      <c r="P1717" s="85">
        <v>1.0</v>
      </c>
      <c r="Q1717" s="94">
        <v>0.0</v>
      </c>
      <c r="R1717" s="94">
        <v>0.0</v>
      </c>
      <c r="S1717" s="85">
        <v>1.0</v>
      </c>
      <c r="T1717" s="85">
        <v>1.0</v>
      </c>
      <c r="U1717" s="94">
        <v>0.0</v>
      </c>
      <c r="V1717" s="94">
        <v>0.0</v>
      </c>
      <c r="W1717" s="94">
        <v>0.0</v>
      </c>
      <c r="X1717" s="94">
        <v>0.0</v>
      </c>
      <c r="Y1717" s="94">
        <v>0.0</v>
      </c>
      <c r="Z1717" s="94">
        <v>0.0</v>
      </c>
      <c r="AA1717" s="94">
        <v>0.0</v>
      </c>
      <c r="AB1717" s="94">
        <v>0.0</v>
      </c>
      <c r="AC1717" s="94">
        <v>0.0</v>
      </c>
      <c r="AD1717" s="94">
        <v>0.0</v>
      </c>
      <c r="AE1717" s="94">
        <v>0.0</v>
      </c>
      <c r="AF1717" s="94">
        <v>0.0</v>
      </c>
      <c r="AG1717" s="94">
        <v>0.0</v>
      </c>
      <c r="AH1717" s="94">
        <v>0.0</v>
      </c>
    </row>
    <row r="1718" hidden="1">
      <c r="A1718" s="83" t="s">
        <v>58</v>
      </c>
      <c r="B1718" s="84" t="s">
        <v>212</v>
      </c>
      <c r="C1718" s="85">
        <v>1.0</v>
      </c>
      <c r="D1718" s="94">
        <v>0.0</v>
      </c>
      <c r="E1718" s="86">
        <v>4.0</v>
      </c>
      <c r="F1718" s="94">
        <v>0.0</v>
      </c>
      <c r="G1718" s="85">
        <v>13.0</v>
      </c>
      <c r="H1718" s="94">
        <v>0.0</v>
      </c>
      <c r="I1718" s="85">
        <v>10.0</v>
      </c>
      <c r="J1718" s="95">
        <f t="shared" si="1295"/>
        <v>3</v>
      </c>
      <c r="K1718" s="87">
        <f t="shared" si="1296"/>
        <v>1.3</v>
      </c>
      <c r="L1718" s="85">
        <v>22.0</v>
      </c>
      <c r="M1718" s="85">
        <v>12.0</v>
      </c>
      <c r="N1718" s="85">
        <v>1.0</v>
      </c>
      <c r="O1718" s="110">
        <f t="shared" si="1297"/>
        <v>4</v>
      </c>
      <c r="P1718" s="94">
        <v>0.0</v>
      </c>
      <c r="Q1718" s="94">
        <v>0.0</v>
      </c>
      <c r="R1718" s="94">
        <v>0.0</v>
      </c>
      <c r="S1718" s="94">
        <v>0.0</v>
      </c>
      <c r="T1718" s="94">
        <v>0.0</v>
      </c>
      <c r="U1718" s="94">
        <v>0.0</v>
      </c>
      <c r="V1718" s="94">
        <v>0.0</v>
      </c>
      <c r="W1718" s="94">
        <v>0.0</v>
      </c>
      <c r="X1718" s="94">
        <v>0.0</v>
      </c>
      <c r="Y1718" s="94">
        <v>0.0</v>
      </c>
      <c r="Z1718" s="94">
        <v>0.0</v>
      </c>
      <c r="AA1718" s="94">
        <v>0.0</v>
      </c>
      <c r="AB1718" s="94">
        <v>0.0</v>
      </c>
      <c r="AC1718" s="94">
        <v>0.0</v>
      </c>
      <c r="AD1718" s="94">
        <v>0.0</v>
      </c>
      <c r="AE1718" s="94">
        <v>0.0</v>
      </c>
      <c r="AF1718" s="94">
        <v>0.0</v>
      </c>
      <c r="AG1718" s="94">
        <v>0.0</v>
      </c>
      <c r="AH1718" s="94">
        <v>0.0</v>
      </c>
    </row>
    <row r="1719" hidden="1">
      <c r="A1719" s="83" t="s">
        <v>58</v>
      </c>
      <c r="B1719" s="84" t="s">
        <v>213</v>
      </c>
      <c r="C1719" s="94">
        <v>0.0</v>
      </c>
      <c r="D1719" s="94">
        <v>0.0</v>
      </c>
      <c r="E1719" s="96">
        <f t="shared" ref="E1719:E1720" si="1298">SUM(L1719*I1719)/60</f>
        <v>0</v>
      </c>
      <c r="F1719" s="94">
        <v>0.0</v>
      </c>
      <c r="G1719" s="94">
        <v>0.0</v>
      </c>
      <c r="H1719" s="94">
        <v>0.0</v>
      </c>
      <c r="I1719" s="94">
        <v>0.0</v>
      </c>
      <c r="J1719" s="95">
        <f t="shared" si="1295"/>
        <v>0</v>
      </c>
      <c r="K1719" s="87" t="str">
        <f t="shared" si="1296"/>
        <v>#DIV/0!</v>
      </c>
      <c r="L1719" s="94">
        <v>0.0</v>
      </c>
      <c r="M1719" s="94">
        <v>0.0</v>
      </c>
      <c r="N1719" s="85">
        <v>0.0</v>
      </c>
      <c r="O1719" s="110">
        <f t="shared" si="1297"/>
        <v>0</v>
      </c>
      <c r="P1719" s="94">
        <v>0.0</v>
      </c>
      <c r="Q1719" s="94">
        <v>0.0</v>
      </c>
      <c r="R1719" s="94">
        <v>0.0</v>
      </c>
      <c r="S1719" s="94">
        <v>0.0</v>
      </c>
      <c r="T1719" s="94">
        <v>0.0</v>
      </c>
      <c r="U1719" s="94">
        <v>0.0</v>
      </c>
      <c r="V1719" s="94">
        <v>0.0</v>
      </c>
      <c r="W1719" s="94">
        <v>0.0</v>
      </c>
      <c r="X1719" s="94">
        <v>0.0</v>
      </c>
      <c r="Y1719" s="94">
        <v>0.0</v>
      </c>
      <c r="Z1719" s="94">
        <v>0.0</v>
      </c>
      <c r="AA1719" s="94">
        <v>0.0</v>
      </c>
      <c r="AB1719" s="94">
        <v>0.0</v>
      </c>
      <c r="AC1719" s="94">
        <v>0.0</v>
      </c>
      <c r="AD1719" s="94">
        <v>0.0</v>
      </c>
      <c r="AE1719" s="94">
        <v>0.0</v>
      </c>
      <c r="AF1719" s="94">
        <v>0.0</v>
      </c>
      <c r="AG1719" s="94">
        <v>0.0</v>
      </c>
      <c r="AH1719" s="94">
        <v>0.0</v>
      </c>
    </row>
    <row r="1720" hidden="1">
      <c r="A1720" s="83" t="s">
        <v>214</v>
      </c>
      <c r="B1720" s="84" t="s">
        <v>189</v>
      </c>
      <c r="C1720" s="94">
        <v>0.0</v>
      </c>
      <c r="D1720" s="94">
        <v>0.0</v>
      </c>
      <c r="E1720" s="96">
        <f t="shared" si="1298"/>
        <v>0</v>
      </c>
      <c r="F1720" s="94">
        <v>0.0</v>
      </c>
      <c r="G1720" s="94">
        <v>0.0</v>
      </c>
      <c r="H1720" s="94">
        <v>0.0</v>
      </c>
      <c r="I1720" s="94">
        <v>0.0</v>
      </c>
      <c r="J1720" s="95">
        <f t="shared" si="1295"/>
        <v>0</v>
      </c>
      <c r="K1720" s="87" t="str">
        <f t="shared" si="1296"/>
        <v>#DIV/0!</v>
      </c>
      <c r="L1720" s="94">
        <v>0.0</v>
      </c>
      <c r="M1720" s="94">
        <v>0.0</v>
      </c>
      <c r="N1720" s="85">
        <v>0.0</v>
      </c>
      <c r="O1720" s="110">
        <f t="shared" si="1297"/>
        <v>0</v>
      </c>
      <c r="P1720" s="94">
        <v>0.0</v>
      </c>
      <c r="Q1720" s="94">
        <v>0.0</v>
      </c>
      <c r="R1720" s="94">
        <v>0.0</v>
      </c>
      <c r="S1720" s="94">
        <v>0.0</v>
      </c>
      <c r="T1720" s="94">
        <v>0.0</v>
      </c>
      <c r="U1720" s="94">
        <v>0.0</v>
      </c>
      <c r="V1720" s="94">
        <v>0.0</v>
      </c>
      <c r="W1720" s="94">
        <v>0.0</v>
      </c>
      <c r="X1720" s="94">
        <v>0.0</v>
      </c>
      <c r="Y1720" s="94">
        <v>0.0</v>
      </c>
      <c r="Z1720" s="94">
        <v>0.0</v>
      </c>
      <c r="AA1720" s="94">
        <v>0.0</v>
      </c>
      <c r="AB1720" s="94">
        <v>0.0</v>
      </c>
      <c r="AC1720" s="94">
        <v>0.0</v>
      </c>
      <c r="AD1720" s="94">
        <v>0.0</v>
      </c>
      <c r="AE1720" s="94">
        <v>0.0</v>
      </c>
      <c r="AF1720" s="94">
        <v>0.0</v>
      </c>
      <c r="AG1720" s="94">
        <v>0.0</v>
      </c>
      <c r="AH1720" s="94">
        <v>0.0</v>
      </c>
    </row>
    <row r="1721" hidden="1">
      <c r="A1721" s="89"/>
      <c r="B1721" s="111"/>
      <c r="C1721" s="111">
        <f t="shared" ref="C1721:D1721" si="1299">SUM(C1715:C1720)/4</f>
        <v>1</v>
      </c>
      <c r="D1721" s="111">
        <f t="shared" si="1299"/>
        <v>0</v>
      </c>
      <c r="E1721" s="91">
        <f t="shared" ref="E1721:G1721" si="1300">SUM(E1715:E1720)</f>
        <v>16</v>
      </c>
      <c r="F1721" s="111">
        <f t="shared" si="1300"/>
        <v>0</v>
      </c>
      <c r="G1721" s="111">
        <f t="shared" si="1300"/>
        <v>43</v>
      </c>
      <c r="H1721" s="111"/>
      <c r="I1721" s="111">
        <f>SUM(I1715:I1720)</f>
        <v>60</v>
      </c>
      <c r="J1721" s="111">
        <f t="shared" si="1295"/>
        <v>-17</v>
      </c>
      <c r="K1721" s="92">
        <f t="shared" si="1296"/>
        <v>0.7166666667</v>
      </c>
      <c r="L1721" s="111">
        <f t="shared" ref="L1721:M1721" si="1301">SUM(L1715:L1720)</f>
        <v>59</v>
      </c>
      <c r="M1721" s="111">
        <f t="shared" si="1301"/>
        <v>49</v>
      </c>
      <c r="N1721" s="111"/>
      <c r="O1721" s="112"/>
      <c r="P1721" s="111">
        <f t="shared" ref="P1721:AH1721" si="1302">SUM(P1715:P1720)</f>
        <v>3</v>
      </c>
      <c r="Q1721" s="111">
        <f t="shared" si="1302"/>
        <v>0</v>
      </c>
      <c r="R1721" s="111">
        <f t="shared" si="1302"/>
        <v>1</v>
      </c>
      <c r="S1721" s="111">
        <f t="shared" si="1302"/>
        <v>2</v>
      </c>
      <c r="T1721" s="111">
        <f t="shared" si="1302"/>
        <v>4</v>
      </c>
      <c r="U1721" s="111">
        <f t="shared" si="1302"/>
        <v>0</v>
      </c>
      <c r="V1721" s="111">
        <f t="shared" si="1302"/>
        <v>0</v>
      </c>
      <c r="W1721" s="111">
        <f t="shared" si="1302"/>
        <v>0</v>
      </c>
      <c r="X1721" s="111">
        <f t="shared" si="1302"/>
        <v>0</v>
      </c>
      <c r="Y1721" s="111">
        <f t="shared" si="1302"/>
        <v>0</v>
      </c>
      <c r="Z1721" s="111">
        <f t="shared" si="1302"/>
        <v>0</v>
      </c>
      <c r="AA1721" s="111">
        <f t="shared" si="1302"/>
        <v>0</v>
      </c>
      <c r="AB1721" s="111">
        <f t="shared" si="1302"/>
        <v>0</v>
      </c>
      <c r="AC1721" s="111">
        <f t="shared" si="1302"/>
        <v>0</v>
      </c>
      <c r="AD1721" s="111">
        <f t="shared" si="1302"/>
        <v>0</v>
      </c>
      <c r="AE1721" s="111">
        <f t="shared" si="1302"/>
        <v>0</v>
      </c>
      <c r="AF1721" s="111">
        <f t="shared" si="1302"/>
        <v>0</v>
      </c>
      <c r="AG1721" s="111">
        <f t="shared" si="1302"/>
        <v>0</v>
      </c>
      <c r="AH1721" s="111">
        <f t="shared" si="1302"/>
        <v>0</v>
      </c>
    </row>
    <row r="1722" hidden="1">
      <c r="A1722" s="83" t="s">
        <v>34</v>
      </c>
      <c r="B1722" s="84" t="s">
        <v>227</v>
      </c>
      <c r="C1722" s="85">
        <v>1.0</v>
      </c>
      <c r="D1722" s="85">
        <v>1.0</v>
      </c>
      <c r="E1722" s="86">
        <v>4.0</v>
      </c>
      <c r="F1722" s="85">
        <v>3.0</v>
      </c>
      <c r="G1722" s="85">
        <v>18.0</v>
      </c>
      <c r="H1722" s="94">
        <v>0.0</v>
      </c>
      <c r="I1722" s="85">
        <v>6.0</v>
      </c>
      <c r="J1722" s="95">
        <f t="shared" si="1295"/>
        <v>12</v>
      </c>
      <c r="K1722" s="87">
        <f t="shared" si="1296"/>
        <v>3</v>
      </c>
      <c r="L1722" s="85">
        <v>36.0</v>
      </c>
      <c r="M1722" s="85">
        <v>26.0</v>
      </c>
      <c r="N1722" s="85">
        <v>1.0</v>
      </c>
      <c r="O1722" s="110">
        <f t="shared" ref="O1722:O1727" si="1303">(E1722*N1722)</f>
        <v>4</v>
      </c>
      <c r="P1722" s="85">
        <v>2.0</v>
      </c>
      <c r="Q1722" s="94">
        <v>0.0</v>
      </c>
      <c r="R1722" s="94">
        <v>0.0</v>
      </c>
      <c r="S1722" s="94">
        <v>0.0</v>
      </c>
      <c r="T1722" s="85">
        <v>3.0</v>
      </c>
      <c r="U1722" s="85">
        <v>1.0</v>
      </c>
      <c r="V1722" s="94">
        <v>0.0</v>
      </c>
      <c r="W1722" s="94">
        <v>0.0</v>
      </c>
      <c r="X1722" s="94">
        <v>0.0</v>
      </c>
      <c r="Y1722" s="94">
        <v>0.0</v>
      </c>
      <c r="Z1722" s="94">
        <v>0.0</v>
      </c>
      <c r="AA1722" s="94">
        <v>0.0</v>
      </c>
      <c r="AB1722" s="94">
        <v>0.0</v>
      </c>
      <c r="AC1722" s="85">
        <v>2.0</v>
      </c>
      <c r="AD1722" s="94">
        <v>0.0</v>
      </c>
      <c r="AE1722" s="94">
        <v>0.0</v>
      </c>
      <c r="AF1722" s="94">
        <v>0.0</v>
      </c>
      <c r="AG1722" s="94">
        <v>0.0</v>
      </c>
      <c r="AH1722" s="94">
        <v>0.0</v>
      </c>
    </row>
    <row r="1723" hidden="1">
      <c r="A1723" s="83" t="s">
        <v>34</v>
      </c>
      <c r="B1723" s="84" t="s">
        <v>228</v>
      </c>
      <c r="C1723" s="85">
        <v>1.0</v>
      </c>
      <c r="D1723" s="85">
        <v>1.0</v>
      </c>
      <c r="E1723" s="86">
        <v>4.0</v>
      </c>
      <c r="F1723" s="85">
        <v>1.0</v>
      </c>
      <c r="G1723" s="85">
        <v>16.0</v>
      </c>
      <c r="H1723" s="94">
        <v>0.0</v>
      </c>
      <c r="I1723" s="85">
        <v>18.0</v>
      </c>
      <c r="J1723" s="95">
        <f t="shared" si="1295"/>
        <v>-2</v>
      </c>
      <c r="K1723" s="87">
        <f t="shared" si="1296"/>
        <v>0.8888888889</v>
      </c>
      <c r="L1723" s="85">
        <v>11.0</v>
      </c>
      <c r="M1723" s="85">
        <v>18.0</v>
      </c>
      <c r="N1723" s="85">
        <v>1.0</v>
      </c>
      <c r="O1723" s="110">
        <f t="shared" si="1303"/>
        <v>4</v>
      </c>
      <c r="P1723" s="85">
        <v>1.0</v>
      </c>
      <c r="Q1723" s="85">
        <v>1.0</v>
      </c>
      <c r="R1723" s="85">
        <v>1.0</v>
      </c>
      <c r="S1723" s="94">
        <v>0.0</v>
      </c>
      <c r="T1723" s="85">
        <v>2.0</v>
      </c>
      <c r="U1723" s="85">
        <v>1.0</v>
      </c>
      <c r="V1723" s="85">
        <v>1.0</v>
      </c>
      <c r="W1723" s="94">
        <v>0.0</v>
      </c>
      <c r="X1723" s="94">
        <v>0.0</v>
      </c>
      <c r="Y1723" s="94">
        <v>0.0</v>
      </c>
      <c r="Z1723" s="94">
        <v>0.0</v>
      </c>
      <c r="AA1723" s="94">
        <v>0.0</v>
      </c>
      <c r="AB1723" s="94">
        <v>0.0</v>
      </c>
      <c r="AC1723" s="94">
        <v>0.0</v>
      </c>
      <c r="AD1723" s="94">
        <v>0.0</v>
      </c>
      <c r="AE1723" s="94">
        <v>0.0</v>
      </c>
      <c r="AF1723" s="94">
        <v>0.0</v>
      </c>
      <c r="AG1723" s="94">
        <v>0.0</v>
      </c>
      <c r="AH1723" s="94">
        <v>0.0</v>
      </c>
    </row>
    <row r="1724" hidden="1">
      <c r="A1724" s="83" t="s">
        <v>34</v>
      </c>
      <c r="B1724" s="84" t="s">
        <v>229</v>
      </c>
      <c r="C1724" s="85">
        <v>1.0</v>
      </c>
      <c r="D1724" s="85">
        <v>1.0</v>
      </c>
      <c r="E1724" s="86">
        <v>4.0</v>
      </c>
      <c r="F1724" s="85">
        <v>1.0</v>
      </c>
      <c r="G1724" s="85">
        <v>13.0</v>
      </c>
      <c r="H1724" s="94">
        <v>0.0</v>
      </c>
      <c r="I1724" s="85">
        <v>6.0</v>
      </c>
      <c r="J1724" s="95">
        <f t="shared" si="1295"/>
        <v>7</v>
      </c>
      <c r="K1724" s="87">
        <f t="shared" si="1296"/>
        <v>2.166666667</v>
      </c>
      <c r="L1724" s="85">
        <v>35.0</v>
      </c>
      <c r="M1724" s="85">
        <v>15.0</v>
      </c>
      <c r="N1724" s="85">
        <v>1.0</v>
      </c>
      <c r="O1724" s="110">
        <f t="shared" si="1303"/>
        <v>4</v>
      </c>
      <c r="P1724" s="94">
        <v>0.0</v>
      </c>
      <c r="Q1724" s="94">
        <v>0.0</v>
      </c>
      <c r="R1724" s="85">
        <v>3.0</v>
      </c>
      <c r="S1724" s="94">
        <v>0.0</v>
      </c>
      <c r="T1724" s="85">
        <v>2.0</v>
      </c>
      <c r="U1724" s="94">
        <v>0.0</v>
      </c>
      <c r="V1724" s="94">
        <v>0.0</v>
      </c>
      <c r="W1724" s="94">
        <v>0.0</v>
      </c>
      <c r="X1724" s="94">
        <v>0.0</v>
      </c>
      <c r="Y1724" s="94">
        <v>0.0</v>
      </c>
      <c r="Z1724" s="94">
        <v>0.0</v>
      </c>
      <c r="AA1724" s="94">
        <v>0.0</v>
      </c>
      <c r="AB1724" s="94">
        <v>0.0</v>
      </c>
      <c r="AC1724" s="94">
        <v>0.0</v>
      </c>
      <c r="AD1724" s="94">
        <v>0.0</v>
      </c>
      <c r="AE1724" s="94">
        <v>0.0</v>
      </c>
      <c r="AF1724" s="94">
        <v>0.0</v>
      </c>
      <c r="AG1724" s="94">
        <v>0.0</v>
      </c>
      <c r="AH1724" s="94">
        <v>0.0</v>
      </c>
    </row>
    <row r="1725" hidden="1">
      <c r="A1725" s="83" t="s">
        <v>34</v>
      </c>
      <c r="B1725" s="84" t="s">
        <v>230</v>
      </c>
      <c r="C1725" s="85">
        <v>1.0</v>
      </c>
      <c r="D1725" s="85">
        <v>1.0</v>
      </c>
      <c r="E1725" s="86">
        <v>4.0</v>
      </c>
      <c r="F1725" s="94">
        <v>0.0</v>
      </c>
      <c r="G1725" s="85">
        <v>13.0</v>
      </c>
      <c r="H1725" s="94">
        <v>0.0</v>
      </c>
      <c r="I1725" s="85">
        <v>14.0</v>
      </c>
      <c r="J1725" s="95">
        <f t="shared" si="1295"/>
        <v>-1</v>
      </c>
      <c r="K1725" s="87">
        <f t="shared" si="1296"/>
        <v>0.9285714286</v>
      </c>
      <c r="L1725" s="85">
        <v>14.0</v>
      </c>
      <c r="M1725" s="85">
        <v>16.0</v>
      </c>
      <c r="N1725" s="85">
        <v>1.0</v>
      </c>
      <c r="O1725" s="110">
        <f t="shared" si="1303"/>
        <v>4</v>
      </c>
      <c r="P1725" s="94">
        <v>0.0</v>
      </c>
      <c r="Q1725" s="94">
        <v>0.0</v>
      </c>
      <c r="R1725" s="85">
        <v>3.0</v>
      </c>
      <c r="S1725" s="94">
        <v>0.0</v>
      </c>
      <c r="T1725" s="94">
        <v>0.0</v>
      </c>
      <c r="U1725" s="94">
        <v>0.0</v>
      </c>
      <c r="V1725" s="94">
        <v>0.0</v>
      </c>
      <c r="W1725" s="94">
        <v>0.0</v>
      </c>
      <c r="X1725" s="94">
        <v>0.0</v>
      </c>
      <c r="Y1725" s="94">
        <v>0.0</v>
      </c>
      <c r="Z1725" s="94">
        <v>0.0</v>
      </c>
      <c r="AA1725" s="94">
        <v>0.0</v>
      </c>
      <c r="AB1725" s="94">
        <v>0.0</v>
      </c>
      <c r="AC1725" s="94">
        <v>0.0</v>
      </c>
      <c r="AD1725" s="94">
        <v>0.0</v>
      </c>
      <c r="AE1725" s="94">
        <v>0.0</v>
      </c>
      <c r="AF1725" s="94">
        <v>0.0</v>
      </c>
      <c r="AG1725" s="94">
        <v>0.0</v>
      </c>
      <c r="AH1725" s="94">
        <v>0.0</v>
      </c>
    </row>
    <row r="1726" hidden="1">
      <c r="A1726" s="83" t="s">
        <v>34</v>
      </c>
      <c r="B1726" s="84" t="s">
        <v>231</v>
      </c>
      <c r="C1726" s="94">
        <v>0.0</v>
      </c>
      <c r="D1726" s="85">
        <v>0.0</v>
      </c>
      <c r="E1726" s="96">
        <f t="shared" ref="E1726:E1727" si="1304">SUM(L1726*I1726)/60</f>
        <v>0</v>
      </c>
      <c r="F1726" s="94">
        <v>0.0</v>
      </c>
      <c r="G1726" s="94">
        <v>0.0</v>
      </c>
      <c r="H1726" s="94">
        <v>0.0</v>
      </c>
      <c r="I1726" s="94">
        <v>0.0</v>
      </c>
      <c r="J1726" s="95">
        <f t="shared" si="1295"/>
        <v>0</v>
      </c>
      <c r="K1726" s="87" t="str">
        <f t="shared" si="1296"/>
        <v>#DIV/0!</v>
      </c>
      <c r="L1726" s="94">
        <v>0.0</v>
      </c>
      <c r="M1726" s="94">
        <v>0.0</v>
      </c>
      <c r="N1726" s="85">
        <v>0.0</v>
      </c>
      <c r="O1726" s="110">
        <f t="shared" si="1303"/>
        <v>0</v>
      </c>
      <c r="P1726" s="94">
        <v>0.0</v>
      </c>
      <c r="Q1726" s="94">
        <v>0.0</v>
      </c>
      <c r="R1726" s="94">
        <v>0.0</v>
      </c>
      <c r="S1726" s="94">
        <v>0.0</v>
      </c>
      <c r="T1726" s="94">
        <v>0.0</v>
      </c>
      <c r="U1726" s="94">
        <v>0.0</v>
      </c>
      <c r="V1726" s="94">
        <v>0.0</v>
      </c>
      <c r="W1726" s="94">
        <v>0.0</v>
      </c>
      <c r="X1726" s="94">
        <v>0.0</v>
      </c>
      <c r="Y1726" s="94">
        <v>0.0</v>
      </c>
      <c r="Z1726" s="94">
        <v>0.0</v>
      </c>
      <c r="AA1726" s="94">
        <v>0.0</v>
      </c>
      <c r="AB1726" s="94">
        <v>0.0</v>
      </c>
      <c r="AC1726" s="94">
        <v>0.0</v>
      </c>
      <c r="AD1726" s="94">
        <v>0.0</v>
      </c>
      <c r="AE1726" s="94">
        <v>0.0</v>
      </c>
      <c r="AF1726" s="94">
        <v>0.0</v>
      </c>
      <c r="AG1726" s="94">
        <v>0.0</v>
      </c>
      <c r="AH1726" s="94">
        <v>0.0</v>
      </c>
    </row>
    <row r="1727" hidden="1">
      <c r="A1727" s="83" t="s">
        <v>34</v>
      </c>
      <c r="B1727" s="93"/>
      <c r="C1727" s="94">
        <v>0.0</v>
      </c>
      <c r="D1727" s="94">
        <v>0.0</v>
      </c>
      <c r="E1727" s="96">
        <f t="shared" si="1304"/>
        <v>0</v>
      </c>
      <c r="F1727" s="94">
        <v>0.0</v>
      </c>
      <c r="G1727" s="94">
        <v>0.0</v>
      </c>
      <c r="H1727" s="94">
        <v>0.0</v>
      </c>
      <c r="I1727" s="94">
        <v>0.0</v>
      </c>
      <c r="J1727" s="95">
        <f t="shared" si="1295"/>
        <v>0</v>
      </c>
      <c r="K1727" s="87" t="str">
        <f t="shared" si="1296"/>
        <v>#DIV/0!</v>
      </c>
      <c r="L1727" s="94">
        <v>0.0</v>
      </c>
      <c r="M1727" s="94">
        <v>0.0</v>
      </c>
      <c r="N1727" s="85">
        <v>0.0</v>
      </c>
      <c r="O1727" s="110">
        <f t="shared" si="1303"/>
        <v>0</v>
      </c>
      <c r="P1727" s="94">
        <v>0.0</v>
      </c>
      <c r="Q1727" s="94">
        <v>0.0</v>
      </c>
      <c r="R1727" s="94">
        <v>0.0</v>
      </c>
      <c r="S1727" s="94">
        <v>0.0</v>
      </c>
      <c r="T1727" s="94">
        <v>0.0</v>
      </c>
      <c r="U1727" s="94">
        <v>0.0</v>
      </c>
      <c r="V1727" s="94">
        <v>0.0</v>
      </c>
      <c r="W1727" s="94">
        <v>0.0</v>
      </c>
      <c r="X1727" s="94">
        <v>0.0</v>
      </c>
      <c r="Y1727" s="94">
        <v>0.0</v>
      </c>
      <c r="Z1727" s="94">
        <v>0.0</v>
      </c>
      <c r="AA1727" s="94">
        <v>0.0</v>
      </c>
      <c r="AB1727" s="94">
        <v>0.0</v>
      </c>
      <c r="AC1727" s="94">
        <v>0.0</v>
      </c>
      <c r="AD1727" s="94">
        <v>0.0</v>
      </c>
      <c r="AE1727" s="94">
        <v>0.0</v>
      </c>
      <c r="AF1727" s="94">
        <v>0.0</v>
      </c>
      <c r="AG1727" s="94">
        <v>0.0</v>
      </c>
      <c r="AH1727" s="94">
        <v>0.0</v>
      </c>
    </row>
    <row r="1728" hidden="1">
      <c r="A1728" s="89" t="s">
        <v>185</v>
      </c>
      <c r="B1728" s="111"/>
      <c r="C1728" s="111">
        <f>SUM(C1722:C1727)</f>
        <v>4</v>
      </c>
      <c r="D1728" s="111">
        <f t="shared" ref="D1728:E1728" si="1305">SUM(D1722:D1727)/4</f>
        <v>1</v>
      </c>
      <c r="E1728" s="91">
        <f t="shared" si="1305"/>
        <v>4</v>
      </c>
      <c r="F1728" s="111">
        <f t="shared" ref="F1728:G1728" si="1306">SUM(F1722:F1727)</f>
        <v>5</v>
      </c>
      <c r="G1728" s="111">
        <f t="shared" si="1306"/>
        <v>60</v>
      </c>
      <c r="H1728" s="111"/>
      <c r="I1728" s="111">
        <f>SUM(I1722:I1727)</f>
        <v>44</v>
      </c>
      <c r="J1728" s="111">
        <f t="shared" si="1295"/>
        <v>16</v>
      </c>
      <c r="K1728" s="92">
        <f t="shared" si="1296"/>
        <v>1.363636364</v>
      </c>
      <c r="L1728" s="111">
        <f t="shared" ref="L1728:M1728" si="1307">SUM(L1722:L1727)</f>
        <v>96</v>
      </c>
      <c r="M1728" s="111">
        <f t="shared" si="1307"/>
        <v>75</v>
      </c>
      <c r="N1728" s="111"/>
      <c r="O1728" s="112"/>
      <c r="P1728" s="111">
        <f t="shared" ref="P1728:AH1728" si="1308">SUM(P1722:P1727)</f>
        <v>3</v>
      </c>
      <c r="Q1728" s="111">
        <f t="shared" si="1308"/>
        <v>1</v>
      </c>
      <c r="R1728" s="111">
        <f t="shared" si="1308"/>
        <v>7</v>
      </c>
      <c r="S1728" s="111">
        <f t="shared" si="1308"/>
        <v>0</v>
      </c>
      <c r="T1728" s="111">
        <f t="shared" si="1308"/>
        <v>7</v>
      </c>
      <c r="U1728" s="111">
        <f t="shared" si="1308"/>
        <v>2</v>
      </c>
      <c r="V1728" s="111">
        <f t="shared" si="1308"/>
        <v>1</v>
      </c>
      <c r="W1728" s="111">
        <f t="shared" si="1308"/>
        <v>0</v>
      </c>
      <c r="X1728" s="111">
        <f t="shared" si="1308"/>
        <v>0</v>
      </c>
      <c r="Y1728" s="111">
        <f t="shared" si="1308"/>
        <v>0</v>
      </c>
      <c r="Z1728" s="111">
        <f t="shared" si="1308"/>
        <v>0</v>
      </c>
      <c r="AA1728" s="111">
        <f t="shared" si="1308"/>
        <v>0</v>
      </c>
      <c r="AB1728" s="111">
        <f t="shared" si="1308"/>
        <v>0</v>
      </c>
      <c r="AC1728" s="111">
        <f t="shared" si="1308"/>
        <v>2</v>
      </c>
      <c r="AD1728" s="111">
        <f t="shared" si="1308"/>
        <v>0</v>
      </c>
      <c r="AE1728" s="111">
        <f t="shared" si="1308"/>
        <v>0</v>
      </c>
      <c r="AF1728" s="111">
        <f t="shared" si="1308"/>
        <v>0</v>
      </c>
      <c r="AG1728" s="111">
        <f t="shared" si="1308"/>
        <v>0</v>
      </c>
      <c r="AH1728" s="111">
        <f t="shared" si="1308"/>
        <v>0</v>
      </c>
    </row>
    <row r="1729">
      <c r="A1729" s="115" t="s">
        <v>350</v>
      </c>
    </row>
    <row r="1731" hidden="1">
      <c r="A1731" s="105"/>
      <c r="F1731" s="106" t="s">
        <v>251</v>
      </c>
      <c r="L1731" s="107" t="s">
        <v>252</v>
      </c>
      <c r="N1731" s="108" t="s">
        <v>253</v>
      </c>
    </row>
    <row r="1732" hidden="1">
      <c r="A1732" s="76" t="s">
        <v>148</v>
      </c>
      <c r="B1732" s="76" t="s">
        <v>149</v>
      </c>
      <c r="C1732" s="76" t="s">
        <v>150</v>
      </c>
      <c r="D1732" s="76" t="s">
        <v>13</v>
      </c>
      <c r="E1732" s="77" t="s">
        <v>151</v>
      </c>
      <c r="F1732" s="78" t="s">
        <v>15</v>
      </c>
      <c r="G1732" s="78" t="s">
        <v>152</v>
      </c>
      <c r="H1732" s="78" t="s">
        <v>153</v>
      </c>
      <c r="I1732" s="78" t="s">
        <v>154</v>
      </c>
      <c r="J1732" s="78" t="s">
        <v>155</v>
      </c>
      <c r="K1732" s="79" t="s">
        <v>156</v>
      </c>
      <c r="L1732" s="80" t="s">
        <v>157</v>
      </c>
      <c r="M1732" s="80" t="s">
        <v>158</v>
      </c>
      <c r="N1732" s="81" t="s">
        <v>254</v>
      </c>
      <c r="O1732" s="81" t="s">
        <v>151</v>
      </c>
      <c r="P1732" s="81" t="s">
        <v>160</v>
      </c>
      <c r="Q1732" s="81" t="s">
        <v>161</v>
      </c>
      <c r="R1732" s="81" t="s">
        <v>162</v>
      </c>
      <c r="S1732" s="81" t="s">
        <v>163</v>
      </c>
      <c r="T1732" s="81" t="s">
        <v>164</v>
      </c>
      <c r="U1732" s="81" t="s">
        <v>165</v>
      </c>
      <c r="V1732" s="81" t="s">
        <v>166</v>
      </c>
      <c r="W1732" s="81" t="s">
        <v>167</v>
      </c>
      <c r="X1732" s="81" t="s">
        <v>168</v>
      </c>
      <c r="Y1732" s="81" t="s">
        <v>169</v>
      </c>
      <c r="Z1732" s="81" t="s">
        <v>170</v>
      </c>
      <c r="AA1732" s="81" t="s">
        <v>171</v>
      </c>
      <c r="AB1732" s="81" t="s">
        <v>172</v>
      </c>
      <c r="AC1732" s="81" t="s">
        <v>173</v>
      </c>
      <c r="AD1732" s="81" t="s">
        <v>174</v>
      </c>
      <c r="AE1732" s="81" t="s">
        <v>175</v>
      </c>
      <c r="AF1732" s="81" t="s">
        <v>176</v>
      </c>
      <c r="AG1732" s="81" t="s">
        <v>177</v>
      </c>
      <c r="AH1732" s="81" t="s">
        <v>178</v>
      </c>
    </row>
    <row r="1733" hidden="1">
      <c r="A1733" s="83" t="s">
        <v>58</v>
      </c>
      <c r="B1733" s="84" t="s">
        <v>209</v>
      </c>
      <c r="C1733" s="85">
        <v>1.0</v>
      </c>
      <c r="D1733" s="94">
        <v>0.0</v>
      </c>
      <c r="E1733" s="86">
        <v>20.0</v>
      </c>
      <c r="F1733" s="94">
        <v>0.0</v>
      </c>
      <c r="G1733" s="85">
        <v>68.0</v>
      </c>
      <c r="H1733" s="85">
        <v>1.0</v>
      </c>
      <c r="I1733" s="85">
        <v>79.0</v>
      </c>
      <c r="J1733" s="95">
        <f t="shared" ref="J1733:J1746" si="1309">SUM(G1733-I1733)</f>
        <v>-11</v>
      </c>
      <c r="K1733" s="87">
        <f t="shared" ref="K1733:K1746" si="1310">SUM(G1733/I1733)</f>
        <v>0.8607594937</v>
      </c>
      <c r="L1733" s="85">
        <v>12.0</v>
      </c>
      <c r="M1733" s="85">
        <v>78.0</v>
      </c>
      <c r="N1733" s="85">
        <v>1.0</v>
      </c>
      <c r="O1733" s="110">
        <f t="shared" ref="O1733:O1738" si="1311">(E1733*N1733)</f>
        <v>20</v>
      </c>
      <c r="P1733" s="85">
        <v>1.0</v>
      </c>
      <c r="Q1733" s="85">
        <v>4.0</v>
      </c>
      <c r="R1733" s="85">
        <v>6.0</v>
      </c>
      <c r="S1733" s="94">
        <v>0.0</v>
      </c>
      <c r="T1733" s="85">
        <v>8.0</v>
      </c>
      <c r="U1733" s="94">
        <v>0.0</v>
      </c>
      <c r="V1733" s="94">
        <v>0.0</v>
      </c>
      <c r="W1733" s="94">
        <v>0.0</v>
      </c>
      <c r="X1733" s="94">
        <v>0.0</v>
      </c>
      <c r="Y1733" s="94">
        <v>0.0</v>
      </c>
      <c r="Z1733" s="94">
        <v>0.0</v>
      </c>
      <c r="AA1733" s="94">
        <v>0.0</v>
      </c>
      <c r="AB1733" s="94">
        <v>0.0</v>
      </c>
      <c r="AC1733" s="94">
        <v>0.0</v>
      </c>
      <c r="AD1733" s="94">
        <v>0.0</v>
      </c>
      <c r="AE1733" s="94">
        <v>0.0</v>
      </c>
      <c r="AF1733" s="94">
        <v>0.0</v>
      </c>
      <c r="AG1733" s="94">
        <v>0.0</v>
      </c>
      <c r="AH1733" s="94">
        <v>0.0</v>
      </c>
    </row>
    <row r="1734" hidden="1">
      <c r="A1734" s="83" t="s">
        <v>58</v>
      </c>
      <c r="B1734" s="84" t="s">
        <v>210</v>
      </c>
      <c r="C1734" s="85">
        <v>1.0</v>
      </c>
      <c r="D1734" s="94">
        <v>0.0</v>
      </c>
      <c r="E1734" s="86">
        <v>20.0</v>
      </c>
      <c r="F1734" s="94">
        <v>0.0</v>
      </c>
      <c r="G1734" s="85">
        <v>75.0</v>
      </c>
      <c r="H1734" s="85">
        <v>2.0</v>
      </c>
      <c r="I1734" s="85">
        <v>62.0</v>
      </c>
      <c r="J1734" s="95">
        <f t="shared" si="1309"/>
        <v>13</v>
      </c>
      <c r="K1734" s="87">
        <f t="shared" si="1310"/>
        <v>1.209677419</v>
      </c>
      <c r="L1734" s="85">
        <v>15.0</v>
      </c>
      <c r="M1734" s="85">
        <v>102.0</v>
      </c>
      <c r="N1734" s="85">
        <v>1.0</v>
      </c>
      <c r="O1734" s="110">
        <f t="shared" si="1311"/>
        <v>20</v>
      </c>
      <c r="P1734" s="85">
        <v>4.0</v>
      </c>
      <c r="Q1734" s="85">
        <v>1.0</v>
      </c>
      <c r="R1734" s="85">
        <v>5.0</v>
      </c>
      <c r="S1734" s="85">
        <v>1.0</v>
      </c>
      <c r="T1734" s="85">
        <v>12.0</v>
      </c>
      <c r="U1734" s="85">
        <v>2.0</v>
      </c>
      <c r="V1734" s="85">
        <v>2.0</v>
      </c>
      <c r="W1734" s="85">
        <v>2.0</v>
      </c>
      <c r="X1734" s="85">
        <v>1.0</v>
      </c>
      <c r="Y1734" s="94">
        <v>0.0</v>
      </c>
      <c r="Z1734" s="94">
        <v>0.0</v>
      </c>
      <c r="AA1734" s="94">
        <v>0.0</v>
      </c>
      <c r="AB1734" s="94">
        <v>0.0</v>
      </c>
      <c r="AC1734" s="85">
        <v>4.0</v>
      </c>
      <c r="AD1734" s="85">
        <v>1.0</v>
      </c>
      <c r="AE1734" s="94">
        <v>0.0</v>
      </c>
      <c r="AF1734" s="94">
        <v>0.0</v>
      </c>
      <c r="AG1734" s="94">
        <v>0.0</v>
      </c>
      <c r="AH1734" s="94">
        <v>0.0</v>
      </c>
    </row>
    <row r="1735" hidden="1">
      <c r="A1735" s="83" t="s">
        <v>58</v>
      </c>
      <c r="B1735" s="84" t="s">
        <v>211</v>
      </c>
      <c r="C1735" s="85">
        <v>1.0</v>
      </c>
      <c r="D1735" s="94">
        <v>0.0</v>
      </c>
      <c r="E1735" s="86">
        <v>20.0</v>
      </c>
      <c r="F1735" s="94">
        <v>0.0</v>
      </c>
      <c r="G1735" s="85">
        <v>71.0</v>
      </c>
      <c r="H1735" s="94">
        <v>0.0</v>
      </c>
      <c r="I1735" s="85">
        <v>64.0</v>
      </c>
      <c r="J1735" s="95">
        <f t="shared" si="1309"/>
        <v>7</v>
      </c>
      <c r="K1735" s="87">
        <f t="shared" si="1310"/>
        <v>1.109375</v>
      </c>
      <c r="L1735" s="85">
        <v>15.0</v>
      </c>
      <c r="M1735" s="85">
        <v>93.0</v>
      </c>
      <c r="N1735" s="85">
        <v>1.0</v>
      </c>
      <c r="O1735" s="110">
        <f t="shared" si="1311"/>
        <v>20</v>
      </c>
      <c r="P1735" s="85">
        <v>6.0</v>
      </c>
      <c r="Q1735" s="85">
        <v>3.0</v>
      </c>
      <c r="R1735" s="85">
        <v>7.0</v>
      </c>
      <c r="S1735" s="85">
        <v>1.0</v>
      </c>
      <c r="T1735" s="85">
        <v>10.0</v>
      </c>
      <c r="U1735" s="85">
        <v>1.0</v>
      </c>
      <c r="V1735" s="94">
        <v>0.0</v>
      </c>
      <c r="W1735" s="94">
        <v>0.0</v>
      </c>
      <c r="X1735" s="94">
        <v>0.0</v>
      </c>
      <c r="Y1735" s="94">
        <v>0.0</v>
      </c>
      <c r="Z1735" s="94">
        <v>0.0</v>
      </c>
      <c r="AA1735" s="94">
        <v>0.0</v>
      </c>
      <c r="AB1735" s="94">
        <v>0.0</v>
      </c>
      <c r="AC1735" s="94">
        <v>0.0</v>
      </c>
      <c r="AD1735" s="94">
        <v>0.0</v>
      </c>
      <c r="AE1735" s="94">
        <v>0.0</v>
      </c>
      <c r="AF1735" s="94">
        <v>0.0</v>
      </c>
      <c r="AG1735" s="94">
        <v>0.0</v>
      </c>
      <c r="AH1735" s="94">
        <v>0.0</v>
      </c>
    </row>
    <row r="1736" hidden="1">
      <c r="A1736" s="83" t="s">
        <v>58</v>
      </c>
      <c r="B1736" s="84" t="s">
        <v>212</v>
      </c>
      <c r="C1736" s="85">
        <v>1.0</v>
      </c>
      <c r="D1736" s="94">
        <v>0.0</v>
      </c>
      <c r="E1736" s="86">
        <v>20.0</v>
      </c>
      <c r="F1736" s="85">
        <v>3.0</v>
      </c>
      <c r="G1736" s="85">
        <v>58.0</v>
      </c>
      <c r="H1736" s="94">
        <v>0.0</v>
      </c>
      <c r="I1736" s="85">
        <v>58.0</v>
      </c>
      <c r="J1736" s="95">
        <f t="shared" si="1309"/>
        <v>0</v>
      </c>
      <c r="K1736" s="87">
        <f t="shared" si="1310"/>
        <v>1</v>
      </c>
      <c r="L1736" s="85">
        <v>17.0</v>
      </c>
      <c r="M1736" s="85">
        <v>79.0</v>
      </c>
      <c r="N1736" s="85">
        <v>1.0</v>
      </c>
      <c r="O1736" s="110">
        <f t="shared" si="1311"/>
        <v>20</v>
      </c>
      <c r="P1736" s="85">
        <v>4.0</v>
      </c>
      <c r="Q1736" s="85">
        <v>1.0</v>
      </c>
      <c r="R1736" s="85">
        <v>6.0</v>
      </c>
      <c r="S1736" s="85">
        <v>2.0</v>
      </c>
      <c r="T1736" s="85">
        <v>9.0</v>
      </c>
      <c r="U1736" s="94">
        <v>0.0</v>
      </c>
      <c r="V1736" s="94">
        <v>0.0</v>
      </c>
      <c r="W1736" s="94">
        <v>0.0</v>
      </c>
      <c r="X1736" s="94">
        <v>0.0</v>
      </c>
      <c r="Y1736" s="94">
        <v>0.0</v>
      </c>
      <c r="Z1736" s="94">
        <v>0.0</v>
      </c>
      <c r="AA1736" s="94">
        <v>0.0</v>
      </c>
      <c r="AB1736" s="94">
        <v>0.0</v>
      </c>
      <c r="AC1736" s="94">
        <v>0.0</v>
      </c>
      <c r="AD1736" s="94">
        <v>0.0</v>
      </c>
      <c r="AE1736" s="94">
        <v>0.0</v>
      </c>
      <c r="AF1736" s="94">
        <v>0.0</v>
      </c>
      <c r="AG1736" s="94">
        <v>0.0</v>
      </c>
      <c r="AH1736" s="94">
        <v>0.0</v>
      </c>
    </row>
    <row r="1737" hidden="1">
      <c r="A1737" s="83" t="s">
        <v>58</v>
      </c>
      <c r="B1737" s="84" t="s">
        <v>213</v>
      </c>
      <c r="C1737" s="94">
        <v>0.0</v>
      </c>
      <c r="D1737" s="94">
        <v>0.0</v>
      </c>
      <c r="E1737" s="96">
        <f t="shared" ref="E1737:E1738" si="1312">SUM(L1737*I1737)/60</f>
        <v>0</v>
      </c>
      <c r="F1737" s="94">
        <v>0.0</v>
      </c>
      <c r="G1737" s="94">
        <v>0.0</v>
      </c>
      <c r="H1737" s="94">
        <v>0.0</v>
      </c>
      <c r="I1737" s="94">
        <v>0.0</v>
      </c>
      <c r="J1737" s="95">
        <f t="shared" si="1309"/>
        <v>0</v>
      </c>
      <c r="K1737" s="87" t="str">
        <f t="shared" si="1310"/>
        <v>#DIV/0!</v>
      </c>
      <c r="L1737" s="94">
        <v>0.0</v>
      </c>
      <c r="M1737" s="94">
        <v>0.0</v>
      </c>
      <c r="N1737" s="85">
        <v>0.0</v>
      </c>
      <c r="O1737" s="110">
        <f t="shared" si="1311"/>
        <v>0</v>
      </c>
      <c r="P1737" s="94">
        <v>0.0</v>
      </c>
      <c r="Q1737" s="94">
        <v>0.0</v>
      </c>
      <c r="R1737" s="94">
        <v>0.0</v>
      </c>
      <c r="S1737" s="94">
        <v>0.0</v>
      </c>
      <c r="T1737" s="94">
        <v>0.0</v>
      </c>
      <c r="U1737" s="94">
        <v>0.0</v>
      </c>
      <c r="V1737" s="94">
        <v>0.0</v>
      </c>
      <c r="W1737" s="94">
        <v>0.0</v>
      </c>
      <c r="X1737" s="94">
        <v>0.0</v>
      </c>
      <c r="Y1737" s="94">
        <v>0.0</v>
      </c>
      <c r="Z1737" s="94">
        <v>0.0</v>
      </c>
      <c r="AA1737" s="94">
        <v>0.0</v>
      </c>
      <c r="AB1737" s="94">
        <v>0.0</v>
      </c>
      <c r="AC1737" s="94">
        <v>0.0</v>
      </c>
      <c r="AD1737" s="94">
        <v>0.0</v>
      </c>
      <c r="AE1737" s="94">
        <v>0.0</v>
      </c>
      <c r="AF1737" s="94">
        <v>0.0</v>
      </c>
      <c r="AG1737" s="94">
        <v>0.0</v>
      </c>
      <c r="AH1737" s="94">
        <v>0.0</v>
      </c>
    </row>
    <row r="1738" hidden="1">
      <c r="A1738" s="83" t="s">
        <v>214</v>
      </c>
      <c r="B1738" s="84" t="s">
        <v>189</v>
      </c>
      <c r="C1738" s="94">
        <v>0.0</v>
      </c>
      <c r="D1738" s="94">
        <v>0.0</v>
      </c>
      <c r="E1738" s="96">
        <f t="shared" si="1312"/>
        <v>0</v>
      </c>
      <c r="F1738" s="94">
        <v>0.0</v>
      </c>
      <c r="G1738" s="94">
        <v>0.0</v>
      </c>
      <c r="H1738" s="94">
        <v>0.0</v>
      </c>
      <c r="I1738" s="94">
        <v>0.0</v>
      </c>
      <c r="J1738" s="95">
        <f t="shared" si="1309"/>
        <v>0</v>
      </c>
      <c r="K1738" s="87" t="str">
        <f t="shared" si="1310"/>
        <v>#DIV/0!</v>
      </c>
      <c r="L1738" s="94">
        <v>0.0</v>
      </c>
      <c r="M1738" s="94">
        <v>0.0</v>
      </c>
      <c r="N1738" s="85">
        <v>0.0</v>
      </c>
      <c r="O1738" s="110">
        <f t="shared" si="1311"/>
        <v>0</v>
      </c>
      <c r="P1738" s="94">
        <v>0.0</v>
      </c>
      <c r="Q1738" s="94">
        <v>0.0</v>
      </c>
      <c r="R1738" s="94">
        <v>0.0</v>
      </c>
      <c r="S1738" s="94">
        <v>0.0</v>
      </c>
      <c r="T1738" s="94">
        <v>0.0</v>
      </c>
      <c r="U1738" s="94">
        <v>0.0</v>
      </c>
      <c r="V1738" s="94">
        <v>0.0</v>
      </c>
      <c r="W1738" s="94">
        <v>0.0</v>
      </c>
      <c r="X1738" s="94">
        <v>0.0</v>
      </c>
      <c r="Y1738" s="94">
        <v>0.0</v>
      </c>
      <c r="Z1738" s="94">
        <v>0.0</v>
      </c>
      <c r="AA1738" s="94">
        <v>0.0</v>
      </c>
      <c r="AB1738" s="94">
        <v>0.0</v>
      </c>
      <c r="AC1738" s="94">
        <v>0.0</v>
      </c>
      <c r="AD1738" s="94">
        <v>0.0</v>
      </c>
      <c r="AE1738" s="94">
        <v>0.0</v>
      </c>
      <c r="AF1738" s="94">
        <v>0.0</v>
      </c>
      <c r="AG1738" s="94">
        <v>0.0</v>
      </c>
      <c r="AH1738" s="94">
        <v>0.0</v>
      </c>
    </row>
    <row r="1739" hidden="1">
      <c r="A1739" s="89"/>
      <c r="B1739" s="111"/>
      <c r="C1739" s="111">
        <f t="shared" ref="C1739:D1739" si="1313">SUM(C1733:C1738)/4</f>
        <v>1</v>
      </c>
      <c r="D1739" s="111">
        <f t="shared" si="1313"/>
        <v>0</v>
      </c>
      <c r="E1739" s="91">
        <f t="shared" ref="E1739:G1739" si="1314">SUM(E1733:E1738)</f>
        <v>80</v>
      </c>
      <c r="F1739" s="111">
        <f t="shared" si="1314"/>
        <v>3</v>
      </c>
      <c r="G1739" s="111">
        <f t="shared" si="1314"/>
        <v>272</v>
      </c>
      <c r="H1739" s="111"/>
      <c r="I1739" s="111">
        <f>SUM(I1733:I1738)</f>
        <v>263</v>
      </c>
      <c r="J1739" s="111">
        <f t="shared" si="1309"/>
        <v>9</v>
      </c>
      <c r="K1739" s="92">
        <f t="shared" si="1310"/>
        <v>1.034220532</v>
      </c>
      <c r="L1739" s="111">
        <f t="shared" ref="L1739:M1739" si="1315">SUM(L1733:L1738)</f>
        <v>59</v>
      </c>
      <c r="M1739" s="111">
        <f t="shared" si="1315"/>
        <v>352</v>
      </c>
      <c r="N1739" s="111"/>
      <c r="O1739" s="112"/>
      <c r="P1739" s="111">
        <f t="shared" ref="P1739:AH1739" si="1316">SUM(P1733:P1738)</f>
        <v>15</v>
      </c>
      <c r="Q1739" s="111">
        <f t="shared" si="1316"/>
        <v>9</v>
      </c>
      <c r="R1739" s="111">
        <f t="shared" si="1316"/>
        <v>24</v>
      </c>
      <c r="S1739" s="111">
        <f t="shared" si="1316"/>
        <v>4</v>
      </c>
      <c r="T1739" s="111">
        <f t="shared" si="1316"/>
        <v>39</v>
      </c>
      <c r="U1739" s="111">
        <f t="shared" si="1316"/>
        <v>3</v>
      </c>
      <c r="V1739" s="111">
        <f t="shared" si="1316"/>
        <v>2</v>
      </c>
      <c r="W1739" s="111">
        <f t="shared" si="1316"/>
        <v>2</v>
      </c>
      <c r="X1739" s="111">
        <f t="shared" si="1316"/>
        <v>1</v>
      </c>
      <c r="Y1739" s="111">
        <f t="shared" si="1316"/>
        <v>0</v>
      </c>
      <c r="Z1739" s="111">
        <f t="shared" si="1316"/>
        <v>0</v>
      </c>
      <c r="AA1739" s="111">
        <f t="shared" si="1316"/>
        <v>0</v>
      </c>
      <c r="AB1739" s="111">
        <f t="shared" si="1316"/>
        <v>0</v>
      </c>
      <c r="AC1739" s="111">
        <f t="shared" si="1316"/>
        <v>4</v>
      </c>
      <c r="AD1739" s="111">
        <f t="shared" si="1316"/>
        <v>1</v>
      </c>
      <c r="AE1739" s="111">
        <f t="shared" si="1316"/>
        <v>0</v>
      </c>
      <c r="AF1739" s="111">
        <f t="shared" si="1316"/>
        <v>0</v>
      </c>
      <c r="AG1739" s="111">
        <f t="shared" si="1316"/>
        <v>0</v>
      </c>
      <c r="AH1739" s="111">
        <f t="shared" si="1316"/>
        <v>0</v>
      </c>
    </row>
    <row r="1740" hidden="1">
      <c r="A1740" s="83" t="s">
        <v>34</v>
      </c>
      <c r="B1740" s="84" t="s">
        <v>227</v>
      </c>
      <c r="C1740" s="85">
        <v>1.0</v>
      </c>
      <c r="D1740" s="85">
        <v>1.0</v>
      </c>
      <c r="E1740" s="86">
        <v>20.0</v>
      </c>
      <c r="F1740" s="85">
        <v>3.0</v>
      </c>
      <c r="G1740" s="85">
        <v>67.0</v>
      </c>
      <c r="H1740" s="85">
        <v>1.0</v>
      </c>
      <c r="I1740" s="85">
        <v>65.0</v>
      </c>
      <c r="J1740" s="95">
        <f t="shared" si="1309"/>
        <v>2</v>
      </c>
      <c r="K1740" s="87">
        <f t="shared" si="1310"/>
        <v>1.030769231</v>
      </c>
      <c r="L1740" s="85">
        <v>15.0</v>
      </c>
      <c r="M1740" s="85">
        <v>88.0</v>
      </c>
      <c r="N1740" s="85">
        <v>1.0</v>
      </c>
      <c r="O1740" s="110">
        <f t="shared" ref="O1740:O1745" si="1317">(E1740*N1740)</f>
        <v>20</v>
      </c>
      <c r="P1740" s="85">
        <v>3.0</v>
      </c>
      <c r="Q1740" s="85">
        <v>2.0</v>
      </c>
      <c r="R1740" s="85">
        <v>2.0</v>
      </c>
      <c r="S1740" s="94">
        <v>0.0</v>
      </c>
      <c r="T1740" s="85">
        <v>10.0</v>
      </c>
      <c r="U1740" s="85">
        <v>2.0</v>
      </c>
      <c r="V1740" s="85">
        <v>1.0</v>
      </c>
      <c r="W1740" s="94">
        <v>0.0</v>
      </c>
      <c r="X1740" s="94">
        <v>0.0</v>
      </c>
      <c r="Y1740" s="94">
        <v>0.0</v>
      </c>
      <c r="Z1740" s="94">
        <v>0.0</v>
      </c>
      <c r="AA1740" s="94">
        <v>0.0</v>
      </c>
      <c r="AB1740" s="94">
        <v>0.0</v>
      </c>
      <c r="AC1740" s="85">
        <v>2.0</v>
      </c>
      <c r="AD1740" s="94">
        <v>0.0</v>
      </c>
      <c r="AE1740" s="94">
        <v>0.0</v>
      </c>
      <c r="AF1740" s="94">
        <v>0.0</v>
      </c>
      <c r="AG1740" s="94">
        <v>0.0</v>
      </c>
      <c r="AH1740" s="94">
        <v>0.0</v>
      </c>
    </row>
    <row r="1741" hidden="1">
      <c r="A1741" s="83" t="s">
        <v>34</v>
      </c>
      <c r="B1741" s="84" t="s">
        <v>228</v>
      </c>
      <c r="C1741" s="85">
        <v>1.0</v>
      </c>
      <c r="D1741" s="85">
        <v>1.0</v>
      </c>
      <c r="E1741" s="86">
        <v>20.0</v>
      </c>
      <c r="F1741" s="94">
        <v>0.0</v>
      </c>
      <c r="G1741" s="85">
        <v>81.0</v>
      </c>
      <c r="H1741" s="85">
        <v>1.0</v>
      </c>
      <c r="I1741" s="85">
        <v>83.0</v>
      </c>
      <c r="J1741" s="95">
        <f t="shared" si="1309"/>
        <v>-2</v>
      </c>
      <c r="K1741" s="87">
        <f t="shared" si="1310"/>
        <v>0.9759036145</v>
      </c>
      <c r="L1741" s="85">
        <v>11.0</v>
      </c>
      <c r="M1741" s="85">
        <v>103.0</v>
      </c>
      <c r="N1741" s="85">
        <v>1.0</v>
      </c>
      <c r="O1741" s="110">
        <f t="shared" si="1317"/>
        <v>20</v>
      </c>
      <c r="P1741" s="85">
        <v>3.0</v>
      </c>
      <c r="Q1741" s="85">
        <v>2.0</v>
      </c>
      <c r="R1741" s="85">
        <v>6.0</v>
      </c>
      <c r="S1741" s="85">
        <v>1.0</v>
      </c>
      <c r="T1741" s="85">
        <v>15.0</v>
      </c>
      <c r="U1741" s="85">
        <v>1.0</v>
      </c>
      <c r="V1741" s="85">
        <v>1.0</v>
      </c>
      <c r="W1741" s="94">
        <v>0.0</v>
      </c>
      <c r="X1741" s="94">
        <v>0.0</v>
      </c>
      <c r="Y1741" s="94">
        <v>0.0</v>
      </c>
      <c r="Z1741" s="94">
        <v>0.0</v>
      </c>
      <c r="AA1741" s="94">
        <v>0.0</v>
      </c>
      <c r="AB1741" s="94">
        <v>0.0</v>
      </c>
      <c r="AC1741" s="85">
        <v>1.0</v>
      </c>
      <c r="AD1741" s="94">
        <v>0.0</v>
      </c>
      <c r="AE1741" s="94">
        <v>0.0</v>
      </c>
      <c r="AF1741" s="94">
        <v>0.0</v>
      </c>
      <c r="AG1741" s="94">
        <v>0.0</v>
      </c>
      <c r="AH1741" s="94">
        <v>0.0</v>
      </c>
    </row>
    <row r="1742" hidden="1">
      <c r="A1742" s="83" t="s">
        <v>34</v>
      </c>
      <c r="B1742" s="84" t="s">
        <v>229</v>
      </c>
      <c r="C1742" s="85">
        <v>1.0</v>
      </c>
      <c r="D1742" s="85">
        <v>1.0</v>
      </c>
      <c r="E1742" s="86">
        <v>20.0</v>
      </c>
      <c r="F1742" s="85">
        <v>1.0</v>
      </c>
      <c r="G1742" s="85">
        <v>49.0</v>
      </c>
      <c r="H1742" s="85">
        <v>1.0</v>
      </c>
      <c r="I1742" s="85">
        <v>52.0</v>
      </c>
      <c r="J1742" s="95">
        <f t="shared" si="1309"/>
        <v>-3</v>
      </c>
      <c r="K1742" s="87">
        <f t="shared" si="1310"/>
        <v>0.9423076923</v>
      </c>
      <c r="L1742" s="85">
        <v>19.0</v>
      </c>
      <c r="M1742" s="85">
        <v>58.0</v>
      </c>
      <c r="N1742" s="85">
        <v>1.0</v>
      </c>
      <c r="O1742" s="110">
        <f t="shared" si="1317"/>
        <v>20</v>
      </c>
      <c r="P1742" s="85">
        <v>3.0</v>
      </c>
      <c r="Q1742" s="94">
        <v>0.0</v>
      </c>
      <c r="R1742" s="85">
        <v>3.0</v>
      </c>
      <c r="S1742" s="85">
        <v>1.0</v>
      </c>
      <c r="T1742" s="85">
        <v>3.0</v>
      </c>
      <c r="U1742" s="94">
        <v>0.0</v>
      </c>
      <c r="V1742" s="94">
        <v>0.0</v>
      </c>
      <c r="W1742" s="94">
        <v>0.0</v>
      </c>
      <c r="X1742" s="94">
        <v>0.0</v>
      </c>
      <c r="Y1742" s="94">
        <v>0.0</v>
      </c>
      <c r="Z1742" s="94">
        <v>0.0</v>
      </c>
      <c r="AA1742" s="94">
        <v>0.0</v>
      </c>
      <c r="AB1742" s="94">
        <v>0.0</v>
      </c>
      <c r="AC1742" s="85">
        <v>1.0</v>
      </c>
      <c r="AD1742" s="94">
        <v>0.0</v>
      </c>
      <c r="AE1742" s="94">
        <v>0.0</v>
      </c>
      <c r="AF1742" s="94">
        <v>0.0</v>
      </c>
      <c r="AG1742" s="94">
        <v>0.0</v>
      </c>
      <c r="AH1742" s="94">
        <v>0.0</v>
      </c>
    </row>
    <row r="1743" hidden="1">
      <c r="A1743" s="83" t="s">
        <v>34</v>
      </c>
      <c r="B1743" s="84" t="s">
        <v>230</v>
      </c>
      <c r="C1743" s="85">
        <v>1.0</v>
      </c>
      <c r="D1743" s="85">
        <v>1.0</v>
      </c>
      <c r="E1743" s="86">
        <v>20.0</v>
      </c>
      <c r="F1743" s="85">
        <v>1.0</v>
      </c>
      <c r="G1743" s="85">
        <v>55.0</v>
      </c>
      <c r="H1743" s="85">
        <v>1.0</v>
      </c>
      <c r="I1743" s="85">
        <v>79.0</v>
      </c>
      <c r="J1743" s="95">
        <f t="shared" si="1309"/>
        <v>-24</v>
      </c>
      <c r="K1743" s="87">
        <f t="shared" si="1310"/>
        <v>0.6962025316</v>
      </c>
      <c r="L1743" s="85">
        <v>11.0</v>
      </c>
      <c r="M1743" s="85">
        <v>71.0</v>
      </c>
      <c r="N1743" s="85">
        <v>1.0</v>
      </c>
      <c r="O1743" s="110">
        <f t="shared" si="1317"/>
        <v>20</v>
      </c>
      <c r="P1743" s="85">
        <v>5.0</v>
      </c>
      <c r="Q1743" s="94">
        <v>0.0</v>
      </c>
      <c r="R1743" s="85">
        <v>4.0</v>
      </c>
      <c r="S1743" s="85">
        <v>2.0</v>
      </c>
      <c r="T1743" s="85">
        <v>6.0</v>
      </c>
      <c r="U1743" s="85">
        <v>1.0</v>
      </c>
      <c r="V1743" s="94">
        <v>0.0</v>
      </c>
      <c r="W1743" s="94">
        <v>0.0</v>
      </c>
      <c r="X1743" s="94">
        <v>0.0</v>
      </c>
      <c r="Y1743" s="94">
        <v>0.0</v>
      </c>
      <c r="Z1743" s="94">
        <v>0.0</v>
      </c>
      <c r="AA1743" s="94">
        <v>0.0</v>
      </c>
      <c r="AB1743" s="94">
        <v>0.0</v>
      </c>
      <c r="AC1743" s="94">
        <v>0.0</v>
      </c>
      <c r="AD1743" s="94">
        <v>0.0</v>
      </c>
      <c r="AE1743" s="94">
        <v>0.0</v>
      </c>
      <c r="AF1743" s="94">
        <v>0.0</v>
      </c>
      <c r="AG1743" s="94">
        <v>0.0</v>
      </c>
      <c r="AH1743" s="94">
        <v>0.0</v>
      </c>
    </row>
    <row r="1744" hidden="1">
      <c r="A1744" s="83" t="s">
        <v>34</v>
      </c>
      <c r="B1744" s="84" t="s">
        <v>231</v>
      </c>
      <c r="C1744" s="94">
        <v>0.0</v>
      </c>
      <c r="D1744" s="94">
        <v>0.0</v>
      </c>
      <c r="E1744" s="96">
        <f t="shared" ref="E1744:E1745" si="1318">SUM(L1744*I1744)/60</f>
        <v>0</v>
      </c>
      <c r="F1744" s="94">
        <v>0.0</v>
      </c>
      <c r="G1744" s="94">
        <v>0.0</v>
      </c>
      <c r="H1744" s="94">
        <v>0.0</v>
      </c>
      <c r="I1744" s="94">
        <v>0.0</v>
      </c>
      <c r="J1744" s="95">
        <f t="shared" si="1309"/>
        <v>0</v>
      </c>
      <c r="K1744" s="87" t="str">
        <f t="shared" si="1310"/>
        <v>#DIV/0!</v>
      </c>
      <c r="L1744" s="94">
        <v>0.0</v>
      </c>
      <c r="M1744" s="94">
        <v>0.0</v>
      </c>
      <c r="N1744" s="85">
        <v>0.0</v>
      </c>
      <c r="O1744" s="110">
        <f t="shared" si="1317"/>
        <v>0</v>
      </c>
      <c r="P1744" s="94">
        <v>0.0</v>
      </c>
      <c r="Q1744" s="94">
        <v>0.0</v>
      </c>
      <c r="R1744" s="94">
        <v>0.0</v>
      </c>
      <c r="S1744" s="94">
        <v>0.0</v>
      </c>
      <c r="T1744" s="94">
        <v>0.0</v>
      </c>
      <c r="U1744" s="94">
        <v>0.0</v>
      </c>
      <c r="V1744" s="94">
        <v>0.0</v>
      </c>
      <c r="W1744" s="94">
        <v>0.0</v>
      </c>
      <c r="X1744" s="94">
        <v>0.0</v>
      </c>
      <c r="Y1744" s="94">
        <v>0.0</v>
      </c>
      <c r="Z1744" s="94">
        <v>0.0</v>
      </c>
      <c r="AA1744" s="94">
        <v>0.0</v>
      </c>
      <c r="AB1744" s="94">
        <v>0.0</v>
      </c>
      <c r="AC1744" s="94">
        <v>0.0</v>
      </c>
      <c r="AD1744" s="94">
        <v>0.0</v>
      </c>
      <c r="AE1744" s="94">
        <v>0.0</v>
      </c>
      <c r="AF1744" s="94">
        <v>0.0</v>
      </c>
      <c r="AG1744" s="94">
        <v>0.0</v>
      </c>
      <c r="AH1744" s="94">
        <v>0.0</v>
      </c>
    </row>
    <row r="1745" hidden="1">
      <c r="A1745" s="83" t="s">
        <v>34</v>
      </c>
      <c r="B1745" s="93"/>
      <c r="C1745" s="94">
        <v>0.0</v>
      </c>
      <c r="D1745" s="94">
        <v>0.0</v>
      </c>
      <c r="E1745" s="96">
        <f t="shared" si="1318"/>
        <v>0</v>
      </c>
      <c r="F1745" s="94">
        <v>0.0</v>
      </c>
      <c r="G1745" s="94">
        <v>0.0</v>
      </c>
      <c r="H1745" s="94">
        <v>0.0</v>
      </c>
      <c r="I1745" s="94">
        <v>0.0</v>
      </c>
      <c r="J1745" s="95">
        <f t="shared" si="1309"/>
        <v>0</v>
      </c>
      <c r="K1745" s="87" t="str">
        <f t="shared" si="1310"/>
        <v>#DIV/0!</v>
      </c>
      <c r="L1745" s="94">
        <v>0.0</v>
      </c>
      <c r="M1745" s="94">
        <v>0.0</v>
      </c>
      <c r="N1745" s="85">
        <v>0.0</v>
      </c>
      <c r="O1745" s="110">
        <f t="shared" si="1317"/>
        <v>0</v>
      </c>
      <c r="P1745" s="94">
        <v>0.0</v>
      </c>
      <c r="Q1745" s="94">
        <v>0.0</v>
      </c>
      <c r="R1745" s="94">
        <v>0.0</v>
      </c>
      <c r="S1745" s="94">
        <v>0.0</v>
      </c>
      <c r="T1745" s="94">
        <v>0.0</v>
      </c>
      <c r="U1745" s="94">
        <v>0.0</v>
      </c>
      <c r="V1745" s="94">
        <v>0.0</v>
      </c>
      <c r="W1745" s="94">
        <v>0.0</v>
      </c>
      <c r="X1745" s="94">
        <v>0.0</v>
      </c>
      <c r="Y1745" s="94">
        <v>0.0</v>
      </c>
      <c r="Z1745" s="94">
        <v>0.0</v>
      </c>
      <c r="AA1745" s="94">
        <v>0.0</v>
      </c>
      <c r="AB1745" s="94">
        <v>0.0</v>
      </c>
      <c r="AC1745" s="94">
        <v>0.0</v>
      </c>
      <c r="AD1745" s="94">
        <v>0.0</v>
      </c>
      <c r="AE1745" s="94">
        <v>0.0</v>
      </c>
      <c r="AF1745" s="94">
        <v>0.0</v>
      </c>
      <c r="AG1745" s="94">
        <v>0.0</v>
      </c>
      <c r="AH1745" s="94">
        <v>0.0</v>
      </c>
    </row>
    <row r="1746" hidden="1">
      <c r="A1746" s="89" t="s">
        <v>185</v>
      </c>
      <c r="B1746" s="111"/>
      <c r="C1746" s="111">
        <f>SUM(C1740:C1745)</f>
        <v>4</v>
      </c>
      <c r="D1746" s="111">
        <f t="shared" ref="D1746:E1746" si="1319">SUM(D1740:D1745)/4</f>
        <v>1</v>
      </c>
      <c r="E1746" s="91">
        <f t="shared" si="1319"/>
        <v>20</v>
      </c>
      <c r="F1746" s="111">
        <f t="shared" ref="F1746:G1746" si="1320">SUM(F1740:F1745)</f>
        <v>5</v>
      </c>
      <c r="G1746" s="111">
        <f t="shared" si="1320"/>
        <v>252</v>
      </c>
      <c r="H1746" s="111"/>
      <c r="I1746" s="111">
        <f>SUM(I1740:I1745)</f>
        <v>279</v>
      </c>
      <c r="J1746" s="111">
        <f t="shared" si="1309"/>
        <v>-27</v>
      </c>
      <c r="K1746" s="92">
        <f t="shared" si="1310"/>
        <v>0.9032258065</v>
      </c>
      <c r="L1746" s="111">
        <f t="shared" ref="L1746:M1746" si="1321">SUM(L1740:L1745)</f>
        <v>56</v>
      </c>
      <c r="M1746" s="111">
        <f t="shared" si="1321"/>
        <v>320</v>
      </c>
      <c r="N1746" s="111"/>
      <c r="O1746" s="112"/>
      <c r="P1746" s="111">
        <f t="shared" ref="P1746:AH1746" si="1322">SUM(P1740:P1745)</f>
        <v>14</v>
      </c>
      <c r="Q1746" s="111">
        <f t="shared" si="1322"/>
        <v>4</v>
      </c>
      <c r="R1746" s="111">
        <f t="shared" si="1322"/>
        <v>15</v>
      </c>
      <c r="S1746" s="111">
        <f t="shared" si="1322"/>
        <v>4</v>
      </c>
      <c r="T1746" s="111">
        <f t="shared" si="1322"/>
        <v>34</v>
      </c>
      <c r="U1746" s="111">
        <f t="shared" si="1322"/>
        <v>4</v>
      </c>
      <c r="V1746" s="111">
        <f t="shared" si="1322"/>
        <v>2</v>
      </c>
      <c r="W1746" s="111">
        <f t="shared" si="1322"/>
        <v>0</v>
      </c>
      <c r="X1746" s="111">
        <f t="shared" si="1322"/>
        <v>0</v>
      </c>
      <c r="Y1746" s="111">
        <f t="shared" si="1322"/>
        <v>0</v>
      </c>
      <c r="Z1746" s="111">
        <f t="shared" si="1322"/>
        <v>0</v>
      </c>
      <c r="AA1746" s="111">
        <f t="shared" si="1322"/>
        <v>0</v>
      </c>
      <c r="AB1746" s="111">
        <f t="shared" si="1322"/>
        <v>0</v>
      </c>
      <c r="AC1746" s="111">
        <f t="shared" si="1322"/>
        <v>4</v>
      </c>
      <c r="AD1746" s="111">
        <f t="shared" si="1322"/>
        <v>0</v>
      </c>
      <c r="AE1746" s="111">
        <f t="shared" si="1322"/>
        <v>0</v>
      </c>
      <c r="AF1746" s="111">
        <f t="shared" si="1322"/>
        <v>0</v>
      </c>
      <c r="AG1746" s="111">
        <f t="shared" si="1322"/>
        <v>0</v>
      </c>
      <c r="AH1746" s="111">
        <f t="shared" si="1322"/>
        <v>0</v>
      </c>
    </row>
    <row r="1747">
      <c r="A1747" s="104" t="s">
        <v>351</v>
      </c>
    </row>
    <row r="1749" hidden="1">
      <c r="A1749" s="105"/>
      <c r="F1749" s="106" t="s">
        <v>251</v>
      </c>
      <c r="L1749" s="107" t="s">
        <v>252</v>
      </c>
      <c r="N1749" s="108" t="s">
        <v>253</v>
      </c>
    </row>
    <row r="1750" hidden="1">
      <c r="A1750" s="76" t="s">
        <v>148</v>
      </c>
      <c r="B1750" s="76" t="s">
        <v>149</v>
      </c>
      <c r="C1750" s="76" t="s">
        <v>150</v>
      </c>
      <c r="D1750" s="76" t="s">
        <v>13</v>
      </c>
      <c r="E1750" s="77" t="s">
        <v>151</v>
      </c>
      <c r="F1750" s="78" t="s">
        <v>15</v>
      </c>
      <c r="G1750" s="78" t="s">
        <v>152</v>
      </c>
      <c r="H1750" s="78" t="s">
        <v>153</v>
      </c>
      <c r="I1750" s="78" t="s">
        <v>154</v>
      </c>
      <c r="J1750" s="78" t="s">
        <v>155</v>
      </c>
      <c r="K1750" s="79" t="s">
        <v>156</v>
      </c>
      <c r="L1750" s="80" t="s">
        <v>157</v>
      </c>
      <c r="M1750" s="80" t="s">
        <v>158</v>
      </c>
      <c r="N1750" s="81" t="s">
        <v>254</v>
      </c>
      <c r="O1750" s="81" t="s">
        <v>151</v>
      </c>
      <c r="P1750" s="81" t="s">
        <v>160</v>
      </c>
      <c r="Q1750" s="81" t="s">
        <v>161</v>
      </c>
      <c r="R1750" s="81" t="s">
        <v>162</v>
      </c>
      <c r="S1750" s="81" t="s">
        <v>163</v>
      </c>
      <c r="T1750" s="81" t="s">
        <v>164</v>
      </c>
      <c r="U1750" s="81" t="s">
        <v>165</v>
      </c>
      <c r="V1750" s="81" t="s">
        <v>166</v>
      </c>
      <c r="W1750" s="81" t="s">
        <v>167</v>
      </c>
      <c r="X1750" s="81" t="s">
        <v>168</v>
      </c>
      <c r="Y1750" s="81" t="s">
        <v>169</v>
      </c>
      <c r="Z1750" s="81" t="s">
        <v>170</v>
      </c>
      <c r="AA1750" s="81" t="s">
        <v>171</v>
      </c>
      <c r="AB1750" s="81" t="s">
        <v>172</v>
      </c>
      <c r="AC1750" s="81" t="s">
        <v>173</v>
      </c>
      <c r="AD1750" s="81" t="s">
        <v>174</v>
      </c>
      <c r="AE1750" s="81" t="s">
        <v>175</v>
      </c>
      <c r="AF1750" s="81" t="s">
        <v>176</v>
      </c>
      <c r="AG1750" s="81" t="s">
        <v>177</v>
      </c>
      <c r="AH1750" s="81" t="s">
        <v>178</v>
      </c>
    </row>
    <row r="1751" hidden="1">
      <c r="A1751" s="83" t="s">
        <v>20</v>
      </c>
      <c r="B1751" s="84" t="s">
        <v>232</v>
      </c>
      <c r="C1751" s="85">
        <v>1.0</v>
      </c>
      <c r="D1751" s="85">
        <v>1.0</v>
      </c>
      <c r="E1751" s="86">
        <v>14.0</v>
      </c>
      <c r="F1751" s="94">
        <v>0.0</v>
      </c>
      <c r="G1751" s="85">
        <v>43.0</v>
      </c>
      <c r="H1751" s="94">
        <v>0.0</v>
      </c>
      <c r="I1751" s="85">
        <v>42.0</v>
      </c>
      <c r="J1751" s="95">
        <f t="shared" ref="J1751:J1764" si="1323">SUM(G1751-I1751)</f>
        <v>1</v>
      </c>
      <c r="K1751" s="87">
        <f t="shared" ref="K1751:K1764" si="1324">SUM(G1751/I1751)</f>
        <v>1.023809524</v>
      </c>
      <c r="L1751" s="85">
        <v>16.0</v>
      </c>
      <c r="M1751" s="85">
        <v>48.0</v>
      </c>
      <c r="N1751" s="85">
        <v>1.0</v>
      </c>
      <c r="O1751" s="110">
        <f t="shared" ref="O1751:O1756" si="1325">(E1751*N1751)</f>
        <v>14</v>
      </c>
      <c r="P1751" s="85">
        <v>1.0</v>
      </c>
      <c r="Q1751" s="94">
        <v>0.0</v>
      </c>
      <c r="R1751" s="85">
        <v>1.0</v>
      </c>
      <c r="S1751" s="85">
        <v>1.0</v>
      </c>
      <c r="T1751" s="85">
        <v>4.0</v>
      </c>
      <c r="U1751" s="85">
        <v>1.0</v>
      </c>
      <c r="V1751" s="94">
        <v>0.0</v>
      </c>
      <c r="W1751" s="94">
        <v>0.0</v>
      </c>
      <c r="X1751" s="94">
        <v>0.0</v>
      </c>
      <c r="Y1751" s="94">
        <v>0.0</v>
      </c>
      <c r="Z1751" s="94">
        <v>0.0</v>
      </c>
      <c r="AA1751" s="94">
        <v>0.0</v>
      </c>
      <c r="AB1751" s="94">
        <v>0.0</v>
      </c>
      <c r="AC1751" s="94">
        <v>0.0</v>
      </c>
      <c r="AD1751" s="94">
        <v>0.0</v>
      </c>
      <c r="AE1751" s="94">
        <v>0.0</v>
      </c>
      <c r="AF1751" s="94">
        <v>0.0</v>
      </c>
      <c r="AG1751" s="94">
        <v>0.0</v>
      </c>
      <c r="AH1751" s="94">
        <v>0.0</v>
      </c>
    </row>
    <row r="1752" hidden="1">
      <c r="A1752" s="83" t="s">
        <v>20</v>
      </c>
      <c r="B1752" s="84" t="s">
        <v>233</v>
      </c>
      <c r="C1752" s="85">
        <v>1.0</v>
      </c>
      <c r="D1752" s="85">
        <v>1.0</v>
      </c>
      <c r="E1752" s="86">
        <v>14.0</v>
      </c>
      <c r="F1752" s="94">
        <v>0.0</v>
      </c>
      <c r="G1752" s="85">
        <v>47.0</v>
      </c>
      <c r="H1752" s="85">
        <v>1.0</v>
      </c>
      <c r="I1752" s="85">
        <v>49.0</v>
      </c>
      <c r="J1752" s="95">
        <f t="shared" si="1323"/>
        <v>-2</v>
      </c>
      <c r="K1752" s="87">
        <f t="shared" si="1324"/>
        <v>0.9591836735</v>
      </c>
      <c r="L1752" s="85">
        <v>14.0</v>
      </c>
      <c r="M1752" s="85">
        <v>53.0</v>
      </c>
      <c r="N1752" s="85">
        <v>1.0</v>
      </c>
      <c r="O1752" s="110">
        <f t="shared" si="1325"/>
        <v>14</v>
      </c>
      <c r="P1752" s="94">
        <v>0.0</v>
      </c>
      <c r="Q1752" s="94">
        <v>0.0</v>
      </c>
      <c r="R1752" s="85">
        <v>1.0</v>
      </c>
      <c r="S1752" s="94">
        <v>0.0</v>
      </c>
      <c r="T1752" s="85">
        <v>6.0</v>
      </c>
      <c r="U1752" s="85">
        <v>1.0</v>
      </c>
      <c r="V1752" s="94">
        <v>0.0</v>
      </c>
      <c r="W1752" s="94">
        <v>0.0</v>
      </c>
      <c r="X1752" s="94">
        <v>0.0</v>
      </c>
      <c r="Y1752" s="94">
        <v>0.0</v>
      </c>
      <c r="Z1752" s="94">
        <v>0.0</v>
      </c>
      <c r="AA1752" s="94">
        <v>0.0</v>
      </c>
      <c r="AB1752" s="94">
        <v>0.0</v>
      </c>
      <c r="AC1752" s="85">
        <v>1.0</v>
      </c>
      <c r="AD1752" s="94">
        <v>0.0</v>
      </c>
      <c r="AE1752" s="94">
        <v>0.0</v>
      </c>
      <c r="AF1752" s="94">
        <v>0.0</v>
      </c>
      <c r="AG1752" s="94">
        <v>0.0</v>
      </c>
      <c r="AH1752" s="94">
        <v>0.0</v>
      </c>
    </row>
    <row r="1753" hidden="1">
      <c r="A1753" s="83" t="s">
        <v>20</v>
      </c>
      <c r="B1753" s="84" t="s">
        <v>234</v>
      </c>
      <c r="C1753" s="85">
        <v>1.0</v>
      </c>
      <c r="D1753" s="85">
        <v>1.0</v>
      </c>
      <c r="E1753" s="86">
        <v>14.0</v>
      </c>
      <c r="F1753" s="85">
        <v>1.0</v>
      </c>
      <c r="G1753" s="85">
        <v>42.0</v>
      </c>
      <c r="H1753" s="94">
        <v>0.0</v>
      </c>
      <c r="I1753" s="85">
        <v>45.0</v>
      </c>
      <c r="J1753" s="95">
        <f t="shared" si="1323"/>
        <v>-3</v>
      </c>
      <c r="K1753" s="87">
        <f t="shared" si="1324"/>
        <v>0.9333333333</v>
      </c>
      <c r="L1753" s="85">
        <v>15.0</v>
      </c>
      <c r="M1753" s="85">
        <v>52.0</v>
      </c>
      <c r="N1753" s="85">
        <v>1.0</v>
      </c>
      <c r="O1753" s="110">
        <f t="shared" si="1325"/>
        <v>14</v>
      </c>
      <c r="P1753" s="85">
        <v>1.0</v>
      </c>
      <c r="Q1753" s="85">
        <v>1.0</v>
      </c>
      <c r="R1753" s="85">
        <v>1.0</v>
      </c>
      <c r="S1753" s="85">
        <v>1.0</v>
      </c>
      <c r="T1753" s="85">
        <v>9.0</v>
      </c>
      <c r="U1753" s="85">
        <v>1.0</v>
      </c>
      <c r="V1753" s="94">
        <v>0.0</v>
      </c>
      <c r="W1753" s="94">
        <v>0.0</v>
      </c>
      <c r="X1753" s="94">
        <v>0.0</v>
      </c>
      <c r="Y1753" s="94">
        <v>0.0</v>
      </c>
      <c r="Z1753" s="94">
        <v>0.0</v>
      </c>
      <c r="AA1753" s="94">
        <v>0.0</v>
      </c>
      <c r="AB1753" s="94">
        <v>0.0</v>
      </c>
      <c r="AC1753" s="85">
        <v>1.0</v>
      </c>
      <c r="AD1753" s="94">
        <v>0.0</v>
      </c>
      <c r="AE1753" s="94">
        <v>0.0</v>
      </c>
      <c r="AF1753" s="94">
        <v>0.0</v>
      </c>
      <c r="AG1753" s="94">
        <v>0.0</v>
      </c>
      <c r="AH1753" s="94">
        <v>0.0</v>
      </c>
    </row>
    <row r="1754" hidden="1">
      <c r="A1754" s="83" t="s">
        <v>20</v>
      </c>
      <c r="B1754" s="84" t="s">
        <v>235</v>
      </c>
      <c r="C1754" s="85">
        <v>1.0</v>
      </c>
      <c r="D1754" s="85">
        <v>1.0</v>
      </c>
      <c r="E1754" s="86">
        <v>14.0</v>
      </c>
      <c r="F1754" s="85">
        <v>4.0</v>
      </c>
      <c r="G1754" s="85">
        <v>40.0</v>
      </c>
      <c r="H1754" s="94">
        <v>0.0</v>
      </c>
      <c r="I1754" s="85">
        <v>39.0</v>
      </c>
      <c r="J1754" s="95">
        <f t="shared" si="1323"/>
        <v>1</v>
      </c>
      <c r="K1754" s="87">
        <f t="shared" si="1324"/>
        <v>1.025641026</v>
      </c>
      <c r="L1754" s="85">
        <v>18.0</v>
      </c>
      <c r="M1754" s="85">
        <v>60.0</v>
      </c>
      <c r="N1754" s="85">
        <v>1.0</v>
      </c>
      <c r="O1754" s="110">
        <f t="shared" si="1325"/>
        <v>14</v>
      </c>
      <c r="P1754" s="85">
        <v>4.0</v>
      </c>
      <c r="Q1754" s="94">
        <v>0.0</v>
      </c>
      <c r="R1754" s="94">
        <v>0.0</v>
      </c>
      <c r="S1754" s="85">
        <v>1.0</v>
      </c>
      <c r="T1754" s="85">
        <v>8.0</v>
      </c>
      <c r="U1754" s="85">
        <v>2.0</v>
      </c>
      <c r="V1754" s="94">
        <v>0.0</v>
      </c>
      <c r="W1754" s="94">
        <v>0.0</v>
      </c>
      <c r="X1754" s="94">
        <v>0.0</v>
      </c>
      <c r="Y1754" s="94">
        <v>0.0</v>
      </c>
      <c r="Z1754" s="94">
        <v>0.0</v>
      </c>
      <c r="AA1754" s="94">
        <v>0.0</v>
      </c>
      <c r="AB1754" s="94">
        <v>0.0</v>
      </c>
      <c r="AC1754" s="85">
        <v>1.0</v>
      </c>
      <c r="AD1754" s="94">
        <v>0.0</v>
      </c>
      <c r="AE1754" s="94">
        <v>0.0</v>
      </c>
      <c r="AF1754" s="94">
        <v>0.0</v>
      </c>
      <c r="AG1754" s="94">
        <v>0.0</v>
      </c>
      <c r="AH1754" s="94">
        <v>0.0</v>
      </c>
    </row>
    <row r="1755" hidden="1">
      <c r="A1755" s="83" t="s">
        <v>20</v>
      </c>
      <c r="B1755" s="84" t="s">
        <v>236</v>
      </c>
      <c r="C1755" s="85">
        <v>0.0</v>
      </c>
      <c r="D1755" s="94">
        <v>0.0</v>
      </c>
      <c r="E1755" s="96">
        <f t="shared" ref="E1755:E1756" si="1326">SUM(L1755*I1755)/60</f>
        <v>0</v>
      </c>
      <c r="F1755" s="94">
        <v>0.0</v>
      </c>
      <c r="G1755" s="94">
        <v>0.0</v>
      </c>
      <c r="H1755" s="94">
        <v>0.0</v>
      </c>
      <c r="I1755" s="94">
        <v>0.0</v>
      </c>
      <c r="J1755" s="95">
        <f t="shared" si="1323"/>
        <v>0</v>
      </c>
      <c r="K1755" s="87" t="str">
        <f t="shared" si="1324"/>
        <v>#DIV/0!</v>
      </c>
      <c r="L1755" s="94">
        <v>0.0</v>
      </c>
      <c r="M1755" s="94">
        <v>0.0</v>
      </c>
      <c r="N1755" s="85">
        <v>0.0</v>
      </c>
      <c r="O1755" s="110">
        <f t="shared" si="1325"/>
        <v>0</v>
      </c>
      <c r="P1755" s="94">
        <v>0.0</v>
      </c>
      <c r="Q1755" s="94">
        <v>0.0</v>
      </c>
      <c r="R1755" s="94">
        <v>0.0</v>
      </c>
      <c r="S1755" s="94">
        <v>0.0</v>
      </c>
      <c r="T1755" s="94">
        <v>0.0</v>
      </c>
      <c r="U1755" s="94">
        <v>0.0</v>
      </c>
      <c r="V1755" s="94">
        <v>0.0</v>
      </c>
      <c r="W1755" s="94">
        <v>0.0</v>
      </c>
      <c r="X1755" s="94">
        <v>0.0</v>
      </c>
      <c r="Y1755" s="94">
        <v>0.0</v>
      </c>
      <c r="Z1755" s="94">
        <v>0.0</v>
      </c>
      <c r="AA1755" s="94">
        <v>0.0</v>
      </c>
      <c r="AB1755" s="94">
        <v>0.0</v>
      </c>
      <c r="AC1755" s="94">
        <v>0.0</v>
      </c>
      <c r="AD1755" s="94">
        <v>0.0</v>
      </c>
      <c r="AE1755" s="94">
        <v>0.0</v>
      </c>
      <c r="AF1755" s="94">
        <v>0.0</v>
      </c>
      <c r="AG1755" s="94">
        <v>0.0</v>
      </c>
      <c r="AH1755" s="94">
        <v>0.0</v>
      </c>
    </row>
    <row r="1756" hidden="1">
      <c r="A1756" s="83" t="s">
        <v>20</v>
      </c>
      <c r="B1756" s="93"/>
      <c r="C1756" s="94">
        <v>0.0</v>
      </c>
      <c r="D1756" s="94">
        <v>0.0</v>
      </c>
      <c r="E1756" s="96">
        <f t="shared" si="1326"/>
        <v>0</v>
      </c>
      <c r="F1756" s="94">
        <v>0.0</v>
      </c>
      <c r="G1756" s="94">
        <v>0.0</v>
      </c>
      <c r="H1756" s="94">
        <v>0.0</v>
      </c>
      <c r="I1756" s="94">
        <v>0.0</v>
      </c>
      <c r="J1756" s="95">
        <f t="shared" si="1323"/>
        <v>0</v>
      </c>
      <c r="K1756" s="87" t="str">
        <f t="shared" si="1324"/>
        <v>#DIV/0!</v>
      </c>
      <c r="L1756" s="94">
        <v>0.0</v>
      </c>
      <c r="M1756" s="94">
        <v>0.0</v>
      </c>
      <c r="N1756" s="85">
        <v>0.0</v>
      </c>
      <c r="O1756" s="110">
        <f t="shared" si="1325"/>
        <v>0</v>
      </c>
      <c r="P1756" s="94">
        <v>0.0</v>
      </c>
      <c r="Q1756" s="94">
        <v>0.0</v>
      </c>
      <c r="R1756" s="94">
        <v>0.0</v>
      </c>
      <c r="S1756" s="94">
        <v>0.0</v>
      </c>
      <c r="T1756" s="94">
        <v>0.0</v>
      </c>
      <c r="U1756" s="94">
        <v>0.0</v>
      </c>
      <c r="V1756" s="94">
        <v>0.0</v>
      </c>
      <c r="W1756" s="94">
        <v>0.0</v>
      </c>
      <c r="X1756" s="94">
        <v>0.0</v>
      </c>
      <c r="Y1756" s="94">
        <v>0.0</v>
      </c>
      <c r="Z1756" s="94">
        <v>0.0</v>
      </c>
      <c r="AA1756" s="94">
        <v>0.0</v>
      </c>
      <c r="AB1756" s="94">
        <v>0.0</v>
      </c>
      <c r="AC1756" s="94">
        <v>0.0</v>
      </c>
      <c r="AD1756" s="94">
        <v>0.0</v>
      </c>
      <c r="AE1756" s="94">
        <v>0.0</v>
      </c>
      <c r="AF1756" s="94">
        <v>0.0</v>
      </c>
      <c r="AG1756" s="94">
        <v>0.0</v>
      </c>
      <c r="AH1756" s="94">
        <v>0.0</v>
      </c>
    </row>
    <row r="1757" hidden="1">
      <c r="A1757" s="89"/>
      <c r="B1757" s="111"/>
      <c r="C1757" s="111">
        <f t="shared" ref="C1757:D1757" si="1327">SUM(C1751:C1756)/4</f>
        <v>1</v>
      </c>
      <c r="D1757" s="111">
        <f t="shared" si="1327"/>
        <v>1</v>
      </c>
      <c r="E1757" s="91">
        <f t="shared" ref="E1757:G1757" si="1328">SUM(E1751:E1756)</f>
        <v>56</v>
      </c>
      <c r="F1757" s="111">
        <f t="shared" si="1328"/>
        <v>5</v>
      </c>
      <c r="G1757" s="111">
        <f t="shared" si="1328"/>
        <v>172</v>
      </c>
      <c r="H1757" s="111"/>
      <c r="I1757" s="111">
        <f>SUM(I1751:I1756)</f>
        <v>175</v>
      </c>
      <c r="J1757" s="111">
        <f t="shared" si="1323"/>
        <v>-3</v>
      </c>
      <c r="K1757" s="92">
        <f t="shared" si="1324"/>
        <v>0.9828571429</v>
      </c>
      <c r="L1757" s="111">
        <f t="shared" ref="L1757:M1757" si="1329">SUM(L1751:L1756)</f>
        <v>63</v>
      </c>
      <c r="M1757" s="111">
        <f t="shared" si="1329"/>
        <v>213</v>
      </c>
      <c r="N1757" s="111"/>
      <c r="O1757" s="112"/>
      <c r="P1757" s="111">
        <f t="shared" ref="P1757:AH1757" si="1330">SUM(P1751:P1756)</f>
        <v>6</v>
      </c>
      <c r="Q1757" s="111">
        <f t="shared" si="1330"/>
        <v>1</v>
      </c>
      <c r="R1757" s="111">
        <f t="shared" si="1330"/>
        <v>3</v>
      </c>
      <c r="S1757" s="111">
        <f t="shared" si="1330"/>
        <v>3</v>
      </c>
      <c r="T1757" s="111">
        <f t="shared" si="1330"/>
        <v>27</v>
      </c>
      <c r="U1757" s="111">
        <f t="shared" si="1330"/>
        <v>5</v>
      </c>
      <c r="V1757" s="111">
        <f t="shared" si="1330"/>
        <v>0</v>
      </c>
      <c r="W1757" s="111">
        <f t="shared" si="1330"/>
        <v>0</v>
      </c>
      <c r="X1757" s="111">
        <f t="shared" si="1330"/>
        <v>0</v>
      </c>
      <c r="Y1757" s="111">
        <f t="shared" si="1330"/>
        <v>0</v>
      </c>
      <c r="Z1757" s="111">
        <f t="shared" si="1330"/>
        <v>0</v>
      </c>
      <c r="AA1757" s="111">
        <f t="shared" si="1330"/>
        <v>0</v>
      </c>
      <c r="AB1757" s="111">
        <f t="shared" si="1330"/>
        <v>0</v>
      </c>
      <c r="AC1757" s="111">
        <f t="shared" si="1330"/>
        <v>3</v>
      </c>
      <c r="AD1757" s="111">
        <f t="shared" si="1330"/>
        <v>0</v>
      </c>
      <c r="AE1757" s="111">
        <f t="shared" si="1330"/>
        <v>0</v>
      </c>
      <c r="AF1757" s="111">
        <f t="shared" si="1330"/>
        <v>0</v>
      </c>
      <c r="AG1757" s="111">
        <f t="shared" si="1330"/>
        <v>0</v>
      </c>
      <c r="AH1757" s="111">
        <f t="shared" si="1330"/>
        <v>0</v>
      </c>
    </row>
    <row r="1758" hidden="1">
      <c r="A1758" s="83" t="s">
        <v>47</v>
      </c>
      <c r="B1758" s="84" t="s">
        <v>237</v>
      </c>
      <c r="C1758" s="85">
        <v>1.0</v>
      </c>
      <c r="D1758" s="94">
        <v>0.0</v>
      </c>
      <c r="E1758" s="86">
        <v>14.0</v>
      </c>
      <c r="F1758" s="94">
        <v>0.0</v>
      </c>
      <c r="G1758" s="85">
        <v>53.0</v>
      </c>
      <c r="H1758" s="94">
        <v>0.0</v>
      </c>
      <c r="I1758" s="85">
        <v>57.0</v>
      </c>
      <c r="J1758" s="95">
        <f t="shared" si="1323"/>
        <v>-4</v>
      </c>
      <c r="K1758" s="87">
        <f t="shared" si="1324"/>
        <v>0.9298245614</v>
      </c>
      <c r="L1758" s="85">
        <v>11.0</v>
      </c>
      <c r="M1758" s="85">
        <v>75.0</v>
      </c>
      <c r="N1758" s="85">
        <v>1.0</v>
      </c>
      <c r="O1758" s="110">
        <f t="shared" ref="O1758:O1763" si="1331">(E1758*N1758)</f>
        <v>14</v>
      </c>
      <c r="P1758" s="94">
        <v>0.0</v>
      </c>
      <c r="Q1758" s="94">
        <v>0.0</v>
      </c>
      <c r="R1758" s="85">
        <v>7.0</v>
      </c>
      <c r="S1758" s="85">
        <v>3.0</v>
      </c>
      <c r="T1758" s="85">
        <v>10.0</v>
      </c>
      <c r="U1758" s="85">
        <v>2.0</v>
      </c>
      <c r="V1758" s="85">
        <v>1.0</v>
      </c>
      <c r="W1758" s="94">
        <v>0.0</v>
      </c>
      <c r="X1758" s="94">
        <v>0.0</v>
      </c>
      <c r="Y1758" s="94">
        <v>0.0</v>
      </c>
      <c r="Z1758" s="94">
        <v>0.0</v>
      </c>
      <c r="AA1758" s="94">
        <v>0.0</v>
      </c>
      <c r="AB1758" s="94">
        <v>0.0</v>
      </c>
      <c r="AC1758" s="85">
        <v>1.0</v>
      </c>
      <c r="AD1758" s="94">
        <v>0.0</v>
      </c>
      <c r="AE1758" s="94">
        <v>0.0</v>
      </c>
      <c r="AF1758" s="94">
        <v>0.0</v>
      </c>
      <c r="AG1758" s="94">
        <v>0.0</v>
      </c>
      <c r="AH1758" s="94">
        <v>0.0</v>
      </c>
    </row>
    <row r="1759" hidden="1">
      <c r="A1759" s="83" t="s">
        <v>47</v>
      </c>
      <c r="B1759" s="84" t="s">
        <v>238</v>
      </c>
      <c r="C1759" s="85">
        <v>1.0</v>
      </c>
      <c r="D1759" s="94">
        <v>0.0</v>
      </c>
      <c r="E1759" s="86">
        <v>14.0</v>
      </c>
      <c r="F1759" s="85">
        <v>3.0</v>
      </c>
      <c r="G1759" s="85">
        <v>31.0</v>
      </c>
      <c r="H1759" s="94">
        <v>0.0</v>
      </c>
      <c r="I1759" s="85">
        <v>35.0</v>
      </c>
      <c r="J1759" s="95">
        <f t="shared" si="1323"/>
        <v>-4</v>
      </c>
      <c r="K1759" s="87">
        <f t="shared" si="1324"/>
        <v>0.8857142857</v>
      </c>
      <c r="L1759" s="85">
        <v>20.0</v>
      </c>
      <c r="M1759" s="85">
        <v>35.0</v>
      </c>
      <c r="N1759" s="85">
        <v>1.0</v>
      </c>
      <c r="O1759" s="110">
        <f t="shared" si="1331"/>
        <v>14</v>
      </c>
      <c r="P1759" s="94">
        <v>0.0</v>
      </c>
      <c r="Q1759" s="85">
        <v>1.0</v>
      </c>
      <c r="R1759" s="94">
        <v>0.0</v>
      </c>
      <c r="S1759" s="94">
        <v>0.0</v>
      </c>
      <c r="T1759" s="85">
        <v>1.0</v>
      </c>
      <c r="U1759" s="94">
        <v>0.0</v>
      </c>
      <c r="V1759" s="94">
        <v>0.0</v>
      </c>
      <c r="W1759" s="94">
        <v>0.0</v>
      </c>
      <c r="X1759" s="94">
        <v>0.0</v>
      </c>
      <c r="Y1759" s="94">
        <v>0.0</v>
      </c>
      <c r="Z1759" s="94">
        <v>0.0</v>
      </c>
      <c r="AA1759" s="94">
        <v>0.0</v>
      </c>
      <c r="AB1759" s="94">
        <v>0.0</v>
      </c>
      <c r="AC1759" s="94">
        <v>0.0</v>
      </c>
      <c r="AD1759" s="94">
        <v>0.0</v>
      </c>
      <c r="AE1759" s="94">
        <v>0.0</v>
      </c>
      <c r="AF1759" s="94">
        <v>0.0</v>
      </c>
      <c r="AG1759" s="94">
        <v>0.0</v>
      </c>
      <c r="AH1759" s="94">
        <v>0.0</v>
      </c>
    </row>
    <row r="1760" hidden="1">
      <c r="A1760" s="83" t="s">
        <v>47</v>
      </c>
      <c r="B1760" s="84" t="s">
        <v>239</v>
      </c>
      <c r="C1760" s="85">
        <v>0.0</v>
      </c>
      <c r="D1760" s="94">
        <v>0.0</v>
      </c>
      <c r="E1760" s="96">
        <f>SUM(L1760*I1760)/60</f>
        <v>0</v>
      </c>
      <c r="F1760" s="94">
        <v>0.0</v>
      </c>
      <c r="G1760" s="94">
        <v>0.0</v>
      </c>
      <c r="H1760" s="94">
        <v>0.0</v>
      </c>
      <c r="I1760" s="94">
        <v>0.0</v>
      </c>
      <c r="J1760" s="95">
        <f t="shared" si="1323"/>
        <v>0</v>
      </c>
      <c r="K1760" s="87" t="str">
        <f t="shared" si="1324"/>
        <v>#DIV/0!</v>
      </c>
      <c r="L1760" s="94">
        <v>0.0</v>
      </c>
      <c r="M1760" s="94">
        <v>0.0</v>
      </c>
      <c r="N1760" s="85">
        <v>0.0</v>
      </c>
      <c r="O1760" s="110">
        <f t="shared" si="1331"/>
        <v>0</v>
      </c>
      <c r="P1760" s="94">
        <v>0.0</v>
      </c>
      <c r="Q1760" s="94">
        <v>0.0</v>
      </c>
      <c r="R1760" s="94">
        <v>0.0</v>
      </c>
      <c r="S1760" s="94">
        <v>0.0</v>
      </c>
      <c r="T1760" s="94">
        <v>0.0</v>
      </c>
      <c r="U1760" s="94">
        <v>0.0</v>
      </c>
      <c r="V1760" s="94">
        <v>0.0</v>
      </c>
      <c r="W1760" s="94">
        <v>0.0</v>
      </c>
      <c r="X1760" s="94">
        <v>0.0</v>
      </c>
      <c r="Y1760" s="94">
        <v>0.0</v>
      </c>
      <c r="Z1760" s="94">
        <v>0.0</v>
      </c>
      <c r="AA1760" s="94">
        <v>0.0</v>
      </c>
      <c r="AB1760" s="94">
        <v>0.0</v>
      </c>
      <c r="AC1760" s="94">
        <v>0.0</v>
      </c>
      <c r="AD1760" s="94">
        <v>0.0</v>
      </c>
      <c r="AE1760" s="94">
        <v>0.0</v>
      </c>
      <c r="AF1760" s="94">
        <v>0.0</v>
      </c>
      <c r="AG1760" s="94">
        <v>0.0</v>
      </c>
      <c r="AH1760" s="94">
        <v>0.0</v>
      </c>
    </row>
    <row r="1761" hidden="1">
      <c r="A1761" s="83" t="s">
        <v>47</v>
      </c>
      <c r="B1761" s="84" t="s">
        <v>240</v>
      </c>
      <c r="C1761" s="85">
        <v>1.0</v>
      </c>
      <c r="D1761" s="94">
        <v>0.0</v>
      </c>
      <c r="E1761" s="86">
        <v>14.0</v>
      </c>
      <c r="F1761" s="94">
        <v>0.0</v>
      </c>
      <c r="G1761" s="85">
        <v>39.0</v>
      </c>
      <c r="H1761" s="94">
        <v>0.0</v>
      </c>
      <c r="I1761" s="85">
        <v>44.0</v>
      </c>
      <c r="J1761" s="95">
        <f t="shared" si="1323"/>
        <v>-5</v>
      </c>
      <c r="K1761" s="87">
        <f t="shared" si="1324"/>
        <v>0.8863636364</v>
      </c>
      <c r="L1761" s="85">
        <v>15.0</v>
      </c>
      <c r="M1761" s="85">
        <v>46.0</v>
      </c>
      <c r="N1761" s="85">
        <v>1.0</v>
      </c>
      <c r="O1761" s="110">
        <f t="shared" si="1331"/>
        <v>14</v>
      </c>
      <c r="P1761" s="85">
        <v>2.0</v>
      </c>
      <c r="Q1761" s="85">
        <v>1.0</v>
      </c>
      <c r="R1761" s="94">
        <v>0.0</v>
      </c>
      <c r="S1761" s="94">
        <v>0.0</v>
      </c>
      <c r="T1761" s="85">
        <v>7.0</v>
      </c>
      <c r="U1761" s="94">
        <v>0.0</v>
      </c>
      <c r="V1761" s="94">
        <v>0.0</v>
      </c>
      <c r="W1761" s="94">
        <v>0.0</v>
      </c>
      <c r="X1761" s="94">
        <v>0.0</v>
      </c>
      <c r="Y1761" s="94">
        <v>0.0</v>
      </c>
      <c r="Z1761" s="94">
        <v>0.0</v>
      </c>
      <c r="AA1761" s="94">
        <v>0.0</v>
      </c>
      <c r="AB1761" s="94">
        <v>0.0</v>
      </c>
      <c r="AC1761" s="85">
        <v>1.0</v>
      </c>
      <c r="AD1761" s="94">
        <v>0.0</v>
      </c>
      <c r="AE1761" s="94">
        <v>0.0</v>
      </c>
      <c r="AF1761" s="94">
        <v>0.0</v>
      </c>
      <c r="AG1761" s="94">
        <v>0.0</v>
      </c>
      <c r="AH1761" s="94">
        <v>0.0</v>
      </c>
    </row>
    <row r="1762" hidden="1">
      <c r="A1762" s="83" t="s">
        <v>47</v>
      </c>
      <c r="B1762" s="84" t="s">
        <v>241</v>
      </c>
      <c r="C1762" s="94">
        <v>0.0</v>
      </c>
      <c r="D1762" s="94">
        <v>0.0</v>
      </c>
      <c r="E1762" s="96">
        <f>SUM(L1762*I1762)/60</f>
        <v>0</v>
      </c>
      <c r="F1762" s="94">
        <v>0.0</v>
      </c>
      <c r="G1762" s="94">
        <v>0.0</v>
      </c>
      <c r="H1762" s="94">
        <v>0.0</v>
      </c>
      <c r="I1762" s="94">
        <v>0.0</v>
      </c>
      <c r="J1762" s="95">
        <f t="shared" si="1323"/>
        <v>0</v>
      </c>
      <c r="K1762" s="87" t="str">
        <f t="shared" si="1324"/>
        <v>#DIV/0!</v>
      </c>
      <c r="L1762" s="94">
        <v>0.0</v>
      </c>
      <c r="M1762" s="94">
        <v>0.0</v>
      </c>
      <c r="N1762" s="85">
        <v>0.0</v>
      </c>
      <c r="O1762" s="110">
        <f t="shared" si="1331"/>
        <v>0</v>
      </c>
      <c r="P1762" s="94">
        <v>0.0</v>
      </c>
      <c r="Q1762" s="94">
        <v>0.0</v>
      </c>
      <c r="R1762" s="94">
        <v>0.0</v>
      </c>
      <c r="S1762" s="94">
        <v>0.0</v>
      </c>
      <c r="T1762" s="94">
        <v>0.0</v>
      </c>
      <c r="U1762" s="94">
        <v>0.0</v>
      </c>
      <c r="V1762" s="94">
        <v>0.0</v>
      </c>
      <c r="W1762" s="94">
        <v>0.0</v>
      </c>
      <c r="X1762" s="94">
        <v>0.0</v>
      </c>
      <c r="Y1762" s="94">
        <v>0.0</v>
      </c>
      <c r="Z1762" s="94">
        <v>0.0</v>
      </c>
      <c r="AA1762" s="94">
        <v>0.0</v>
      </c>
      <c r="AB1762" s="94">
        <v>0.0</v>
      </c>
      <c r="AC1762" s="94">
        <v>0.0</v>
      </c>
      <c r="AD1762" s="94">
        <v>0.0</v>
      </c>
      <c r="AE1762" s="94">
        <v>0.0</v>
      </c>
      <c r="AF1762" s="94">
        <v>0.0</v>
      </c>
      <c r="AG1762" s="94">
        <v>0.0</v>
      </c>
      <c r="AH1762" s="94">
        <v>0.0</v>
      </c>
    </row>
    <row r="1763" hidden="1">
      <c r="A1763" s="83" t="s">
        <v>214</v>
      </c>
      <c r="B1763" s="84" t="s">
        <v>212</v>
      </c>
      <c r="C1763" s="85">
        <v>1.0</v>
      </c>
      <c r="D1763" s="94">
        <v>0.0</v>
      </c>
      <c r="E1763" s="86">
        <v>14.0</v>
      </c>
      <c r="F1763" s="94">
        <v>0.0</v>
      </c>
      <c r="G1763" s="85">
        <v>47.0</v>
      </c>
      <c r="H1763" s="94">
        <v>0.0</v>
      </c>
      <c r="I1763" s="85">
        <v>48.0</v>
      </c>
      <c r="J1763" s="95">
        <f t="shared" si="1323"/>
        <v>-1</v>
      </c>
      <c r="K1763" s="87">
        <f t="shared" si="1324"/>
        <v>0.9791666667</v>
      </c>
      <c r="L1763" s="85">
        <v>14.0</v>
      </c>
      <c r="M1763" s="85">
        <v>57.0</v>
      </c>
      <c r="N1763" s="85">
        <v>1.0</v>
      </c>
      <c r="O1763" s="110">
        <f t="shared" si="1331"/>
        <v>14</v>
      </c>
      <c r="P1763" s="85">
        <v>2.0</v>
      </c>
      <c r="Q1763" s="85">
        <v>1.0</v>
      </c>
      <c r="R1763" s="85">
        <v>1.0</v>
      </c>
      <c r="S1763" s="94">
        <v>0.0</v>
      </c>
      <c r="T1763" s="85">
        <v>7.0</v>
      </c>
      <c r="U1763" s="85">
        <v>1.0</v>
      </c>
      <c r="V1763" s="85">
        <v>1.0</v>
      </c>
      <c r="W1763" s="85">
        <v>1.0</v>
      </c>
      <c r="X1763" s="94">
        <v>0.0</v>
      </c>
      <c r="Y1763" s="94">
        <v>0.0</v>
      </c>
      <c r="Z1763" s="94">
        <v>0.0</v>
      </c>
      <c r="AA1763" s="94">
        <v>0.0</v>
      </c>
      <c r="AB1763" s="94">
        <v>0.0</v>
      </c>
      <c r="AC1763" s="85">
        <v>1.0</v>
      </c>
      <c r="AD1763" s="94">
        <v>0.0</v>
      </c>
      <c r="AE1763" s="94">
        <v>0.0</v>
      </c>
      <c r="AF1763" s="94">
        <v>0.0</v>
      </c>
      <c r="AG1763" s="94">
        <v>0.0</v>
      </c>
      <c r="AH1763" s="94">
        <v>0.0</v>
      </c>
    </row>
    <row r="1764" hidden="1">
      <c r="A1764" s="89" t="s">
        <v>185</v>
      </c>
      <c r="B1764" s="111"/>
      <c r="C1764" s="111">
        <f>SUM(C1758:C1763)</f>
        <v>4</v>
      </c>
      <c r="D1764" s="111">
        <f t="shared" ref="D1764:E1764" si="1332">SUM(D1758:D1763)/4</f>
        <v>0</v>
      </c>
      <c r="E1764" s="91">
        <f t="shared" si="1332"/>
        <v>14</v>
      </c>
      <c r="F1764" s="111">
        <f t="shared" ref="F1764:G1764" si="1333">SUM(F1758:F1763)</f>
        <v>3</v>
      </c>
      <c r="G1764" s="111">
        <f t="shared" si="1333"/>
        <v>170</v>
      </c>
      <c r="H1764" s="111"/>
      <c r="I1764" s="111">
        <f>SUM(I1758:I1763)</f>
        <v>184</v>
      </c>
      <c r="J1764" s="111">
        <f t="shared" si="1323"/>
        <v>-14</v>
      </c>
      <c r="K1764" s="92">
        <f t="shared" si="1324"/>
        <v>0.9239130435</v>
      </c>
      <c r="L1764" s="111">
        <f t="shared" ref="L1764:M1764" si="1334">SUM(L1758:L1763)</f>
        <v>60</v>
      </c>
      <c r="M1764" s="111">
        <f t="shared" si="1334"/>
        <v>213</v>
      </c>
      <c r="N1764" s="111"/>
      <c r="O1764" s="112"/>
      <c r="P1764" s="111">
        <f t="shared" ref="P1764:AH1764" si="1335">SUM(P1758:P1763)</f>
        <v>4</v>
      </c>
      <c r="Q1764" s="111">
        <f t="shared" si="1335"/>
        <v>3</v>
      </c>
      <c r="R1764" s="111">
        <f t="shared" si="1335"/>
        <v>8</v>
      </c>
      <c r="S1764" s="111">
        <f t="shared" si="1335"/>
        <v>3</v>
      </c>
      <c r="T1764" s="111">
        <f t="shared" si="1335"/>
        <v>25</v>
      </c>
      <c r="U1764" s="111">
        <f t="shared" si="1335"/>
        <v>3</v>
      </c>
      <c r="V1764" s="111">
        <f t="shared" si="1335"/>
        <v>2</v>
      </c>
      <c r="W1764" s="111">
        <f t="shared" si="1335"/>
        <v>1</v>
      </c>
      <c r="X1764" s="111">
        <f t="shared" si="1335"/>
        <v>0</v>
      </c>
      <c r="Y1764" s="111">
        <f t="shared" si="1335"/>
        <v>0</v>
      </c>
      <c r="Z1764" s="111">
        <f t="shared" si="1335"/>
        <v>0</v>
      </c>
      <c r="AA1764" s="111">
        <f t="shared" si="1335"/>
        <v>0</v>
      </c>
      <c r="AB1764" s="111">
        <f t="shared" si="1335"/>
        <v>0</v>
      </c>
      <c r="AC1764" s="111">
        <f t="shared" si="1335"/>
        <v>3</v>
      </c>
      <c r="AD1764" s="111">
        <f t="shared" si="1335"/>
        <v>0</v>
      </c>
      <c r="AE1764" s="111">
        <f t="shared" si="1335"/>
        <v>0</v>
      </c>
      <c r="AF1764" s="111">
        <f t="shared" si="1335"/>
        <v>0</v>
      </c>
      <c r="AG1764" s="111">
        <f t="shared" si="1335"/>
        <v>0</v>
      </c>
      <c r="AH1764" s="111">
        <f t="shared" si="1335"/>
        <v>0</v>
      </c>
    </row>
    <row r="1765">
      <c r="A1765" s="104" t="s">
        <v>352</v>
      </c>
    </row>
    <row r="1767" hidden="1">
      <c r="A1767" s="105"/>
      <c r="F1767" s="106" t="s">
        <v>251</v>
      </c>
      <c r="L1767" s="107" t="s">
        <v>252</v>
      </c>
      <c r="N1767" s="108" t="s">
        <v>253</v>
      </c>
    </row>
    <row r="1768" hidden="1">
      <c r="A1768" s="76" t="s">
        <v>148</v>
      </c>
      <c r="B1768" s="76" t="s">
        <v>149</v>
      </c>
      <c r="C1768" s="76" t="s">
        <v>150</v>
      </c>
      <c r="D1768" s="76" t="s">
        <v>13</v>
      </c>
      <c r="E1768" s="77" t="s">
        <v>151</v>
      </c>
      <c r="F1768" s="78" t="s">
        <v>15</v>
      </c>
      <c r="G1768" s="78" t="s">
        <v>152</v>
      </c>
      <c r="H1768" s="78" t="s">
        <v>153</v>
      </c>
      <c r="I1768" s="78" t="s">
        <v>154</v>
      </c>
      <c r="J1768" s="78" t="s">
        <v>155</v>
      </c>
      <c r="K1768" s="79" t="s">
        <v>156</v>
      </c>
      <c r="L1768" s="80" t="s">
        <v>157</v>
      </c>
      <c r="M1768" s="80" t="s">
        <v>158</v>
      </c>
      <c r="N1768" s="81" t="s">
        <v>254</v>
      </c>
      <c r="O1768" s="81" t="s">
        <v>151</v>
      </c>
      <c r="P1768" s="81" t="s">
        <v>160</v>
      </c>
      <c r="Q1768" s="81" t="s">
        <v>161</v>
      </c>
      <c r="R1768" s="81" t="s">
        <v>162</v>
      </c>
      <c r="S1768" s="81" t="s">
        <v>163</v>
      </c>
      <c r="T1768" s="81" t="s">
        <v>164</v>
      </c>
      <c r="U1768" s="81" t="s">
        <v>165</v>
      </c>
      <c r="V1768" s="81" t="s">
        <v>166</v>
      </c>
      <c r="W1768" s="81" t="s">
        <v>167</v>
      </c>
      <c r="X1768" s="81" t="s">
        <v>168</v>
      </c>
      <c r="Y1768" s="81" t="s">
        <v>169</v>
      </c>
      <c r="Z1768" s="81" t="s">
        <v>170</v>
      </c>
      <c r="AA1768" s="81" t="s">
        <v>171</v>
      </c>
      <c r="AB1768" s="81" t="s">
        <v>172</v>
      </c>
      <c r="AC1768" s="81" t="s">
        <v>173</v>
      </c>
      <c r="AD1768" s="81" t="s">
        <v>174</v>
      </c>
      <c r="AE1768" s="81" t="s">
        <v>175</v>
      </c>
      <c r="AF1768" s="81" t="s">
        <v>176</v>
      </c>
      <c r="AG1768" s="81" t="s">
        <v>177</v>
      </c>
      <c r="AH1768" s="81" t="s">
        <v>178</v>
      </c>
    </row>
    <row r="1769" hidden="1">
      <c r="A1769" s="83" t="s">
        <v>20</v>
      </c>
      <c r="B1769" s="84" t="s">
        <v>232</v>
      </c>
      <c r="C1769" s="85">
        <v>1.0</v>
      </c>
      <c r="D1769" s="85">
        <v>1.0</v>
      </c>
      <c r="E1769" s="86">
        <v>25.0</v>
      </c>
      <c r="F1769" s="85">
        <v>1.0</v>
      </c>
      <c r="G1769" s="85">
        <v>115.0</v>
      </c>
      <c r="H1769" s="85">
        <v>1.0</v>
      </c>
      <c r="I1769" s="85">
        <v>75.0</v>
      </c>
      <c r="J1769" s="95">
        <f t="shared" ref="J1769:J1782" si="1336">SUM(G1769-I1769)</f>
        <v>40</v>
      </c>
      <c r="K1769" s="87">
        <f t="shared" ref="K1769:K1782" si="1337">SUM(G1769/I1769)</f>
        <v>1.533333333</v>
      </c>
      <c r="L1769" s="85">
        <v>16.0</v>
      </c>
      <c r="M1769" s="85">
        <v>166.0</v>
      </c>
      <c r="N1769" s="85">
        <v>1.0</v>
      </c>
      <c r="O1769" s="110">
        <f t="shared" ref="O1769:O1774" si="1338">(E1769*N1769)</f>
        <v>25</v>
      </c>
      <c r="P1769" s="85">
        <v>1.0</v>
      </c>
      <c r="Q1769" s="85">
        <v>3.0</v>
      </c>
      <c r="R1769" s="85">
        <v>15.0</v>
      </c>
      <c r="S1769" s="85">
        <v>0.0</v>
      </c>
      <c r="T1769" s="85">
        <v>16.0</v>
      </c>
      <c r="U1769" s="85">
        <v>7.0</v>
      </c>
      <c r="V1769" s="85">
        <v>5.0</v>
      </c>
      <c r="W1769" s="85">
        <v>4.0</v>
      </c>
      <c r="X1769" s="94">
        <v>0.0</v>
      </c>
      <c r="Y1769" s="94">
        <v>0.0</v>
      </c>
      <c r="Z1769" s="94">
        <v>0.0</v>
      </c>
      <c r="AA1769" s="94">
        <v>0.0</v>
      </c>
      <c r="AB1769" s="94">
        <v>0.0</v>
      </c>
      <c r="AC1769" s="85">
        <v>7.0</v>
      </c>
      <c r="AD1769" s="94">
        <v>0.0</v>
      </c>
      <c r="AE1769" s="94">
        <v>0.0</v>
      </c>
      <c r="AF1769" s="94">
        <v>0.0</v>
      </c>
      <c r="AG1769" s="94">
        <v>0.0</v>
      </c>
      <c r="AH1769" s="94">
        <v>0.0</v>
      </c>
    </row>
    <row r="1770" hidden="1">
      <c r="A1770" s="83" t="s">
        <v>20</v>
      </c>
      <c r="B1770" s="84" t="s">
        <v>233</v>
      </c>
      <c r="C1770" s="85">
        <v>1.0</v>
      </c>
      <c r="D1770" s="85">
        <v>1.0</v>
      </c>
      <c r="E1770" s="86">
        <v>25.0</v>
      </c>
      <c r="F1770" s="94">
        <v>0.0</v>
      </c>
      <c r="G1770" s="85">
        <v>97.0</v>
      </c>
      <c r="H1770" s="94">
        <v>0.0</v>
      </c>
      <c r="I1770" s="85">
        <v>99.0</v>
      </c>
      <c r="J1770" s="95">
        <f t="shared" si="1336"/>
        <v>-2</v>
      </c>
      <c r="K1770" s="87">
        <f t="shared" si="1337"/>
        <v>0.9797979798</v>
      </c>
      <c r="L1770" s="85">
        <v>12.0</v>
      </c>
      <c r="M1770" s="85">
        <v>126.0</v>
      </c>
      <c r="N1770" s="85">
        <v>1.0</v>
      </c>
      <c r="O1770" s="110">
        <f t="shared" si="1338"/>
        <v>25</v>
      </c>
      <c r="P1770" s="94">
        <v>0.0</v>
      </c>
      <c r="Q1770" s="85">
        <v>1.0</v>
      </c>
      <c r="R1770" s="85">
        <v>12.0</v>
      </c>
      <c r="S1770" s="85">
        <v>2.0</v>
      </c>
      <c r="T1770" s="85">
        <v>17.0</v>
      </c>
      <c r="U1770" s="85">
        <v>4.0</v>
      </c>
      <c r="V1770" s="85">
        <v>2.0</v>
      </c>
      <c r="W1770" s="85">
        <v>1.0</v>
      </c>
      <c r="X1770" s="94">
        <v>0.0</v>
      </c>
      <c r="Y1770" s="94">
        <v>0.0</v>
      </c>
      <c r="Z1770" s="94">
        <v>0.0</v>
      </c>
      <c r="AA1770" s="94">
        <v>0.0</v>
      </c>
      <c r="AB1770" s="94">
        <v>0.0</v>
      </c>
      <c r="AC1770" s="85">
        <v>2.0</v>
      </c>
      <c r="AD1770" s="94">
        <v>0.0</v>
      </c>
      <c r="AE1770" s="94">
        <v>0.0</v>
      </c>
      <c r="AF1770" s="94">
        <v>0.0</v>
      </c>
      <c r="AG1770" s="94">
        <v>0.0</v>
      </c>
      <c r="AH1770" s="94">
        <v>0.0</v>
      </c>
    </row>
    <row r="1771" hidden="1">
      <c r="A1771" s="83" t="s">
        <v>20</v>
      </c>
      <c r="B1771" s="84" t="s">
        <v>234</v>
      </c>
      <c r="C1771" s="85">
        <v>1.0</v>
      </c>
      <c r="D1771" s="85">
        <v>1.0</v>
      </c>
      <c r="E1771" s="86">
        <v>25.0</v>
      </c>
      <c r="F1771" s="94">
        <v>0.0</v>
      </c>
      <c r="G1771" s="85">
        <v>79.0</v>
      </c>
      <c r="H1771" s="94">
        <v>0.0</v>
      </c>
      <c r="I1771" s="85">
        <v>88.0</v>
      </c>
      <c r="J1771" s="95">
        <f t="shared" si="1336"/>
        <v>-9</v>
      </c>
      <c r="K1771" s="87">
        <f t="shared" si="1337"/>
        <v>0.8977272727</v>
      </c>
      <c r="L1771" s="85">
        <v>13.0</v>
      </c>
      <c r="M1771" s="85">
        <v>84.0</v>
      </c>
      <c r="N1771" s="85">
        <v>1.0</v>
      </c>
      <c r="O1771" s="110">
        <f t="shared" si="1338"/>
        <v>25</v>
      </c>
      <c r="P1771" s="94">
        <v>0.0</v>
      </c>
      <c r="Q1771" s="94">
        <v>0.0</v>
      </c>
      <c r="R1771" s="85">
        <v>3.0</v>
      </c>
      <c r="S1771" s="94">
        <v>0.0</v>
      </c>
      <c r="T1771" s="85">
        <v>11.0</v>
      </c>
      <c r="U1771" s="94">
        <v>0.0</v>
      </c>
      <c r="V1771" s="94">
        <v>0.0</v>
      </c>
      <c r="W1771" s="94">
        <v>0.0</v>
      </c>
      <c r="X1771" s="94">
        <v>0.0</v>
      </c>
      <c r="Y1771" s="94">
        <v>0.0</v>
      </c>
      <c r="Z1771" s="94">
        <v>0.0</v>
      </c>
      <c r="AA1771" s="94">
        <v>0.0</v>
      </c>
      <c r="AB1771" s="94">
        <v>0.0</v>
      </c>
      <c r="AC1771" s="94">
        <v>0.0</v>
      </c>
      <c r="AD1771" s="94">
        <v>0.0</v>
      </c>
      <c r="AE1771" s="94">
        <v>0.0</v>
      </c>
      <c r="AF1771" s="94">
        <v>0.0</v>
      </c>
      <c r="AG1771" s="94">
        <v>0.0</v>
      </c>
      <c r="AH1771" s="94">
        <v>0.0</v>
      </c>
    </row>
    <row r="1772" hidden="1">
      <c r="A1772" s="83" t="s">
        <v>20</v>
      </c>
      <c r="B1772" s="84" t="s">
        <v>235</v>
      </c>
      <c r="C1772" s="85">
        <v>1.0</v>
      </c>
      <c r="D1772" s="85">
        <v>1.0</v>
      </c>
      <c r="E1772" s="86">
        <v>25.0</v>
      </c>
      <c r="F1772" s="85">
        <v>4.0</v>
      </c>
      <c r="G1772" s="85">
        <v>69.0</v>
      </c>
      <c r="H1772" s="94">
        <v>0.0</v>
      </c>
      <c r="I1772" s="85">
        <v>59.0</v>
      </c>
      <c r="J1772" s="95">
        <f t="shared" si="1336"/>
        <v>10</v>
      </c>
      <c r="K1772" s="87">
        <f t="shared" si="1337"/>
        <v>1.169491525</v>
      </c>
      <c r="L1772" s="85">
        <v>22.0</v>
      </c>
      <c r="M1772" s="85">
        <v>97.0</v>
      </c>
      <c r="N1772" s="85">
        <v>1.0</v>
      </c>
      <c r="O1772" s="110">
        <f t="shared" si="1338"/>
        <v>25</v>
      </c>
      <c r="P1772" s="85">
        <v>4.0</v>
      </c>
      <c r="Q1772" s="94">
        <v>0.0</v>
      </c>
      <c r="R1772" s="85">
        <v>1.0</v>
      </c>
      <c r="S1772" s="85">
        <v>2.0</v>
      </c>
      <c r="T1772" s="85">
        <v>15.0</v>
      </c>
      <c r="U1772" s="85">
        <v>2.0</v>
      </c>
      <c r="V1772" s="94">
        <v>0.0</v>
      </c>
      <c r="W1772" s="94">
        <v>0.0</v>
      </c>
      <c r="X1772" s="94">
        <v>0.0</v>
      </c>
      <c r="Y1772" s="94">
        <v>0.0</v>
      </c>
      <c r="Z1772" s="94">
        <v>0.0</v>
      </c>
      <c r="AA1772" s="94">
        <v>0.0</v>
      </c>
      <c r="AB1772" s="94">
        <v>0.0</v>
      </c>
      <c r="AC1772" s="85">
        <v>2.0</v>
      </c>
      <c r="AD1772" s="94">
        <v>0.0</v>
      </c>
      <c r="AE1772" s="94">
        <v>0.0</v>
      </c>
      <c r="AF1772" s="94">
        <v>0.0</v>
      </c>
      <c r="AG1772" s="94">
        <v>0.0</v>
      </c>
      <c r="AH1772" s="94">
        <v>0.0</v>
      </c>
    </row>
    <row r="1773" hidden="1">
      <c r="A1773" s="83" t="s">
        <v>20</v>
      </c>
      <c r="B1773" s="84" t="s">
        <v>236</v>
      </c>
      <c r="C1773" s="94">
        <v>0.0</v>
      </c>
      <c r="D1773" s="94">
        <v>0.0</v>
      </c>
      <c r="E1773" s="96">
        <f t="shared" ref="E1773:E1774" si="1339">SUM(L1773*I1773)/60</f>
        <v>0</v>
      </c>
      <c r="F1773" s="94">
        <v>0.0</v>
      </c>
      <c r="G1773" s="94">
        <v>0.0</v>
      </c>
      <c r="H1773" s="94">
        <v>0.0</v>
      </c>
      <c r="I1773" s="94">
        <v>0.0</v>
      </c>
      <c r="J1773" s="95">
        <f t="shared" si="1336"/>
        <v>0</v>
      </c>
      <c r="K1773" s="87" t="str">
        <f t="shared" si="1337"/>
        <v>#DIV/0!</v>
      </c>
      <c r="L1773" s="94">
        <v>0.0</v>
      </c>
      <c r="M1773" s="94">
        <v>0.0</v>
      </c>
      <c r="N1773" s="85">
        <v>0.0</v>
      </c>
      <c r="O1773" s="110">
        <f t="shared" si="1338"/>
        <v>0</v>
      </c>
      <c r="P1773" s="94">
        <v>0.0</v>
      </c>
      <c r="Q1773" s="94">
        <v>0.0</v>
      </c>
      <c r="R1773" s="94">
        <v>0.0</v>
      </c>
      <c r="S1773" s="94">
        <v>0.0</v>
      </c>
      <c r="T1773" s="94">
        <v>0.0</v>
      </c>
      <c r="U1773" s="94">
        <v>0.0</v>
      </c>
      <c r="V1773" s="94">
        <v>0.0</v>
      </c>
      <c r="W1773" s="94">
        <v>0.0</v>
      </c>
      <c r="X1773" s="94">
        <v>0.0</v>
      </c>
      <c r="Y1773" s="94">
        <v>0.0</v>
      </c>
      <c r="Z1773" s="94">
        <v>0.0</v>
      </c>
      <c r="AA1773" s="94">
        <v>0.0</v>
      </c>
      <c r="AB1773" s="94">
        <v>0.0</v>
      </c>
      <c r="AC1773" s="94">
        <v>0.0</v>
      </c>
      <c r="AD1773" s="94">
        <v>0.0</v>
      </c>
      <c r="AE1773" s="94">
        <v>0.0</v>
      </c>
      <c r="AF1773" s="94">
        <v>0.0</v>
      </c>
      <c r="AG1773" s="94">
        <v>0.0</v>
      </c>
      <c r="AH1773" s="94">
        <v>0.0</v>
      </c>
    </row>
    <row r="1774" hidden="1">
      <c r="A1774" s="83" t="s">
        <v>20</v>
      </c>
      <c r="B1774" s="93"/>
      <c r="C1774" s="94">
        <v>0.0</v>
      </c>
      <c r="D1774" s="94">
        <v>0.0</v>
      </c>
      <c r="E1774" s="96">
        <f t="shared" si="1339"/>
        <v>0</v>
      </c>
      <c r="F1774" s="94">
        <v>0.0</v>
      </c>
      <c r="G1774" s="94">
        <v>0.0</v>
      </c>
      <c r="H1774" s="94">
        <v>0.0</v>
      </c>
      <c r="I1774" s="94">
        <v>0.0</v>
      </c>
      <c r="J1774" s="95">
        <f t="shared" si="1336"/>
        <v>0</v>
      </c>
      <c r="K1774" s="87" t="str">
        <f t="shared" si="1337"/>
        <v>#DIV/0!</v>
      </c>
      <c r="L1774" s="94">
        <v>0.0</v>
      </c>
      <c r="M1774" s="94">
        <v>0.0</v>
      </c>
      <c r="N1774" s="85">
        <v>0.0</v>
      </c>
      <c r="O1774" s="110">
        <f t="shared" si="1338"/>
        <v>0</v>
      </c>
      <c r="P1774" s="94">
        <v>0.0</v>
      </c>
      <c r="Q1774" s="94">
        <v>0.0</v>
      </c>
      <c r="R1774" s="94">
        <v>0.0</v>
      </c>
      <c r="S1774" s="94">
        <v>0.0</v>
      </c>
      <c r="T1774" s="94">
        <v>0.0</v>
      </c>
      <c r="U1774" s="94">
        <v>0.0</v>
      </c>
      <c r="V1774" s="94">
        <v>0.0</v>
      </c>
      <c r="W1774" s="94">
        <v>0.0</v>
      </c>
      <c r="X1774" s="94">
        <v>0.0</v>
      </c>
      <c r="Y1774" s="94">
        <v>0.0</v>
      </c>
      <c r="Z1774" s="94">
        <v>0.0</v>
      </c>
      <c r="AA1774" s="94">
        <v>0.0</v>
      </c>
      <c r="AB1774" s="94">
        <v>0.0</v>
      </c>
      <c r="AC1774" s="94">
        <v>0.0</v>
      </c>
      <c r="AD1774" s="94">
        <v>0.0</v>
      </c>
      <c r="AE1774" s="94">
        <v>0.0</v>
      </c>
      <c r="AF1774" s="94">
        <v>0.0</v>
      </c>
      <c r="AG1774" s="94">
        <v>0.0</v>
      </c>
      <c r="AH1774" s="94">
        <v>0.0</v>
      </c>
    </row>
    <row r="1775" hidden="1">
      <c r="A1775" s="89"/>
      <c r="B1775" s="111"/>
      <c r="C1775" s="111">
        <f t="shared" ref="C1775:D1775" si="1340">SUM(C1769:C1774)/4</f>
        <v>1</v>
      </c>
      <c r="D1775" s="111">
        <f t="shared" si="1340"/>
        <v>1</v>
      </c>
      <c r="E1775" s="91">
        <f t="shared" ref="E1775:G1775" si="1341">SUM(E1769:E1774)</f>
        <v>100</v>
      </c>
      <c r="F1775" s="111">
        <f t="shared" si="1341"/>
        <v>5</v>
      </c>
      <c r="G1775" s="111">
        <f t="shared" si="1341"/>
        <v>360</v>
      </c>
      <c r="H1775" s="111"/>
      <c r="I1775" s="111">
        <f>SUM(I1769:I1774)</f>
        <v>321</v>
      </c>
      <c r="J1775" s="111">
        <f t="shared" si="1336"/>
        <v>39</v>
      </c>
      <c r="K1775" s="92">
        <f t="shared" si="1337"/>
        <v>1.121495327</v>
      </c>
      <c r="L1775" s="111">
        <f t="shared" ref="L1775:M1775" si="1342">SUM(L1769:L1774)</f>
        <v>63</v>
      </c>
      <c r="M1775" s="111">
        <f t="shared" si="1342"/>
        <v>473</v>
      </c>
      <c r="N1775" s="111"/>
      <c r="O1775" s="112"/>
      <c r="P1775" s="111">
        <f t="shared" ref="P1775:AH1775" si="1343">SUM(P1769:P1774)</f>
        <v>5</v>
      </c>
      <c r="Q1775" s="111">
        <f t="shared" si="1343"/>
        <v>4</v>
      </c>
      <c r="R1775" s="111">
        <f t="shared" si="1343"/>
        <v>31</v>
      </c>
      <c r="S1775" s="111">
        <f t="shared" si="1343"/>
        <v>4</v>
      </c>
      <c r="T1775" s="111">
        <f t="shared" si="1343"/>
        <v>59</v>
      </c>
      <c r="U1775" s="111">
        <f t="shared" si="1343"/>
        <v>13</v>
      </c>
      <c r="V1775" s="111">
        <f t="shared" si="1343"/>
        <v>7</v>
      </c>
      <c r="W1775" s="111">
        <f t="shared" si="1343"/>
        <v>5</v>
      </c>
      <c r="X1775" s="111">
        <f t="shared" si="1343"/>
        <v>0</v>
      </c>
      <c r="Y1775" s="111">
        <f t="shared" si="1343"/>
        <v>0</v>
      </c>
      <c r="Z1775" s="111">
        <f t="shared" si="1343"/>
        <v>0</v>
      </c>
      <c r="AA1775" s="111">
        <f t="shared" si="1343"/>
        <v>0</v>
      </c>
      <c r="AB1775" s="111">
        <f t="shared" si="1343"/>
        <v>0</v>
      </c>
      <c r="AC1775" s="111">
        <f t="shared" si="1343"/>
        <v>11</v>
      </c>
      <c r="AD1775" s="111">
        <f t="shared" si="1343"/>
        <v>0</v>
      </c>
      <c r="AE1775" s="111">
        <f t="shared" si="1343"/>
        <v>0</v>
      </c>
      <c r="AF1775" s="111">
        <f t="shared" si="1343"/>
        <v>0</v>
      </c>
      <c r="AG1775" s="111">
        <f t="shared" si="1343"/>
        <v>0</v>
      </c>
      <c r="AH1775" s="111">
        <f t="shared" si="1343"/>
        <v>0</v>
      </c>
    </row>
    <row r="1776" hidden="1">
      <c r="A1776" s="83" t="s">
        <v>47</v>
      </c>
      <c r="B1776" s="84" t="s">
        <v>237</v>
      </c>
      <c r="C1776" s="85">
        <v>1.0</v>
      </c>
      <c r="D1776" s="94">
        <v>0.0</v>
      </c>
      <c r="E1776" s="86">
        <v>25.0</v>
      </c>
      <c r="F1776" s="85">
        <v>1.0</v>
      </c>
      <c r="G1776" s="85">
        <v>106.0</v>
      </c>
      <c r="H1776" s="94">
        <v>0.0</v>
      </c>
      <c r="I1776" s="85">
        <v>104.0</v>
      </c>
      <c r="J1776" s="95">
        <f t="shared" si="1336"/>
        <v>2</v>
      </c>
      <c r="K1776" s="87">
        <f t="shared" si="1337"/>
        <v>1.019230769</v>
      </c>
      <c r="L1776" s="85">
        <v>11.0</v>
      </c>
      <c r="M1776" s="85">
        <v>135.0</v>
      </c>
      <c r="N1776" s="85">
        <v>1.0</v>
      </c>
      <c r="O1776" s="110">
        <f t="shared" ref="O1776:O1781" si="1344">(E1776*N1776)</f>
        <v>25</v>
      </c>
      <c r="P1776" s="85">
        <v>6.0</v>
      </c>
      <c r="Q1776" s="85">
        <v>2.0</v>
      </c>
      <c r="R1776" s="85">
        <v>4.0</v>
      </c>
      <c r="S1776" s="85">
        <v>3.0</v>
      </c>
      <c r="T1776" s="85">
        <v>15.0</v>
      </c>
      <c r="U1776" s="85">
        <v>4.0</v>
      </c>
      <c r="V1776" s="85">
        <v>1.0</v>
      </c>
      <c r="W1776" s="94">
        <v>0.0</v>
      </c>
      <c r="X1776" s="94">
        <v>0.0</v>
      </c>
      <c r="Y1776" s="94">
        <v>0.0</v>
      </c>
      <c r="Z1776" s="94">
        <v>0.0</v>
      </c>
      <c r="AA1776" s="94">
        <v>0.0</v>
      </c>
      <c r="AB1776" s="94">
        <v>0.0</v>
      </c>
      <c r="AC1776" s="85">
        <v>3.0</v>
      </c>
      <c r="AD1776" s="94">
        <v>0.0</v>
      </c>
      <c r="AE1776" s="94">
        <v>0.0</v>
      </c>
      <c r="AF1776" s="94">
        <v>0.0</v>
      </c>
      <c r="AG1776" s="94">
        <v>0.0</v>
      </c>
      <c r="AH1776" s="94">
        <v>0.0</v>
      </c>
    </row>
    <row r="1777" hidden="1">
      <c r="A1777" s="83" t="s">
        <v>47</v>
      </c>
      <c r="B1777" s="84" t="s">
        <v>238</v>
      </c>
      <c r="C1777" s="85">
        <v>1.0</v>
      </c>
      <c r="D1777" s="94">
        <v>0.0</v>
      </c>
      <c r="E1777" s="86">
        <v>25.0</v>
      </c>
      <c r="F1777" s="85">
        <v>3.0</v>
      </c>
      <c r="G1777" s="85">
        <v>59.0</v>
      </c>
      <c r="H1777" s="94">
        <v>0.0</v>
      </c>
      <c r="I1777" s="85">
        <v>72.0</v>
      </c>
      <c r="J1777" s="95">
        <f t="shared" si="1336"/>
        <v>-13</v>
      </c>
      <c r="K1777" s="87">
        <f t="shared" si="1337"/>
        <v>0.8194444444</v>
      </c>
      <c r="L1777" s="85">
        <v>17.0</v>
      </c>
      <c r="M1777" s="85">
        <v>73.0</v>
      </c>
      <c r="N1777" s="85">
        <v>1.0</v>
      </c>
      <c r="O1777" s="110">
        <f t="shared" si="1344"/>
        <v>25</v>
      </c>
      <c r="P1777" s="85">
        <v>2.0</v>
      </c>
      <c r="Q1777" s="94">
        <v>0.0</v>
      </c>
      <c r="R1777" s="94">
        <v>0.0</v>
      </c>
      <c r="S1777" s="85">
        <v>5.0</v>
      </c>
      <c r="T1777" s="85">
        <v>4.0</v>
      </c>
      <c r="U1777" s="94">
        <v>0.0</v>
      </c>
      <c r="V1777" s="94">
        <v>0.0</v>
      </c>
      <c r="W1777" s="94">
        <v>0.0</v>
      </c>
      <c r="X1777" s="94">
        <v>0.0</v>
      </c>
      <c r="Y1777" s="94">
        <v>0.0</v>
      </c>
      <c r="Z1777" s="94">
        <v>0.0</v>
      </c>
      <c r="AA1777" s="94">
        <v>0.0</v>
      </c>
      <c r="AB1777" s="94">
        <v>0.0</v>
      </c>
      <c r="AC1777" s="94">
        <v>0.0</v>
      </c>
      <c r="AD1777" s="94">
        <v>0.0</v>
      </c>
      <c r="AE1777" s="94">
        <v>0.0</v>
      </c>
      <c r="AF1777" s="94">
        <v>0.0</v>
      </c>
      <c r="AG1777" s="94">
        <v>0.0</v>
      </c>
      <c r="AH1777" s="94">
        <v>0.0</v>
      </c>
    </row>
    <row r="1778" hidden="1">
      <c r="A1778" s="83" t="s">
        <v>47</v>
      </c>
      <c r="B1778" s="84" t="s">
        <v>239</v>
      </c>
      <c r="C1778" s="94">
        <v>0.0</v>
      </c>
      <c r="D1778" s="94">
        <v>0.0</v>
      </c>
      <c r="E1778" s="96">
        <f>SUM(L1778*I1778)/60</f>
        <v>0</v>
      </c>
      <c r="F1778" s="94">
        <v>0.0</v>
      </c>
      <c r="G1778" s="94">
        <v>0.0</v>
      </c>
      <c r="H1778" s="94">
        <v>0.0</v>
      </c>
      <c r="I1778" s="94">
        <v>0.0</v>
      </c>
      <c r="J1778" s="95">
        <f t="shared" si="1336"/>
        <v>0</v>
      </c>
      <c r="K1778" s="87" t="str">
        <f t="shared" si="1337"/>
        <v>#DIV/0!</v>
      </c>
      <c r="L1778" s="94">
        <v>0.0</v>
      </c>
      <c r="M1778" s="94">
        <v>0.0</v>
      </c>
      <c r="N1778" s="85">
        <v>0.0</v>
      </c>
      <c r="O1778" s="110">
        <f t="shared" si="1344"/>
        <v>0</v>
      </c>
      <c r="P1778" s="94">
        <v>0.0</v>
      </c>
      <c r="Q1778" s="94">
        <v>0.0</v>
      </c>
      <c r="R1778" s="94">
        <v>0.0</v>
      </c>
      <c r="S1778" s="94">
        <v>0.0</v>
      </c>
      <c r="T1778" s="94">
        <v>0.0</v>
      </c>
      <c r="U1778" s="94">
        <v>0.0</v>
      </c>
      <c r="V1778" s="94">
        <v>0.0</v>
      </c>
      <c r="W1778" s="94">
        <v>0.0</v>
      </c>
      <c r="X1778" s="94">
        <v>0.0</v>
      </c>
      <c r="Y1778" s="94">
        <v>0.0</v>
      </c>
      <c r="Z1778" s="94">
        <v>0.0</v>
      </c>
      <c r="AA1778" s="94">
        <v>0.0</v>
      </c>
      <c r="AB1778" s="94">
        <v>0.0</v>
      </c>
      <c r="AC1778" s="94">
        <v>0.0</v>
      </c>
      <c r="AD1778" s="94">
        <v>0.0</v>
      </c>
      <c r="AE1778" s="94">
        <v>0.0</v>
      </c>
      <c r="AF1778" s="94">
        <v>0.0</v>
      </c>
      <c r="AG1778" s="94">
        <v>0.0</v>
      </c>
      <c r="AH1778" s="94">
        <v>0.0</v>
      </c>
    </row>
    <row r="1779" hidden="1">
      <c r="A1779" s="83" t="s">
        <v>47</v>
      </c>
      <c r="B1779" s="84" t="s">
        <v>240</v>
      </c>
      <c r="C1779" s="85">
        <v>1.0</v>
      </c>
      <c r="D1779" s="94">
        <v>0.0</v>
      </c>
      <c r="E1779" s="86">
        <v>25.0</v>
      </c>
      <c r="F1779" s="94">
        <v>0.0</v>
      </c>
      <c r="G1779" s="85">
        <v>67.0</v>
      </c>
      <c r="H1779" s="94">
        <v>0.0</v>
      </c>
      <c r="I1779" s="85">
        <v>95.0</v>
      </c>
      <c r="J1779" s="95">
        <f t="shared" si="1336"/>
        <v>-28</v>
      </c>
      <c r="K1779" s="87">
        <f t="shared" si="1337"/>
        <v>0.7052631579</v>
      </c>
      <c r="L1779" s="85">
        <v>12.0</v>
      </c>
      <c r="M1779" s="85">
        <v>73.0</v>
      </c>
      <c r="N1779" s="85">
        <v>1.0</v>
      </c>
      <c r="O1779" s="110">
        <f t="shared" si="1344"/>
        <v>25</v>
      </c>
      <c r="P1779" s="85">
        <v>1.0</v>
      </c>
      <c r="Q1779" s="85">
        <v>1.0</v>
      </c>
      <c r="R1779" s="85">
        <v>3.0</v>
      </c>
      <c r="S1779" s="94">
        <v>0.0</v>
      </c>
      <c r="T1779" s="85">
        <v>7.0</v>
      </c>
      <c r="U1779" s="85">
        <v>2.0</v>
      </c>
      <c r="V1779" s="94">
        <v>0.0</v>
      </c>
      <c r="W1779" s="94">
        <v>0.0</v>
      </c>
      <c r="X1779" s="94">
        <v>0.0</v>
      </c>
      <c r="Y1779" s="94">
        <v>0.0</v>
      </c>
      <c r="Z1779" s="94">
        <v>0.0</v>
      </c>
      <c r="AA1779" s="94">
        <v>0.0</v>
      </c>
      <c r="AB1779" s="94">
        <v>0.0</v>
      </c>
      <c r="AC1779" s="94">
        <v>0.0</v>
      </c>
      <c r="AD1779" s="94">
        <v>0.0</v>
      </c>
      <c r="AE1779" s="94">
        <v>0.0</v>
      </c>
      <c r="AF1779" s="94">
        <v>0.0</v>
      </c>
      <c r="AG1779" s="94">
        <v>0.0</v>
      </c>
      <c r="AH1779" s="94">
        <v>0.0</v>
      </c>
    </row>
    <row r="1780" hidden="1">
      <c r="A1780" s="83" t="s">
        <v>47</v>
      </c>
      <c r="B1780" s="84" t="s">
        <v>241</v>
      </c>
      <c r="C1780" s="94">
        <v>0.0</v>
      </c>
      <c r="D1780" s="94">
        <v>0.0</v>
      </c>
      <c r="E1780" s="96">
        <f>SUM(L1780*I1780)/60</f>
        <v>0</v>
      </c>
      <c r="F1780" s="94">
        <v>0.0</v>
      </c>
      <c r="G1780" s="94">
        <v>0.0</v>
      </c>
      <c r="H1780" s="94">
        <v>0.0</v>
      </c>
      <c r="I1780" s="94">
        <v>0.0</v>
      </c>
      <c r="J1780" s="95">
        <f t="shared" si="1336"/>
        <v>0</v>
      </c>
      <c r="K1780" s="87" t="str">
        <f t="shared" si="1337"/>
        <v>#DIV/0!</v>
      </c>
      <c r="L1780" s="94">
        <v>0.0</v>
      </c>
      <c r="M1780" s="94">
        <v>0.0</v>
      </c>
      <c r="N1780" s="85">
        <v>0.0</v>
      </c>
      <c r="O1780" s="110">
        <f t="shared" si="1344"/>
        <v>0</v>
      </c>
      <c r="P1780" s="94">
        <v>0.0</v>
      </c>
      <c r="Q1780" s="94">
        <v>0.0</v>
      </c>
      <c r="R1780" s="94">
        <v>0.0</v>
      </c>
      <c r="S1780" s="94">
        <v>0.0</v>
      </c>
      <c r="T1780" s="94">
        <v>0.0</v>
      </c>
      <c r="U1780" s="94">
        <v>0.0</v>
      </c>
      <c r="V1780" s="94">
        <v>0.0</v>
      </c>
      <c r="W1780" s="94">
        <v>0.0</v>
      </c>
      <c r="X1780" s="94">
        <v>0.0</v>
      </c>
      <c r="Y1780" s="94">
        <v>0.0</v>
      </c>
      <c r="Z1780" s="94">
        <v>0.0</v>
      </c>
      <c r="AA1780" s="94">
        <v>0.0</v>
      </c>
      <c r="AB1780" s="94">
        <v>0.0</v>
      </c>
      <c r="AC1780" s="94">
        <v>0.0</v>
      </c>
      <c r="AD1780" s="94">
        <v>0.0</v>
      </c>
      <c r="AE1780" s="94">
        <v>0.0</v>
      </c>
      <c r="AF1780" s="94">
        <v>0.0</v>
      </c>
      <c r="AG1780" s="94">
        <v>0.0</v>
      </c>
      <c r="AH1780" s="94">
        <v>0.0</v>
      </c>
    </row>
    <row r="1781" hidden="1">
      <c r="A1781" s="83" t="s">
        <v>214</v>
      </c>
      <c r="B1781" s="84" t="s">
        <v>212</v>
      </c>
      <c r="C1781" s="85">
        <v>1.0</v>
      </c>
      <c r="D1781" s="94">
        <v>0.0</v>
      </c>
      <c r="E1781" s="86">
        <v>25.0</v>
      </c>
      <c r="F1781" s="94">
        <v>0.0</v>
      </c>
      <c r="G1781" s="85">
        <v>80.0</v>
      </c>
      <c r="H1781" s="94">
        <v>0.0</v>
      </c>
      <c r="I1781" s="85">
        <v>96.0</v>
      </c>
      <c r="J1781" s="95">
        <f t="shared" si="1336"/>
        <v>-16</v>
      </c>
      <c r="K1781" s="87">
        <f t="shared" si="1337"/>
        <v>0.8333333333</v>
      </c>
      <c r="L1781" s="85">
        <v>12.0</v>
      </c>
      <c r="M1781" s="85">
        <v>94.0</v>
      </c>
      <c r="N1781" s="85">
        <v>1.0</v>
      </c>
      <c r="O1781" s="110">
        <f t="shared" si="1344"/>
        <v>25</v>
      </c>
      <c r="P1781" s="94">
        <v>0.0</v>
      </c>
      <c r="Q1781" s="85">
        <v>1.0</v>
      </c>
      <c r="R1781" s="85">
        <v>3.0</v>
      </c>
      <c r="S1781" s="85">
        <v>3.0</v>
      </c>
      <c r="T1781" s="85">
        <v>8.0</v>
      </c>
      <c r="U1781" s="85">
        <v>1.0</v>
      </c>
      <c r="V1781" s="94">
        <v>0.0</v>
      </c>
      <c r="W1781" s="94">
        <v>0.0</v>
      </c>
      <c r="X1781" s="94">
        <v>0.0</v>
      </c>
      <c r="Y1781" s="94">
        <v>0.0</v>
      </c>
      <c r="Z1781" s="94">
        <v>0.0</v>
      </c>
      <c r="AA1781" s="94">
        <v>0.0</v>
      </c>
      <c r="AB1781" s="94">
        <v>0.0</v>
      </c>
      <c r="AC1781" s="85">
        <v>1.0</v>
      </c>
      <c r="AD1781" s="94">
        <v>0.0</v>
      </c>
      <c r="AE1781" s="94">
        <v>0.0</v>
      </c>
      <c r="AF1781" s="94">
        <v>0.0</v>
      </c>
      <c r="AG1781" s="94">
        <v>0.0</v>
      </c>
      <c r="AH1781" s="94">
        <v>0.0</v>
      </c>
    </row>
    <row r="1782" hidden="1">
      <c r="A1782" s="89" t="s">
        <v>185</v>
      </c>
      <c r="B1782" s="111"/>
      <c r="C1782" s="111">
        <f>SUM(C1776:C1781)</f>
        <v>4</v>
      </c>
      <c r="D1782" s="111">
        <f t="shared" ref="D1782:E1782" si="1345">SUM(D1776:D1781)/4</f>
        <v>0</v>
      </c>
      <c r="E1782" s="91">
        <f t="shared" si="1345"/>
        <v>25</v>
      </c>
      <c r="F1782" s="111">
        <f t="shared" ref="F1782:G1782" si="1346">SUM(F1776:F1781)</f>
        <v>4</v>
      </c>
      <c r="G1782" s="111">
        <f t="shared" si="1346"/>
        <v>312</v>
      </c>
      <c r="H1782" s="111"/>
      <c r="I1782" s="111">
        <f>SUM(I1776:I1781)</f>
        <v>367</v>
      </c>
      <c r="J1782" s="111">
        <f t="shared" si="1336"/>
        <v>-55</v>
      </c>
      <c r="K1782" s="92">
        <f t="shared" si="1337"/>
        <v>0.8501362398</v>
      </c>
      <c r="L1782" s="111">
        <f t="shared" ref="L1782:M1782" si="1347">SUM(L1776:L1781)</f>
        <v>52</v>
      </c>
      <c r="M1782" s="111">
        <f t="shared" si="1347"/>
        <v>375</v>
      </c>
      <c r="N1782" s="111"/>
      <c r="O1782" s="112"/>
      <c r="P1782" s="111">
        <f t="shared" ref="P1782:AH1782" si="1348">SUM(P1776:P1781)</f>
        <v>9</v>
      </c>
      <c r="Q1782" s="111">
        <f t="shared" si="1348"/>
        <v>4</v>
      </c>
      <c r="R1782" s="111">
        <f t="shared" si="1348"/>
        <v>10</v>
      </c>
      <c r="S1782" s="111">
        <f t="shared" si="1348"/>
        <v>11</v>
      </c>
      <c r="T1782" s="111">
        <f t="shared" si="1348"/>
        <v>34</v>
      </c>
      <c r="U1782" s="111">
        <f t="shared" si="1348"/>
        <v>7</v>
      </c>
      <c r="V1782" s="111">
        <f t="shared" si="1348"/>
        <v>1</v>
      </c>
      <c r="W1782" s="111">
        <f t="shared" si="1348"/>
        <v>0</v>
      </c>
      <c r="X1782" s="111">
        <f t="shared" si="1348"/>
        <v>0</v>
      </c>
      <c r="Y1782" s="111">
        <f t="shared" si="1348"/>
        <v>0</v>
      </c>
      <c r="Z1782" s="111">
        <f t="shared" si="1348"/>
        <v>0</v>
      </c>
      <c r="AA1782" s="111">
        <f t="shared" si="1348"/>
        <v>0</v>
      </c>
      <c r="AB1782" s="111">
        <f t="shared" si="1348"/>
        <v>0</v>
      </c>
      <c r="AC1782" s="111">
        <f t="shared" si="1348"/>
        <v>4</v>
      </c>
      <c r="AD1782" s="111">
        <f t="shared" si="1348"/>
        <v>0</v>
      </c>
      <c r="AE1782" s="111">
        <f t="shared" si="1348"/>
        <v>0</v>
      </c>
      <c r="AF1782" s="111">
        <f t="shared" si="1348"/>
        <v>0</v>
      </c>
      <c r="AG1782" s="111">
        <f t="shared" si="1348"/>
        <v>0</v>
      </c>
      <c r="AH1782" s="111">
        <f t="shared" si="1348"/>
        <v>0</v>
      </c>
    </row>
    <row r="1783">
      <c r="A1783" s="104" t="s">
        <v>353</v>
      </c>
    </row>
    <row r="1785" hidden="1">
      <c r="A1785" s="105"/>
      <c r="F1785" s="106" t="s">
        <v>251</v>
      </c>
      <c r="L1785" s="107" t="s">
        <v>252</v>
      </c>
      <c r="N1785" s="108" t="s">
        <v>253</v>
      </c>
    </row>
    <row r="1786" hidden="1">
      <c r="A1786" s="76" t="s">
        <v>148</v>
      </c>
      <c r="B1786" s="76" t="s">
        <v>149</v>
      </c>
      <c r="C1786" s="76" t="s">
        <v>150</v>
      </c>
      <c r="D1786" s="76" t="s">
        <v>13</v>
      </c>
      <c r="E1786" s="77" t="s">
        <v>151</v>
      </c>
      <c r="F1786" s="78" t="s">
        <v>15</v>
      </c>
      <c r="G1786" s="78" t="s">
        <v>152</v>
      </c>
      <c r="H1786" s="78" t="s">
        <v>153</v>
      </c>
      <c r="I1786" s="78" t="s">
        <v>154</v>
      </c>
      <c r="J1786" s="78" t="s">
        <v>155</v>
      </c>
      <c r="K1786" s="79" t="s">
        <v>156</v>
      </c>
      <c r="L1786" s="80" t="s">
        <v>157</v>
      </c>
      <c r="M1786" s="80" t="s">
        <v>158</v>
      </c>
      <c r="N1786" s="81" t="s">
        <v>254</v>
      </c>
      <c r="O1786" s="81" t="s">
        <v>151</v>
      </c>
      <c r="P1786" s="81" t="s">
        <v>160</v>
      </c>
      <c r="Q1786" s="81" t="s">
        <v>161</v>
      </c>
      <c r="R1786" s="81" t="s">
        <v>162</v>
      </c>
      <c r="S1786" s="81" t="s">
        <v>163</v>
      </c>
      <c r="T1786" s="81" t="s">
        <v>164</v>
      </c>
      <c r="U1786" s="81" t="s">
        <v>165</v>
      </c>
      <c r="V1786" s="81" t="s">
        <v>166</v>
      </c>
      <c r="W1786" s="81" t="s">
        <v>167</v>
      </c>
      <c r="X1786" s="81" t="s">
        <v>168</v>
      </c>
      <c r="Y1786" s="81" t="s">
        <v>169</v>
      </c>
      <c r="Z1786" s="81" t="s">
        <v>170</v>
      </c>
      <c r="AA1786" s="81" t="s">
        <v>171</v>
      </c>
      <c r="AB1786" s="81" t="s">
        <v>172</v>
      </c>
      <c r="AC1786" s="81" t="s">
        <v>173</v>
      </c>
      <c r="AD1786" s="81" t="s">
        <v>174</v>
      </c>
      <c r="AE1786" s="81" t="s">
        <v>175</v>
      </c>
      <c r="AF1786" s="81" t="s">
        <v>176</v>
      </c>
      <c r="AG1786" s="81" t="s">
        <v>177</v>
      </c>
      <c r="AH1786" s="81" t="s">
        <v>178</v>
      </c>
    </row>
    <row r="1787" hidden="1">
      <c r="A1787" s="83" t="s">
        <v>53</v>
      </c>
      <c r="B1787" s="84" t="s">
        <v>192</v>
      </c>
      <c r="C1787" s="85">
        <v>1.0</v>
      </c>
      <c r="D1787" s="85">
        <v>1.0</v>
      </c>
      <c r="E1787" s="86">
        <v>47.0</v>
      </c>
      <c r="F1787" s="85">
        <v>2.0</v>
      </c>
      <c r="G1787" s="85">
        <v>102.0</v>
      </c>
      <c r="H1787" s="85">
        <v>2.0</v>
      </c>
      <c r="I1787" s="85">
        <v>106.0</v>
      </c>
      <c r="J1787" s="95">
        <f t="shared" ref="J1787:J1800" si="1349">SUM(G1787-I1787)</f>
        <v>-4</v>
      </c>
      <c r="K1787" s="87">
        <f t="shared" ref="K1787:K1800" si="1350">SUM(G1787/I1787)</f>
        <v>0.9622641509</v>
      </c>
      <c r="L1787" s="85">
        <v>23.0</v>
      </c>
      <c r="M1787" s="85">
        <v>141.0</v>
      </c>
      <c r="N1787" s="85">
        <v>1.0</v>
      </c>
      <c r="O1787" s="110">
        <f t="shared" ref="O1787:O1792" si="1351">(E1787*N1787)</f>
        <v>47</v>
      </c>
      <c r="P1787" s="85">
        <v>9.0</v>
      </c>
      <c r="Q1787" s="85">
        <v>8.0</v>
      </c>
      <c r="R1787" s="85">
        <v>11.0</v>
      </c>
      <c r="S1787" s="85">
        <v>2.0</v>
      </c>
      <c r="T1787" s="85">
        <v>14.0</v>
      </c>
      <c r="U1787" s="85">
        <v>1.0</v>
      </c>
      <c r="V1787" s="94">
        <v>0.0</v>
      </c>
      <c r="W1787" s="94">
        <v>0.0</v>
      </c>
      <c r="X1787" s="94">
        <v>0.0</v>
      </c>
      <c r="Y1787" s="94">
        <v>0.0</v>
      </c>
      <c r="Z1787" s="94">
        <v>0.0</v>
      </c>
      <c r="AA1787" s="94">
        <v>0.0</v>
      </c>
      <c r="AB1787" s="94">
        <v>0.0</v>
      </c>
      <c r="AC1787" s="85">
        <v>1.0</v>
      </c>
      <c r="AD1787" s="94">
        <v>0.0</v>
      </c>
      <c r="AE1787" s="94">
        <v>0.0</v>
      </c>
      <c r="AF1787" s="94">
        <v>0.0</v>
      </c>
      <c r="AG1787" s="94">
        <v>0.0</v>
      </c>
      <c r="AH1787" s="94">
        <v>0.0</v>
      </c>
    </row>
    <row r="1788" hidden="1">
      <c r="A1788" s="83" t="s">
        <v>53</v>
      </c>
      <c r="B1788" s="84" t="s">
        <v>193</v>
      </c>
      <c r="C1788" s="85">
        <v>1.0</v>
      </c>
      <c r="D1788" s="85">
        <v>1.0</v>
      </c>
      <c r="E1788" s="86">
        <v>47.0</v>
      </c>
      <c r="F1788" s="94">
        <v>0.0</v>
      </c>
      <c r="G1788" s="85">
        <v>230.0</v>
      </c>
      <c r="H1788" s="85">
        <v>2.0</v>
      </c>
      <c r="I1788" s="85">
        <v>162.0</v>
      </c>
      <c r="J1788" s="95">
        <f t="shared" si="1349"/>
        <v>68</v>
      </c>
      <c r="K1788" s="87">
        <f t="shared" si="1350"/>
        <v>1.419753086</v>
      </c>
      <c r="L1788" s="85">
        <v>14.0</v>
      </c>
      <c r="M1788" s="85">
        <v>315.0</v>
      </c>
      <c r="N1788" s="85">
        <v>1.0</v>
      </c>
      <c r="O1788" s="110">
        <f t="shared" si="1351"/>
        <v>47</v>
      </c>
      <c r="P1788" s="85">
        <v>6.0</v>
      </c>
      <c r="Q1788" s="85">
        <v>4.0</v>
      </c>
      <c r="R1788" s="85">
        <v>20.0</v>
      </c>
      <c r="S1788" s="85">
        <v>1.0</v>
      </c>
      <c r="T1788" s="85">
        <v>42.0</v>
      </c>
      <c r="U1788" s="85">
        <v>16.0</v>
      </c>
      <c r="V1788" s="85">
        <v>3.0</v>
      </c>
      <c r="W1788" s="94">
        <v>0.0</v>
      </c>
      <c r="X1788" s="94">
        <v>0.0</v>
      </c>
      <c r="Y1788" s="94">
        <v>0.0</v>
      </c>
      <c r="Z1788" s="94">
        <v>0.0</v>
      </c>
      <c r="AA1788" s="94">
        <v>0.0</v>
      </c>
      <c r="AB1788" s="94">
        <v>0.0</v>
      </c>
      <c r="AC1788" s="85">
        <v>8.0</v>
      </c>
      <c r="AD1788" s="94">
        <v>0.0</v>
      </c>
      <c r="AE1788" s="94">
        <v>0.0</v>
      </c>
      <c r="AF1788" s="94">
        <v>0.0</v>
      </c>
      <c r="AG1788" s="94">
        <v>0.0</v>
      </c>
      <c r="AH1788" s="94">
        <v>0.0</v>
      </c>
    </row>
    <row r="1789" hidden="1">
      <c r="A1789" s="83" t="s">
        <v>53</v>
      </c>
      <c r="B1789" s="84" t="s">
        <v>194</v>
      </c>
      <c r="C1789" s="85">
        <v>1.0</v>
      </c>
      <c r="D1789" s="85">
        <v>1.0</v>
      </c>
      <c r="E1789" s="86">
        <v>47.0</v>
      </c>
      <c r="F1789" s="94">
        <v>0.0</v>
      </c>
      <c r="G1789" s="85">
        <v>209.0</v>
      </c>
      <c r="H1789" s="94">
        <v>0.0</v>
      </c>
      <c r="I1789" s="85">
        <v>150.0</v>
      </c>
      <c r="J1789" s="95">
        <f t="shared" si="1349"/>
        <v>59</v>
      </c>
      <c r="K1789" s="87">
        <f t="shared" si="1350"/>
        <v>1.393333333</v>
      </c>
      <c r="L1789" s="85">
        <v>15.0</v>
      </c>
      <c r="M1789" s="85">
        <v>258.0</v>
      </c>
      <c r="N1789" s="85">
        <v>1.0</v>
      </c>
      <c r="O1789" s="110">
        <f t="shared" si="1351"/>
        <v>47</v>
      </c>
      <c r="P1789" s="85">
        <v>5.0</v>
      </c>
      <c r="Q1789" s="85">
        <v>6.0</v>
      </c>
      <c r="R1789" s="85">
        <v>12.0</v>
      </c>
      <c r="S1789" s="94">
        <v>0.0</v>
      </c>
      <c r="T1789" s="85">
        <v>29.0</v>
      </c>
      <c r="U1789" s="85">
        <v>3.0</v>
      </c>
      <c r="V1789" s="94">
        <v>0.0</v>
      </c>
      <c r="W1789" s="94">
        <v>0.0</v>
      </c>
      <c r="X1789" s="94">
        <v>0.0</v>
      </c>
      <c r="Y1789" s="94">
        <v>0.0</v>
      </c>
      <c r="Z1789" s="94">
        <v>0.0</v>
      </c>
      <c r="AA1789" s="94">
        <v>0.0</v>
      </c>
      <c r="AB1789" s="94">
        <v>0.0</v>
      </c>
      <c r="AC1789" s="85">
        <v>8.0</v>
      </c>
      <c r="AD1789" s="94">
        <v>0.0</v>
      </c>
      <c r="AE1789" s="94">
        <v>0.0</v>
      </c>
      <c r="AF1789" s="94">
        <v>0.0</v>
      </c>
      <c r="AG1789" s="94">
        <v>0.0</v>
      </c>
      <c r="AH1789" s="85">
        <v>1.0</v>
      </c>
    </row>
    <row r="1790" hidden="1">
      <c r="A1790" s="83" t="s">
        <v>53</v>
      </c>
      <c r="B1790" s="84" t="s">
        <v>195</v>
      </c>
      <c r="C1790" s="85">
        <v>1.0</v>
      </c>
      <c r="D1790" s="85">
        <v>1.0</v>
      </c>
      <c r="E1790" s="86">
        <v>47.0</v>
      </c>
      <c r="F1790" s="85">
        <v>3.0</v>
      </c>
      <c r="G1790" s="85">
        <v>125.0</v>
      </c>
      <c r="H1790" s="85">
        <v>1.0</v>
      </c>
      <c r="I1790" s="85">
        <v>130.0</v>
      </c>
      <c r="J1790" s="95">
        <f t="shared" si="1349"/>
        <v>-5</v>
      </c>
      <c r="K1790" s="87">
        <f t="shared" si="1350"/>
        <v>0.9615384615</v>
      </c>
      <c r="L1790" s="85">
        <v>18.0</v>
      </c>
      <c r="M1790" s="85">
        <v>168.0</v>
      </c>
      <c r="N1790" s="85">
        <v>1.0</v>
      </c>
      <c r="O1790" s="110">
        <f t="shared" si="1351"/>
        <v>47</v>
      </c>
      <c r="P1790" s="85">
        <v>3.0</v>
      </c>
      <c r="Q1790" s="85">
        <v>6.0</v>
      </c>
      <c r="R1790" s="85">
        <v>13.0</v>
      </c>
      <c r="S1790" s="85">
        <v>1.0</v>
      </c>
      <c r="T1790" s="85">
        <v>18.0</v>
      </c>
      <c r="U1790" s="85">
        <v>3.0</v>
      </c>
      <c r="V1790" s="94">
        <v>0.0</v>
      </c>
      <c r="W1790" s="94">
        <v>0.0</v>
      </c>
      <c r="X1790" s="94">
        <v>0.0</v>
      </c>
      <c r="Y1790" s="94">
        <v>0.0</v>
      </c>
      <c r="Z1790" s="94">
        <v>0.0</v>
      </c>
      <c r="AA1790" s="94">
        <v>0.0</v>
      </c>
      <c r="AB1790" s="94">
        <v>0.0</v>
      </c>
      <c r="AC1790" s="85">
        <v>3.0</v>
      </c>
      <c r="AD1790" s="94">
        <v>0.0</v>
      </c>
      <c r="AE1790" s="94">
        <v>0.0</v>
      </c>
      <c r="AF1790" s="94">
        <v>0.0</v>
      </c>
      <c r="AG1790" s="94">
        <v>0.0</v>
      </c>
      <c r="AH1790" s="94">
        <v>0.0</v>
      </c>
    </row>
    <row r="1791" hidden="1">
      <c r="A1791" s="83" t="s">
        <v>53</v>
      </c>
      <c r="B1791" s="84" t="s">
        <v>196</v>
      </c>
      <c r="C1791" s="94">
        <v>0.0</v>
      </c>
      <c r="D1791" s="94">
        <v>0.0</v>
      </c>
      <c r="E1791" s="96">
        <f t="shared" ref="E1791:E1792" si="1352">SUM(L1791*I1791)/60</f>
        <v>0</v>
      </c>
      <c r="F1791" s="94">
        <v>0.0</v>
      </c>
      <c r="G1791" s="94">
        <v>0.0</v>
      </c>
      <c r="H1791" s="94">
        <v>0.0</v>
      </c>
      <c r="I1791" s="94">
        <v>0.0</v>
      </c>
      <c r="J1791" s="95">
        <f t="shared" si="1349"/>
        <v>0</v>
      </c>
      <c r="K1791" s="87" t="str">
        <f t="shared" si="1350"/>
        <v>#DIV/0!</v>
      </c>
      <c r="L1791" s="94">
        <v>0.0</v>
      </c>
      <c r="M1791" s="94">
        <v>0.0</v>
      </c>
      <c r="N1791" s="85">
        <v>0.0</v>
      </c>
      <c r="O1791" s="110">
        <f t="shared" si="1351"/>
        <v>0</v>
      </c>
      <c r="P1791" s="94">
        <v>0.0</v>
      </c>
      <c r="Q1791" s="94">
        <v>0.0</v>
      </c>
      <c r="R1791" s="94">
        <v>0.0</v>
      </c>
      <c r="S1791" s="94">
        <v>0.0</v>
      </c>
      <c r="T1791" s="94">
        <v>0.0</v>
      </c>
      <c r="U1791" s="94">
        <v>0.0</v>
      </c>
      <c r="V1791" s="94">
        <v>0.0</v>
      </c>
      <c r="W1791" s="94">
        <v>0.0</v>
      </c>
      <c r="X1791" s="94">
        <v>0.0</v>
      </c>
      <c r="Y1791" s="94">
        <v>0.0</v>
      </c>
      <c r="Z1791" s="94">
        <v>0.0</v>
      </c>
      <c r="AA1791" s="94">
        <v>0.0</v>
      </c>
      <c r="AB1791" s="94">
        <v>0.0</v>
      </c>
      <c r="AC1791" s="94">
        <v>0.0</v>
      </c>
      <c r="AD1791" s="94">
        <v>0.0</v>
      </c>
      <c r="AE1791" s="94">
        <v>0.0</v>
      </c>
      <c r="AF1791" s="94">
        <v>0.0</v>
      </c>
      <c r="AG1791" s="94">
        <v>0.0</v>
      </c>
      <c r="AH1791" s="94">
        <v>0.0</v>
      </c>
    </row>
    <row r="1792" hidden="1">
      <c r="A1792" s="83" t="s">
        <v>53</v>
      </c>
      <c r="B1792" s="84" t="s">
        <v>197</v>
      </c>
      <c r="C1792" s="94">
        <v>0.0</v>
      </c>
      <c r="D1792" s="94">
        <v>0.0</v>
      </c>
      <c r="E1792" s="96">
        <f t="shared" si="1352"/>
        <v>0</v>
      </c>
      <c r="F1792" s="94">
        <v>0.0</v>
      </c>
      <c r="G1792" s="94">
        <v>0.0</v>
      </c>
      <c r="H1792" s="94">
        <v>0.0</v>
      </c>
      <c r="I1792" s="94">
        <v>0.0</v>
      </c>
      <c r="J1792" s="95">
        <f t="shared" si="1349"/>
        <v>0</v>
      </c>
      <c r="K1792" s="87" t="str">
        <f t="shared" si="1350"/>
        <v>#DIV/0!</v>
      </c>
      <c r="L1792" s="94">
        <v>0.0</v>
      </c>
      <c r="M1792" s="94">
        <v>0.0</v>
      </c>
      <c r="N1792" s="85">
        <v>0.0</v>
      </c>
      <c r="O1792" s="110">
        <f t="shared" si="1351"/>
        <v>0</v>
      </c>
      <c r="P1792" s="94">
        <v>0.0</v>
      </c>
      <c r="Q1792" s="94">
        <v>0.0</v>
      </c>
      <c r="R1792" s="94">
        <v>0.0</v>
      </c>
      <c r="S1792" s="94">
        <v>0.0</v>
      </c>
      <c r="T1792" s="94">
        <v>0.0</v>
      </c>
      <c r="U1792" s="94">
        <v>0.0</v>
      </c>
      <c r="V1792" s="94">
        <v>0.0</v>
      </c>
      <c r="W1792" s="94">
        <v>0.0</v>
      </c>
      <c r="X1792" s="94">
        <v>0.0</v>
      </c>
      <c r="Y1792" s="94">
        <v>0.0</v>
      </c>
      <c r="Z1792" s="94">
        <v>0.0</v>
      </c>
      <c r="AA1792" s="94">
        <v>0.0</v>
      </c>
      <c r="AB1792" s="94">
        <v>0.0</v>
      </c>
      <c r="AC1792" s="94">
        <v>0.0</v>
      </c>
      <c r="AD1792" s="94">
        <v>0.0</v>
      </c>
      <c r="AE1792" s="94">
        <v>0.0</v>
      </c>
      <c r="AF1792" s="94">
        <v>0.0</v>
      </c>
      <c r="AG1792" s="94">
        <v>0.0</v>
      </c>
      <c r="AH1792" s="94">
        <v>0.0</v>
      </c>
    </row>
    <row r="1793" hidden="1">
      <c r="A1793" s="89"/>
      <c r="B1793" s="111"/>
      <c r="C1793" s="111">
        <f t="shared" ref="C1793:D1793" si="1353">SUM(C1787:C1792)/4</f>
        <v>1</v>
      </c>
      <c r="D1793" s="111">
        <f t="shared" si="1353"/>
        <v>1</v>
      </c>
      <c r="E1793" s="91">
        <f t="shared" ref="E1793:G1793" si="1354">SUM(E1787:E1792)</f>
        <v>188</v>
      </c>
      <c r="F1793" s="111">
        <f t="shared" si="1354"/>
        <v>5</v>
      </c>
      <c r="G1793" s="111">
        <f t="shared" si="1354"/>
        <v>666</v>
      </c>
      <c r="H1793" s="111"/>
      <c r="I1793" s="111">
        <f>SUM(I1787:I1792)</f>
        <v>548</v>
      </c>
      <c r="J1793" s="111">
        <f t="shared" si="1349"/>
        <v>118</v>
      </c>
      <c r="K1793" s="92">
        <f t="shared" si="1350"/>
        <v>1.215328467</v>
      </c>
      <c r="L1793" s="111">
        <f t="shared" ref="L1793:M1793" si="1355">SUM(L1787:L1792)</f>
        <v>70</v>
      </c>
      <c r="M1793" s="111">
        <f t="shared" si="1355"/>
        <v>882</v>
      </c>
      <c r="N1793" s="111"/>
      <c r="O1793" s="112"/>
      <c r="P1793" s="111">
        <f t="shared" ref="P1793:AH1793" si="1356">SUM(P1787:P1792)</f>
        <v>23</v>
      </c>
      <c r="Q1793" s="111">
        <f t="shared" si="1356"/>
        <v>24</v>
      </c>
      <c r="R1793" s="111">
        <f t="shared" si="1356"/>
        <v>56</v>
      </c>
      <c r="S1793" s="111">
        <f t="shared" si="1356"/>
        <v>4</v>
      </c>
      <c r="T1793" s="111">
        <f t="shared" si="1356"/>
        <v>103</v>
      </c>
      <c r="U1793" s="111">
        <f t="shared" si="1356"/>
        <v>23</v>
      </c>
      <c r="V1793" s="111">
        <f t="shared" si="1356"/>
        <v>3</v>
      </c>
      <c r="W1793" s="111">
        <f t="shared" si="1356"/>
        <v>0</v>
      </c>
      <c r="X1793" s="111">
        <f t="shared" si="1356"/>
        <v>0</v>
      </c>
      <c r="Y1793" s="111">
        <f t="shared" si="1356"/>
        <v>0</v>
      </c>
      <c r="Z1793" s="111">
        <f t="shared" si="1356"/>
        <v>0</v>
      </c>
      <c r="AA1793" s="111">
        <f t="shared" si="1356"/>
        <v>0</v>
      </c>
      <c r="AB1793" s="111">
        <f t="shared" si="1356"/>
        <v>0</v>
      </c>
      <c r="AC1793" s="111">
        <f t="shared" si="1356"/>
        <v>20</v>
      </c>
      <c r="AD1793" s="111">
        <f t="shared" si="1356"/>
        <v>0</v>
      </c>
      <c r="AE1793" s="111">
        <f t="shared" si="1356"/>
        <v>0</v>
      </c>
      <c r="AF1793" s="111">
        <f t="shared" si="1356"/>
        <v>0</v>
      </c>
      <c r="AG1793" s="111">
        <f t="shared" si="1356"/>
        <v>0</v>
      </c>
      <c r="AH1793" s="111">
        <f t="shared" si="1356"/>
        <v>1</v>
      </c>
    </row>
    <row r="1794" hidden="1">
      <c r="A1794" s="83" t="s">
        <v>34</v>
      </c>
      <c r="B1794" s="84" t="s">
        <v>227</v>
      </c>
      <c r="C1794" s="85">
        <v>1.0</v>
      </c>
      <c r="D1794" s="94">
        <v>0.0</v>
      </c>
      <c r="E1794" s="86">
        <v>47.0</v>
      </c>
      <c r="F1794" s="85">
        <v>3.0</v>
      </c>
      <c r="G1794" s="85">
        <v>130.0</v>
      </c>
      <c r="H1794" s="94">
        <v>0.0</v>
      </c>
      <c r="I1794" s="85">
        <v>151.0</v>
      </c>
      <c r="J1794" s="95">
        <f t="shared" si="1349"/>
        <v>-21</v>
      </c>
      <c r="K1794" s="87">
        <f t="shared" si="1350"/>
        <v>0.8609271523</v>
      </c>
      <c r="L1794" s="85">
        <v>15.0</v>
      </c>
      <c r="M1794" s="85">
        <v>174.0</v>
      </c>
      <c r="N1794" s="85">
        <v>1.0</v>
      </c>
      <c r="O1794" s="110">
        <f t="shared" ref="O1794:O1799" si="1357">(E1794*N1794)</f>
        <v>47</v>
      </c>
      <c r="P1794" s="85">
        <v>11.0</v>
      </c>
      <c r="Q1794" s="85">
        <v>2.0</v>
      </c>
      <c r="R1794" s="85">
        <v>9.0</v>
      </c>
      <c r="S1794" s="85">
        <v>7.0</v>
      </c>
      <c r="T1794" s="85">
        <v>15.0</v>
      </c>
      <c r="U1794" s="85">
        <v>2.0</v>
      </c>
      <c r="V1794" s="94">
        <v>0.0</v>
      </c>
      <c r="W1794" s="94">
        <v>0.0</v>
      </c>
      <c r="X1794" s="94">
        <v>0.0</v>
      </c>
      <c r="Y1794" s="94">
        <v>0.0</v>
      </c>
      <c r="Z1794" s="94">
        <v>0.0</v>
      </c>
      <c r="AA1794" s="94">
        <v>0.0</v>
      </c>
      <c r="AB1794" s="94">
        <v>0.0</v>
      </c>
      <c r="AC1794" s="85">
        <v>1.0</v>
      </c>
      <c r="AD1794" s="94">
        <v>0.0</v>
      </c>
      <c r="AE1794" s="94">
        <v>0.0</v>
      </c>
      <c r="AF1794" s="94">
        <v>0.0</v>
      </c>
      <c r="AG1794" s="94">
        <v>0.0</v>
      </c>
      <c r="AH1794" s="94">
        <v>0.0</v>
      </c>
    </row>
    <row r="1795" hidden="1">
      <c r="A1795" s="83" t="s">
        <v>34</v>
      </c>
      <c r="B1795" s="84" t="s">
        <v>228</v>
      </c>
      <c r="C1795" s="85">
        <v>1.0</v>
      </c>
      <c r="D1795" s="94">
        <v>0.0</v>
      </c>
      <c r="E1795" s="86">
        <v>47.0</v>
      </c>
      <c r="F1795" s="94">
        <v>0.0</v>
      </c>
      <c r="G1795" s="85">
        <v>167.0</v>
      </c>
      <c r="H1795" s="85">
        <v>2.0</v>
      </c>
      <c r="I1795" s="85">
        <v>212.0</v>
      </c>
      <c r="J1795" s="95">
        <f t="shared" si="1349"/>
        <v>-45</v>
      </c>
      <c r="K1795" s="87">
        <f t="shared" si="1350"/>
        <v>0.7877358491</v>
      </c>
      <c r="L1795" s="85">
        <v>10.0</v>
      </c>
      <c r="M1795" s="85">
        <v>221.0</v>
      </c>
      <c r="N1795" s="85">
        <v>1.0</v>
      </c>
      <c r="O1795" s="110">
        <f t="shared" si="1357"/>
        <v>47</v>
      </c>
      <c r="P1795" s="85">
        <v>7.0</v>
      </c>
      <c r="Q1795" s="85">
        <v>4.0</v>
      </c>
      <c r="R1795" s="85">
        <v>16.0</v>
      </c>
      <c r="S1795" s="85">
        <v>5.0</v>
      </c>
      <c r="T1795" s="85">
        <v>26.0</v>
      </c>
      <c r="U1795" s="85">
        <v>7.0</v>
      </c>
      <c r="V1795" s="85">
        <v>2.0</v>
      </c>
      <c r="W1795" s="94">
        <v>0.0</v>
      </c>
      <c r="X1795" s="94">
        <v>0.0</v>
      </c>
      <c r="Y1795" s="94">
        <v>0.0</v>
      </c>
      <c r="Z1795" s="94">
        <v>0.0</v>
      </c>
      <c r="AA1795" s="94">
        <v>0.0</v>
      </c>
      <c r="AB1795" s="94">
        <v>0.0</v>
      </c>
      <c r="AC1795" s="85">
        <v>1.0</v>
      </c>
      <c r="AD1795" s="94">
        <v>0.0</v>
      </c>
      <c r="AE1795" s="94">
        <v>0.0</v>
      </c>
      <c r="AF1795" s="94">
        <v>0.0</v>
      </c>
      <c r="AG1795" s="94">
        <v>0.0</v>
      </c>
      <c r="AH1795" s="94">
        <v>0.0</v>
      </c>
    </row>
    <row r="1796" hidden="1">
      <c r="A1796" s="83" t="s">
        <v>34</v>
      </c>
      <c r="B1796" s="84" t="s">
        <v>229</v>
      </c>
      <c r="C1796" s="85">
        <v>1.0</v>
      </c>
      <c r="D1796" s="94">
        <v>0.0</v>
      </c>
      <c r="E1796" s="86">
        <v>47.0</v>
      </c>
      <c r="F1796" s="94">
        <v>0.0</v>
      </c>
      <c r="G1796" s="85">
        <v>117.0</v>
      </c>
      <c r="H1796" s="94">
        <v>0.0</v>
      </c>
      <c r="I1796" s="85">
        <v>132.0</v>
      </c>
      <c r="J1796" s="95">
        <f t="shared" si="1349"/>
        <v>-15</v>
      </c>
      <c r="K1796" s="87">
        <f t="shared" si="1350"/>
        <v>0.8863636364</v>
      </c>
      <c r="L1796" s="85">
        <v>18.0</v>
      </c>
      <c r="M1796" s="85">
        <v>146.0</v>
      </c>
      <c r="N1796" s="85">
        <v>1.0</v>
      </c>
      <c r="O1796" s="110">
        <f t="shared" si="1357"/>
        <v>47</v>
      </c>
      <c r="P1796" s="85">
        <v>3.0</v>
      </c>
      <c r="Q1796" s="85">
        <v>4.0</v>
      </c>
      <c r="R1796" s="85">
        <v>14.0</v>
      </c>
      <c r="S1796" s="85">
        <v>2.0</v>
      </c>
      <c r="T1796" s="85">
        <v>13.0</v>
      </c>
      <c r="U1796" s="85">
        <v>2.0</v>
      </c>
      <c r="V1796" s="94">
        <v>0.0</v>
      </c>
      <c r="W1796" s="94">
        <v>0.0</v>
      </c>
      <c r="X1796" s="94">
        <v>0.0</v>
      </c>
      <c r="Y1796" s="94">
        <v>0.0</v>
      </c>
      <c r="Z1796" s="94">
        <v>0.0</v>
      </c>
      <c r="AA1796" s="94">
        <v>0.0</v>
      </c>
      <c r="AB1796" s="94">
        <v>0.0</v>
      </c>
      <c r="AC1796" s="85">
        <v>1.0</v>
      </c>
      <c r="AD1796" s="94">
        <v>0.0</v>
      </c>
      <c r="AE1796" s="94">
        <v>0.0</v>
      </c>
      <c r="AF1796" s="94">
        <v>0.0</v>
      </c>
      <c r="AG1796" s="94">
        <v>0.0</v>
      </c>
      <c r="AH1796" s="94">
        <v>0.0</v>
      </c>
    </row>
    <row r="1797" hidden="1">
      <c r="A1797" s="83" t="s">
        <v>34</v>
      </c>
      <c r="B1797" s="84" t="s">
        <v>230</v>
      </c>
      <c r="C1797" s="85">
        <v>1.0</v>
      </c>
      <c r="D1797" s="94">
        <v>0.0</v>
      </c>
      <c r="E1797" s="86">
        <v>47.0</v>
      </c>
      <c r="F1797" s="85">
        <v>1.0</v>
      </c>
      <c r="G1797" s="85">
        <v>120.0</v>
      </c>
      <c r="H1797" s="94">
        <v>0.0</v>
      </c>
      <c r="I1797" s="85">
        <v>183.0</v>
      </c>
      <c r="J1797" s="95">
        <f t="shared" si="1349"/>
        <v>-63</v>
      </c>
      <c r="K1797" s="87">
        <f t="shared" si="1350"/>
        <v>0.6557377049</v>
      </c>
      <c r="L1797" s="85">
        <v>12.0</v>
      </c>
      <c r="M1797" s="85">
        <v>151.0</v>
      </c>
      <c r="N1797" s="85">
        <v>1.0</v>
      </c>
      <c r="O1797" s="110">
        <f t="shared" si="1357"/>
        <v>47</v>
      </c>
      <c r="P1797" s="85">
        <v>5.0</v>
      </c>
      <c r="Q1797" s="85">
        <v>3.0</v>
      </c>
      <c r="R1797" s="85">
        <v>8.0</v>
      </c>
      <c r="S1797" s="85">
        <v>5.0</v>
      </c>
      <c r="T1797" s="85">
        <v>13.0</v>
      </c>
      <c r="U1797" s="85">
        <v>2.0</v>
      </c>
      <c r="V1797" s="85">
        <v>1.0</v>
      </c>
      <c r="W1797" s="94">
        <v>0.0</v>
      </c>
      <c r="X1797" s="94">
        <v>0.0</v>
      </c>
      <c r="Y1797" s="94">
        <v>0.0</v>
      </c>
      <c r="Z1797" s="94">
        <v>0.0</v>
      </c>
      <c r="AA1797" s="94">
        <v>0.0</v>
      </c>
      <c r="AB1797" s="94">
        <v>0.0</v>
      </c>
      <c r="AC1797" s="85">
        <v>1.0</v>
      </c>
      <c r="AD1797" s="94">
        <v>0.0</v>
      </c>
      <c r="AE1797" s="94">
        <v>0.0</v>
      </c>
      <c r="AF1797" s="94">
        <v>0.0</v>
      </c>
      <c r="AG1797" s="94">
        <v>0.0</v>
      </c>
      <c r="AH1797" s="94">
        <v>0.0</v>
      </c>
    </row>
    <row r="1798" hidden="1">
      <c r="A1798" s="83" t="s">
        <v>34</v>
      </c>
      <c r="B1798" s="84" t="s">
        <v>231</v>
      </c>
      <c r="C1798" s="94">
        <v>0.0</v>
      </c>
      <c r="D1798" s="94">
        <v>0.0</v>
      </c>
      <c r="E1798" s="96">
        <f t="shared" ref="E1798:E1799" si="1358">SUM(L1798*I1798)/60</f>
        <v>0</v>
      </c>
      <c r="F1798" s="94">
        <v>0.0</v>
      </c>
      <c r="G1798" s="94">
        <v>0.0</v>
      </c>
      <c r="H1798" s="94">
        <v>0.0</v>
      </c>
      <c r="I1798" s="94">
        <v>0.0</v>
      </c>
      <c r="J1798" s="95">
        <f t="shared" si="1349"/>
        <v>0</v>
      </c>
      <c r="K1798" s="87" t="str">
        <f t="shared" si="1350"/>
        <v>#DIV/0!</v>
      </c>
      <c r="L1798" s="94">
        <v>0.0</v>
      </c>
      <c r="M1798" s="94">
        <v>0.0</v>
      </c>
      <c r="N1798" s="85">
        <v>0.0</v>
      </c>
      <c r="O1798" s="110">
        <f t="shared" si="1357"/>
        <v>0</v>
      </c>
      <c r="P1798" s="94">
        <v>0.0</v>
      </c>
      <c r="Q1798" s="94">
        <v>0.0</v>
      </c>
      <c r="R1798" s="94">
        <v>0.0</v>
      </c>
      <c r="S1798" s="94">
        <v>0.0</v>
      </c>
      <c r="T1798" s="94">
        <v>0.0</v>
      </c>
      <c r="U1798" s="94">
        <v>0.0</v>
      </c>
      <c r="V1798" s="94">
        <v>0.0</v>
      </c>
      <c r="W1798" s="94">
        <v>0.0</v>
      </c>
      <c r="X1798" s="94">
        <v>0.0</v>
      </c>
      <c r="Y1798" s="94">
        <v>0.0</v>
      </c>
      <c r="Z1798" s="94">
        <v>0.0</v>
      </c>
      <c r="AA1798" s="94">
        <v>0.0</v>
      </c>
      <c r="AB1798" s="94">
        <v>0.0</v>
      </c>
      <c r="AC1798" s="94">
        <v>0.0</v>
      </c>
      <c r="AD1798" s="94">
        <v>0.0</v>
      </c>
      <c r="AE1798" s="94">
        <v>0.0</v>
      </c>
      <c r="AF1798" s="94">
        <v>0.0</v>
      </c>
      <c r="AG1798" s="94">
        <v>0.0</v>
      </c>
      <c r="AH1798" s="94">
        <v>0.0</v>
      </c>
    </row>
    <row r="1799" hidden="1">
      <c r="A1799" s="83" t="s">
        <v>34</v>
      </c>
      <c r="B1799" s="93"/>
      <c r="C1799" s="94">
        <v>0.0</v>
      </c>
      <c r="D1799" s="94">
        <v>0.0</v>
      </c>
      <c r="E1799" s="96">
        <f t="shared" si="1358"/>
        <v>0</v>
      </c>
      <c r="F1799" s="94">
        <v>0.0</v>
      </c>
      <c r="G1799" s="94">
        <v>0.0</v>
      </c>
      <c r="H1799" s="94">
        <v>0.0</v>
      </c>
      <c r="I1799" s="94">
        <v>0.0</v>
      </c>
      <c r="J1799" s="95">
        <f t="shared" si="1349"/>
        <v>0</v>
      </c>
      <c r="K1799" s="87" t="str">
        <f t="shared" si="1350"/>
        <v>#DIV/0!</v>
      </c>
      <c r="L1799" s="94">
        <v>0.0</v>
      </c>
      <c r="M1799" s="94">
        <v>0.0</v>
      </c>
      <c r="N1799" s="85">
        <v>0.0</v>
      </c>
      <c r="O1799" s="110">
        <f t="shared" si="1357"/>
        <v>0</v>
      </c>
      <c r="P1799" s="94">
        <v>0.0</v>
      </c>
      <c r="Q1799" s="94">
        <v>0.0</v>
      </c>
      <c r="R1799" s="94">
        <v>0.0</v>
      </c>
      <c r="S1799" s="94">
        <v>0.0</v>
      </c>
      <c r="T1799" s="94">
        <v>0.0</v>
      </c>
      <c r="U1799" s="94">
        <v>0.0</v>
      </c>
      <c r="V1799" s="94">
        <v>0.0</v>
      </c>
      <c r="W1799" s="94">
        <v>0.0</v>
      </c>
      <c r="X1799" s="94">
        <v>0.0</v>
      </c>
      <c r="Y1799" s="94">
        <v>0.0</v>
      </c>
      <c r="Z1799" s="94">
        <v>0.0</v>
      </c>
      <c r="AA1799" s="94">
        <v>0.0</v>
      </c>
      <c r="AB1799" s="94">
        <v>0.0</v>
      </c>
      <c r="AC1799" s="94">
        <v>0.0</v>
      </c>
      <c r="AD1799" s="94">
        <v>0.0</v>
      </c>
      <c r="AE1799" s="94">
        <v>0.0</v>
      </c>
      <c r="AF1799" s="94">
        <v>0.0</v>
      </c>
      <c r="AG1799" s="94">
        <v>0.0</v>
      </c>
      <c r="AH1799" s="94">
        <v>0.0</v>
      </c>
    </row>
    <row r="1800" hidden="1">
      <c r="A1800" s="89" t="s">
        <v>185</v>
      </c>
      <c r="B1800" s="111"/>
      <c r="C1800" s="111">
        <f>SUM(C1794:C1799)</f>
        <v>4</v>
      </c>
      <c r="D1800" s="111">
        <f t="shared" ref="D1800:E1800" si="1359">SUM(D1794:D1799)/4</f>
        <v>0</v>
      </c>
      <c r="E1800" s="91">
        <f t="shared" si="1359"/>
        <v>47</v>
      </c>
      <c r="F1800" s="111">
        <f t="shared" ref="F1800:G1800" si="1360">SUM(F1794:F1799)</f>
        <v>4</v>
      </c>
      <c r="G1800" s="111">
        <f t="shared" si="1360"/>
        <v>534</v>
      </c>
      <c r="H1800" s="111"/>
      <c r="I1800" s="111">
        <f>SUM(I1794:I1799)</f>
        <v>678</v>
      </c>
      <c r="J1800" s="111">
        <f t="shared" si="1349"/>
        <v>-144</v>
      </c>
      <c r="K1800" s="92">
        <f t="shared" si="1350"/>
        <v>0.7876106195</v>
      </c>
      <c r="L1800" s="111">
        <f t="shared" ref="L1800:M1800" si="1361">SUM(L1794:L1799)</f>
        <v>55</v>
      </c>
      <c r="M1800" s="111">
        <f t="shared" si="1361"/>
        <v>692</v>
      </c>
      <c r="N1800" s="111"/>
      <c r="O1800" s="112"/>
      <c r="P1800" s="111">
        <f t="shared" ref="P1800:AH1800" si="1362">SUM(P1794:P1799)</f>
        <v>26</v>
      </c>
      <c r="Q1800" s="111">
        <f t="shared" si="1362"/>
        <v>13</v>
      </c>
      <c r="R1800" s="111">
        <f t="shared" si="1362"/>
        <v>47</v>
      </c>
      <c r="S1800" s="111">
        <f t="shared" si="1362"/>
        <v>19</v>
      </c>
      <c r="T1800" s="111">
        <f t="shared" si="1362"/>
        <v>67</v>
      </c>
      <c r="U1800" s="111">
        <f t="shared" si="1362"/>
        <v>13</v>
      </c>
      <c r="V1800" s="111">
        <f t="shared" si="1362"/>
        <v>3</v>
      </c>
      <c r="W1800" s="111">
        <f t="shared" si="1362"/>
        <v>0</v>
      </c>
      <c r="X1800" s="111">
        <f t="shared" si="1362"/>
        <v>0</v>
      </c>
      <c r="Y1800" s="111">
        <f t="shared" si="1362"/>
        <v>0</v>
      </c>
      <c r="Z1800" s="111">
        <f t="shared" si="1362"/>
        <v>0</v>
      </c>
      <c r="AA1800" s="111">
        <f t="shared" si="1362"/>
        <v>0</v>
      </c>
      <c r="AB1800" s="111">
        <f t="shared" si="1362"/>
        <v>0</v>
      </c>
      <c r="AC1800" s="111">
        <f t="shared" si="1362"/>
        <v>4</v>
      </c>
      <c r="AD1800" s="111">
        <f t="shared" si="1362"/>
        <v>0</v>
      </c>
      <c r="AE1800" s="111">
        <f t="shared" si="1362"/>
        <v>0</v>
      </c>
      <c r="AF1800" s="111">
        <f t="shared" si="1362"/>
        <v>0</v>
      </c>
      <c r="AG1800" s="111">
        <f t="shared" si="1362"/>
        <v>0</v>
      </c>
      <c r="AH1800" s="111">
        <f t="shared" si="1362"/>
        <v>0</v>
      </c>
    </row>
    <row r="1801">
      <c r="A1801" s="104" t="s">
        <v>354</v>
      </c>
    </row>
    <row r="1803" hidden="1">
      <c r="A1803" s="105"/>
      <c r="F1803" s="106" t="s">
        <v>251</v>
      </c>
      <c r="L1803" s="107" t="s">
        <v>252</v>
      </c>
      <c r="N1803" s="108" t="s">
        <v>253</v>
      </c>
    </row>
    <row r="1804" hidden="1">
      <c r="A1804" s="76" t="s">
        <v>148</v>
      </c>
      <c r="B1804" s="76" t="s">
        <v>149</v>
      </c>
      <c r="C1804" s="76" t="s">
        <v>150</v>
      </c>
      <c r="D1804" s="76" t="s">
        <v>13</v>
      </c>
      <c r="E1804" s="77" t="s">
        <v>151</v>
      </c>
      <c r="F1804" s="78" t="s">
        <v>15</v>
      </c>
      <c r="G1804" s="78" t="s">
        <v>152</v>
      </c>
      <c r="H1804" s="78" t="s">
        <v>153</v>
      </c>
      <c r="I1804" s="78" t="s">
        <v>154</v>
      </c>
      <c r="J1804" s="78" t="s">
        <v>155</v>
      </c>
      <c r="K1804" s="79" t="s">
        <v>156</v>
      </c>
      <c r="L1804" s="80" t="s">
        <v>157</v>
      </c>
      <c r="M1804" s="80" t="s">
        <v>158</v>
      </c>
      <c r="N1804" s="81" t="s">
        <v>254</v>
      </c>
      <c r="O1804" s="81" t="s">
        <v>151</v>
      </c>
      <c r="P1804" s="81" t="s">
        <v>160</v>
      </c>
      <c r="Q1804" s="81" t="s">
        <v>161</v>
      </c>
      <c r="R1804" s="81" t="s">
        <v>162</v>
      </c>
      <c r="S1804" s="81" t="s">
        <v>163</v>
      </c>
      <c r="T1804" s="81" t="s">
        <v>164</v>
      </c>
      <c r="U1804" s="81" t="s">
        <v>165</v>
      </c>
      <c r="V1804" s="81" t="s">
        <v>166</v>
      </c>
      <c r="W1804" s="81" t="s">
        <v>167</v>
      </c>
      <c r="X1804" s="81" t="s">
        <v>168</v>
      </c>
      <c r="Y1804" s="81" t="s">
        <v>169</v>
      </c>
      <c r="Z1804" s="81" t="s">
        <v>170</v>
      </c>
      <c r="AA1804" s="81" t="s">
        <v>171</v>
      </c>
      <c r="AB1804" s="81" t="s">
        <v>172</v>
      </c>
      <c r="AC1804" s="81" t="s">
        <v>173</v>
      </c>
      <c r="AD1804" s="81" t="s">
        <v>174</v>
      </c>
      <c r="AE1804" s="81" t="s">
        <v>175</v>
      </c>
      <c r="AF1804" s="81" t="s">
        <v>176</v>
      </c>
      <c r="AG1804" s="81" t="s">
        <v>177</v>
      </c>
      <c r="AH1804" s="81" t="s">
        <v>178</v>
      </c>
    </row>
    <row r="1805" hidden="1">
      <c r="A1805" s="83" t="s">
        <v>53</v>
      </c>
      <c r="B1805" s="84" t="s">
        <v>192</v>
      </c>
      <c r="C1805" s="85">
        <v>1.0</v>
      </c>
      <c r="D1805" s="94">
        <v>0.0</v>
      </c>
      <c r="E1805" s="96">
        <f t="shared" ref="E1805:E1810" si="1363">SUM(L1805*I1805)/60</f>
        <v>4</v>
      </c>
      <c r="F1805" s="94">
        <v>0.0</v>
      </c>
      <c r="G1805" s="85">
        <v>11.0</v>
      </c>
      <c r="H1805" s="94">
        <v>0.0</v>
      </c>
      <c r="I1805" s="85">
        <v>30.0</v>
      </c>
      <c r="J1805" s="95">
        <f t="shared" ref="J1805:J1818" si="1364">SUM(G1805-I1805)</f>
        <v>-19</v>
      </c>
      <c r="K1805" s="87">
        <f t="shared" ref="K1805:K1818" si="1365">SUM(G1805/I1805)</f>
        <v>0.3666666667</v>
      </c>
      <c r="L1805" s="85">
        <v>8.0</v>
      </c>
      <c r="M1805" s="85">
        <v>11.0</v>
      </c>
      <c r="N1805" s="85">
        <v>1.0</v>
      </c>
      <c r="O1805" s="110">
        <f t="shared" ref="O1805:O1810" si="1366">(E1805*N1805)</f>
        <v>4</v>
      </c>
      <c r="P1805" s="85">
        <v>1.0</v>
      </c>
      <c r="Q1805" s="85">
        <v>1.0</v>
      </c>
      <c r="R1805" s="94">
        <v>0.0</v>
      </c>
      <c r="S1805" s="94">
        <v>0.0</v>
      </c>
      <c r="T1805" s="85">
        <v>1.0</v>
      </c>
      <c r="U1805" s="85">
        <v>1.0</v>
      </c>
      <c r="V1805" s="94">
        <v>0.0</v>
      </c>
      <c r="W1805" s="94">
        <v>0.0</v>
      </c>
      <c r="X1805" s="94">
        <v>0.0</v>
      </c>
      <c r="Y1805" s="94">
        <v>0.0</v>
      </c>
      <c r="Z1805" s="94">
        <v>0.0</v>
      </c>
      <c r="AA1805" s="94">
        <v>0.0</v>
      </c>
      <c r="AB1805" s="94">
        <v>0.0</v>
      </c>
      <c r="AC1805" s="94">
        <v>0.0</v>
      </c>
      <c r="AD1805" s="94">
        <v>0.0</v>
      </c>
      <c r="AE1805" s="94">
        <v>0.0</v>
      </c>
      <c r="AF1805" s="94">
        <v>0.0</v>
      </c>
      <c r="AG1805" s="94">
        <v>0.0</v>
      </c>
      <c r="AH1805" s="94">
        <v>0.0</v>
      </c>
    </row>
    <row r="1806" hidden="1">
      <c r="A1806" s="83" t="s">
        <v>53</v>
      </c>
      <c r="B1806" s="84" t="s">
        <v>193</v>
      </c>
      <c r="C1806" s="85">
        <v>1.0</v>
      </c>
      <c r="D1806" s="94">
        <v>0.0</v>
      </c>
      <c r="E1806" s="96">
        <f t="shared" si="1363"/>
        <v>4.35</v>
      </c>
      <c r="F1806" s="94">
        <v>0.0</v>
      </c>
      <c r="G1806" s="85">
        <v>23.0</v>
      </c>
      <c r="H1806" s="94">
        <v>0.0</v>
      </c>
      <c r="I1806" s="85">
        <v>29.0</v>
      </c>
      <c r="J1806" s="95">
        <f t="shared" si="1364"/>
        <v>-6</v>
      </c>
      <c r="K1806" s="87">
        <f t="shared" si="1365"/>
        <v>0.7931034483</v>
      </c>
      <c r="L1806" s="85">
        <v>9.0</v>
      </c>
      <c r="M1806" s="85">
        <v>26.0</v>
      </c>
      <c r="N1806" s="85">
        <v>1.0</v>
      </c>
      <c r="O1806" s="110">
        <f t="shared" si="1366"/>
        <v>4.35</v>
      </c>
      <c r="P1806" s="85">
        <v>2.0</v>
      </c>
      <c r="Q1806" s="94">
        <v>0.0</v>
      </c>
      <c r="R1806" s="94">
        <v>0.0</v>
      </c>
      <c r="S1806" s="94">
        <v>0.0</v>
      </c>
      <c r="T1806" s="85">
        <v>4.0</v>
      </c>
      <c r="U1806" s="94">
        <v>0.0</v>
      </c>
      <c r="V1806" s="94">
        <v>0.0</v>
      </c>
      <c r="W1806" s="94">
        <v>0.0</v>
      </c>
      <c r="X1806" s="94">
        <v>0.0</v>
      </c>
      <c r="Y1806" s="94">
        <v>0.0</v>
      </c>
      <c r="Z1806" s="94">
        <v>0.0</v>
      </c>
      <c r="AA1806" s="94">
        <v>0.0</v>
      </c>
      <c r="AB1806" s="94">
        <v>0.0</v>
      </c>
      <c r="AC1806" s="94">
        <v>0.0</v>
      </c>
      <c r="AD1806" s="94">
        <v>0.0</v>
      </c>
      <c r="AE1806" s="94">
        <v>0.0</v>
      </c>
      <c r="AF1806" s="94">
        <v>0.0</v>
      </c>
      <c r="AG1806" s="94">
        <v>0.0</v>
      </c>
      <c r="AH1806" s="94">
        <v>0.0</v>
      </c>
    </row>
    <row r="1807" hidden="1">
      <c r="A1807" s="83" t="s">
        <v>53</v>
      </c>
      <c r="B1807" s="84" t="s">
        <v>194</v>
      </c>
      <c r="C1807" s="85">
        <v>1.0</v>
      </c>
      <c r="D1807" s="94">
        <v>0.0</v>
      </c>
      <c r="E1807" s="96">
        <f t="shared" si="1363"/>
        <v>4.333333333</v>
      </c>
      <c r="F1807" s="85">
        <v>1.0</v>
      </c>
      <c r="G1807" s="85">
        <v>23.0</v>
      </c>
      <c r="H1807" s="85">
        <v>1.0</v>
      </c>
      <c r="I1807" s="85">
        <v>26.0</v>
      </c>
      <c r="J1807" s="95">
        <f t="shared" si="1364"/>
        <v>-3</v>
      </c>
      <c r="K1807" s="87">
        <f t="shared" si="1365"/>
        <v>0.8846153846</v>
      </c>
      <c r="L1807" s="85">
        <v>10.0</v>
      </c>
      <c r="M1807" s="85">
        <v>33.0</v>
      </c>
      <c r="N1807" s="85">
        <v>1.0</v>
      </c>
      <c r="O1807" s="110">
        <f t="shared" si="1366"/>
        <v>4.333333333</v>
      </c>
      <c r="P1807" s="85">
        <v>2.0</v>
      </c>
      <c r="Q1807" s="94">
        <v>0.0</v>
      </c>
      <c r="R1807" s="94">
        <v>0.0</v>
      </c>
      <c r="S1807" s="85">
        <v>2.0</v>
      </c>
      <c r="T1807" s="85">
        <v>3.0</v>
      </c>
      <c r="U1807" s="85">
        <v>2.0</v>
      </c>
      <c r="V1807" s="85">
        <v>1.0</v>
      </c>
      <c r="W1807" s="85">
        <v>1.0</v>
      </c>
      <c r="X1807" s="94">
        <v>0.0</v>
      </c>
      <c r="Y1807" s="94">
        <v>0.0</v>
      </c>
      <c r="Z1807" s="94">
        <v>0.0</v>
      </c>
      <c r="AA1807" s="94">
        <v>0.0</v>
      </c>
      <c r="AB1807" s="94">
        <v>0.0</v>
      </c>
      <c r="AC1807" s="85">
        <v>1.0</v>
      </c>
      <c r="AD1807" s="94">
        <v>0.0</v>
      </c>
      <c r="AE1807" s="94">
        <v>0.0</v>
      </c>
      <c r="AF1807" s="94">
        <v>0.0</v>
      </c>
      <c r="AG1807" s="94">
        <v>0.0</v>
      </c>
      <c r="AH1807" s="94">
        <v>0.0</v>
      </c>
    </row>
    <row r="1808" hidden="1">
      <c r="A1808" s="83" t="s">
        <v>53</v>
      </c>
      <c r="B1808" s="84" t="s">
        <v>195</v>
      </c>
      <c r="C1808" s="85">
        <v>1.0</v>
      </c>
      <c r="D1808" s="94">
        <v>0.0</v>
      </c>
      <c r="E1808" s="96">
        <f t="shared" si="1363"/>
        <v>4.333333333</v>
      </c>
      <c r="F1808" s="94">
        <v>0.0</v>
      </c>
      <c r="G1808" s="85">
        <v>12.0</v>
      </c>
      <c r="H1808" s="94">
        <v>0.0</v>
      </c>
      <c r="I1808" s="85">
        <v>26.0</v>
      </c>
      <c r="J1808" s="95">
        <f t="shared" si="1364"/>
        <v>-14</v>
      </c>
      <c r="K1808" s="87">
        <f t="shared" si="1365"/>
        <v>0.4615384615</v>
      </c>
      <c r="L1808" s="85">
        <v>10.0</v>
      </c>
      <c r="M1808" s="85">
        <v>12.0</v>
      </c>
      <c r="N1808" s="85">
        <v>1.0</v>
      </c>
      <c r="O1808" s="110">
        <f t="shared" si="1366"/>
        <v>4.333333333</v>
      </c>
      <c r="P1808" s="94">
        <v>0.0</v>
      </c>
      <c r="Q1808" s="94">
        <v>0.0</v>
      </c>
      <c r="R1808" s="94">
        <v>0.0</v>
      </c>
      <c r="S1808" s="94">
        <v>0.0</v>
      </c>
      <c r="T1808" s="85">
        <v>2.0</v>
      </c>
      <c r="U1808" s="94">
        <v>0.0</v>
      </c>
      <c r="V1808" s="94">
        <v>0.0</v>
      </c>
      <c r="W1808" s="94">
        <v>0.0</v>
      </c>
      <c r="X1808" s="94">
        <v>0.0</v>
      </c>
      <c r="Y1808" s="94">
        <v>0.0</v>
      </c>
      <c r="Z1808" s="94">
        <v>0.0</v>
      </c>
      <c r="AA1808" s="94">
        <v>0.0</v>
      </c>
      <c r="AB1808" s="94">
        <v>0.0</v>
      </c>
      <c r="AC1808" s="94">
        <v>0.0</v>
      </c>
      <c r="AD1808" s="94">
        <v>0.0</v>
      </c>
      <c r="AE1808" s="94">
        <v>0.0</v>
      </c>
      <c r="AF1808" s="94">
        <v>0.0</v>
      </c>
      <c r="AG1808" s="94">
        <v>0.0</v>
      </c>
      <c r="AH1808" s="94">
        <v>0.0</v>
      </c>
    </row>
    <row r="1809" hidden="1">
      <c r="A1809" s="83" t="s">
        <v>53</v>
      </c>
      <c r="B1809" s="84" t="s">
        <v>196</v>
      </c>
      <c r="C1809" s="94">
        <v>0.0</v>
      </c>
      <c r="D1809" s="94">
        <v>0.0</v>
      </c>
      <c r="E1809" s="96">
        <f t="shared" si="1363"/>
        <v>0</v>
      </c>
      <c r="F1809" s="94">
        <v>0.0</v>
      </c>
      <c r="G1809" s="94">
        <v>0.0</v>
      </c>
      <c r="H1809" s="94">
        <v>0.0</v>
      </c>
      <c r="I1809" s="94">
        <v>0.0</v>
      </c>
      <c r="J1809" s="95">
        <f t="shared" si="1364"/>
        <v>0</v>
      </c>
      <c r="K1809" s="87" t="str">
        <f t="shared" si="1365"/>
        <v>#DIV/0!</v>
      </c>
      <c r="L1809" s="94">
        <v>0.0</v>
      </c>
      <c r="M1809" s="94">
        <v>0.0</v>
      </c>
      <c r="N1809" s="85">
        <v>0.0</v>
      </c>
      <c r="O1809" s="110">
        <f t="shared" si="1366"/>
        <v>0</v>
      </c>
      <c r="P1809" s="94">
        <v>0.0</v>
      </c>
      <c r="Q1809" s="94">
        <v>0.0</v>
      </c>
      <c r="R1809" s="94">
        <v>0.0</v>
      </c>
      <c r="S1809" s="94">
        <v>0.0</v>
      </c>
      <c r="T1809" s="94">
        <v>0.0</v>
      </c>
      <c r="U1809" s="94">
        <v>0.0</v>
      </c>
      <c r="V1809" s="94">
        <v>0.0</v>
      </c>
      <c r="W1809" s="94">
        <v>0.0</v>
      </c>
      <c r="X1809" s="94">
        <v>0.0</v>
      </c>
      <c r="Y1809" s="94">
        <v>0.0</v>
      </c>
      <c r="Z1809" s="94">
        <v>0.0</v>
      </c>
      <c r="AA1809" s="94">
        <v>0.0</v>
      </c>
      <c r="AB1809" s="94">
        <v>0.0</v>
      </c>
      <c r="AC1809" s="94">
        <v>0.0</v>
      </c>
      <c r="AD1809" s="94">
        <v>0.0</v>
      </c>
      <c r="AE1809" s="94">
        <v>0.0</v>
      </c>
      <c r="AF1809" s="94">
        <v>0.0</v>
      </c>
      <c r="AG1809" s="94">
        <v>0.0</v>
      </c>
      <c r="AH1809" s="94">
        <v>0.0</v>
      </c>
    </row>
    <row r="1810" hidden="1">
      <c r="A1810" s="83" t="s">
        <v>53</v>
      </c>
      <c r="B1810" s="84" t="s">
        <v>197</v>
      </c>
      <c r="C1810" s="94">
        <v>0.0</v>
      </c>
      <c r="D1810" s="94">
        <v>0.0</v>
      </c>
      <c r="E1810" s="96">
        <f t="shared" si="1363"/>
        <v>0</v>
      </c>
      <c r="F1810" s="94">
        <v>0.0</v>
      </c>
      <c r="G1810" s="94">
        <v>0.0</v>
      </c>
      <c r="H1810" s="94">
        <v>0.0</v>
      </c>
      <c r="I1810" s="94">
        <v>0.0</v>
      </c>
      <c r="J1810" s="95">
        <f t="shared" si="1364"/>
        <v>0</v>
      </c>
      <c r="K1810" s="87" t="str">
        <f t="shared" si="1365"/>
        <v>#DIV/0!</v>
      </c>
      <c r="L1810" s="94">
        <v>0.0</v>
      </c>
      <c r="M1810" s="94">
        <v>0.0</v>
      </c>
      <c r="N1810" s="85">
        <v>0.0</v>
      </c>
      <c r="O1810" s="110">
        <f t="shared" si="1366"/>
        <v>0</v>
      </c>
      <c r="P1810" s="94">
        <v>0.0</v>
      </c>
      <c r="Q1810" s="94">
        <v>0.0</v>
      </c>
      <c r="R1810" s="94">
        <v>0.0</v>
      </c>
      <c r="S1810" s="94">
        <v>0.0</v>
      </c>
      <c r="T1810" s="94">
        <v>0.0</v>
      </c>
      <c r="U1810" s="94">
        <v>0.0</v>
      </c>
      <c r="V1810" s="94">
        <v>0.0</v>
      </c>
      <c r="W1810" s="94">
        <v>0.0</v>
      </c>
      <c r="X1810" s="94">
        <v>0.0</v>
      </c>
      <c r="Y1810" s="94">
        <v>0.0</v>
      </c>
      <c r="Z1810" s="94">
        <v>0.0</v>
      </c>
      <c r="AA1810" s="94">
        <v>0.0</v>
      </c>
      <c r="AB1810" s="94">
        <v>0.0</v>
      </c>
      <c r="AC1810" s="94">
        <v>0.0</v>
      </c>
      <c r="AD1810" s="94">
        <v>0.0</v>
      </c>
      <c r="AE1810" s="94">
        <v>0.0</v>
      </c>
      <c r="AF1810" s="94">
        <v>0.0</v>
      </c>
      <c r="AG1810" s="94">
        <v>0.0</v>
      </c>
      <c r="AH1810" s="94">
        <v>0.0</v>
      </c>
    </row>
    <row r="1811" hidden="1">
      <c r="A1811" s="89"/>
      <c r="B1811" s="111"/>
      <c r="C1811" s="111">
        <f t="shared" ref="C1811:D1811" si="1367">SUM(C1805:C1810)/4</f>
        <v>1</v>
      </c>
      <c r="D1811" s="111">
        <f t="shared" si="1367"/>
        <v>0</v>
      </c>
      <c r="E1811" s="91">
        <f t="shared" ref="E1811:G1811" si="1368">SUM(E1805:E1810)</f>
        <v>17.01666667</v>
      </c>
      <c r="F1811" s="111">
        <f t="shared" si="1368"/>
        <v>1</v>
      </c>
      <c r="G1811" s="111">
        <f t="shared" si="1368"/>
        <v>69</v>
      </c>
      <c r="H1811" s="111"/>
      <c r="I1811" s="111">
        <f>SUM(I1805:I1810)</f>
        <v>111</v>
      </c>
      <c r="J1811" s="111">
        <f t="shared" si="1364"/>
        <v>-42</v>
      </c>
      <c r="K1811" s="92">
        <f t="shared" si="1365"/>
        <v>0.6216216216</v>
      </c>
      <c r="L1811" s="111">
        <f t="shared" ref="L1811:M1811" si="1369">SUM(L1805:L1810)</f>
        <v>37</v>
      </c>
      <c r="M1811" s="111">
        <f t="shared" si="1369"/>
        <v>82</v>
      </c>
      <c r="N1811" s="111"/>
      <c r="O1811" s="112"/>
      <c r="P1811" s="111">
        <f t="shared" ref="P1811:AH1811" si="1370">SUM(P1805:P1810)</f>
        <v>5</v>
      </c>
      <c r="Q1811" s="111">
        <f t="shared" si="1370"/>
        <v>1</v>
      </c>
      <c r="R1811" s="111">
        <f t="shared" si="1370"/>
        <v>0</v>
      </c>
      <c r="S1811" s="111">
        <f t="shared" si="1370"/>
        <v>2</v>
      </c>
      <c r="T1811" s="111">
        <f t="shared" si="1370"/>
        <v>10</v>
      </c>
      <c r="U1811" s="111">
        <f t="shared" si="1370"/>
        <v>3</v>
      </c>
      <c r="V1811" s="111">
        <f t="shared" si="1370"/>
        <v>1</v>
      </c>
      <c r="W1811" s="111">
        <f t="shared" si="1370"/>
        <v>1</v>
      </c>
      <c r="X1811" s="111">
        <f t="shared" si="1370"/>
        <v>0</v>
      </c>
      <c r="Y1811" s="111">
        <f t="shared" si="1370"/>
        <v>0</v>
      </c>
      <c r="Z1811" s="111">
        <f t="shared" si="1370"/>
        <v>0</v>
      </c>
      <c r="AA1811" s="111">
        <f t="shared" si="1370"/>
        <v>0</v>
      </c>
      <c r="AB1811" s="111">
        <f t="shared" si="1370"/>
        <v>0</v>
      </c>
      <c r="AC1811" s="111">
        <f t="shared" si="1370"/>
        <v>1</v>
      </c>
      <c r="AD1811" s="111">
        <f t="shared" si="1370"/>
        <v>0</v>
      </c>
      <c r="AE1811" s="111">
        <f t="shared" si="1370"/>
        <v>0</v>
      </c>
      <c r="AF1811" s="111">
        <f t="shared" si="1370"/>
        <v>0</v>
      </c>
      <c r="AG1811" s="111">
        <f t="shared" si="1370"/>
        <v>0</v>
      </c>
      <c r="AH1811" s="111">
        <f t="shared" si="1370"/>
        <v>0</v>
      </c>
    </row>
    <row r="1812" hidden="1">
      <c r="A1812" s="83" t="s">
        <v>34</v>
      </c>
      <c r="B1812" s="84" t="s">
        <v>227</v>
      </c>
      <c r="C1812" s="85">
        <v>1.0</v>
      </c>
      <c r="D1812" s="85">
        <v>1.0</v>
      </c>
      <c r="E1812" s="96">
        <f t="shared" ref="E1812:E1817" si="1371">SUM(L1812*I1812)/60</f>
        <v>4.8</v>
      </c>
      <c r="F1812" s="85">
        <v>2.0</v>
      </c>
      <c r="G1812" s="85">
        <v>31.0</v>
      </c>
      <c r="H1812" s="94">
        <v>0.0</v>
      </c>
      <c r="I1812" s="85">
        <v>18.0</v>
      </c>
      <c r="J1812" s="95">
        <f t="shared" si="1364"/>
        <v>13</v>
      </c>
      <c r="K1812" s="87">
        <f t="shared" si="1365"/>
        <v>1.722222222</v>
      </c>
      <c r="L1812" s="85">
        <v>16.0</v>
      </c>
      <c r="M1812" s="85">
        <v>49.0</v>
      </c>
      <c r="N1812" s="85">
        <v>1.0</v>
      </c>
      <c r="O1812" s="110">
        <f t="shared" ref="O1812:O1817" si="1372">(E1812*N1812)</f>
        <v>4.8</v>
      </c>
      <c r="P1812" s="94">
        <v>0.0</v>
      </c>
      <c r="Q1812" s="94">
        <v>0.0</v>
      </c>
      <c r="R1812" s="85">
        <v>7.0</v>
      </c>
      <c r="S1812" s="94">
        <v>0.0</v>
      </c>
      <c r="T1812" s="85">
        <v>6.0</v>
      </c>
      <c r="U1812" s="85">
        <v>2.0</v>
      </c>
      <c r="V1812" s="94">
        <v>0.0</v>
      </c>
      <c r="W1812" s="94">
        <v>0.0</v>
      </c>
      <c r="X1812" s="94">
        <v>0.0</v>
      </c>
      <c r="Y1812" s="94">
        <v>0.0</v>
      </c>
      <c r="Z1812" s="94">
        <v>0.0</v>
      </c>
      <c r="AA1812" s="94">
        <v>0.0</v>
      </c>
      <c r="AB1812" s="94">
        <v>0.0</v>
      </c>
      <c r="AC1812" s="85">
        <v>2.0</v>
      </c>
      <c r="AD1812" s="94">
        <v>0.0</v>
      </c>
      <c r="AE1812" s="94">
        <v>0.0</v>
      </c>
      <c r="AF1812" s="94">
        <v>0.0</v>
      </c>
      <c r="AG1812" s="94">
        <v>0.0</v>
      </c>
      <c r="AH1812" s="94">
        <v>0.0</v>
      </c>
    </row>
    <row r="1813" hidden="1">
      <c r="A1813" s="83" t="s">
        <v>34</v>
      </c>
      <c r="B1813" s="84" t="s">
        <v>228</v>
      </c>
      <c r="C1813" s="85">
        <v>1.0</v>
      </c>
      <c r="D1813" s="85">
        <v>1.0</v>
      </c>
      <c r="E1813" s="96">
        <f t="shared" si="1371"/>
        <v>4.166666667</v>
      </c>
      <c r="F1813" s="85">
        <v>1.0</v>
      </c>
      <c r="G1813" s="85">
        <v>28.0</v>
      </c>
      <c r="H1813" s="94">
        <v>0.0</v>
      </c>
      <c r="I1813" s="85">
        <v>25.0</v>
      </c>
      <c r="J1813" s="95">
        <f t="shared" si="1364"/>
        <v>3</v>
      </c>
      <c r="K1813" s="87">
        <f t="shared" si="1365"/>
        <v>1.12</v>
      </c>
      <c r="L1813" s="85">
        <v>10.0</v>
      </c>
      <c r="M1813" s="85">
        <v>33.0</v>
      </c>
      <c r="N1813" s="85">
        <v>1.0</v>
      </c>
      <c r="O1813" s="110">
        <f t="shared" si="1372"/>
        <v>4.166666667</v>
      </c>
      <c r="P1813" s="85">
        <v>1.0</v>
      </c>
      <c r="Q1813" s="85">
        <v>1.0</v>
      </c>
      <c r="R1813" s="85">
        <v>2.0</v>
      </c>
      <c r="S1813" s="94">
        <v>0.0</v>
      </c>
      <c r="T1813" s="85">
        <v>6.0</v>
      </c>
      <c r="U1813" s="94">
        <v>0.0</v>
      </c>
      <c r="V1813" s="94">
        <v>0.0</v>
      </c>
      <c r="W1813" s="94">
        <v>0.0</v>
      </c>
      <c r="X1813" s="94">
        <v>0.0</v>
      </c>
      <c r="Y1813" s="94">
        <v>0.0</v>
      </c>
      <c r="Z1813" s="94">
        <v>0.0</v>
      </c>
      <c r="AA1813" s="94">
        <v>0.0</v>
      </c>
      <c r="AB1813" s="94">
        <v>0.0</v>
      </c>
      <c r="AC1813" s="94">
        <v>0.0</v>
      </c>
      <c r="AD1813" s="94">
        <v>0.0</v>
      </c>
      <c r="AE1813" s="94">
        <v>0.0</v>
      </c>
      <c r="AF1813" s="94">
        <v>0.0</v>
      </c>
      <c r="AG1813" s="94">
        <v>0.0</v>
      </c>
      <c r="AH1813" s="94">
        <v>0.0</v>
      </c>
    </row>
    <row r="1814" hidden="1">
      <c r="A1814" s="83" t="s">
        <v>34</v>
      </c>
      <c r="B1814" s="84" t="s">
        <v>229</v>
      </c>
      <c r="C1814" s="85">
        <v>1.0</v>
      </c>
      <c r="D1814" s="85">
        <v>1.0</v>
      </c>
      <c r="E1814" s="96">
        <f t="shared" si="1371"/>
        <v>4.816666667</v>
      </c>
      <c r="F1814" s="85">
        <v>1.0</v>
      </c>
      <c r="G1814" s="85">
        <v>16.0</v>
      </c>
      <c r="H1814" s="94">
        <v>0.0</v>
      </c>
      <c r="I1814" s="85">
        <v>17.0</v>
      </c>
      <c r="J1814" s="95">
        <f t="shared" si="1364"/>
        <v>-1</v>
      </c>
      <c r="K1814" s="87">
        <f t="shared" si="1365"/>
        <v>0.9411764706</v>
      </c>
      <c r="L1814" s="85">
        <v>17.0</v>
      </c>
      <c r="M1814" s="85">
        <v>17.0</v>
      </c>
      <c r="N1814" s="85">
        <v>1.0</v>
      </c>
      <c r="O1814" s="110">
        <f t="shared" si="1372"/>
        <v>4.816666667</v>
      </c>
      <c r="P1814" s="85">
        <v>1.0</v>
      </c>
      <c r="Q1814" s="85">
        <v>1.0</v>
      </c>
      <c r="R1814" s="94">
        <v>0.0</v>
      </c>
      <c r="S1814" s="94">
        <v>0.0</v>
      </c>
      <c r="T1814" s="85">
        <v>3.0</v>
      </c>
      <c r="U1814" s="85">
        <v>1.0</v>
      </c>
      <c r="V1814" s="94">
        <v>0.0</v>
      </c>
      <c r="W1814" s="94">
        <v>0.0</v>
      </c>
      <c r="X1814" s="94">
        <v>0.0</v>
      </c>
      <c r="Y1814" s="94">
        <v>0.0</v>
      </c>
      <c r="Z1814" s="94">
        <v>0.0</v>
      </c>
      <c r="AA1814" s="94">
        <v>0.0</v>
      </c>
      <c r="AB1814" s="94">
        <v>0.0</v>
      </c>
      <c r="AC1814" s="85">
        <v>1.0</v>
      </c>
      <c r="AD1814" s="94">
        <v>0.0</v>
      </c>
      <c r="AE1814" s="94">
        <v>0.0</v>
      </c>
      <c r="AF1814" s="94">
        <v>0.0</v>
      </c>
      <c r="AG1814" s="94">
        <v>0.0</v>
      </c>
      <c r="AH1814" s="94">
        <v>0.0</v>
      </c>
    </row>
    <row r="1815" hidden="1">
      <c r="A1815" s="83" t="s">
        <v>34</v>
      </c>
      <c r="B1815" s="84" t="s">
        <v>230</v>
      </c>
      <c r="C1815" s="85">
        <v>1.0</v>
      </c>
      <c r="D1815" s="85">
        <v>1.0</v>
      </c>
      <c r="E1815" s="96">
        <f t="shared" si="1371"/>
        <v>4.9</v>
      </c>
      <c r="F1815" s="85">
        <v>1.0</v>
      </c>
      <c r="G1815" s="85">
        <v>26.0</v>
      </c>
      <c r="H1815" s="94">
        <v>0.0</v>
      </c>
      <c r="I1815" s="85">
        <v>14.0</v>
      </c>
      <c r="J1815" s="95">
        <f t="shared" si="1364"/>
        <v>12</v>
      </c>
      <c r="K1815" s="87">
        <f t="shared" si="1365"/>
        <v>1.857142857</v>
      </c>
      <c r="L1815" s="85">
        <v>21.0</v>
      </c>
      <c r="M1815" s="85">
        <v>37.0</v>
      </c>
      <c r="N1815" s="85">
        <v>1.0</v>
      </c>
      <c r="O1815" s="110">
        <f t="shared" si="1372"/>
        <v>4.9</v>
      </c>
      <c r="P1815" s="85">
        <v>3.0</v>
      </c>
      <c r="Q1815" s="85">
        <v>1.0</v>
      </c>
      <c r="R1815" s="94">
        <v>0.0</v>
      </c>
      <c r="S1815" s="85">
        <v>1.0</v>
      </c>
      <c r="T1815" s="85">
        <v>6.0</v>
      </c>
      <c r="U1815" s="85">
        <v>2.0</v>
      </c>
      <c r="V1815" s="94">
        <v>0.0</v>
      </c>
      <c r="W1815" s="94">
        <v>0.0</v>
      </c>
      <c r="X1815" s="94">
        <v>0.0</v>
      </c>
      <c r="Y1815" s="94">
        <v>0.0</v>
      </c>
      <c r="Z1815" s="94">
        <v>0.0</v>
      </c>
      <c r="AA1815" s="94">
        <v>0.0</v>
      </c>
      <c r="AB1815" s="94">
        <v>0.0</v>
      </c>
      <c r="AC1815" s="94">
        <v>0.0</v>
      </c>
      <c r="AD1815" s="94">
        <v>0.0</v>
      </c>
      <c r="AE1815" s="94">
        <v>0.0</v>
      </c>
      <c r="AF1815" s="94">
        <v>0.0</v>
      </c>
      <c r="AG1815" s="94">
        <v>0.0</v>
      </c>
      <c r="AH1815" s="94">
        <v>0.0</v>
      </c>
    </row>
    <row r="1816" hidden="1">
      <c r="A1816" s="83" t="s">
        <v>34</v>
      </c>
      <c r="B1816" s="84" t="s">
        <v>231</v>
      </c>
      <c r="C1816" s="94">
        <v>0.0</v>
      </c>
      <c r="D1816" s="94">
        <v>0.0</v>
      </c>
      <c r="E1816" s="96">
        <f t="shared" si="1371"/>
        <v>0</v>
      </c>
      <c r="F1816" s="94">
        <v>0.0</v>
      </c>
      <c r="G1816" s="94">
        <v>0.0</v>
      </c>
      <c r="H1816" s="94">
        <v>0.0</v>
      </c>
      <c r="I1816" s="94">
        <v>0.0</v>
      </c>
      <c r="J1816" s="95">
        <f t="shared" si="1364"/>
        <v>0</v>
      </c>
      <c r="K1816" s="87" t="str">
        <f t="shared" si="1365"/>
        <v>#DIV/0!</v>
      </c>
      <c r="L1816" s="94">
        <v>0.0</v>
      </c>
      <c r="M1816" s="94">
        <v>0.0</v>
      </c>
      <c r="N1816" s="85">
        <v>0.0</v>
      </c>
      <c r="O1816" s="110">
        <f t="shared" si="1372"/>
        <v>0</v>
      </c>
      <c r="P1816" s="94">
        <v>0.0</v>
      </c>
      <c r="Q1816" s="94">
        <v>0.0</v>
      </c>
      <c r="R1816" s="94">
        <v>0.0</v>
      </c>
      <c r="S1816" s="94">
        <v>0.0</v>
      </c>
      <c r="T1816" s="94">
        <v>0.0</v>
      </c>
      <c r="U1816" s="94">
        <v>0.0</v>
      </c>
      <c r="V1816" s="94">
        <v>0.0</v>
      </c>
      <c r="W1816" s="94">
        <v>0.0</v>
      </c>
      <c r="X1816" s="94">
        <v>0.0</v>
      </c>
      <c r="Y1816" s="94">
        <v>0.0</v>
      </c>
      <c r="Z1816" s="94">
        <v>0.0</v>
      </c>
      <c r="AA1816" s="94">
        <v>0.0</v>
      </c>
      <c r="AB1816" s="94">
        <v>0.0</v>
      </c>
      <c r="AC1816" s="94">
        <v>0.0</v>
      </c>
      <c r="AD1816" s="94">
        <v>0.0</v>
      </c>
      <c r="AE1816" s="94">
        <v>0.0</v>
      </c>
      <c r="AF1816" s="94">
        <v>0.0</v>
      </c>
      <c r="AG1816" s="94">
        <v>0.0</v>
      </c>
      <c r="AH1816" s="94">
        <v>0.0</v>
      </c>
    </row>
    <row r="1817" hidden="1">
      <c r="A1817" s="83" t="s">
        <v>34</v>
      </c>
      <c r="B1817" s="93"/>
      <c r="C1817" s="94">
        <v>0.0</v>
      </c>
      <c r="D1817" s="94">
        <v>0.0</v>
      </c>
      <c r="E1817" s="96">
        <f t="shared" si="1371"/>
        <v>0</v>
      </c>
      <c r="F1817" s="94">
        <v>0.0</v>
      </c>
      <c r="G1817" s="94">
        <v>0.0</v>
      </c>
      <c r="H1817" s="94">
        <v>0.0</v>
      </c>
      <c r="I1817" s="94">
        <v>0.0</v>
      </c>
      <c r="J1817" s="95">
        <f t="shared" si="1364"/>
        <v>0</v>
      </c>
      <c r="K1817" s="87" t="str">
        <f t="shared" si="1365"/>
        <v>#DIV/0!</v>
      </c>
      <c r="L1817" s="94">
        <v>0.0</v>
      </c>
      <c r="M1817" s="94">
        <v>0.0</v>
      </c>
      <c r="N1817" s="85">
        <v>0.0</v>
      </c>
      <c r="O1817" s="110">
        <f t="shared" si="1372"/>
        <v>0</v>
      </c>
      <c r="P1817" s="94">
        <v>0.0</v>
      </c>
      <c r="Q1817" s="94">
        <v>0.0</v>
      </c>
      <c r="R1817" s="94">
        <v>0.0</v>
      </c>
      <c r="S1817" s="94">
        <v>0.0</v>
      </c>
      <c r="T1817" s="94">
        <v>0.0</v>
      </c>
      <c r="U1817" s="94">
        <v>0.0</v>
      </c>
      <c r="V1817" s="94">
        <v>0.0</v>
      </c>
      <c r="W1817" s="94">
        <v>0.0</v>
      </c>
      <c r="X1817" s="94">
        <v>0.0</v>
      </c>
      <c r="Y1817" s="94">
        <v>0.0</v>
      </c>
      <c r="Z1817" s="94">
        <v>0.0</v>
      </c>
      <c r="AA1817" s="94">
        <v>0.0</v>
      </c>
      <c r="AB1817" s="94">
        <v>0.0</v>
      </c>
      <c r="AC1817" s="94">
        <v>0.0</v>
      </c>
      <c r="AD1817" s="94">
        <v>0.0</v>
      </c>
      <c r="AE1817" s="94">
        <v>0.0</v>
      </c>
      <c r="AF1817" s="94">
        <v>0.0</v>
      </c>
      <c r="AG1817" s="94">
        <v>0.0</v>
      </c>
      <c r="AH1817" s="94">
        <v>0.0</v>
      </c>
    </row>
    <row r="1818" hidden="1">
      <c r="A1818" s="89" t="s">
        <v>185</v>
      </c>
      <c r="B1818" s="111"/>
      <c r="C1818" s="111">
        <f>SUM(C1812:C1817)</f>
        <v>4</v>
      </c>
      <c r="D1818" s="111">
        <f t="shared" ref="D1818:E1818" si="1373">SUM(D1812:D1817)/4</f>
        <v>1</v>
      </c>
      <c r="E1818" s="91">
        <f t="shared" si="1373"/>
        <v>4.670833333</v>
      </c>
      <c r="F1818" s="111">
        <f t="shared" ref="F1818:G1818" si="1374">SUM(F1812:F1817)</f>
        <v>5</v>
      </c>
      <c r="G1818" s="111">
        <f t="shared" si="1374"/>
        <v>101</v>
      </c>
      <c r="H1818" s="111"/>
      <c r="I1818" s="111">
        <f>SUM(I1812:I1817)</f>
        <v>74</v>
      </c>
      <c r="J1818" s="111">
        <f t="shared" si="1364"/>
        <v>27</v>
      </c>
      <c r="K1818" s="92">
        <f t="shared" si="1365"/>
        <v>1.364864865</v>
      </c>
      <c r="L1818" s="111">
        <f t="shared" ref="L1818:M1818" si="1375">SUM(L1812:L1817)</f>
        <v>64</v>
      </c>
      <c r="M1818" s="111">
        <f t="shared" si="1375"/>
        <v>136</v>
      </c>
      <c r="N1818" s="111"/>
      <c r="O1818" s="112"/>
      <c r="P1818" s="111">
        <f t="shared" ref="P1818:AH1818" si="1376">SUM(P1812:P1817)</f>
        <v>5</v>
      </c>
      <c r="Q1818" s="111">
        <f t="shared" si="1376"/>
        <v>3</v>
      </c>
      <c r="R1818" s="111">
        <f t="shared" si="1376"/>
        <v>9</v>
      </c>
      <c r="S1818" s="111">
        <f t="shared" si="1376"/>
        <v>1</v>
      </c>
      <c r="T1818" s="111">
        <f t="shared" si="1376"/>
        <v>21</v>
      </c>
      <c r="U1818" s="111">
        <f t="shared" si="1376"/>
        <v>5</v>
      </c>
      <c r="V1818" s="111">
        <f t="shared" si="1376"/>
        <v>0</v>
      </c>
      <c r="W1818" s="111">
        <f t="shared" si="1376"/>
        <v>0</v>
      </c>
      <c r="X1818" s="111">
        <f t="shared" si="1376"/>
        <v>0</v>
      </c>
      <c r="Y1818" s="111">
        <f t="shared" si="1376"/>
        <v>0</v>
      </c>
      <c r="Z1818" s="111">
        <f t="shared" si="1376"/>
        <v>0</v>
      </c>
      <c r="AA1818" s="111">
        <f t="shared" si="1376"/>
        <v>0</v>
      </c>
      <c r="AB1818" s="111">
        <f t="shared" si="1376"/>
        <v>0</v>
      </c>
      <c r="AC1818" s="111">
        <f t="shared" si="1376"/>
        <v>3</v>
      </c>
      <c r="AD1818" s="111">
        <f t="shared" si="1376"/>
        <v>0</v>
      </c>
      <c r="AE1818" s="111">
        <f t="shared" si="1376"/>
        <v>0</v>
      </c>
      <c r="AF1818" s="111">
        <f t="shared" si="1376"/>
        <v>0</v>
      </c>
      <c r="AG1818" s="111">
        <f t="shared" si="1376"/>
        <v>0</v>
      </c>
      <c r="AH1818" s="111">
        <f t="shared" si="1376"/>
        <v>0</v>
      </c>
    </row>
    <row r="1819">
      <c r="A1819" s="104" t="s">
        <v>355</v>
      </c>
    </row>
    <row r="1821" hidden="1">
      <c r="A1821" s="105"/>
      <c r="F1821" s="106" t="s">
        <v>251</v>
      </c>
      <c r="L1821" s="107" t="s">
        <v>252</v>
      </c>
      <c r="N1821" s="108" t="s">
        <v>253</v>
      </c>
    </row>
    <row r="1822" hidden="1">
      <c r="A1822" s="76" t="s">
        <v>148</v>
      </c>
      <c r="B1822" s="76" t="s">
        <v>149</v>
      </c>
      <c r="C1822" s="76" t="s">
        <v>150</v>
      </c>
      <c r="D1822" s="76" t="s">
        <v>13</v>
      </c>
      <c r="E1822" s="77" t="s">
        <v>151</v>
      </c>
      <c r="F1822" s="78" t="s">
        <v>15</v>
      </c>
      <c r="G1822" s="78" t="s">
        <v>152</v>
      </c>
      <c r="H1822" s="78" t="s">
        <v>153</v>
      </c>
      <c r="I1822" s="78" t="s">
        <v>154</v>
      </c>
      <c r="J1822" s="78" t="s">
        <v>155</v>
      </c>
      <c r="K1822" s="79" t="s">
        <v>156</v>
      </c>
      <c r="L1822" s="80" t="s">
        <v>157</v>
      </c>
      <c r="M1822" s="80" t="s">
        <v>158</v>
      </c>
      <c r="N1822" s="81" t="s">
        <v>254</v>
      </c>
      <c r="O1822" s="81" t="s">
        <v>151</v>
      </c>
      <c r="P1822" s="81" t="s">
        <v>160</v>
      </c>
      <c r="Q1822" s="81" t="s">
        <v>161</v>
      </c>
      <c r="R1822" s="81" t="s">
        <v>162</v>
      </c>
      <c r="S1822" s="81" t="s">
        <v>163</v>
      </c>
      <c r="T1822" s="81" t="s">
        <v>164</v>
      </c>
      <c r="U1822" s="81" t="s">
        <v>165</v>
      </c>
      <c r="V1822" s="81" t="s">
        <v>166</v>
      </c>
      <c r="W1822" s="81" t="s">
        <v>167</v>
      </c>
      <c r="X1822" s="81" t="s">
        <v>168</v>
      </c>
      <c r="Y1822" s="81" t="s">
        <v>169</v>
      </c>
      <c r="Z1822" s="81" t="s">
        <v>170</v>
      </c>
      <c r="AA1822" s="81" t="s">
        <v>171</v>
      </c>
      <c r="AB1822" s="81" t="s">
        <v>172</v>
      </c>
      <c r="AC1822" s="81" t="s">
        <v>173</v>
      </c>
      <c r="AD1822" s="81" t="s">
        <v>174</v>
      </c>
      <c r="AE1822" s="81" t="s">
        <v>175</v>
      </c>
      <c r="AF1822" s="81" t="s">
        <v>176</v>
      </c>
      <c r="AG1822" s="81" t="s">
        <v>177</v>
      </c>
      <c r="AH1822" s="81" t="s">
        <v>178</v>
      </c>
    </row>
    <row r="1823" hidden="1">
      <c r="A1823" s="109"/>
      <c r="B1823" s="93"/>
      <c r="C1823" s="94">
        <v>0.0</v>
      </c>
      <c r="D1823" s="94">
        <v>0.0</v>
      </c>
      <c r="E1823" s="96">
        <f t="shared" ref="E1823:E1828" si="1377">SUM(L1823*I1823)/60</f>
        <v>0</v>
      </c>
      <c r="F1823" s="94">
        <v>0.0</v>
      </c>
      <c r="G1823" s="94">
        <v>0.0</v>
      </c>
      <c r="H1823" s="94">
        <v>0.0</v>
      </c>
      <c r="I1823" s="94">
        <v>0.0</v>
      </c>
      <c r="J1823" s="95">
        <f t="shared" ref="J1823:J1836" si="1378">SUM(G1823-I1823)</f>
        <v>0</v>
      </c>
      <c r="K1823" s="87" t="str">
        <f t="shared" ref="K1823:K1836" si="1379">SUM(G1823/I1823)</f>
        <v>#DIV/0!</v>
      </c>
      <c r="L1823" s="94">
        <v>0.0</v>
      </c>
      <c r="M1823" s="94">
        <v>0.0</v>
      </c>
      <c r="N1823" s="94" t="s">
        <v>255</v>
      </c>
      <c r="O1823" s="110" t="str">
        <f t="shared" ref="O1823:O1828" si="1380">(E1823*N1823)</f>
        <v>#VALUE!</v>
      </c>
      <c r="P1823" s="94">
        <v>0.0</v>
      </c>
      <c r="Q1823" s="94">
        <v>0.0</v>
      </c>
      <c r="R1823" s="94">
        <v>0.0</v>
      </c>
      <c r="S1823" s="94">
        <v>0.0</v>
      </c>
      <c r="T1823" s="94">
        <v>0.0</v>
      </c>
      <c r="U1823" s="94">
        <v>0.0</v>
      </c>
      <c r="V1823" s="94">
        <v>0.0</v>
      </c>
      <c r="W1823" s="94">
        <v>0.0</v>
      </c>
      <c r="X1823" s="94">
        <v>0.0</v>
      </c>
      <c r="Y1823" s="94">
        <v>0.0</v>
      </c>
      <c r="Z1823" s="94">
        <v>0.0</v>
      </c>
      <c r="AA1823" s="94">
        <v>0.0</v>
      </c>
      <c r="AB1823" s="94">
        <v>0.0</v>
      </c>
      <c r="AC1823" s="94">
        <v>0.0</v>
      </c>
      <c r="AD1823" s="94">
        <v>0.0</v>
      </c>
      <c r="AE1823" s="94">
        <v>0.0</v>
      </c>
      <c r="AF1823" s="94">
        <v>0.0</v>
      </c>
      <c r="AG1823" s="94">
        <v>0.0</v>
      </c>
      <c r="AH1823" s="94">
        <v>0.0</v>
      </c>
    </row>
    <row r="1824" hidden="1">
      <c r="A1824" s="109"/>
      <c r="B1824" s="93"/>
      <c r="C1824" s="94">
        <v>0.0</v>
      </c>
      <c r="D1824" s="94">
        <v>0.0</v>
      </c>
      <c r="E1824" s="96">
        <f t="shared" si="1377"/>
        <v>0</v>
      </c>
      <c r="F1824" s="94">
        <v>0.0</v>
      </c>
      <c r="G1824" s="94">
        <v>0.0</v>
      </c>
      <c r="H1824" s="94">
        <v>0.0</v>
      </c>
      <c r="I1824" s="94">
        <v>0.0</v>
      </c>
      <c r="J1824" s="95">
        <f t="shared" si="1378"/>
        <v>0</v>
      </c>
      <c r="K1824" s="87" t="str">
        <f t="shared" si="1379"/>
        <v>#DIV/0!</v>
      </c>
      <c r="L1824" s="94">
        <v>0.0</v>
      </c>
      <c r="M1824" s="94">
        <v>0.0</v>
      </c>
      <c r="N1824" s="94" t="s">
        <v>255</v>
      </c>
      <c r="O1824" s="110" t="str">
        <f t="shared" si="1380"/>
        <v>#VALUE!</v>
      </c>
      <c r="P1824" s="94">
        <v>0.0</v>
      </c>
      <c r="Q1824" s="94">
        <v>0.0</v>
      </c>
      <c r="R1824" s="94">
        <v>0.0</v>
      </c>
      <c r="S1824" s="94">
        <v>0.0</v>
      </c>
      <c r="T1824" s="94">
        <v>0.0</v>
      </c>
      <c r="U1824" s="94">
        <v>0.0</v>
      </c>
      <c r="V1824" s="94">
        <v>0.0</v>
      </c>
      <c r="W1824" s="94">
        <v>0.0</v>
      </c>
      <c r="X1824" s="94">
        <v>0.0</v>
      </c>
      <c r="Y1824" s="94">
        <v>0.0</v>
      </c>
      <c r="Z1824" s="94">
        <v>0.0</v>
      </c>
      <c r="AA1824" s="94">
        <v>0.0</v>
      </c>
      <c r="AB1824" s="94">
        <v>0.0</v>
      </c>
      <c r="AC1824" s="94">
        <v>0.0</v>
      </c>
      <c r="AD1824" s="94">
        <v>0.0</v>
      </c>
      <c r="AE1824" s="94">
        <v>0.0</v>
      </c>
      <c r="AF1824" s="94">
        <v>0.0</v>
      </c>
      <c r="AG1824" s="94">
        <v>0.0</v>
      </c>
      <c r="AH1824" s="94">
        <v>0.0</v>
      </c>
    </row>
    <row r="1825" hidden="1">
      <c r="A1825" s="109"/>
      <c r="B1825" s="93"/>
      <c r="C1825" s="94">
        <v>0.0</v>
      </c>
      <c r="D1825" s="94">
        <v>0.0</v>
      </c>
      <c r="E1825" s="96">
        <f t="shared" si="1377"/>
        <v>0</v>
      </c>
      <c r="F1825" s="94">
        <v>0.0</v>
      </c>
      <c r="G1825" s="94">
        <v>0.0</v>
      </c>
      <c r="H1825" s="94">
        <v>0.0</v>
      </c>
      <c r="I1825" s="94">
        <v>0.0</v>
      </c>
      <c r="J1825" s="95">
        <f t="shared" si="1378"/>
        <v>0</v>
      </c>
      <c r="K1825" s="87" t="str">
        <f t="shared" si="1379"/>
        <v>#DIV/0!</v>
      </c>
      <c r="L1825" s="94">
        <v>0.0</v>
      </c>
      <c r="M1825" s="94">
        <v>0.0</v>
      </c>
      <c r="N1825" s="94" t="s">
        <v>255</v>
      </c>
      <c r="O1825" s="110" t="str">
        <f t="shared" si="1380"/>
        <v>#VALUE!</v>
      </c>
      <c r="P1825" s="94">
        <v>0.0</v>
      </c>
      <c r="Q1825" s="94">
        <v>0.0</v>
      </c>
      <c r="R1825" s="94">
        <v>0.0</v>
      </c>
      <c r="S1825" s="94">
        <v>0.0</v>
      </c>
      <c r="T1825" s="94">
        <v>0.0</v>
      </c>
      <c r="U1825" s="94">
        <v>0.0</v>
      </c>
      <c r="V1825" s="94">
        <v>0.0</v>
      </c>
      <c r="W1825" s="94">
        <v>0.0</v>
      </c>
      <c r="X1825" s="94">
        <v>0.0</v>
      </c>
      <c r="Y1825" s="94">
        <v>0.0</v>
      </c>
      <c r="Z1825" s="94">
        <v>0.0</v>
      </c>
      <c r="AA1825" s="94">
        <v>0.0</v>
      </c>
      <c r="AB1825" s="94">
        <v>0.0</v>
      </c>
      <c r="AC1825" s="94">
        <v>0.0</v>
      </c>
      <c r="AD1825" s="94">
        <v>0.0</v>
      </c>
      <c r="AE1825" s="94">
        <v>0.0</v>
      </c>
      <c r="AF1825" s="94">
        <v>0.0</v>
      </c>
      <c r="AG1825" s="94">
        <v>0.0</v>
      </c>
      <c r="AH1825" s="94">
        <v>0.0</v>
      </c>
    </row>
    <row r="1826" hidden="1">
      <c r="A1826" s="109"/>
      <c r="B1826" s="93"/>
      <c r="C1826" s="94">
        <v>0.0</v>
      </c>
      <c r="D1826" s="94">
        <v>0.0</v>
      </c>
      <c r="E1826" s="96">
        <f t="shared" si="1377"/>
        <v>0</v>
      </c>
      <c r="F1826" s="94">
        <v>0.0</v>
      </c>
      <c r="G1826" s="94">
        <v>0.0</v>
      </c>
      <c r="H1826" s="94">
        <v>0.0</v>
      </c>
      <c r="I1826" s="94">
        <v>0.0</v>
      </c>
      <c r="J1826" s="95">
        <f t="shared" si="1378"/>
        <v>0</v>
      </c>
      <c r="K1826" s="87" t="str">
        <f t="shared" si="1379"/>
        <v>#DIV/0!</v>
      </c>
      <c r="L1826" s="94">
        <v>0.0</v>
      </c>
      <c r="M1826" s="94">
        <v>0.0</v>
      </c>
      <c r="N1826" s="94" t="s">
        <v>255</v>
      </c>
      <c r="O1826" s="110" t="str">
        <f t="shared" si="1380"/>
        <v>#VALUE!</v>
      </c>
      <c r="P1826" s="94">
        <v>0.0</v>
      </c>
      <c r="Q1826" s="94">
        <v>0.0</v>
      </c>
      <c r="R1826" s="94">
        <v>0.0</v>
      </c>
      <c r="S1826" s="94">
        <v>0.0</v>
      </c>
      <c r="T1826" s="94">
        <v>0.0</v>
      </c>
      <c r="U1826" s="94">
        <v>0.0</v>
      </c>
      <c r="V1826" s="94">
        <v>0.0</v>
      </c>
      <c r="W1826" s="94">
        <v>0.0</v>
      </c>
      <c r="X1826" s="94">
        <v>0.0</v>
      </c>
      <c r="Y1826" s="94">
        <v>0.0</v>
      </c>
      <c r="Z1826" s="94">
        <v>0.0</v>
      </c>
      <c r="AA1826" s="94">
        <v>0.0</v>
      </c>
      <c r="AB1826" s="94">
        <v>0.0</v>
      </c>
      <c r="AC1826" s="94">
        <v>0.0</v>
      </c>
      <c r="AD1826" s="94">
        <v>0.0</v>
      </c>
      <c r="AE1826" s="94">
        <v>0.0</v>
      </c>
      <c r="AF1826" s="94">
        <v>0.0</v>
      </c>
      <c r="AG1826" s="94">
        <v>0.0</v>
      </c>
      <c r="AH1826" s="94">
        <v>0.0</v>
      </c>
    </row>
    <row r="1827" hidden="1">
      <c r="A1827" s="109"/>
      <c r="B1827" s="93"/>
      <c r="C1827" s="94">
        <v>0.0</v>
      </c>
      <c r="D1827" s="94">
        <v>0.0</v>
      </c>
      <c r="E1827" s="96">
        <f t="shared" si="1377"/>
        <v>0</v>
      </c>
      <c r="F1827" s="94">
        <v>0.0</v>
      </c>
      <c r="G1827" s="94">
        <v>0.0</v>
      </c>
      <c r="H1827" s="94">
        <v>0.0</v>
      </c>
      <c r="I1827" s="94">
        <v>0.0</v>
      </c>
      <c r="J1827" s="95">
        <f t="shared" si="1378"/>
        <v>0</v>
      </c>
      <c r="K1827" s="87" t="str">
        <f t="shared" si="1379"/>
        <v>#DIV/0!</v>
      </c>
      <c r="L1827" s="94">
        <v>0.0</v>
      </c>
      <c r="M1827" s="94">
        <v>0.0</v>
      </c>
      <c r="N1827" s="94" t="s">
        <v>255</v>
      </c>
      <c r="O1827" s="110" t="str">
        <f t="shared" si="1380"/>
        <v>#VALUE!</v>
      </c>
      <c r="P1827" s="94">
        <v>0.0</v>
      </c>
      <c r="Q1827" s="94">
        <v>0.0</v>
      </c>
      <c r="R1827" s="94">
        <v>0.0</v>
      </c>
      <c r="S1827" s="94">
        <v>0.0</v>
      </c>
      <c r="T1827" s="94">
        <v>0.0</v>
      </c>
      <c r="U1827" s="94">
        <v>0.0</v>
      </c>
      <c r="V1827" s="94">
        <v>0.0</v>
      </c>
      <c r="W1827" s="94">
        <v>0.0</v>
      </c>
      <c r="X1827" s="94">
        <v>0.0</v>
      </c>
      <c r="Y1827" s="94">
        <v>0.0</v>
      </c>
      <c r="Z1827" s="94">
        <v>0.0</v>
      </c>
      <c r="AA1827" s="94">
        <v>0.0</v>
      </c>
      <c r="AB1827" s="94">
        <v>0.0</v>
      </c>
      <c r="AC1827" s="94">
        <v>0.0</v>
      </c>
      <c r="AD1827" s="94">
        <v>0.0</v>
      </c>
      <c r="AE1827" s="94">
        <v>0.0</v>
      </c>
      <c r="AF1827" s="94">
        <v>0.0</v>
      </c>
      <c r="AG1827" s="94">
        <v>0.0</v>
      </c>
      <c r="AH1827" s="94">
        <v>0.0</v>
      </c>
    </row>
    <row r="1828" hidden="1">
      <c r="A1828" s="109"/>
      <c r="B1828" s="93"/>
      <c r="C1828" s="94">
        <v>0.0</v>
      </c>
      <c r="D1828" s="94">
        <v>0.0</v>
      </c>
      <c r="E1828" s="96">
        <f t="shared" si="1377"/>
        <v>0</v>
      </c>
      <c r="F1828" s="94">
        <v>0.0</v>
      </c>
      <c r="G1828" s="94">
        <v>0.0</v>
      </c>
      <c r="H1828" s="94">
        <v>0.0</v>
      </c>
      <c r="I1828" s="94">
        <v>0.0</v>
      </c>
      <c r="J1828" s="95">
        <f t="shared" si="1378"/>
        <v>0</v>
      </c>
      <c r="K1828" s="87" t="str">
        <f t="shared" si="1379"/>
        <v>#DIV/0!</v>
      </c>
      <c r="L1828" s="94">
        <v>0.0</v>
      </c>
      <c r="M1828" s="94">
        <v>0.0</v>
      </c>
      <c r="N1828" s="94" t="s">
        <v>255</v>
      </c>
      <c r="O1828" s="110" t="str">
        <f t="shared" si="1380"/>
        <v>#VALUE!</v>
      </c>
      <c r="P1828" s="94">
        <v>0.0</v>
      </c>
      <c r="Q1828" s="94">
        <v>0.0</v>
      </c>
      <c r="R1828" s="94">
        <v>0.0</v>
      </c>
      <c r="S1828" s="94">
        <v>0.0</v>
      </c>
      <c r="T1828" s="94">
        <v>0.0</v>
      </c>
      <c r="U1828" s="94">
        <v>0.0</v>
      </c>
      <c r="V1828" s="94">
        <v>0.0</v>
      </c>
      <c r="W1828" s="94">
        <v>0.0</v>
      </c>
      <c r="X1828" s="94">
        <v>0.0</v>
      </c>
      <c r="Y1828" s="94">
        <v>0.0</v>
      </c>
      <c r="Z1828" s="94">
        <v>0.0</v>
      </c>
      <c r="AA1828" s="94">
        <v>0.0</v>
      </c>
      <c r="AB1828" s="94">
        <v>0.0</v>
      </c>
      <c r="AC1828" s="94">
        <v>0.0</v>
      </c>
      <c r="AD1828" s="94">
        <v>0.0</v>
      </c>
      <c r="AE1828" s="94">
        <v>0.0</v>
      </c>
      <c r="AF1828" s="94">
        <v>0.0</v>
      </c>
      <c r="AG1828" s="94">
        <v>0.0</v>
      </c>
      <c r="AH1828" s="94">
        <v>0.0</v>
      </c>
    </row>
    <row r="1829" hidden="1">
      <c r="A1829" s="89"/>
      <c r="B1829" s="111"/>
      <c r="C1829" s="111">
        <f t="shared" ref="C1829:D1829" si="1381">SUM(C1823:C1828)/4</f>
        <v>0</v>
      </c>
      <c r="D1829" s="111">
        <f t="shared" si="1381"/>
        <v>0</v>
      </c>
      <c r="E1829" s="91">
        <f t="shared" ref="E1829:G1829" si="1382">SUM(E1823:E1828)</f>
        <v>0</v>
      </c>
      <c r="F1829" s="111">
        <f t="shared" si="1382"/>
        <v>0</v>
      </c>
      <c r="G1829" s="111">
        <f t="shared" si="1382"/>
        <v>0</v>
      </c>
      <c r="H1829" s="111"/>
      <c r="I1829" s="111">
        <f>SUM(I1823:I1828)</f>
        <v>0</v>
      </c>
      <c r="J1829" s="111">
        <f t="shared" si="1378"/>
        <v>0</v>
      </c>
      <c r="K1829" s="92" t="str">
        <f t="shared" si="1379"/>
        <v>#DIV/0!</v>
      </c>
      <c r="L1829" s="111">
        <f t="shared" ref="L1829:M1829" si="1383">SUM(L1823:L1828)</f>
        <v>0</v>
      </c>
      <c r="M1829" s="111">
        <f t="shared" si="1383"/>
        <v>0</v>
      </c>
      <c r="N1829" s="111"/>
      <c r="O1829" s="112"/>
      <c r="P1829" s="111">
        <f t="shared" ref="P1829:AH1829" si="1384">SUM(P1823:P1828)</f>
        <v>0</v>
      </c>
      <c r="Q1829" s="111">
        <f t="shared" si="1384"/>
        <v>0</v>
      </c>
      <c r="R1829" s="111">
        <f t="shared" si="1384"/>
        <v>0</v>
      </c>
      <c r="S1829" s="111">
        <f t="shared" si="1384"/>
        <v>0</v>
      </c>
      <c r="T1829" s="111">
        <f t="shared" si="1384"/>
        <v>0</v>
      </c>
      <c r="U1829" s="111">
        <f t="shared" si="1384"/>
        <v>0</v>
      </c>
      <c r="V1829" s="111">
        <f t="shared" si="1384"/>
        <v>0</v>
      </c>
      <c r="W1829" s="111">
        <f t="shared" si="1384"/>
        <v>0</v>
      </c>
      <c r="X1829" s="111">
        <f t="shared" si="1384"/>
        <v>0</v>
      </c>
      <c r="Y1829" s="111">
        <f t="shared" si="1384"/>
        <v>0</v>
      </c>
      <c r="Z1829" s="111">
        <f t="shared" si="1384"/>
        <v>0</v>
      </c>
      <c r="AA1829" s="111">
        <f t="shared" si="1384"/>
        <v>0</v>
      </c>
      <c r="AB1829" s="111">
        <f t="shared" si="1384"/>
        <v>0</v>
      </c>
      <c r="AC1829" s="111">
        <f t="shared" si="1384"/>
        <v>0</v>
      </c>
      <c r="AD1829" s="111">
        <f t="shared" si="1384"/>
        <v>0</v>
      </c>
      <c r="AE1829" s="111">
        <f t="shared" si="1384"/>
        <v>0</v>
      </c>
      <c r="AF1829" s="111">
        <f t="shared" si="1384"/>
        <v>0</v>
      </c>
      <c r="AG1829" s="111">
        <f t="shared" si="1384"/>
        <v>0</v>
      </c>
      <c r="AH1829" s="111">
        <f t="shared" si="1384"/>
        <v>0</v>
      </c>
    </row>
    <row r="1830" hidden="1">
      <c r="A1830" s="109"/>
      <c r="B1830" s="93"/>
      <c r="C1830" s="94">
        <v>0.0</v>
      </c>
      <c r="D1830" s="94">
        <v>0.0</v>
      </c>
      <c r="E1830" s="96">
        <f t="shared" ref="E1830:E1835" si="1385">SUM(L1830*I1830)/60</f>
        <v>0</v>
      </c>
      <c r="F1830" s="94">
        <v>0.0</v>
      </c>
      <c r="G1830" s="94">
        <v>0.0</v>
      </c>
      <c r="H1830" s="94">
        <v>0.0</v>
      </c>
      <c r="I1830" s="94">
        <v>0.0</v>
      </c>
      <c r="J1830" s="95">
        <f t="shared" si="1378"/>
        <v>0</v>
      </c>
      <c r="K1830" s="87" t="str">
        <f t="shared" si="1379"/>
        <v>#DIV/0!</v>
      </c>
      <c r="L1830" s="94">
        <v>0.0</v>
      </c>
      <c r="M1830" s="94">
        <v>0.0</v>
      </c>
      <c r="N1830" s="94" t="s">
        <v>255</v>
      </c>
      <c r="O1830" s="110" t="str">
        <f t="shared" ref="O1830:O1835" si="1386">(E1830*N1830)</f>
        <v>#VALUE!</v>
      </c>
      <c r="P1830" s="94">
        <v>0.0</v>
      </c>
      <c r="Q1830" s="94">
        <v>0.0</v>
      </c>
      <c r="R1830" s="94">
        <v>0.0</v>
      </c>
      <c r="S1830" s="94">
        <v>0.0</v>
      </c>
      <c r="T1830" s="94">
        <v>0.0</v>
      </c>
      <c r="U1830" s="94">
        <v>0.0</v>
      </c>
      <c r="V1830" s="94">
        <v>0.0</v>
      </c>
      <c r="W1830" s="94">
        <v>0.0</v>
      </c>
      <c r="X1830" s="94">
        <v>0.0</v>
      </c>
      <c r="Y1830" s="94">
        <v>0.0</v>
      </c>
      <c r="Z1830" s="94">
        <v>0.0</v>
      </c>
      <c r="AA1830" s="94">
        <v>0.0</v>
      </c>
      <c r="AB1830" s="94">
        <v>0.0</v>
      </c>
      <c r="AC1830" s="94">
        <v>0.0</v>
      </c>
      <c r="AD1830" s="94">
        <v>0.0</v>
      </c>
      <c r="AE1830" s="94">
        <v>0.0</v>
      </c>
      <c r="AF1830" s="94">
        <v>0.0</v>
      </c>
      <c r="AG1830" s="94">
        <v>0.0</v>
      </c>
      <c r="AH1830" s="94">
        <v>0.0</v>
      </c>
    </row>
    <row r="1831" hidden="1">
      <c r="A1831" s="109"/>
      <c r="B1831" s="93"/>
      <c r="C1831" s="94">
        <v>0.0</v>
      </c>
      <c r="D1831" s="94">
        <v>0.0</v>
      </c>
      <c r="E1831" s="96">
        <f t="shared" si="1385"/>
        <v>0</v>
      </c>
      <c r="F1831" s="94">
        <v>0.0</v>
      </c>
      <c r="G1831" s="94">
        <v>0.0</v>
      </c>
      <c r="H1831" s="94">
        <v>0.0</v>
      </c>
      <c r="I1831" s="94">
        <v>0.0</v>
      </c>
      <c r="J1831" s="95">
        <f t="shared" si="1378"/>
        <v>0</v>
      </c>
      <c r="K1831" s="87" t="str">
        <f t="shared" si="1379"/>
        <v>#DIV/0!</v>
      </c>
      <c r="L1831" s="94">
        <v>0.0</v>
      </c>
      <c r="M1831" s="94">
        <v>0.0</v>
      </c>
      <c r="N1831" s="94" t="s">
        <v>255</v>
      </c>
      <c r="O1831" s="110" t="str">
        <f t="shared" si="1386"/>
        <v>#VALUE!</v>
      </c>
      <c r="P1831" s="94">
        <v>0.0</v>
      </c>
      <c r="Q1831" s="94">
        <v>0.0</v>
      </c>
      <c r="R1831" s="94">
        <v>0.0</v>
      </c>
      <c r="S1831" s="94">
        <v>0.0</v>
      </c>
      <c r="T1831" s="94">
        <v>0.0</v>
      </c>
      <c r="U1831" s="94">
        <v>0.0</v>
      </c>
      <c r="V1831" s="94">
        <v>0.0</v>
      </c>
      <c r="W1831" s="94">
        <v>0.0</v>
      </c>
      <c r="X1831" s="94">
        <v>0.0</v>
      </c>
      <c r="Y1831" s="94">
        <v>0.0</v>
      </c>
      <c r="Z1831" s="94">
        <v>0.0</v>
      </c>
      <c r="AA1831" s="94">
        <v>0.0</v>
      </c>
      <c r="AB1831" s="94">
        <v>0.0</v>
      </c>
      <c r="AC1831" s="94">
        <v>0.0</v>
      </c>
      <c r="AD1831" s="94">
        <v>0.0</v>
      </c>
      <c r="AE1831" s="94">
        <v>0.0</v>
      </c>
      <c r="AF1831" s="94">
        <v>0.0</v>
      </c>
      <c r="AG1831" s="94">
        <v>0.0</v>
      </c>
      <c r="AH1831" s="94">
        <v>0.0</v>
      </c>
    </row>
    <row r="1832" hidden="1">
      <c r="A1832" s="109"/>
      <c r="B1832" s="93"/>
      <c r="C1832" s="94">
        <v>0.0</v>
      </c>
      <c r="D1832" s="94">
        <v>0.0</v>
      </c>
      <c r="E1832" s="96">
        <f t="shared" si="1385"/>
        <v>0</v>
      </c>
      <c r="F1832" s="94">
        <v>0.0</v>
      </c>
      <c r="G1832" s="94">
        <v>0.0</v>
      </c>
      <c r="H1832" s="94">
        <v>0.0</v>
      </c>
      <c r="I1832" s="94">
        <v>0.0</v>
      </c>
      <c r="J1832" s="95">
        <f t="shared" si="1378"/>
        <v>0</v>
      </c>
      <c r="K1832" s="87" t="str">
        <f t="shared" si="1379"/>
        <v>#DIV/0!</v>
      </c>
      <c r="L1832" s="94">
        <v>0.0</v>
      </c>
      <c r="M1832" s="94">
        <v>0.0</v>
      </c>
      <c r="N1832" s="94" t="s">
        <v>255</v>
      </c>
      <c r="O1832" s="110" t="str">
        <f t="shared" si="1386"/>
        <v>#VALUE!</v>
      </c>
      <c r="P1832" s="94">
        <v>0.0</v>
      </c>
      <c r="Q1832" s="94">
        <v>0.0</v>
      </c>
      <c r="R1832" s="94">
        <v>0.0</v>
      </c>
      <c r="S1832" s="94">
        <v>0.0</v>
      </c>
      <c r="T1832" s="94">
        <v>0.0</v>
      </c>
      <c r="U1832" s="94">
        <v>0.0</v>
      </c>
      <c r="V1832" s="94">
        <v>0.0</v>
      </c>
      <c r="W1832" s="94">
        <v>0.0</v>
      </c>
      <c r="X1832" s="94">
        <v>0.0</v>
      </c>
      <c r="Y1832" s="94">
        <v>0.0</v>
      </c>
      <c r="Z1832" s="94">
        <v>0.0</v>
      </c>
      <c r="AA1832" s="94">
        <v>0.0</v>
      </c>
      <c r="AB1832" s="94">
        <v>0.0</v>
      </c>
      <c r="AC1832" s="94">
        <v>0.0</v>
      </c>
      <c r="AD1832" s="94">
        <v>0.0</v>
      </c>
      <c r="AE1832" s="94">
        <v>0.0</v>
      </c>
      <c r="AF1832" s="94">
        <v>0.0</v>
      </c>
      <c r="AG1832" s="94">
        <v>0.0</v>
      </c>
      <c r="AH1832" s="94">
        <v>0.0</v>
      </c>
    </row>
    <row r="1833" hidden="1">
      <c r="A1833" s="109"/>
      <c r="B1833" s="93"/>
      <c r="C1833" s="94">
        <v>0.0</v>
      </c>
      <c r="D1833" s="94">
        <v>0.0</v>
      </c>
      <c r="E1833" s="96">
        <f t="shared" si="1385"/>
        <v>0</v>
      </c>
      <c r="F1833" s="94">
        <v>0.0</v>
      </c>
      <c r="G1833" s="94">
        <v>0.0</v>
      </c>
      <c r="H1833" s="94">
        <v>0.0</v>
      </c>
      <c r="I1833" s="94">
        <v>0.0</v>
      </c>
      <c r="J1833" s="95">
        <f t="shared" si="1378"/>
        <v>0</v>
      </c>
      <c r="K1833" s="87" t="str">
        <f t="shared" si="1379"/>
        <v>#DIV/0!</v>
      </c>
      <c r="L1833" s="94">
        <v>0.0</v>
      </c>
      <c r="M1833" s="94">
        <v>0.0</v>
      </c>
      <c r="N1833" s="94" t="s">
        <v>255</v>
      </c>
      <c r="O1833" s="110" t="str">
        <f t="shared" si="1386"/>
        <v>#VALUE!</v>
      </c>
      <c r="P1833" s="94">
        <v>0.0</v>
      </c>
      <c r="Q1833" s="94">
        <v>0.0</v>
      </c>
      <c r="R1833" s="94">
        <v>0.0</v>
      </c>
      <c r="S1833" s="94">
        <v>0.0</v>
      </c>
      <c r="T1833" s="94">
        <v>0.0</v>
      </c>
      <c r="U1833" s="94">
        <v>0.0</v>
      </c>
      <c r="V1833" s="94">
        <v>0.0</v>
      </c>
      <c r="W1833" s="94">
        <v>0.0</v>
      </c>
      <c r="X1833" s="94">
        <v>0.0</v>
      </c>
      <c r="Y1833" s="94">
        <v>0.0</v>
      </c>
      <c r="Z1833" s="94">
        <v>0.0</v>
      </c>
      <c r="AA1833" s="94">
        <v>0.0</v>
      </c>
      <c r="AB1833" s="94">
        <v>0.0</v>
      </c>
      <c r="AC1833" s="94">
        <v>0.0</v>
      </c>
      <c r="AD1833" s="94">
        <v>0.0</v>
      </c>
      <c r="AE1833" s="94">
        <v>0.0</v>
      </c>
      <c r="AF1833" s="94">
        <v>0.0</v>
      </c>
      <c r="AG1833" s="94">
        <v>0.0</v>
      </c>
      <c r="AH1833" s="94">
        <v>0.0</v>
      </c>
    </row>
    <row r="1834" hidden="1">
      <c r="A1834" s="109"/>
      <c r="B1834" s="93"/>
      <c r="C1834" s="94">
        <v>0.0</v>
      </c>
      <c r="D1834" s="94">
        <v>0.0</v>
      </c>
      <c r="E1834" s="96">
        <f t="shared" si="1385"/>
        <v>0</v>
      </c>
      <c r="F1834" s="94">
        <v>0.0</v>
      </c>
      <c r="G1834" s="94">
        <v>0.0</v>
      </c>
      <c r="H1834" s="94">
        <v>0.0</v>
      </c>
      <c r="I1834" s="94">
        <v>0.0</v>
      </c>
      <c r="J1834" s="95">
        <f t="shared" si="1378"/>
        <v>0</v>
      </c>
      <c r="K1834" s="87" t="str">
        <f t="shared" si="1379"/>
        <v>#DIV/0!</v>
      </c>
      <c r="L1834" s="94">
        <v>0.0</v>
      </c>
      <c r="M1834" s="94">
        <v>0.0</v>
      </c>
      <c r="N1834" s="94" t="s">
        <v>255</v>
      </c>
      <c r="O1834" s="110" t="str">
        <f t="shared" si="1386"/>
        <v>#VALUE!</v>
      </c>
      <c r="P1834" s="94">
        <v>0.0</v>
      </c>
      <c r="Q1834" s="94">
        <v>0.0</v>
      </c>
      <c r="R1834" s="94">
        <v>0.0</v>
      </c>
      <c r="S1834" s="94">
        <v>0.0</v>
      </c>
      <c r="T1834" s="94">
        <v>0.0</v>
      </c>
      <c r="U1834" s="94">
        <v>0.0</v>
      </c>
      <c r="V1834" s="94">
        <v>0.0</v>
      </c>
      <c r="W1834" s="94">
        <v>0.0</v>
      </c>
      <c r="X1834" s="94">
        <v>0.0</v>
      </c>
      <c r="Y1834" s="94">
        <v>0.0</v>
      </c>
      <c r="Z1834" s="94">
        <v>0.0</v>
      </c>
      <c r="AA1834" s="94">
        <v>0.0</v>
      </c>
      <c r="AB1834" s="94">
        <v>0.0</v>
      </c>
      <c r="AC1834" s="94">
        <v>0.0</v>
      </c>
      <c r="AD1834" s="94">
        <v>0.0</v>
      </c>
      <c r="AE1834" s="94">
        <v>0.0</v>
      </c>
      <c r="AF1834" s="94">
        <v>0.0</v>
      </c>
      <c r="AG1834" s="94">
        <v>0.0</v>
      </c>
      <c r="AH1834" s="94">
        <v>0.0</v>
      </c>
    </row>
    <row r="1835" hidden="1">
      <c r="A1835" s="109"/>
      <c r="B1835" s="93"/>
      <c r="C1835" s="94">
        <v>0.0</v>
      </c>
      <c r="D1835" s="94">
        <v>0.0</v>
      </c>
      <c r="E1835" s="96">
        <f t="shared" si="1385"/>
        <v>0</v>
      </c>
      <c r="F1835" s="94">
        <v>0.0</v>
      </c>
      <c r="G1835" s="94">
        <v>0.0</v>
      </c>
      <c r="H1835" s="94">
        <v>0.0</v>
      </c>
      <c r="I1835" s="94">
        <v>0.0</v>
      </c>
      <c r="J1835" s="95">
        <f t="shared" si="1378"/>
        <v>0</v>
      </c>
      <c r="K1835" s="87" t="str">
        <f t="shared" si="1379"/>
        <v>#DIV/0!</v>
      </c>
      <c r="L1835" s="94">
        <v>0.0</v>
      </c>
      <c r="M1835" s="94">
        <v>0.0</v>
      </c>
      <c r="N1835" s="94" t="s">
        <v>255</v>
      </c>
      <c r="O1835" s="110" t="str">
        <f t="shared" si="1386"/>
        <v>#VALUE!</v>
      </c>
      <c r="P1835" s="94">
        <v>0.0</v>
      </c>
      <c r="Q1835" s="94">
        <v>0.0</v>
      </c>
      <c r="R1835" s="94">
        <v>0.0</v>
      </c>
      <c r="S1835" s="94">
        <v>0.0</v>
      </c>
      <c r="T1835" s="94">
        <v>0.0</v>
      </c>
      <c r="U1835" s="94">
        <v>0.0</v>
      </c>
      <c r="V1835" s="94">
        <v>0.0</v>
      </c>
      <c r="W1835" s="94">
        <v>0.0</v>
      </c>
      <c r="X1835" s="94">
        <v>0.0</v>
      </c>
      <c r="Y1835" s="94">
        <v>0.0</v>
      </c>
      <c r="Z1835" s="94">
        <v>0.0</v>
      </c>
      <c r="AA1835" s="94">
        <v>0.0</v>
      </c>
      <c r="AB1835" s="94">
        <v>0.0</v>
      </c>
      <c r="AC1835" s="94">
        <v>0.0</v>
      </c>
      <c r="AD1835" s="94">
        <v>0.0</v>
      </c>
      <c r="AE1835" s="94">
        <v>0.0</v>
      </c>
      <c r="AF1835" s="94">
        <v>0.0</v>
      </c>
      <c r="AG1835" s="94">
        <v>0.0</v>
      </c>
      <c r="AH1835" s="94">
        <v>0.0</v>
      </c>
    </row>
    <row r="1836" hidden="1">
      <c r="A1836" s="89" t="s">
        <v>185</v>
      </c>
      <c r="B1836" s="111"/>
      <c r="C1836" s="111">
        <f>SUM(C1830:C1835)</f>
        <v>0</v>
      </c>
      <c r="D1836" s="111">
        <f t="shared" ref="D1836:E1836" si="1387">SUM(D1830:D1835)/4</f>
        <v>0</v>
      </c>
      <c r="E1836" s="91">
        <f t="shared" si="1387"/>
        <v>0</v>
      </c>
      <c r="F1836" s="111">
        <f t="shared" ref="F1836:G1836" si="1388">SUM(F1830:F1835)</f>
        <v>0</v>
      </c>
      <c r="G1836" s="111">
        <f t="shared" si="1388"/>
        <v>0</v>
      </c>
      <c r="H1836" s="111"/>
      <c r="I1836" s="111">
        <f>SUM(I1830:I1835)</f>
        <v>0</v>
      </c>
      <c r="J1836" s="111">
        <f t="shared" si="1378"/>
        <v>0</v>
      </c>
      <c r="K1836" s="92" t="str">
        <f t="shared" si="1379"/>
        <v>#DIV/0!</v>
      </c>
      <c r="L1836" s="111">
        <f t="shared" ref="L1836:M1836" si="1389">SUM(L1830:L1835)</f>
        <v>0</v>
      </c>
      <c r="M1836" s="111">
        <f t="shared" si="1389"/>
        <v>0</v>
      </c>
      <c r="N1836" s="111"/>
      <c r="O1836" s="112"/>
      <c r="P1836" s="111">
        <f t="shared" ref="P1836:AH1836" si="1390">SUM(P1830:P1835)</f>
        <v>0</v>
      </c>
      <c r="Q1836" s="111">
        <f t="shared" si="1390"/>
        <v>0</v>
      </c>
      <c r="R1836" s="111">
        <f t="shared" si="1390"/>
        <v>0</v>
      </c>
      <c r="S1836" s="111">
        <f t="shared" si="1390"/>
        <v>0</v>
      </c>
      <c r="T1836" s="111">
        <f t="shared" si="1390"/>
        <v>0</v>
      </c>
      <c r="U1836" s="111">
        <f t="shared" si="1390"/>
        <v>0</v>
      </c>
      <c r="V1836" s="111">
        <f t="shared" si="1390"/>
        <v>0</v>
      </c>
      <c r="W1836" s="111">
        <f t="shared" si="1390"/>
        <v>0</v>
      </c>
      <c r="X1836" s="111">
        <f t="shared" si="1390"/>
        <v>0</v>
      </c>
      <c r="Y1836" s="111">
        <f t="shared" si="1390"/>
        <v>0</v>
      </c>
      <c r="Z1836" s="111">
        <f t="shared" si="1390"/>
        <v>0</v>
      </c>
      <c r="AA1836" s="111">
        <f t="shared" si="1390"/>
        <v>0</v>
      </c>
      <c r="AB1836" s="111">
        <f t="shared" si="1390"/>
        <v>0</v>
      </c>
      <c r="AC1836" s="111">
        <f t="shared" si="1390"/>
        <v>0</v>
      </c>
      <c r="AD1836" s="111">
        <f t="shared" si="1390"/>
        <v>0</v>
      </c>
      <c r="AE1836" s="111">
        <f t="shared" si="1390"/>
        <v>0</v>
      </c>
      <c r="AF1836" s="111">
        <f t="shared" si="1390"/>
        <v>0</v>
      </c>
      <c r="AG1836" s="111">
        <f t="shared" si="1390"/>
        <v>0</v>
      </c>
      <c r="AH1836" s="111">
        <f t="shared" si="1390"/>
        <v>0</v>
      </c>
    </row>
    <row r="1837">
      <c r="A1837" s="104" t="s">
        <v>355</v>
      </c>
    </row>
    <row r="1839" hidden="1">
      <c r="A1839" s="105"/>
      <c r="F1839" s="106" t="s">
        <v>251</v>
      </c>
      <c r="L1839" s="107" t="s">
        <v>252</v>
      </c>
      <c r="N1839" s="108" t="s">
        <v>253</v>
      </c>
    </row>
    <row r="1840" hidden="1">
      <c r="A1840" s="76" t="s">
        <v>148</v>
      </c>
      <c r="B1840" s="76" t="s">
        <v>149</v>
      </c>
      <c r="C1840" s="76" t="s">
        <v>150</v>
      </c>
      <c r="D1840" s="76" t="s">
        <v>13</v>
      </c>
      <c r="E1840" s="77" t="s">
        <v>151</v>
      </c>
      <c r="F1840" s="78" t="s">
        <v>15</v>
      </c>
      <c r="G1840" s="78" t="s">
        <v>152</v>
      </c>
      <c r="H1840" s="78" t="s">
        <v>153</v>
      </c>
      <c r="I1840" s="78" t="s">
        <v>154</v>
      </c>
      <c r="J1840" s="78" t="s">
        <v>155</v>
      </c>
      <c r="K1840" s="79" t="s">
        <v>156</v>
      </c>
      <c r="L1840" s="80" t="s">
        <v>157</v>
      </c>
      <c r="M1840" s="80" t="s">
        <v>158</v>
      </c>
      <c r="N1840" s="81" t="s">
        <v>254</v>
      </c>
      <c r="O1840" s="81" t="s">
        <v>151</v>
      </c>
      <c r="P1840" s="81" t="s">
        <v>160</v>
      </c>
      <c r="Q1840" s="81" t="s">
        <v>161</v>
      </c>
      <c r="R1840" s="81" t="s">
        <v>162</v>
      </c>
      <c r="S1840" s="81" t="s">
        <v>163</v>
      </c>
      <c r="T1840" s="81" t="s">
        <v>164</v>
      </c>
      <c r="U1840" s="81" t="s">
        <v>165</v>
      </c>
      <c r="V1840" s="81" t="s">
        <v>166</v>
      </c>
      <c r="W1840" s="81" t="s">
        <v>167</v>
      </c>
      <c r="X1840" s="81" t="s">
        <v>168</v>
      </c>
      <c r="Y1840" s="81" t="s">
        <v>169</v>
      </c>
      <c r="Z1840" s="81" t="s">
        <v>170</v>
      </c>
      <c r="AA1840" s="81" t="s">
        <v>171</v>
      </c>
      <c r="AB1840" s="81" t="s">
        <v>172</v>
      </c>
      <c r="AC1840" s="81" t="s">
        <v>173</v>
      </c>
      <c r="AD1840" s="81" t="s">
        <v>174</v>
      </c>
      <c r="AE1840" s="81" t="s">
        <v>175</v>
      </c>
      <c r="AF1840" s="81" t="s">
        <v>176</v>
      </c>
      <c r="AG1840" s="81" t="s">
        <v>177</v>
      </c>
      <c r="AH1840" s="81" t="s">
        <v>178</v>
      </c>
    </row>
    <row r="1841" hidden="1">
      <c r="A1841" s="109"/>
      <c r="B1841" s="93"/>
      <c r="C1841" s="94">
        <v>0.0</v>
      </c>
      <c r="D1841" s="94">
        <v>0.0</v>
      </c>
      <c r="E1841" s="96">
        <f t="shared" ref="E1841:E1846" si="1391">SUM(L1841*I1841)/60</f>
        <v>0</v>
      </c>
      <c r="F1841" s="94">
        <v>0.0</v>
      </c>
      <c r="G1841" s="94">
        <v>0.0</v>
      </c>
      <c r="H1841" s="94">
        <v>0.0</v>
      </c>
      <c r="I1841" s="94">
        <v>0.0</v>
      </c>
      <c r="J1841" s="95">
        <f t="shared" ref="J1841:J1854" si="1392">SUM(G1841-I1841)</f>
        <v>0</v>
      </c>
      <c r="K1841" s="87" t="str">
        <f t="shared" ref="K1841:K1854" si="1393">SUM(G1841/I1841)</f>
        <v>#DIV/0!</v>
      </c>
      <c r="L1841" s="94">
        <v>0.0</v>
      </c>
      <c r="M1841" s="94">
        <v>0.0</v>
      </c>
      <c r="N1841" s="94" t="s">
        <v>255</v>
      </c>
      <c r="O1841" s="110" t="str">
        <f t="shared" ref="O1841:O1846" si="1394">(E1841*N1841)</f>
        <v>#VALUE!</v>
      </c>
      <c r="P1841" s="94">
        <v>0.0</v>
      </c>
      <c r="Q1841" s="94">
        <v>0.0</v>
      </c>
      <c r="R1841" s="94">
        <v>0.0</v>
      </c>
      <c r="S1841" s="94">
        <v>0.0</v>
      </c>
      <c r="T1841" s="94">
        <v>0.0</v>
      </c>
      <c r="U1841" s="94">
        <v>0.0</v>
      </c>
      <c r="V1841" s="94">
        <v>0.0</v>
      </c>
      <c r="W1841" s="94">
        <v>0.0</v>
      </c>
      <c r="X1841" s="94">
        <v>0.0</v>
      </c>
      <c r="Y1841" s="94">
        <v>0.0</v>
      </c>
      <c r="Z1841" s="94">
        <v>0.0</v>
      </c>
      <c r="AA1841" s="94">
        <v>0.0</v>
      </c>
      <c r="AB1841" s="94">
        <v>0.0</v>
      </c>
      <c r="AC1841" s="94">
        <v>0.0</v>
      </c>
      <c r="AD1841" s="94">
        <v>0.0</v>
      </c>
      <c r="AE1841" s="94">
        <v>0.0</v>
      </c>
      <c r="AF1841" s="94">
        <v>0.0</v>
      </c>
      <c r="AG1841" s="94">
        <v>0.0</v>
      </c>
      <c r="AH1841" s="94">
        <v>0.0</v>
      </c>
    </row>
    <row r="1842" hidden="1">
      <c r="A1842" s="109"/>
      <c r="B1842" s="93"/>
      <c r="C1842" s="94">
        <v>0.0</v>
      </c>
      <c r="D1842" s="94">
        <v>0.0</v>
      </c>
      <c r="E1842" s="96">
        <f t="shared" si="1391"/>
        <v>0</v>
      </c>
      <c r="F1842" s="94">
        <v>0.0</v>
      </c>
      <c r="G1842" s="94">
        <v>0.0</v>
      </c>
      <c r="H1842" s="94">
        <v>0.0</v>
      </c>
      <c r="I1842" s="94">
        <v>0.0</v>
      </c>
      <c r="J1842" s="95">
        <f t="shared" si="1392"/>
        <v>0</v>
      </c>
      <c r="K1842" s="87" t="str">
        <f t="shared" si="1393"/>
        <v>#DIV/0!</v>
      </c>
      <c r="L1842" s="94">
        <v>0.0</v>
      </c>
      <c r="M1842" s="94">
        <v>0.0</v>
      </c>
      <c r="N1842" s="94" t="s">
        <v>255</v>
      </c>
      <c r="O1842" s="110" t="str">
        <f t="shared" si="1394"/>
        <v>#VALUE!</v>
      </c>
      <c r="P1842" s="94">
        <v>0.0</v>
      </c>
      <c r="Q1842" s="94">
        <v>0.0</v>
      </c>
      <c r="R1842" s="94">
        <v>0.0</v>
      </c>
      <c r="S1842" s="94">
        <v>0.0</v>
      </c>
      <c r="T1842" s="94">
        <v>0.0</v>
      </c>
      <c r="U1842" s="94">
        <v>0.0</v>
      </c>
      <c r="V1842" s="94">
        <v>0.0</v>
      </c>
      <c r="W1842" s="94">
        <v>0.0</v>
      </c>
      <c r="X1842" s="94">
        <v>0.0</v>
      </c>
      <c r="Y1842" s="94">
        <v>0.0</v>
      </c>
      <c r="Z1842" s="94">
        <v>0.0</v>
      </c>
      <c r="AA1842" s="94">
        <v>0.0</v>
      </c>
      <c r="AB1842" s="94">
        <v>0.0</v>
      </c>
      <c r="AC1842" s="94">
        <v>0.0</v>
      </c>
      <c r="AD1842" s="94">
        <v>0.0</v>
      </c>
      <c r="AE1842" s="94">
        <v>0.0</v>
      </c>
      <c r="AF1842" s="94">
        <v>0.0</v>
      </c>
      <c r="AG1842" s="94">
        <v>0.0</v>
      </c>
      <c r="AH1842" s="94">
        <v>0.0</v>
      </c>
    </row>
    <row r="1843" hidden="1">
      <c r="A1843" s="109"/>
      <c r="B1843" s="93"/>
      <c r="C1843" s="94">
        <v>0.0</v>
      </c>
      <c r="D1843" s="94">
        <v>0.0</v>
      </c>
      <c r="E1843" s="96">
        <f t="shared" si="1391"/>
        <v>0</v>
      </c>
      <c r="F1843" s="94">
        <v>0.0</v>
      </c>
      <c r="G1843" s="94">
        <v>0.0</v>
      </c>
      <c r="H1843" s="94">
        <v>0.0</v>
      </c>
      <c r="I1843" s="94">
        <v>0.0</v>
      </c>
      <c r="J1843" s="95">
        <f t="shared" si="1392"/>
        <v>0</v>
      </c>
      <c r="K1843" s="87" t="str">
        <f t="shared" si="1393"/>
        <v>#DIV/0!</v>
      </c>
      <c r="L1843" s="94">
        <v>0.0</v>
      </c>
      <c r="M1843" s="94">
        <v>0.0</v>
      </c>
      <c r="N1843" s="94" t="s">
        <v>255</v>
      </c>
      <c r="O1843" s="110" t="str">
        <f t="shared" si="1394"/>
        <v>#VALUE!</v>
      </c>
      <c r="P1843" s="94">
        <v>0.0</v>
      </c>
      <c r="Q1843" s="94">
        <v>0.0</v>
      </c>
      <c r="R1843" s="94">
        <v>0.0</v>
      </c>
      <c r="S1843" s="94">
        <v>0.0</v>
      </c>
      <c r="T1843" s="94">
        <v>0.0</v>
      </c>
      <c r="U1843" s="94">
        <v>0.0</v>
      </c>
      <c r="V1843" s="94">
        <v>0.0</v>
      </c>
      <c r="W1843" s="94">
        <v>0.0</v>
      </c>
      <c r="X1843" s="94">
        <v>0.0</v>
      </c>
      <c r="Y1843" s="94">
        <v>0.0</v>
      </c>
      <c r="Z1843" s="94">
        <v>0.0</v>
      </c>
      <c r="AA1843" s="94">
        <v>0.0</v>
      </c>
      <c r="AB1843" s="94">
        <v>0.0</v>
      </c>
      <c r="AC1843" s="94">
        <v>0.0</v>
      </c>
      <c r="AD1843" s="94">
        <v>0.0</v>
      </c>
      <c r="AE1843" s="94">
        <v>0.0</v>
      </c>
      <c r="AF1843" s="94">
        <v>0.0</v>
      </c>
      <c r="AG1843" s="94">
        <v>0.0</v>
      </c>
      <c r="AH1843" s="94">
        <v>0.0</v>
      </c>
    </row>
    <row r="1844" hidden="1">
      <c r="A1844" s="109"/>
      <c r="B1844" s="93"/>
      <c r="C1844" s="94">
        <v>0.0</v>
      </c>
      <c r="D1844" s="94">
        <v>0.0</v>
      </c>
      <c r="E1844" s="96">
        <f t="shared" si="1391"/>
        <v>0</v>
      </c>
      <c r="F1844" s="94">
        <v>0.0</v>
      </c>
      <c r="G1844" s="94">
        <v>0.0</v>
      </c>
      <c r="H1844" s="94">
        <v>0.0</v>
      </c>
      <c r="I1844" s="94">
        <v>0.0</v>
      </c>
      <c r="J1844" s="95">
        <f t="shared" si="1392"/>
        <v>0</v>
      </c>
      <c r="K1844" s="87" t="str">
        <f t="shared" si="1393"/>
        <v>#DIV/0!</v>
      </c>
      <c r="L1844" s="94">
        <v>0.0</v>
      </c>
      <c r="M1844" s="94">
        <v>0.0</v>
      </c>
      <c r="N1844" s="94" t="s">
        <v>255</v>
      </c>
      <c r="O1844" s="110" t="str">
        <f t="shared" si="1394"/>
        <v>#VALUE!</v>
      </c>
      <c r="P1844" s="94">
        <v>0.0</v>
      </c>
      <c r="Q1844" s="94">
        <v>0.0</v>
      </c>
      <c r="R1844" s="94">
        <v>0.0</v>
      </c>
      <c r="S1844" s="94">
        <v>0.0</v>
      </c>
      <c r="T1844" s="94">
        <v>0.0</v>
      </c>
      <c r="U1844" s="94">
        <v>0.0</v>
      </c>
      <c r="V1844" s="94">
        <v>0.0</v>
      </c>
      <c r="W1844" s="94">
        <v>0.0</v>
      </c>
      <c r="X1844" s="94">
        <v>0.0</v>
      </c>
      <c r="Y1844" s="94">
        <v>0.0</v>
      </c>
      <c r="Z1844" s="94">
        <v>0.0</v>
      </c>
      <c r="AA1844" s="94">
        <v>0.0</v>
      </c>
      <c r="AB1844" s="94">
        <v>0.0</v>
      </c>
      <c r="AC1844" s="94">
        <v>0.0</v>
      </c>
      <c r="AD1844" s="94">
        <v>0.0</v>
      </c>
      <c r="AE1844" s="94">
        <v>0.0</v>
      </c>
      <c r="AF1844" s="94">
        <v>0.0</v>
      </c>
      <c r="AG1844" s="94">
        <v>0.0</v>
      </c>
      <c r="AH1844" s="94">
        <v>0.0</v>
      </c>
    </row>
    <row r="1845" hidden="1">
      <c r="A1845" s="109"/>
      <c r="B1845" s="93"/>
      <c r="C1845" s="94">
        <v>0.0</v>
      </c>
      <c r="D1845" s="94">
        <v>0.0</v>
      </c>
      <c r="E1845" s="96">
        <f t="shared" si="1391"/>
        <v>0</v>
      </c>
      <c r="F1845" s="94">
        <v>0.0</v>
      </c>
      <c r="G1845" s="94">
        <v>0.0</v>
      </c>
      <c r="H1845" s="94">
        <v>0.0</v>
      </c>
      <c r="I1845" s="94">
        <v>0.0</v>
      </c>
      <c r="J1845" s="95">
        <f t="shared" si="1392"/>
        <v>0</v>
      </c>
      <c r="K1845" s="87" t="str">
        <f t="shared" si="1393"/>
        <v>#DIV/0!</v>
      </c>
      <c r="L1845" s="94">
        <v>0.0</v>
      </c>
      <c r="M1845" s="94">
        <v>0.0</v>
      </c>
      <c r="N1845" s="94" t="s">
        <v>255</v>
      </c>
      <c r="O1845" s="110" t="str">
        <f t="shared" si="1394"/>
        <v>#VALUE!</v>
      </c>
      <c r="P1845" s="94">
        <v>0.0</v>
      </c>
      <c r="Q1845" s="94">
        <v>0.0</v>
      </c>
      <c r="R1845" s="94">
        <v>0.0</v>
      </c>
      <c r="S1845" s="94">
        <v>0.0</v>
      </c>
      <c r="T1845" s="94">
        <v>0.0</v>
      </c>
      <c r="U1845" s="94">
        <v>0.0</v>
      </c>
      <c r="V1845" s="94">
        <v>0.0</v>
      </c>
      <c r="W1845" s="94">
        <v>0.0</v>
      </c>
      <c r="X1845" s="94">
        <v>0.0</v>
      </c>
      <c r="Y1845" s="94">
        <v>0.0</v>
      </c>
      <c r="Z1845" s="94">
        <v>0.0</v>
      </c>
      <c r="AA1845" s="94">
        <v>0.0</v>
      </c>
      <c r="AB1845" s="94">
        <v>0.0</v>
      </c>
      <c r="AC1845" s="94">
        <v>0.0</v>
      </c>
      <c r="AD1845" s="94">
        <v>0.0</v>
      </c>
      <c r="AE1845" s="94">
        <v>0.0</v>
      </c>
      <c r="AF1845" s="94">
        <v>0.0</v>
      </c>
      <c r="AG1845" s="94">
        <v>0.0</v>
      </c>
      <c r="AH1845" s="94">
        <v>0.0</v>
      </c>
    </row>
    <row r="1846" hidden="1">
      <c r="A1846" s="109"/>
      <c r="B1846" s="93"/>
      <c r="C1846" s="94">
        <v>0.0</v>
      </c>
      <c r="D1846" s="94">
        <v>0.0</v>
      </c>
      <c r="E1846" s="96">
        <f t="shared" si="1391"/>
        <v>0</v>
      </c>
      <c r="F1846" s="94">
        <v>0.0</v>
      </c>
      <c r="G1846" s="94">
        <v>0.0</v>
      </c>
      <c r="H1846" s="94">
        <v>0.0</v>
      </c>
      <c r="I1846" s="94">
        <v>0.0</v>
      </c>
      <c r="J1846" s="95">
        <f t="shared" si="1392"/>
        <v>0</v>
      </c>
      <c r="K1846" s="87" t="str">
        <f t="shared" si="1393"/>
        <v>#DIV/0!</v>
      </c>
      <c r="L1846" s="94">
        <v>0.0</v>
      </c>
      <c r="M1846" s="94">
        <v>0.0</v>
      </c>
      <c r="N1846" s="94" t="s">
        <v>255</v>
      </c>
      <c r="O1846" s="110" t="str">
        <f t="shared" si="1394"/>
        <v>#VALUE!</v>
      </c>
      <c r="P1846" s="94">
        <v>0.0</v>
      </c>
      <c r="Q1846" s="94">
        <v>0.0</v>
      </c>
      <c r="R1846" s="94">
        <v>0.0</v>
      </c>
      <c r="S1846" s="94">
        <v>0.0</v>
      </c>
      <c r="T1846" s="94">
        <v>0.0</v>
      </c>
      <c r="U1846" s="94">
        <v>0.0</v>
      </c>
      <c r="V1846" s="94">
        <v>0.0</v>
      </c>
      <c r="W1846" s="94">
        <v>0.0</v>
      </c>
      <c r="X1846" s="94">
        <v>0.0</v>
      </c>
      <c r="Y1846" s="94">
        <v>0.0</v>
      </c>
      <c r="Z1846" s="94">
        <v>0.0</v>
      </c>
      <c r="AA1846" s="94">
        <v>0.0</v>
      </c>
      <c r="AB1846" s="94">
        <v>0.0</v>
      </c>
      <c r="AC1846" s="94">
        <v>0.0</v>
      </c>
      <c r="AD1846" s="94">
        <v>0.0</v>
      </c>
      <c r="AE1846" s="94">
        <v>0.0</v>
      </c>
      <c r="AF1846" s="94">
        <v>0.0</v>
      </c>
      <c r="AG1846" s="94">
        <v>0.0</v>
      </c>
      <c r="AH1846" s="94">
        <v>0.0</v>
      </c>
    </row>
    <row r="1847" hidden="1">
      <c r="A1847" s="89"/>
      <c r="B1847" s="111"/>
      <c r="C1847" s="111">
        <f t="shared" ref="C1847:D1847" si="1395">SUM(C1841:C1846)/4</f>
        <v>0</v>
      </c>
      <c r="D1847" s="111">
        <f t="shared" si="1395"/>
        <v>0</v>
      </c>
      <c r="E1847" s="91">
        <f t="shared" ref="E1847:G1847" si="1396">SUM(E1841:E1846)</f>
        <v>0</v>
      </c>
      <c r="F1847" s="111">
        <f t="shared" si="1396"/>
        <v>0</v>
      </c>
      <c r="G1847" s="111">
        <f t="shared" si="1396"/>
        <v>0</v>
      </c>
      <c r="H1847" s="111"/>
      <c r="I1847" s="111">
        <f>SUM(I1841:I1846)</f>
        <v>0</v>
      </c>
      <c r="J1847" s="111">
        <f t="shared" si="1392"/>
        <v>0</v>
      </c>
      <c r="K1847" s="92" t="str">
        <f t="shared" si="1393"/>
        <v>#DIV/0!</v>
      </c>
      <c r="L1847" s="111">
        <f t="shared" ref="L1847:M1847" si="1397">SUM(L1841:L1846)</f>
        <v>0</v>
      </c>
      <c r="M1847" s="111">
        <f t="shared" si="1397"/>
        <v>0</v>
      </c>
      <c r="N1847" s="111"/>
      <c r="O1847" s="112"/>
      <c r="P1847" s="111">
        <f t="shared" ref="P1847:AH1847" si="1398">SUM(P1841:P1846)</f>
        <v>0</v>
      </c>
      <c r="Q1847" s="111">
        <f t="shared" si="1398"/>
        <v>0</v>
      </c>
      <c r="R1847" s="111">
        <f t="shared" si="1398"/>
        <v>0</v>
      </c>
      <c r="S1847" s="111">
        <f t="shared" si="1398"/>
        <v>0</v>
      </c>
      <c r="T1847" s="111">
        <f t="shared" si="1398"/>
        <v>0</v>
      </c>
      <c r="U1847" s="111">
        <f t="shared" si="1398"/>
        <v>0</v>
      </c>
      <c r="V1847" s="111">
        <f t="shared" si="1398"/>
        <v>0</v>
      </c>
      <c r="W1847" s="111">
        <f t="shared" si="1398"/>
        <v>0</v>
      </c>
      <c r="X1847" s="111">
        <f t="shared" si="1398"/>
        <v>0</v>
      </c>
      <c r="Y1847" s="111">
        <f t="shared" si="1398"/>
        <v>0</v>
      </c>
      <c r="Z1847" s="111">
        <f t="shared" si="1398"/>
        <v>0</v>
      </c>
      <c r="AA1847" s="111">
        <f t="shared" si="1398"/>
        <v>0</v>
      </c>
      <c r="AB1847" s="111">
        <f t="shared" si="1398"/>
        <v>0</v>
      </c>
      <c r="AC1847" s="111">
        <f t="shared" si="1398"/>
        <v>0</v>
      </c>
      <c r="AD1847" s="111">
        <f t="shared" si="1398"/>
        <v>0</v>
      </c>
      <c r="AE1847" s="111">
        <f t="shared" si="1398"/>
        <v>0</v>
      </c>
      <c r="AF1847" s="111">
        <f t="shared" si="1398"/>
        <v>0</v>
      </c>
      <c r="AG1847" s="111">
        <f t="shared" si="1398"/>
        <v>0</v>
      </c>
      <c r="AH1847" s="111">
        <f t="shared" si="1398"/>
        <v>0</v>
      </c>
    </row>
    <row r="1848" hidden="1">
      <c r="A1848" s="109"/>
      <c r="B1848" s="93"/>
      <c r="C1848" s="94">
        <v>0.0</v>
      </c>
      <c r="D1848" s="94">
        <v>0.0</v>
      </c>
      <c r="E1848" s="96">
        <f t="shared" ref="E1848:E1853" si="1399">SUM(L1848*I1848)/60</f>
        <v>0</v>
      </c>
      <c r="F1848" s="94">
        <v>0.0</v>
      </c>
      <c r="G1848" s="94">
        <v>0.0</v>
      </c>
      <c r="H1848" s="94">
        <v>0.0</v>
      </c>
      <c r="I1848" s="94">
        <v>0.0</v>
      </c>
      <c r="J1848" s="95">
        <f t="shared" si="1392"/>
        <v>0</v>
      </c>
      <c r="K1848" s="87" t="str">
        <f t="shared" si="1393"/>
        <v>#DIV/0!</v>
      </c>
      <c r="L1848" s="94">
        <v>0.0</v>
      </c>
      <c r="M1848" s="94">
        <v>0.0</v>
      </c>
      <c r="N1848" s="94" t="s">
        <v>255</v>
      </c>
      <c r="O1848" s="110" t="str">
        <f t="shared" ref="O1848:O1853" si="1400">(E1848*N1848)</f>
        <v>#VALUE!</v>
      </c>
      <c r="P1848" s="94">
        <v>0.0</v>
      </c>
      <c r="Q1848" s="94">
        <v>0.0</v>
      </c>
      <c r="R1848" s="94">
        <v>0.0</v>
      </c>
      <c r="S1848" s="94">
        <v>0.0</v>
      </c>
      <c r="T1848" s="94">
        <v>0.0</v>
      </c>
      <c r="U1848" s="94">
        <v>0.0</v>
      </c>
      <c r="V1848" s="94">
        <v>0.0</v>
      </c>
      <c r="W1848" s="94">
        <v>0.0</v>
      </c>
      <c r="X1848" s="94">
        <v>0.0</v>
      </c>
      <c r="Y1848" s="94">
        <v>0.0</v>
      </c>
      <c r="Z1848" s="94">
        <v>0.0</v>
      </c>
      <c r="AA1848" s="94">
        <v>0.0</v>
      </c>
      <c r="AB1848" s="94">
        <v>0.0</v>
      </c>
      <c r="AC1848" s="94">
        <v>0.0</v>
      </c>
      <c r="AD1848" s="94">
        <v>0.0</v>
      </c>
      <c r="AE1848" s="94">
        <v>0.0</v>
      </c>
      <c r="AF1848" s="94">
        <v>0.0</v>
      </c>
      <c r="AG1848" s="94">
        <v>0.0</v>
      </c>
      <c r="AH1848" s="94">
        <v>0.0</v>
      </c>
    </row>
    <row r="1849" hidden="1">
      <c r="A1849" s="109"/>
      <c r="B1849" s="93"/>
      <c r="C1849" s="94">
        <v>0.0</v>
      </c>
      <c r="D1849" s="94">
        <v>0.0</v>
      </c>
      <c r="E1849" s="96">
        <f t="shared" si="1399"/>
        <v>0</v>
      </c>
      <c r="F1849" s="94">
        <v>0.0</v>
      </c>
      <c r="G1849" s="94">
        <v>0.0</v>
      </c>
      <c r="H1849" s="94">
        <v>0.0</v>
      </c>
      <c r="I1849" s="94">
        <v>0.0</v>
      </c>
      <c r="J1849" s="95">
        <f t="shared" si="1392"/>
        <v>0</v>
      </c>
      <c r="K1849" s="87" t="str">
        <f t="shared" si="1393"/>
        <v>#DIV/0!</v>
      </c>
      <c r="L1849" s="94">
        <v>0.0</v>
      </c>
      <c r="M1849" s="94">
        <v>0.0</v>
      </c>
      <c r="N1849" s="94" t="s">
        <v>255</v>
      </c>
      <c r="O1849" s="110" t="str">
        <f t="shared" si="1400"/>
        <v>#VALUE!</v>
      </c>
      <c r="P1849" s="94">
        <v>0.0</v>
      </c>
      <c r="Q1849" s="94">
        <v>0.0</v>
      </c>
      <c r="R1849" s="94">
        <v>0.0</v>
      </c>
      <c r="S1849" s="94">
        <v>0.0</v>
      </c>
      <c r="T1849" s="94">
        <v>0.0</v>
      </c>
      <c r="U1849" s="94">
        <v>0.0</v>
      </c>
      <c r="V1849" s="94">
        <v>0.0</v>
      </c>
      <c r="W1849" s="94">
        <v>0.0</v>
      </c>
      <c r="X1849" s="94">
        <v>0.0</v>
      </c>
      <c r="Y1849" s="94">
        <v>0.0</v>
      </c>
      <c r="Z1849" s="94">
        <v>0.0</v>
      </c>
      <c r="AA1849" s="94">
        <v>0.0</v>
      </c>
      <c r="AB1849" s="94">
        <v>0.0</v>
      </c>
      <c r="AC1849" s="94">
        <v>0.0</v>
      </c>
      <c r="AD1849" s="94">
        <v>0.0</v>
      </c>
      <c r="AE1849" s="94">
        <v>0.0</v>
      </c>
      <c r="AF1849" s="94">
        <v>0.0</v>
      </c>
      <c r="AG1849" s="94">
        <v>0.0</v>
      </c>
      <c r="AH1849" s="94">
        <v>0.0</v>
      </c>
    </row>
    <row r="1850" hidden="1">
      <c r="A1850" s="109"/>
      <c r="B1850" s="93"/>
      <c r="C1850" s="94">
        <v>0.0</v>
      </c>
      <c r="D1850" s="94">
        <v>0.0</v>
      </c>
      <c r="E1850" s="96">
        <f t="shared" si="1399"/>
        <v>0</v>
      </c>
      <c r="F1850" s="94">
        <v>0.0</v>
      </c>
      <c r="G1850" s="94">
        <v>0.0</v>
      </c>
      <c r="H1850" s="94">
        <v>0.0</v>
      </c>
      <c r="I1850" s="94">
        <v>0.0</v>
      </c>
      <c r="J1850" s="95">
        <f t="shared" si="1392"/>
        <v>0</v>
      </c>
      <c r="K1850" s="87" t="str">
        <f t="shared" si="1393"/>
        <v>#DIV/0!</v>
      </c>
      <c r="L1850" s="94">
        <v>0.0</v>
      </c>
      <c r="M1850" s="94">
        <v>0.0</v>
      </c>
      <c r="N1850" s="94" t="s">
        <v>255</v>
      </c>
      <c r="O1850" s="110" t="str">
        <f t="shared" si="1400"/>
        <v>#VALUE!</v>
      </c>
      <c r="P1850" s="94">
        <v>0.0</v>
      </c>
      <c r="Q1850" s="94">
        <v>0.0</v>
      </c>
      <c r="R1850" s="94">
        <v>0.0</v>
      </c>
      <c r="S1850" s="94">
        <v>0.0</v>
      </c>
      <c r="T1850" s="94">
        <v>0.0</v>
      </c>
      <c r="U1850" s="94">
        <v>0.0</v>
      </c>
      <c r="V1850" s="94">
        <v>0.0</v>
      </c>
      <c r="W1850" s="94">
        <v>0.0</v>
      </c>
      <c r="X1850" s="94">
        <v>0.0</v>
      </c>
      <c r="Y1850" s="94">
        <v>0.0</v>
      </c>
      <c r="Z1850" s="94">
        <v>0.0</v>
      </c>
      <c r="AA1850" s="94">
        <v>0.0</v>
      </c>
      <c r="AB1850" s="94">
        <v>0.0</v>
      </c>
      <c r="AC1850" s="94">
        <v>0.0</v>
      </c>
      <c r="AD1850" s="94">
        <v>0.0</v>
      </c>
      <c r="AE1850" s="94">
        <v>0.0</v>
      </c>
      <c r="AF1850" s="94">
        <v>0.0</v>
      </c>
      <c r="AG1850" s="94">
        <v>0.0</v>
      </c>
      <c r="AH1850" s="94">
        <v>0.0</v>
      </c>
    </row>
    <row r="1851" hidden="1">
      <c r="A1851" s="109"/>
      <c r="B1851" s="93"/>
      <c r="C1851" s="94">
        <v>0.0</v>
      </c>
      <c r="D1851" s="94">
        <v>0.0</v>
      </c>
      <c r="E1851" s="96">
        <f t="shared" si="1399"/>
        <v>0</v>
      </c>
      <c r="F1851" s="94">
        <v>0.0</v>
      </c>
      <c r="G1851" s="94">
        <v>0.0</v>
      </c>
      <c r="H1851" s="94">
        <v>0.0</v>
      </c>
      <c r="I1851" s="94">
        <v>0.0</v>
      </c>
      <c r="J1851" s="95">
        <f t="shared" si="1392"/>
        <v>0</v>
      </c>
      <c r="K1851" s="87" t="str">
        <f t="shared" si="1393"/>
        <v>#DIV/0!</v>
      </c>
      <c r="L1851" s="94">
        <v>0.0</v>
      </c>
      <c r="M1851" s="94">
        <v>0.0</v>
      </c>
      <c r="N1851" s="94" t="s">
        <v>255</v>
      </c>
      <c r="O1851" s="110" t="str">
        <f t="shared" si="1400"/>
        <v>#VALUE!</v>
      </c>
      <c r="P1851" s="94">
        <v>0.0</v>
      </c>
      <c r="Q1851" s="94">
        <v>0.0</v>
      </c>
      <c r="R1851" s="94">
        <v>0.0</v>
      </c>
      <c r="S1851" s="94">
        <v>0.0</v>
      </c>
      <c r="T1851" s="94">
        <v>0.0</v>
      </c>
      <c r="U1851" s="94">
        <v>0.0</v>
      </c>
      <c r="V1851" s="94">
        <v>0.0</v>
      </c>
      <c r="W1851" s="94">
        <v>0.0</v>
      </c>
      <c r="X1851" s="94">
        <v>0.0</v>
      </c>
      <c r="Y1851" s="94">
        <v>0.0</v>
      </c>
      <c r="Z1851" s="94">
        <v>0.0</v>
      </c>
      <c r="AA1851" s="94">
        <v>0.0</v>
      </c>
      <c r="AB1851" s="94">
        <v>0.0</v>
      </c>
      <c r="AC1851" s="94">
        <v>0.0</v>
      </c>
      <c r="AD1851" s="94">
        <v>0.0</v>
      </c>
      <c r="AE1851" s="94">
        <v>0.0</v>
      </c>
      <c r="AF1851" s="94">
        <v>0.0</v>
      </c>
      <c r="AG1851" s="94">
        <v>0.0</v>
      </c>
      <c r="AH1851" s="94">
        <v>0.0</v>
      </c>
    </row>
    <row r="1852" hidden="1">
      <c r="A1852" s="109"/>
      <c r="B1852" s="93"/>
      <c r="C1852" s="94">
        <v>0.0</v>
      </c>
      <c r="D1852" s="94">
        <v>0.0</v>
      </c>
      <c r="E1852" s="96">
        <f t="shared" si="1399"/>
        <v>0</v>
      </c>
      <c r="F1852" s="94">
        <v>0.0</v>
      </c>
      <c r="G1852" s="94">
        <v>0.0</v>
      </c>
      <c r="H1852" s="94">
        <v>0.0</v>
      </c>
      <c r="I1852" s="94">
        <v>0.0</v>
      </c>
      <c r="J1852" s="95">
        <f t="shared" si="1392"/>
        <v>0</v>
      </c>
      <c r="K1852" s="87" t="str">
        <f t="shared" si="1393"/>
        <v>#DIV/0!</v>
      </c>
      <c r="L1852" s="94">
        <v>0.0</v>
      </c>
      <c r="M1852" s="94">
        <v>0.0</v>
      </c>
      <c r="N1852" s="94" t="s">
        <v>255</v>
      </c>
      <c r="O1852" s="110" t="str">
        <f t="shared" si="1400"/>
        <v>#VALUE!</v>
      </c>
      <c r="P1852" s="94">
        <v>0.0</v>
      </c>
      <c r="Q1852" s="94">
        <v>0.0</v>
      </c>
      <c r="R1852" s="94">
        <v>0.0</v>
      </c>
      <c r="S1852" s="94">
        <v>0.0</v>
      </c>
      <c r="T1852" s="94">
        <v>0.0</v>
      </c>
      <c r="U1852" s="94">
        <v>0.0</v>
      </c>
      <c r="V1852" s="94">
        <v>0.0</v>
      </c>
      <c r="W1852" s="94">
        <v>0.0</v>
      </c>
      <c r="X1852" s="94">
        <v>0.0</v>
      </c>
      <c r="Y1852" s="94">
        <v>0.0</v>
      </c>
      <c r="Z1852" s="94">
        <v>0.0</v>
      </c>
      <c r="AA1852" s="94">
        <v>0.0</v>
      </c>
      <c r="AB1852" s="94">
        <v>0.0</v>
      </c>
      <c r="AC1852" s="94">
        <v>0.0</v>
      </c>
      <c r="AD1852" s="94">
        <v>0.0</v>
      </c>
      <c r="AE1852" s="94">
        <v>0.0</v>
      </c>
      <c r="AF1852" s="94">
        <v>0.0</v>
      </c>
      <c r="AG1852" s="94">
        <v>0.0</v>
      </c>
      <c r="AH1852" s="94">
        <v>0.0</v>
      </c>
    </row>
    <row r="1853" hidden="1">
      <c r="A1853" s="109"/>
      <c r="B1853" s="93"/>
      <c r="C1853" s="94">
        <v>0.0</v>
      </c>
      <c r="D1853" s="94">
        <v>0.0</v>
      </c>
      <c r="E1853" s="96">
        <f t="shared" si="1399"/>
        <v>0</v>
      </c>
      <c r="F1853" s="94">
        <v>0.0</v>
      </c>
      <c r="G1853" s="94">
        <v>0.0</v>
      </c>
      <c r="H1853" s="94">
        <v>0.0</v>
      </c>
      <c r="I1853" s="94">
        <v>0.0</v>
      </c>
      <c r="J1853" s="95">
        <f t="shared" si="1392"/>
        <v>0</v>
      </c>
      <c r="K1853" s="87" t="str">
        <f t="shared" si="1393"/>
        <v>#DIV/0!</v>
      </c>
      <c r="L1853" s="94">
        <v>0.0</v>
      </c>
      <c r="M1853" s="94">
        <v>0.0</v>
      </c>
      <c r="N1853" s="94" t="s">
        <v>255</v>
      </c>
      <c r="O1853" s="110" t="str">
        <f t="shared" si="1400"/>
        <v>#VALUE!</v>
      </c>
      <c r="P1853" s="94">
        <v>0.0</v>
      </c>
      <c r="Q1853" s="94">
        <v>0.0</v>
      </c>
      <c r="R1853" s="94">
        <v>0.0</v>
      </c>
      <c r="S1853" s="94">
        <v>0.0</v>
      </c>
      <c r="T1853" s="94">
        <v>0.0</v>
      </c>
      <c r="U1853" s="94">
        <v>0.0</v>
      </c>
      <c r="V1853" s="94">
        <v>0.0</v>
      </c>
      <c r="W1853" s="94">
        <v>0.0</v>
      </c>
      <c r="X1853" s="94">
        <v>0.0</v>
      </c>
      <c r="Y1853" s="94">
        <v>0.0</v>
      </c>
      <c r="Z1853" s="94">
        <v>0.0</v>
      </c>
      <c r="AA1853" s="94">
        <v>0.0</v>
      </c>
      <c r="AB1853" s="94">
        <v>0.0</v>
      </c>
      <c r="AC1853" s="94">
        <v>0.0</v>
      </c>
      <c r="AD1853" s="94">
        <v>0.0</v>
      </c>
      <c r="AE1853" s="94">
        <v>0.0</v>
      </c>
      <c r="AF1853" s="94">
        <v>0.0</v>
      </c>
      <c r="AG1853" s="94">
        <v>0.0</v>
      </c>
      <c r="AH1853" s="94">
        <v>0.0</v>
      </c>
    </row>
    <row r="1854" hidden="1">
      <c r="A1854" s="89" t="s">
        <v>185</v>
      </c>
      <c r="B1854" s="111"/>
      <c r="C1854" s="111">
        <f>SUM(C1848:C1853)</f>
        <v>0</v>
      </c>
      <c r="D1854" s="111">
        <f t="shared" ref="D1854:E1854" si="1401">SUM(D1848:D1853)/4</f>
        <v>0</v>
      </c>
      <c r="E1854" s="91">
        <f t="shared" si="1401"/>
        <v>0</v>
      </c>
      <c r="F1854" s="111">
        <f t="shared" ref="F1854:G1854" si="1402">SUM(F1848:F1853)</f>
        <v>0</v>
      </c>
      <c r="G1854" s="111">
        <f t="shared" si="1402"/>
        <v>0</v>
      </c>
      <c r="H1854" s="111"/>
      <c r="I1854" s="111">
        <f>SUM(I1848:I1853)</f>
        <v>0</v>
      </c>
      <c r="J1854" s="111">
        <f t="shared" si="1392"/>
        <v>0</v>
      </c>
      <c r="K1854" s="92" t="str">
        <f t="shared" si="1393"/>
        <v>#DIV/0!</v>
      </c>
      <c r="L1854" s="111">
        <f t="shared" ref="L1854:M1854" si="1403">SUM(L1848:L1853)</f>
        <v>0</v>
      </c>
      <c r="M1854" s="111">
        <f t="shared" si="1403"/>
        <v>0</v>
      </c>
      <c r="N1854" s="111"/>
      <c r="O1854" s="112"/>
      <c r="P1854" s="111">
        <f t="shared" ref="P1854:AH1854" si="1404">SUM(P1848:P1853)</f>
        <v>0</v>
      </c>
      <c r="Q1854" s="111">
        <f t="shared" si="1404"/>
        <v>0</v>
      </c>
      <c r="R1854" s="111">
        <f t="shared" si="1404"/>
        <v>0</v>
      </c>
      <c r="S1854" s="111">
        <f t="shared" si="1404"/>
        <v>0</v>
      </c>
      <c r="T1854" s="111">
        <f t="shared" si="1404"/>
        <v>0</v>
      </c>
      <c r="U1854" s="111">
        <f t="shared" si="1404"/>
        <v>0</v>
      </c>
      <c r="V1854" s="111">
        <f t="shared" si="1404"/>
        <v>0</v>
      </c>
      <c r="W1854" s="111">
        <f t="shared" si="1404"/>
        <v>0</v>
      </c>
      <c r="X1854" s="111">
        <f t="shared" si="1404"/>
        <v>0</v>
      </c>
      <c r="Y1854" s="111">
        <f t="shared" si="1404"/>
        <v>0</v>
      </c>
      <c r="Z1854" s="111">
        <f t="shared" si="1404"/>
        <v>0</v>
      </c>
      <c r="AA1854" s="111">
        <f t="shared" si="1404"/>
        <v>0</v>
      </c>
      <c r="AB1854" s="111">
        <f t="shared" si="1404"/>
        <v>0</v>
      </c>
      <c r="AC1854" s="111">
        <f t="shared" si="1404"/>
        <v>0</v>
      </c>
      <c r="AD1854" s="111">
        <f t="shared" si="1404"/>
        <v>0</v>
      </c>
      <c r="AE1854" s="111">
        <f t="shared" si="1404"/>
        <v>0</v>
      </c>
      <c r="AF1854" s="111">
        <f t="shared" si="1404"/>
        <v>0</v>
      </c>
      <c r="AG1854" s="111">
        <f t="shared" si="1404"/>
        <v>0</v>
      </c>
      <c r="AH1854" s="111">
        <f t="shared" si="1404"/>
        <v>0</v>
      </c>
    </row>
    <row r="1855">
      <c r="A1855" s="104" t="s">
        <v>356</v>
      </c>
    </row>
    <row r="1857" hidden="1">
      <c r="A1857" s="105"/>
      <c r="F1857" s="106" t="s">
        <v>251</v>
      </c>
      <c r="L1857" s="107" t="s">
        <v>252</v>
      </c>
      <c r="N1857" s="108" t="s">
        <v>253</v>
      </c>
    </row>
    <row r="1858" hidden="1">
      <c r="A1858" s="76" t="s">
        <v>148</v>
      </c>
      <c r="B1858" s="76" t="s">
        <v>149</v>
      </c>
      <c r="C1858" s="76" t="s">
        <v>150</v>
      </c>
      <c r="D1858" s="76" t="s">
        <v>13</v>
      </c>
      <c r="E1858" s="77" t="s">
        <v>151</v>
      </c>
      <c r="F1858" s="78" t="s">
        <v>15</v>
      </c>
      <c r="G1858" s="78" t="s">
        <v>152</v>
      </c>
      <c r="H1858" s="78" t="s">
        <v>153</v>
      </c>
      <c r="I1858" s="78" t="s">
        <v>154</v>
      </c>
      <c r="J1858" s="78" t="s">
        <v>155</v>
      </c>
      <c r="K1858" s="79" t="s">
        <v>156</v>
      </c>
      <c r="L1858" s="80" t="s">
        <v>157</v>
      </c>
      <c r="M1858" s="80" t="s">
        <v>158</v>
      </c>
      <c r="N1858" s="81" t="s">
        <v>254</v>
      </c>
      <c r="O1858" s="81" t="s">
        <v>151</v>
      </c>
      <c r="P1858" s="81" t="s">
        <v>160</v>
      </c>
      <c r="Q1858" s="81" t="s">
        <v>161</v>
      </c>
      <c r="R1858" s="81" t="s">
        <v>162</v>
      </c>
      <c r="S1858" s="81" t="s">
        <v>163</v>
      </c>
      <c r="T1858" s="81" t="s">
        <v>164</v>
      </c>
      <c r="U1858" s="81" t="s">
        <v>165</v>
      </c>
      <c r="V1858" s="81" t="s">
        <v>166</v>
      </c>
      <c r="W1858" s="81" t="s">
        <v>167</v>
      </c>
      <c r="X1858" s="81" t="s">
        <v>168</v>
      </c>
      <c r="Y1858" s="81" t="s">
        <v>169</v>
      </c>
      <c r="Z1858" s="81" t="s">
        <v>170</v>
      </c>
      <c r="AA1858" s="81" t="s">
        <v>171</v>
      </c>
      <c r="AB1858" s="81" t="s">
        <v>172</v>
      </c>
      <c r="AC1858" s="81" t="s">
        <v>173</v>
      </c>
      <c r="AD1858" s="81" t="s">
        <v>174</v>
      </c>
      <c r="AE1858" s="81" t="s">
        <v>175</v>
      </c>
      <c r="AF1858" s="81" t="s">
        <v>176</v>
      </c>
      <c r="AG1858" s="81" t="s">
        <v>177</v>
      </c>
      <c r="AH1858" s="81" t="s">
        <v>178</v>
      </c>
    </row>
    <row r="1859" hidden="1">
      <c r="A1859" s="83" t="s">
        <v>40</v>
      </c>
      <c r="B1859" s="84" t="s">
        <v>216</v>
      </c>
      <c r="C1859" s="85">
        <v>1.0</v>
      </c>
      <c r="D1859" s="94">
        <v>0.0</v>
      </c>
      <c r="E1859" s="86">
        <v>19.0</v>
      </c>
      <c r="F1859" s="94">
        <v>0.0</v>
      </c>
      <c r="G1859" s="85">
        <v>32.0</v>
      </c>
      <c r="H1859" s="94">
        <v>0.0</v>
      </c>
      <c r="I1859" s="85">
        <v>41.0</v>
      </c>
      <c r="J1859" s="95">
        <f t="shared" ref="J1859:J1872" si="1405">SUM(G1859-I1859)</f>
        <v>-9</v>
      </c>
      <c r="K1859" s="87">
        <f t="shared" ref="K1859:K1872" si="1406">SUM(G1859/I1859)</f>
        <v>0.7804878049</v>
      </c>
      <c r="L1859" s="85">
        <v>24.0</v>
      </c>
      <c r="M1859" s="85">
        <v>41.0</v>
      </c>
      <c r="N1859" s="85">
        <v>1.0</v>
      </c>
      <c r="O1859" s="110">
        <f t="shared" ref="O1859:O1864" si="1407">(E1859*N1859)</f>
        <v>19</v>
      </c>
      <c r="P1859" s="85">
        <v>3.0</v>
      </c>
      <c r="Q1859" s="85">
        <v>1.0</v>
      </c>
      <c r="R1859" s="85">
        <v>1.0</v>
      </c>
      <c r="S1859" s="85">
        <v>1.0</v>
      </c>
      <c r="T1859" s="85">
        <v>4.0</v>
      </c>
      <c r="U1859" s="94">
        <v>0.0</v>
      </c>
      <c r="V1859" s="94">
        <v>0.0</v>
      </c>
      <c r="W1859" s="94">
        <v>0.0</v>
      </c>
      <c r="X1859" s="94">
        <v>0.0</v>
      </c>
      <c r="Y1859" s="94">
        <v>0.0</v>
      </c>
      <c r="Z1859" s="94">
        <v>0.0</v>
      </c>
      <c r="AA1859" s="94">
        <v>0.0</v>
      </c>
      <c r="AB1859" s="94">
        <v>0.0</v>
      </c>
      <c r="AC1859" s="85">
        <v>1.0</v>
      </c>
      <c r="AD1859" s="94">
        <v>0.0</v>
      </c>
      <c r="AE1859" s="94">
        <v>0.0</v>
      </c>
      <c r="AF1859" s="94">
        <v>0.0</v>
      </c>
      <c r="AG1859" s="94">
        <v>0.0</v>
      </c>
      <c r="AH1859" s="94">
        <v>0.0</v>
      </c>
    </row>
    <row r="1860" hidden="1">
      <c r="A1860" s="83" t="s">
        <v>40</v>
      </c>
      <c r="B1860" s="84" t="s">
        <v>217</v>
      </c>
      <c r="C1860" s="85">
        <v>1.0</v>
      </c>
      <c r="D1860" s="94">
        <v>0.0</v>
      </c>
      <c r="E1860" s="86">
        <v>19.0</v>
      </c>
      <c r="F1860" s="94">
        <v>0.0</v>
      </c>
      <c r="G1860" s="85">
        <v>63.0</v>
      </c>
      <c r="H1860" s="94">
        <v>0.0</v>
      </c>
      <c r="I1860" s="85">
        <v>85.0</v>
      </c>
      <c r="J1860" s="95">
        <f t="shared" si="1405"/>
        <v>-22</v>
      </c>
      <c r="K1860" s="87">
        <f t="shared" si="1406"/>
        <v>0.7411764706</v>
      </c>
      <c r="L1860" s="85">
        <v>10.0</v>
      </c>
      <c r="M1860" s="85">
        <v>79.0</v>
      </c>
      <c r="N1860" s="85">
        <v>1.0</v>
      </c>
      <c r="O1860" s="110">
        <f t="shared" si="1407"/>
        <v>19</v>
      </c>
      <c r="P1860" s="85">
        <v>2.0</v>
      </c>
      <c r="Q1860" s="85">
        <v>1.0</v>
      </c>
      <c r="R1860" s="85">
        <v>5.0</v>
      </c>
      <c r="S1860" s="85">
        <v>3.0</v>
      </c>
      <c r="T1860" s="85">
        <v>7.0</v>
      </c>
      <c r="U1860" s="85">
        <v>1.0</v>
      </c>
      <c r="V1860" s="94">
        <v>0.0</v>
      </c>
      <c r="W1860" s="94">
        <v>0.0</v>
      </c>
      <c r="X1860" s="94">
        <v>0.0</v>
      </c>
      <c r="Y1860" s="94">
        <v>0.0</v>
      </c>
      <c r="Z1860" s="94">
        <v>0.0</v>
      </c>
      <c r="AA1860" s="94">
        <v>0.0</v>
      </c>
      <c r="AB1860" s="94">
        <v>0.0</v>
      </c>
      <c r="AC1860" s="85">
        <v>1.0</v>
      </c>
      <c r="AD1860" s="94">
        <v>0.0</v>
      </c>
      <c r="AE1860" s="94">
        <v>0.0</v>
      </c>
      <c r="AF1860" s="94">
        <v>0.0</v>
      </c>
      <c r="AG1860" s="94">
        <v>0.0</v>
      </c>
      <c r="AH1860" s="94">
        <v>0.0</v>
      </c>
    </row>
    <row r="1861" hidden="1">
      <c r="A1861" s="83" t="s">
        <v>40</v>
      </c>
      <c r="B1861" s="84" t="s">
        <v>218</v>
      </c>
      <c r="C1861" s="85">
        <v>1.0</v>
      </c>
      <c r="D1861" s="94">
        <v>0.0</v>
      </c>
      <c r="E1861" s="86">
        <v>19.0</v>
      </c>
      <c r="F1861" s="94">
        <v>0.0</v>
      </c>
      <c r="G1861" s="85">
        <v>51.0</v>
      </c>
      <c r="H1861" s="94">
        <v>0.0</v>
      </c>
      <c r="I1861" s="85">
        <v>74.0</v>
      </c>
      <c r="J1861" s="95">
        <f t="shared" si="1405"/>
        <v>-23</v>
      </c>
      <c r="K1861" s="87">
        <f t="shared" si="1406"/>
        <v>0.6891891892</v>
      </c>
      <c r="L1861" s="85">
        <v>12.0</v>
      </c>
      <c r="M1861" s="85">
        <v>61.0</v>
      </c>
      <c r="N1861" s="85">
        <v>1.0</v>
      </c>
      <c r="O1861" s="110">
        <f t="shared" si="1407"/>
        <v>19</v>
      </c>
      <c r="P1861" s="85">
        <v>3.0</v>
      </c>
      <c r="Q1861" s="85">
        <v>1.0</v>
      </c>
      <c r="R1861" s="85">
        <v>5.0</v>
      </c>
      <c r="S1861" s="85">
        <v>1.0</v>
      </c>
      <c r="T1861" s="85">
        <v>3.0</v>
      </c>
      <c r="U1861" s="94">
        <v>0.0</v>
      </c>
      <c r="V1861" s="94">
        <v>0.0</v>
      </c>
      <c r="W1861" s="94">
        <v>0.0</v>
      </c>
      <c r="X1861" s="94">
        <v>0.0</v>
      </c>
      <c r="Y1861" s="94">
        <v>0.0</v>
      </c>
      <c r="Z1861" s="94">
        <v>0.0</v>
      </c>
      <c r="AA1861" s="94">
        <v>0.0</v>
      </c>
      <c r="AB1861" s="94">
        <v>0.0</v>
      </c>
      <c r="AC1861" s="94">
        <v>0.0</v>
      </c>
      <c r="AD1861" s="94">
        <v>0.0</v>
      </c>
      <c r="AE1861" s="94">
        <v>0.0</v>
      </c>
      <c r="AF1861" s="94">
        <v>0.0</v>
      </c>
      <c r="AG1861" s="94">
        <v>0.0</v>
      </c>
      <c r="AH1861" s="94">
        <v>0.0</v>
      </c>
    </row>
    <row r="1862" hidden="1">
      <c r="A1862" s="83" t="s">
        <v>40</v>
      </c>
      <c r="B1862" s="84" t="s">
        <v>219</v>
      </c>
      <c r="C1862" s="94">
        <v>0.0</v>
      </c>
      <c r="D1862" s="94">
        <v>0.0</v>
      </c>
      <c r="E1862" s="96">
        <f t="shared" ref="E1862:E1863" si="1408">SUM(L1862*I1862)/60</f>
        <v>0</v>
      </c>
      <c r="F1862" s="94">
        <v>0.0</v>
      </c>
      <c r="G1862" s="94">
        <v>0.0</v>
      </c>
      <c r="H1862" s="94">
        <v>0.0</v>
      </c>
      <c r="I1862" s="94">
        <v>0.0</v>
      </c>
      <c r="J1862" s="95">
        <f t="shared" si="1405"/>
        <v>0</v>
      </c>
      <c r="K1862" s="87" t="str">
        <f t="shared" si="1406"/>
        <v>#DIV/0!</v>
      </c>
      <c r="L1862" s="94">
        <v>0.0</v>
      </c>
      <c r="M1862" s="94">
        <v>0.0</v>
      </c>
      <c r="N1862" s="85">
        <v>0.0</v>
      </c>
      <c r="O1862" s="110">
        <f t="shared" si="1407"/>
        <v>0</v>
      </c>
      <c r="P1862" s="94">
        <v>0.0</v>
      </c>
      <c r="Q1862" s="94">
        <v>0.0</v>
      </c>
      <c r="R1862" s="94">
        <v>0.0</v>
      </c>
      <c r="S1862" s="94">
        <v>0.0</v>
      </c>
      <c r="T1862" s="94">
        <v>0.0</v>
      </c>
      <c r="U1862" s="94">
        <v>0.0</v>
      </c>
      <c r="V1862" s="94">
        <v>0.0</v>
      </c>
      <c r="W1862" s="94">
        <v>0.0</v>
      </c>
      <c r="X1862" s="94">
        <v>0.0</v>
      </c>
      <c r="Y1862" s="94">
        <v>0.0</v>
      </c>
      <c r="Z1862" s="94">
        <v>0.0</v>
      </c>
      <c r="AA1862" s="94">
        <v>0.0</v>
      </c>
      <c r="AB1862" s="94">
        <v>0.0</v>
      </c>
      <c r="AC1862" s="94">
        <v>0.0</v>
      </c>
      <c r="AD1862" s="94">
        <v>0.0</v>
      </c>
      <c r="AE1862" s="94">
        <v>0.0</v>
      </c>
      <c r="AF1862" s="94">
        <v>0.0</v>
      </c>
      <c r="AG1862" s="94">
        <v>0.0</v>
      </c>
      <c r="AH1862" s="94">
        <v>0.0</v>
      </c>
    </row>
    <row r="1863" hidden="1">
      <c r="A1863" s="83" t="s">
        <v>40</v>
      </c>
      <c r="B1863" s="84" t="s">
        <v>220</v>
      </c>
      <c r="C1863" s="94">
        <v>0.0</v>
      </c>
      <c r="D1863" s="94">
        <v>0.0</v>
      </c>
      <c r="E1863" s="96">
        <f t="shared" si="1408"/>
        <v>0</v>
      </c>
      <c r="F1863" s="94">
        <v>0.0</v>
      </c>
      <c r="G1863" s="94">
        <v>0.0</v>
      </c>
      <c r="H1863" s="94">
        <v>0.0</v>
      </c>
      <c r="I1863" s="94">
        <v>0.0</v>
      </c>
      <c r="J1863" s="95">
        <f t="shared" si="1405"/>
        <v>0</v>
      </c>
      <c r="K1863" s="87" t="str">
        <f t="shared" si="1406"/>
        <v>#DIV/0!</v>
      </c>
      <c r="L1863" s="94">
        <v>0.0</v>
      </c>
      <c r="M1863" s="94">
        <v>0.0</v>
      </c>
      <c r="N1863" s="85">
        <v>0.0</v>
      </c>
      <c r="O1863" s="110">
        <f t="shared" si="1407"/>
        <v>0</v>
      </c>
      <c r="P1863" s="94">
        <v>0.0</v>
      </c>
      <c r="Q1863" s="94">
        <v>0.0</v>
      </c>
      <c r="R1863" s="94">
        <v>0.0</v>
      </c>
      <c r="S1863" s="94">
        <v>0.0</v>
      </c>
      <c r="T1863" s="94">
        <v>0.0</v>
      </c>
      <c r="U1863" s="94">
        <v>0.0</v>
      </c>
      <c r="V1863" s="94">
        <v>0.0</v>
      </c>
      <c r="W1863" s="94">
        <v>0.0</v>
      </c>
      <c r="X1863" s="94">
        <v>0.0</v>
      </c>
      <c r="Y1863" s="94">
        <v>0.0</v>
      </c>
      <c r="Z1863" s="94">
        <v>0.0</v>
      </c>
      <c r="AA1863" s="94">
        <v>0.0</v>
      </c>
      <c r="AB1863" s="94">
        <v>0.0</v>
      </c>
      <c r="AC1863" s="94">
        <v>0.0</v>
      </c>
      <c r="AD1863" s="94">
        <v>0.0</v>
      </c>
      <c r="AE1863" s="94">
        <v>0.0</v>
      </c>
      <c r="AF1863" s="94">
        <v>0.0</v>
      </c>
      <c r="AG1863" s="94">
        <v>0.0</v>
      </c>
      <c r="AH1863" s="94">
        <v>0.0</v>
      </c>
    </row>
    <row r="1864" hidden="1">
      <c r="A1864" s="83" t="s">
        <v>214</v>
      </c>
      <c r="B1864" s="84" t="s">
        <v>221</v>
      </c>
      <c r="C1864" s="85">
        <v>1.0</v>
      </c>
      <c r="D1864" s="94">
        <v>0.0</v>
      </c>
      <c r="E1864" s="86">
        <v>19.0</v>
      </c>
      <c r="F1864" s="94">
        <v>0.0</v>
      </c>
      <c r="G1864" s="85">
        <v>79.0</v>
      </c>
      <c r="H1864" s="94">
        <v>0.0</v>
      </c>
      <c r="I1864" s="85">
        <v>81.0</v>
      </c>
      <c r="J1864" s="95">
        <f t="shared" si="1405"/>
        <v>-2</v>
      </c>
      <c r="K1864" s="87">
        <f t="shared" si="1406"/>
        <v>0.975308642</v>
      </c>
      <c r="L1864" s="85">
        <v>11.0</v>
      </c>
      <c r="M1864" s="85">
        <v>92.0</v>
      </c>
      <c r="N1864" s="85">
        <v>1.0</v>
      </c>
      <c r="O1864" s="110">
        <f t="shared" si="1407"/>
        <v>19</v>
      </c>
      <c r="P1864" s="85">
        <v>2.0</v>
      </c>
      <c r="Q1864" s="85">
        <v>2.0</v>
      </c>
      <c r="R1864" s="85">
        <v>2.0</v>
      </c>
      <c r="S1864" s="85">
        <v>2.0</v>
      </c>
      <c r="T1864" s="85">
        <v>6.0</v>
      </c>
      <c r="U1864" s="85">
        <v>1.0</v>
      </c>
      <c r="V1864" s="94">
        <v>0.0</v>
      </c>
      <c r="W1864" s="94">
        <v>0.0</v>
      </c>
      <c r="X1864" s="94">
        <v>0.0</v>
      </c>
      <c r="Y1864" s="94">
        <v>0.0</v>
      </c>
      <c r="Z1864" s="94">
        <v>0.0</v>
      </c>
      <c r="AA1864" s="94">
        <v>0.0</v>
      </c>
      <c r="AB1864" s="94">
        <v>0.0</v>
      </c>
      <c r="AC1864" s="85">
        <v>1.0</v>
      </c>
      <c r="AD1864" s="94">
        <v>0.0</v>
      </c>
      <c r="AE1864" s="94">
        <v>0.0</v>
      </c>
      <c r="AF1864" s="94">
        <v>0.0</v>
      </c>
      <c r="AG1864" s="94">
        <v>0.0</v>
      </c>
      <c r="AH1864" s="94">
        <v>0.0</v>
      </c>
    </row>
    <row r="1865" hidden="1">
      <c r="A1865" s="89"/>
      <c r="B1865" s="111"/>
      <c r="C1865" s="111">
        <f t="shared" ref="C1865:D1865" si="1409">SUM(C1859:C1864)/4</f>
        <v>1</v>
      </c>
      <c r="D1865" s="111">
        <f t="shared" si="1409"/>
        <v>0</v>
      </c>
      <c r="E1865" s="91">
        <f t="shared" ref="E1865:G1865" si="1410">SUM(E1859:E1864)</f>
        <v>76</v>
      </c>
      <c r="F1865" s="111">
        <f t="shared" si="1410"/>
        <v>0</v>
      </c>
      <c r="G1865" s="111">
        <f t="shared" si="1410"/>
        <v>225</v>
      </c>
      <c r="H1865" s="111"/>
      <c r="I1865" s="111">
        <f>SUM(I1859:I1864)</f>
        <v>281</v>
      </c>
      <c r="J1865" s="111">
        <f t="shared" si="1405"/>
        <v>-56</v>
      </c>
      <c r="K1865" s="92">
        <f t="shared" si="1406"/>
        <v>0.8007117438</v>
      </c>
      <c r="L1865" s="111">
        <f t="shared" ref="L1865:M1865" si="1411">SUM(L1859:L1864)</f>
        <v>57</v>
      </c>
      <c r="M1865" s="111">
        <f t="shared" si="1411"/>
        <v>273</v>
      </c>
      <c r="N1865" s="111"/>
      <c r="O1865" s="112"/>
      <c r="P1865" s="111">
        <f t="shared" ref="P1865:AH1865" si="1412">SUM(P1859:P1864)</f>
        <v>10</v>
      </c>
      <c r="Q1865" s="111">
        <f t="shared" si="1412"/>
        <v>5</v>
      </c>
      <c r="R1865" s="111">
        <f t="shared" si="1412"/>
        <v>13</v>
      </c>
      <c r="S1865" s="111">
        <f t="shared" si="1412"/>
        <v>7</v>
      </c>
      <c r="T1865" s="111">
        <f t="shared" si="1412"/>
        <v>20</v>
      </c>
      <c r="U1865" s="111">
        <f t="shared" si="1412"/>
        <v>2</v>
      </c>
      <c r="V1865" s="111">
        <f t="shared" si="1412"/>
        <v>0</v>
      </c>
      <c r="W1865" s="111">
        <f t="shared" si="1412"/>
        <v>0</v>
      </c>
      <c r="X1865" s="111">
        <f t="shared" si="1412"/>
        <v>0</v>
      </c>
      <c r="Y1865" s="111">
        <f t="shared" si="1412"/>
        <v>0</v>
      </c>
      <c r="Z1865" s="111">
        <f t="shared" si="1412"/>
        <v>0</v>
      </c>
      <c r="AA1865" s="111">
        <f t="shared" si="1412"/>
        <v>0</v>
      </c>
      <c r="AB1865" s="111">
        <f t="shared" si="1412"/>
        <v>0</v>
      </c>
      <c r="AC1865" s="111">
        <f t="shared" si="1412"/>
        <v>3</v>
      </c>
      <c r="AD1865" s="111">
        <f t="shared" si="1412"/>
        <v>0</v>
      </c>
      <c r="AE1865" s="111">
        <f t="shared" si="1412"/>
        <v>0</v>
      </c>
      <c r="AF1865" s="111">
        <f t="shared" si="1412"/>
        <v>0</v>
      </c>
      <c r="AG1865" s="111">
        <f t="shared" si="1412"/>
        <v>0</v>
      </c>
      <c r="AH1865" s="111">
        <f t="shared" si="1412"/>
        <v>0</v>
      </c>
    </row>
    <row r="1866" hidden="1">
      <c r="A1866" s="83" t="s">
        <v>20</v>
      </c>
      <c r="B1866" s="84" t="s">
        <v>232</v>
      </c>
      <c r="C1866" s="85">
        <v>1.0</v>
      </c>
      <c r="D1866" s="85">
        <v>1.0</v>
      </c>
      <c r="E1866" s="86">
        <v>19.0</v>
      </c>
      <c r="F1866" s="94">
        <v>0.0</v>
      </c>
      <c r="G1866" s="85">
        <v>88.0</v>
      </c>
      <c r="H1866" s="94">
        <v>0.0</v>
      </c>
      <c r="I1866" s="85">
        <v>55.0</v>
      </c>
      <c r="J1866" s="95">
        <f t="shared" si="1405"/>
        <v>33</v>
      </c>
      <c r="K1866" s="87">
        <f t="shared" si="1406"/>
        <v>1.6</v>
      </c>
      <c r="L1866" s="85">
        <v>17.0</v>
      </c>
      <c r="M1866" s="85">
        <v>131.0</v>
      </c>
      <c r="N1866" s="85">
        <v>1.0</v>
      </c>
      <c r="O1866" s="110">
        <f t="shared" ref="O1866:O1871" si="1413">(E1866*N1866)</f>
        <v>19</v>
      </c>
      <c r="P1866" s="85">
        <v>6.0</v>
      </c>
      <c r="Q1866" s="94">
        <v>0.0</v>
      </c>
      <c r="R1866" s="85">
        <v>8.0</v>
      </c>
      <c r="S1866" s="85">
        <v>2.0</v>
      </c>
      <c r="T1866" s="85">
        <v>17.0</v>
      </c>
      <c r="U1866" s="85">
        <v>6.0</v>
      </c>
      <c r="V1866" s="85">
        <v>3.0</v>
      </c>
      <c r="W1866" s="85">
        <v>1.0</v>
      </c>
      <c r="X1866" s="94">
        <v>0.0</v>
      </c>
      <c r="Y1866" s="94">
        <v>0.0</v>
      </c>
      <c r="Z1866" s="94">
        <v>0.0</v>
      </c>
      <c r="AA1866" s="94">
        <v>0.0</v>
      </c>
      <c r="AB1866" s="94">
        <v>0.0</v>
      </c>
      <c r="AC1866" s="85">
        <v>2.0</v>
      </c>
      <c r="AD1866" s="94">
        <v>0.0</v>
      </c>
      <c r="AE1866" s="94">
        <v>0.0</v>
      </c>
      <c r="AF1866" s="94">
        <v>0.0</v>
      </c>
      <c r="AG1866" s="94">
        <v>0.0</v>
      </c>
      <c r="AH1866" s="94">
        <v>0.0</v>
      </c>
    </row>
    <row r="1867" hidden="1">
      <c r="A1867" s="83" t="s">
        <v>20</v>
      </c>
      <c r="B1867" s="84" t="s">
        <v>233</v>
      </c>
      <c r="C1867" s="85">
        <v>1.0</v>
      </c>
      <c r="D1867" s="85">
        <v>1.0</v>
      </c>
      <c r="E1867" s="86">
        <v>19.0</v>
      </c>
      <c r="F1867" s="94">
        <v>0.0</v>
      </c>
      <c r="G1867" s="85">
        <v>85.0</v>
      </c>
      <c r="H1867" s="94">
        <v>0.0</v>
      </c>
      <c r="I1867" s="85">
        <v>65.0</v>
      </c>
      <c r="J1867" s="95">
        <f t="shared" si="1405"/>
        <v>20</v>
      </c>
      <c r="K1867" s="87">
        <f t="shared" si="1406"/>
        <v>1.307692308</v>
      </c>
      <c r="L1867" s="85">
        <v>14.0</v>
      </c>
      <c r="M1867" s="85">
        <v>117.0</v>
      </c>
      <c r="N1867" s="85">
        <v>1.0</v>
      </c>
      <c r="O1867" s="110">
        <f t="shared" si="1413"/>
        <v>19</v>
      </c>
      <c r="P1867" s="85">
        <v>1.0</v>
      </c>
      <c r="Q1867" s="94">
        <v>0.0</v>
      </c>
      <c r="R1867" s="85">
        <v>2.0</v>
      </c>
      <c r="S1867" s="94">
        <v>0.0</v>
      </c>
      <c r="T1867" s="85">
        <v>20.0</v>
      </c>
      <c r="U1867" s="85">
        <v>4.0</v>
      </c>
      <c r="V1867" s="85">
        <v>4.0</v>
      </c>
      <c r="W1867" s="94">
        <v>0.0</v>
      </c>
      <c r="X1867" s="94">
        <v>0.0</v>
      </c>
      <c r="Y1867" s="94">
        <v>0.0</v>
      </c>
      <c r="Z1867" s="94">
        <v>0.0</v>
      </c>
      <c r="AA1867" s="94">
        <v>0.0</v>
      </c>
      <c r="AB1867" s="94">
        <v>0.0</v>
      </c>
      <c r="AC1867" s="85">
        <v>5.0</v>
      </c>
      <c r="AD1867" s="94">
        <v>0.0</v>
      </c>
      <c r="AE1867" s="94">
        <v>0.0</v>
      </c>
      <c r="AF1867" s="94">
        <v>0.0</v>
      </c>
      <c r="AG1867" s="94">
        <v>0.0</v>
      </c>
      <c r="AH1867" s="94">
        <v>0.0</v>
      </c>
    </row>
    <row r="1868" hidden="1">
      <c r="A1868" s="83" t="s">
        <v>20</v>
      </c>
      <c r="B1868" s="84" t="s">
        <v>234</v>
      </c>
      <c r="C1868" s="85">
        <v>1.0</v>
      </c>
      <c r="D1868" s="85">
        <v>1.0</v>
      </c>
      <c r="E1868" s="86">
        <v>19.0</v>
      </c>
      <c r="F1868" s="94">
        <v>0.0</v>
      </c>
      <c r="G1868" s="85">
        <v>56.0</v>
      </c>
      <c r="H1868" s="94">
        <v>0.0</v>
      </c>
      <c r="I1868" s="85">
        <v>58.0</v>
      </c>
      <c r="J1868" s="95">
        <f t="shared" si="1405"/>
        <v>-2</v>
      </c>
      <c r="K1868" s="87">
        <f t="shared" si="1406"/>
        <v>0.9655172414</v>
      </c>
      <c r="L1868" s="85">
        <v>16.0</v>
      </c>
      <c r="M1868" s="85">
        <v>66.0</v>
      </c>
      <c r="N1868" s="85">
        <v>1.0</v>
      </c>
      <c r="O1868" s="110">
        <f t="shared" si="1413"/>
        <v>19</v>
      </c>
      <c r="P1868" s="85">
        <v>3.0</v>
      </c>
      <c r="Q1868" s="85">
        <v>1.0</v>
      </c>
      <c r="R1868" s="85">
        <v>1.0</v>
      </c>
      <c r="S1868" s="94">
        <v>0.0</v>
      </c>
      <c r="T1868" s="85">
        <v>9.0</v>
      </c>
      <c r="U1868" s="85">
        <v>2.0</v>
      </c>
      <c r="V1868" s="94">
        <v>0.0</v>
      </c>
      <c r="W1868" s="94">
        <v>0.0</v>
      </c>
      <c r="X1868" s="94">
        <v>0.0</v>
      </c>
      <c r="Y1868" s="94">
        <v>0.0</v>
      </c>
      <c r="Z1868" s="94">
        <v>0.0</v>
      </c>
      <c r="AA1868" s="94">
        <v>0.0</v>
      </c>
      <c r="AB1868" s="94">
        <v>0.0</v>
      </c>
      <c r="AC1868" s="85">
        <v>1.0</v>
      </c>
      <c r="AD1868" s="94">
        <v>0.0</v>
      </c>
      <c r="AE1868" s="94">
        <v>0.0</v>
      </c>
      <c r="AF1868" s="94">
        <v>0.0</v>
      </c>
      <c r="AG1868" s="94">
        <v>0.0</v>
      </c>
      <c r="AH1868" s="94">
        <v>0.0</v>
      </c>
    </row>
    <row r="1869" hidden="1">
      <c r="A1869" s="83" t="s">
        <v>20</v>
      </c>
      <c r="B1869" s="84" t="s">
        <v>235</v>
      </c>
      <c r="C1869" s="85">
        <v>1.0</v>
      </c>
      <c r="D1869" s="85">
        <v>1.0</v>
      </c>
      <c r="E1869" s="86">
        <v>19.0</v>
      </c>
      <c r="F1869" s="85">
        <v>5.0</v>
      </c>
      <c r="G1869" s="85">
        <v>47.0</v>
      </c>
      <c r="H1869" s="94">
        <v>0.0</v>
      </c>
      <c r="I1869" s="85">
        <v>56.0</v>
      </c>
      <c r="J1869" s="95">
        <f t="shared" si="1405"/>
        <v>-9</v>
      </c>
      <c r="K1869" s="87">
        <f t="shared" si="1406"/>
        <v>0.8392857143</v>
      </c>
      <c r="L1869" s="85">
        <v>17.0</v>
      </c>
      <c r="M1869" s="85">
        <v>59.0</v>
      </c>
      <c r="N1869" s="85">
        <v>1.0</v>
      </c>
      <c r="O1869" s="110">
        <f t="shared" si="1413"/>
        <v>19</v>
      </c>
      <c r="P1869" s="85">
        <v>1.0</v>
      </c>
      <c r="Q1869" s="85">
        <v>1.0</v>
      </c>
      <c r="R1869" s="94">
        <v>0.0</v>
      </c>
      <c r="S1869" s="85">
        <v>1.0</v>
      </c>
      <c r="T1869" s="85">
        <v>4.0</v>
      </c>
      <c r="U1869" s="85">
        <v>1.0</v>
      </c>
      <c r="V1869" s="94">
        <v>0.0</v>
      </c>
      <c r="W1869" s="94">
        <v>0.0</v>
      </c>
      <c r="X1869" s="94">
        <v>0.0</v>
      </c>
      <c r="Y1869" s="94">
        <v>0.0</v>
      </c>
      <c r="Z1869" s="94">
        <v>0.0</v>
      </c>
      <c r="AA1869" s="94">
        <v>0.0</v>
      </c>
      <c r="AB1869" s="94">
        <v>0.0</v>
      </c>
      <c r="AC1869" s="94">
        <v>0.0</v>
      </c>
      <c r="AD1869" s="94">
        <v>0.0</v>
      </c>
      <c r="AE1869" s="94">
        <v>0.0</v>
      </c>
      <c r="AF1869" s="94">
        <v>0.0</v>
      </c>
      <c r="AG1869" s="94">
        <v>0.0</v>
      </c>
      <c r="AH1869" s="94">
        <v>0.0</v>
      </c>
    </row>
    <row r="1870" hidden="1">
      <c r="A1870" s="83" t="s">
        <v>20</v>
      </c>
      <c r="B1870" s="84" t="s">
        <v>236</v>
      </c>
      <c r="C1870" s="94">
        <v>0.0</v>
      </c>
      <c r="D1870" s="94">
        <v>0.0</v>
      </c>
      <c r="E1870" s="96">
        <f t="shared" ref="E1870:E1871" si="1414">SUM(L1870*I1870)/60</f>
        <v>0</v>
      </c>
      <c r="F1870" s="94">
        <v>0.0</v>
      </c>
      <c r="G1870" s="94">
        <v>0.0</v>
      </c>
      <c r="H1870" s="94">
        <v>0.0</v>
      </c>
      <c r="I1870" s="94">
        <v>0.0</v>
      </c>
      <c r="J1870" s="95">
        <f t="shared" si="1405"/>
        <v>0</v>
      </c>
      <c r="K1870" s="87" t="str">
        <f t="shared" si="1406"/>
        <v>#DIV/0!</v>
      </c>
      <c r="L1870" s="94">
        <v>0.0</v>
      </c>
      <c r="M1870" s="94">
        <v>0.0</v>
      </c>
      <c r="N1870" s="85">
        <v>0.0</v>
      </c>
      <c r="O1870" s="110">
        <f t="shared" si="1413"/>
        <v>0</v>
      </c>
      <c r="P1870" s="94">
        <v>0.0</v>
      </c>
      <c r="Q1870" s="94">
        <v>0.0</v>
      </c>
      <c r="R1870" s="94">
        <v>0.0</v>
      </c>
      <c r="S1870" s="94">
        <v>0.0</v>
      </c>
      <c r="T1870" s="94">
        <v>0.0</v>
      </c>
      <c r="U1870" s="94">
        <v>0.0</v>
      </c>
      <c r="V1870" s="94">
        <v>0.0</v>
      </c>
      <c r="W1870" s="94">
        <v>0.0</v>
      </c>
      <c r="X1870" s="94">
        <v>0.0</v>
      </c>
      <c r="Y1870" s="94">
        <v>0.0</v>
      </c>
      <c r="Z1870" s="94">
        <v>0.0</v>
      </c>
      <c r="AA1870" s="94">
        <v>0.0</v>
      </c>
      <c r="AB1870" s="94">
        <v>0.0</v>
      </c>
      <c r="AC1870" s="94">
        <v>0.0</v>
      </c>
      <c r="AD1870" s="94">
        <v>0.0</v>
      </c>
      <c r="AE1870" s="94">
        <v>0.0</v>
      </c>
      <c r="AF1870" s="94">
        <v>0.0</v>
      </c>
      <c r="AG1870" s="94">
        <v>0.0</v>
      </c>
      <c r="AH1870" s="94">
        <v>0.0</v>
      </c>
    </row>
    <row r="1871" hidden="1">
      <c r="A1871" s="83" t="s">
        <v>20</v>
      </c>
      <c r="B1871" s="93"/>
      <c r="C1871" s="94">
        <v>0.0</v>
      </c>
      <c r="D1871" s="94">
        <v>0.0</v>
      </c>
      <c r="E1871" s="96">
        <f t="shared" si="1414"/>
        <v>0</v>
      </c>
      <c r="F1871" s="94">
        <v>0.0</v>
      </c>
      <c r="G1871" s="94">
        <v>0.0</v>
      </c>
      <c r="H1871" s="94">
        <v>0.0</v>
      </c>
      <c r="I1871" s="94">
        <v>0.0</v>
      </c>
      <c r="J1871" s="95">
        <f t="shared" si="1405"/>
        <v>0</v>
      </c>
      <c r="K1871" s="87" t="str">
        <f t="shared" si="1406"/>
        <v>#DIV/0!</v>
      </c>
      <c r="L1871" s="94">
        <v>0.0</v>
      </c>
      <c r="M1871" s="94">
        <v>0.0</v>
      </c>
      <c r="N1871" s="85">
        <v>0.0</v>
      </c>
      <c r="O1871" s="110">
        <f t="shared" si="1413"/>
        <v>0</v>
      </c>
      <c r="P1871" s="94">
        <v>0.0</v>
      </c>
      <c r="Q1871" s="94">
        <v>0.0</v>
      </c>
      <c r="R1871" s="94">
        <v>0.0</v>
      </c>
      <c r="S1871" s="94">
        <v>0.0</v>
      </c>
      <c r="T1871" s="94">
        <v>0.0</v>
      </c>
      <c r="U1871" s="94">
        <v>0.0</v>
      </c>
      <c r="V1871" s="94">
        <v>0.0</v>
      </c>
      <c r="W1871" s="94">
        <v>0.0</v>
      </c>
      <c r="X1871" s="94">
        <v>0.0</v>
      </c>
      <c r="Y1871" s="94">
        <v>0.0</v>
      </c>
      <c r="Z1871" s="94">
        <v>0.0</v>
      </c>
      <c r="AA1871" s="94">
        <v>0.0</v>
      </c>
      <c r="AB1871" s="94">
        <v>0.0</v>
      </c>
      <c r="AC1871" s="94">
        <v>0.0</v>
      </c>
      <c r="AD1871" s="94">
        <v>0.0</v>
      </c>
      <c r="AE1871" s="94">
        <v>0.0</v>
      </c>
      <c r="AF1871" s="94">
        <v>0.0</v>
      </c>
      <c r="AG1871" s="94">
        <v>0.0</v>
      </c>
      <c r="AH1871" s="94">
        <v>0.0</v>
      </c>
    </row>
    <row r="1872" hidden="1">
      <c r="A1872" s="89" t="s">
        <v>185</v>
      </c>
      <c r="B1872" s="111"/>
      <c r="C1872" s="111">
        <f>SUM(C1866:C1871)</f>
        <v>4</v>
      </c>
      <c r="D1872" s="111">
        <f t="shared" ref="D1872:E1872" si="1415">SUM(D1866:D1871)/4</f>
        <v>1</v>
      </c>
      <c r="E1872" s="91">
        <f t="shared" si="1415"/>
        <v>19</v>
      </c>
      <c r="F1872" s="111">
        <f t="shared" ref="F1872:G1872" si="1416">SUM(F1866:F1871)</f>
        <v>5</v>
      </c>
      <c r="G1872" s="111">
        <f t="shared" si="1416"/>
        <v>276</v>
      </c>
      <c r="H1872" s="111"/>
      <c r="I1872" s="111">
        <f>SUM(I1866:I1871)</f>
        <v>234</v>
      </c>
      <c r="J1872" s="111">
        <f t="shared" si="1405"/>
        <v>42</v>
      </c>
      <c r="K1872" s="92">
        <f t="shared" si="1406"/>
        <v>1.179487179</v>
      </c>
      <c r="L1872" s="111">
        <f t="shared" ref="L1872:M1872" si="1417">SUM(L1866:L1871)</f>
        <v>64</v>
      </c>
      <c r="M1872" s="111">
        <f t="shared" si="1417"/>
        <v>373</v>
      </c>
      <c r="N1872" s="111"/>
      <c r="O1872" s="112"/>
      <c r="P1872" s="111">
        <f t="shared" ref="P1872:AH1872" si="1418">SUM(P1866:P1871)</f>
        <v>11</v>
      </c>
      <c r="Q1872" s="111">
        <f t="shared" si="1418"/>
        <v>2</v>
      </c>
      <c r="R1872" s="111">
        <f t="shared" si="1418"/>
        <v>11</v>
      </c>
      <c r="S1872" s="111">
        <f t="shared" si="1418"/>
        <v>3</v>
      </c>
      <c r="T1872" s="111">
        <f t="shared" si="1418"/>
        <v>50</v>
      </c>
      <c r="U1872" s="111">
        <f t="shared" si="1418"/>
        <v>13</v>
      </c>
      <c r="V1872" s="111">
        <f t="shared" si="1418"/>
        <v>7</v>
      </c>
      <c r="W1872" s="111">
        <f t="shared" si="1418"/>
        <v>1</v>
      </c>
      <c r="X1872" s="111">
        <f t="shared" si="1418"/>
        <v>0</v>
      </c>
      <c r="Y1872" s="111">
        <f t="shared" si="1418"/>
        <v>0</v>
      </c>
      <c r="Z1872" s="111">
        <f t="shared" si="1418"/>
        <v>0</v>
      </c>
      <c r="AA1872" s="111">
        <f t="shared" si="1418"/>
        <v>0</v>
      </c>
      <c r="AB1872" s="111">
        <f t="shared" si="1418"/>
        <v>0</v>
      </c>
      <c r="AC1872" s="111">
        <f t="shared" si="1418"/>
        <v>8</v>
      </c>
      <c r="AD1872" s="111">
        <f t="shared" si="1418"/>
        <v>0</v>
      </c>
      <c r="AE1872" s="111">
        <f t="shared" si="1418"/>
        <v>0</v>
      </c>
      <c r="AF1872" s="111">
        <f t="shared" si="1418"/>
        <v>0</v>
      </c>
      <c r="AG1872" s="111">
        <f t="shared" si="1418"/>
        <v>0</v>
      </c>
      <c r="AH1872" s="111">
        <f t="shared" si="1418"/>
        <v>0</v>
      </c>
    </row>
    <row r="1873">
      <c r="A1873" s="104" t="s">
        <v>357</v>
      </c>
    </row>
    <row r="1875" hidden="1">
      <c r="A1875" s="105"/>
      <c r="F1875" s="106" t="s">
        <v>251</v>
      </c>
      <c r="L1875" s="107" t="s">
        <v>252</v>
      </c>
      <c r="N1875" s="108" t="s">
        <v>253</v>
      </c>
    </row>
    <row r="1876" hidden="1">
      <c r="A1876" s="76" t="s">
        <v>148</v>
      </c>
      <c r="B1876" s="76" t="s">
        <v>149</v>
      </c>
      <c r="C1876" s="76" t="s">
        <v>150</v>
      </c>
      <c r="D1876" s="76" t="s">
        <v>13</v>
      </c>
      <c r="E1876" s="77" t="s">
        <v>151</v>
      </c>
      <c r="F1876" s="78" t="s">
        <v>15</v>
      </c>
      <c r="G1876" s="78" t="s">
        <v>152</v>
      </c>
      <c r="H1876" s="78" t="s">
        <v>153</v>
      </c>
      <c r="I1876" s="78" t="s">
        <v>154</v>
      </c>
      <c r="J1876" s="78" t="s">
        <v>155</v>
      </c>
      <c r="K1876" s="79" t="s">
        <v>156</v>
      </c>
      <c r="L1876" s="80" t="s">
        <v>157</v>
      </c>
      <c r="M1876" s="80" t="s">
        <v>158</v>
      </c>
      <c r="N1876" s="81" t="s">
        <v>254</v>
      </c>
      <c r="O1876" s="81" t="s">
        <v>151</v>
      </c>
      <c r="P1876" s="81" t="s">
        <v>160</v>
      </c>
      <c r="Q1876" s="81" t="s">
        <v>161</v>
      </c>
      <c r="R1876" s="81" t="s">
        <v>162</v>
      </c>
      <c r="S1876" s="81" t="s">
        <v>163</v>
      </c>
      <c r="T1876" s="81" t="s">
        <v>164</v>
      </c>
      <c r="U1876" s="81" t="s">
        <v>165</v>
      </c>
      <c r="V1876" s="81" t="s">
        <v>166</v>
      </c>
      <c r="W1876" s="81" t="s">
        <v>167</v>
      </c>
      <c r="X1876" s="81" t="s">
        <v>168</v>
      </c>
      <c r="Y1876" s="81" t="s">
        <v>169</v>
      </c>
      <c r="Z1876" s="81" t="s">
        <v>170</v>
      </c>
      <c r="AA1876" s="81" t="s">
        <v>171</v>
      </c>
      <c r="AB1876" s="81" t="s">
        <v>172</v>
      </c>
      <c r="AC1876" s="81" t="s">
        <v>173</v>
      </c>
      <c r="AD1876" s="81" t="s">
        <v>174</v>
      </c>
      <c r="AE1876" s="81" t="s">
        <v>175</v>
      </c>
      <c r="AF1876" s="81" t="s">
        <v>176</v>
      </c>
      <c r="AG1876" s="81" t="s">
        <v>177</v>
      </c>
      <c r="AH1876" s="81" t="s">
        <v>178</v>
      </c>
    </row>
    <row r="1877" hidden="1">
      <c r="A1877" s="83" t="s">
        <v>40</v>
      </c>
      <c r="B1877" s="84" t="s">
        <v>216</v>
      </c>
      <c r="C1877" s="85">
        <v>1.0</v>
      </c>
      <c r="D1877" s="85">
        <v>1.0</v>
      </c>
      <c r="E1877" s="86">
        <v>23.0</v>
      </c>
      <c r="F1877" s="85">
        <v>5.0</v>
      </c>
      <c r="G1877" s="85">
        <v>39.0</v>
      </c>
      <c r="H1877" s="94">
        <v>0.0</v>
      </c>
      <c r="I1877" s="85">
        <v>62.0</v>
      </c>
      <c r="J1877" s="95">
        <f t="shared" ref="J1877:J1890" si="1419">SUM(G1877-I1877)</f>
        <v>-23</v>
      </c>
      <c r="K1877" s="87">
        <f t="shared" ref="K1877:K1890" si="1420">SUM(G1877/I1877)</f>
        <v>0.6290322581</v>
      </c>
      <c r="L1877" s="85">
        <v>19.0</v>
      </c>
      <c r="M1877" s="85">
        <v>49.0</v>
      </c>
      <c r="N1877" s="85">
        <v>1.0</v>
      </c>
      <c r="O1877" s="110">
        <f t="shared" ref="O1877:O1882" si="1421">(E1877*N1877)</f>
        <v>23</v>
      </c>
      <c r="P1877" s="85">
        <v>2.0</v>
      </c>
      <c r="Q1877" s="94">
        <v>0.0</v>
      </c>
      <c r="R1877" s="94">
        <v>0.0</v>
      </c>
      <c r="S1877" s="85">
        <v>2.0</v>
      </c>
      <c r="T1877" s="85">
        <v>3.0</v>
      </c>
      <c r="U1877" s="85">
        <v>1.0</v>
      </c>
      <c r="V1877" s="94">
        <v>0.0</v>
      </c>
      <c r="W1877" s="94">
        <v>0.0</v>
      </c>
      <c r="X1877" s="94">
        <v>0.0</v>
      </c>
      <c r="Y1877" s="94">
        <v>0.0</v>
      </c>
      <c r="Z1877" s="94">
        <v>0.0</v>
      </c>
      <c r="AA1877" s="94">
        <v>0.0</v>
      </c>
      <c r="AB1877" s="94">
        <v>0.0</v>
      </c>
      <c r="AC1877" s="94">
        <v>0.0</v>
      </c>
      <c r="AD1877" s="94">
        <v>0.0</v>
      </c>
      <c r="AE1877" s="94">
        <v>0.0</v>
      </c>
      <c r="AF1877" s="94">
        <v>0.0</v>
      </c>
      <c r="AG1877" s="94">
        <v>0.0</v>
      </c>
      <c r="AH1877" s="94">
        <v>0.0</v>
      </c>
    </row>
    <row r="1878" hidden="1">
      <c r="A1878" s="83" t="s">
        <v>40</v>
      </c>
      <c r="B1878" s="84" t="s">
        <v>217</v>
      </c>
      <c r="C1878" s="85">
        <v>1.0</v>
      </c>
      <c r="D1878" s="85">
        <v>1.0</v>
      </c>
      <c r="E1878" s="86">
        <v>23.0</v>
      </c>
      <c r="F1878" s="94">
        <v>0.0</v>
      </c>
      <c r="G1878" s="85">
        <v>84.0</v>
      </c>
      <c r="H1878" s="94">
        <v>0.0</v>
      </c>
      <c r="I1878" s="85">
        <v>85.0</v>
      </c>
      <c r="J1878" s="95">
        <f t="shared" si="1419"/>
        <v>-1</v>
      </c>
      <c r="K1878" s="87">
        <f t="shared" si="1420"/>
        <v>0.9882352941</v>
      </c>
      <c r="L1878" s="85">
        <v>13.0</v>
      </c>
      <c r="M1878" s="85">
        <v>106.0</v>
      </c>
      <c r="N1878" s="85">
        <v>1.0</v>
      </c>
      <c r="O1878" s="110">
        <f t="shared" si="1421"/>
        <v>23</v>
      </c>
      <c r="P1878" s="85">
        <v>3.0</v>
      </c>
      <c r="Q1878" s="85">
        <v>2.0</v>
      </c>
      <c r="R1878" s="85">
        <v>8.0</v>
      </c>
      <c r="S1878" s="85">
        <v>0.0</v>
      </c>
      <c r="T1878" s="85">
        <v>13.0</v>
      </c>
      <c r="U1878" s="94">
        <v>0.0</v>
      </c>
      <c r="V1878" s="94">
        <v>0.0</v>
      </c>
      <c r="W1878" s="94">
        <v>0.0</v>
      </c>
      <c r="X1878" s="94">
        <v>0.0</v>
      </c>
      <c r="Y1878" s="94">
        <v>0.0</v>
      </c>
      <c r="Z1878" s="94">
        <v>0.0</v>
      </c>
      <c r="AA1878" s="94">
        <v>0.0</v>
      </c>
      <c r="AB1878" s="94">
        <v>0.0</v>
      </c>
      <c r="AC1878" s="85">
        <v>2.0</v>
      </c>
      <c r="AD1878" s="94">
        <v>0.0</v>
      </c>
      <c r="AE1878" s="94">
        <v>0.0</v>
      </c>
      <c r="AF1878" s="94">
        <v>0.0</v>
      </c>
      <c r="AG1878" s="94">
        <v>0.0</v>
      </c>
      <c r="AH1878" s="94">
        <v>0.0</v>
      </c>
    </row>
    <row r="1879" hidden="1">
      <c r="A1879" s="83" t="s">
        <v>40</v>
      </c>
      <c r="B1879" s="84" t="s">
        <v>218</v>
      </c>
      <c r="C1879" s="85">
        <v>1.0</v>
      </c>
      <c r="D1879" s="85">
        <v>1.0</v>
      </c>
      <c r="E1879" s="86">
        <v>23.0</v>
      </c>
      <c r="F1879" s="94">
        <v>0.0</v>
      </c>
      <c r="G1879" s="85">
        <v>84.0</v>
      </c>
      <c r="H1879" s="85">
        <v>1.0</v>
      </c>
      <c r="I1879" s="85">
        <v>81.0</v>
      </c>
      <c r="J1879" s="95">
        <f t="shared" si="1419"/>
        <v>3</v>
      </c>
      <c r="K1879" s="87">
        <f t="shared" si="1420"/>
        <v>1.037037037</v>
      </c>
      <c r="L1879" s="85">
        <v>14.0</v>
      </c>
      <c r="M1879" s="85">
        <v>90.0</v>
      </c>
      <c r="N1879" s="85">
        <v>1.0</v>
      </c>
      <c r="O1879" s="110">
        <f t="shared" si="1421"/>
        <v>23</v>
      </c>
      <c r="P1879" s="85">
        <v>2.0</v>
      </c>
      <c r="Q1879" s="94">
        <v>0.0</v>
      </c>
      <c r="R1879" s="85">
        <v>2.0</v>
      </c>
      <c r="S1879" s="94">
        <v>0.0</v>
      </c>
      <c r="T1879" s="85">
        <v>10.0</v>
      </c>
      <c r="U1879" s="85">
        <v>1.0</v>
      </c>
      <c r="V1879" s="94">
        <v>0.0</v>
      </c>
      <c r="W1879" s="94">
        <v>0.0</v>
      </c>
      <c r="X1879" s="94">
        <v>0.0</v>
      </c>
      <c r="Y1879" s="94">
        <v>0.0</v>
      </c>
      <c r="Z1879" s="94">
        <v>0.0</v>
      </c>
      <c r="AA1879" s="94">
        <v>0.0</v>
      </c>
      <c r="AB1879" s="94">
        <v>0.0</v>
      </c>
      <c r="AC1879" s="85">
        <v>2.0</v>
      </c>
      <c r="AD1879" s="94">
        <v>0.0</v>
      </c>
      <c r="AE1879" s="94">
        <v>0.0</v>
      </c>
      <c r="AF1879" s="94">
        <v>0.0</v>
      </c>
      <c r="AG1879" s="94">
        <v>0.0</v>
      </c>
      <c r="AH1879" s="94">
        <v>0.0</v>
      </c>
    </row>
    <row r="1880" hidden="1">
      <c r="A1880" s="83" t="s">
        <v>40</v>
      </c>
      <c r="B1880" s="84" t="s">
        <v>219</v>
      </c>
      <c r="C1880" s="94">
        <v>0.0</v>
      </c>
      <c r="D1880" s="94">
        <v>0.0</v>
      </c>
      <c r="E1880" s="86">
        <v>0.0</v>
      </c>
      <c r="F1880" s="94">
        <v>0.0</v>
      </c>
      <c r="G1880" s="94">
        <v>0.0</v>
      </c>
      <c r="H1880" s="94">
        <v>0.0</v>
      </c>
      <c r="I1880" s="94">
        <v>0.0</v>
      </c>
      <c r="J1880" s="95">
        <f t="shared" si="1419"/>
        <v>0</v>
      </c>
      <c r="K1880" s="87" t="str">
        <f t="shared" si="1420"/>
        <v>#DIV/0!</v>
      </c>
      <c r="L1880" s="94">
        <v>0.0</v>
      </c>
      <c r="M1880" s="94">
        <v>0.0</v>
      </c>
      <c r="N1880" s="85">
        <v>0.0</v>
      </c>
      <c r="O1880" s="110">
        <f t="shared" si="1421"/>
        <v>0</v>
      </c>
      <c r="P1880" s="94">
        <v>0.0</v>
      </c>
      <c r="Q1880" s="94">
        <v>0.0</v>
      </c>
      <c r="R1880" s="94">
        <v>0.0</v>
      </c>
      <c r="S1880" s="94">
        <v>0.0</v>
      </c>
      <c r="T1880" s="94">
        <v>0.0</v>
      </c>
      <c r="U1880" s="94">
        <v>0.0</v>
      </c>
      <c r="V1880" s="94">
        <v>0.0</v>
      </c>
      <c r="W1880" s="94">
        <v>0.0</v>
      </c>
      <c r="X1880" s="94">
        <v>0.0</v>
      </c>
      <c r="Y1880" s="94">
        <v>0.0</v>
      </c>
      <c r="Z1880" s="94">
        <v>0.0</v>
      </c>
      <c r="AA1880" s="94">
        <v>0.0</v>
      </c>
      <c r="AB1880" s="94">
        <v>0.0</v>
      </c>
      <c r="AC1880" s="94">
        <v>0.0</v>
      </c>
      <c r="AD1880" s="94">
        <v>0.0</v>
      </c>
      <c r="AE1880" s="94">
        <v>0.0</v>
      </c>
      <c r="AF1880" s="94">
        <v>0.0</v>
      </c>
      <c r="AG1880" s="94">
        <v>0.0</v>
      </c>
      <c r="AH1880" s="94">
        <v>0.0</v>
      </c>
    </row>
    <row r="1881" hidden="1">
      <c r="A1881" s="83" t="s">
        <v>40</v>
      </c>
      <c r="B1881" s="84" t="s">
        <v>220</v>
      </c>
      <c r="C1881" s="94">
        <v>0.0</v>
      </c>
      <c r="D1881" s="94">
        <v>0.0</v>
      </c>
      <c r="E1881" s="96">
        <f>SUM(L1881*I1881)/60</f>
        <v>0</v>
      </c>
      <c r="F1881" s="94">
        <v>0.0</v>
      </c>
      <c r="G1881" s="94">
        <v>0.0</v>
      </c>
      <c r="H1881" s="94">
        <v>0.0</v>
      </c>
      <c r="I1881" s="94">
        <v>0.0</v>
      </c>
      <c r="J1881" s="95">
        <f t="shared" si="1419"/>
        <v>0</v>
      </c>
      <c r="K1881" s="87" t="str">
        <f t="shared" si="1420"/>
        <v>#DIV/0!</v>
      </c>
      <c r="L1881" s="94">
        <v>0.0</v>
      </c>
      <c r="M1881" s="94">
        <v>0.0</v>
      </c>
      <c r="N1881" s="85">
        <v>0.0</v>
      </c>
      <c r="O1881" s="110">
        <f t="shared" si="1421"/>
        <v>0</v>
      </c>
      <c r="P1881" s="94">
        <v>0.0</v>
      </c>
      <c r="Q1881" s="94">
        <v>0.0</v>
      </c>
      <c r="R1881" s="94">
        <v>0.0</v>
      </c>
      <c r="S1881" s="94">
        <v>0.0</v>
      </c>
      <c r="T1881" s="94">
        <v>0.0</v>
      </c>
      <c r="U1881" s="94">
        <v>0.0</v>
      </c>
      <c r="V1881" s="94">
        <v>0.0</v>
      </c>
      <c r="W1881" s="94">
        <v>0.0</v>
      </c>
      <c r="X1881" s="94">
        <v>0.0</v>
      </c>
      <c r="Y1881" s="94">
        <v>0.0</v>
      </c>
      <c r="Z1881" s="94">
        <v>0.0</v>
      </c>
      <c r="AA1881" s="94">
        <v>0.0</v>
      </c>
      <c r="AB1881" s="94">
        <v>0.0</v>
      </c>
      <c r="AC1881" s="94">
        <v>0.0</v>
      </c>
      <c r="AD1881" s="94">
        <v>0.0</v>
      </c>
      <c r="AE1881" s="94">
        <v>0.0</v>
      </c>
      <c r="AF1881" s="94">
        <v>0.0</v>
      </c>
      <c r="AG1881" s="94">
        <v>0.0</v>
      </c>
      <c r="AH1881" s="94">
        <v>0.0</v>
      </c>
    </row>
    <row r="1882" hidden="1">
      <c r="A1882" s="83" t="s">
        <v>214</v>
      </c>
      <c r="B1882" s="84" t="s">
        <v>221</v>
      </c>
      <c r="C1882" s="85">
        <v>1.0</v>
      </c>
      <c r="D1882" s="85">
        <v>1.0</v>
      </c>
      <c r="E1882" s="86">
        <v>23.0</v>
      </c>
      <c r="F1882" s="94">
        <v>0.0</v>
      </c>
      <c r="G1882" s="85">
        <v>85.0</v>
      </c>
      <c r="H1882" s="94">
        <v>0.0</v>
      </c>
      <c r="I1882" s="85">
        <v>78.0</v>
      </c>
      <c r="J1882" s="95">
        <f t="shared" si="1419"/>
        <v>7</v>
      </c>
      <c r="K1882" s="87">
        <f t="shared" si="1420"/>
        <v>1.08974359</v>
      </c>
      <c r="L1882" s="85">
        <v>14.0</v>
      </c>
      <c r="M1882" s="85">
        <v>101.0</v>
      </c>
      <c r="N1882" s="85">
        <v>1.0</v>
      </c>
      <c r="O1882" s="110">
        <f t="shared" si="1421"/>
        <v>23</v>
      </c>
      <c r="P1882" s="85">
        <v>3.0</v>
      </c>
      <c r="Q1882" s="94">
        <v>0.0</v>
      </c>
      <c r="R1882" s="85">
        <v>3.0</v>
      </c>
      <c r="S1882" s="85">
        <v>2.0</v>
      </c>
      <c r="T1882" s="85">
        <v>12.0</v>
      </c>
      <c r="U1882" s="85">
        <v>1.0</v>
      </c>
      <c r="V1882" s="94">
        <v>0.0</v>
      </c>
      <c r="W1882" s="94">
        <v>0.0</v>
      </c>
      <c r="X1882" s="94">
        <v>0.0</v>
      </c>
      <c r="Y1882" s="94">
        <v>0.0</v>
      </c>
      <c r="Z1882" s="94">
        <v>0.0</v>
      </c>
      <c r="AA1882" s="94">
        <v>0.0</v>
      </c>
      <c r="AB1882" s="94">
        <v>0.0</v>
      </c>
      <c r="AC1882" s="85">
        <v>1.0</v>
      </c>
      <c r="AD1882" s="94">
        <v>0.0</v>
      </c>
      <c r="AE1882" s="94">
        <v>0.0</v>
      </c>
      <c r="AF1882" s="94">
        <v>0.0</v>
      </c>
      <c r="AG1882" s="94">
        <v>0.0</v>
      </c>
      <c r="AH1882" s="94">
        <v>0.0</v>
      </c>
    </row>
    <row r="1883" hidden="1">
      <c r="A1883" s="89"/>
      <c r="B1883" s="111"/>
      <c r="C1883" s="111">
        <f t="shared" ref="C1883:D1883" si="1422">SUM(C1877:C1882)/4</f>
        <v>1</v>
      </c>
      <c r="D1883" s="111">
        <f t="shared" si="1422"/>
        <v>1</v>
      </c>
      <c r="E1883" s="91">
        <f t="shared" ref="E1883:G1883" si="1423">SUM(E1877:E1882)</f>
        <v>92</v>
      </c>
      <c r="F1883" s="111">
        <f t="shared" si="1423"/>
        <v>5</v>
      </c>
      <c r="G1883" s="111">
        <f t="shared" si="1423"/>
        <v>292</v>
      </c>
      <c r="H1883" s="111"/>
      <c r="I1883" s="111">
        <f>SUM(I1877:I1882)</f>
        <v>306</v>
      </c>
      <c r="J1883" s="111">
        <f t="shared" si="1419"/>
        <v>-14</v>
      </c>
      <c r="K1883" s="92">
        <f t="shared" si="1420"/>
        <v>0.954248366</v>
      </c>
      <c r="L1883" s="111">
        <f t="shared" ref="L1883:M1883" si="1424">SUM(L1877:L1882)</f>
        <v>60</v>
      </c>
      <c r="M1883" s="111">
        <f t="shared" si="1424"/>
        <v>346</v>
      </c>
      <c r="N1883" s="111"/>
      <c r="O1883" s="112"/>
      <c r="P1883" s="111">
        <f t="shared" ref="P1883:AH1883" si="1425">SUM(P1877:P1882)</f>
        <v>10</v>
      </c>
      <c r="Q1883" s="111">
        <f t="shared" si="1425"/>
        <v>2</v>
      </c>
      <c r="R1883" s="111">
        <f t="shared" si="1425"/>
        <v>13</v>
      </c>
      <c r="S1883" s="111">
        <f t="shared" si="1425"/>
        <v>4</v>
      </c>
      <c r="T1883" s="111">
        <f t="shared" si="1425"/>
        <v>38</v>
      </c>
      <c r="U1883" s="111">
        <f t="shared" si="1425"/>
        <v>3</v>
      </c>
      <c r="V1883" s="111">
        <f t="shared" si="1425"/>
        <v>0</v>
      </c>
      <c r="W1883" s="111">
        <f t="shared" si="1425"/>
        <v>0</v>
      </c>
      <c r="X1883" s="111">
        <f t="shared" si="1425"/>
        <v>0</v>
      </c>
      <c r="Y1883" s="111">
        <f t="shared" si="1425"/>
        <v>0</v>
      </c>
      <c r="Z1883" s="111">
        <f t="shared" si="1425"/>
        <v>0</v>
      </c>
      <c r="AA1883" s="111">
        <f t="shared" si="1425"/>
        <v>0</v>
      </c>
      <c r="AB1883" s="111">
        <f t="shared" si="1425"/>
        <v>0</v>
      </c>
      <c r="AC1883" s="111">
        <f t="shared" si="1425"/>
        <v>5</v>
      </c>
      <c r="AD1883" s="111">
        <f t="shared" si="1425"/>
        <v>0</v>
      </c>
      <c r="AE1883" s="111">
        <f t="shared" si="1425"/>
        <v>0</v>
      </c>
      <c r="AF1883" s="111">
        <f t="shared" si="1425"/>
        <v>0</v>
      </c>
      <c r="AG1883" s="111">
        <f t="shared" si="1425"/>
        <v>0</v>
      </c>
      <c r="AH1883" s="111">
        <f t="shared" si="1425"/>
        <v>0</v>
      </c>
    </row>
    <row r="1884" hidden="1">
      <c r="A1884" s="83" t="s">
        <v>20</v>
      </c>
      <c r="B1884" s="84" t="s">
        <v>232</v>
      </c>
      <c r="C1884" s="85">
        <v>1.0</v>
      </c>
      <c r="D1884" s="94">
        <v>0.0</v>
      </c>
      <c r="E1884" s="86">
        <v>23.0</v>
      </c>
      <c r="F1884" s="85">
        <v>1.0</v>
      </c>
      <c r="G1884" s="85">
        <v>82.0</v>
      </c>
      <c r="H1884" s="94">
        <v>0.0</v>
      </c>
      <c r="I1884" s="85">
        <v>69.0</v>
      </c>
      <c r="J1884" s="95">
        <f t="shared" si="1419"/>
        <v>13</v>
      </c>
      <c r="K1884" s="87">
        <f t="shared" si="1420"/>
        <v>1.188405797</v>
      </c>
      <c r="L1884" s="85">
        <v>16.0</v>
      </c>
      <c r="M1884" s="85">
        <v>100.0</v>
      </c>
      <c r="N1884" s="85">
        <v>1.0</v>
      </c>
      <c r="O1884" s="110">
        <f t="shared" ref="O1884:O1889" si="1426">(E1884*N1884)</f>
        <v>23</v>
      </c>
      <c r="P1884" s="85">
        <v>4.0</v>
      </c>
      <c r="Q1884" s="85">
        <v>1.0</v>
      </c>
      <c r="R1884" s="85">
        <v>3.0</v>
      </c>
      <c r="S1884" s="85">
        <v>1.0</v>
      </c>
      <c r="T1884" s="85">
        <v>11.0</v>
      </c>
      <c r="U1884" s="85">
        <v>2.0</v>
      </c>
      <c r="V1884" s="94">
        <v>0.0</v>
      </c>
      <c r="W1884" s="94">
        <v>0.0</v>
      </c>
      <c r="X1884" s="94">
        <v>0.0</v>
      </c>
      <c r="Y1884" s="94">
        <v>0.0</v>
      </c>
      <c r="Z1884" s="94">
        <v>0.0</v>
      </c>
      <c r="AA1884" s="94">
        <v>0.0</v>
      </c>
      <c r="AB1884" s="94">
        <v>0.0</v>
      </c>
      <c r="AC1884" s="85">
        <v>2.0</v>
      </c>
      <c r="AD1884" s="94">
        <v>0.0</v>
      </c>
      <c r="AE1884" s="94">
        <v>0.0</v>
      </c>
      <c r="AF1884" s="94">
        <v>0.0</v>
      </c>
      <c r="AG1884" s="94">
        <v>0.0</v>
      </c>
      <c r="AH1884" s="94">
        <v>0.0</v>
      </c>
    </row>
    <row r="1885" hidden="1">
      <c r="A1885" s="83" t="s">
        <v>20</v>
      </c>
      <c r="B1885" s="84" t="s">
        <v>233</v>
      </c>
      <c r="C1885" s="85">
        <v>1.0</v>
      </c>
      <c r="D1885" s="94">
        <v>0.0</v>
      </c>
      <c r="E1885" s="86">
        <v>23.0</v>
      </c>
      <c r="F1885" s="94">
        <v>0.0</v>
      </c>
      <c r="G1885" s="85">
        <v>111.0</v>
      </c>
      <c r="H1885" s="94">
        <v>0.0</v>
      </c>
      <c r="I1885" s="85">
        <v>85.0</v>
      </c>
      <c r="J1885" s="95">
        <f t="shared" si="1419"/>
        <v>26</v>
      </c>
      <c r="K1885" s="87">
        <f t="shared" si="1420"/>
        <v>1.305882353</v>
      </c>
      <c r="L1885" s="85">
        <v>13.0</v>
      </c>
      <c r="M1885" s="85">
        <v>151.0</v>
      </c>
      <c r="N1885" s="85">
        <v>1.0</v>
      </c>
      <c r="O1885" s="110">
        <f t="shared" si="1426"/>
        <v>23</v>
      </c>
      <c r="P1885" s="94">
        <v>0.0</v>
      </c>
      <c r="Q1885" s="94">
        <v>0.0</v>
      </c>
      <c r="R1885" s="85">
        <v>3.0</v>
      </c>
      <c r="S1885" s="85">
        <v>2.0</v>
      </c>
      <c r="T1885" s="85">
        <v>22.0</v>
      </c>
      <c r="U1885" s="85">
        <v>8.0</v>
      </c>
      <c r="V1885" s="85">
        <v>2.0</v>
      </c>
      <c r="W1885" s="85">
        <v>1.0</v>
      </c>
      <c r="X1885" s="85">
        <v>1.0</v>
      </c>
      <c r="Y1885" s="94">
        <v>0.0</v>
      </c>
      <c r="Z1885" s="94">
        <v>0.0</v>
      </c>
      <c r="AA1885" s="94">
        <v>0.0</v>
      </c>
      <c r="AB1885" s="94">
        <v>0.0</v>
      </c>
      <c r="AC1885" s="85">
        <v>5.0</v>
      </c>
      <c r="AD1885" s="94">
        <v>0.0</v>
      </c>
      <c r="AE1885" s="94">
        <v>0.0</v>
      </c>
      <c r="AF1885" s="94">
        <v>0.0</v>
      </c>
      <c r="AG1885" s="94">
        <v>0.0</v>
      </c>
      <c r="AH1885" s="94">
        <v>0.0</v>
      </c>
    </row>
    <row r="1886" hidden="1">
      <c r="A1886" s="83" t="s">
        <v>20</v>
      </c>
      <c r="B1886" s="84" t="s">
        <v>234</v>
      </c>
      <c r="C1886" s="85">
        <v>1.0</v>
      </c>
      <c r="D1886" s="94">
        <v>0.0</v>
      </c>
      <c r="E1886" s="86">
        <v>23.0</v>
      </c>
      <c r="F1886" s="94">
        <v>0.0</v>
      </c>
      <c r="G1886" s="85">
        <v>75.0</v>
      </c>
      <c r="H1886" s="94">
        <v>0.0</v>
      </c>
      <c r="I1886" s="85">
        <v>87.0</v>
      </c>
      <c r="J1886" s="95">
        <f t="shared" si="1419"/>
        <v>-12</v>
      </c>
      <c r="K1886" s="87">
        <f t="shared" si="1420"/>
        <v>0.8620689655</v>
      </c>
      <c r="L1886" s="85">
        <v>12.0</v>
      </c>
      <c r="M1886" s="85">
        <v>80.0</v>
      </c>
      <c r="N1886" s="85">
        <v>1.0</v>
      </c>
      <c r="O1886" s="110">
        <f t="shared" si="1426"/>
        <v>23</v>
      </c>
      <c r="P1886" s="94">
        <v>0.0</v>
      </c>
      <c r="Q1886" s="85">
        <v>1.0</v>
      </c>
      <c r="R1886" s="85">
        <v>2.0</v>
      </c>
      <c r="S1886" s="94">
        <v>0.0</v>
      </c>
      <c r="T1886" s="85">
        <v>7.0</v>
      </c>
      <c r="U1886" s="85">
        <v>1.0</v>
      </c>
      <c r="V1886" s="94">
        <v>0.0</v>
      </c>
      <c r="W1886" s="94">
        <v>0.0</v>
      </c>
      <c r="X1886" s="94">
        <v>0.0</v>
      </c>
      <c r="Y1886" s="94">
        <v>0.0</v>
      </c>
      <c r="Z1886" s="94">
        <v>0.0</v>
      </c>
      <c r="AA1886" s="94">
        <v>0.0</v>
      </c>
      <c r="AB1886" s="94">
        <v>0.0</v>
      </c>
      <c r="AC1886" s="94">
        <v>0.0</v>
      </c>
      <c r="AD1886" s="94">
        <v>0.0</v>
      </c>
      <c r="AE1886" s="94">
        <v>0.0</v>
      </c>
      <c r="AF1886" s="94">
        <v>0.0</v>
      </c>
      <c r="AG1886" s="94">
        <v>0.0</v>
      </c>
      <c r="AH1886" s="94">
        <v>0.0</v>
      </c>
    </row>
    <row r="1887" hidden="1">
      <c r="A1887" s="83" t="s">
        <v>20</v>
      </c>
      <c r="B1887" s="84" t="s">
        <v>235</v>
      </c>
      <c r="C1887" s="85">
        <v>1.0</v>
      </c>
      <c r="D1887" s="94">
        <v>0.0</v>
      </c>
      <c r="E1887" s="86">
        <v>23.0</v>
      </c>
      <c r="F1887" s="85">
        <v>3.0</v>
      </c>
      <c r="G1887" s="85">
        <v>33.0</v>
      </c>
      <c r="H1887" s="94">
        <v>0.0</v>
      </c>
      <c r="I1887" s="85">
        <v>60.0</v>
      </c>
      <c r="J1887" s="95">
        <f t="shared" si="1419"/>
        <v>-27</v>
      </c>
      <c r="K1887" s="87">
        <f t="shared" si="1420"/>
        <v>0.55</v>
      </c>
      <c r="L1887" s="85">
        <v>19.0</v>
      </c>
      <c r="M1887" s="85">
        <v>41.0</v>
      </c>
      <c r="N1887" s="85">
        <v>1.0</v>
      </c>
      <c r="O1887" s="110">
        <f t="shared" si="1426"/>
        <v>23</v>
      </c>
      <c r="P1887" s="85">
        <v>2.0</v>
      </c>
      <c r="Q1887" s="94">
        <v>0.0</v>
      </c>
      <c r="R1887" s="85">
        <v>1.0</v>
      </c>
      <c r="S1887" s="85">
        <v>2.0</v>
      </c>
      <c r="T1887" s="85">
        <v>4.0</v>
      </c>
      <c r="U1887" s="85">
        <v>1.0</v>
      </c>
      <c r="V1887" s="94">
        <v>0.0</v>
      </c>
      <c r="W1887" s="94">
        <v>0.0</v>
      </c>
      <c r="X1887" s="94">
        <v>0.0</v>
      </c>
      <c r="Y1887" s="94">
        <v>0.0</v>
      </c>
      <c r="Z1887" s="94">
        <v>0.0</v>
      </c>
      <c r="AA1887" s="94">
        <v>0.0</v>
      </c>
      <c r="AB1887" s="94">
        <v>0.0</v>
      </c>
      <c r="AC1887" s="94">
        <v>0.0</v>
      </c>
      <c r="AD1887" s="94">
        <v>0.0</v>
      </c>
      <c r="AE1887" s="94">
        <v>0.0</v>
      </c>
      <c r="AF1887" s="94">
        <v>0.0</v>
      </c>
      <c r="AG1887" s="94">
        <v>0.0</v>
      </c>
      <c r="AH1887" s="94">
        <v>0.0</v>
      </c>
    </row>
    <row r="1888" hidden="1">
      <c r="A1888" s="83" t="s">
        <v>20</v>
      </c>
      <c r="B1888" s="84" t="s">
        <v>236</v>
      </c>
      <c r="C1888" s="94">
        <v>0.0</v>
      </c>
      <c r="D1888" s="94">
        <v>0.0</v>
      </c>
      <c r="E1888" s="96">
        <f t="shared" ref="E1888:E1889" si="1427">SUM(L1888*I1888)/60</f>
        <v>0</v>
      </c>
      <c r="F1888" s="94">
        <v>0.0</v>
      </c>
      <c r="G1888" s="94">
        <v>0.0</v>
      </c>
      <c r="H1888" s="94">
        <v>0.0</v>
      </c>
      <c r="I1888" s="94">
        <v>0.0</v>
      </c>
      <c r="J1888" s="95">
        <f t="shared" si="1419"/>
        <v>0</v>
      </c>
      <c r="K1888" s="87" t="str">
        <f t="shared" si="1420"/>
        <v>#DIV/0!</v>
      </c>
      <c r="L1888" s="94">
        <v>0.0</v>
      </c>
      <c r="M1888" s="94">
        <v>0.0</v>
      </c>
      <c r="N1888" s="85">
        <v>0.0</v>
      </c>
      <c r="O1888" s="110">
        <f t="shared" si="1426"/>
        <v>0</v>
      </c>
      <c r="P1888" s="94">
        <v>0.0</v>
      </c>
      <c r="Q1888" s="94">
        <v>0.0</v>
      </c>
      <c r="R1888" s="94">
        <v>0.0</v>
      </c>
      <c r="S1888" s="94">
        <v>0.0</v>
      </c>
      <c r="T1888" s="94">
        <v>0.0</v>
      </c>
      <c r="U1888" s="94">
        <v>0.0</v>
      </c>
      <c r="V1888" s="94">
        <v>0.0</v>
      </c>
      <c r="W1888" s="94">
        <v>0.0</v>
      </c>
      <c r="X1888" s="94">
        <v>0.0</v>
      </c>
      <c r="Y1888" s="94">
        <v>0.0</v>
      </c>
      <c r="Z1888" s="94">
        <v>0.0</v>
      </c>
      <c r="AA1888" s="94">
        <v>0.0</v>
      </c>
      <c r="AB1888" s="94">
        <v>0.0</v>
      </c>
      <c r="AC1888" s="94">
        <v>0.0</v>
      </c>
      <c r="AD1888" s="94">
        <v>0.0</v>
      </c>
      <c r="AE1888" s="94">
        <v>0.0</v>
      </c>
      <c r="AF1888" s="94">
        <v>0.0</v>
      </c>
      <c r="AG1888" s="94">
        <v>0.0</v>
      </c>
      <c r="AH1888" s="94">
        <v>0.0</v>
      </c>
    </row>
    <row r="1889" hidden="1">
      <c r="A1889" s="83" t="s">
        <v>20</v>
      </c>
      <c r="B1889" s="93"/>
      <c r="C1889" s="94">
        <v>0.0</v>
      </c>
      <c r="D1889" s="94">
        <v>0.0</v>
      </c>
      <c r="E1889" s="96">
        <f t="shared" si="1427"/>
        <v>0</v>
      </c>
      <c r="F1889" s="94">
        <v>0.0</v>
      </c>
      <c r="G1889" s="94">
        <v>0.0</v>
      </c>
      <c r="H1889" s="94">
        <v>0.0</v>
      </c>
      <c r="I1889" s="94">
        <v>0.0</v>
      </c>
      <c r="J1889" s="95">
        <f t="shared" si="1419"/>
        <v>0</v>
      </c>
      <c r="K1889" s="87" t="str">
        <f t="shared" si="1420"/>
        <v>#DIV/0!</v>
      </c>
      <c r="L1889" s="94">
        <v>0.0</v>
      </c>
      <c r="M1889" s="94">
        <v>0.0</v>
      </c>
      <c r="N1889" s="85">
        <v>0.0</v>
      </c>
      <c r="O1889" s="110">
        <f t="shared" si="1426"/>
        <v>0</v>
      </c>
      <c r="P1889" s="94">
        <v>0.0</v>
      </c>
      <c r="Q1889" s="94">
        <v>0.0</v>
      </c>
      <c r="R1889" s="94">
        <v>0.0</v>
      </c>
      <c r="S1889" s="94">
        <v>0.0</v>
      </c>
      <c r="T1889" s="94">
        <v>0.0</v>
      </c>
      <c r="U1889" s="94">
        <v>0.0</v>
      </c>
      <c r="V1889" s="94">
        <v>0.0</v>
      </c>
      <c r="W1889" s="94">
        <v>0.0</v>
      </c>
      <c r="X1889" s="94">
        <v>0.0</v>
      </c>
      <c r="Y1889" s="94">
        <v>0.0</v>
      </c>
      <c r="Z1889" s="94">
        <v>0.0</v>
      </c>
      <c r="AA1889" s="94">
        <v>0.0</v>
      </c>
      <c r="AB1889" s="94">
        <v>0.0</v>
      </c>
      <c r="AC1889" s="94">
        <v>0.0</v>
      </c>
      <c r="AD1889" s="94">
        <v>0.0</v>
      </c>
      <c r="AE1889" s="94">
        <v>0.0</v>
      </c>
      <c r="AF1889" s="94">
        <v>0.0</v>
      </c>
      <c r="AG1889" s="94">
        <v>0.0</v>
      </c>
      <c r="AH1889" s="94">
        <v>0.0</v>
      </c>
    </row>
    <row r="1890" hidden="1">
      <c r="A1890" s="89" t="s">
        <v>185</v>
      </c>
      <c r="B1890" s="111"/>
      <c r="C1890" s="111">
        <f>SUM(C1884:C1889)</f>
        <v>4</v>
      </c>
      <c r="D1890" s="111">
        <f t="shared" ref="D1890:E1890" si="1428">SUM(D1884:D1889)/4</f>
        <v>0</v>
      </c>
      <c r="E1890" s="91">
        <f t="shared" si="1428"/>
        <v>23</v>
      </c>
      <c r="F1890" s="111">
        <f t="shared" ref="F1890:G1890" si="1429">SUM(F1884:F1889)</f>
        <v>4</v>
      </c>
      <c r="G1890" s="111">
        <f t="shared" si="1429"/>
        <v>301</v>
      </c>
      <c r="H1890" s="111"/>
      <c r="I1890" s="111">
        <f>SUM(I1884:I1889)</f>
        <v>301</v>
      </c>
      <c r="J1890" s="111">
        <f t="shared" si="1419"/>
        <v>0</v>
      </c>
      <c r="K1890" s="92">
        <f t="shared" si="1420"/>
        <v>1</v>
      </c>
      <c r="L1890" s="111">
        <f t="shared" ref="L1890:M1890" si="1430">SUM(L1884:L1889)</f>
        <v>60</v>
      </c>
      <c r="M1890" s="111">
        <f t="shared" si="1430"/>
        <v>372</v>
      </c>
      <c r="N1890" s="111"/>
      <c r="O1890" s="112"/>
      <c r="P1890" s="111">
        <f t="shared" ref="P1890:AH1890" si="1431">SUM(P1884:P1889)</f>
        <v>6</v>
      </c>
      <c r="Q1890" s="111">
        <f t="shared" si="1431"/>
        <v>2</v>
      </c>
      <c r="R1890" s="111">
        <f t="shared" si="1431"/>
        <v>9</v>
      </c>
      <c r="S1890" s="111">
        <f t="shared" si="1431"/>
        <v>5</v>
      </c>
      <c r="T1890" s="111">
        <f t="shared" si="1431"/>
        <v>44</v>
      </c>
      <c r="U1890" s="111">
        <f t="shared" si="1431"/>
        <v>12</v>
      </c>
      <c r="V1890" s="111">
        <f t="shared" si="1431"/>
        <v>2</v>
      </c>
      <c r="W1890" s="111">
        <f t="shared" si="1431"/>
        <v>1</v>
      </c>
      <c r="X1890" s="111">
        <f t="shared" si="1431"/>
        <v>1</v>
      </c>
      <c r="Y1890" s="111">
        <f t="shared" si="1431"/>
        <v>0</v>
      </c>
      <c r="Z1890" s="111">
        <f t="shared" si="1431"/>
        <v>0</v>
      </c>
      <c r="AA1890" s="111">
        <f t="shared" si="1431"/>
        <v>0</v>
      </c>
      <c r="AB1890" s="111">
        <f t="shared" si="1431"/>
        <v>0</v>
      </c>
      <c r="AC1890" s="111">
        <f t="shared" si="1431"/>
        <v>7</v>
      </c>
      <c r="AD1890" s="111">
        <f t="shared" si="1431"/>
        <v>0</v>
      </c>
      <c r="AE1890" s="111">
        <f t="shared" si="1431"/>
        <v>0</v>
      </c>
      <c r="AF1890" s="111">
        <f t="shared" si="1431"/>
        <v>0</v>
      </c>
      <c r="AG1890" s="111">
        <f t="shared" si="1431"/>
        <v>0</v>
      </c>
      <c r="AH1890" s="111">
        <f t="shared" si="1431"/>
        <v>0</v>
      </c>
    </row>
    <row r="1891">
      <c r="A1891" s="113" t="s">
        <v>358</v>
      </c>
    </row>
    <row r="1893" hidden="1">
      <c r="A1893" s="105"/>
      <c r="F1893" s="106" t="s">
        <v>251</v>
      </c>
      <c r="L1893" s="107" t="s">
        <v>252</v>
      </c>
      <c r="N1893" s="108" t="s">
        <v>253</v>
      </c>
    </row>
    <row r="1894" hidden="1">
      <c r="A1894" s="76" t="s">
        <v>148</v>
      </c>
      <c r="B1894" s="76" t="s">
        <v>149</v>
      </c>
      <c r="C1894" s="76" t="s">
        <v>150</v>
      </c>
      <c r="D1894" s="76" t="s">
        <v>13</v>
      </c>
      <c r="E1894" s="77" t="s">
        <v>151</v>
      </c>
      <c r="F1894" s="78" t="s">
        <v>15</v>
      </c>
      <c r="G1894" s="78" t="s">
        <v>152</v>
      </c>
      <c r="H1894" s="78" t="s">
        <v>153</v>
      </c>
      <c r="I1894" s="78" t="s">
        <v>154</v>
      </c>
      <c r="J1894" s="78" t="s">
        <v>155</v>
      </c>
      <c r="K1894" s="79" t="s">
        <v>156</v>
      </c>
      <c r="L1894" s="80" t="s">
        <v>157</v>
      </c>
      <c r="M1894" s="80" t="s">
        <v>158</v>
      </c>
      <c r="N1894" s="81" t="s">
        <v>254</v>
      </c>
      <c r="O1894" s="81" t="s">
        <v>151</v>
      </c>
      <c r="P1894" s="81" t="s">
        <v>160</v>
      </c>
      <c r="Q1894" s="81" t="s">
        <v>161</v>
      </c>
      <c r="R1894" s="81" t="s">
        <v>162</v>
      </c>
      <c r="S1894" s="81" t="s">
        <v>163</v>
      </c>
      <c r="T1894" s="81" t="s">
        <v>164</v>
      </c>
      <c r="U1894" s="81" t="s">
        <v>165</v>
      </c>
      <c r="V1894" s="81" t="s">
        <v>166</v>
      </c>
      <c r="W1894" s="81" t="s">
        <v>167</v>
      </c>
      <c r="X1894" s="81" t="s">
        <v>168</v>
      </c>
      <c r="Y1894" s="81" t="s">
        <v>169</v>
      </c>
      <c r="Z1894" s="81" t="s">
        <v>170</v>
      </c>
      <c r="AA1894" s="81" t="s">
        <v>171</v>
      </c>
      <c r="AB1894" s="81" t="s">
        <v>172</v>
      </c>
      <c r="AC1894" s="81" t="s">
        <v>173</v>
      </c>
      <c r="AD1894" s="81" t="s">
        <v>174</v>
      </c>
      <c r="AE1894" s="81" t="s">
        <v>175</v>
      </c>
      <c r="AF1894" s="81" t="s">
        <v>176</v>
      </c>
      <c r="AG1894" s="81" t="s">
        <v>177</v>
      </c>
      <c r="AH1894" s="81" t="s">
        <v>178</v>
      </c>
    </row>
    <row r="1895" hidden="1">
      <c r="A1895" s="83" t="s">
        <v>28</v>
      </c>
      <c r="B1895" s="84" t="s">
        <v>179</v>
      </c>
      <c r="C1895" s="85">
        <v>1.0</v>
      </c>
      <c r="D1895" s="85">
        <v>1.0</v>
      </c>
      <c r="E1895" s="86">
        <v>43.0</v>
      </c>
      <c r="F1895" s="94">
        <v>0.0</v>
      </c>
      <c r="G1895" s="85">
        <v>103.0</v>
      </c>
      <c r="H1895" s="85">
        <v>1.0</v>
      </c>
      <c r="I1895" s="85">
        <v>110.0</v>
      </c>
      <c r="J1895" s="95">
        <f t="shared" ref="J1895:J1908" si="1432">SUM(G1895-I1895)</f>
        <v>-7</v>
      </c>
      <c r="K1895" s="87">
        <f t="shared" ref="K1895:K1908" si="1433">SUM(G1895/I1895)</f>
        <v>0.9363636364</v>
      </c>
      <c r="L1895" s="85">
        <v>20.0</v>
      </c>
      <c r="M1895" s="85">
        <v>131.0</v>
      </c>
      <c r="N1895" s="85">
        <v>1.0</v>
      </c>
      <c r="O1895" s="110">
        <f t="shared" ref="O1895:O1900" si="1434">(E1895*N1895)</f>
        <v>43</v>
      </c>
      <c r="P1895" s="85">
        <v>2.0</v>
      </c>
      <c r="Q1895" s="85">
        <v>1.0</v>
      </c>
      <c r="R1895" s="85">
        <v>4.0</v>
      </c>
      <c r="S1895" s="94">
        <v>0.0</v>
      </c>
      <c r="T1895" s="85">
        <v>16.0</v>
      </c>
      <c r="U1895" s="85">
        <v>3.0</v>
      </c>
      <c r="V1895" s="85">
        <v>2.0</v>
      </c>
      <c r="W1895" s="85">
        <v>1.0</v>
      </c>
      <c r="X1895" s="85">
        <v>1.0</v>
      </c>
      <c r="Y1895" s="94">
        <v>0.0</v>
      </c>
      <c r="Z1895" s="94">
        <v>0.0</v>
      </c>
      <c r="AA1895" s="94">
        <v>0.0</v>
      </c>
      <c r="AB1895" s="94">
        <v>0.0</v>
      </c>
      <c r="AC1895" s="85">
        <v>4.0</v>
      </c>
      <c r="AD1895" s="94">
        <v>0.0</v>
      </c>
      <c r="AE1895" s="94">
        <v>0.0</v>
      </c>
      <c r="AF1895" s="94">
        <v>0.0</v>
      </c>
      <c r="AG1895" s="94">
        <v>0.0</v>
      </c>
      <c r="AH1895" s="94">
        <v>0.0</v>
      </c>
    </row>
    <row r="1896" hidden="1">
      <c r="A1896" s="83" t="s">
        <v>28</v>
      </c>
      <c r="B1896" s="84" t="s">
        <v>180</v>
      </c>
      <c r="C1896" s="85">
        <v>1.0</v>
      </c>
      <c r="D1896" s="85">
        <v>1.0</v>
      </c>
      <c r="E1896" s="86">
        <v>43.0</v>
      </c>
      <c r="F1896" s="94">
        <v>0.0</v>
      </c>
      <c r="G1896" s="85">
        <v>157.0</v>
      </c>
      <c r="H1896" s="94">
        <v>0.0</v>
      </c>
      <c r="I1896" s="85">
        <v>113.0</v>
      </c>
      <c r="J1896" s="95">
        <f t="shared" si="1432"/>
        <v>44</v>
      </c>
      <c r="K1896" s="87">
        <f t="shared" si="1433"/>
        <v>1.389380531</v>
      </c>
      <c r="L1896" s="85">
        <v>19.0</v>
      </c>
      <c r="M1896" s="85">
        <v>214.0</v>
      </c>
      <c r="N1896" s="85">
        <v>1.0</v>
      </c>
      <c r="O1896" s="110">
        <f t="shared" si="1434"/>
        <v>43</v>
      </c>
      <c r="P1896" s="85">
        <v>10.0</v>
      </c>
      <c r="Q1896" s="85">
        <v>4.0</v>
      </c>
      <c r="R1896" s="85">
        <v>22.0</v>
      </c>
      <c r="S1896" s="94">
        <v>0.0</v>
      </c>
      <c r="T1896" s="85">
        <v>17.0</v>
      </c>
      <c r="U1896" s="85">
        <v>5.0</v>
      </c>
      <c r="V1896" s="85">
        <v>1.0</v>
      </c>
      <c r="W1896" s="85">
        <v>1.0</v>
      </c>
      <c r="X1896" s="94">
        <v>0.0</v>
      </c>
      <c r="Y1896" s="94">
        <v>0.0</v>
      </c>
      <c r="Z1896" s="94">
        <v>0.0</v>
      </c>
      <c r="AA1896" s="94">
        <v>0.0</v>
      </c>
      <c r="AB1896" s="94">
        <v>0.0</v>
      </c>
      <c r="AC1896" s="85">
        <v>4.0</v>
      </c>
      <c r="AD1896" s="94">
        <v>0.0</v>
      </c>
      <c r="AE1896" s="94">
        <v>0.0</v>
      </c>
      <c r="AF1896" s="94">
        <v>0.0</v>
      </c>
      <c r="AG1896" s="85">
        <v>1.0</v>
      </c>
      <c r="AH1896" s="94">
        <v>0.0</v>
      </c>
    </row>
    <row r="1897" hidden="1">
      <c r="A1897" s="83" t="s">
        <v>28</v>
      </c>
      <c r="B1897" s="84" t="s">
        <v>181</v>
      </c>
      <c r="C1897" s="85">
        <v>1.0</v>
      </c>
      <c r="D1897" s="85">
        <v>1.0</v>
      </c>
      <c r="E1897" s="86">
        <v>43.0</v>
      </c>
      <c r="F1897" s="85">
        <v>2.0</v>
      </c>
      <c r="G1897" s="85">
        <v>141.0</v>
      </c>
      <c r="H1897" s="94">
        <v>0.0</v>
      </c>
      <c r="I1897" s="85">
        <v>126.0</v>
      </c>
      <c r="J1897" s="95">
        <f t="shared" si="1432"/>
        <v>15</v>
      </c>
      <c r="K1897" s="87">
        <f t="shared" si="1433"/>
        <v>1.119047619</v>
      </c>
      <c r="L1897" s="85">
        <v>17.0</v>
      </c>
      <c r="M1897" s="85">
        <v>177.0</v>
      </c>
      <c r="N1897" s="85">
        <v>1.0</v>
      </c>
      <c r="O1897" s="110">
        <f t="shared" si="1434"/>
        <v>43</v>
      </c>
      <c r="P1897" s="85">
        <v>6.0</v>
      </c>
      <c r="Q1897" s="85">
        <v>4.0</v>
      </c>
      <c r="R1897" s="85">
        <v>5.0</v>
      </c>
      <c r="S1897" s="85">
        <v>5.0</v>
      </c>
      <c r="T1897" s="85">
        <v>18.0</v>
      </c>
      <c r="U1897" s="85">
        <v>2.0</v>
      </c>
      <c r="V1897" s="94">
        <v>0.0</v>
      </c>
      <c r="W1897" s="94">
        <v>0.0</v>
      </c>
      <c r="X1897" s="94">
        <v>0.0</v>
      </c>
      <c r="Y1897" s="94">
        <v>0.0</v>
      </c>
      <c r="Z1897" s="94">
        <v>0.0</v>
      </c>
      <c r="AA1897" s="94">
        <v>0.0</v>
      </c>
      <c r="AB1897" s="94">
        <v>0.0</v>
      </c>
      <c r="AC1897" s="85">
        <v>3.0</v>
      </c>
      <c r="AD1897" s="94">
        <v>0.0</v>
      </c>
      <c r="AE1897" s="94">
        <v>0.0</v>
      </c>
      <c r="AF1897" s="94">
        <v>0.0</v>
      </c>
      <c r="AG1897" s="94">
        <v>0.0</v>
      </c>
      <c r="AH1897" s="94">
        <v>0.0</v>
      </c>
    </row>
    <row r="1898" hidden="1">
      <c r="A1898" s="83" t="s">
        <v>28</v>
      </c>
      <c r="B1898" s="84" t="s">
        <v>182</v>
      </c>
      <c r="C1898" s="94">
        <v>0.0</v>
      </c>
      <c r="D1898" s="94">
        <v>0.0</v>
      </c>
      <c r="E1898" s="96">
        <f>SUM(L1898*I1898)/60</f>
        <v>0</v>
      </c>
      <c r="F1898" s="94">
        <v>0.0</v>
      </c>
      <c r="G1898" s="94">
        <v>0.0</v>
      </c>
      <c r="H1898" s="94">
        <v>0.0</v>
      </c>
      <c r="I1898" s="94">
        <v>0.0</v>
      </c>
      <c r="J1898" s="95">
        <f t="shared" si="1432"/>
        <v>0</v>
      </c>
      <c r="K1898" s="87" t="str">
        <f t="shared" si="1433"/>
        <v>#DIV/0!</v>
      </c>
      <c r="L1898" s="94">
        <v>0.0</v>
      </c>
      <c r="M1898" s="94">
        <v>0.0</v>
      </c>
      <c r="N1898" s="85">
        <v>0.0</v>
      </c>
      <c r="O1898" s="110">
        <f t="shared" si="1434"/>
        <v>0</v>
      </c>
      <c r="P1898" s="94">
        <v>0.0</v>
      </c>
      <c r="Q1898" s="94">
        <v>0.0</v>
      </c>
      <c r="R1898" s="94">
        <v>0.0</v>
      </c>
      <c r="S1898" s="94">
        <v>0.0</v>
      </c>
      <c r="T1898" s="94">
        <v>0.0</v>
      </c>
      <c r="U1898" s="94">
        <v>0.0</v>
      </c>
      <c r="V1898" s="94">
        <v>0.0</v>
      </c>
      <c r="W1898" s="94">
        <v>0.0</v>
      </c>
      <c r="X1898" s="94">
        <v>0.0</v>
      </c>
      <c r="Y1898" s="94">
        <v>0.0</v>
      </c>
      <c r="Z1898" s="94">
        <v>0.0</v>
      </c>
      <c r="AA1898" s="94">
        <v>0.0</v>
      </c>
      <c r="AB1898" s="94">
        <v>0.0</v>
      </c>
      <c r="AC1898" s="94">
        <v>0.0</v>
      </c>
      <c r="AD1898" s="94">
        <v>0.0</v>
      </c>
      <c r="AE1898" s="94">
        <v>0.0</v>
      </c>
      <c r="AF1898" s="94">
        <v>0.0</v>
      </c>
      <c r="AG1898" s="94">
        <v>0.0</v>
      </c>
      <c r="AH1898" s="94">
        <v>0.0</v>
      </c>
    </row>
    <row r="1899" hidden="1">
      <c r="A1899" s="83" t="s">
        <v>28</v>
      </c>
      <c r="B1899" s="84" t="s">
        <v>183</v>
      </c>
      <c r="C1899" s="85">
        <v>1.0</v>
      </c>
      <c r="D1899" s="85">
        <v>1.0</v>
      </c>
      <c r="E1899" s="86">
        <v>43.0</v>
      </c>
      <c r="F1899" s="85">
        <v>3.0</v>
      </c>
      <c r="G1899" s="85">
        <v>75.0</v>
      </c>
      <c r="H1899" s="94">
        <v>0.0</v>
      </c>
      <c r="I1899" s="85">
        <v>105.0</v>
      </c>
      <c r="J1899" s="95">
        <f t="shared" si="1432"/>
        <v>-30</v>
      </c>
      <c r="K1899" s="87">
        <f t="shared" si="1433"/>
        <v>0.7142857143</v>
      </c>
      <c r="L1899" s="85">
        <v>19.0</v>
      </c>
      <c r="M1899" s="85">
        <v>92.0</v>
      </c>
      <c r="N1899" s="85">
        <v>1.0</v>
      </c>
      <c r="O1899" s="110">
        <f t="shared" si="1434"/>
        <v>43</v>
      </c>
      <c r="P1899" s="85">
        <v>6.0</v>
      </c>
      <c r="Q1899" s="85">
        <v>4.0</v>
      </c>
      <c r="R1899" s="94">
        <v>0.0</v>
      </c>
      <c r="S1899" s="85">
        <v>1.0</v>
      </c>
      <c r="T1899" s="85">
        <v>6.0</v>
      </c>
      <c r="U1899" s="94">
        <v>0.0</v>
      </c>
      <c r="V1899" s="94">
        <v>0.0</v>
      </c>
      <c r="W1899" s="94">
        <v>0.0</v>
      </c>
      <c r="X1899" s="94">
        <v>0.0</v>
      </c>
      <c r="Y1899" s="94">
        <v>0.0</v>
      </c>
      <c r="Z1899" s="94">
        <v>0.0</v>
      </c>
      <c r="AA1899" s="94">
        <v>0.0</v>
      </c>
      <c r="AB1899" s="94">
        <v>0.0</v>
      </c>
      <c r="AC1899" s="85">
        <v>1.0</v>
      </c>
      <c r="AD1899" s="94">
        <v>0.0</v>
      </c>
      <c r="AE1899" s="94">
        <v>0.0</v>
      </c>
      <c r="AF1899" s="94">
        <v>0.0</v>
      </c>
      <c r="AG1899" s="94">
        <v>0.0</v>
      </c>
      <c r="AH1899" s="94">
        <v>0.0</v>
      </c>
    </row>
    <row r="1900" hidden="1">
      <c r="A1900" s="83" t="s">
        <v>28</v>
      </c>
      <c r="B1900" s="84" t="s">
        <v>184</v>
      </c>
      <c r="C1900" s="94">
        <v>0.0</v>
      </c>
      <c r="D1900" s="94">
        <v>0.0</v>
      </c>
      <c r="E1900" s="96">
        <f>SUM(L1900*I1900)/60</f>
        <v>0</v>
      </c>
      <c r="F1900" s="94">
        <v>0.0</v>
      </c>
      <c r="G1900" s="94">
        <v>0.0</v>
      </c>
      <c r="H1900" s="94">
        <v>0.0</v>
      </c>
      <c r="I1900" s="94">
        <v>0.0</v>
      </c>
      <c r="J1900" s="95">
        <f t="shared" si="1432"/>
        <v>0</v>
      </c>
      <c r="K1900" s="87" t="str">
        <f t="shared" si="1433"/>
        <v>#DIV/0!</v>
      </c>
      <c r="L1900" s="94">
        <v>0.0</v>
      </c>
      <c r="M1900" s="94">
        <v>0.0</v>
      </c>
      <c r="N1900" s="85">
        <v>0.0</v>
      </c>
      <c r="O1900" s="110">
        <f t="shared" si="1434"/>
        <v>0</v>
      </c>
      <c r="P1900" s="94">
        <v>0.0</v>
      </c>
      <c r="Q1900" s="94">
        <v>0.0</v>
      </c>
      <c r="R1900" s="94">
        <v>0.0</v>
      </c>
      <c r="S1900" s="94">
        <v>0.0</v>
      </c>
      <c r="T1900" s="94">
        <v>0.0</v>
      </c>
      <c r="U1900" s="94">
        <v>0.0</v>
      </c>
      <c r="V1900" s="94">
        <v>0.0</v>
      </c>
      <c r="W1900" s="94">
        <v>0.0</v>
      </c>
      <c r="X1900" s="94">
        <v>0.0</v>
      </c>
      <c r="Y1900" s="94">
        <v>0.0</v>
      </c>
      <c r="Z1900" s="94">
        <v>0.0</v>
      </c>
      <c r="AA1900" s="94">
        <v>0.0</v>
      </c>
      <c r="AB1900" s="94">
        <v>0.0</v>
      </c>
      <c r="AC1900" s="94">
        <v>0.0</v>
      </c>
      <c r="AD1900" s="94">
        <v>0.0</v>
      </c>
      <c r="AE1900" s="94">
        <v>0.0</v>
      </c>
      <c r="AF1900" s="94">
        <v>0.0</v>
      </c>
      <c r="AG1900" s="94">
        <v>0.0</v>
      </c>
      <c r="AH1900" s="94">
        <v>0.0</v>
      </c>
    </row>
    <row r="1901" hidden="1">
      <c r="A1901" s="89"/>
      <c r="B1901" s="111"/>
      <c r="C1901" s="111">
        <f t="shared" ref="C1901:D1901" si="1435">SUM(C1895:C1900)/4</f>
        <v>1</v>
      </c>
      <c r="D1901" s="111">
        <f t="shared" si="1435"/>
        <v>1</v>
      </c>
      <c r="E1901" s="91">
        <f t="shared" ref="E1901:G1901" si="1436">SUM(E1895:E1900)</f>
        <v>172</v>
      </c>
      <c r="F1901" s="111">
        <f t="shared" si="1436"/>
        <v>5</v>
      </c>
      <c r="G1901" s="111">
        <f t="shared" si="1436"/>
        <v>476</v>
      </c>
      <c r="H1901" s="111"/>
      <c r="I1901" s="111">
        <f>SUM(I1895:I1900)</f>
        <v>454</v>
      </c>
      <c r="J1901" s="111">
        <f t="shared" si="1432"/>
        <v>22</v>
      </c>
      <c r="K1901" s="92">
        <f t="shared" si="1433"/>
        <v>1.04845815</v>
      </c>
      <c r="L1901" s="111">
        <f t="shared" ref="L1901:M1901" si="1437">SUM(L1895:L1900)</f>
        <v>75</v>
      </c>
      <c r="M1901" s="111">
        <f t="shared" si="1437"/>
        <v>614</v>
      </c>
      <c r="N1901" s="111"/>
      <c r="O1901" s="112"/>
      <c r="P1901" s="111">
        <f t="shared" ref="P1901:AH1901" si="1438">SUM(P1895:P1900)</f>
        <v>24</v>
      </c>
      <c r="Q1901" s="111">
        <f t="shared" si="1438"/>
        <v>13</v>
      </c>
      <c r="R1901" s="111">
        <f t="shared" si="1438"/>
        <v>31</v>
      </c>
      <c r="S1901" s="111">
        <f t="shared" si="1438"/>
        <v>6</v>
      </c>
      <c r="T1901" s="111">
        <f t="shared" si="1438"/>
        <v>57</v>
      </c>
      <c r="U1901" s="111">
        <f t="shared" si="1438"/>
        <v>10</v>
      </c>
      <c r="V1901" s="111">
        <f t="shared" si="1438"/>
        <v>3</v>
      </c>
      <c r="W1901" s="111">
        <f t="shared" si="1438"/>
        <v>2</v>
      </c>
      <c r="X1901" s="111">
        <f t="shared" si="1438"/>
        <v>1</v>
      </c>
      <c r="Y1901" s="111">
        <f t="shared" si="1438"/>
        <v>0</v>
      </c>
      <c r="Z1901" s="111">
        <f t="shared" si="1438"/>
        <v>0</v>
      </c>
      <c r="AA1901" s="111">
        <f t="shared" si="1438"/>
        <v>0</v>
      </c>
      <c r="AB1901" s="111">
        <f t="shared" si="1438"/>
        <v>0</v>
      </c>
      <c r="AC1901" s="111">
        <f t="shared" si="1438"/>
        <v>12</v>
      </c>
      <c r="AD1901" s="111">
        <f t="shared" si="1438"/>
        <v>0</v>
      </c>
      <c r="AE1901" s="111">
        <f t="shared" si="1438"/>
        <v>0</v>
      </c>
      <c r="AF1901" s="111">
        <f t="shared" si="1438"/>
        <v>0</v>
      </c>
      <c r="AG1901" s="111">
        <f t="shared" si="1438"/>
        <v>1</v>
      </c>
      <c r="AH1901" s="111">
        <f t="shared" si="1438"/>
        <v>0</v>
      </c>
    </row>
    <row r="1902" hidden="1">
      <c r="A1902" s="83" t="s">
        <v>51</v>
      </c>
      <c r="B1902" s="84" t="s">
        <v>222</v>
      </c>
      <c r="C1902" s="85">
        <v>1.0</v>
      </c>
      <c r="D1902" s="94">
        <v>0.0</v>
      </c>
      <c r="E1902" s="86">
        <v>43.0</v>
      </c>
      <c r="F1902" s="94">
        <v>0.0</v>
      </c>
      <c r="G1902" s="85">
        <v>126.0</v>
      </c>
      <c r="H1902" s="85">
        <v>1.0</v>
      </c>
      <c r="I1902" s="85">
        <v>129.0</v>
      </c>
      <c r="J1902" s="95">
        <f t="shared" si="1432"/>
        <v>-3</v>
      </c>
      <c r="K1902" s="87">
        <f t="shared" si="1433"/>
        <v>0.976744186</v>
      </c>
      <c r="L1902" s="85">
        <v>17.0</v>
      </c>
      <c r="M1902" s="85">
        <v>157.0</v>
      </c>
      <c r="N1902" s="85">
        <v>1.0</v>
      </c>
      <c r="O1902" s="110">
        <f t="shared" ref="O1902:O1907" si="1439">(E1902*N1902)</f>
        <v>43</v>
      </c>
      <c r="P1902" s="85">
        <v>6.0</v>
      </c>
      <c r="Q1902" s="85">
        <v>1.0</v>
      </c>
      <c r="R1902" s="85">
        <v>8.0</v>
      </c>
      <c r="S1902" s="85">
        <v>3.0</v>
      </c>
      <c r="T1902" s="85">
        <v>17.0</v>
      </c>
      <c r="U1902" s="85">
        <v>4.0</v>
      </c>
      <c r="V1902" s="94">
        <v>0.0</v>
      </c>
      <c r="W1902" s="94">
        <v>0.0</v>
      </c>
      <c r="X1902" s="94">
        <v>0.0</v>
      </c>
      <c r="Y1902" s="94">
        <v>0.0</v>
      </c>
      <c r="Z1902" s="94">
        <v>0.0</v>
      </c>
      <c r="AA1902" s="94">
        <v>0.0</v>
      </c>
      <c r="AB1902" s="94">
        <v>0.0</v>
      </c>
      <c r="AC1902" s="85">
        <v>1.0</v>
      </c>
      <c r="AD1902" s="94">
        <v>0.0</v>
      </c>
      <c r="AE1902" s="94">
        <v>0.0</v>
      </c>
      <c r="AF1902" s="94">
        <v>0.0</v>
      </c>
      <c r="AG1902" s="94">
        <v>0.0</v>
      </c>
      <c r="AH1902" s="94">
        <v>0.0</v>
      </c>
    </row>
    <row r="1903" hidden="1">
      <c r="A1903" s="83" t="s">
        <v>51</v>
      </c>
      <c r="B1903" s="84" t="s">
        <v>223</v>
      </c>
      <c r="C1903" s="85">
        <v>1.0</v>
      </c>
      <c r="D1903" s="94">
        <v>0.0</v>
      </c>
      <c r="E1903" s="86">
        <v>43.0</v>
      </c>
      <c r="F1903" s="85">
        <v>2.0</v>
      </c>
      <c r="G1903" s="85">
        <v>74.0</v>
      </c>
      <c r="H1903" s="94">
        <v>0.0</v>
      </c>
      <c r="I1903" s="85">
        <v>95.0</v>
      </c>
      <c r="J1903" s="95">
        <f t="shared" si="1432"/>
        <v>-21</v>
      </c>
      <c r="K1903" s="87">
        <f t="shared" si="1433"/>
        <v>0.7789473684</v>
      </c>
      <c r="L1903" s="85">
        <v>24.0</v>
      </c>
      <c r="M1903" s="85">
        <v>96.0</v>
      </c>
      <c r="N1903" s="85">
        <v>1.0</v>
      </c>
      <c r="O1903" s="110">
        <f t="shared" si="1439"/>
        <v>43</v>
      </c>
      <c r="P1903" s="85">
        <v>8.0</v>
      </c>
      <c r="Q1903" s="85">
        <v>2.0</v>
      </c>
      <c r="R1903" s="85">
        <v>3.0</v>
      </c>
      <c r="S1903" s="85">
        <v>1.0</v>
      </c>
      <c r="T1903" s="85">
        <v>8.0</v>
      </c>
      <c r="U1903" s="94">
        <v>0.0</v>
      </c>
      <c r="V1903" s="94">
        <v>0.0</v>
      </c>
      <c r="W1903" s="94">
        <v>0.0</v>
      </c>
      <c r="X1903" s="94">
        <v>0.0</v>
      </c>
      <c r="Y1903" s="94">
        <v>0.0</v>
      </c>
      <c r="Z1903" s="94">
        <v>0.0</v>
      </c>
      <c r="AA1903" s="94">
        <v>0.0</v>
      </c>
      <c r="AB1903" s="94">
        <v>0.0</v>
      </c>
      <c r="AC1903" s="85">
        <v>2.0</v>
      </c>
      <c r="AD1903" s="94">
        <v>0.0</v>
      </c>
      <c r="AE1903" s="94">
        <v>0.0</v>
      </c>
      <c r="AF1903" s="94">
        <v>0.0</v>
      </c>
      <c r="AG1903" s="94">
        <v>0.0</v>
      </c>
      <c r="AH1903" s="94">
        <v>0.0</v>
      </c>
    </row>
    <row r="1904" hidden="1">
      <c r="A1904" s="83" t="s">
        <v>51</v>
      </c>
      <c r="B1904" s="84" t="s">
        <v>224</v>
      </c>
      <c r="C1904" s="85">
        <v>1.0</v>
      </c>
      <c r="D1904" s="94">
        <v>0.0</v>
      </c>
      <c r="E1904" s="86">
        <v>43.0</v>
      </c>
      <c r="F1904" s="94">
        <v>0.0</v>
      </c>
      <c r="G1904" s="85">
        <v>135.0</v>
      </c>
      <c r="H1904" s="94">
        <v>0.0</v>
      </c>
      <c r="I1904" s="85">
        <v>139.0</v>
      </c>
      <c r="J1904" s="95">
        <f t="shared" si="1432"/>
        <v>-4</v>
      </c>
      <c r="K1904" s="87">
        <f t="shared" si="1433"/>
        <v>0.9712230216</v>
      </c>
      <c r="L1904" s="85">
        <v>15.0</v>
      </c>
      <c r="M1904" s="85">
        <v>178.0</v>
      </c>
      <c r="N1904" s="85">
        <v>1.0</v>
      </c>
      <c r="O1904" s="110">
        <f t="shared" si="1439"/>
        <v>43</v>
      </c>
      <c r="P1904" s="85">
        <v>9.0</v>
      </c>
      <c r="Q1904" s="85">
        <v>1.0</v>
      </c>
      <c r="R1904" s="85">
        <v>12.0</v>
      </c>
      <c r="S1904" s="85">
        <v>4.0</v>
      </c>
      <c r="T1904" s="85">
        <v>19.0</v>
      </c>
      <c r="U1904" s="85">
        <v>1.0</v>
      </c>
      <c r="V1904" s="94">
        <v>0.0</v>
      </c>
      <c r="W1904" s="94">
        <v>0.0</v>
      </c>
      <c r="X1904" s="94">
        <v>0.0</v>
      </c>
      <c r="Y1904" s="94">
        <v>0.0</v>
      </c>
      <c r="Z1904" s="94">
        <v>0.0</v>
      </c>
      <c r="AA1904" s="94">
        <v>0.0</v>
      </c>
      <c r="AB1904" s="94">
        <v>0.0</v>
      </c>
      <c r="AC1904" s="85">
        <v>4.0</v>
      </c>
      <c r="AD1904" s="94">
        <v>0.0</v>
      </c>
      <c r="AE1904" s="94">
        <v>0.0</v>
      </c>
      <c r="AF1904" s="94">
        <v>0.0</v>
      </c>
      <c r="AG1904" s="94">
        <v>0.0</v>
      </c>
      <c r="AH1904" s="94">
        <v>0.0</v>
      </c>
    </row>
    <row r="1905" hidden="1">
      <c r="A1905" s="83" t="s">
        <v>51</v>
      </c>
      <c r="B1905" s="84" t="s">
        <v>225</v>
      </c>
      <c r="C1905" s="85">
        <v>0.0</v>
      </c>
      <c r="D1905" s="94">
        <v>0.0</v>
      </c>
      <c r="E1905" s="96">
        <f t="shared" ref="E1905:E1906" si="1440">SUM(L1905*I1905)/60</f>
        <v>0</v>
      </c>
      <c r="F1905" s="94">
        <v>0.0</v>
      </c>
      <c r="G1905" s="94">
        <v>0.0</v>
      </c>
      <c r="H1905" s="94">
        <v>0.0</v>
      </c>
      <c r="I1905" s="94">
        <v>0.0</v>
      </c>
      <c r="J1905" s="95">
        <f t="shared" si="1432"/>
        <v>0</v>
      </c>
      <c r="K1905" s="87" t="str">
        <f t="shared" si="1433"/>
        <v>#DIV/0!</v>
      </c>
      <c r="L1905" s="94">
        <v>0.0</v>
      </c>
      <c r="M1905" s="94">
        <v>0.0</v>
      </c>
      <c r="N1905" s="85">
        <v>0.0</v>
      </c>
      <c r="O1905" s="110">
        <f t="shared" si="1439"/>
        <v>0</v>
      </c>
      <c r="P1905" s="94">
        <v>0.0</v>
      </c>
      <c r="Q1905" s="94">
        <v>0.0</v>
      </c>
      <c r="R1905" s="94">
        <v>0.0</v>
      </c>
      <c r="S1905" s="94">
        <v>0.0</v>
      </c>
      <c r="T1905" s="94">
        <v>0.0</v>
      </c>
      <c r="U1905" s="94">
        <v>0.0</v>
      </c>
      <c r="V1905" s="94">
        <v>0.0</v>
      </c>
      <c r="W1905" s="94">
        <v>0.0</v>
      </c>
      <c r="X1905" s="94">
        <v>0.0</v>
      </c>
      <c r="Y1905" s="94">
        <v>0.0</v>
      </c>
      <c r="Z1905" s="94">
        <v>0.0</v>
      </c>
      <c r="AA1905" s="94">
        <v>0.0</v>
      </c>
      <c r="AB1905" s="94">
        <v>0.0</v>
      </c>
      <c r="AC1905" s="94">
        <v>0.0</v>
      </c>
      <c r="AD1905" s="94">
        <v>0.0</v>
      </c>
      <c r="AE1905" s="94">
        <v>0.0</v>
      </c>
      <c r="AF1905" s="94">
        <v>0.0</v>
      </c>
      <c r="AG1905" s="94">
        <v>0.0</v>
      </c>
      <c r="AH1905" s="94">
        <v>0.0</v>
      </c>
    </row>
    <row r="1906" hidden="1">
      <c r="A1906" s="83" t="s">
        <v>51</v>
      </c>
      <c r="B1906" s="84" t="s">
        <v>226</v>
      </c>
      <c r="C1906" s="94">
        <v>0.0</v>
      </c>
      <c r="D1906" s="94">
        <v>0.0</v>
      </c>
      <c r="E1906" s="96">
        <f t="shared" si="1440"/>
        <v>0</v>
      </c>
      <c r="F1906" s="94">
        <v>0.0</v>
      </c>
      <c r="G1906" s="94">
        <v>0.0</v>
      </c>
      <c r="H1906" s="94">
        <v>0.0</v>
      </c>
      <c r="I1906" s="94">
        <v>0.0</v>
      </c>
      <c r="J1906" s="95">
        <f t="shared" si="1432"/>
        <v>0</v>
      </c>
      <c r="K1906" s="87" t="str">
        <f t="shared" si="1433"/>
        <v>#DIV/0!</v>
      </c>
      <c r="L1906" s="94">
        <v>0.0</v>
      </c>
      <c r="M1906" s="94">
        <v>0.0</v>
      </c>
      <c r="N1906" s="85">
        <v>0.0</v>
      </c>
      <c r="O1906" s="110">
        <f t="shared" si="1439"/>
        <v>0</v>
      </c>
      <c r="P1906" s="94">
        <v>0.0</v>
      </c>
      <c r="Q1906" s="94">
        <v>0.0</v>
      </c>
      <c r="R1906" s="94">
        <v>0.0</v>
      </c>
      <c r="S1906" s="94">
        <v>0.0</v>
      </c>
      <c r="T1906" s="94">
        <v>0.0</v>
      </c>
      <c r="U1906" s="94">
        <v>0.0</v>
      </c>
      <c r="V1906" s="94">
        <v>0.0</v>
      </c>
      <c r="W1906" s="94">
        <v>0.0</v>
      </c>
      <c r="X1906" s="94">
        <v>0.0</v>
      </c>
      <c r="Y1906" s="94">
        <v>0.0</v>
      </c>
      <c r="Z1906" s="94">
        <v>0.0</v>
      </c>
      <c r="AA1906" s="94">
        <v>0.0</v>
      </c>
      <c r="AB1906" s="94">
        <v>0.0</v>
      </c>
      <c r="AC1906" s="94">
        <v>0.0</v>
      </c>
      <c r="AD1906" s="94">
        <v>0.0</v>
      </c>
      <c r="AE1906" s="94">
        <v>0.0</v>
      </c>
      <c r="AF1906" s="94">
        <v>0.0</v>
      </c>
      <c r="AG1906" s="94">
        <v>0.0</v>
      </c>
      <c r="AH1906" s="94">
        <v>0.0</v>
      </c>
    </row>
    <row r="1907" hidden="1">
      <c r="A1907" s="83" t="s">
        <v>51</v>
      </c>
      <c r="B1907" s="84" t="s">
        <v>189</v>
      </c>
      <c r="C1907" s="85">
        <v>1.0</v>
      </c>
      <c r="D1907" s="94">
        <v>0.0</v>
      </c>
      <c r="E1907" s="86">
        <v>43.0</v>
      </c>
      <c r="F1907" s="94">
        <v>0.0</v>
      </c>
      <c r="G1907" s="85">
        <v>108.0</v>
      </c>
      <c r="H1907" s="85">
        <v>2.0</v>
      </c>
      <c r="I1907" s="85">
        <v>129.0</v>
      </c>
      <c r="J1907" s="95">
        <f t="shared" si="1432"/>
        <v>-21</v>
      </c>
      <c r="K1907" s="87">
        <f t="shared" si="1433"/>
        <v>0.8372093023</v>
      </c>
      <c r="L1907" s="85">
        <v>17.0</v>
      </c>
      <c r="M1907" s="85">
        <v>137.0</v>
      </c>
      <c r="N1907" s="85">
        <v>1.0</v>
      </c>
      <c r="O1907" s="110">
        <f t="shared" si="1439"/>
        <v>43</v>
      </c>
      <c r="P1907" s="85">
        <v>7.0</v>
      </c>
      <c r="Q1907" s="94">
        <v>0.0</v>
      </c>
      <c r="R1907" s="85">
        <v>9.0</v>
      </c>
      <c r="S1907" s="85">
        <v>4.0</v>
      </c>
      <c r="T1907" s="85">
        <v>14.0</v>
      </c>
      <c r="U1907" s="85">
        <v>1.0</v>
      </c>
      <c r="V1907" s="94">
        <v>0.0</v>
      </c>
      <c r="W1907" s="94">
        <v>0.0</v>
      </c>
      <c r="X1907" s="94">
        <v>0.0</v>
      </c>
      <c r="Y1907" s="94">
        <v>0.0</v>
      </c>
      <c r="Z1907" s="94">
        <v>0.0</v>
      </c>
      <c r="AA1907" s="94">
        <v>0.0</v>
      </c>
      <c r="AB1907" s="94">
        <v>0.0</v>
      </c>
      <c r="AC1907" s="85">
        <v>2.0</v>
      </c>
      <c r="AD1907" s="94">
        <v>0.0</v>
      </c>
      <c r="AE1907" s="94">
        <v>0.0</v>
      </c>
      <c r="AF1907" s="94">
        <v>0.0</v>
      </c>
      <c r="AG1907" s="94">
        <v>0.0</v>
      </c>
      <c r="AH1907" s="94">
        <v>0.0</v>
      </c>
    </row>
    <row r="1908" hidden="1">
      <c r="A1908" s="89" t="s">
        <v>185</v>
      </c>
      <c r="B1908" s="111"/>
      <c r="C1908" s="111">
        <f>SUM(C1902:C1907)</f>
        <v>4</v>
      </c>
      <c r="D1908" s="111">
        <f t="shared" ref="D1908:E1908" si="1441">SUM(D1902:D1907)/4</f>
        <v>0</v>
      </c>
      <c r="E1908" s="91">
        <f t="shared" si="1441"/>
        <v>43</v>
      </c>
      <c r="F1908" s="111">
        <f t="shared" ref="F1908:G1908" si="1442">SUM(F1902:F1907)</f>
        <v>2</v>
      </c>
      <c r="G1908" s="111">
        <f t="shared" si="1442"/>
        <v>443</v>
      </c>
      <c r="H1908" s="111"/>
      <c r="I1908" s="111">
        <f>SUM(I1902:I1907)</f>
        <v>492</v>
      </c>
      <c r="J1908" s="111">
        <f t="shared" si="1432"/>
        <v>-49</v>
      </c>
      <c r="K1908" s="92">
        <f t="shared" si="1433"/>
        <v>0.9004065041</v>
      </c>
      <c r="L1908" s="111">
        <f t="shared" ref="L1908:M1908" si="1443">SUM(L1902:L1907)</f>
        <v>73</v>
      </c>
      <c r="M1908" s="111">
        <f t="shared" si="1443"/>
        <v>568</v>
      </c>
      <c r="N1908" s="111"/>
      <c r="O1908" s="112"/>
      <c r="P1908" s="111">
        <f t="shared" ref="P1908:AH1908" si="1444">SUM(P1902:P1907)</f>
        <v>30</v>
      </c>
      <c r="Q1908" s="111">
        <f t="shared" si="1444"/>
        <v>4</v>
      </c>
      <c r="R1908" s="111">
        <f t="shared" si="1444"/>
        <v>32</v>
      </c>
      <c r="S1908" s="111">
        <f t="shared" si="1444"/>
        <v>12</v>
      </c>
      <c r="T1908" s="111">
        <f t="shared" si="1444"/>
        <v>58</v>
      </c>
      <c r="U1908" s="111">
        <f t="shared" si="1444"/>
        <v>6</v>
      </c>
      <c r="V1908" s="111">
        <f t="shared" si="1444"/>
        <v>0</v>
      </c>
      <c r="W1908" s="111">
        <f t="shared" si="1444"/>
        <v>0</v>
      </c>
      <c r="X1908" s="111">
        <f t="shared" si="1444"/>
        <v>0</v>
      </c>
      <c r="Y1908" s="111">
        <f t="shared" si="1444"/>
        <v>0</v>
      </c>
      <c r="Z1908" s="111">
        <f t="shared" si="1444"/>
        <v>0</v>
      </c>
      <c r="AA1908" s="111">
        <f t="shared" si="1444"/>
        <v>0</v>
      </c>
      <c r="AB1908" s="111">
        <f t="shared" si="1444"/>
        <v>0</v>
      </c>
      <c r="AC1908" s="111">
        <f t="shared" si="1444"/>
        <v>9</v>
      </c>
      <c r="AD1908" s="111">
        <f t="shared" si="1444"/>
        <v>0</v>
      </c>
      <c r="AE1908" s="111">
        <f t="shared" si="1444"/>
        <v>0</v>
      </c>
      <c r="AF1908" s="111">
        <f t="shared" si="1444"/>
        <v>0</v>
      </c>
      <c r="AG1908" s="111">
        <f t="shared" si="1444"/>
        <v>0</v>
      </c>
      <c r="AH1908" s="111">
        <f t="shared" si="1444"/>
        <v>0</v>
      </c>
    </row>
    <row r="1909">
      <c r="A1909" s="113" t="s">
        <v>359</v>
      </c>
    </row>
    <row r="1911" hidden="1">
      <c r="A1911" s="105"/>
      <c r="F1911" s="106" t="s">
        <v>251</v>
      </c>
      <c r="L1911" s="107" t="s">
        <v>252</v>
      </c>
      <c r="N1911" s="108" t="s">
        <v>253</v>
      </c>
    </row>
    <row r="1912" hidden="1">
      <c r="A1912" s="76" t="s">
        <v>148</v>
      </c>
      <c r="B1912" s="76" t="s">
        <v>149</v>
      </c>
      <c r="C1912" s="76" t="s">
        <v>150</v>
      </c>
      <c r="D1912" s="76" t="s">
        <v>13</v>
      </c>
      <c r="E1912" s="77" t="s">
        <v>151</v>
      </c>
      <c r="F1912" s="78" t="s">
        <v>15</v>
      </c>
      <c r="G1912" s="78" t="s">
        <v>152</v>
      </c>
      <c r="H1912" s="78" t="s">
        <v>153</v>
      </c>
      <c r="I1912" s="78" t="s">
        <v>154</v>
      </c>
      <c r="J1912" s="78" t="s">
        <v>155</v>
      </c>
      <c r="K1912" s="79" t="s">
        <v>156</v>
      </c>
      <c r="L1912" s="80" t="s">
        <v>157</v>
      </c>
      <c r="M1912" s="80" t="s">
        <v>158</v>
      </c>
      <c r="N1912" s="81" t="s">
        <v>254</v>
      </c>
      <c r="O1912" s="81" t="s">
        <v>151</v>
      </c>
      <c r="P1912" s="81" t="s">
        <v>160</v>
      </c>
      <c r="Q1912" s="81" t="s">
        <v>161</v>
      </c>
      <c r="R1912" s="81" t="s">
        <v>162</v>
      </c>
      <c r="S1912" s="81" t="s">
        <v>163</v>
      </c>
      <c r="T1912" s="81" t="s">
        <v>164</v>
      </c>
      <c r="U1912" s="81" t="s">
        <v>165</v>
      </c>
      <c r="V1912" s="81" t="s">
        <v>166</v>
      </c>
      <c r="W1912" s="81" t="s">
        <v>167</v>
      </c>
      <c r="X1912" s="81" t="s">
        <v>168</v>
      </c>
      <c r="Y1912" s="81" t="s">
        <v>169</v>
      </c>
      <c r="Z1912" s="81" t="s">
        <v>170</v>
      </c>
      <c r="AA1912" s="81" t="s">
        <v>171</v>
      </c>
      <c r="AB1912" s="81" t="s">
        <v>172</v>
      </c>
      <c r="AC1912" s="81" t="s">
        <v>173</v>
      </c>
      <c r="AD1912" s="81" t="s">
        <v>174</v>
      </c>
      <c r="AE1912" s="81" t="s">
        <v>175</v>
      </c>
      <c r="AF1912" s="81" t="s">
        <v>176</v>
      </c>
      <c r="AG1912" s="81" t="s">
        <v>177</v>
      </c>
      <c r="AH1912" s="81" t="s">
        <v>178</v>
      </c>
    </row>
    <row r="1913" hidden="1">
      <c r="A1913" s="83" t="s">
        <v>28</v>
      </c>
      <c r="B1913" s="84" t="s">
        <v>179</v>
      </c>
      <c r="C1913" s="85">
        <v>1.0</v>
      </c>
      <c r="D1913" s="85">
        <v>1.0</v>
      </c>
      <c r="E1913" s="86">
        <v>39.0</v>
      </c>
      <c r="F1913" s="94">
        <v>0.0</v>
      </c>
      <c r="G1913" s="85">
        <v>131.0</v>
      </c>
      <c r="H1913" s="94">
        <v>0.0</v>
      </c>
      <c r="I1913" s="85">
        <v>121.0</v>
      </c>
      <c r="J1913" s="95">
        <f t="shared" ref="J1913:J1926" si="1445">SUM(G1913-I1913)</f>
        <v>10</v>
      </c>
      <c r="K1913" s="87">
        <f t="shared" ref="K1913:K1926" si="1446">SUM(G1913/I1913)</f>
        <v>1.082644628</v>
      </c>
      <c r="L1913" s="85">
        <v>16.0</v>
      </c>
      <c r="M1913" s="85">
        <v>163.0</v>
      </c>
      <c r="N1913" s="85">
        <v>1.0</v>
      </c>
      <c r="O1913" s="110">
        <f t="shared" ref="O1913:O1918" si="1447">(E1913*N1913)</f>
        <v>39</v>
      </c>
      <c r="P1913" s="85">
        <v>3.0</v>
      </c>
      <c r="Q1913" s="85">
        <v>1.0</v>
      </c>
      <c r="R1913" s="85">
        <v>17.0</v>
      </c>
      <c r="S1913" s="85">
        <v>2.0</v>
      </c>
      <c r="T1913" s="85">
        <v>18.0</v>
      </c>
      <c r="U1913" s="85">
        <v>4.0</v>
      </c>
      <c r="V1913" s="94">
        <v>0.0</v>
      </c>
      <c r="W1913" s="94">
        <v>0.0</v>
      </c>
      <c r="X1913" s="94">
        <v>0.0</v>
      </c>
      <c r="Y1913" s="94">
        <v>0.0</v>
      </c>
      <c r="Z1913" s="94">
        <v>0.0</v>
      </c>
      <c r="AA1913" s="94">
        <v>0.0</v>
      </c>
      <c r="AB1913" s="94">
        <v>0.0</v>
      </c>
      <c r="AC1913" s="85">
        <v>3.0</v>
      </c>
      <c r="AD1913" s="94">
        <v>0.0</v>
      </c>
      <c r="AE1913" s="94">
        <v>0.0</v>
      </c>
      <c r="AF1913" s="94">
        <v>0.0</v>
      </c>
      <c r="AG1913" s="94">
        <v>0.0</v>
      </c>
      <c r="AH1913" s="94">
        <v>0.0</v>
      </c>
    </row>
    <row r="1914" hidden="1">
      <c r="A1914" s="83" t="s">
        <v>28</v>
      </c>
      <c r="B1914" s="84" t="s">
        <v>180</v>
      </c>
      <c r="C1914" s="85">
        <v>1.0</v>
      </c>
      <c r="D1914" s="85">
        <v>1.0</v>
      </c>
      <c r="E1914" s="86">
        <v>39.0</v>
      </c>
      <c r="F1914" s="85">
        <v>1.0</v>
      </c>
      <c r="G1914" s="85">
        <v>124.0</v>
      </c>
      <c r="H1914" s="94">
        <v>0.0</v>
      </c>
      <c r="I1914" s="85">
        <v>124.0</v>
      </c>
      <c r="J1914" s="95">
        <f t="shared" si="1445"/>
        <v>0</v>
      </c>
      <c r="K1914" s="87">
        <f t="shared" si="1446"/>
        <v>1</v>
      </c>
      <c r="L1914" s="85">
        <v>15.0</v>
      </c>
      <c r="M1914" s="85">
        <v>162.0</v>
      </c>
      <c r="N1914" s="85">
        <v>1.0</v>
      </c>
      <c r="O1914" s="110">
        <f t="shared" si="1447"/>
        <v>39</v>
      </c>
      <c r="P1914" s="85">
        <v>10.0</v>
      </c>
      <c r="Q1914" s="85">
        <v>2.0</v>
      </c>
      <c r="R1914" s="85">
        <v>12.0</v>
      </c>
      <c r="S1914" s="85">
        <v>2.0</v>
      </c>
      <c r="T1914" s="85">
        <v>13.0</v>
      </c>
      <c r="U1914" s="85">
        <v>1.0</v>
      </c>
      <c r="V1914" s="85">
        <v>1.0</v>
      </c>
      <c r="W1914" s="94">
        <v>0.0</v>
      </c>
      <c r="X1914" s="94">
        <v>0.0</v>
      </c>
      <c r="Y1914" s="94">
        <v>0.0</v>
      </c>
      <c r="Z1914" s="94">
        <v>0.0</v>
      </c>
      <c r="AA1914" s="94">
        <v>0.0</v>
      </c>
      <c r="AB1914" s="94">
        <v>0.0</v>
      </c>
      <c r="AC1914" s="85">
        <v>1.0</v>
      </c>
      <c r="AD1914" s="94">
        <v>0.0</v>
      </c>
      <c r="AE1914" s="94">
        <v>0.0</v>
      </c>
      <c r="AF1914" s="94">
        <v>0.0</v>
      </c>
      <c r="AG1914" s="94">
        <v>0.0</v>
      </c>
      <c r="AH1914" s="94">
        <v>0.0</v>
      </c>
    </row>
    <row r="1915" hidden="1">
      <c r="A1915" s="83" t="s">
        <v>28</v>
      </c>
      <c r="B1915" s="84" t="s">
        <v>181</v>
      </c>
      <c r="C1915" s="85">
        <v>1.0</v>
      </c>
      <c r="D1915" s="85">
        <v>1.0</v>
      </c>
      <c r="E1915" s="86">
        <v>39.0</v>
      </c>
      <c r="F1915" s="85">
        <v>1.0</v>
      </c>
      <c r="G1915" s="85">
        <v>140.0</v>
      </c>
      <c r="H1915" s="85">
        <v>2.0</v>
      </c>
      <c r="I1915" s="85">
        <v>128.0</v>
      </c>
      <c r="J1915" s="95">
        <f t="shared" si="1445"/>
        <v>12</v>
      </c>
      <c r="K1915" s="87">
        <f t="shared" si="1446"/>
        <v>1.09375</v>
      </c>
      <c r="L1915" s="85">
        <v>15.0</v>
      </c>
      <c r="M1915" s="85">
        <v>184.0</v>
      </c>
      <c r="N1915" s="85">
        <v>1.0</v>
      </c>
      <c r="O1915" s="110">
        <f t="shared" si="1447"/>
        <v>39</v>
      </c>
      <c r="P1915" s="85">
        <v>5.0</v>
      </c>
      <c r="Q1915" s="85">
        <v>1.0</v>
      </c>
      <c r="R1915" s="85">
        <v>16.0</v>
      </c>
      <c r="S1915" s="85">
        <v>3.0</v>
      </c>
      <c r="T1915" s="85">
        <v>17.0</v>
      </c>
      <c r="U1915" s="85">
        <v>2.0</v>
      </c>
      <c r="V1915" s="94">
        <v>0.0</v>
      </c>
      <c r="W1915" s="94">
        <v>0.0</v>
      </c>
      <c r="X1915" s="94">
        <v>0.0</v>
      </c>
      <c r="Y1915" s="94">
        <v>0.0</v>
      </c>
      <c r="Z1915" s="94">
        <v>0.0</v>
      </c>
      <c r="AA1915" s="94">
        <v>0.0</v>
      </c>
      <c r="AB1915" s="94">
        <v>0.0</v>
      </c>
      <c r="AC1915" s="85">
        <v>4.0</v>
      </c>
      <c r="AD1915" s="94">
        <v>0.0</v>
      </c>
      <c r="AE1915" s="94">
        <v>0.0</v>
      </c>
      <c r="AF1915" s="94">
        <v>0.0</v>
      </c>
      <c r="AG1915" s="94">
        <v>0.0</v>
      </c>
      <c r="AH1915" s="94">
        <v>0.0</v>
      </c>
    </row>
    <row r="1916" hidden="1">
      <c r="A1916" s="83" t="s">
        <v>28</v>
      </c>
      <c r="B1916" s="84" t="s">
        <v>182</v>
      </c>
      <c r="C1916" s="94">
        <v>0.0</v>
      </c>
      <c r="D1916" s="94">
        <v>0.0</v>
      </c>
      <c r="E1916" s="96">
        <f>SUM(L1916*I1916)/60</f>
        <v>0</v>
      </c>
      <c r="F1916" s="94">
        <v>0.0</v>
      </c>
      <c r="G1916" s="94">
        <v>0.0</v>
      </c>
      <c r="H1916" s="94">
        <v>0.0</v>
      </c>
      <c r="I1916" s="94">
        <v>0.0</v>
      </c>
      <c r="J1916" s="95">
        <f t="shared" si="1445"/>
        <v>0</v>
      </c>
      <c r="K1916" s="87" t="str">
        <f t="shared" si="1446"/>
        <v>#DIV/0!</v>
      </c>
      <c r="L1916" s="94">
        <v>0.0</v>
      </c>
      <c r="M1916" s="94">
        <v>0.0</v>
      </c>
      <c r="N1916" s="85">
        <v>0.0</v>
      </c>
      <c r="O1916" s="110">
        <f t="shared" si="1447"/>
        <v>0</v>
      </c>
      <c r="P1916" s="94">
        <v>0.0</v>
      </c>
      <c r="Q1916" s="94">
        <v>0.0</v>
      </c>
      <c r="R1916" s="94">
        <v>0.0</v>
      </c>
      <c r="S1916" s="94">
        <v>0.0</v>
      </c>
      <c r="T1916" s="94">
        <v>0.0</v>
      </c>
      <c r="U1916" s="94">
        <v>0.0</v>
      </c>
      <c r="V1916" s="94">
        <v>0.0</v>
      </c>
      <c r="W1916" s="94">
        <v>0.0</v>
      </c>
      <c r="X1916" s="94">
        <v>0.0</v>
      </c>
      <c r="Y1916" s="94">
        <v>0.0</v>
      </c>
      <c r="Z1916" s="94">
        <v>0.0</v>
      </c>
      <c r="AA1916" s="94">
        <v>0.0</v>
      </c>
      <c r="AB1916" s="94">
        <v>0.0</v>
      </c>
      <c r="AC1916" s="94">
        <v>0.0</v>
      </c>
      <c r="AD1916" s="94">
        <v>0.0</v>
      </c>
      <c r="AE1916" s="94">
        <v>0.0</v>
      </c>
      <c r="AF1916" s="94">
        <v>0.0</v>
      </c>
      <c r="AG1916" s="94">
        <v>0.0</v>
      </c>
      <c r="AH1916" s="94">
        <v>0.0</v>
      </c>
    </row>
    <row r="1917" hidden="1">
      <c r="A1917" s="83" t="s">
        <v>28</v>
      </c>
      <c r="B1917" s="84" t="s">
        <v>183</v>
      </c>
      <c r="C1917" s="85">
        <v>1.0</v>
      </c>
      <c r="D1917" s="85">
        <v>1.0</v>
      </c>
      <c r="E1917" s="86">
        <v>39.0</v>
      </c>
      <c r="F1917" s="85">
        <v>3.0</v>
      </c>
      <c r="G1917" s="85">
        <v>102.0</v>
      </c>
      <c r="H1917" s="85">
        <v>1.0</v>
      </c>
      <c r="I1917" s="85">
        <v>113.0</v>
      </c>
      <c r="J1917" s="95">
        <f t="shared" si="1445"/>
        <v>-11</v>
      </c>
      <c r="K1917" s="87">
        <f t="shared" si="1446"/>
        <v>0.9026548673</v>
      </c>
      <c r="L1917" s="85">
        <v>17.0</v>
      </c>
      <c r="M1917" s="85">
        <v>128.0</v>
      </c>
      <c r="N1917" s="85">
        <v>1.0</v>
      </c>
      <c r="O1917" s="110">
        <f t="shared" si="1447"/>
        <v>39</v>
      </c>
      <c r="P1917" s="85">
        <v>3.0</v>
      </c>
      <c r="Q1917" s="85">
        <v>6.0</v>
      </c>
      <c r="R1917" s="85">
        <v>1.0</v>
      </c>
      <c r="S1917" s="85">
        <v>2.0</v>
      </c>
      <c r="T1917" s="85">
        <v>13.0</v>
      </c>
      <c r="U1917" s="85">
        <v>3.0</v>
      </c>
      <c r="V1917" s="94">
        <v>0.0</v>
      </c>
      <c r="W1917" s="94">
        <v>0.0</v>
      </c>
      <c r="X1917" s="94">
        <v>0.0</v>
      </c>
      <c r="Y1917" s="94">
        <v>0.0</v>
      </c>
      <c r="Z1917" s="94">
        <v>0.0</v>
      </c>
      <c r="AA1917" s="94">
        <v>0.0</v>
      </c>
      <c r="AB1917" s="94">
        <v>0.0</v>
      </c>
      <c r="AC1917" s="85">
        <v>2.0</v>
      </c>
      <c r="AD1917" s="94">
        <v>0.0</v>
      </c>
      <c r="AE1917" s="94">
        <v>0.0</v>
      </c>
      <c r="AF1917" s="94">
        <v>0.0</v>
      </c>
      <c r="AG1917" s="94">
        <v>0.0</v>
      </c>
      <c r="AH1917" s="85">
        <v>1.0</v>
      </c>
    </row>
    <row r="1918" hidden="1">
      <c r="A1918" s="83" t="s">
        <v>28</v>
      </c>
      <c r="B1918" s="84" t="s">
        <v>184</v>
      </c>
      <c r="C1918" s="94">
        <v>0.0</v>
      </c>
      <c r="D1918" s="94">
        <v>0.0</v>
      </c>
      <c r="E1918" s="96">
        <f>SUM(L1918*I1918)/60</f>
        <v>0</v>
      </c>
      <c r="F1918" s="94">
        <v>0.0</v>
      </c>
      <c r="G1918" s="94">
        <v>0.0</v>
      </c>
      <c r="H1918" s="94">
        <v>0.0</v>
      </c>
      <c r="I1918" s="94">
        <v>0.0</v>
      </c>
      <c r="J1918" s="95">
        <f t="shared" si="1445"/>
        <v>0</v>
      </c>
      <c r="K1918" s="87" t="str">
        <f t="shared" si="1446"/>
        <v>#DIV/0!</v>
      </c>
      <c r="L1918" s="94">
        <v>0.0</v>
      </c>
      <c r="M1918" s="94">
        <v>0.0</v>
      </c>
      <c r="N1918" s="85">
        <v>0.0</v>
      </c>
      <c r="O1918" s="110">
        <f t="shared" si="1447"/>
        <v>0</v>
      </c>
      <c r="P1918" s="94">
        <v>0.0</v>
      </c>
      <c r="Q1918" s="94">
        <v>0.0</v>
      </c>
      <c r="R1918" s="94">
        <v>0.0</v>
      </c>
      <c r="S1918" s="94">
        <v>0.0</v>
      </c>
      <c r="T1918" s="94">
        <v>0.0</v>
      </c>
      <c r="U1918" s="94">
        <v>0.0</v>
      </c>
      <c r="V1918" s="94">
        <v>0.0</v>
      </c>
      <c r="W1918" s="94">
        <v>0.0</v>
      </c>
      <c r="X1918" s="94">
        <v>0.0</v>
      </c>
      <c r="Y1918" s="94">
        <v>0.0</v>
      </c>
      <c r="Z1918" s="94">
        <v>0.0</v>
      </c>
      <c r="AA1918" s="94">
        <v>0.0</v>
      </c>
      <c r="AB1918" s="94">
        <v>0.0</v>
      </c>
      <c r="AC1918" s="94">
        <v>0.0</v>
      </c>
      <c r="AD1918" s="94">
        <v>0.0</v>
      </c>
      <c r="AE1918" s="94">
        <v>0.0</v>
      </c>
      <c r="AF1918" s="94">
        <v>0.0</v>
      </c>
      <c r="AG1918" s="94">
        <v>0.0</v>
      </c>
      <c r="AH1918" s="94">
        <v>0.0</v>
      </c>
    </row>
    <row r="1919" hidden="1">
      <c r="A1919" s="89"/>
      <c r="B1919" s="111"/>
      <c r="C1919" s="111">
        <f t="shared" ref="C1919:D1919" si="1448">SUM(C1913:C1918)/4</f>
        <v>1</v>
      </c>
      <c r="D1919" s="111">
        <f t="shared" si="1448"/>
        <v>1</v>
      </c>
      <c r="E1919" s="91">
        <f t="shared" ref="E1919:G1919" si="1449">SUM(E1913:E1918)</f>
        <v>156</v>
      </c>
      <c r="F1919" s="111">
        <f t="shared" si="1449"/>
        <v>5</v>
      </c>
      <c r="G1919" s="111">
        <f t="shared" si="1449"/>
        <v>497</v>
      </c>
      <c r="H1919" s="111"/>
      <c r="I1919" s="111">
        <f>SUM(I1913:I1918)</f>
        <v>486</v>
      </c>
      <c r="J1919" s="111">
        <f t="shared" si="1445"/>
        <v>11</v>
      </c>
      <c r="K1919" s="92">
        <f t="shared" si="1446"/>
        <v>1.022633745</v>
      </c>
      <c r="L1919" s="111">
        <f t="shared" ref="L1919:M1919" si="1450">SUM(L1913:L1918)</f>
        <v>63</v>
      </c>
      <c r="M1919" s="111">
        <f t="shared" si="1450"/>
        <v>637</v>
      </c>
      <c r="N1919" s="111"/>
      <c r="O1919" s="112"/>
      <c r="P1919" s="111">
        <f t="shared" ref="P1919:AH1919" si="1451">SUM(P1913:P1918)</f>
        <v>21</v>
      </c>
      <c r="Q1919" s="111">
        <f t="shared" si="1451"/>
        <v>10</v>
      </c>
      <c r="R1919" s="111">
        <f t="shared" si="1451"/>
        <v>46</v>
      </c>
      <c r="S1919" s="111">
        <f t="shared" si="1451"/>
        <v>9</v>
      </c>
      <c r="T1919" s="111">
        <f t="shared" si="1451"/>
        <v>61</v>
      </c>
      <c r="U1919" s="111">
        <f t="shared" si="1451"/>
        <v>10</v>
      </c>
      <c r="V1919" s="111">
        <f t="shared" si="1451"/>
        <v>1</v>
      </c>
      <c r="W1919" s="111">
        <f t="shared" si="1451"/>
        <v>0</v>
      </c>
      <c r="X1919" s="111">
        <f t="shared" si="1451"/>
        <v>0</v>
      </c>
      <c r="Y1919" s="111">
        <f t="shared" si="1451"/>
        <v>0</v>
      </c>
      <c r="Z1919" s="111">
        <f t="shared" si="1451"/>
        <v>0</v>
      </c>
      <c r="AA1919" s="111">
        <f t="shared" si="1451"/>
        <v>0</v>
      </c>
      <c r="AB1919" s="111">
        <f t="shared" si="1451"/>
        <v>0</v>
      </c>
      <c r="AC1919" s="111">
        <f t="shared" si="1451"/>
        <v>10</v>
      </c>
      <c r="AD1919" s="111">
        <f t="shared" si="1451"/>
        <v>0</v>
      </c>
      <c r="AE1919" s="111">
        <f t="shared" si="1451"/>
        <v>0</v>
      </c>
      <c r="AF1919" s="111">
        <f t="shared" si="1451"/>
        <v>0</v>
      </c>
      <c r="AG1919" s="111">
        <f t="shared" si="1451"/>
        <v>0</v>
      </c>
      <c r="AH1919" s="111">
        <f t="shared" si="1451"/>
        <v>1</v>
      </c>
    </row>
    <row r="1920" hidden="1">
      <c r="A1920" s="83" t="s">
        <v>51</v>
      </c>
      <c r="B1920" s="84" t="s">
        <v>222</v>
      </c>
      <c r="C1920" s="85">
        <v>1.0</v>
      </c>
      <c r="D1920" s="94">
        <v>0.0</v>
      </c>
      <c r="E1920" s="86">
        <v>39.0</v>
      </c>
      <c r="F1920" s="85">
        <v>1.0</v>
      </c>
      <c r="G1920" s="85">
        <v>118.0</v>
      </c>
      <c r="H1920" s="85">
        <v>1.0</v>
      </c>
      <c r="I1920" s="85">
        <v>143.0</v>
      </c>
      <c r="J1920" s="95">
        <f t="shared" si="1445"/>
        <v>-25</v>
      </c>
      <c r="K1920" s="87">
        <f t="shared" si="1446"/>
        <v>0.8251748252</v>
      </c>
      <c r="L1920" s="85">
        <v>13.0</v>
      </c>
      <c r="M1920" s="85">
        <v>156.0</v>
      </c>
      <c r="N1920" s="85">
        <v>1.0</v>
      </c>
      <c r="O1920" s="110">
        <f t="shared" ref="O1920:O1925" si="1452">(E1920*N1920)</f>
        <v>39</v>
      </c>
      <c r="P1920" s="85">
        <v>7.0</v>
      </c>
      <c r="Q1920" s="85">
        <v>1.0</v>
      </c>
      <c r="R1920" s="85">
        <v>15.0</v>
      </c>
      <c r="S1920" s="85">
        <v>3.0</v>
      </c>
      <c r="T1920" s="85">
        <v>15.0</v>
      </c>
      <c r="U1920" s="85">
        <v>1.0</v>
      </c>
      <c r="V1920" s="85">
        <v>1.0</v>
      </c>
      <c r="W1920" s="94">
        <v>0.0</v>
      </c>
      <c r="X1920" s="94">
        <v>0.0</v>
      </c>
      <c r="Y1920" s="94">
        <v>0.0</v>
      </c>
      <c r="Z1920" s="94">
        <v>0.0</v>
      </c>
      <c r="AA1920" s="94">
        <v>0.0</v>
      </c>
      <c r="AB1920" s="94">
        <v>0.0</v>
      </c>
      <c r="AC1920" s="85">
        <v>2.0</v>
      </c>
      <c r="AD1920" s="94">
        <v>0.0</v>
      </c>
      <c r="AE1920" s="94">
        <v>0.0</v>
      </c>
      <c r="AF1920" s="94">
        <v>0.0</v>
      </c>
      <c r="AG1920" s="94">
        <v>0.0</v>
      </c>
      <c r="AH1920" s="94">
        <v>0.0</v>
      </c>
    </row>
    <row r="1921" hidden="1">
      <c r="A1921" s="83" t="s">
        <v>51</v>
      </c>
      <c r="B1921" s="84" t="s">
        <v>223</v>
      </c>
      <c r="C1921" s="85">
        <v>1.0</v>
      </c>
      <c r="D1921" s="94">
        <v>0.0</v>
      </c>
      <c r="E1921" s="86">
        <v>39.0</v>
      </c>
      <c r="F1921" s="85">
        <v>2.0</v>
      </c>
      <c r="G1921" s="85">
        <v>58.0</v>
      </c>
      <c r="H1921" s="94">
        <v>0.0</v>
      </c>
      <c r="I1921" s="85">
        <v>82.0</v>
      </c>
      <c r="J1921" s="95">
        <f t="shared" si="1445"/>
        <v>-24</v>
      </c>
      <c r="K1921" s="87">
        <f t="shared" si="1446"/>
        <v>0.7073170732</v>
      </c>
      <c r="L1921" s="85">
        <v>25.0</v>
      </c>
      <c r="M1921" s="85">
        <v>75.0</v>
      </c>
      <c r="N1921" s="85">
        <v>1.0</v>
      </c>
      <c r="O1921" s="110">
        <f t="shared" si="1452"/>
        <v>39</v>
      </c>
      <c r="P1921" s="85">
        <v>7.0</v>
      </c>
      <c r="Q1921" s="85">
        <v>1.0</v>
      </c>
      <c r="R1921" s="85">
        <v>3.0</v>
      </c>
      <c r="S1921" s="85">
        <v>3.0</v>
      </c>
      <c r="T1921" s="85">
        <v>3.0</v>
      </c>
      <c r="U1921" s="85">
        <v>1.0</v>
      </c>
      <c r="V1921" s="94">
        <v>0.0</v>
      </c>
      <c r="W1921" s="94">
        <v>0.0</v>
      </c>
      <c r="X1921" s="94">
        <v>0.0</v>
      </c>
      <c r="Y1921" s="94">
        <v>0.0</v>
      </c>
      <c r="Z1921" s="94">
        <v>0.0</v>
      </c>
      <c r="AA1921" s="94">
        <v>0.0</v>
      </c>
      <c r="AB1921" s="94">
        <v>0.0</v>
      </c>
      <c r="AC1921" s="85">
        <v>1.0</v>
      </c>
      <c r="AD1921" s="94">
        <v>0.0</v>
      </c>
      <c r="AE1921" s="94">
        <v>0.0</v>
      </c>
      <c r="AF1921" s="94">
        <v>0.0</v>
      </c>
      <c r="AG1921" s="94">
        <v>0.0</v>
      </c>
      <c r="AH1921" s="94">
        <v>0.0</v>
      </c>
    </row>
    <row r="1922" hidden="1">
      <c r="A1922" s="83" t="s">
        <v>51</v>
      </c>
      <c r="B1922" s="84" t="s">
        <v>224</v>
      </c>
      <c r="C1922" s="85">
        <v>1.0</v>
      </c>
      <c r="D1922" s="94">
        <v>0.0</v>
      </c>
      <c r="E1922" s="86">
        <v>39.0</v>
      </c>
      <c r="F1922" s="85">
        <v>0.0</v>
      </c>
      <c r="G1922" s="85">
        <v>164.0</v>
      </c>
      <c r="H1922" s="85">
        <v>0.0</v>
      </c>
      <c r="I1922" s="85">
        <v>143.0</v>
      </c>
      <c r="J1922" s="95">
        <f t="shared" si="1445"/>
        <v>21</v>
      </c>
      <c r="K1922" s="87">
        <f t="shared" si="1446"/>
        <v>1.146853147</v>
      </c>
      <c r="L1922" s="85">
        <v>13.0</v>
      </c>
      <c r="M1922" s="85">
        <v>215.0</v>
      </c>
      <c r="N1922" s="85">
        <v>1.0</v>
      </c>
      <c r="O1922" s="110">
        <f t="shared" si="1452"/>
        <v>39</v>
      </c>
      <c r="P1922" s="85">
        <v>5.0</v>
      </c>
      <c r="Q1922" s="85">
        <v>3.0</v>
      </c>
      <c r="R1922" s="85">
        <v>10.0</v>
      </c>
      <c r="S1922" s="85">
        <v>2.0</v>
      </c>
      <c r="T1922" s="85">
        <v>31.0</v>
      </c>
      <c r="U1922" s="85">
        <v>3.0</v>
      </c>
      <c r="V1922" s="85">
        <v>2.0</v>
      </c>
      <c r="W1922" s="85">
        <v>2.0</v>
      </c>
      <c r="X1922" s="94">
        <v>0.0</v>
      </c>
      <c r="Y1922" s="94">
        <v>0.0</v>
      </c>
      <c r="Z1922" s="94">
        <v>0.0</v>
      </c>
      <c r="AA1922" s="94">
        <v>0.0</v>
      </c>
      <c r="AB1922" s="94">
        <v>0.0</v>
      </c>
      <c r="AC1922" s="85">
        <v>5.0</v>
      </c>
      <c r="AD1922" s="94">
        <v>0.0</v>
      </c>
      <c r="AE1922" s="94">
        <v>0.0</v>
      </c>
      <c r="AF1922" s="94">
        <v>0.0</v>
      </c>
      <c r="AG1922" s="85">
        <v>1.0</v>
      </c>
      <c r="AH1922" s="94">
        <v>0.0</v>
      </c>
    </row>
    <row r="1923" hidden="1">
      <c r="A1923" s="83" t="s">
        <v>51</v>
      </c>
      <c r="B1923" s="84" t="s">
        <v>225</v>
      </c>
      <c r="C1923" s="94">
        <v>0.0</v>
      </c>
      <c r="D1923" s="94">
        <v>0.0</v>
      </c>
      <c r="E1923" s="96">
        <f t="shared" ref="E1923:E1924" si="1453">SUM(L1923*I1923)/60</f>
        <v>0</v>
      </c>
      <c r="F1923" s="94">
        <v>0.0</v>
      </c>
      <c r="G1923" s="94">
        <v>0.0</v>
      </c>
      <c r="H1923" s="94">
        <v>0.0</v>
      </c>
      <c r="I1923" s="94">
        <v>0.0</v>
      </c>
      <c r="J1923" s="95">
        <f t="shared" si="1445"/>
        <v>0</v>
      </c>
      <c r="K1923" s="87" t="str">
        <f t="shared" si="1446"/>
        <v>#DIV/0!</v>
      </c>
      <c r="L1923" s="94">
        <v>0.0</v>
      </c>
      <c r="M1923" s="94">
        <v>0.0</v>
      </c>
      <c r="N1923" s="85">
        <v>0.0</v>
      </c>
      <c r="O1923" s="110">
        <f t="shared" si="1452"/>
        <v>0</v>
      </c>
      <c r="P1923" s="94">
        <v>0.0</v>
      </c>
      <c r="Q1923" s="94">
        <v>0.0</v>
      </c>
      <c r="R1923" s="94">
        <v>0.0</v>
      </c>
      <c r="S1923" s="94">
        <v>0.0</v>
      </c>
      <c r="T1923" s="94">
        <v>0.0</v>
      </c>
      <c r="U1923" s="94">
        <v>0.0</v>
      </c>
      <c r="V1923" s="94">
        <v>0.0</v>
      </c>
      <c r="W1923" s="94">
        <v>0.0</v>
      </c>
      <c r="X1923" s="94">
        <v>0.0</v>
      </c>
      <c r="Y1923" s="94">
        <v>0.0</v>
      </c>
      <c r="Z1923" s="94">
        <v>0.0</v>
      </c>
      <c r="AA1923" s="94">
        <v>0.0</v>
      </c>
      <c r="AB1923" s="94">
        <v>0.0</v>
      </c>
      <c r="AC1923" s="94">
        <v>0.0</v>
      </c>
      <c r="AD1923" s="94">
        <v>0.0</v>
      </c>
      <c r="AE1923" s="94">
        <v>0.0</v>
      </c>
      <c r="AF1923" s="94">
        <v>0.0</v>
      </c>
      <c r="AG1923" s="94">
        <v>0.0</v>
      </c>
      <c r="AH1923" s="94">
        <v>0.0</v>
      </c>
    </row>
    <row r="1924" hidden="1">
      <c r="A1924" s="83" t="s">
        <v>51</v>
      </c>
      <c r="B1924" s="84" t="s">
        <v>226</v>
      </c>
      <c r="C1924" s="94">
        <v>0.0</v>
      </c>
      <c r="D1924" s="94">
        <v>0.0</v>
      </c>
      <c r="E1924" s="96">
        <f t="shared" si="1453"/>
        <v>0</v>
      </c>
      <c r="F1924" s="94">
        <v>0.0</v>
      </c>
      <c r="G1924" s="94">
        <v>0.0</v>
      </c>
      <c r="H1924" s="94">
        <v>0.0</v>
      </c>
      <c r="I1924" s="94">
        <v>0.0</v>
      </c>
      <c r="J1924" s="95">
        <f t="shared" si="1445"/>
        <v>0</v>
      </c>
      <c r="K1924" s="87" t="str">
        <f t="shared" si="1446"/>
        <v>#DIV/0!</v>
      </c>
      <c r="L1924" s="94">
        <v>0.0</v>
      </c>
      <c r="M1924" s="94">
        <v>0.0</v>
      </c>
      <c r="N1924" s="85">
        <v>0.0</v>
      </c>
      <c r="O1924" s="110">
        <f t="shared" si="1452"/>
        <v>0</v>
      </c>
      <c r="P1924" s="94">
        <v>0.0</v>
      </c>
      <c r="Q1924" s="94">
        <v>0.0</v>
      </c>
      <c r="R1924" s="94">
        <v>0.0</v>
      </c>
      <c r="S1924" s="94">
        <v>0.0</v>
      </c>
      <c r="T1924" s="94">
        <v>0.0</v>
      </c>
      <c r="U1924" s="94">
        <v>0.0</v>
      </c>
      <c r="V1924" s="94">
        <v>0.0</v>
      </c>
      <c r="W1924" s="94">
        <v>0.0</v>
      </c>
      <c r="X1924" s="94">
        <v>0.0</v>
      </c>
      <c r="Y1924" s="94">
        <v>0.0</v>
      </c>
      <c r="Z1924" s="94">
        <v>0.0</v>
      </c>
      <c r="AA1924" s="94">
        <v>0.0</v>
      </c>
      <c r="AB1924" s="94">
        <v>0.0</v>
      </c>
      <c r="AC1924" s="94">
        <v>0.0</v>
      </c>
      <c r="AD1924" s="94">
        <v>0.0</v>
      </c>
      <c r="AE1924" s="94">
        <v>0.0</v>
      </c>
      <c r="AF1924" s="94">
        <v>0.0</v>
      </c>
      <c r="AG1924" s="94">
        <v>0.0</v>
      </c>
      <c r="AH1924" s="94">
        <v>0.0</v>
      </c>
    </row>
    <row r="1925" hidden="1">
      <c r="A1925" s="83" t="s">
        <v>51</v>
      </c>
      <c r="B1925" s="84" t="s">
        <v>189</v>
      </c>
      <c r="C1925" s="85">
        <v>1.0</v>
      </c>
      <c r="D1925" s="94">
        <v>0.0</v>
      </c>
      <c r="E1925" s="86">
        <v>39.0</v>
      </c>
      <c r="F1925" s="85">
        <v>1.0</v>
      </c>
      <c r="G1925" s="85">
        <v>136.0</v>
      </c>
      <c r="H1925" s="85">
        <v>1.0</v>
      </c>
      <c r="I1925" s="85">
        <v>146.0</v>
      </c>
      <c r="J1925" s="95">
        <f t="shared" si="1445"/>
        <v>-10</v>
      </c>
      <c r="K1925" s="87">
        <f t="shared" si="1446"/>
        <v>0.9315068493</v>
      </c>
      <c r="L1925" s="85">
        <v>12.0</v>
      </c>
      <c r="M1925" s="85">
        <v>182.0</v>
      </c>
      <c r="N1925" s="85">
        <v>1.0</v>
      </c>
      <c r="O1925" s="110">
        <f t="shared" si="1452"/>
        <v>39</v>
      </c>
      <c r="P1925" s="85">
        <v>10.0</v>
      </c>
      <c r="Q1925" s="85">
        <v>1.0</v>
      </c>
      <c r="R1925" s="85">
        <v>12.0</v>
      </c>
      <c r="S1925" s="85">
        <v>2.0</v>
      </c>
      <c r="T1925" s="85">
        <v>24.0</v>
      </c>
      <c r="U1925" s="85">
        <v>2.0</v>
      </c>
      <c r="V1925" s="94">
        <v>0.0</v>
      </c>
      <c r="W1925" s="94">
        <v>0.0</v>
      </c>
      <c r="X1925" s="94">
        <v>0.0</v>
      </c>
      <c r="Y1925" s="94">
        <v>0.0</v>
      </c>
      <c r="Z1925" s="94">
        <v>0.0</v>
      </c>
      <c r="AA1925" s="94">
        <v>0.0</v>
      </c>
      <c r="AB1925" s="94">
        <v>0.0</v>
      </c>
      <c r="AC1925" s="85">
        <v>1.0</v>
      </c>
      <c r="AD1925" s="94">
        <v>0.0</v>
      </c>
      <c r="AE1925" s="94">
        <v>0.0</v>
      </c>
      <c r="AF1925" s="94">
        <v>0.0</v>
      </c>
      <c r="AG1925" s="94">
        <v>0.0</v>
      </c>
      <c r="AH1925" s="94">
        <v>0.0</v>
      </c>
    </row>
    <row r="1926" hidden="1">
      <c r="A1926" s="89" t="s">
        <v>185</v>
      </c>
      <c r="B1926" s="111"/>
      <c r="C1926" s="111">
        <f>SUM(C1920:C1925)</f>
        <v>4</v>
      </c>
      <c r="D1926" s="111">
        <f t="shared" ref="D1926:E1926" si="1454">SUM(D1920:D1925)/4</f>
        <v>0</v>
      </c>
      <c r="E1926" s="91">
        <f t="shared" si="1454"/>
        <v>39</v>
      </c>
      <c r="F1926" s="111">
        <f t="shared" ref="F1926:G1926" si="1455">SUM(F1920:F1925)</f>
        <v>4</v>
      </c>
      <c r="G1926" s="111">
        <f t="shared" si="1455"/>
        <v>476</v>
      </c>
      <c r="H1926" s="111"/>
      <c r="I1926" s="111">
        <f>SUM(I1920:I1925)</f>
        <v>514</v>
      </c>
      <c r="J1926" s="111">
        <f t="shared" si="1445"/>
        <v>-38</v>
      </c>
      <c r="K1926" s="92">
        <f t="shared" si="1446"/>
        <v>0.9260700389</v>
      </c>
      <c r="L1926" s="111">
        <f t="shared" ref="L1926:M1926" si="1456">SUM(L1920:L1925)</f>
        <v>63</v>
      </c>
      <c r="M1926" s="111">
        <f t="shared" si="1456"/>
        <v>628</v>
      </c>
      <c r="N1926" s="111"/>
      <c r="O1926" s="112"/>
      <c r="P1926" s="111">
        <f t="shared" ref="P1926:AH1926" si="1457">SUM(P1920:P1925)</f>
        <v>29</v>
      </c>
      <c r="Q1926" s="111">
        <f t="shared" si="1457"/>
        <v>6</v>
      </c>
      <c r="R1926" s="111">
        <f t="shared" si="1457"/>
        <v>40</v>
      </c>
      <c r="S1926" s="111">
        <f t="shared" si="1457"/>
        <v>10</v>
      </c>
      <c r="T1926" s="111">
        <f t="shared" si="1457"/>
        <v>73</v>
      </c>
      <c r="U1926" s="111">
        <f t="shared" si="1457"/>
        <v>7</v>
      </c>
      <c r="V1926" s="111">
        <f t="shared" si="1457"/>
        <v>3</v>
      </c>
      <c r="W1926" s="111">
        <f t="shared" si="1457"/>
        <v>2</v>
      </c>
      <c r="X1926" s="111">
        <f t="shared" si="1457"/>
        <v>0</v>
      </c>
      <c r="Y1926" s="111">
        <f t="shared" si="1457"/>
        <v>0</v>
      </c>
      <c r="Z1926" s="111">
        <f t="shared" si="1457"/>
        <v>0</v>
      </c>
      <c r="AA1926" s="111">
        <f t="shared" si="1457"/>
        <v>0</v>
      </c>
      <c r="AB1926" s="111">
        <f t="shared" si="1457"/>
        <v>0</v>
      </c>
      <c r="AC1926" s="111">
        <f t="shared" si="1457"/>
        <v>9</v>
      </c>
      <c r="AD1926" s="111">
        <f t="shared" si="1457"/>
        <v>0</v>
      </c>
      <c r="AE1926" s="111">
        <f t="shared" si="1457"/>
        <v>0</v>
      </c>
      <c r="AF1926" s="111">
        <f t="shared" si="1457"/>
        <v>0</v>
      </c>
      <c r="AG1926" s="111">
        <f t="shared" si="1457"/>
        <v>1</v>
      </c>
      <c r="AH1926" s="111">
        <f t="shared" si="1457"/>
        <v>0</v>
      </c>
    </row>
    <row r="1927">
      <c r="A1927" s="104" t="s">
        <v>360</v>
      </c>
    </row>
    <row r="1929" hidden="1">
      <c r="A1929" s="105"/>
      <c r="F1929" s="106" t="s">
        <v>251</v>
      </c>
      <c r="L1929" s="107" t="s">
        <v>252</v>
      </c>
      <c r="N1929" s="108" t="s">
        <v>253</v>
      </c>
    </row>
    <row r="1930" hidden="1">
      <c r="A1930" s="76" t="s">
        <v>148</v>
      </c>
      <c r="B1930" s="76" t="s">
        <v>149</v>
      </c>
      <c r="C1930" s="76" t="s">
        <v>150</v>
      </c>
      <c r="D1930" s="76" t="s">
        <v>13</v>
      </c>
      <c r="E1930" s="77" t="s">
        <v>151</v>
      </c>
      <c r="F1930" s="78" t="s">
        <v>15</v>
      </c>
      <c r="G1930" s="78" t="s">
        <v>152</v>
      </c>
      <c r="H1930" s="78" t="s">
        <v>153</v>
      </c>
      <c r="I1930" s="78" t="s">
        <v>154</v>
      </c>
      <c r="J1930" s="78" t="s">
        <v>155</v>
      </c>
      <c r="K1930" s="79" t="s">
        <v>156</v>
      </c>
      <c r="L1930" s="80" t="s">
        <v>157</v>
      </c>
      <c r="M1930" s="80" t="s">
        <v>158</v>
      </c>
      <c r="N1930" s="81" t="s">
        <v>254</v>
      </c>
      <c r="O1930" s="81" t="s">
        <v>151</v>
      </c>
      <c r="P1930" s="81" t="s">
        <v>160</v>
      </c>
      <c r="Q1930" s="81" t="s">
        <v>161</v>
      </c>
      <c r="R1930" s="81" t="s">
        <v>162</v>
      </c>
      <c r="S1930" s="81" t="s">
        <v>163</v>
      </c>
      <c r="T1930" s="81" t="s">
        <v>164</v>
      </c>
      <c r="U1930" s="81" t="s">
        <v>165</v>
      </c>
      <c r="V1930" s="81" t="s">
        <v>166</v>
      </c>
      <c r="W1930" s="81" t="s">
        <v>167</v>
      </c>
      <c r="X1930" s="81" t="s">
        <v>168</v>
      </c>
      <c r="Y1930" s="81" t="s">
        <v>169</v>
      </c>
      <c r="Z1930" s="81" t="s">
        <v>170</v>
      </c>
      <c r="AA1930" s="81" t="s">
        <v>171</v>
      </c>
      <c r="AB1930" s="81" t="s">
        <v>172</v>
      </c>
      <c r="AC1930" s="81" t="s">
        <v>173</v>
      </c>
      <c r="AD1930" s="81" t="s">
        <v>174</v>
      </c>
      <c r="AE1930" s="81" t="s">
        <v>175</v>
      </c>
      <c r="AF1930" s="81" t="s">
        <v>176</v>
      </c>
      <c r="AG1930" s="81" t="s">
        <v>177</v>
      </c>
      <c r="AH1930" s="81" t="s">
        <v>178</v>
      </c>
    </row>
    <row r="1931" hidden="1">
      <c r="A1931" s="109"/>
      <c r="B1931" s="93"/>
      <c r="C1931" s="94">
        <v>0.0</v>
      </c>
      <c r="D1931" s="94">
        <v>0.0</v>
      </c>
      <c r="E1931" s="96">
        <f t="shared" ref="E1931:E1936" si="1458">SUM(L1931*I1931)/60</f>
        <v>0</v>
      </c>
      <c r="F1931" s="94">
        <v>0.0</v>
      </c>
      <c r="G1931" s="94">
        <v>0.0</v>
      </c>
      <c r="H1931" s="94">
        <v>0.0</v>
      </c>
      <c r="I1931" s="94">
        <v>0.0</v>
      </c>
      <c r="J1931" s="95">
        <f t="shared" ref="J1931:J1944" si="1459">SUM(G1931-I1931)</f>
        <v>0</v>
      </c>
      <c r="K1931" s="87" t="str">
        <f t="shared" ref="K1931:K1944" si="1460">SUM(G1931/I1931)</f>
        <v>#DIV/0!</v>
      </c>
      <c r="L1931" s="94">
        <v>0.0</v>
      </c>
      <c r="M1931" s="94">
        <v>0.0</v>
      </c>
      <c r="N1931" s="94" t="s">
        <v>255</v>
      </c>
      <c r="O1931" s="110" t="str">
        <f t="shared" ref="O1931:O1936" si="1461">(E1931*N1931)</f>
        <v>#VALUE!</v>
      </c>
      <c r="P1931" s="94">
        <v>0.0</v>
      </c>
      <c r="Q1931" s="94">
        <v>0.0</v>
      </c>
      <c r="R1931" s="94">
        <v>0.0</v>
      </c>
      <c r="S1931" s="94">
        <v>0.0</v>
      </c>
      <c r="T1931" s="94">
        <v>0.0</v>
      </c>
      <c r="U1931" s="94">
        <v>0.0</v>
      </c>
      <c r="V1931" s="94">
        <v>0.0</v>
      </c>
      <c r="W1931" s="94">
        <v>0.0</v>
      </c>
      <c r="X1931" s="94">
        <v>0.0</v>
      </c>
      <c r="Y1931" s="94">
        <v>0.0</v>
      </c>
      <c r="Z1931" s="94">
        <v>0.0</v>
      </c>
      <c r="AA1931" s="94">
        <v>0.0</v>
      </c>
      <c r="AB1931" s="94">
        <v>0.0</v>
      </c>
      <c r="AC1931" s="94">
        <v>0.0</v>
      </c>
      <c r="AD1931" s="94">
        <v>0.0</v>
      </c>
      <c r="AE1931" s="94">
        <v>0.0</v>
      </c>
      <c r="AF1931" s="94">
        <v>0.0</v>
      </c>
      <c r="AG1931" s="94">
        <v>0.0</v>
      </c>
      <c r="AH1931" s="94">
        <v>0.0</v>
      </c>
    </row>
    <row r="1932" hidden="1">
      <c r="A1932" s="109"/>
      <c r="B1932" s="93"/>
      <c r="C1932" s="94">
        <v>0.0</v>
      </c>
      <c r="D1932" s="94">
        <v>0.0</v>
      </c>
      <c r="E1932" s="96">
        <f t="shared" si="1458"/>
        <v>0</v>
      </c>
      <c r="F1932" s="94">
        <v>0.0</v>
      </c>
      <c r="G1932" s="94">
        <v>0.0</v>
      </c>
      <c r="H1932" s="94">
        <v>0.0</v>
      </c>
      <c r="I1932" s="94">
        <v>0.0</v>
      </c>
      <c r="J1932" s="95">
        <f t="shared" si="1459"/>
        <v>0</v>
      </c>
      <c r="K1932" s="87" t="str">
        <f t="shared" si="1460"/>
        <v>#DIV/0!</v>
      </c>
      <c r="L1932" s="94">
        <v>0.0</v>
      </c>
      <c r="M1932" s="94">
        <v>0.0</v>
      </c>
      <c r="N1932" s="94" t="s">
        <v>255</v>
      </c>
      <c r="O1932" s="110" t="str">
        <f t="shared" si="1461"/>
        <v>#VALUE!</v>
      </c>
      <c r="P1932" s="94">
        <v>0.0</v>
      </c>
      <c r="Q1932" s="94">
        <v>0.0</v>
      </c>
      <c r="R1932" s="94">
        <v>0.0</v>
      </c>
      <c r="S1932" s="94">
        <v>0.0</v>
      </c>
      <c r="T1932" s="94">
        <v>0.0</v>
      </c>
      <c r="U1932" s="94">
        <v>0.0</v>
      </c>
      <c r="V1932" s="94">
        <v>0.0</v>
      </c>
      <c r="W1932" s="94">
        <v>0.0</v>
      </c>
      <c r="X1932" s="94">
        <v>0.0</v>
      </c>
      <c r="Y1932" s="94">
        <v>0.0</v>
      </c>
      <c r="Z1932" s="94">
        <v>0.0</v>
      </c>
      <c r="AA1932" s="94">
        <v>0.0</v>
      </c>
      <c r="AB1932" s="94">
        <v>0.0</v>
      </c>
      <c r="AC1932" s="94">
        <v>0.0</v>
      </c>
      <c r="AD1932" s="94">
        <v>0.0</v>
      </c>
      <c r="AE1932" s="94">
        <v>0.0</v>
      </c>
      <c r="AF1932" s="94">
        <v>0.0</v>
      </c>
      <c r="AG1932" s="94">
        <v>0.0</v>
      </c>
      <c r="AH1932" s="94">
        <v>0.0</v>
      </c>
    </row>
    <row r="1933" hidden="1">
      <c r="A1933" s="109"/>
      <c r="B1933" s="93"/>
      <c r="C1933" s="94">
        <v>0.0</v>
      </c>
      <c r="D1933" s="94">
        <v>0.0</v>
      </c>
      <c r="E1933" s="96">
        <f t="shared" si="1458"/>
        <v>0</v>
      </c>
      <c r="F1933" s="94">
        <v>0.0</v>
      </c>
      <c r="G1933" s="94">
        <v>0.0</v>
      </c>
      <c r="H1933" s="94">
        <v>0.0</v>
      </c>
      <c r="I1933" s="94">
        <v>0.0</v>
      </c>
      <c r="J1933" s="95">
        <f t="shared" si="1459"/>
        <v>0</v>
      </c>
      <c r="K1933" s="87" t="str">
        <f t="shared" si="1460"/>
        <v>#DIV/0!</v>
      </c>
      <c r="L1933" s="94">
        <v>0.0</v>
      </c>
      <c r="M1933" s="94">
        <v>0.0</v>
      </c>
      <c r="N1933" s="94" t="s">
        <v>255</v>
      </c>
      <c r="O1933" s="110" t="str">
        <f t="shared" si="1461"/>
        <v>#VALUE!</v>
      </c>
      <c r="P1933" s="94">
        <v>0.0</v>
      </c>
      <c r="Q1933" s="94">
        <v>0.0</v>
      </c>
      <c r="R1933" s="94">
        <v>0.0</v>
      </c>
      <c r="S1933" s="94">
        <v>0.0</v>
      </c>
      <c r="T1933" s="94">
        <v>0.0</v>
      </c>
      <c r="U1933" s="94">
        <v>0.0</v>
      </c>
      <c r="V1933" s="94">
        <v>0.0</v>
      </c>
      <c r="W1933" s="94">
        <v>0.0</v>
      </c>
      <c r="X1933" s="94">
        <v>0.0</v>
      </c>
      <c r="Y1933" s="94">
        <v>0.0</v>
      </c>
      <c r="Z1933" s="94">
        <v>0.0</v>
      </c>
      <c r="AA1933" s="94">
        <v>0.0</v>
      </c>
      <c r="AB1933" s="94">
        <v>0.0</v>
      </c>
      <c r="AC1933" s="94">
        <v>0.0</v>
      </c>
      <c r="AD1933" s="94">
        <v>0.0</v>
      </c>
      <c r="AE1933" s="94">
        <v>0.0</v>
      </c>
      <c r="AF1933" s="94">
        <v>0.0</v>
      </c>
      <c r="AG1933" s="94">
        <v>0.0</v>
      </c>
      <c r="AH1933" s="94">
        <v>0.0</v>
      </c>
    </row>
    <row r="1934" hidden="1">
      <c r="A1934" s="109"/>
      <c r="B1934" s="93"/>
      <c r="C1934" s="94">
        <v>0.0</v>
      </c>
      <c r="D1934" s="94">
        <v>0.0</v>
      </c>
      <c r="E1934" s="96">
        <f t="shared" si="1458"/>
        <v>0</v>
      </c>
      <c r="F1934" s="94">
        <v>0.0</v>
      </c>
      <c r="G1934" s="94">
        <v>0.0</v>
      </c>
      <c r="H1934" s="94">
        <v>0.0</v>
      </c>
      <c r="I1934" s="94">
        <v>0.0</v>
      </c>
      <c r="J1934" s="95">
        <f t="shared" si="1459"/>
        <v>0</v>
      </c>
      <c r="K1934" s="87" t="str">
        <f t="shared" si="1460"/>
        <v>#DIV/0!</v>
      </c>
      <c r="L1934" s="94">
        <v>0.0</v>
      </c>
      <c r="M1934" s="94">
        <v>0.0</v>
      </c>
      <c r="N1934" s="94" t="s">
        <v>255</v>
      </c>
      <c r="O1934" s="110" t="str">
        <f t="shared" si="1461"/>
        <v>#VALUE!</v>
      </c>
      <c r="P1934" s="94">
        <v>0.0</v>
      </c>
      <c r="Q1934" s="94">
        <v>0.0</v>
      </c>
      <c r="R1934" s="94">
        <v>0.0</v>
      </c>
      <c r="S1934" s="94">
        <v>0.0</v>
      </c>
      <c r="T1934" s="94">
        <v>0.0</v>
      </c>
      <c r="U1934" s="94">
        <v>0.0</v>
      </c>
      <c r="V1934" s="94">
        <v>0.0</v>
      </c>
      <c r="W1934" s="94">
        <v>0.0</v>
      </c>
      <c r="X1934" s="94">
        <v>0.0</v>
      </c>
      <c r="Y1934" s="94">
        <v>0.0</v>
      </c>
      <c r="Z1934" s="94">
        <v>0.0</v>
      </c>
      <c r="AA1934" s="94">
        <v>0.0</v>
      </c>
      <c r="AB1934" s="94">
        <v>0.0</v>
      </c>
      <c r="AC1934" s="94">
        <v>0.0</v>
      </c>
      <c r="AD1934" s="94">
        <v>0.0</v>
      </c>
      <c r="AE1934" s="94">
        <v>0.0</v>
      </c>
      <c r="AF1934" s="94">
        <v>0.0</v>
      </c>
      <c r="AG1934" s="94">
        <v>0.0</v>
      </c>
      <c r="AH1934" s="94">
        <v>0.0</v>
      </c>
    </row>
    <row r="1935" hidden="1">
      <c r="A1935" s="109"/>
      <c r="B1935" s="93"/>
      <c r="C1935" s="94">
        <v>0.0</v>
      </c>
      <c r="D1935" s="94">
        <v>0.0</v>
      </c>
      <c r="E1935" s="96">
        <f t="shared" si="1458"/>
        <v>0</v>
      </c>
      <c r="F1935" s="94">
        <v>0.0</v>
      </c>
      <c r="G1935" s="94">
        <v>0.0</v>
      </c>
      <c r="H1935" s="94">
        <v>0.0</v>
      </c>
      <c r="I1935" s="94">
        <v>0.0</v>
      </c>
      <c r="J1935" s="95">
        <f t="shared" si="1459"/>
        <v>0</v>
      </c>
      <c r="K1935" s="87" t="str">
        <f t="shared" si="1460"/>
        <v>#DIV/0!</v>
      </c>
      <c r="L1935" s="94">
        <v>0.0</v>
      </c>
      <c r="M1935" s="94">
        <v>0.0</v>
      </c>
      <c r="N1935" s="94" t="s">
        <v>255</v>
      </c>
      <c r="O1935" s="110" t="str">
        <f t="shared" si="1461"/>
        <v>#VALUE!</v>
      </c>
      <c r="P1935" s="94">
        <v>0.0</v>
      </c>
      <c r="Q1935" s="94">
        <v>0.0</v>
      </c>
      <c r="R1935" s="94">
        <v>0.0</v>
      </c>
      <c r="S1935" s="94">
        <v>0.0</v>
      </c>
      <c r="T1935" s="94">
        <v>0.0</v>
      </c>
      <c r="U1935" s="94">
        <v>0.0</v>
      </c>
      <c r="V1935" s="94">
        <v>0.0</v>
      </c>
      <c r="W1935" s="94">
        <v>0.0</v>
      </c>
      <c r="X1935" s="94">
        <v>0.0</v>
      </c>
      <c r="Y1935" s="94">
        <v>0.0</v>
      </c>
      <c r="Z1935" s="94">
        <v>0.0</v>
      </c>
      <c r="AA1935" s="94">
        <v>0.0</v>
      </c>
      <c r="AB1935" s="94">
        <v>0.0</v>
      </c>
      <c r="AC1935" s="94">
        <v>0.0</v>
      </c>
      <c r="AD1935" s="94">
        <v>0.0</v>
      </c>
      <c r="AE1935" s="94">
        <v>0.0</v>
      </c>
      <c r="AF1935" s="94">
        <v>0.0</v>
      </c>
      <c r="AG1935" s="94">
        <v>0.0</v>
      </c>
      <c r="AH1935" s="94">
        <v>0.0</v>
      </c>
    </row>
    <row r="1936" hidden="1">
      <c r="A1936" s="109"/>
      <c r="B1936" s="93"/>
      <c r="C1936" s="94">
        <v>0.0</v>
      </c>
      <c r="D1936" s="94">
        <v>0.0</v>
      </c>
      <c r="E1936" s="96">
        <f t="shared" si="1458"/>
        <v>0</v>
      </c>
      <c r="F1936" s="94">
        <v>0.0</v>
      </c>
      <c r="G1936" s="94">
        <v>0.0</v>
      </c>
      <c r="H1936" s="94">
        <v>0.0</v>
      </c>
      <c r="I1936" s="94">
        <v>0.0</v>
      </c>
      <c r="J1936" s="95">
        <f t="shared" si="1459"/>
        <v>0</v>
      </c>
      <c r="K1936" s="87" t="str">
        <f t="shared" si="1460"/>
        <v>#DIV/0!</v>
      </c>
      <c r="L1936" s="94">
        <v>0.0</v>
      </c>
      <c r="M1936" s="94">
        <v>0.0</v>
      </c>
      <c r="N1936" s="94" t="s">
        <v>255</v>
      </c>
      <c r="O1936" s="110" t="str">
        <f t="shared" si="1461"/>
        <v>#VALUE!</v>
      </c>
      <c r="P1936" s="94">
        <v>0.0</v>
      </c>
      <c r="Q1936" s="94">
        <v>0.0</v>
      </c>
      <c r="R1936" s="94">
        <v>0.0</v>
      </c>
      <c r="S1936" s="94">
        <v>0.0</v>
      </c>
      <c r="T1936" s="94">
        <v>0.0</v>
      </c>
      <c r="U1936" s="94">
        <v>0.0</v>
      </c>
      <c r="V1936" s="94">
        <v>0.0</v>
      </c>
      <c r="W1936" s="94">
        <v>0.0</v>
      </c>
      <c r="X1936" s="94">
        <v>0.0</v>
      </c>
      <c r="Y1936" s="94">
        <v>0.0</v>
      </c>
      <c r="Z1936" s="94">
        <v>0.0</v>
      </c>
      <c r="AA1936" s="94">
        <v>0.0</v>
      </c>
      <c r="AB1936" s="94">
        <v>0.0</v>
      </c>
      <c r="AC1936" s="94">
        <v>0.0</v>
      </c>
      <c r="AD1936" s="94">
        <v>0.0</v>
      </c>
      <c r="AE1936" s="94">
        <v>0.0</v>
      </c>
      <c r="AF1936" s="94">
        <v>0.0</v>
      </c>
      <c r="AG1936" s="94">
        <v>0.0</v>
      </c>
      <c r="AH1936" s="94">
        <v>0.0</v>
      </c>
    </row>
    <row r="1937" hidden="1">
      <c r="A1937" s="89"/>
      <c r="B1937" s="111"/>
      <c r="C1937" s="111">
        <f t="shared" ref="C1937:D1937" si="1462">SUM(C1931:C1936)/4</f>
        <v>0</v>
      </c>
      <c r="D1937" s="111">
        <f t="shared" si="1462"/>
        <v>0</v>
      </c>
      <c r="E1937" s="91">
        <f t="shared" ref="E1937:G1937" si="1463">SUM(E1931:E1936)</f>
        <v>0</v>
      </c>
      <c r="F1937" s="111">
        <f t="shared" si="1463"/>
        <v>0</v>
      </c>
      <c r="G1937" s="111">
        <f t="shared" si="1463"/>
        <v>0</v>
      </c>
      <c r="H1937" s="111"/>
      <c r="I1937" s="111">
        <f>SUM(I1931:I1936)</f>
        <v>0</v>
      </c>
      <c r="J1937" s="111">
        <f t="shared" si="1459"/>
        <v>0</v>
      </c>
      <c r="K1937" s="92" t="str">
        <f t="shared" si="1460"/>
        <v>#DIV/0!</v>
      </c>
      <c r="L1937" s="111">
        <f t="shared" ref="L1937:M1937" si="1464">SUM(L1931:L1936)</f>
        <v>0</v>
      </c>
      <c r="M1937" s="111">
        <f t="shared" si="1464"/>
        <v>0</v>
      </c>
      <c r="N1937" s="111"/>
      <c r="O1937" s="112"/>
      <c r="P1937" s="111">
        <f t="shared" ref="P1937:AH1937" si="1465">SUM(P1931:P1936)</f>
        <v>0</v>
      </c>
      <c r="Q1937" s="111">
        <f t="shared" si="1465"/>
        <v>0</v>
      </c>
      <c r="R1937" s="111">
        <f t="shared" si="1465"/>
        <v>0</v>
      </c>
      <c r="S1937" s="111">
        <f t="shared" si="1465"/>
        <v>0</v>
      </c>
      <c r="T1937" s="111">
        <f t="shared" si="1465"/>
        <v>0</v>
      </c>
      <c r="U1937" s="111">
        <f t="shared" si="1465"/>
        <v>0</v>
      </c>
      <c r="V1937" s="111">
        <f t="shared" si="1465"/>
        <v>0</v>
      </c>
      <c r="W1937" s="111">
        <f t="shared" si="1465"/>
        <v>0</v>
      </c>
      <c r="X1937" s="111">
        <f t="shared" si="1465"/>
        <v>0</v>
      </c>
      <c r="Y1937" s="111">
        <f t="shared" si="1465"/>
        <v>0</v>
      </c>
      <c r="Z1937" s="111">
        <f t="shared" si="1465"/>
        <v>0</v>
      </c>
      <c r="AA1937" s="111">
        <f t="shared" si="1465"/>
        <v>0</v>
      </c>
      <c r="AB1937" s="111">
        <f t="shared" si="1465"/>
        <v>0</v>
      </c>
      <c r="AC1937" s="111">
        <f t="shared" si="1465"/>
        <v>0</v>
      </c>
      <c r="AD1937" s="111">
        <f t="shared" si="1465"/>
        <v>0</v>
      </c>
      <c r="AE1937" s="111">
        <f t="shared" si="1465"/>
        <v>0</v>
      </c>
      <c r="AF1937" s="111">
        <f t="shared" si="1465"/>
        <v>0</v>
      </c>
      <c r="AG1937" s="111">
        <f t="shared" si="1465"/>
        <v>0</v>
      </c>
      <c r="AH1937" s="111">
        <f t="shared" si="1465"/>
        <v>0</v>
      </c>
    </row>
    <row r="1938" hidden="1">
      <c r="A1938" s="109"/>
      <c r="B1938" s="93"/>
      <c r="C1938" s="94">
        <v>0.0</v>
      </c>
      <c r="D1938" s="94">
        <v>0.0</v>
      </c>
      <c r="E1938" s="96">
        <f t="shared" ref="E1938:E1943" si="1466">SUM(L1938*I1938)/60</f>
        <v>0</v>
      </c>
      <c r="F1938" s="94">
        <v>0.0</v>
      </c>
      <c r="G1938" s="94">
        <v>0.0</v>
      </c>
      <c r="H1938" s="94">
        <v>0.0</v>
      </c>
      <c r="I1938" s="94">
        <v>0.0</v>
      </c>
      <c r="J1938" s="95">
        <f t="shared" si="1459"/>
        <v>0</v>
      </c>
      <c r="K1938" s="87" t="str">
        <f t="shared" si="1460"/>
        <v>#DIV/0!</v>
      </c>
      <c r="L1938" s="94">
        <v>0.0</v>
      </c>
      <c r="M1938" s="94">
        <v>0.0</v>
      </c>
      <c r="N1938" s="94" t="s">
        <v>255</v>
      </c>
      <c r="O1938" s="110" t="str">
        <f t="shared" ref="O1938:O1943" si="1467">(E1938*N1938)</f>
        <v>#VALUE!</v>
      </c>
      <c r="P1938" s="94">
        <v>0.0</v>
      </c>
      <c r="Q1938" s="94">
        <v>0.0</v>
      </c>
      <c r="R1938" s="94">
        <v>0.0</v>
      </c>
      <c r="S1938" s="94">
        <v>0.0</v>
      </c>
      <c r="T1938" s="94">
        <v>0.0</v>
      </c>
      <c r="U1938" s="94">
        <v>0.0</v>
      </c>
      <c r="V1938" s="94">
        <v>0.0</v>
      </c>
      <c r="W1938" s="94">
        <v>0.0</v>
      </c>
      <c r="X1938" s="94">
        <v>0.0</v>
      </c>
      <c r="Y1938" s="94">
        <v>0.0</v>
      </c>
      <c r="Z1938" s="94">
        <v>0.0</v>
      </c>
      <c r="AA1938" s="94">
        <v>0.0</v>
      </c>
      <c r="AB1938" s="94">
        <v>0.0</v>
      </c>
      <c r="AC1938" s="94">
        <v>0.0</v>
      </c>
      <c r="AD1938" s="94">
        <v>0.0</v>
      </c>
      <c r="AE1938" s="94">
        <v>0.0</v>
      </c>
      <c r="AF1938" s="94">
        <v>0.0</v>
      </c>
      <c r="AG1938" s="94">
        <v>0.0</v>
      </c>
      <c r="AH1938" s="94">
        <v>0.0</v>
      </c>
    </row>
    <row r="1939" hidden="1">
      <c r="A1939" s="109"/>
      <c r="B1939" s="93"/>
      <c r="C1939" s="94">
        <v>0.0</v>
      </c>
      <c r="D1939" s="94">
        <v>0.0</v>
      </c>
      <c r="E1939" s="96">
        <f t="shared" si="1466"/>
        <v>0</v>
      </c>
      <c r="F1939" s="94">
        <v>0.0</v>
      </c>
      <c r="G1939" s="94">
        <v>0.0</v>
      </c>
      <c r="H1939" s="94">
        <v>0.0</v>
      </c>
      <c r="I1939" s="94">
        <v>0.0</v>
      </c>
      <c r="J1939" s="95">
        <f t="shared" si="1459"/>
        <v>0</v>
      </c>
      <c r="K1939" s="87" t="str">
        <f t="shared" si="1460"/>
        <v>#DIV/0!</v>
      </c>
      <c r="L1939" s="94">
        <v>0.0</v>
      </c>
      <c r="M1939" s="94">
        <v>0.0</v>
      </c>
      <c r="N1939" s="94" t="s">
        <v>255</v>
      </c>
      <c r="O1939" s="110" t="str">
        <f t="shared" si="1467"/>
        <v>#VALUE!</v>
      </c>
      <c r="P1939" s="94">
        <v>0.0</v>
      </c>
      <c r="Q1939" s="94">
        <v>0.0</v>
      </c>
      <c r="R1939" s="94">
        <v>0.0</v>
      </c>
      <c r="S1939" s="94">
        <v>0.0</v>
      </c>
      <c r="T1939" s="94">
        <v>0.0</v>
      </c>
      <c r="U1939" s="94">
        <v>0.0</v>
      </c>
      <c r="V1939" s="94">
        <v>0.0</v>
      </c>
      <c r="W1939" s="94">
        <v>0.0</v>
      </c>
      <c r="X1939" s="94">
        <v>0.0</v>
      </c>
      <c r="Y1939" s="94">
        <v>0.0</v>
      </c>
      <c r="Z1939" s="94">
        <v>0.0</v>
      </c>
      <c r="AA1939" s="94">
        <v>0.0</v>
      </c>
      <c r="AB1939" s="94">
        <v>0.0</v>
      </c>
      <c r="AC1939" s="94">
        <v>0.0</v>
      </c>
      <c r="AD1939" s="94">
        <v>0.0</v>
      </c>
      <c r="AE1939" s="94">
        <v>0.0</v>
      </c>
      <c r="AF1939" s="94">
        <v>0.0</v>
      </c>
      <c r="AG1939" s="94">
        <v>0.0</v>
      </c>
      <c r="AH1939" s="94">
        <v>0.0</v>
      </c>
    </row>
    <row r="1940" hidden="1">
      <c r="A1940" s="109"/>
      <c r="B1940" s="93"/>
      <c r="C1940" s="94">
        <v>0.0</v>
      </c>
      <c r="D1940" s="94">
        <v>0.0</v>
      </c>
      <c r="E1940" s="96">
        <f t="shared" si="1466"/>
        <v>0</v>
      </c>
      <c r="F1940" s="94">
        <v>0.0</v>
      </c>
      <c r="G1940" s="94">
        <v>0.0</v>
      </c>
      <c r="H1940" s="94">
        <v>0.0</v>
      </c>
      <c r="I1940" s="94">
        <v>0.0</v>
      </c>
      <c r="J1940" s="95">
        <f t="shared" si="1459"/>
        <v>0</v>
      </c>
      <c r="K1940" s="87" t="str">
        <f t="shared" si="1460"/>
        <v>#DIV/0!</v>
      </c>
      <c r="L1940" s="94">
        <v>0.0</v>
      </c>
      <c r="M1940" s="94">
        <v>0.0</v>
      </c>
      <c r="N1940" s="94" t="s">
        <v>255</v>
      </c>
      <c r="O1940" s="110" t="str">
        <f t="shared" si="1467"/>
        <v>#VALUE!</v>
      </c>
      <c r="P1940" s="94">
        <v>0.0</v>
      </c>
      <c r="Q1940" s="94">
        <v>0.0</v>
      </c>
      <c r="R1940" s="94">
        <v>0.0</v>
      </c>
      <c r="S1940" s="94">
        <v>0.0</v>
      </c>
      <c r="T1940" s="94">
        <v>0.0</v>
      </c>
      <c r="U1940" s="94">
        <v>0.0</v>
      </c>
      <c r="V1940" s="94">
        <v>0.0</v>
      </c>
      <c r="W1940" s="94">
        <v>0.0</v>
      </c>
      <c r="X1940" s="94">
        <v>0.0</v>
      </c>
      <c r="Y1940" s="94">
        <v>0.0</v>
      </c>
      <c r="Z1940" s="94">
        <v>0.0</v>
      </c>
      <c r="AA1940" s="94">
        <v>0.0</v>
      </c>
      <c r="AB1940" s="94">
        <v>0.0</v>
      </c>
      <c r="AC1940" s="94">
        <v>0.0</v>
      </c>
      <c r="AD1940" s="94">
        <v>0.0</v>
      </c>
      <c r="AE1940" s="94">
        <v>0.0</v>
      </c>
      <c r="AF1940" s="94">
        <v>0.0</v>
      </c>
      <c r="AG1940" s="94">
        <v>0.0</v>
      </c>
      <c r="AH1940" s="94">
        <v>0.0</v>
      </c>
    </row>
    <row r="1941" hidden="1">
      <c r="A1941" s="109"/>
      <c r="B1941" s="93"/>
      <c r="C1941" s="94">
        <v>0.0</v>
      </c>
      <c r="D1941" s="94">
        <v>0.0</v>
      </c>
      <c r="E1941" s="96">
        <f t="shared" si="1466"/>
        <v>0</v>
      </c>
      <c r="F1941" s="94">
        <v>0.0</v>
      </c>
      <c r="G1941" s="94">
        <v>0.0</v>
      </c>
      <c r="H1941" s="94">
        <v>0.0</v>
      </c>
      <c r="I1941" s="94">
        <v>0.0</v>
      </c>
      <c r="J1941" s="95">
        <f t="shared" si="1459"/>
        <v>0</v>
      </c>
      <c r="K1941" s="87" t="str">
        <f t="shared" si="1460"/>
        <v>#DIV/0!</v>
      </c>
      <c r="L1941" s="94">
        <v>0.0</v>
      </c>
      <c r="M1941" s="94">
        <v>0.0</v>
      </c>
      <c r="N1941" s="94" t="s">
        <v>255</v>
      </c>
      <c r="O1941" s="110" t="str">
        <f t="shared" si="1467"/>
        <v>#VALUE!</v>
      </c>
      <c r="P1941" s="94">
        <v>0.0</v>
      </c>
      <c r="Q1941" s="94">
        <v>0.0</v>
      </c>
      <c r="R1941" s="94">
        <v>0.0</v>
      </c>
      <c r="S1941" s="94">
        <v>0.0</v>
      </c>
      <c r="T1941" s="94">
        <v>0.0</v>
      </c>
      <c r="U1941" s="94">
        <v>0.0</v>
      </c>
      <c r="V1941" s="94">
        <v>0.0</v>
      </c>
      <c r="W1941" s="94">
        <v>0.0</v>
      </c>
      <c r="X1941" s="94">
        <v>0.0</v>
      </c>
      <c r="Y1941" s="94">
        <v>0.0</v>
      </c>
      <c r="Z1941" s="94">
        <v>0.0</v>
      </c>
      <c r="AA1941" s="94">
        <v>0.0</v>
      </c>
      <c r="AB1941" s="94">
        <v>0.0</v>
      </c>
      <c r="AC1941" s="94">
        <v>0.0</v>
      </c>
      <c r="AD1941" s="94">
        <v>0.0</v>
      </c>
      <c r="AE1941" s="94">
        <v>0.0</v>
      </c>
      <c r="AF1941" s="94">
        <v>0.0</v>
      </c>
      <c r="AG1941" s="94">
        <v>0.0</v>
      </c>
      <c r="AH1941" s="94">
        <v>0.0</v>
      </c>
    </row>
    <row r="1942" hidden="1">
      <c r="A1942" s="109"/>
      <c r="B1942" s="93"/>
      <c r="C1942" s="94">
        <v>0.0</v>
      </c>
      <c r="D1942" s="94">
        <v>0.0</v>
      </c>
      <c r="E1942" s="96">
        <f t="shared" si="1466"/>
        <v>0</v>
      </c>
      <c r="F1942" s="94">
        <v>0.0</v>
      </c>
      <c r="G1942" s="94">
        <v>0.0</v>
      </c>
      <c r="H1942" s="94">
        <v>0.0</v>
      </c>
      <c r="I1942" s="94">
        <v>0.0</v>
      </c>
      <c r="J1942" s="95">
        <f t="shared" si="1459"/>
        <v>0</v>
      </c>
      <c r="K1942" s="87" t="str">
        <f t="shared" si="1460"/>
        <v>#DIV/0!</v>
      </c>
      <c r="L1942" s="94">
        <v>0.0</v>
      </c>
      <c r="M1942" s="94">
        <v>0.0</v>
      </c>
      <c r="N1942" s="94" t="s">
        <v>255</v>
      </c>
      <c r="O1942" s="110" t="str">
        <f t="shared" si="1467"/>
        <v>#VALUE!</v>
      </c>
      <c r="P1942" s="94">
        <v>0.0</v>
      </c>
      <c r="Q1942" s="94">
        <v>0.0</v>
      </c>
      <c r="R1942" s="94">
        <v>0.0</v>
      </c>
      <c r="S1942" s="94">
        <v>0.0</v>
      </c>
      <c r="T1942" s="94">
        <v>0.0</v>
      </c>
      <c r="U1942" s="94">
        <v>0.0</v>
      </c>
      <c r="V1942" s="94">
        <v>0.0</v>
      </c>
      <c r="W1942" s="94">
        <v>0.0</v>
      </c>
      <c r="X1942" s="94">
        <v>0.0</v>
      </c>
      <c r="Y1942" s="94">
        <v>0.0</v>
      </c>
      <c r="Z1942" s="94">
        <v>0.0</v>
      </c>
      <c r="AA1942" s="94">
        <v>0.0</v>
      </c>
      <c r="AB1942" s="94">
        <v>0.0</v>
      </c>
      <c r="AC1942" s="94">
        <v>0.0</v>
      </c>
      <c r="AD1942" s="94">
        <v>0.0</v>
      </c>
      <c r="AE1942" s="94">
        <v>0.0</v>
      </c>
      <c r="AF1942" s="94">
        <v>0.0</v>
      </c>
      <c r="AG1942" s="94">
        <v>0.0</v>
      </c>
      <c r="AH1942" s="94">
        <v>0.0</v>
      </c>
    </row>
    <row r="1943" hidden="1">
      <c r="A1943" s="109"/>
      <c r="B1943" s="93"/>
      <c r="C1943" s="94">
        <v>0.0</v>
      </c>
      <c r="D1943" s="94">
        <v>0.0</v>
      </c>
      <c r="E1943" s="96">
        <f t="shared" si="1466"/>
        <v>0</v>
      </c>
      <c r="F1943" s="94">
        <v>0.0</v>
      </c>
      <c r="G1943" s="94">
        <v>0.0</v>
      </c>
      <c r="H1943" s="94">
        <v>0.0</v>
      </c>
      <c r="I1943" s="94">
        <v>0.0</v>
      </c>
      <c r="J1943" s="95">
        <f t="shared" si="1459"/>
        <v>0</v>
      </c>
      <c r="K1943" s="87" t="str">
        <f t="shared" si="1460"/>
        <v>#DIV/0!</v>
      </c>
      <c r="L1943" s="94">
        <v>0.0</v>
      </c>
      <c r="M1943" s="94">
        <v>0.0</v>
      </c>
      <c r="N1943" s="94" t="s">
        <v>255</v>
      </c>
      <c r="O1943" s="110" t="str">
        <f t="shared" si="1467"/>
        <v>#VALUE!</v>
      </c>
      <c r="P1943" s="94">
        <v>0.0</v>
      </c>
      <c r="Q1943" s="94">
        <v>0.0</v>
      </c>
      <c r="R1943" s="94">
        <v>0.0</v>
      </c>
      <c r="S1943" s="94">
        <v>0.0</v>
      </c>
      <c r="T1943" s="94">
        <v>0.0</v>
      </c>
      <c r="U1943" s="94">
        <v>0.0</v>
      </c>
      <c r="V1943" s="94">
        <v>0.0</v>
      </c>
      <c r="W1943" s="94">
        <v>0.0</v>
      </c>
      <c r="X1943" s="94">
        <v>0.0</v>
      </c>
      <c r="Y1943" s="94">
        <v>0.0</v>
      </c>
      <c r="Z1943" s="94">
        <v>0.0</v>
      </c>
      <c r="AA1943" s="94">
        <v>0.0</v>
      </c>
      <c r="AB1943" s="94">
        <v>0.0</v>
      </c>
      <c r="AC1943" s="94">
        <v>0.0</v>
      </c>
      <c r="AD1943" s="94">
        <v>0.0</v>
      </c>
      <c r="AE1943" s="94">
        <v>0.0</v>
      </c>
      <c r="AF1943" s="94">
        <v>0.0</v>
      </c>
      <c r="AG1943" s="94">
        <v>0.0</v>
      </c>
      <c r="AH1943" s="94">
        <v>0.0</v>
      </c>
    </row>
    <row r="1944" hidden="1">
      <c r="A1944" s="89" t="s">
        <v>185</v>
      </c>
      <c r="B1944" s="111"/>
      <c r="C1944" s="111">
        <f>SUM(C1938:C1943)</f>
        <v>0</v>
      </c>
      <c r="D1944" s="111">
        <f t="shared" ref="D1944:E1944" si="1468">SUM(D1938:D1943)/4</f>
        <v>0</v>
      </c>
      <c r="E1944" s="91">
        <f t="shared" si="1468"/>
        <v>0</v>
      </c>
      <c r="F1944" s="111">
        <f t="shared" ref="F1944:G1944" si="1469">SUM(F1938:F1943)</f>
        <v>0</v>
      </c>
      <c r="G1944" s="111">
        <f t="shared" si="1469"/>
        <v>0</v>
      </c>
      <c r="H1944" s="111"/>
      <c r="I1944" s="111">
        <f>SUM(I1938:I1943)</f>
        <v>0</v>
      </c>
      <c r="J1944" s="111">
        <f t="shared" si="1459"/>
        <v>0</v>
      </c>
      <c r="K1944" s="92" t="str">
        <f t="shared" si="1460"/>
        <v>#DIV/0!</v>
      </c>
      <c r="L1944" s="111">
        <f t="shared" ref="L1944:M1944" si="1470">SUM(L1938:L1943)</f>
        <v>0</v>
      </c>
      <c r="M1944" s="111">
        <f t="shared" si="1470"/>
        <v>0</v>
      </c>
      <c r="N1944" s="111"/>
      <c r="O1944" s="112"/>
      <c r="P1944" s="111">
        <f t="shared" ref="P1944:AH1944" si="1471">SUM(P1938:P1943)</f>
        <v>0</v>
      </c>
      <c r="Q1944" s="111">
        <f t="shared" si="1471"/>
        <v>0</v>
      </c>
      <c r="R1944" s="111">
        <f t="shared" si="1471"/>
        <v>0</v>
      </c>
      <c r="S1944" s="111">
        <f t="shared" si="1471"/>
        <v>0</v>
      </c>
      <c r="T1944" s="111">
        <f t="shared" si="1471"/>
        <v>0</v>
      </c>
      <c r="U1944" s="111">
        <f t="shared" si="1471"/>
        <v>0</v>
      </c>
      <c r="V1944" s="111">
        <f t="shared" si="1471"/>
        <v>0</v>
      </c>
      <c r="W1944" s="111">
        <f t="shared" si="1471"/>
        <v>0</v>
      </c>
      <c r="X1944" s="111">
        <f t="shared" si="1471"/>
        <v>0</v>
      </c>
      <c r="Y1944" s="111">
        <f t="shared" si="1471"/>
        <v>0</v>
      </c>
      <c r="Z1944" s="111">
        <f t="shared" si="1471"/>
        <v>0</v>
      </c>
      <c r="AA1944" s="111">
        <f t="shared" si="1471"/>
        <v>0</v>
      </c>
      <c r="AB1944" s="111">
        <f t="shared" si="1471"/>
        <v>0</v>
      </c>
      <c r="AC1944" s="111">
        <f t="shared" si="1471"/>
        <v>0</v>
      </c>
      <c r="AD1944" s="111">
        <f t="shared" si="1471"/>
        <v>0</v>
      </c>
      <c r="AE1944" s="111">
        <f t="shared" si="1471"/>
        <v>0</v>
      </c>
      <c r="AF1944" s="111">
        <f t="shared" si="1471"/>
        <v>0</v>
      </c>
      <c r="AG1944" s="111">
        <f t="shared" si="1471"/>
        <v>0</v>
      </c>
      <c r="AH1944" s="111">
        <f t="shared" si="1471"/>
        <v>0</v>
      </c>
    </row>
    <row r="1945">
      <c r="A1945" s="104" t="s">
        <v>361</v>
      </c>
    </row>
    <row r="1947" hidden="1">
      <c r="A1947" s="105"/>
      <c r="F1947" s="106" t="s">
        <v>251</v>
      </c>
      <c r="L1947" s="107" t="s">
        <v>252</v>
      </c>
      <c r="N1947" s="108" t="s">
        <v>253</v>
      </c>
    </row>
    <row r="1948" hidden="1">
      <c r="A1948" s="76" t="s">
        <v>148</v>
      </c>
      <c r="B1948" s="76" t="s">
        <v>149</v>
      </c>
      <c r="C1948" s="76" t="s">
        <v>150</v>
      </c>
      <c r="D1948" s="76" t="s">
        <v>13</v>
      </c>
      <c r="E1948" s="77" t="s">
        <v>151</v>
      </c>
      <c r="F1948" s="78" t="s">
        <v>15</v>
      </c>
      <c r="G1948" s="78" t="s">
        <v>152</v>
      </c>
      <c r="H1948" s="78" t="s">
        <v>153</v>
      </c>
      <c r="I1948" s="78" t="s">
        <v>154</v>
      </c>
      <c r="J1948" s="78" t="s">
        <v>155</v>
      </c>
      <c r="K1948" s="79" t="s">
        <v>156</v>
      </c>
      <c r="L1948" s="80" t="s">
        <v>157</v>
      </c>
      <c r="M1948" s="80" t="s">
        <v>158</v>
      </c>
      <c r="N1948" s="81" t="s">
        <v>254</v>
      </c>
      <c r="O1948" s="81" t="s">
        <v>151</v>
      </c>
      <c r="P1948" s="81" t="s">
        <v>160</v>
      </c>
      <c r="Q1948" s="81" t="s">
        <v>161</v>
      </c>
      <c r="R1948" s="81" t="s">
        <v>162</v>
      </c>
      <c r="S1948" s="81" t="s">
        <v>163</v>
      </c>
      <c r="T1948" s="81" t="s">
        <v>164</v>
      </c>
      <c r="U1948" s="81" t="s">
        <v>165</v>
      </c>
      <c r="V1948" s="81" t="s">
        <v>166</v>
      </c>
      <c r="W1948" s="81" t="s">
        <v>167</v>
      </c>
      <c r="X1948" s="81" t="s">
        <v>168</v>
      </c>
      <c r="Y1948" s="81" t="s">
        <v>169</v>
      </c>
      <c r="Z1948" s="81" t="s">
        <v>170</v>
      </c>
      <c r="AA1948" s="81" t="s">
        <v>171</v>
      </c>
      <c r="AB1948" s="81" t="s">
        <v>172</v>
      </c>
      <c r="AC1948" s="81" t="s">
        <v>173</v>
      </c>
      <c r="AD1948" s="81" t="s">
        <v>174</v>
      </c>
      <c r="AE1948" s="81" t="s">
        <v>175</v>
      </c>
      <c r="AF1948" s="81" t="s">
        <v>176</v>
      </c>
      <c r="AG1948" s="81" t="s">
        <v>177</v>
      </c>
      <c r="AH1948" s="81" t="s">
        <v>178</v>
      </c>
    </row>
    <row r="1949" hidden="1">
      <c r="A1949" s="109"/>
      <c r="B1949" s="93"/>
      <c r="C1949" s="94">
        <v>0.0</v>
      </c>
      <c r="D1949" s="94">
        <v>0.0</v>
      </c>
      <c r="E1949" s="96">
        <f t="shared" ref="E1949:E1954" si="1472">SUM(L1949*I1949)/60</f>
        <v>0</v>
      </c>
      <c r="F1949" s="94">
        <v>0.0</v>
      </c>
      <c r="G1949" s="94">
        <v>0.0</v>
      </c>
      <c r="H1949" s="94">
        <v>0.0</v>
      </c>
      <c r="I1949" s="94">
        <v>0.0</v>
      </c>
      <c r="J1949" s="95">
        <f t="shared" ref="J1949:J1962" si="1473">SUM(G1949-I1949)</f>
        <v>0</v>
      </c>
      <c r="K1949" s="87" t="str">
        <f t="shared" ref="K1949:K1962" si="1474">SUM(G1949/I1949)</f>
        <v>#DIV/0!</v>
      </c>
      <c r="L1949" s="94">
        <v>0.0</v>
      </c>
      <c r="M1949" s="94">
        <v>0.0</v>
      </c>
      <c r="N1949" s="94" t="s">
        <v>255</v>
      </c>
      <c r="O1949" s="110" t="str">
        <f t="shared" ref="O1949:O1954" si="1475">(E1949*N1949)</f>
        <v>#VALUE!</v>
      </c>
      <c r="P1949" s="94">
        <v>0.0</v>
      </c>
      <c r="Q1949" s="94">
        <v>0.0</v>
      </c>
      <c r="R1949" s="94">
        <v>0.0</v>
      </c>
      <c r="S1949" s="94">
        <v>0.0</v>
      </c>
      <c r="T1949" s="94">
        <v>0.0</v>
      </c>
      <c r="U1949" s="94">
        <v>0.0</v>
      </c>
      <c r="V1949" s="94">
        <v>0.0</v>
      </c>
      <c r="W1949" s="94">
        <v>0.0</v>
      </c>
      <c r="X1949" s="94">
        <v>0.0</v>
      </c>
      <c r="Y1949" s="94">
        <v>0.0</v>
      </c>
      <c r="Z1949" s="94">
        <v>0.0</v>
      </c>
      <c r="AA1949" s="94">
        <v>0.0</v>
      </c>
      <c r="AB1949" s="94">
        <v>0.0</v>
      </c>
      <c r="AC1949" s="94">
        <v>0.0</v>
      </c>
      <c r="AD1949" s="94">
        <v>0.0</v>
      </c>
      <c r="AE1949" s="94">
        <v>0.0</v>
      </c>
      <c r="AF1949" s="94">
        <v>0.0</v>
      </c>
      <c r="AG1949" s="94">
        <v>0.0</v>
      </c>
      <c r="AH1949" s="94">
        <v>0.0</v>
      </c>
    </row>
    <row r="1950" hidden="1">
      <c r="A1950" s="109"/>
      <c r="B1950" s="93"/>
      <c r="C1950" s="94">
        <v>0.0</v>
      </c>
      <c r="D1950" s="94">
        <v>0.0</v>
      </c>
      <c r="E1950" s="96">
        <f t="shared" si="1472"/>
        <v>0</v>
      </c>
      <c r="F1950" s="94">
        <v>0.0</v>
      </c>
      <c r="G1950" s="94">
        <v>0.0</v>
      </c>
      <c r="H1950" s="94">
        <v>0.0</v>
      </c>
      <c r="I1950" s="94">
        <v>0.0</v>
      </c>
      <c r="J1950" s="95">
        <f t="shared" si="1473"/>
        <v>0</v>
      </c>
      <c r="K1950" s="87" t="str">
        <f t="shared" si="1474"/>
        <v>#DIV/0!</v>
      </c>
      <c r="L1950" s="94">
        <v>0.0</v>
      </c>
      <c r="M1950" s="94">
        <v>0.0</v>
      </c>
      <c r="N1950" s="94" t="s">
        <v>255</v>
      </c>
      <c r="O1950" s="110" t="str">
        <f t="shared" si="1475"/>
        <v>#VALUE!</v>
      </c>
      <c r="P1950" s="94">
        <v>0.0</v>
      </c>
      <c r="Q1950" s="94">
        <v>0.0</v>
      </c>
      <c r="R1950" s="94">
        <v>0.0</v>
      </c>
      <c r="S1950" s="94">
        <v>0.0</v>
      </c>
      <c r="T1950" s="94">
        <v>0.0</v>
      </c>
      <c r="U1950" s="94">
        <v>0.0</v>
      </c>
      <c r="V1950" s="94">
        <v>0.0</v>
      </c>
      <c r="W1950" s="94">
        <v>0.0</v>
      </c>
      <c r="X1950" s="94">
        <v>0.0</v>
      </c>
      <c r="Y1950" s="94">
        <v>0.0</v>
      </c>
      <c r="Z1950" s="94">
        <v>0.0</v>
      </c>
      <c r="AA1950" s="94">
        <v>0.0</v>
      </c>
      <c r="AB1950" s="94">
        <v>0.0</v>
      </c>
      <c r="AC1950" s="94">
        <v>0.0</v>
      </c>
      <c r="AD1950" s="94">
        <v>0.0</v>
      </c>
      <c r="AE1950" s="94">
        <v>0.0</v>
      </c>
      <c r="AF1950" s="94">
        <v>0.0</v>
      </c>
      <c r="AG1950" s="94">
        <v>0.0</v>
      </c>
      <c r="AH1950" s="94">
        <v>0.0</v>
      </c>
    </row>
    <row r="1951" hidden="1">
      <c r="A1951" s="109"/>
      <c r="B1951" s="93"/>
      <c r="C1951" s="94">
        <v>0.0</v>
      </c>
      <c r="D1951" s="94">
        <v>0.0</v>
      </c>
      <c r="E1951" s="96">
        <f t="shared" si="1472"/>
        <v>0</v>
      </c>
      <c r="F1951" s="94">
        <v>0.0</v>
      </c>
      <c r="G1951" s="94">
        <v>0.0</v>
      </c>
      <c r="H1951" s="94">
        <v>0.0</v>
      </c>
      <c r="I1951" s="94">
        <v>0.0</v>
      </c>
      <c r="J1951" s="95">
        <f t="shared" si="1473"/>
        <v>0</v>
      </c>
      <c r="K1951" s="87" t="str">
        <f t="shared" si="1474"/>
        <v>#DIV/0!</v>
      </c>
      <c r="L1951" s="94">
        <v>0.0</v>
      </c>
      <c r="M1951" s="94">
        <v>0.0</v>
      </c>
      <c r="N1951" s="94" t="s">
        <v>255</v>
      </c>
      <c r="O1951" s="110" t="str">
        <f t="shared" si="1475"/>
        <v>#VALUE!</v>
      </c>
      <c r="P1951" s="94">
        <v>0.0</v>
      </c>
      <c r="Q1951" s="94">
        <v>0.0</v>
      </c>
      <c r="R1951" s="94">
        <v>0.0</v>
      </c>
      <c r="S1951" s="94">
        <v>0.0</v>
      </c>
      <c r="T1951" s="94">
        <v>0.0</v>
      </c>
      <c r="U1951" s="94">
        <v>0.0</v>
      </c>
      <c r="V1951" s="94">
        <v>0.0</v>
      </c>
      <c r="W1951" s="94">
        <v>0.0</v>
      </c>
      <c r="X1951" s="94">
        <v>0.0</v>
      </c>
      <c r="Y1951" s="94">
        <v>0.0</v>
      </c>
      <c r="Z1951" s="94">
        <v>0.0</v>
      </c>
      <c r="AA1951" s="94">
        <v>0.0</v>
      </c>
      <c r="AB1951" s="94">
        <v>0.0</v>
      </c>
      <c r="AC1951" s="94">
        <v>0.0</v>
      </c>
      <c r="AD1951" s="94">
        <v>0.0</v>
      </c>
      <c r="AE1951" s="94">
        <v>0.0</v>
      </c>
      <c r="AF1951" s="94">
        <v>0.0</v>
      </c>
      <c r="AG1951" s="94">
        <v>0.0</v>
      </c>
      <c r="AH1951" s="94">
        <v>0.0</v>
      </c>
    </row>
    <row r="1952" hidden="1">
      <c r="A1952" s="109"/>
      <c r="B1952" s="93"/>
      <c r="C1952" s="94">
        <v>0.0</v>
      </c>
      <c r="D1952" s="94">
        <v>0.0</v>
      </c>
      <c r="E1952" s="96">
        <f t="shared" si="1472"/>
        <v>0</v>
      </c>
      <c r="F1952" s="94">
        <v>0.0</v>
      </c>
      <c r="G1952" s="94">
        <v>0.0</v>
      </c>
      <c r="H1952" s="94">
        <v>0.0</v>
      </c>
      <c r="I1952" s="94">
        <v>0.0</v>
      </c>
      <c r="J1952" s="95">
        <f t="shared" si="1473"/>
        <v>0</v>
      </c>
      <c r="K1952" s="87" t="str">
        <f t="shared" si="1474"/>
        <v>#DIV/0!</v>
      </c>
      <c r="L1952" s="94">
        <v>0.0</v>
      </c>
      <c r="M1952" s="94">
        <v>0.0</v>
      </c>
      <c r="N1952" s="94" t="s">
        <v>255</v>
      </c>
      <c r="O1952" s="110" t="str">
        <f t="shared" si="1475"/>
        <v>#VALUE!</v>
      </c>
      <c r="P1952" s="94">
        <v>0.0</v>
      </c>
      <c r="Q1952" s="94">
        <v>0.0</v>
      </c>
      <c r="R1952" s="94">
        <v>0.0</v>
      </c>
      <c r="S1952" s="94">
        <v>0.0</v>
      </c>
      <c r="T1952" s="94">
        <v>0.0</v>
      </c>
      <c r="U1952" s="94">
        <v>0.0</v>
      </c>
      <c r="V1952" s="94">
        <v>0.0</v>
      </c>
      <c r="W1952" s="94">
        <v>0.0</v>
      </c>
      <c r="X1952" s="94">
        <v>0.0</v>
      </c>
      <c r="Y1952" s="94">
        <v>0.0</v>
      </c>
      <c r="Z1952" s="94">
        <v>0.0</v>
      </c>
      <c r="AA1952" s="94">
        <v>0.0</v>
      </c>
      <c r="AB1952" s="94">
        <v>0.0</v>
      </c>
      <c r="AC1952" s="94">
        <v>0.0</v>
      </c>
      <c r="AD1952" s="94">
        <v>0.0</v>
      </c>
      <c r="AE1952" s="94">
        <v>0.0</v>
      </c>
      <c r="AF1952" s="94">
        <v>0.0</v>
      </c>
      <c r="AG1952" s="94">
        <v>0.0</v>
      </c>
      <c r="AH1952" s="94">
        <v>0.0</v>
      </c>
    </row>
    <row r="1953" hidden="1">
      <c r="A1953" s="109"/>
      <c r="B1953" s="93"/>
      <c r="C1953" s="94">
        <v>0.0</v>
      </c>
      <c r="D1953" s="94">
        <v>0.0</v>
      </c>
      <c r="E1953" s="96">
        <f t="shared" si="1472"/>
        <v>0</v>
      </c>
      <c r="F1953" s="94">
        <v>0.0</v>
      </c>
      <c r="G1953" s="94">
        <v>0.0</v>
      </c>
      <c r="H1953" s="94">
        <v>0.0</v>
      </c>
      <c r="I1953" s="94">
        <v>0.0</v>
      </c>
      <c r="J1953" s="95">
        <f t="shared" si="1473"/>
        <v>0</v>
      </c>
      <c r="K1953" s="87" t="str">
        <f t="shared" si="1474"/>
        <v>#DIV/0!</v>
      </c>
      <c r="L1953" s="94">
        <v>0.0</v>
      </c>
      <c r="M1953" s="94">
        <v>0.0</v>
      </c>
      <c r="N1953" s="94" t="s">
        <v>255</v>
      </c>
      <c r="O1953" s="110" t="str">
        <f t="shared" si="1475"/>
        <v>#VALUE!</v>
      </c>
      <c r="P1953" s="94">
        <v>0.0</v>
      </c>
      <c r="Q1953" s="94">
        <v>0.0</v>
      </c>
      <c r="R1953" s="94">
        <v>0.0</v>
      </c>
      <c r="S1953" s="94">
        <v>0.0</v>
      </c>
      <c r="T1953" s="94">
        <v>0.0</v>
      </c>
      <c r="U1953" s="94">
        <v>0.0</v>
      </c>
      <c r="V1953" s="94">
        <v>0.0</v>
      </c>
      <c r="W1953" s="94">
        <v>0.0</v>
      </c>
      <c r="X1953" s="94">
        <v>0.0</v>
      </c>
      <c r="Y1953" s="94">
        <v>0.0</v>
      </c>
      <c r="Z1953" s="94">
        <v>0.0</v>
      </c>
      <c r="AA1953" s="94">
        <v>0.0</v>
      </c>
      <c r="AB1953" s="94">
        <v>0.0</v>
      </c>
      <c r="AC1953" s="94">
        <v>0.0</v>
      </c>
      <c r="AD1953" s="94">
        <v>0.0</v>
      </c>
      <c r="AE1953" s="94">
        <v>0.0</v>
      </c>
      <c r="AF1953" s="94">
        <v>0.0</v>
      </c>
      <c r="AG1953" s="94">
        <v>0.0</v>
      </c>
      <c r="AH1953" s="94">
        <v>0.0</v>
      </c>
    </row>
    <row r="1954" hidden="1">
      <c r="A1954" s="109"/>
      <c r="B1954" s="93"/>
      <c r="C1954" s="94">
        <v>0.0</v>
      </c>
      <c r="D1954" s="94">
        <v>0.0</v>
      </c>
      <c r="E1954" s="96">
        <f t="shared" si="1472"/>
        <v>0</v>
      </c>
      <c r="F1954" s="94">
        <v>0.0</v>
      </c>
      <c r="G1954" s="94">
        <v>0.0</v>
      </c>
      <c r="H1954" s="94">
        <v>0.0</v>
      </c>
      <c r="I1954" s="94">
        <v>0.0</v>
      </c>
      <c r="J1954" s="95">
        <f t="shared" si="1473"/>
        <v>0</v>
      </c>
      <c r="K1954" s="87" t="str">
        <f t="shared" si="1474"/>
        <v>#DIV/0!</v>
      </c>
      <c r="L1954" s="94">
        <v>0.0</v>
      </c>
      <c r="M1954" s="94">
        <v>0.0</v>
      </c>
      <c r="N1954" s="94" t="s">
        <v>255</v>
      </c>
      <c r="O1954" s="110" t="str">
        <f t="shared" si="1475"/>
        <v>#VALUE!</v>
      </c>
      <c r="P1954" s="94">
        <v>0.0</v>
      </c>
      <c r="Q1954" s="94">
        <v>0.0</v>
      </c>
      <c r="R1954" s="94">
        <v>0.0</v>
      </c>
      <c r="S1954" s="94">
        <v>0.0</v>
      </c>
      <c r="T1954" s="94">
        <v>0.0</v>
      </c>
      <c r="U1954" s="94">
        <v>0.0</v>
      </c>
      <c r="V1954" s="94">
        <v>0.0</v>
      </c>
      <c r="W1954" s="94">
        <v>0.0</v>
      </c>
      <c r="X1954" s="94">
        <v>0.0</v>
      </c>
      <c r="Y1954" s="94">
        <v>0.0</v>
      </c>
      <c r="Z1954" s="94">
        <v>0.0</v>
      </c>
      <c r="AA1954" s="94">
        <v>0.0</v>
      </c>
      <c r="AB1954" s="94">
        <v>0.0</v>
      </c>
      <c r="AC1954" s="94">
        <v>0.0</v>
      </c>
      <c r="AD1954" s="94">
        <v>0.0</v>
      </c>
      <c r="AE1954" s="94">
        <v>0.0</v>
      </c>
      <c r="AF1954" s="94">
        <v>0.0</v>
      </c>
      <c r="AG1954" s="94">
        <v>0.0</v>
      </c>
      <c r="AH1954" s="94">
        <v>0.0</v>
      </c>
    </row>
    <row r="1955" hidden="1">
      <c r="A1955" s="89"/>
      <c r="B1955" s="111"/>
      <c r="C1955" s="111">
        <f t="shared" ref="C1955:D1955" si="1476">SUM(C1949:C1954)/4</f>
        <v>0</v>
      </c>
      <c r="D1955" s="111">
        <f t="shared" si="1476"/>
        <v>0</v>
      </c>
      <c r="E1955" s="91">
        <f t="shared" ref="E1955:G1955" si="1477">SUM(E1949:E1954)</f>
        <v>0</v>
      </c>
      <c r="F1955" s="111">
        <f t="shared" si="1477"/>
        <v>0</v>
      </c>
      <c r="G1955" s="111">
        <f t="shared" si="1477"/>
        <v>0</v>
      </c>
      <c r="H1955" s="111"/>
      <c r="I1955" s="111">
        <f>SUM(I1949:I1954)</f>
        <v>0</v>
      </c>
      <c r="J1955" s="111">
        <f t="shared" si="1473"/>
        <v>0</v>
      </c>
      <c r="K1955" s="92" t="str">
        <f t="shared" si="1474"/>
        <v>#DIV/0!</v>
      </c>
      <c r="L1955" s="111">
        <f t="shared" ref="L1955:M1955" si="1478">SUM(L1949:L1954)</f>
        <v>0</v>
      </c>
      <c r="M1955" s="111">
        <f t="shared" si="1478"/>
        <v>0</v>
      </c>
      <c r="N1955" s="111"/>
      <c r="O1955" s="112"/>
      <c r="P1955" s="111">
        <f t="shared" ref="P1955:AH1955" si="1479">SUM(P1949:P1954)</f>
        <v>0</v>
      </c>
      <c r="Q1955" s="111">
        <f t="shared" si="1479"/>
        <v>0</v>
      </c>
      <c r="R1955" s="111">
        <f t="shared" si="1479"/>
        <v>0</v>
      </c>
      <c r="S1955" s="111">
        <f t="shared" si="1479"/>
        <v>0</v>
      </c>
      <c r="T1955" s="111">
        <f t="shared" si="1479"/>
        <v>0</v>
      </c>
      <c r="U1955" s="111">
        <f t="shared" si="1479"/>
        <v>0</v>
      </c>
      <c r="V1955" s="111">
        <f t="shared" si="1479"/>
        <v>0</v>
      </c>
      <c r="W1955" s="111">
        <f t="shared" si="1479"/>
        <v>0</v>
      </c>
      <c r="X1955" s="111">
        <f t="shared" si="1479"/>
        <v>0</v>
      </c>
      <c r="Y1955" s="111">
        <f t="shared" si="1479"/>
        <v>0</v>
      </c>
      <c r="Z1955" s="111">
        <f t="shared" si="1479"/>
        <v>0</v>
      </c>
      <c r="AA1955" s="111">
        <f t="shared" si="1479"/>
        <v>0</v>
      </c>
      <c r="AB1955" s="111">
        <f t="shared" si="1479"/>
        <v>0</v>
      </c>
      <c r="AC1955" s="111">
        <f t="shared" si="1479"/>
        <v>0</v>
      </c>
      <c r="AD1955" s="111">
        <f t="shared" si="1479"/>
        <v>0</v>
      </c>
      <c r="AE1955" s="111">
        <f t="shared" si="1479"/>
        <v>0</v>
      </c>
      <c r="AF1955" s="111">
        <f t="shared" si="1479"/>
        <v>0</v>
      </c>
      <c r="AG1955" s="111">
        <f t="shared" si="1479"/>
        <v>0</v>
      </c>
      <c r="AH1955" s="111">
        <f t="shared" si="1479"/>
        <v>0</v>
      </c>
    </row>
    <row r="1956" hidden="1">
      <c r="A1956" s="109"/>
      <c r="B1956" s="93"/>
      <c r="C1956" s="94">
        <v>0.0</v>
      </c>
      <c r="D1956" s="94">
        <v>0.0</v>
      </c>
      <c r="E1956" s="96">
        <f t="shared" ref="E1956:E1961" si="1480">SUM(L1956*I1956)/60</f>
        <v>0</v>
      </c>
      <c r="F1956" s="94">
        <v>0.0</v>
      </c>
      <c r="G1956" s="94">
        <v>0.0</v>
      </c>
      <c r="H1956" s="94">
        <v>0.0</v>
      </c>
      <c r="I1956" s="94">
        <v>0.0</v>
      </c>
      <c r="J1956" s="95">
        <f t="shared" si="1473"/>
        <v>0</v>
      </c>
      <c r="K1956" s="87" t="str">
        <f t="shared" si="1474"/>
        <v>#DIV/0!</v>
      </c>
      <c r="L1956" s="94">
        <v>0.0</v>
      </c>
      <c r="M1956" s="94">
        <v>0.0</v>
      </c>
      <c r="N1956" s="94" t="s">
        <v>255</v>
      </c>
      <c r="O1956" s="110" t="str">
        <f t="shared" ref="O1956:O1961" si="1481">(E1956*N1956)</f>
        <v>#VALUE!</v>
      </c>
      <c r="P1956" s="94">
        <v>0.0</v>
      </c>
      <c r="Q1956" s="94">
        <v>0.0</v>
      </c>
      <c r="R1956" s="94">
        <v>0.0</v>
      </c>
      <c r="S1956" s="94">
        <v>0.0</v>
      </c>
      <c r="T1956" s="94">
        <v>0.0</v>
      </c>
      <c r="U1956" s="94">
        <v>0.0</v>
      </c>
      <c r="V1956" s="94">
        <v>0.0</v>
      </c>
      <c r="W1956" s="94">
        <v>0.0</v>
      </c>
      <c r="X1956" s="94">
        <v>0.0</v>
      </c>
      <c r="Y1956" s="94">
        <v>0.0</v>
      </c>
      <c r="Z1956" s="94">
        <v>0.0</v>
      </c>
      <c r="AA1956" s="94">
        <v>0.0</v>
      </c>
      <c r="AB1956" s="94">
        <v>0.0</v>
      </c>
      <c r="AC1956" s="94">
        <v>0.0</v>
      </c>
      <c r="AD1956" s="94">
        <v>0.0</v>
      </c>
      <c r="AE1956" s="94">
        <v>0.0</v>
      </c>
      <c r="AF1956" s="94">
        <v>0.0</v>
      </c>
      <c r="AG1956" s="94">
        <v>0.0</v>
      </c>
      <c r="AH1956" s="94">
        <v>0.0</v>
      </c>
    </row>
    <row r="1957" hidden="1">
      <c r="A1957" s="109"/>
      <c r="B1957" s="93"/>
      <c r="C1957" s="94">
        <v>0.0</v>
      </c>
      <c r="D1957" s="94">
        <v>0.0</v>
      </c>
      <c r="E1957" s="96">
        <f t="shared" si="1480"/>
        <v>0</v>
      </c>
      <c r="F1957" s="94">
        <v>0.0</v>
      </c>
      <c r="G1957" s="94">
        <v>0.0</v>
      </c>
      <c r="H1957" s="94">
        <v>0.0</v>
      </c>
      <c r="I1957" s="94">
        <v>0.0</v>
      </c>
      <c r="J1957" s="95">
        <f t="shared" si="1473"/>
        <v>0</v>
      </c>
      <c r="K1957" s="87" t="str">
        <f t="shared" si="1474"/>
        <v>#DIV/0!</v>
      </c>
      <c r="L1957" s="94">
        <v>0.0</v>
      </c>
      <c r="M1957" s="94">
        <v>0.0</v>
      </c>
      <c r="N1957" s="94" t="s">
        <v>255</v>
      </c>
      <c r="O1957" s="110" t="str">
        <f t="shared" si="1481"/>
        <v>#VALUE!</v>
      </c>
      <c r="P1957" s="94">
        <v>0.0</v>
      </c>
      <c r="Q1957" s="94">
        <v>0.0</v>
      </c>
      <c r="R1957" s="94">
        <v>0.0</v>
      </c>
      <c r="S1957" s="94">
        <v>0.0</v>
      </c>
      <c r="T1957" s="94">
        <v>0.0</v>
      </c>
      <c r="U1957" s="94">
        <v>0.0</v>
      </c>
      <c r="V1957" s="94">
        <v>0.0</v>
      </c>
      <c r="W1957" s="94">
        <v>0.0</v>
      </c>
      <c r="X1957" s="94">
        <v>0.0</v>
      </c>
      <c r="Y1957" s="94">
        <v>0.0</v>
      </c>
      <c r="Z1957" s="94">
        <v>0.0</v>
      </c>
      <c r="AA1957" s="94">
        <v>0.0</v>
      </c>
      <c r="AB1957" s="94">
        <v>0.0</v>
      </c>
      <c r="AC1957" s="94">
        <v>0.0</v>
      </c>
      <c r="AD1957" s="94">
        <v>0.0</v>
      </c>
      <c r="AE1957" s="94">
        <v>0.0</v>
      </c>
      <c r="AF1957" s="94">
        <v>0.0</v>
      </c>
      <c r="AG1957" s="94">
        <v>0.0</v>
      </c>
      <c r="AH1957" s="94">
        <v>0.0</v>
      </c>
    </row>
    <row r="1958" hidden="1">
      <c r="A1958" s="109"/>
      <c r="B1958" s="93"/>
      <c r="C1958" s="94">
        <v>0.0</v>
      </c>
      <c r="D1958" s="94">
        <v>0.0</v>
      </c>
      <c r="E1958" s="96">
        <f t="shared" si="1480"/>
        <v>0</v>
      </c>
      <c r="F1958" s="94">
        <v>0.0</v>
      </c>
      <c r="G1958" s="94">
        <v>0.0</v>
      </c>
      <c r="H1958" s="94">
        <v>0.0</v>
      </c>
      <c r="I1958" s="94">
        <v>0.0</v>
      </c>
      <c r="J1958" s="95">
        <f t="shared" si="1473"/>
        <v>0</v>
      </c>
      <c r="K1958" s="87" t="str">
        <f t="shared" si="1474"/>
        <v>#DIV/0!</v>
      </c>
      <c r="L1958" s="94">
        <v>0.0</v>
      </c>
      <c r="M1958" s="94">
        <v>0.0</v>
      </c>
      <c r="N1958" s="94" t="s">
        <v>255</v>
      </c>
      <c r="O1958" s="110" t="str">
        <f t="shared" si="1481"/>
        <v>#VALUE!</v>
      </c>
      <c r="P1958" s="94">
        <v>0.0</v>
      </c>
      <c r="Q1958" s="94">
        <v>0.0</v>
      </c>
      <c r="R1958" s="94">
        <v>0.0</v>
      </c>
      <c r="S1958" s="94">
        <v>0.0</v>
      </c>
      <c r="T1958" s="94">
        <v>0.0</v>
      </c>
      <c r="U1958" s="94">
        <v>0.0</v>
      </c>
      <c r="V1958" s="94">
        <v>0.0</v>
      </c>
      <c r="W1958" s="94">
        <v>0.0</v>
      </c>
      <c r="X1958" s="94">
        <v>0.0</v>
      </c>
      <c r="Y1958" s="94">
        <v>0.0</v>
      </c>
      <c r="Z1958" s="94">
        <v>0.0</v>
      </c>
      <c r="AA1958" s="94">
        <v>0.0</v>
      </c>
      <c r="AB1958" s="94">
        <v>0.0</v>
      </c>
      <c r="AC1958" s="94">
        <v>0.0</v>
      </c>
      <c r="AD1958" s="94">
        <v>0.0</v>
      </c>
      <c r="AE1958" s="94">
        <v>0.0</v>
      </c>
      <c r="AF1958" s="94">
        <v>0.0</v>
      </c>
      <c r="AG1958" s="94">
        <v>0.0</v>
      </c>
      <c r="AH1958" s="94">
        <v>0.0</v>
      </c>
    </row>
    <row r="1959" hidden="1">
      <c r="A1959" s="109"/>
      <c r="B1959" s="93"/>
      <c r="C1959" s="94">
        <v>0.0</v>
      </c>
      <c r="D1959" s="94">
        <v>0.0</v>
      </c>
      <c r="E1959" s="96">
        <f t="shared" si="1480"/>
        <v>0</v>
      </c>
      <c r="F1959" s="94">
        <v>0.0</v>
      </c>
      <c r="G1959" s="94">
        <v>0.0</v>
      </c>
      <c r="H1959" s="94">
        <v>0.0</v>
      </c>
      <c r="I1959" s="94">
        <v>0.0</v>
      </c>
      <c r="J1959" s="95">
        <f t="shared" si="1473"/>
        <v>0</v>
      </c>
      <c r="K1959" s="87" t="str">
        <f t="shared" si="1474"/>
        <v>#DIV/0!</v>
      </c>
      <c r="L1959" s="94">
        <v>0.0</v>
      </c>
      <c r="M1959" s="94">
        <v>0.0</v>
      </c>
      <c r="N1959" s="94" t="s">
        <v>255</v>
      </c>
      <c r="O1959" s="110" t="str">
        <f t="shared" si="1481"/>
        <v>#VALUE!</v>
      </c>
      <c r="P1959" s="94">
        <v>0.0</v>
      </c>
      <c r="Q1959" s="94">
        <v>0.0</v>
      </c>
      <c r="R1959" s="94">
        <v>0.0</v>
      </c>
      <c r="S1959" s="94">
        <v>0.0</v>
      </c>
      <c r="T1959" s="94">
        <v>0.0</v>
      </c>
      <c r="U1959" s="94">
        <v>0.0</v>
      </c>
      <c r="V1959" s="94">
        <v>0.0</v>
      </c>
      <c r="W1959" s="94">
        <v>0.0</v>
      </c>
      <c r="X1959" s="94">
        <v>0.0</v>
      </c>
      <c r="Y1959" s="94">
        <v>0.0</v>
      </c>
      <c r="Z1959" s="94">
        <v>0.0</v>
      </c>
      <c r="AA1959" s="94">
        <v>0.0</v>
      </c>
      <c r="AB1959" s="94">
        <v>0.0</v>
      </c>
      <c r="AC1959" s="94">
        <v>0.0</v>
      </c>
      <c r="AD1959" s="94">
        <v>0.0</v>
      </c>
      <c r="AE1959" s="94">
        <v>0.0</v>
      </c>
      <c r="AF1959" s="94">
        <v>0.0</v>
      </c>
      <c r="AG1959" s="94">
        <v>0.0</v>
      </c>
      <c r="AH1959" s="94">
        <v>0.0</v>
      </c>
    </row>
    <row r="1960" hidden="1">
      <c r="A1960" s="109"/>
      <c r="B1960" s="93"/>
      <c r="C1960" s="94">
        <v>0.0</v>
      </c>
      <c r="D1960" s="94">
        <v>0.0</v>
      </c>
      <c r="E1960" s="96">
        <f t="shared" si="1480"/>
        <v>0</v>
      </c>
      <c r="F1960" s="94">
        <v>0.0</v>
      </c>
      <c r="G1960" s="94">
        <v>0.0</v>
      </c>
      <c r="H1960" s="94">
        <v>0.0</v>
      </c>
      <c r="I1960" s="94">
        <v>0.0</v>
      </c>
      <c r="J1960" s="95">
        <f t="shared" si="1473"/>
        <v>0</v>
      </c>
      <c r="K1960" s="87" t="str">
        <f t="shared" si="1474"/>
        <v>#DIV/0!</v>
      </c>
      <c r="L1960" s="94">
        <v>0.0</v>
      </c>
      <c r="M1960" s="94">
        <v>0.0</v>
      </c>
      <c r="N1960" s="94" t="s">
        <v>255</v>
      </c>
      <c r="O1960" s="110" t="str">
        <f t="shared" si="1481"/>
        <v>#VALUE!</v>
      </c>
      <c r="P1960" s="94">
        <v>0.0</v>
      </c>
      <c r="Q1960" s="94">
        <v>0.0</v>
      </c>
      <c r="R1960" s="94">
        <v>0.0</v>
      </c>
      <c r="S1960" s="94">
        <v>0.0</v>
      </c>
      <c r="T1960" s="94">
        <v>0.0</v>
      </c>
      <c r="U1960" s="94">
        <v>0.0</v>
      </c>
      <c r="V1960" s="94">
        <v>0.0</v>
      </c>
      <c r="W1960" s="94">
        <v>0.0</v>
      </c>
      <c r="X1960" s="94">
        <v>0.0</v>
      </c>
      <c r="Y1960" s="94">
        <v>0.0</v>
      </c>
      <c r="Z1960" s="94">
        <v>0.0</v>
      </c>
      <c r="AA1960" s="94">
        <v>0.0</v>
      </c>
      <c r="AB1960" s="94">
        <v>0.0</v>
      </c>
      <c r="AC1960" s="94">
        <v>0.0</v>
      </c>
      <c r="AD1960" s="94">
        <v>0.0</v>
      </c>
      <c r="AE1960" s="94">
        <v>0.0</v>
      </c>
      <c r="AF1960" s="94">
        <v>0.0</v>
      </c>
      <c r="AG1960" s="94">
        <v>0.0</v>
      </c>
      <c r="AH1960" s="94">
        <v>0.0</v>
      </c>
    </row>
    <row r="1961" hidden="1">
      <c r="A1961" s="109"/>
      <c r="B1961" s="93"/>
      <c r="C1961" s="94">
        <v>0.0</v>
      </c>
      <c r="D1961" s="94">
        <v>0.0</v>
      </c>
      <c r="E1961" s="96">
        <f t="shared" si="1480"/>
        <v>0</v>
      </c>
      <c r="F1961" s="94">
        <v>0.0</v>
      </c>
      <c r="G1961" s="94">
        <v>0.0</v>
      </c>
      <c r="H1961" s="94">
        <v>0.0</v>
      </c>
      <c r="I1961" s="94">
        <v>0.0</v>
      </c>
      <c r="J1961" s="95">
        <f t="shared" si="1473"/>
        <v>0</v>
      </c>
      <c r="K1961" s="87" t="str">
        <f t="shared" si="1474"/>
        <v>#DIV/0!</v>
      </c>
      <c r="L1961" s="94">
        <v>0.0</v>
      </c>
      <c r="M1961" s="94">
        <v>0.0</v>
      </c>
      <c r="N1961" s="94" t="s">
        <v>255</v>
      </c>
      <c r="O1961" s="110" t="str">
        <f t="shared" si="1481"/>
        <v>#VALUE!</v>
      </c>
      <c r="P1961" s="94">
        <v>0.0</v>
      </c>
      <c r="Q1961" s="94">
        <v>0.0</v>
      </c>
      <c r="R1961" s="94">
        <v>0.0</v>
      </c>
      <c r="S1961" s="94">
        <v>0.0</v>
      </c>
      <c r="T1961" s="94">
        <v>0.0</v>
      </c>
      <c r="U1961" s="94">
        <v>0.0</v>
      </c>
      <c r="V1961" s="94">
        <v>0.0</v>
      </c>
      <c r="W1961" s="94">
        <v>0.0</v>
      </c>
      <c r="X1961" s="94">
        <v>0.0</v>
      </c>
      <c r="Y1961" s="94">
        <v>0.0</v>
      </c>
      <c r="Z1961" s="94">
        <v>0.0</v>
      </c>
      <c r="AA1961" s="94">
        <v>0.0</v>
      </c>
      <c r="AB1961" s="94">
        <v>0.0</v>
      </c>
      <c r="AC1961" s="94">
        <v>0.0</v>
      </c>
      <c r="AD1961" s="94">
        <v>0.0</v>
      </c>
      <c r="AE1961" s="94">
        <v>0.0</v>
      </c>
      <c r="AF1961" s="94">
        <v>0.0</v>
      </c>
      <c r="AG1961" s="94">
        <v>0.0</v>
      </c>
      <c r="AH1961" s="94">
        <v>0.0</v>
      </c>
    </row>
    <row r="1962" hidden="1">
      <c r="A1962" s="89" t="s">
        <v>185</v>
      </c>
      <c r="B1962" s="111"/>
      <c r="C1962" s="111">
        <f>SUM(C1956:C1961)</f>
        <v>0</v>
      </c>
      <c r="D1962" s="111">
        <f t="shared" ref="D1962:E1962" si="1482">SUM(D1956:D1961)/4</f>
        <v>0</v>
      </c>
      <c r="E1962" s="91">
        <f t="shared" si="1482"/>
        <v>0</v>
      </c>
      <c r="F1962" s="111">
        <f t="shared" ref="F1962:G1962" si="1483">SUM(F1956:F1961)</f>
        <v>0</v>
      </c>
      <c r="G1962" s="111">
        <f t="shared" si="1483"/>
        <v>0</v>
      </c>
      <c r="H1962" s="111"/>
      <c r="I1962" s="111">
        <f>SUM(I1956:I1961)</f>
        <v>0</v>
      </c>
      <c r="J1962" s="111">
        <f t="shared" si="1473"/>
        <v>0</v>
      </c>
      <c r="K1962" s="92" t="str">
        <f t="shared" si="1474"/>
        <v>#DIV/0!</v>
      </c>
      <c r="L1962" s="111">
        <f t="shared" ref="L1962:M1962" si="1484">SUM(L1956:L1961)</f>
        <v>0</v>
      </c>
      <c r="M1962" s="111">
        <f t="shared" si="1484"/>
        <v>0</v>
      </c>
      <c r="N1962" s="111"/>
      <c r="O1962" s="112"/>
      <c r="P1962" s="111">
        <f t="shared" ref="P1962:AH1962" si="1485">SUM(P1956:P1961)</f>
        <v>0</v>
      </c>
      <c r="Q1962" s="111">
        <f t="shared" si="1485"/>
        <v>0</v>
      </c>
      <c r="R1962" s="111">
        <f t="shared" si="1485"/>
        <v>0</v>
      </c>
      <c r="S1962" s="111">
        <f t="shared" si="1485"/>
        <v>0</v>
      </c>
      <c r="T1962" s="111">
        <f t="shared" si="1485"/>
        <v>0</v>
      </c>
      <c r="U1962" s="111">
        <f t="shared" si="1485"/>
        <v>0</v>
      </c>
      <c r="V1962" s="111">
        <f t="shared" si="1485"/>
        <v>0</v>
      </c>
      <c r="W1962" s="111">
        <f t="shared" si="1485"/>
        <v>0</v>
      </c>
      <c r="X1962" s="111">
        <f t="shared" si="1485"/>
        <v>0</v>
      </c>
      <c r="Y1962" s="111">
        <f t="shared" si="1485"/>
        <v>0</v>
      </c>
      <c r="Z1962" s="111">
        <f t="shared" si="1485"/>
        <v>0</v>
      </c>
      <c r="AA1962" s="111">
        <f t="shared" si="1485"/>
        <v>0</v>
      </c>
      <c r="AB1962" s="111">
        <f t="shared" si="1485"/>
        <v>0</v>
      </c>
      <c r="AC1962" s="111">
        <f t="shared" si="1485"/>
        <v>0</v>
      </c>
      <c r="AD1962" s="111">
        <f t="shared" si="1485"/>
        <v>0</v>
      </c>
      <c r="AE1962" s="111">
        <f t="shared" si="1485"/>
        <v>0</v>
      </c>
      <c r="AF1962" s="111">
        <f t="shared" si="1485"/>
        <v>0</v>
      </c>
      <c r="AG1962" s="111">
        <f t="shared" si="1485"/>
        <v>0</v>
      </c>
      <c r="AH1962" s="111">
        <f t="shared" si="1485"/>
        <v>0</v>
      </c>
    </row>
    <row r="1963">
      <c r="A1963" s="104" t="s">
        <v>362</v>
      </c>
    </row>
    <row r="1965" hidden="1">
      <c r="A1965" s="105"/>
      <c r="F1965" s="106" t="s">
        <v>251</v>
      </c>
      <c r="L1965" s="107" t="s">
        <v>252</v>
      </c>
      <c r="N1965" s="108" t="s">
        <v>253</v>
      </c>
    </row>
    <row r="1966" hidden="1">
      <c r="A1966" s="76" t="s">
        <v>148</v>
      </c>
      <c r="B1966" s="76" t="s">
        <v>149</v>
      </c>
      <c r="C1966" s="76" t="s">
        <v>150</v>
      </c>
      <c r="D1966" s="76" t="s">
        <v>13</v>
      </c>
      <c r="E1966" s="77" t="s">
        <v>151</v>
      </c>
      <c r="F1966" s="78" t="s">
        <v>15</v>
      </c>
      <c r="G1966" s="78" t="s">
        <v>152</v>
      </c>
      <c r="H1966" s="78" t="s">
        <v>153</v>
      </c>
      <c r="I1966" s="78" t="s">
        <v>154</v>
      </c>
      <c r="J1966" s="78" t="s">
        <v>155</v>
      </c>
      <c r="K1966" s="79" t="s">
        <v>156</v>
      </c>
      <c r="L1966" s="80" t="s">
        <v>157</v>
      </c>
      <c r="M1966" s="80" t="s">
        <v>158</v>
      </c>
      <c r="N1966" s="81" t="s">
        <v>254</v>
      </c>
      <c r="O1966" s="81" t="s">
        <v>151</v>
      </c>
      <c r="P1966" s="81" t="s">
        <v>160</v>
      </c>
      <c r="Q1966" s="81" t="s">
        <v>161</v>
      </c>
      <c r="R1966" s="81" t="s">
        <v>162</v>
      </c>
      <c r="S1966" s="81" t="s">
        <v>163</v>
      </c>
      <c r="T1966" s="81" t="s">
        <v>164</v>
      </c>
      <c r="U1966" s="81" t="s">
        <v>165</v>
      </c>
      <c r="V1966" s="81" t="s">
        <v>166</v>
      </c>
      <c r="W1966" s="81" t="s">
        <v>167</v>
      </c>
      <c r="X1966" s="81" t="s">
        <v>168</v>
      </c>
      <c r="Y1966" s="81" t="s">
        <v>169</v>
      </c>
      <c r="Z1966" s="81" t="s">
        <v>170</v>
      </c>
      <c r="AA1966" s="81" t="s">
        <v>171</v>
      </c>
      <c r="AB1966" s="81" t="s">
        <v>172</v>
      </c>
      <c r="AC1966" s="81" t="s">
        <v>173</v>
      </c>
      <c r="AD1966" s="81" t="s">
        <v>174</v>
      </c>
      <c r="AE1966" s="81" t="s">
        <v>175</v>
      </c>
      <c r="AF1966" s="81" t="s">
        <v>176</v>
      </c>
      <c r="AG1966" s="81" t="s">
        <v>177</v>
      </c>
      <c r="AH1966" s="81" t="s">
        <v>178</v>
      </c>
    </row>
    <row r="1967" hidden="1">
      <c r="A1967" s="109"/>
      <c r="B1967" s="93"/>
      <c r="C1967" s="94">
        <v>0.0</v>
      </c>
      <c r="D1967" s="94">
        <v>0.0</v>
      </c>
      <c r="E1967" s="96">
        <f t="shared" ref="E1967:E1972" si="1486">SUM(L1967*I1967)/60</f>
        <v>0</v>
      </c>
      <c r="F1967" s="94">
        <v>0.0</v>
      </c>
      <c r="G1967" s="94">
        <v>0.0</v>
      </c>
      <c r="H1967" s="94">
        <v>0.0</v>
      </c>
      <c r="I1967" s="94">
        <v>0.0</v>
      </c>
      <c r="J1967" s="95">
        <f t="shared" ref="J1967:J1980" si="1487">SUM(G1967-I1967)</f>
        <v>0</v>
      </c>
      <c r="K1967" s="87" t="str">
        <f t="shared" ref="K1967:K1980" si="1488">SUM(G1967/I1967)</f>
        <v>#DIV/0!</v>
      </c>
      <c r="L1967" s="94">
        <v>0.0</v>
      </c>
      <c r="M1967" s="94">
        <v>0.0</v>
      </c>
      <c r="N1967" s="94" t="s">
        <v>255</v>
      </c>
      <c r="O1967" s="110" t="str">
        <f t="shared" ref="O1967:O1972" si="1489">(E1967*N1967)</f>
        <v>#VALUE!</v>
      </c>
      <c r="P1967" s="94">
        <v>0.0</v>
      </c>
      <c r="Q1967" s="94">
        <v>0.0</v>
      </c>
      <c r="R1967" s="94">
        <v>0.0</v>
      </c>
      <c r="S1967" s="94">
        <v>0.0</v>
      </c>
      <c r="T1967" s="94">
        <v>0.0</v>
      </c>
      <c r="U1967" s="94">
        <v>0.0</v>
      </c>
      <c r="V1967" s="94">
        <v>0.0</v>
      </c>
      <c r="W1967" s="94">
        <v>0.0</v>
      </c>
      <c r="X1967" s="94">
        <v>0.0</v>
      </c>
      <c r="Y1967" s="94">
        <v>0.0</v>
      </c>
      <c r="Z1967" s="94">
        <v>0.0</v>
      </c>
      <c r="AA1967" s="94">
        <v>0.0</v>
      </c>
      <c r="AB1967" s="94">
        <v>0.0</v>
      </c>
      <c r="AC1967" s="94">
        <v>0.0</v>
      </c>
      <c r="AD1967" s="94">
        <v>0.0</v>
      </c>
      <c r="AE1967" s="94">
        <v>0.0</v>
      </c>
      <c r="AF1967" s="94">
        <v>0.0</v>
      </c>
      <c r="AG1967" s="94">
        <v>0.0</v>
      </c>
      <c r="AH1967" s="94">
        <v>0.0</v>
      </c>
    </row>
    <row r="1968" hidden="1">
      <c r="A1968" s="109"/>
      <c r="B1968" s="93"/>
      <c r="C1968" s="94">
        <v>0.0</v>
      </c>
      <c r="D1968" s="94">
        <v>0.0</v>
      </c>
      <c r="E1968" s="96">
        <f t="shared" si="1486"/>
        <v>0</v>
      </c>
      <c r="F1968" s="94">
        <v>0.0</v>
      </c>
      <c r="G1968" s="94">
        <v>0.0</v>
      </c>
      <c r="H1968" s="94">
        <v>0.0</v>
      </c>
      <c r="I1968" s="94">
        <v>0.0</v>
      </c>
      <c r="J1968" s="95">
        <f t="shared" si="1487"/>
        <v>0</v>
      </c>
      <c r="K1968" s="87" t="str">
        <f t="shared" si="1488"/>
        <v>#DIV/0!</v>
      </c>
      <c r="L1968" s="94">
        <v>0.0</v>
      </c>
      <c r="M1968" s="94">
        <v>0.0</v>
      </c>
      <c r="N1968" s="94" t="s">
        <v>255</v>
      </c>
      <c r="O1968" s="110" t="str">
        <f t="shared" si="1489"/>
        <v>#VALUE!</v>
      </c>
      <c r="P1968" s="94">
        <v>0.0</v>
      </c>
      <c r="Q1968" s="94">
        <v>0.0</v>
      </c>
      <c r="R1968" s="94">
        <v>0.0</v>
      </c>
      <c r="S1968" s="94">
        <v>0.0</v>
      </c>
      <c r="T1968" s="94">
        <v>0.0</v>
      </c>
      <c r="U1968" s="94">
        <v>0.0</v>
      </c>
      <c r="V1968" s="94">
        <v>0.0</v>
      </c>
      <c r="W1968" s="94">
        <v>0.0</v>
      </c>
      <c r="X1968" s="94">
        <v>0.0</v>
      </c>
      <c r="Y1968" s="94">
        <v>0.0</v>
      </c>
      <c r="Z1968" s="94">
        <v>0.0</v>
      </c>
      <c r="AA1968" s="94">
        <v>0.0</v>
      </c>
      <c r="AB1968" s="94">
        <v>0.0</v>
      </c>
      <c r="AC1968" s="94">
        <v>0.0</v>
      </c>
      <c r="AD1968" s="94">
        <v>0.0</v>
      </c>
      <c r="AE1968" s="94">
        <v>0.0</v>
      </c>
      <c r="AF1968" s="94">
        <v>0.0</v>
      </c>
      <c r="AG1968" s="94">
        <v>0.0</v>
      </c>
      <c r="AH1968" s="94">
        <v>0.0</v>
      </c>
    </row>
    <row r="1969" hidden="1">
      <c r="A1969" s="109"/>
      <c r="B1969" s="93"/>
      <c r="C1969" s="94">
        <v>0.0</v>
      </c>
      <c r="D1969" s="94">
        <v>0.0</v>
      </c>
      <c r="E1969" s="96">
        <f t="shared" si="1486"/>
        <v>0</v>
      </c>
      <c r="F1969" s="94">
        <v>0.0</v>
      </c>
      <c r="G1969" s="94">
        <v>0.0</v>
      </c>
      <c r="H1969" s="94">
        <v>0.0</v>
      </c>
      <c r="I1969" s="94">
        <v>0.0</v>
      </c>
      <c r="J1969" s="95">
        <f t="shared" si="1487"/>
        <v>0</v>
      </c>
      <c r="K1969" s="87" t="str">
        <f t="shared" si="1488"/>
        <v>#DIV/0!</v>
      </c>
      <c r="L1969" s="94">
        <v>0.0</v>
      </c>
      <c r="M1969" s="94">
        <v>0.0</v>
      </c>
      <c r="N1969" s="94" t="s">
        <v>255</v>
      </c>
      <c r="O1969" s="110" t="str">
        <f t="shared" si="1489"/>
        <v>#VALUE!</v>
      </c>
      <c r="P1969" s="94">
        <v>0.0</v>
      </c>
      <c r="Q1969" s="94">
        <v>0.0</v>
      </c>
      <c r="R1969" s="94">
        <v>0.0</v>
      </c>
      <c r="S1969" s="94">
        <v>0.0</v>
      </c>
      <c r="T1969" s="94">
        <v>0.0</v>
      </c>
      <c r="U1969" s="94">
        <v>0.0</v>
      </c>
      <c r="V1969" s="94">
        <v>0.0</v>
      </c>
      <c r="W1969" s="94">
        <v>0.0</v>
      </c>
      <c r="X1969" s="94">
        <v>0.0</v>
      </c>
      <c r="Y1969" s="94">
        <v>0.0</v>
      </c>
      <c r="Z1969" s="94">
        <v>0.0</v>
      </c>
      <c r="AA1969" s="94">
        <v>0.0</v>
      </c>
      <c r="AB1969" s="94">
        <v>0.0</v>
      </c>
      <c r="AC1969" s="94">
        <v>0.0</v>
      </c>
      <c r="AD1969" s="94">
        <v>0.0</v>
      </c>
      <c r="AE1969" s="94">
        <v>0.0</v>
      </c>
      <c r="AF1969" s="94">
        <v>0.0</v>
      </c>
      <c r="AG1969" s="94">
        <v>0.0</v>
      </c>
      <c r="AH1969" s="94">
        <v>0.0</v>
      </c>
    </row>
    <row r="1970" hidden="1">
      <c r="A1970" s="109"/>
      <c r="B1970" s="93"/>
      <c r="C1970" s="94">
        <v>0.0</v>
      </c>
      <c r="D1970" s="94">
        <v>0.0</v>
      </c>
      <c r="E1970" s="96">
        <f t="shared" si="1486"/>
        <v>0</v>
      </c>
      <c r="F1970" s="94">
        <v>0.0</v>
      </c>
      <c r="G1970" s="94">
        <v>0.0</v>
      </c>
      <c r="H1970" s="94">
        <v>0.0</v>
      </c>
      <c r="I1970" s="94">
        <v>0.0</v>
      </c>
      <c r="J1970" s="95">
        <f t="shared" si="1487"/>
        <v>0</v>
      </c>
      <c r="K1970" s="87" t="str">
        <f t="shared" si="1488"/>
        <v>#DIV/0!</v>
      </c>
      <c r="L1970" s="94">
        <v>0.0</v>
      </c>
      <c r="M1970" s="94">
        <v>0.0</v>
      </c>
      <c r="N1970" s="94" t="s">
        <v>255</v>
      </c>
      <c r="O1970" s="110" t="str">
        <f t="shared" si="1489"/>
        <v>#VALUE!</v>
      </c>
      <c r="P1970" s="94">
        <v>0.0</v>
      </c>
      <c r="Q1970" s="94">
        <v>0.0</v>
      </c>
      <c r="R1970" s="94">
        <v>0.0</v>
      </c>
      <c r="S1970" s="94">
        <v>0.0</v>
      </c>
      <c r="T1970" s="94">
        <v>0.0</v>
      </c>
      <c r="U1970" s="94">
        <v>0.0</v>
      </c>
      <c r="V1970" s="94">
        <v>0.0</v>
      </c>
      <c r="W1970" s="94">
        <v>0.0</v>
      </c>
      <c r="X1970" s="94">
        <v>0.0</v>
      </c>
      <c r="Y1970" s="94">
        <v>0.0</v>
      </c>
      <c r="Z1970" s="94">
        <v>0.0</v>
      </c>
      <c r="AA1970" s="94">
        <v>0.0</v>
      </c>
      <c r="AB1970" s="94">
        <v>0.0</v>
      </c>
      <c r="AC1970" s="94">
        <v>0.0</v>
      </c>
      <c r="AD1970" s="94">
        <v>0.0</v>
      </c>
      <c r="AE1970" s="94">
        <v>0.0</v>
      </c>
      <c r="AF1970" s="94">
        <v>0.0</v>
      </c>
      <c r="AG1970" s="94">
        <v>0.0</v>
      </c>
      <c r="AH1970" s="94">
        <v>0.0</v>
      </c>
    </row>
    <row r="1971" hidden="1">
      <c r="A1971" s="109"/>
      <c r="B1971" s="93"/>
      <c r="C1971" s="94">
        <v>0.0</v>
      </c>
      <c r="D1971" s="94">
        <v>0.0</v>
      </c>
      <c r="E1971" s="96">
        <f t="shared" si="1486"/>
        <v>0</v>
      </c>
      <c r="F1971" s="94">
        <v>0.0</v>
      </c>
      <c r="G1971" s="94">
        <v>0.0</v>
      </c>
      <c r="H1971" s="94">
        <v>0.0</v>
      </c>
      <c r="I1971" s="94">
        <v>0.0</v>
      </c>
      <c r="J1971" s="95">
        <f t="shared" si="1487"/>
        <v>0</v>
      </c>
      <c r="K1971" s="87" t="str">
        <f t="shared" si="1488"/>
        <v>#DIV/0!</v>
      </c>
      <c r="L1971" s="94">
        <v>0.0</v>
      </c>
      <c r="M1971" s="94">
        <v>0.0</v>
      </c>
      <c r="N1971" s="94" t="s">
        <v>255</v>
      </c>
      <c r="O1971" s="110" t="str">
        <f t="shared" si="1489"/>
        <v>#VALUE!</v>
      </c>
      <c r="P1971" s="94">
        <v>0.0</v>
      </c>
      <c r="Q1971" s="94">
        <v>0.0</v>
      </c>
      <c r="R1971" s="94">
        <v>0.0</v>
      </c>
      <c r="S1971" s="94">
        <v>0.0</v>
      </c>
      <c r="T1971" s="94">
        <v>0.0</v>
      </c>
      <c r="U1971" s="94">
        <v>0.0</v>
      </c>
      <c r="V1971" s="94">
        <v>0.0</v>
      </c>
      <c r="W1971" s="94">
        <v>0.0</v>
      </c>
      <c r="X1971" s="94">
        <v>0.0</v>
      </c>
      <c r="Y1971" s="94">
        <v>0.0</v>
      </c>
      <c r="Z1971" s="94">
        <v>0.0</v>
      </c>
      <c r="AA1971" s="94">
        <v>0.0</v>
      </c>
      <c r="AB1971" s="94">
        <v>0.0</v>
      </c>
      <c r="AC1971" s="94">
        <v>0.0</v>
      </c>
      <c r="AD1971" s="94">
        <v>0.0</v>
      </c>
      <c r="AE1971" s="94">
        <v>0.0</v>
      </c>
      <c r="AF1971" s="94">
        <v>0.0</v>
      </c>
      <c r="AG1971" s="94">
        <v>0.0</v>
      </c>
      <c r="AH1971" s="94">
        <v>0.0</v>
      </c>
    </row>
    <row r="1972" hidden="1">
      <c r="A1972" s="109"/>
      <c r="B1972" s="93"/>
      <c r="C1972" s="94">
        <v>0.0</v>
      </c>
      <c r="D1972" s="94">
        <v>0.0</v>
      </c>
      <c r="E1972" s="96">
        <f t="shared" si="1486"/>
        <v>0</v>
      </c>
      <c r="F1972" s="94">
        <v>0.0</v>
      </c>
      <c r="G1972" s="94">
        <v>0.0</v>
      </c>
      <c r="H1972" s="94">
        <v>0.0</v>
      </c>
      <c r="I1972" s="94">
        <v>0.0</v>
      </c>
      <c r="J1972" s="95">
        <f t="shared" si="1487"/>
        <v>0</v>
      </c>
      <c r="K1972" s="87" t="str">
        <f t="shared" si="1488"/>
        <v>#DIV/0!</v>
      </c>
      <c r="L1972" s="94">
        <v>0.0</v>
      </c>
      <c r="M1972" s="94">
        <v>0.0</v>
      </c>
      <c r="N1972" s="94" t="s">
        <v>255</v>
      </c>
      <c r="O1972" s="110" t="str">
        <f t="shared" si="1489"/>
        <v>#VALUE!</v>
      </c>
      <c r="P1972" s="94">
        <v>0.0</v>
      </c>
      <c r="Q1972" s="94">
        <v>0.0</v>
      </c>
      <c r="R1972" s="94">
        <v>0.0</v>
      </c>
      <c r="S1972" s="94">
        <v>0.0</v>
      </c>
      <c r="T1972" s="94">
        <v>0.0</v>
      </c>
      <c r="U1972" s="94">
        <v>0.0</v>
      </c>
      <c r="V1972" s="94">
        <v>0.0</v>
      </c>
      <c r="W1972" s="94">
        <v>0.0</v>
      </c>
      <c r="X1972" s="94">
        <v>0.0</v>
      </c>
      <c r="Y1972" s="94">
        <v>0.0</v>
      </c>
      <c r="Z1972" s="94">
        <v>0.0</v>
      </c>
      <c r="AA1972" s="94">
        <v>0.0</v>
      </c>
      <c r="AB1972" s="94">
        <v>0.0</v>
      </c>
      <c r="AC1972" s="94">
        <v>0.0</v>
      </c>
      <c r="AD1972" s="94">
        <v>0.0</v>
      </c>
      <c r="AE1972" s="94">
        <v>0.0</v>
      </c>
      <c r="AF1972" s="94">
        <v>0.0</v>
      </c>
      <c r="AG1972" s="94">
        <v>0.0</v>
      </c>
      <c r="AH1972" s="94">
        <v>0.0</v>
      </c>
    </row>
    <row r="1973" hidden="1">
      <c r="A1973" s="89"/>
      <c r="B1973" s="111"/>
      <c r="C1973" s="111">
        <f t="shared" ref="C1973:D1973" si="1490">SUM(C1967:C1972)/4</f>
        <v>0</v>
      </c>
      <c r="D1973" s="111">
        <f t="shared" si="1490"/>
        <v>0</v>
      </c>
      <c r="E1973" s="91">
        <f t="shared" ref="E1973:G1973" si="1491">SUM(E1967:E1972)</f>
        <v>0</v>
      </c>
      <c r="F1973" s="111">
        <f t="shared" si="1491"/>
        <v>0</v>
      </c>
      <c r="G1973" s="111">
        <f t="shared" si="1491"/>
        <v>0</v>
      </c>
      <c r="H1973" s="111"/>
      <c r="I1973" s="111">
        <f>SUM(I1967:I1972)</f>
        <v>0</v>
      </c>
      <c r="J1973" s="111">
        <f t="shared" si="1487"/>
        <v>0</v>
      </c>
      <c r="K1973" s="92" t="str">
        <f t="shared" si="1488"/>
        <v>#DIV/0!</v>
      </c>
      <c r="L1973" s="111">
        <f t="shared" ref="L1973:M1973" si="1492">SUM(L1967:L1972)</f>
        <v>0</v>
      </c>
      <c r="M1973" s="111">
        <f t="shared" si="1492"/>
        <v>0</v>
      </c>
      <c r="N1973" s="111"/>
      <c r="O1973" s="112"/>
      <c r="P1973" s="111">
        <f t="shared" ref="P1973:AH1973" si="1493">SUM(P1967:P1972)</f>
        <v>0</v>
      </c>
      <c r="Q1973" s="111">
        <f t="shared" si="1493"/>
        <v>0</v>
      </c>
      <c r="R1973" s="111">
        <f t="shared" si="1493"/>
        <v>0</v>
      </c>
      <c r="S1973" s="111">
        <f t="shared" si="1493"/>
        <v>0</v>
      </c>
      <c r="T1973" s="111">
        <f t="shared" si="1493"/>
        <v>0</v>
      </c>
      <c r="U1973" s="111">
        <f t="shared" si="1493"/>
        <v>0</v>
      </c>
      <c r="V1973" s="111">
        <f t="shared" si="1493"/>
        <v>0</v>
      </c>
      <c r="W1973" s="111">
        <f t="shared" si="1493"/>
        <v>0</v>
      </c>
      <c r="X1973" s="111">
        <f t="shared" si="1493"/>
        <v>0</v>
      </c>
      <c r="Y1973" s="111">
        <f t="shared" si="1493"/>
        <v>0</v>
      </c>
      <c r="Z1973" s="111">
        <f t="shared" si="1493"/>
        <v>0</v>
      </c>
      <c r="AA1973" s="111">
        <f t="shared" si="1493"/>
        <v>0</v>
      </c>
      <c r="AB1973" s="111">
        <f t="shared" si="1493"/>
        <v>0</v>
      </c>
      <c r="AC1973" s="111">
        <f t="shared" si="1493"/>
        <v>0</v>
      </c>
      <c r="AD1973" s="111">
        <f t="shared" si="1493"/>
        <v>0</v>
      </c>
      <c r="AE1973" s="111">
        <f t="shared" si="1493"/>
        <v>0</v>
      </c>
      <c r="AF1973" s="111">
        <f t="shared" si="1493"/>
        <v>0</v>
      </c>
      <c r="AG1973" s="111">
        <f t="shared" si="1493"/>
        <v>0</v>
      </c>
      <c r="AH1973" s="111">
        <f t="shared" si="1493"/>
        <v>0</v>
      </c>
    </row>
    <row r="1974" hidden="1">
      <c r="A1974" s="109"/>
      <c r="B1974" s="93"/>
      <c r="C1974" s="94">
        <v>0.0</v>
      </c>
      <c r="D1974" s="94">
        <v>0.0</v>
      </c>
      <c r="E1974" s="96">
        <f t="shared" ref="E1974:E1979" si="1494">SUM(L1974*I1974)/60</f>
        <v>0</v>
      </c>
      <c r="F1974" s="94">
        <v>0.0</v>
      </c>
      <c r="G1974" s="94">
        <v>0.0</v>
      </c>
      <c r="H1974" s="94">
        <v>0.0</v>
      </c>
      <c r="I1974" s="94">
        <v>0.0</v>
      </c>
      <c r="J1974" s="95">
        <f t="shared" si="1487"/>
        <v>0</v>
      </c>
      <c r="K1974" s="87" t="str">
        <f t="shared" si="1488"/>
        <v>#DIV/0!</v>
      </c>
      <c r="L1974" s="94">
        <v>0.0</v>
      </c>
      <c r="M1974" s="94">
        <v>0.0</v>
      </c>
      <c r="N1974" s="94" t="s">
        <v>255</v>
      </c>
      <c r="O1974" s="110" t="str">
        <f t="shared" ref="O1974:O1979" si="1495">(E1974*N1974)</f>
        <v>#VALUE!</v>
      </c>
      <c r="P1974" s="94">
        <v>0.0</v>
      </c>
      <c r="Q1974" s="94">
        <v>0.0</v>
      </c>
      <c r="R1974" s="94">
        <v>0.0</v>
      </c>
      <c r="S1974" s="94">
        <v>0.0</v>
      </c>
      <c r="T1974" s="94">
        <v>0.0</v>
      </c>
      <c r="U1974" s="94">
        <v>0.0</v>
      </c>
      <c r="V1974" s="94">
        <v>0.0</v>
      </c>
      <c r="W1974" s="94">
        <v>0.0</v>
      </c>
      <c r="X1974" s="94">
        <v>0.0</v>
      </c>
      <c r="Y1974" s="94">
        <v>0.0</v>
      </c>
      <c r="Z1974" s="94">
        <v>0.0</v>
      </c>
      <c r="AA1974" s="94">
        <v>0.0</v>
      </c>
      <c r="AB1974" s="94">
        <v>0.0</v>
      </c>
      <c r="AC1974" s="94">
        <v>0.0</v>
      </c>
      <c r="AD1974" s="94">
        <v>0.0</v>
      </c>
      <c r="AE1974" s="94">
        <v>0.0</v>
      </c>
      <c r="AF1974" s="94">
        <v>0.0</v>
      </c>
      <c r="AG1974" s="94">
        <v>0.0</v>
      </c>
      <c r="AH1974" s="94">
        <v>0.0</v>
      </c>
    </row>
    <row r="1975" hidden="1">
      <c r="A1975" s="109"/>
      <c r="B1975" s="93"/>
      <c r="C1975" s="94">
        <v>0.0</v>
      </c>
      <c r="D1975" s="94">
        <v>0.0</v>
      </c>
      <c r="E1975" s="96">
        <f t="shared" si="1494"/>
        <v>0</v>
      </c>
      <c r="F1975" s="94">
        <v>0.0</v>
      </c>
      <c r="G1975" s="94">
        <v>0.0</v>
      </c>
      <c r="H1975" s="94">
        <v>0.0</v>
      </c>
      <c r="I1975" s="94">
        <v>0.0</v>
      </c>
      <c r="J1975" s="95">
        <f t="shared" si="1487"/>
        <v>0</v>
      </c>
      <c r="K1975" s="87" t="str">
        <f t="shared" si="1488"/>
        <v>#DIV/0!</v>
      </c>
      <c r="L1975" s="94">
        <v>0.0</v>
      </c>
      <c r="M1975" s="94">
        <v>0.0</v>
      </c>
      <c r="N1975" s="94" t="s">
        <v>255</v>
      </c>
      <c r="O1975" s="110" t="str">
        <f t="shared" si="1495"/>
        <v>#VALUE!</v>
      </c>
      <c r="P1975" s="94">
        <v>0.0</v>
      </c>
      <c r="Q1975" s="94">
        <v>0.0</v>
      </c>
      <c r="R1975" s="94">
        <v>0.0</v>
      </c>
      <c r="S1975" s="94">
        <v>0.0</v>
      </c>
      <c r="T1975" s="94">
        <v>0.0</v>
      </c>
      <c r="U1975" s="94">
        <v>0.0</v>
      </c>
      <c r="V1975" s="94">
        <v>0.0</v>
      </c>
      <c r="W1975" s="94">
        <v>0.0</v>
      </c>
      <c r="X1975" s="94">
        <v>0.0</v>
      </c>
      <c r="Y1975" s="94">
        <v>0.0</v>
      </c>
      <c r="Z1975" s="94">
        <v>0.0</v>
      </c>
      <c r="AA1975" s="94">
        <v>0.0</v>
      </c>
      <c r="AB1975" s="94">
        <v>0.0</v>
      </c>
      <c r="AC1975" s="94">
        <v>0.0</v>
      </c>
      <c r="AD1975" s="94">
        <v>0.0</v>
      </c>
      <c r="AE1975" s="94">
        <v>0.0</v>
      </c>
      <c r="AF1975" s="94">
        <v>0.0</v>
      </c>
      <c r="AG1975" s="94">
        <v>0.0</v>
      </c>
      <c r="AH1975" s="94">
        <v>0.0</v>
      </c>
    </row>
    <row r="1976" hidden="1">
      <c r="A1976" s="109"/>
      <c r="B1976" s="93"/>
      <c r="C1976" s="94">
        <v>0.0</v>
      </c>
      <c r="D1976" s="94">
        <v>0.0</v>
      </c>
      <c r="E1976" s="96">
        <f t="shared" si="1494"/>
        <v>0</v>
      </c>
      <c r="F1976" s="94">
        <v>0.0</v>
      </c>
      <c r="G1976" s="94">
        <v>0.0</v>
      </c>
      <c r="H1976" s="94">
        <v>0.0</v>
      </c>
      <c r="I1976" s="94">
        <v>0.0</v>
      </c>
      <c r="J1976" s="95">
        <f t="shared" si="1487"/>
        <v>0</v>
      </c>
      <c r="K1976" s="87" t="str">
        <f t="shared" si="1488"/>
        <v>#DIV/0!</v>
      </c>
      <c r="L1976" s="94">
        <v>0.0</v>
      </c>
      <c r="M1976" s="94">
        <v>0.0</v>
      </c>
      <c r="N1976" s="94" t="s">
        <v>255</v>
      </c>
      <c r="O1976" s="110" t="str">
        <f t="shared" si="1495"/>
        <v>#VALUE!</v>
      </c>
      <c r="P1976" s="94">
        <v>0.0</v>
      </c>
      <c r="Q1976" s="94">
        <v>0.0</v>
      </c>
      <c r="R1976" s="94">
        <v>0.0</v>
      </c>
      <c r="S1976" s="94">
        <v>0.0</v>
      </c>
      <c r="T1976" s="94">
        <v>0.0</v>
      </c>
      <c r="U1976" s="94">
        <v>0.0</v>
      </c>
      <c r="V1976" s="94">
        <v>0.0</v>
      </c>
      <c r="W1976" s="94">
        <v>0.0</v>
      </c>
      <c r="X1976" s="94">
        <v>0.0</v>
      </c>
      <c r="Y1976" s="94">
        <v>0.0</v>
      </c>
      <c r="Z1976" s="94">
        <v>0.0</v>
      </c>
      <c r="AA1976" s="94">
        <v>0.0</v>
      </c>
      <c r="AB1976" s="94">
        <v>0.0</v>
      </c>
      <c r="AC1976" s="94">
        <v>0.0</v>
      </c>
      <c r="AD1976" s="94">
        <v>0.0</v>
      </c>
      <c r="AE1976" s="94">
        <v>0.0</v>
      </c>
      <c r="AF1976" s="94">
        <v>0.0</v>
      </c>
      <c r="AG1976" s="94">
        <v>0.0</v>
      </c>
      <c r="AH1976" s="94">
        <v>0.0</v>
      </c>
    </row>
    <row r="1977" hidden="1">
      <c r="A1977" s="109"/>
      <c r="B1977" s="93"/>
      <c r="C1977" s="94">
        <v>0.0</v>
      </c>
      <c r="D1977" s="94">
        <v>0.0</v>
      </c>
      <c r="E1977" s="96">
        <f t="shared" si="1494"/>
        <v>0</v>
      </c>
      <c r="F1977" s="94">
        <v>0.0</v>
      </c>
      <c r="G1977" s="94">
        <v>0.0</v>
      </c>
      <c r="H1977" s="94">
        <v>0.0</v>
      </c>
      <c r="I1977" s="94">
        <v>0.0</v>
      </c>
      <c r="J1977" s="95">
        <f t="shared" si="1487"/>
        <v>0</v>
      </c>
      <c r="K1977" s="87" t="str">
        <f t="shared" si="1488"/>
        <v>#DIV/0!</v>
      </c>
      <c r="L1977" s="94">
        <v>0.0</v>
      </c>
      <c r="M1977" s="94">
        <v>0.0</v>
      </c>
      <c r="N1977" s="94" t="s">
        <v>255</v>
      </c>
      <c r="O1977" s="110" t="str">
        <f t="shared" si="1495"/>
        <v>#VALUE!</v>
      </c>
      <c r="P1977" s="94">
        <v>0.0</v>
      </c>
      <c r="Q1977" s="94">
        <v>0.0</v>
      </c>
      <c r="R1977" s="94">
        <v>0.0</v>
      </c>
      <c r="S1977" s="94">
        <v>0.0</v>
      </c>
      <c r="T1977" s="94">
        <v>0.0</v>
      </c>
      <c r="U1977" s="94">
        <v>0.0</v>
      </c>
      <c r="V1977" s="94">
        <v>0.0</v>
      </c>
      <c r="W1977" s="94">
        <v>0.0</v>
      </c>
      <c r="X1977" s="94">
        <v>0.0</v>
      </c>
      <c r="Y1977" s="94">
        <v>0.0</v>
      </c>
      <c r="Z1977" s="94">
        <v>0.0</v>
      </c>
      <c r="AA1977" s="94">
        <v>0.0</v>
      </c>
      <c r="AB1977" s="94">
        <v>0.0</v>
      </c>
      <c r="AC1977" s="94">
        <v>0.0</v>
      </c>
      <c r="AD1977" s="94">
        <v>0.0</v>
      </c>
      <c r="AE1977" s="94">
        <v>0.0</v>
      </c>
      <c r="AF1977" s="94">
        <v>0.0</v>
      </c>
      <c r="AG1977" s="94">
        <v>0.0</v>
      </c>
      <c r="AH1977" s="94">
        <v>0.0</v>
      </c>
    </row>
    <row r="1978" hidden="1">
      <c r="A1978" s="109"/>
      <c r="B1978" s="93"/>
      <c r="C1978" s="94">
        <v>0.0</v>
      </c>
      <c r="D1978" s="94">
        <v>0.0</v>
      </c>
      <c r="E1978" s="96">
        <f t="shared" si="1494"/>
        <v>0</v>
      </c>
      <c r="F1978" s="94">
        <v>0.0</v>
      </c>
      <c r="G1978" s="94">
        <v>0.0</v>
      </c>
      <c r="H1978" s="94">
        <v>0.0</v>
      </c>
      <c r="I1978" s="94">
        <v>0.0</v>
      </c>
      <c r="J1978" s="95">
        <f t="shared" si="1487"/>
        <v>0</v>
      </c>
      <c r="K1978" s="87" t="str">
        <f t="shared" si="1488"/>
        <v>#DIV/0!</v>
      </c>
      <c r="L1978" s="94">
        <v>0.0</v>
      </c>
      <c r="M1978" s="94">
        <v>0.0</v>
      </c>
      <c r="N1978" s="94" t="s">
        <v>255</v>
      </c>
      <c r="O1978" s="110" t="str">
        <f t="shared" si="1495"/>
        <v>#VALUE!</v>
      </c>
      <c r="P1978" s="94">
        <v>0.0</v>
      </c>
      <c r="Q1978" s="94">
        <v>0.0</v>
      </c>
      <c r="R1978" s="94">
        <v>0.0</v>
      </c>
      <c r="S1978" s="94">
        <v>0.0</v>
      </c>
      <c r="T1978" s="94">
        <v>0.0</v>
      </c>
      <c r="U1978" s="94">
        <v>0.0</v>
      </c>
      <c r="V1978" s="94">
        <v>0.0</v>
      </c>
      <c r="W1978" s="94">
        <v>0.0</v>
      </c>
      <c r="X1978" s="94">
        <v>0.0</v>
      </c>
      <c r="Y1978" s="94">
        <v>0.0</v>
      </c>
      <c r="Z1978" s="94">
        <v>0.0</v>
      </c>
      <c r="AA1978" s="94">
        <v>0.0</v>
      </c>
      <c r="AB1978" s="94">
        <v>0.0</v>
      </c>
      <c r="AC1978" s="94">
        <v>0.0</v>
      </c>
      <c r="AD1978" s="94">
        <v>0.0</v>
      </c>
      <c r="AE1978" s="94">
        <v>0.0</v>
      </c>
      <c r="AF1978" s="94">
        <v>0.0</v>
      </c>
      <c r="AG1978" s="94">
        <v>0.0</v>
      </c>
      <c r="AH1978" s="94">
        <v>0.0</v>
      </c>
    </row>
    <row r="1979" hidden="1">
      <c r="A1979" s="109"/>
      <c r="B1979" s="93"/>
      <c r="C1979" s="94">
        <v>0.0</v>
      </c>
      <c r="D1979" s="94">
        <v>0.0</v>
      </c>
      <c r="E1979" s="96">
        <f t="shared" si="1494"/>
        <v>0</v>
      </c>
      <c r="F1979" s="94">
        <v>0.0</v>
      </c>
      <c r="G1979" s="94">
        <v>0.0</v>
      </c>
      <c r="H1979" s="94">
        <v>0.0</v>
      </c>
      <c r="I1979" s="94">
        <v>0.0</v>
      </c>
      <c r="J1979" s="95">
        <f t="shared" si="1487"/>
        <v>0</v>
      </c>
      <c r="K1979" s="87" t="str">
        <f t="shared" si="1488"/>
        <v>#DIV/0!</v>
      </c>
      <c r="L1979" s="94">
        <v>0.0</v>
      </c>
      <c r="M1979" s="94">
        <v>0.0</v>
      </c>
      <c r="N1979" s="94" t="s">
        <v>255</v>
      </c>
      <c r="O1979" s="110" t="str">
        <f t="shared" si="1495"/>
        <v>#VALUE!</v>
      </c>
      <c r="P1979" s="94">
        <v>0.0</v>
      </c>
      <c r="Q1979" s="94">
        <v>0.0</v>
      </c>
      <c r="R1979" s="94">
        <v>0.0</v>
      </c>
      <c r="S1979" s="94">
        <v>0.0</v>
      </c>
      <c r="T1979" s="94">
        <v>0.0</v>
      </c>
      <c r="U1979" s="94">
        <v>0.0</v>
      </c>
      <c r="V1979" s="94">
        <v>0.0</v>
      </c>
      <c r="W1979" s="94">
        <v>0.0</v>
      </c>
      <c r="X1979" s="94">
        <v>0.0</v>
      </c>
      <c r="Y1979" s="94">
        <v>0.0</v>
      </c>
      <c r="Z1979" s="94">
        <v>0.0</v>
      </c>
      <c r="AA1979" s="94">
        <v>0.0</v>
      </c>
      <c r="AB1979" s="94">
        <v>0.0</v>
      </c>
      <c r="AC1979" s="94">
        <v>0.0</v>
      </c>
      <c r="AD1979" s="94">
        <v>0.0</v>
      </c>
      <c r="AE1979" s="94">
        <v>0.0</v>
      </c>
      <c r="AF1979" s="94">
        <v>0.0</v>
      </c>
      <c r="AG1979" s="94">
        <v>0.0</v>
      </c>
      <c r="AH1979" s="94">
        <v>0.0</v>
      </c>
    </row>
    <row r="1980" hidden="1">
      <c r="A1980" s="89" t="s">
        <v>185</v>
      </c>
      <c r="B1980" s="111"/>
      <c r="C1980" s="111">
        <f>SUM(C1974:C1979)</f>
        <v>0</v>
      </c>
      <c r="D1980" s="111">
        <f t="shared" ref="D1980:E1980" si="1496">SUM(D1974:D1979)/4</f>
        <v>0</v>
      </c>
      <c r="E1980" s="91">
        <f t="shared" si="1496"/>
        <v>0</v>
      </c>
      <c r="F1980" s="111">
        <f t="shared" ref="F1980:G1980" si="1497">SUM(F1974:F1979)</f>
        <v>0</v>
      </c>
      <c r="G1980" s="111">
        <f t="shared" si="1497"/>
        <v>0</v>
      </c>
      <c r="H1980" s="111"/>
      <c r="I1980" s="111">
        <f>SUM(I1974:I1979)</f>
        <v>0</v>
      </c>
      <c r="J1980" s="111">
        <f t="shared" si="1487"/>
        <v>0</v>
      </c>
      <c r="K1980" s="92" t="str">
        <f t="shared" si="1488"/>
        <v>#DIV/0!</v>
      </c>
      <c r="L1980" s="111">
        <f t="shared" ref="L1980:M1980" si="1498">SUM(L1974:L1979)</f>
        <v>0</v>
      </c>
      <c r="M1980" s="111">
        <f t="shared" si="1498"/>
        <v>0</v>
      </c>
      <c r="N1980" s="111"/>
      <c r="O1980" s="112"/>
      <c r="P1980" s="111">
        <f t="shared" ref="P1980:AH1980" si="1499">SUM(P1974:P1979)</f>
        <v>0</v>
      </c>
      <c r="Q1980" s="111">
        <f t="shared" si="1499"/>
        <v>0</v>
      </c>
      <c r="R1980" s="111">
        <f t="shared" si="1499"/>
        <v>0</v>
      </c>
      <c r="S1980" s="111">
        <f t="shared" si="1499"/>
        <v>0</v>
      </c>
      <c r="T1980" s="111">
        <f t="shared" si="1499"/>
        <v>0</v>
      </c>
      <c r="U1980" s="111">
        <f t="shared" si="1499"/>
        <v>0</v>
      </c>
      <c r="V1980" s="111">
        <f t="shared" si="1499"/>
        <v>0</v>
      </c>
      <c r="W1980" s="111">
        <f t="shared" si="1499"/>
        <v>0</v>
      </c>
      <c r="X1980" s="111">
        <f t="shared" si="1499"/>
        <v>0</v>
      </c>
      <c r="Y1980" s="111">
        <f t="shared" si="1499"/>
        <v>0</v>
      </c>
      <c r="Z1980" s="111">
        <f t="shared" si="1499"/>
        <v>0</v>
      </c>
      <c r="AA1980" s="111">
        <f t="shared" si="1499"/>
        <v>0</v>
      </c>
      <c r="AB1980" s="111">
        <f t="shared" si="1499"/>
        <v>0</v>
      </c>
      <c r="AC1980" s="111">
        <f t="shared" si="1499"/>
        <v>0</v>
      </c>
      <c r="AD1980" s="111">
        <f t="shared" si="1499"/>
        <v>0</v>
      </c>
      <c r="AE1980" s="111">
        <f t="shared" si="1499"/>
        <v>0</v>
      </c>
      <c r="AF1980" s="111">
        <f t="shared" si="1499"/>
        <v>0</v>
      </c>
      <c r="AG1980" s="111">
        <f t="shared" si="1499"/>
        <v>0</v>
      </c>
      <c r="AH1980" s="111">
        <f t="shared" si="1499"/>
        <v>0</v>
      </c>
    </row>
    <row r="1981">
      <c r="A1981" s="104" t="s">
        <v>362</v>
      </c>
    </row>
    <row r="1983" hidden="1">
      <c r="A1983" s="105"/>
      <c r="F1983" s="106" t="s">
        <v>251</v>
      </c>
      <c r="L1983" s="107" t="s">
        <v>252</v>
      </c>
      <c r="N1983" s="108" t="s">
        <v>253</v>
      </c>
    </row>
    <row r="1984" hidden="1">
      <c r="A1984" s="76" t="s">
        <v>148</v>
      </c>
      <c r="B1984" s="76" t="s">
        <v>149</v>
      </c>
      <c r="C1984" s="76" t="s">
        <v>150</v>
      </c>
      <c r="D1984" s="76" t="s">
        <v>13</v>
      </c>
      <c r="E1984" s="77" t="s">
        <v>151</v>
      </c>
      <c r="F1984" s="78" t="s">
        <v>15</v>
      </c>
      <c r="G1984" s="78" t="s">
        <v>152</v>
      </c>
      <c r="H1984" s="78" t="s">
        <v>153</v>
      </c>
      <c r="I1984" s="78" t="s">
        <v>154</v>
      </c>
      <c r="J1984" s="78" t="s">
        <v>155</v>
      </c>
      <c r="K1984" s="79" t="s">
        <v>156</v>
      </c>
      <c r="L1984" s="80" t="s">
        <v>157</v>
      </c>
      <c r="M1984" s="80" t="s">
        <v>158</v>
      </c>
      <c r="N1984" s="81" t="s">
        <v>254</v>
      </c>
      <c r="O1984" s="81" t="s">
        <v>151</v>
      </c>
      <c r="P1984" s="81" t="s">
        <v>160</v>
      </c>
      <c r="Q1984" s="81" t="s">
        <v>161</v>
      </c>
      <c r="R1984" s="81" t="s">
        <v>162</v>
      </c>
      <c r="S1984" s="81" t="s">
        <v>163</v>
      </c>
      <c r="T1984" s="81" t="s">
        <v>164</v>
      </c>
      <c r="U1984" s="81" t="s">
        <v>165</v>
      </c>
      <c r="V1984" s="81" t="s">
        <v>166</v>
      </c>
      <c r="W1984" s="81" t="s">
        <v>167</v>
      </c>
      <c r="X1984" s="81" t="s">
        <v>168</v>
      </c>
      <c r="Y1984" s="81" t="s">
        <v>169</v>
      </c>
      <c r="Z1984" s="81" t="s">
        <v>170</v>
      </c>
      <c r="AA1984" s="81" t="s">
        <v>171</v>
      </c>
      <c r="AB1984" s="81" t="s">
        <v>172</v>
      </c>
      <c r="AC1984" s="81" t="s">
        <v>173</v>
      </c>
      <c r="AD1984" s="81" t="s">
        <v>174</v>
      </c>
      <c r="AE1984" s="81" t="s">
        <v>175</v>
      </c>
      <c r="AF1984" s="81" t="s">
        <v>176</v>
      </c>
      <c r="AG1984" s="81" t="s">
        <v>177</v>
      </c>
      <c r="AH1984" s="81" t="s">
        <v>178</v>
      </c>
    </row>
    <row r="1985" hidden="1">
      <c r="A1985" s="109"/>
      <c r="B1985" s="93"/>
      <c r="C1985" s="94">
        <v>0.0</v>
      </c>
      <c r="D1985" s="94">
        <v>0.0</v>
      </c>
      <c r="E1985" s="96">
        <f t="shared" ref="E1985:E1990" si="1500">SUM(L1985*I1985)/60</f>
        <v>0</v>
      </c>
      <c r="F1985" s="94">
        <v>0.0</v>
      </c>
      <c r="G1985" s="94">
        <v>0.0</v>
      </c>
      <c r="H1985" s="94">
        <v>0.0</v>
      </c>
      <c r="I1985" s="94">
        <v>0.0</v>
      </c>
      <c r="J1985" s="95">
        <f t="shared" ref="J1985:J1998" si="1501">SUM(G1985-I1985)</f>
        <v>0</v>
      </c>
      <c r="K1985" s="87" t="str">
        <f t="shared" ref="K1985:K1998" si="1502">SUM(G1985/I1985)</f>
        <v>#DIV/0!</v>
      </c>
      <c r="L1985" s="94">
        <v>0.0</v>
      </c>
      <c r="M1985" s="94">
        <v>0.0</v>
      </c>
      <c r="N1985" s="94" t="s">
        <v>255</v>
      </c>
      <c r="O1985" s="110" t="str">
        <f t="shared" ref="O1985:O1990" si="1503">(E1985*N1985)</f>
        <v>#VALUE!</v>
      </c>
      <c r="P1985" s="94">
        <v>0.0</v>
      </c>
      <c r="Q1985" s="94">
        <v>0.0</v>
      </c>
      <c r="R1985" s="94">
        <v>0.0</v>
      </c>
      <c r="S1985" s="94">
        <v>0.0</v>
      </c>
      <c r="T1985" s="94">
        <v>0.0</v>
      </c>
      <c r="U1985" s="94">
        <v>0.0</v>
      </c>
      <c r="V1985" s="94">
        <v>0.0</v>
      </c>
      <c r="W1985" s="94">
        <v>0.0</v>
      </c>
      <c r="X1985" s="94">
        <v>0.0</v>
      </c>
      <c r="Y1985" s="94">
        <v>0.0</v>
      </c>
      <c r="Z1985" s="94">
        <v>0.0</v>
      </c>
      <c r="AA1985" s="94">
        <v>0.0</v>
      </c>
      <c r="AB1985" s="94">
        <v>0.0</v>
      </c>
      <c r="AC1985" s="94">
        <v>0.0</v>
      </c>
      <c r="AD1985" s="94">
        <v>0.0</v>
      </c>
      <c r="AE1985" s="94">
        <v>0.0</v>
      </c>
      <c r="AF1985" s="94">
        <v>0.0</v>
      </c>
      <c r="AG1985" s="94">
        <v>0.0</v>
      </c>
      <c r="AH1985" s="94">
        <v>0.0</v>
      </c>
    </row>
    <row r="1986" hidden="1">
      <c r="A1986" s="109"/>
      <c r="B1986" s="93"/>
      <c r="C1986" s="94">
        <v>0.0</v>
      </c>
      <c r="D1986" s="94">
        <v>0.0</v>
      </c>
      <c r="E1986" s="96">
        <f t="shared" si="1500"/>
        <v>0</v>
      </c>
      <c r="F1986" s="94">
        <v>0.0</v>
      </c>
      <c r="G1986" s="94">
        <v>0.0</v>
      </c>
      <c r="H1986" s="94">
        <v>0.0</v>
      </c>
      <c r="I1986" s="94">
        <v>0.0</v>
      </c>
      <c r="J1986" s="95">
        <f t="shared" si="1501"/>
        <v>0</v>
      </c>
      <c r="K1986" s="87" t="str">
        <f t="shared" si="1502"/>
        <v>#DIV/0!</v>
      </c>
      <c r="L1986" s="94">
        <v>0.0</v>
      </c>
      <c r="M1986" s="94">
        <v>0.0</v>
      </c>
      <c r="N1986" s="94" t="s">
        <v>255</v>
      </c>
      <c r="O1986" s="110" t="str">
        <f t="shared" si="1503"/>
        <v>#VALUE!</v>
      </c>
      <c r="P1986" s="94">
        <v>0.0</v>
      </c>
      <c r="Q1986" s="94">
        <v>0.0</v>
      </c>
      <c r="R1986" s="94">
        <v>0.0</v>
      </c>
      <c r="S1986" s="94">
        <v>0.0</v>
      </c>
      <c r="T1986" s="94">
        <v>0.0</v>
      </c>
      <c r="U1986" s="94">
        <v>0.0</v>
      </c>
      <c r="V1986" s="94">
        <v>0.0</v>
      </c>
      <c r="W1986" s="94">
        <v>0.0</v>
      </c>
      <c r="X1986" s="94">
        <v>0.0</v>
      </c>
      <c r="Y1986" s="94">
        <v>0.0</v>
      </c>
      <c r="Z1986" s="94">
        <v>0.0</v>
      </c>
      <c r="AA1986" s="94">
        <v>0.0</v>
      </c>
      <c r="AB1986" s="94">
        <v>0.0</v>
      </c>
      <c r="AC1986" s="94">
        <v>0.0</v>
      </c>
      <c r="AD1986" s="94">
        <v>0.0</v>
      </c>
      <c r="AE1986" s="94">
        <v>0.0</v>
      </c>
      <c r="AF1986" s="94">
        <v>0.0</v>
      </c>
      <c r="AG1986" s="94">
        <v>0.0</v>
      </c>
      <c r="AH1986" s="94">
        <v>0.0</v>
      </c>
    </row>
    <row r="1987" hidden="1">
      <c r="A1987" s="109"/>
      <c r="B1987" s="93"/>
      <c r="C1987" s="94">
        <v>0.0</v>
      </c>
      <c r="D1987" s="94">
        <v>0.0</v>
      </c>
      <c r="E1987" s="96">
        <f t="shared" si="1500"/>
        <v>0</v>
      </c>
      <c r="F1987" s="94">
        <v>0.0</v>
      </c>
      <c r="G1987" s="94">
        <v>0.0</v>
      </c>
      <c r="H1987" s="94">
        <v>0.0</v>
      </c>
      <c r="I1987" s="94">
        <v>0.0</v>
      </c>
      <c r="J1987" s="95">
        <f t="shared" si="1501"/>
        <v>0</v>
      </c>
      <c r="K1987" s="87" t="str">
        <f t="shared" si="1502"/>
        <v>#DIV/0!</v>
      </c>
      <c r="L1987" s="94">
        <v>0.0</v>
      </c>
      <c r="M1987" s="94">
        <v>0.0</v>
      </c>
      <c r="N1987" s="94" t="s">
        <v>255</v>
      </c>
      <c r="O1987" s="110" t="str">
        <f t="shared" si="1503"/>
        <v>#VALUE!</v>
      </c>
      <c r="P1987" s="94">
        <v>0.0</v>
      </c>
      <c r="Q1987" s="94">
        <v>0.0</v>
      </c>
      <c r="R1987" s="94">
        <v>0.0</v>
      </c>
      <c r="S1987" s="94">
        <v>0.0</v>
      </c>
      <c r="T1987" s="94">
        <v>0.0</v>
      </c>
      <c r="U1987" s="94">
        <v>0.0</v>
      </c>
      <c r="V1987" s="94">
        <v>0.0</v>
      </c>
      <c r="W1987" s="94">
        <v>0.0</v>
      </c>
      <c r="X1987" s="94">
        <v>0.0</v>
      </c>
      <c r="Y1987" s="94">
        <v>0.0</v>
      </c>
      <c r="Z1987" s="94">
        <v>0.0</v>
      </c>
      <c r="AA1987" s="94">
        <v>0.0</v>
      </c>
      <c r="AB1987" s="94">
        <v>0.0</v>
      </c>
      <c r="AC1987" s="94">
        <v>0.0</v>
      </c>
      <c r="AD1987" s="94">
        <v>0.0</v>
      </c>
      <c r="AE1987" s="94">
        <v>0.0</v>
      </c>
      <c r="AF1987" s="94">
        <v>0.0</v>
      </c>
      <c r="AG1987" s="94">
        <v>0.0</v>
      </c>
      <c r="AH1987" s="94">
        <v>0.0</v>
      </c>
    </row>
    <row r="1988" hidden="1">
      <c r="A1988" s="109"/>
      <c r="B1988" s="93"/>
      <c r="C1988" s="94">
        <v>0.0</v>
      </c>
      <c r="D1988" s="94">
        <v>0.0</v>
      </c>
      <c r="E1988" s="96">
        <f t="shared" si="1500"/>
        <v>0</v>
      </c>
      <c r="F1988" s="94">
        <v>0.0</v>
      </c>
      <c r="G1988" s="94">
        <v>0.0</v>
      </c>
      <c r="H1988" s="94">
        <v>0.0</v>
      </c>
      <c r="I1988" s="94">
        <v>0.0</v>
      </c>
      <c r="J1988" s="95">
        <f t="shared" si="1501"/>
        <v>0</v>
      </c>
      <c r="K1988" s="87" t="str">
        <f t="shared" si="1502"/>
        <v>#DIV/0!</v>
      </c>
      <c r="L1988" s="94">
        <v>0.0</v>
      </c>
      <c r="M1988" s="94">
        <v>0.0</v>
      </c>
      <c r="N1988" s="94" t="s">
        <v>255</v>
      </c>
      <c r="O1988" s="110" t="str">
        <f t="shared" si="1503"/>
        <v>#VALUE!</v>
      </c>
      <c r="P1988" s="94">
        <v>0.0</v>
      </c>
      <c r="Q1988" s="94">
        <v>0.0</v>
      </c>
      <c r="R1988" s="94">
        <v>0.0</v>
      </c>
      <c r="S1988" s="94">
        <v>0.0</v>
      </c>
      <c r="T1988" s="94">
        <v>0.0</v>
      </c>
      <c r="U1988" s="94">
        <v>0.0</v>
      </c>
      <c r="V1988" s="94">
        <v>0.0</v>
      </c>
      <c r="W1988" s="94">
        <v>0.0</v>
      </c>
      <c r="X1988" s="94">
        <v>0.0</v>
      </c>
      <c r="Y1988" s="94">
        <v>0.0</v>
      </c>
      <c r="Z1988" s="94">
        <v>0.0</v>
      </c>
      <c r="AA1988" s="94">
        <v>0.0</v>
      </c>
      <c r="AB1988" s="94">
        <v>0.0</v>
      </c>
      <c r="AC1988" s="94">
        <v>0.0</v>
      </c>
      <c r="AD1988" s="94">
        <v>0.0</v>
      </c>
      <c r="AE1988" s="94">
        <v>0.0</v>
      </c>
      <c r="AF1988" s="94">
        <v>0.0</v>
      </c>
      <c r="AG1988" s="94">
        <v>0.0</v>
      </c>
      <c r="AH1988" s="94">
        <v>0.0</v>
      </c>
    </row>
    <row r="1989" hidden="1">
      <c r="A1989" s="109"/>
      <c r="B1989" s="93"/>
      <c r="C1989" s="94">
        <v>0.0</v>
      </c>
      <c r="D1989" s="94">
        <v>0.0</v>
      </c>
      <c r="E1989" s="96">
        <f t="shared" si="1500"/>
        <v>0</v>
      </c>
      <c r="F1989" s="94">
        <v>0.0</v>
      </c>
      <c r="G1989" s="94">
        <v>0.0</v>
      </c>
      <c r="H1989" s="94">
        <v>0.0</v>
      </c>
      <c r="I1989" s="94">
        <v>0.0</v>
      </c>
      <c r="J1989" s="95">
        <f t="shared" si="1501"/>
        <v>0</v>
      </c>
      <c r="K1989" s="87" t="str">
        <f t="shared" si="1502"/>
        <v>#DIV/0!</v>
      </c>
      <c r="L1989" s="94">
        <v>0.0</v>
      </c>
      <c r="M1989" s="94">
        <v>0.0</v>
      </c>
      <c r="N1989" s="94" t="s">
        <v>255</v>
      </c>
      <c r="O1989" s="110" t="str">
        <f t="shared" si="1503"/>
        <v>#VALUE!</v>
      </c>
      <c r="P1989" s="94">
        <v>0.0</v>
      </c>
      <c r="Q1989" s="94">
        <v>0.0</v>
      </c>
      <c r="R1989" s="94">
        <v>0.0</v>
      </c>
      <c r="S1989" s="94">
        <v>0.0</v>
      </c>
      <c r="T1989" s="94">
        <v>0.0</v>
      </c>
      <c r="U1989" s="94">
        <v>0.0</v>
      </c>
      <c r="V1989" s="94">
        <v>0.0</v>
      </c>
      <c r="W1989" s="94">
        <v>0.0</v>
      </c>
      <c r="X1989" s="94">
        <v>0.0</v>
      </c>
      <c r="Y1989" s="94">
        <v>0.0</v>
      </c>
      <c r="Z1989" s="94">
        <v>0.0</v>
      </c>
      <c r="AA1989" s="94">
        <v>0.0</v>
      </c>
      <c r="AB1989" s="94">
        <v>0.0</v>
      </c>
      <c r="AC1989" s="94">
        <v>0.0</v>
      </c>
      <c r="AD1989" s="94">
        <v>0.0</v>
      </c>
      <c r="AE1989" s="94">
        <v>0.0</v>
      </c>
      <c r="AF1989" s="94">
        <v>0.0</v>
      </c>
      <c r="AG1989" s="94">
        <v>0.0</v>
      </c>
      <c r="AH1989" s="94">
        <v>0.0</v>
      </c>
    </row>
    <row r="1990" hidden="1">
      <c r="A1990" s="109"/>
      <c r="B1990" s="93"/>
      <c r="C1990" s="94">
        <v>0.0</v>
      </c>
      <c r="D1990" s="94">
        <v>0.0</v>
      </c>
      <c r="E1990" s="96">
        <f t="shared" si="1500"/>
        <v>0</v>
      </c>
      <c r="F1990" s="94">
        <v>0.0</v>
      </c>
      <c r="G1990" s="94">
        <v>0.0</v>
      </c>
      <c r="H1990" s="94">
        <v>0.0</v>
      </c>
      <c r="I1990" s="94">
        <v>0.0</v>
      </c>
      <c r="J1990" s="95">
        <f t="shared" si="1501"/>
        <v>0</v>
      </c>
      <c r="K1990" s="87" t="str">
        <f t="shared" si="1502"/>
        <v>#DIV/0!</v>
      </c>
      <c r="L1990" s="94">
        <v>0.0</v>
      </c>
      <c r="M1990" s="94">
        <v>0.0</v>
      </c>
      <c r="N1990" s="94" t="s">
        <v>255</v>
      </c>
      <c r="O1990" s="110" t="str">
        <f t="shared" si="1503"/>
        <v>#VALUE!</v>
      </c>
      <c r="P1990" s="94">
        <v>0.0</v>
      </c>
      <c r="Q1990" s="94">
        <v>0.0</v>
      </c>
      <c r="R1990" s="94">
        <v>0.0</v>
      </c>
      <c r="S1990" s="94">
        <v>0.0</v>
      </c>
      <c r="T1990" s="94">
        <v>0.0</v>
      </c>
      <c r="U1990" s="94">
        <v>0.0</v>
      </c>
      <c r="V1990" s="94">
        <v>0.0</v>
      </c>
      <c r="W1990" s="94">
        <v>0.0</v>
      </c>
      <c r="X1990" s="94">
        <v>0.0</v>
      </c>
      <c r="Y1990" s="94">
        <v>0.0</v>
      </c>
      <c r="Z1990" s="94">
        <v>0.0</v>
      </c>
      <c r="AA1990" s="94">
        <v>0.0</v>
      </c>
      <c r="AB1990" s="94">
        <v>0.0</v>
      </c>
      <c r="AC1990" s="94">
        <v>0.0</v>
      </c>
      <c r="AD1990" s="94">
        <v>0.0</v>
      </c>
      <c r="AE1990" s="94">
        <v>0.0</v>
      </c>
      <c r="AF1990" s="94">
        <v>0.0</v>
      </c>
      <c r="AG1990" s="94">
        <v>0.0</v>
      </c>
      <c r="AH1990" s="94">
        <v>0.0</v>
      </c>
    </row>
    <row r="1991" hidden="1">
      <c r="A1991" s="89"/>
      <c r="B1991" s="111"/>
      <c r="C1991" s="111">
        <f t="shared" ref="C1991:D1991" si="1504">SUM(C1985:C1990)/4</f>
        <v>0</v>
      </c>
      <c r="D1991" s="111">
        <f t="shared" si="1504"/>
        <v>0</v>
      </c>
      <c r="E1991" s="91">
        <f t="shared" ref="E1991:G1991" si="1505">SUM(E1985:E1990)</f>
        <v>0</v>
      </c>
      <c r="F1991" s="111">
        <f t="shared" si="1505"/>
        <v>0</v>
      </c>
      <c r="G1991" s="111">
        <f t="shared" si="1505"/>
        <v>0</v>
      </c>
      <c r="H1991" s="111"/>
      <c r="I1991" s="111">
        <f>SUM(I1985:I1990)</f>
        <v>0</v>
      </c>
      <c r="J1991" s="111">
        <f t="shared" si="1501"/>
        <v>0</v>
      </c>
      <c r="K1991" s="92" t="str">
        <f t="shared" si="1502"/>
        <v>#DIV/0!</v>
      </c>
      <c r="L1991" s="111">
        <f t="shared" ref="L1991:M1991" si="1506">SUM(L1985:L1990)</f>
        <v>0</v>
      </c>
      <c r="M1991" s="111">
        <f t="shared" si="1506"/>
        <v>0</v>
      </c>
      <c r="N1991" s="111"/>
      <c r="O1991" s="112"/>
      <c r="P1991" s="111">
        <f t="shared" ref="P1991:AH1991" si="1507">SUM(P1985:P1990)</f>
        <v>0</v>
      </c>
      <c r="Q1991" s="111">
        <f t="shared" si="1507"/>
        <v>0</v>
      </c>
      <c r="R1991" s="111">
        <f t="shared" si="1507"/>
        <v>0</v>
      </c>
      <c r="S1991" s="111">
        <f t="shared" si="1507"/>
        <v>0</v>
      </c>
      <c r="T1991" s="111">
        <f t="shared" si="1507"/>
        <v>0</v>
      </c>
      <c r="U1991" s="111">
        <f t="shared" si="1507"/>
        <v>0</v>
      </c>
      <c r="V1991" s="111">
        <f t="shared" si="1507"/>
        <v>0</v>
      </c>
      <c r="W1991" s="111">
        <f t="shared" si="1507"/>
        <v>0</v>
      </c>
      <c r="X1991" s="111">
        <f t="shared" si="1507"/>
        <v>0</v>
      </c>
      <c r="Y1991" s="111">
        <f t="shared" si="1507"/>
        <v>0</v>
      </c>
      <c r="Z1991" s="111">
        <f t="shared" si="1507"/>
        <v>0</v>
      </c>
      <c r="AA1991" s="111">
        <f t="shared" si="1507"/>
        <v>0</v>
      </c>
      <c r="AB1991" s="111">
        <f t="shared" si="1507"/>
        <v>0</v>
      </c>
      <c r="AC1991" s="111">
        <f t="shared" si="1507"/>
        <v>0</v>
      </c>
      <c r="AD1991" s="111">
        <f t="shared" si="1507"/>
        <v>0</v>
      </c>
      <c r="AE1991" s="111">
        <f t="shared" si="1507"/>
        <v>0</v>
      </c>
      <c r="AF1991" s="111">
        <f t="shared" si="1507"/>
        <v>0</v>
      </c>
      <c r="AG1991" s="111">
        <f t="shared" si="1507"/>
        <v>0</v>
      </c>
      <c r="AH1991" s="111">
        <f t="shared" si="1507"/>
        <v>0</v>
      </c>
    </row>
    <row r="1992" hidden="1">
      <c r="A1992" s="109"/>
      <c r="B1992" s="93"/>
      <c r="C1992" s="94">
        <v>0.0</v>
      </c>
      <c r="D1992" s="94">
        <v>0.0</v>
      </c>
      <c r="E1992" s="96">
        <f t="shared" ref="E1992:E1997" si="1508">SUM(L1992*I1992)/60</f>
        <v>0</v>
      </c>
      <c r="F1992" s="94">
        <v>0.0</v>
      </c>
      <c r="G1992" s="94">
        <v>0.0</v>
      </c>
      <c r="H1992" s="94">
        <v>0.0</v>
      </c>
      <c r="I1992" s="94">
        <v>0.0</v>
      </c>
      <c r="J1992" s="95">
        <f t="shared" si="1501"/>
        <v>0</v>
      </c>
      <c r="K1992" s="87" t="str">
        <f t="shared" si="1502"/>
        <v>#DIV/0!</v>
      </c>
      <c r="L1992" s="94">
        <v>0.0</v>
      </c>
      <c r="M1992" s="94">
        <v>0.0</v>
      </c>
      <c r="N1992" s="94" t="s">
        <v>255</v>
      </c>
      <c r="O1992" s="110" t="str">
        <f t="shared" ref="O1992:O1997" si="1509">(E1992*N1992)</f>
        <v>#VALUE!</v>
      </c>
      <c r="P1992" s="94">
        <v>0.0</v>
      </c>
      <c r="Q1992" s="94">
        <v>0.0</v>
      </c>
      <c r="R1992" s="94">
        <v>0.0</v>
      </c>
      <c r="S1992" s="94">
        <v>0.0</v>
      </c>
      <c r="T1992" s="94">
        <v>0.0</v>
      </c>
      <c r="U1992" s="94">
        <v>0.0</v>
      </c>
      <c r="V1992" s="94">
        <v>0.0</v>
      </c>
      <c r="W1992" s="94">
        <v>0.0</v>
      </c>
      <c r="X1992" s="94">
        <v>0.0</v>
      </c>
      <c r="Y1992" s="94">
        <v>0.0</v>
      </c>
      <c r="Z1992" s="94">
        <v>0.0</v>
      </c>
      <c r="AA1992" s="94">
        <v>0.0</v>
      </c>
      <c r="AB1992" s="94">
        <v>0.0</v>
      </c>
      <c r="AC1992" s="94">
        <v>0.0</v>
      </c>
      <c r="AD1992" s="94">
        <v>0.0</v>
      </c>
      <c r="AE1992" s="94">
        <v>0.0</v>
      </c>
      <c r="AF1992" s="94">
        <v>0.0</v>
      </c>
      <c r="AG1992" s="94">
        <v>0.0</v>
      </c>
      <c r="AH1992" s="94">
        <v>0.0</v>
      </c>
    </row>
    <row r="1993" hidden="1">
      <c r="A1993" s="109"/>
      <c r="B1993" s="93"/>
      <c r="C1993" s="94">
        <v>0.0</v>
      </c>
      <c r="D1993" s="94">
        <v>0.0</v>
      </c>
      <c r="E1993" s="96">
        <f t="shared" si="1508"/>
        <v>0</v>
      </c>
      <c r="F1993" s="94">
        <v>0.0</v>
      </c>
      <c r="G1993" s="94">
        <v>0.0</v>
      </c>
      <c r="H1993" s="94">
        <v>0.0</v>
      </c>
      <c r="I1993" s="94">
        <v>0.0</v>
      </c>
      <c r="J1993" s="95">
        <f t="shared" si="1501"/>
        <v>0</v>
      </c>
      <c r="K1993" s="87" t="str">
        <f t="shared" si="1502"/>
        <v>#DIV/0!</v>
      </c>
      <c r="L1993" s="94">
        <v>0.0</v>
      </c>
      <c r="M1993" s="94">
        <v>0.0</v>
      </c>
      <c r="N1993" s="94" t="s">
        <v>255</v>
      </c>
      <c r="O1993" s="110" t="str">
        <f t="shared" si="1509"/>
        <v>#VALUE!</v>
      </c>
      <c r="P1993" s="94">
        <v>0.0</v>
      </c>
      <c r="Q1993" s="94">
        <v>0.0</v>
      </c>
      <c r="R1993" s="94">
        <v>0.0</v>
      </c>
      <c r="S1993" s="94">
        <v>0.0</v>
      </c>
      <c r="T1993" s="94">
        <v>0.0</v>
      </c>
      <c r="U1993" s="94">
        <v>0.0</v>
      </c>
      <c r="V1993" s="94">
        <v>0.0</v>
      </c>
      <c r="W1993" s="94">
        <v>0.0</v>
      </c>
      <c r="X1993" s="94">
        <v>0.0</v>
      </c>
      <c r="Y1993" s="94">
        <v>0.0</v>
      </c>
      <c r="Z1993" s="94">
        <v>0.0</v>
      </c>
      <c r="AA1993" s="94">
        <v>0.0</v>
      </c>
      <c r="AB1993" s="94">
        <v>0.0</v>
      </c>
      <c r="AC1993" s="94">
        <v>0.0</v>
      </c>
      <c r="AD1993" s="94">
        <v>0.0</v>
      </c>
      <c r="AE1993" s="94">
        <v>0.0</v>
      </c>
      <c r="AF1993" s="94">
        <v>0.0</v>
      </c>
      <c r="AG1993" s="94">
        <v>0.0</v>
      </c>
      <c r="AH1993" s="94">
        <v>0.0</v>
      </c>
    </row>
    <row r="1994" hidden="1">
      <c r="A1994" s="109"/>
      <c r="B1994" s="93"/>
      <c r="C1994" s="94">
        <v>0.0</v>
      </c>
      <c r="D1994" s="94">
        <v>0.0</v>
      </c>
      <c r="E1994" s="96">
        <f t="shared" si="1508"/>
        <v>0</v>
      </c>
      <c r="F1994" s="94">
        <v>0.0</v>
      </c>
      <c r="G1994" s="94">
        <v>0.0</v>
      </c>
      <c r="H1994" s="94">
        <v>0.0</v>
      </c>
      <c r="I1994" s="94">
        <v>0.0</v>
      </c>
      <c r="J1994" s="95">
        <f t="shared" si="1501"/>
        <v>0</v>
      </c>
      <c r="K1994" s="87" t="str">
        <f t="shared" si="1502"/>
        <v>#DIV/0!</v>
      </c>
      <c r="L1994" s="94">
        <v>0.0</v>
      </c>
      <c r="M1994" s="94">
        <v>0.0</v>
      </c>
      <c r="N1994" s="94" t="s">
        <v>255</v>
      </c>
      <c r="O1994" s="110" t="str">
        <f t="shared" si="1509"/>
        <v>#VALUE!</v>
      </c>
      <c r="P1994" s="94">
        <v>0.0</v>
      </c>
      <c r="Q1994" s="94">
        <v>0.0</v>
      </c>
      <c r="R1994" s="94">
        <v>0.0</v>
      </c>
      <c r="S1994" s="94">
        <v>0.0</v>
      </c>
      <c r="T1994" s="94">
        <v>0.0</v>
      </c>
      <c r="U1994" s="94">
        <v>0.0</v>
      </c>
      <c r="V1994" s="94">
        <v>0.0</v>
      </c>
      <c r="W1994" s="94">
        <v>0.0</v>
      </c>
      <c r="X1994" s="94">
        <v>0.0</v>
      </c>
      <c r="Y1994" s="94">
        <v>0.0</v>
      </c>
      <c r="Z1994" s="94">
        <v>0.0</v>
      </c>
      <c r="AA1994" s="94">
        <v>0.0</v>
      </c>
      <c r="AB1994" s="94">
        <v>0.0</v>
      </c>
      <c r="AC1994" s="94">
        <v>0.0</v>
      </c>
      <c r="AD1994" s="94">
        <v>0.0</v>
      </c>
      <c r="AE1994" s="94">
        <v>0.0</v>
      </c>
      <c r="AF1994" s="94">
        <v>0.0</v>
      </c>
      <c r="AG1994" s="94">
        <v>0.0</v>
      </c>
      <c r="AH1994" s="94">
        <v>0.0</v>
      </c>
    </row>
    <row r="1995" hidden="1">
      <c r="A1995" s="109"/>
      <c r="B1995" s="93"/>
      <c r="C1995" s="94">
        <v>0.0</v>
      </c>
      <c r="D1995" s="94">
        <v>0.0</v>
      </c>
      <c r="E1995" s="96">
        <f t="shared" si="1508"/>
        <v>0</v>
      </c>
      <c r="F1995" s="94">
        <v>0.0</v>
      </c>
      <c r="G1995" s="94">
        <v>0.0</v>
      </c>
      <c r="H1995" s="94">
        <v>0.0</v>
      </c>
      <c r="I1995" s="94">
        <v>0.0</v>
      </c>
      <c r="J1995" s="95">
        <f t="shared" si="1501"/>
        <v>0</v>
      </c>
      <c r="K1995" s="87" t="str">
        <f t="shared" si="1502"/>
        <v>#DIV/0!</v>
      </c>
      <c r="L1995" s="94">
        <v>0.0</v>
      </c>
      <c r="M1995" s="94">
        <v>0.0</v>
      </c>
      <c r="N1995" s="94" t="s">
        <v>255</v>
      </c>
      <c r="O1995" s="110" t="str">
        <f t="shared" si="1509"/>
        <v>#VALUE!</v>
      </c>
      <c r="P1995" s="94">
        <v>0.0</v>
      </c>
      <c r="Q1995" s="94">
        <v>0.0</v>
      </c>
      <c r="R1995" s="94">
        <v>0.0</v>
      </c>
      <c r="S1995" s="94">
        <v>0.0</v>
      </c>
      <c r="T1995" s="94">
        <v>0.0</v>
      </c>
      <c r="U1995" s="94">
        <v>0.0</v>
      </c>
      <c r="V1995" s="94">
        <v>0.0</v>
      </c>
      <c r="W1995" s="94">
        <v>0.0</v>
      </c>
      <c r="X1995" s="94">
        <v>0.0</v>
      </c>
      <c r="Y1995" s="94">
        <v>0.0</v>
      </c>
      <c r="Z1995" s="94">
        <v>0.0</v>
      </c>
      <c r="AA1995" s="94">
        <v>0.0</v>
      </c>
      <c r="AB1995" s="94">
        <v>0.0</v>
      </c>
      <c r="AC1995" s="94">
        <v>0.0</v>
      </c>
      <c r="AD1995" s="94">
        <v>0.0</v>
      </c>
      <c r="AE1995" s="94">
        <v>0.0</v>
      </c>
      <c r="AF1995" s="94">
        <v>0.0</v>
      </c>
      <c r="AG1995" s="94">
        <v>0.0</v>
      </c>
      <c r="AH1995" s="94">
        <v>0.0</v>
      </c>
    </row>
    <row r="1996" hidden="1">
      <c r="A1996" s="109"/>
      <c r="B1996" s="93"/>
      <c r="C1996" s="94">
        <v>0.0</v>
      </c>
      <c r="D1996" s="94">
        <v>0.0</v>
      </c>
      <c r="E1996" s="96">
        <f t="shared" si="1508"/>
        <v>0</v>
      </c>
      <c r="F1996" s="94">
        <v>0.0</v>
      </c>
      <c r="G1996" s="94">
        <v>0.0</v>
      </c>
      <c r="H1996" s="94">
        <v>0.0</v>
      </c>
      <c r="I1996" s="94">
        <v>0.0</v>
      </c>
      <c r="J1996" s="95">
        <f t="shared" si="1501"/>
        <v>0</v>
      </c>
      <c r="K1996" s="87" t="str">
        <f t="shared" si="1502"/>
        <v>#DIV/0!</v>
      </c>
      <c r="L1996" s="94">
        <v>0.0</v>
      </c>
      <c r="M1996" s="94">
        <v>0.0</v>
      </c>
      <c r="N1996" s="94" t="s">
        <v>255</v>
      </c>
      <c r="O1996" s="110" t="str">
        <f t="shared" si="1509"/>
        <v>#VALUE!</v>
      </c>
      <c r="P1996" s="94">
        <v>0.0</v>
      </c>
      <c r="Q1996" s="94">
        <v>0.0</v>
      </c>
      <c r="R1996" s="94">
        <v>0.0</v>
      </c>
      <c r="S1996" s="94">
        <v>0.0</v>
      </c>
      <c r="T1996" s="94">
        <v>0.0</v>
      </c>
      <c r="U1996" s="94">
        <v>0.0</v>
      </c>
      <c r="V1996" s="94">
        <v>0.0</v>
      </c>
      <c r="W1996" s="94">
        <v>0.0</v>
      </c>
      <c r="X1996" s="94">
        <v>0.0</v>
      </c>
      <c r="Y1996" s="94">
        <v>0.0</v>
      </c>
      <c r="Z1996" s="94">
        <v>0.0</v>
      </c>
      <c r="AA1996" s="94">
        <v>0.0</v>
      </c>
      <c r="AB1996" s="94">
        <v>0.0</v>
      </c>
      <c r="AC1996" s="94">
        <v>0.0</v>
      </c>
      <c r="AD1996" s="94">
        <v>0.0</v>
      </c>
      <c r="AE1996" s="94">
        <v>0.0</v>
      </c>
      <c r="AF1996" s="94">
        <v>0.0</v>
      </c>
      <c r="AG1996" s="94">
        <v>0.0</v>
      </c>
      <c r="AH1996" s="94">
        <v>0.0</v>
      </c>
    </row>
    <row r="1997" hidden="1">
      <c r="A1997" s="109"/>
      <c r="B1997" s="93"/>
      <c r="C1997" s="94">
        <v>0.0</v>
      </c>
      <c r="D1997" s="94">
        <v>0.0</v>
      </c>
      <c r="E1997" s="96">
        <f t="shared" si="1508"/>
        <v>0</v>
      </c>
      <c r="F1997" s="94">
        <v>0.0</v>
      </c>
      <c r="G1997" s="94">
        <v>0.0</v>
      </c>
      <c r="H1997" s="94">
        <v>0.0</v>
      </c>
      <c r="I1997" s="94">
        <v>0.0</v>
      </c>
      <c r="J1997" s="95">
        <f t="shared" si="1501"/>
        <v>0</v>
      </c>
      <c r="K1997" s="87" t="str">
        <f t="shared" si="1502"/>
        <v>#DIV/0!</v>
      </c>
      <c r="L1997" s="94">
        <v>0.0</v>
      </c>
      <c r="M1997" s="94">
        <v>0.0</v>
      </c>
      <c r="N1997" s="94" t="s">
        <v>255</v>
      </c>
      <c r="O1997" s="110" t="str">
        <f t="shared" si="1509"/>
        <v>#VALUE!</v>
      </c>
      <c r="P1997" s="94">
        <v>0.0</v>
      </c>
      <c r="Q1997" s="94">
        <v>0.0</v>
      </c>
      <c r="R1997" s="94">
        <v>0.0</v>
      </c>
      <c r="S1997" s="94">
        <v>0.0</v>
      </c>
      <c r="T1997" s="94">
        <v>0.0</v>
      </c>
      <c r="U1997" s="94">
        <v>0.0</v>
      </c>
      <c r="V1997" s="94">
        <v>0.0</v>
      </c>
      <c r="W1997" s="94">
        <v>0.0</v>
      </c>
      <c r="X1997" s="94">
        <v>0.0</v>
      </c>
      <c r="Y1997" s="94">
        <v>0.0</v>
      </c>
      <c r="Z1997" s="94">
        <v>0.0</v>
      </c>
      <c r="AA1997" s="94">
        <v>0.0</v>
      </c>
      <c r="AB1997" s="94">
        <v>0.0</v>
      </c>
      <c r="AC1997" s="94">
        <v>0.0</v>
      </c>
      <c r="AD1997" s="94">
        <v>0.0</v>
      </c>
      <c r="AE1997" s="94">
        <v>0.0</v>
      </c>
      <c r="AF1997" s="94">
        <v>0.0</v>
      </c>
      <c r="AG1997" s="94">
        <v>0.0</v>
      </c>
      <c r="AH1997" s="94">
        <v>0.0</v>
      </c>
    </row>
    <row r="1998" hidden="1">
      <c r="A1998" s="89" t="s">
        <v>185</v>
      </c>
      <c r="B1998" s="111"/>
      <c r="C1998" s="111">
        <f>SUM(C1992:C1997)</f>
        <v>0</v>
      </c>
      <c r="D1998" s="111">
        <f t="shared" ref="D1998:E1998" si="1510">SUM(D1992:D1997)/4</f>
        <v>0</v>
      </c>
      <c r="E1998" s="91">
        <f t="shared" si="1510"/>
        <v>0</v>
      </c>
      <c r="F1998" s="111">
        <f t="shared" ref="F1998:G1998" si="1511">SUM(F1992:F1997)</f>
        <v>0</v>
      </c>
      <c r="G1998" s="111">
        <f t="shared" si="1511"/>
        <v>0</v>
      </c>
      <c r="H1998" s="111"/>
      <c r="I1998" s="111">
        <f>SUM(I1992:I1997)</f>
        <v>0</v>
      </c>
      <c r="J1998" s="111">
        <f t="shared" si="1501"/>
        <v>0</v>
      </c>
      <c r="K1998" s="92" t="str">
        <f t="shared" si="1502"/>
        <v>#DIV/0!</v>
      </c>
      <c r="L1998" s="111">
        <f t="shared" ref="L1998:M1998" si="1512">SUM(L1992:L1997)</f>
        <v>0</v>
      </c>
      <c r="M1998" s="111">
        <f t="shared" si="1512"/>
        <v>0</v>
      </c>
      <c r="N1998" s="111"/>
      <c r="O1998" s="112"/>
      <c r="P1998" s="111">
        <f t="shared" ref="P1998:AH1998" si="1513">SUM(P1992:P1997)</f>
        <v>0</v>
      </c>
      <c r="Q1998" s="111">
        <f t="shared" si="1513"/>
        <v>0</v>
      </c>
      <c r="R1998" s="111">
        <f t="shared" si="1513"/>
        <v>0</v>
      </c>
      <c r="S1998" s="111">
        <f t="shared" si="1513"/>
        <v>0</v>
      </c>
      <c r="T1998" s="111">
        <f t="shared" si="1513"/>
        <v>0</v>
      </c>
      <c r="U1998" s="111">
        <f t="shared" si="1513"/>
        <v>0</v>
      </c>
      <c r="V1998" s="111">
        <f t="shared" si="1513"/>
        <v>0</v>
      </c>
      <c r="W1998" s="111">
        <f t="shared" si="1513"/>
        <v>0</v>
      </c>
      <c r="X1998" s="111">
        <f t="shared" si="1513"/>
        <v>0</v>
      </c>
      <c r="Y1998" s="111">
        <f t="shared" si="1513"/>
        <v>0</v>
      </c>
      <c r="Z1998" s="111">
        <f t="shared" si="1513"/>
        <v>0</v>
      </c>
      <c r="AA1998" s="111">
        <f t="shared" si="1513"/>
        <v>0</v>
      </c>
      <c r="AB1998" s="111">
        <f t="shared" si="1513"/>
        <v>0</v>
      </c>
      <c r="AC1998" s="111">
        <f t="shared" si="1513"/>
        <v>0</v>
      </c>
      <c r="AD1998" s="111">
        <f t="shared" si="1513"/>
        <v>0</v>
      </c>
      <c r="AE1998" s="111">
        <f t="shared" si="1513"/>
        <v>0</v>
      </c>
      <c r="AF1998" s="111">
        <f t="shared" si="1513"/>
        <v>0</v>
      </c>
      <c r="AG1998" s="111">
        <f t="shared" si="1513"/>
        <v>0</v>
      </c>
      <c r="AH1998" s="111">
        <f t="shared" si="1513"/>
        <v>0</v>
      </c>
    </row>
    <row r="1999">
      <c r="A1999" s="89"/>
      <c r="B1999" s="111"/>
      <c r="C1999" s="111"/>
      <c r="D1999" s="111"/>
      <c r="E1999" s="91"/>
      <c r="F1999" s="111"/>
      <c r="G1999" s="111"/>
      <c r="H1999" s="111"/>
      <c r="I1999" s="111"/>
      <c r="J1999" s="111"/>
      <c r="K1999" s="92"/>
      <c r="L1999" s="111"/>
      <c r="M1999" s="111"/>
      <c r="N1999" s="111"/>
      <c r="O1999" s="112"/>
      <c r="P1999" s="111"/>
      <c r="Q1999" s="111"/>
      <c r="R1999" s="111"/>
      <c r="S1999" s="111"/>
      <c r="T1999" s="111"/>
      <c r="U1999" s="111"/>
      <c r="V1999" s="111"/>
      <c r="W1999" s="111"/>
      <c r="X1999" s="111"/>
      <c r="Y1999" s="111"/>
      <c r="Z1999" s="111"/>
      <c r="AA1999" s="111"/>
      <c r="AB1999" s="111"/>
      <c r="AC1999" s="111"/>
      <c r="AD1999" s="111"/>
      <c r="AE1999" s="111"/>
      <c r="AF1999" s="111"/>
      <c r="AG1999" s="111"/>
      <c r="AH1999" s="111"/>
    </row>
    <row r="2000">
      <c r="A2000" s="89"/>
      <c r="B2000" s="111"/>
      <c r="C2000" s="111"/>
      <c r="D2000" s="111"/>
      <c r="E2000" s="91"/>
      <c r="F2000" s="111"/>
      <c r="G2000" s="111"/>
      <c r="H2000" s="111"/>
      <c r="I2000" s="111"/>
      <c r="J2000" s="111"/>
      <c r="K2000" s="92"/>
      <c r="L2000" s="111"/>
      <c r="M2000" s="111"/>
      <c r="N2000" s="111"/>
      <c r="O2000" s="112"/>
      <c r="P2000" s="111"/>
      <c r="Q2000" s="111"/>
      <c r="R2000" s="111"/>
      <c r="S2000" s="111"/>
      <c r="T2000" s="111"/>
      <c r="U2000" s="111"/>
      <c r="V2000" s="111"/>
      <c r="W2000" s="111"/>
      <c r="X2000" s="111"/>
      <c r="Y2000" s="111"/>
      <c r="Z2000" s="111"/>
      <c r="AA2000" s="111"/>
      <c r="AB2000" s="111"/>
      <c r="AC2000" s="111"/>
      <c r="AD2000" s="111"/>
      <c r="AE2000" s="111"/>
      <c r="AF2000" s="111"/>
      <c r="AG2000" s="111"/>
      <c r="AH2000" s="111"/>
    </row>
    <row r="2001">
      <c r="A2001" s="89"/>
      <c r="B2001" s="111"/>
      <c r="C2001" s="111"/>
      <c r="D2001" s="111"/>
      <c r="E2001" s="91"/>
      <c r="F2001" s="111"/>
      <c r="G2001" s="111"/>
      <c r="H2001" s="111"/>
      <c r="I2001" s="111"/>
      <c r="J2001" s="111"/>
      <c r="K2001" s="92"/>
      <c r="L2001" s="111"/>
      <c r="M2001" s="111"/>
      <c r="N2001" s="111"/>
      <c r="O2001" s="112"/>
      <c r="P2001" s="111"/>
      <c r="Q2001" s="111"/>
      <c r="R2001" s="111"/>
      <c r="S2001" s="111"/>
      <c r="T2001" s="111"/>
      <c r="U2001" s="111"/>
      <c r="V2001" s="111"/>
      <c r="W2001" s="111"/>
      <c r="X2001" s="111"/>
      <c r="Y2001" s="111"/>
      <c r="Z2001" s="111"/>
      <c r="AA2001" s="111"/>
      <c r="AB2001" s="111"/>
      <c r="AC2001" s="111"/>
      <c r="AD2001" s="111"/>
      <c r="AE2001" s="111"/>
      <c r="AF2001" s="111"/>
      <c r="AG2001" s="111"/>
      <c r="AH2001" s="111"/>
    </row>
    <row r="2002">
      <c r="A2002" s="89"/>
      <c r="B2002" s="111"/>
      <c r="C2002" s="111"/>
      <c r="D2002" s="111"/>
      <c r="E2002" s="91"/>
      <c r="F2002" s="111"/>
      <c r="G2002" s="111"/>
      <c r="H2002" s="111"/>
      <c r="I2002" s="111"/>
      <c r="J2002" s="111"/>
      <c r="K2002" s="92"/>
      <c r="L2002" s="111"/>
      <c r="M2002" s="111"/>
      <c r="N2002" s="111"/>
      <c r="O2002" s="112"/>
      <c r="P2002" s="111"/>
      <c r="Q2002" s="111"/>
      <c r="R2002" s="111"/>
      <c r="S2002" s="111"/>
      <c r="T2002" s="111"/>
      <c r="U2002" s="111"/>
      <c r="V2002" s="111"/>
      <c r="W2002" s="111"/>
      <c r="X2002" s="111"/>
      <c r="Y2002" s="111"/>
      <c r="Z2002" s="111"/>
      <c r="AA2002" s="111"/>
      <c r="AB2002" s="111"/>
      <c r="AC2002" s="111"/>
      <c r="AD2002" s="111"/>
      <c r="AE2002" s="111"/>
      <c r="AF2002" s="111"/>
      <c r="AG2002" s="111"/>
      <c r="AH2002" s="111"/>
    </row>
    <row r="2003">
      <c r="A2003" s="89"/>
      <c r="B2003" s="111"/>
      <c r="C2003" s="111"/>
      <c r="D2003" s="111"/>
      <c r="E2003" s="91"/>
      <c r="F2003" s="111"/>
      <c r="G2003" s="111"/>
      <c r="H2003" s="111"/>
      <c r="I2003" s="111"/>
      <c r="J2003" s="111"/>
      <c r="K2003" s="92"/>
      <c r="L2003" s="111"/>
      <c r="M2003" s="111"/>
      <c r="N2003" s="111"/>
      <c r="O2003" s="112"/>
      <c r="P2003" s="111"/>
      <c r="Q2003" s="111"/>
      <c r="R2003" s="111"/>
      <c r="S2003" s="111"/>
      <c r="T2003" s="111"/>
      <c r="U2003" s="111"/>
      <c r="V2003" s="111"/>
      <c r="W2003" s="111"/>
      <c r="X2003" s="111"/>
      <c r="Y2003" s="111"/>
      <c r="Z2003" s="111"/>
      <c r="AA2003" s="111"/>
      <c r="AB2003" s="111"/>
      <c r="AC2003" s="111"/>
      <c r="AD2003" s="111"/>
      <c r="AE2003" s="111"/>
      <c r="AF2003" s="111"/>
      <c r="AG2003" s="111"/>
      <c r="AH2003" s="111"/>
    </row>
    <row r="2004">
      <c r="A2004" s="89"/>
      <c r="B2004" s="111"/>
      <c r="C2004" s="111"/>
      <c r="D2004" s="111"/>
      <c r="E2004" s="91"/>
      <c r="F2004" s="111"/>
      <c r="G2004" s="111"/>
      <c r="H2004" s="111"/>
      <c r="I2004" s="111"/>
      <c r="J2004" s="111"/>
      <c r="K2004" s="92"/>
      <c r="L2004" s="111"/>
      <c r="M2004" s="111"/>
      <c r="N2004" s="111"/>
      <c r="O2004" s="112"/>
      <c r="P2004" s="111"/>
      <c r="Q2004" s="111"/>
      <c r="R2004" s="111"/>
      <c r="S2004" s="111"/>
      <c r="T2004" s="111"/>
      <c r="U2004" s="111"/>
      <c r="V2004" s="111"/>
      <c r="W2004" s="111"/>
      <c r="X2004" s="111"/>
      <c r="Y2004" s="111"/>
      <c r="Z2004" s="111"/>
      <c r="AA2004" s="111"/>
      <c r="AB2004" s="111"/>
      <c r="AC2004" s="111"/>
      <c r="AD2004" s="111"/>
      <c r="AE2004" s="111"/>
      <c r="AF2004" s="111"/>
      <c r="AG2004" s="111"/>
      <c r="AH2004" s="111"/>
    </row>
    <row r="2005">
      <c r="A2005" s="89"/>
      <c r="B2005" s="111"/>
      <c r="C2005" s="111"/>
      <c r="D2005" s="111"/>
      <c r="E2005" s="91"/>
      <c r="F2005" s="111"/>
      <c r="G2005" s="111"/>
      <c r="H2005" s="111"/>
      <c r="I2005" s="111"/>
      <c r="J2005" s="111"/>
      <c r="K2005" s="92"/>
      <c r="L2005" s="111"/>
      <c r="M2005" s="111"/>
      <c r="N2005" s="111"/>
      <c r="O2005" s="112"/>
      <c r="P2005" s="111"/>
      <c r="Q2005" s="111"/>
      <c r="R2005" s="111"/>
      <c r="S2005" s="111"/>
      <c r="T2005" s="111"/>
      <c r="U2005" s="111"/>
      <c r="V2005" s="111"/>
      <c r="W2005" s="111"/>
      <c r="X2005" s="111"/>
      <c r="Y2005" s="111"/>
      <c r="Z2005" s="111"/>
      <c r="AA2005" s="111"/>
      <c r="AB2005" s="111"/>
      <c r="AC2005" s="111"/>
      <c r="AD2005" s="111"/>
      <c r="AE2005" s="111"/>
      <c r="AF2005" s="111"/>
      <c r="AG2005" s="111"/>
      <c r="AH2005" s="111"/>
    </row>
    <row r="2006">
      <c r="A2006" s="89"/>
      <c r="B2006" s="111"/>
      <c r="C2006" s="111"/>
      <c r="D2006" s="111"/>
      <c r="E2006" s="91"/>
      <c r="F2006" s="111"/>
      <c r="G2006" s="111"/>
      <c r="H2006" s="111"/>
      <c r="I2006" s="111"/>
      <c r="J2006" s="111"/>
      <c r="K2006" s="92"/>
      <c r="L2006" s="111"/>
      <c r="M2006" s="111"/>
      <c r="N2006" s="111"/>
      <c r="O2006" s="112"/>
      <c r="P2006" s="111"/>
      <c r="Q2006" s="111"/>
      <c r="R2006" s="111"/>
      <c r="S2006" s="111"/>
      <c r="T2006" s="111"/>
      <c r="U2006" s="111"/>
      <c r="V2006" s="111"/>
      <c r="W2006" s="111"/>
      <c r="X2006" s="111"/>
      <c r="Y2006" s="111"/>
      <c r="Z2006" s="111"/>
      <c r="AA2006" s="111"/>
      <c r="AB2006" s="111"/>
      <c r="AC2006" s="111"/>
      <c r="AD2006" s="111"/>
      <c r="AE2006" s="111"/>
      <c r="AF2006" s="111"/>
      <c r="AG2006" s="111"/>
      <c r="AH2006" s="111"/>
    </row>
    <row r="2007">
      <c r="A2007" s="89"/>
      <c r="B2007" s="111"/>
      <c r="C2007" s="111"/>
      <c r="D2007" s="111"/>
      <c r="E2007" s="91"/>
      <c r="F2007" s="111"/>
      <c r="G2007" s="111"/>
      <c r="H2007" s="111"/>
      <c r="I2007" s="111"/>
      <c r="J2007" s="111"/>
      <c r="K2007" s="92"/>
      <c r="L2007" s="111"/>
      <c r="M2007" s="111"/>
      <c r="N2007" s="111"/>
      <c r="O2007" s="112"/>
      <c r="P2007" s="111"/>
      <c r="Q2007" s="111"/>
      <c r="R2007" s="111"/>
      <c r="S2007" s="111"/>
      <c r="T2007" s="111"/>
      <c r="U2007" s="111"/>
      <c r="V2007" s="111"/>
      <c r="W2007" s="111"/>
      <c r="X2007" s="111"/>
      <c r="Y2007" s="111"/>
      <c r="Z2007" s="111"/>
      <c r="AA2007" s="111"/>
      <c r="AB2007" s="111"/>
      <c r="AC2007" s="111"/>
      <c r="AD2007" s="111"/>
      <c r="AE2007" s="111"/>
      <c r="AF2007" s="111"/>
      <c r="AG2007" s="111"/>
      <c r="AH2007" s="111"/>
    </row>
    <row r="2008">
      <c r="A2008" s="89"/>
      <c r="B2008" s="111"/>
      <c r="C2008" s="111"/>
      <c r="D2008" s="111"/>
      <c r="E2008" s="91"/>
      <c r="F2008" s="111"/>
      <c r="G2008" s="111"/>
      <c r="H2008" s="111"/>
      <c r="I2008" s="111"/>
      <c r="J2008" s="111"/>
      <c r="K2008" s="92"/>
      <c r="L2008" s="111"/>
      <c r="M2008" s="111"/>
      <c r="N2008" s="111"/>
      <c r="O2008" s="112"/>
      <c r="P2008" s="111"/>
      <c r="Q2008" s="111"/>
      <c r="R2008" s="111"/>
      <c r="S2008" s="111"/>
      <c r="T2008" s="111"/>
      <c r="U2008" s="111"/>
      <c r="V2008" s="111"/>
      <c r="W2008" s="111"/>
      <c r="X2008" s="111"/>
      <c r="Y2008" s="111"/>
      <c r="Z2008" s="111"/>
      <c r="AA2008" s="111"/>
      <c r="AB2008" s="111"/>
      <c r="AC2008" s="111"/>
      <c r="AD2008" s="111"/>
      <c r="AE2008" s="111"/>
      <c r="AF2008" s="111"/>
      <c r="AG2008" s="111"/>
      <c r="AH2008" s="111"/>
    </row>
    <row r="2009">
      <c r="A2009" s="89"/>
      <c r="B2009" s="111"/>
      <c r="C2009" s="111"/>
      <c r="D2009" s="111"/>
      <c r="E2009" s="91"/>
      <c r="F2009" s="111"/>
      <c r="G2009" s="111"/>
      <c r="H2009" s="111"/>
      <c r="I2009" s="111"/>
      <c r="J2009" s="111"/>
      <c r="K2009" s="92"/>
      <c r="L2009" s="111"/>
      <c r="M2009" s="111"/>
      <c r="N2009" s="111"/>
      <c r="O2009" s="112"/>
      <c r="P2009" s="111"/>
      <c r="Q2009" s="111"/>
      <c r="R2009" s="111"/>
      <c r="S2009" s="111"/>
      <c r="T2009" s="111"/>
      <c r="U2009" s="111"/>
      <c r="V2009" s="111"/>
      <c r="W2009" s="111"/>
      <c r="X2009" s="111"/>
      <c r="Y2009" s="111"/>
      <c r="Z2009" s="111"/>
      <c r="AA2009" s="111"/>
      <c r="AB2009" s="111"/>
      <c r="AC2009" s="111"/>
      <c r="AD2009" s="111"/>
      <c r="AE2009" s="111"/>
      <c r="AF2009" s="111"/>
      <c r="AG2009" s="111"/>
      <c r="AH2009" s="111"/>
    </row>
    <row r="2010">
      <c r="A2010" s="89"/>
      <c r="B2010" s="111"/>
      <c r="C2010" s="111"/>
      <c r="D2010" s="111"/>
      <c r="E2010" s="91"/>
      <c r="F2010" s="111"/>
      <c r="G2010" s="111"/>
      <c r="H2010" s="111"/>
      <c r="I2010" s="111"/>
      <c r="J2010" s="111"/>
      <c r="K2010" s="92"/>
      <c r="L2010" s="111"/>
      <c r="M2010" s="111"/>
      <c r="N2010" s="111"/>
      <c r="O2010" s="112"/>
      <c r="P2010" s="111"/>
      <c r="Q2010" s="111"/>
      <c r="R2010" s="111"/>
      <c r="S2010" s="111"/>
      <c r="T2010" s="111"/>
      <c r="U2010" s="111"/>
      <c r="V2010" s="111"/>
      <c r="W2010" s="111"/>
      <c r="X2010" s="111"/>
      <c r="Y2010" s="111"/>
      <c r="Z2010" s="111"/>
      <c r="AA2010" s="111"/>
      <c r="AB2010" s="111"/>
      <c r="AC2010" s="111"/>
      <c r="AD2010" s="111"/>
      <c r="AE2010" s="111"/>
      <c r="AF2010" s="111"/>
      <c r="AG2010" s="111"/>
      <c r="AH2010" s="111"/>
    </row>
    <row r="2011">
      <c r="A2011" s="89"/>
      <c r="B2011" s="111"/>
      <c r="C2011" s="111"/>
      <c r="D2011" s="111"/>
      <c r="E2011" s="91"/>
      <c r="F2011" s="111"/>
      <c r="G2011" s="111"/>
      <c r="H2011" s="111"/>
      <c r="I2011" s="111"/>
      <c r="J2011" s="111"/>
      <c r="K2011" s="92"/>
      <c r="L2011" s="111"/>
      <c r="M2011" s="111"/>
      <c r="N2011" s="111"/>
      <c r="O2011" s="112"/>
      <c r="P2011" s="111"/>
      <c r="Q2011" s="111"/>
      <c r="R2011" s="111"/>
      <c r="S2011" s="111"/>
      <c r="T2011" s="111"/>
      <c r="U2011" s="111"/>
      <c r="V2011" s="111"/>
      <c r="W2011" s="111"/>
      <c r="X2011" s="111"/>
      <c r="Y2011" s="111"/>
      <c r="Z2011" s="111"/>
      <c r="AA2011" s="111"/>
      <c r="AB2011" s="111"/>
      <c r="AC2011" s="111"/>
      <c r="AD2011" s="111"/>
      <c r="AE2011" s="111"/>
      <c r="AF2011" s="111"/>
      <c r="AG2011" s="111"/>
      <c r="AH2011" s="111"/>
    </row>
    <row r="2012">
      <c r="A2012" s="89"/>
      <c r="B2012" s="111"/>
      <c r="C2012" s="111"/>
      <c r="D2012" s="111"/>
      <c r="E2012" s="91"/>
      <c r="F2012" s="111"/>
      <c r="G2012" s="111"/>
      <c r="H2012" s="111"/>
      <c r="I2012" s="111"/>
      <c r="J2012" s="111"/>
      <c r="K2012" s="92"/>
      <c r="L2012" s="111"/>
      <c r="M2012" s="111"/>
      <c r="N2012" s="111"/>
      <c r="O2012" s="112"/>
      <c r="P2012" s="111"/>
      <c r="Q2012" s="111"/>
      <c r="R2012" s="111"/>
      <c r="S2012" s="111"/>
      <c r="T2012" s="111"/>
      <c r="U2012" s="111"/>
      <c r="V2012" s="111"/>
      <c r="W2012" s="111"/>
      <c r="X2012" s="111"/>
      <c r="Y2012" s="111"/>
      <c r="Z2012" s="111"/>
      <c r="AA2012" s="111"/>
      <c r="AB2012" s="111"/>
      <c r="AC2012" s="111"/>
      <c r="AD2012" s="111"/>
      <c r="AE2012" s="111"/>
      <c r="AF2012" s="111"/>
      <c r="AG2012" s="111"/>
      <c r="AH2012" s="111"/>
    </row>
    <row r="2013">
      <c r="A2013" s="89"/>
      <c r="B2013" s="111"/>
      <c r="C2013" s="111"/>
      <c r="D2013" s="111"/>
      <c r="E2013" s="91"/>
      <c r="F2013" s="111"/>
      <c r="G2013" s="111"/>
      <c r="H2013" s="111"/>
      <c r="I2013" s="111"/>
      <c r="J2013" s="111"/>
      <c r="K2013" s="92"/>
      <c r="L2013" s="111"/>
      <c r="M2013" s="111"/>
      <c r="N2013" s="111"/>
      <c r="O2013" s="112"/>
      <c r="P2013" s="111"/>
      <c r="Q2013" s="111"/>
      <c r="R2013" s="111"/>
      <c r="S2013" s="111"/>
      <c r="T2013" s="111"/>
      <c r="U2013" s="111"/>
      <c r="V2013" s="111"/>
      <c r="W2013" s="111"/>
      <c r="X2013" s="111"/>
      <c r="Y2013" s="111"/>
      <c r="Z2013" s="111"/>
      <c r="AA2013" s="111"/>
      <c r="AB2013" s="111"/>
      <c r="AC2013" s="111"/>
      <c r="AD2013" s="111"/>
      <c r="AE2013" s="111"/>
      <c r="AF2013" s="111"/>
      <c r="AG2013" s="111"/>
      <c r="AH2013" s="111"/>
    </row>
    <row r="2014">
      <c r="A2014" s="89"/>
      <c r="B2014" s="111"/>
      <c r="C2014" s="111"/>
      <c r="D2014" s="111"/>
      <c r="E2014" s="91"/>
      <c r="F2014" s="111"/>
      <c r="G2014" s="111"/>
      <c r="H2014" s="111"/>
      <c r="I2014" s="111"/>
      <c r="J2014" s="111"/>
      <c r="K2014" s="92"/>
      <c r="L2014" s="111"/>
      <c r="M2014" s="111"/>
      <c r="N2014" s="111"/>
      <c r="O2014" s="112"/>
      <c r="P2014" s="111"/>
      <c r="Q2014" s="111"/>
      <c r="R2014" s="111"/>
      <c r="S2014" s="111"/>
      <c r="T2014" s="111"/>
      <c r="U2014" s="111"/>
      <c r="V2014" s="111"/>
      <c r="W2014" s="111"/>
      <c r="X2014" s="111"/>
      <c r="Y2014" s="111"/>
      <c r="Z2014" s="111"/>
      <c r="AA2014" s="111"/>
      <c r="AB2014" s="111"/>
      <c r="AC2014" s="111"/>
      <c r="AD2014" s="111"/>
      <c r="AE2014" s="111"/>
      <c r="AF2014" s="111"/>
      <c r="AG2014" s="111"/>
      <c r="AH2014" s="111"/>
    </row>
    <row r="2015">
      <c r="A2015" s="89"/>
      <c r="B2015" s="111"/>
      <c r="C2015" s="111"/>
      <c r="D2015" s="111"/>
      <c r="E2015" s="91"/>
      <c r="F2015" s="111"/>
      <c r="G2015" s="111"/>
      <c r="H2015" s="111"/>
      <c r="I2015" s="111"/>
      <c r="J2015" s="111"/>
      <c r="K2015" s="92"/>
      <c r="L2015" s="111"/>
      <c r="M2015" s="111"/>
      <c r="N2015" s="111"/>
      <c r="O2015" s="112"/>
      <c r="P2015" s="111"/>
      <c r="Q2015" s="111"/>
      <c r="R2015" s="111"/>
      <c r="S2015" s="111"/>
      <c r="T2015" s="111"/>
      <c r="U2015" s="111"/>
      <c r="V2015" s="111"/>
      <c r="W2015" s="111"/>
      <c r="X2015" s="111"/>
      <c r="Y2015" s="111"/>
      <c r="Z2015" s="111"/>
      <c r="AA2015" s="111"/>
      <c r="AB2015" s="111"/>
      <c r="AC2015" s="111"/>
      <c r="AD2015" s="111"/>
      <c r="AE2015" s="111"/>
      <c r="AF2015" s="111"/>
      <c r="AG2015" s="111"/>
      <c r="AH2015" s="111"/>
    </row>
    <row r="2016">
      <c r="A2016" s="89"/>
      <c r="B2016" s="111"/>
      <c r="C2016" s="111"/>
      <c r="D2016" s="111"/>
      <c r="E2016" s="91"/>
      <c r="F2016" s="111"/>
      <c r="G2016" s="111"/>
      <c r="H2016" s="111"/>
      <c r="I2016" s="111"/>
      <c r="J2016" s="111"/>
      <c r="K2016" s="92"/>
      <c r="L2016" s="111"/>
      <c r="M2016" s="111"/>
      <c r="N2016" s="111"/>
      <c r="O2016" s="112"/>
      <c r="P2016" s="111"/>
      <c r="Q2016" s="111"/>
      <c r="R2016" s="111"/>
      <c r="S2016" s="111"/>
      <c r="T2016" s="111"/>
      <c r="U2016" s="111"/>
      <c r="V2016" s="111"/>
      <c r="W2016" s="111"/>
      <c r="X2016" s="111"/>
      <c r="Y2016" s="111"/>
      <c r="Z2016" s="111"/>
      <c r="AA2016" s="111"/>
      <c r="AB2016" s="111"/>
      <c r="AC2016" s="111"/>
      <c r="AD2016" s="111"/>
      <c r="AE2016" s="111"/>
      <c r="AF2016" s="111"/>
      <c r="AG2016" s="111"/>
      <c r="AH2016" s="111"/>
    </row>
    <row r="2017">
      <c r="A2017" s="89"/>
      <c r="B2017" s="111"/>
      <c r="C2017" s="111"/>
      <c r="D2017" s="111"/>
      <c r="E2017" s="91"/>
      <c r="F2017" s="111"/>
      <c r="G2017" s="111"/>
      <c r="H2017" s="111"/>
      <c r="I2017" s="111"/>
      <c r="J2017" s="111"/>
      <c r="K2017" s="92"/>
      <c r="L2017" s="111"/>
      <c r="M2017" s="111"/>
      <c r="N2017" s="111"/>
      <c r="O2017" s="112"/>
      <c r="P2017" s="111"/>
      <c r="Q2017" s="111"/>
      <c r="R2017" s="111"/>
      <c r="S2017" s="111"/>
      <c r="T2017" s="111"/>
      <c r="U2017" s="111"/>
      <c r="V2017" s="111"/>
      <c r="W2017" s="111"/>
      <c r="X2017" s="111"/>
      <c r="Y2017" s="111"/>
      <c r="Z2017" s="111"/>
      <c r="AA2017" s="111"/>
      <c r="AB2017" s="111"/>
      <c r="AC2017" s="111"/>
      <c r="AD2017" s="111"/>
      <c r="AE2017" s="111"/>
      <c r="AF2017" s="111"/>
      <c r="AG2017" s="111"/>
      <c r="AH2017" s="111"/>
    </row>
    <row r="2018">
      <c r="A2018" s="89"/>
      <c r="B2018" s="111"/>
      <c r="C2018" s="111"/>
      <c r="D2018" s="111"/>
      <c r="E2018" s="91"/>
      <c r="F2018" s="111"/>
      <c r="G2018" s="111"/>
      <c r="H2018" s="111"/>
      <c r="I2018" s="111"/>
      <c r="J2018" s="111"/>
      <c r="K2018" s="92"/>
      <c r="L2018" s="111"/>
      <c r="M2018" s="111"/>
      <c r="N2018" s="111"/>
      <c r="O2018" s="112"/>
      <c r="P2018" s="111"/>
      <c r="Q2018" s="111"/>
      <c r="R2018" s="111"/>
      <c r="S2018" s="111"/>
      <c r="T2018" s="111"/>
      <c r="U2018" s="111"/>
      <c r="V2018" s="111"/>
      <c r="W2018" s="111"/>
      <c r="X2018" s="111"/>
      <c r="Y2018" s="111"/>
      <c r="Z2018" s="111"/>
      <c r="AA2018" s="111"/>
      <c r="AB2018" s="111"/>
      <c r="AC2018" s="111"/>
      <c r="AD2018" s="111"/>
      <c r="AE2018" s="111"/>
      <c r="AF2018" s="111"/>
      <c r="AG2018" s="111"/>
      <c r="AH2018" s="111"/>
    </row>
    <row r="2019">
      <c r="A2019" s="89"/>
      <c r="B2019" s="111"/>
      <c r="C2019" s="111"/>
      <c r="D2019" s="111"/>
      <c r="E2019" s="91"/>
      <c r="F2019" s="111"/>
      <c r="G2019" s="111"/>
      <c r="H2019" s="111"/>
      <c r="I2019" s="111"/>
      <c r="J2019" s="111"/>
      <c r="K2019" s="92"/>
      <c r="L2019" s="111"/>
      <c r="M2019" s="111"/>
      <c r="N2019" s="111"/>
      <c r="O2019" s="112"/>
      <c r="P2019" s="111"/>
      <c r="Q2019" s="111"/>
      <c r="R2019" s="111"/>
      <c r="S2019" s="111"/>
      <c r="T2019" s="111"/>
      <c r="U2019" s="111"/>
      <c r="V2019" s="111"/>
      <c r="W2019" s="111"/>
      <c r="X2019" s="111"/>
      <c r="Y2019" s="111"/>
      <c r="Z2019" s="111"/>
      <c r="AA2019" s="111"/>
      <c r="AB2019" s="111"/>
      <c r="AC2019" s="111"/>
      <c r="AD2019" s="111"/>
      <c r="AE2019" s="111"/>
      <c r="AF2019" s="111"/>
      <c r="AG2019" s="111"/>
      <c r="AH2019" s="111"/>
    </row>
    <row r="2020">
      <c r="A2020" s="89"/>
      <c r="B2020" s="111"/>
      <c r="C2020" s="111"/>
      <c r="D2020" s="111"/>
      <c r="E2020" s="91"/>
      <c r="F2020" s="111"/>
      <c r="G2020" s="111"/>
      <c r="H2020" s="111"/>
      <c r="I2020" s="111"/>
      <c r="J2020" s="111"/>
      <c r="K2020" s="92"/>
      <c r="L2020" s="111"/>
      <c r="M2020" s="111"/>
      <c r="N2020" s="111"/>
      <c r="O2020" s="112"/>
      <c r="P2020" s="111"/>
      <c r="Q2020" s="111"/>
      <c r="R2020" s="111"/>
      <c r="S2020" s="111"/>
      <c r="T2020" s="111"/>
      <c r="U2020" s="111"/>
      <c r="V2020" s="111"/>
      <c r="W2020" s="111"/>
      <c r="X2020" s="111"/>
      <c r="Y2020" s="111"/>
      <c r="Z2020" s="111"/>
      <c r="AA2020" s="111"/>
      <c r="AB2020" s="111"/>
      <c r="AC2020" s="111"/>
      <c r="AD2020" s="111"/>
      <c r="AE2020" s="111"/>
      <c r="AF2020" s="111"/>
      <c r="AG2020" s="111"/>
      <c r="AH2020" s="111"/>
    </row>
    <row r="2021">
      <c r="A2021" s="89"/>
      <c r="B2021" s="111"/>
      <c r="C2021" s="111"/>
      <c r="D2021" s="111"/>
      <c r="E2021" s="91"/>
      <c r="F2021" s="111"/>
      <c r="G2021" s="111"/>
      <c r="H2021" s="111"/>
      <c r="I2021" s="111"/>
      <c r="J2021" s="111"/>
      <c r="K2021" s="92"/>
      <c r="L2021" s="111"/>
      <c r="M2021" s="111"/>
      <c r="N2021" s="111"/>
      <c r="O2021" s="112"/>
      <c r="P2021" s="111"/>
      <c r="Q2021" s="111"/>
      <c r="R2021" s="111"/>
      <c r="S2021" s="111"/>
      <c r="T2021" s="111"/>
      <c r="U2021" s="111"/>
      <c r="V2021" s="111"/>
      <c r="W2021" s="111"/>
      <c r="X2021" s="111"/>
      <c r="Y2021" s="111"/>
      <c r="Z2021" s="111"/>
      <c r="AA2021" s="111"/>
      <c r="AB2021" s="111"/>
      <c r="AC2021" s="111"/>
      <c r="AD2021" s="111"/>
      <c r="AE2021" s="111"/>
      <c r="AF2021" s="111"/>
      <c r="AG2021" s="111"/>
      <c r="AH2021" s="111"/>
    </row>
    <row r="2022">
      <c r="A2022" s="89"/>
      <c r="B2022" s="111"/>
      <c r="C2022" s="111"/>
      <c r="D2022" s="111"/>
      <c r="E2022" s="91"/>
      <c r="F2022" s="111"/>
      <c r="G2022" s="111"/>
      <c r="H2022" s="111"/>
      <c r="I2022" s="111"/>
      <c r="J2022" s="111"/>
      <c r="K2022" s="92"/>
      <c r="L2022" s="111"/>
      <c r="M2022" s="111"/>
      <c r="N2022" s="111"/>
      <c r="O2022" s="112"/>
      <c r="P2022" s="111"/>
      <c r="Q2022" s="111"/>
      <c r="R2022" s="111"/>
      <c r="S2022" s="111"/>
      <c r="T2022" s="111"/>
      <c r="U2022" s="111"/>
      <c r="V2022" s="111"/>
      <c r="W2022" s="111"/>
      <c r="X2022" s="111"/>
      <c r="Y2022" s="111"/>
      <c r="Z2022" s="111"/>
      <c r="AA2022" s="111"/>
      <c r="AB2022" s="111"/>
      <c r="AC2022" s="111"/>
      <c r="AD2022" s="111"/>
      <c r="AE2022" s="111"/>
      <c r="AF2022" s="111"/>
      <c r="AG2022" s="111"/>
      <c r="AH2022" s="111"/>
    </row>
    <row r="2023">
      <c r="A2023" s="89"/>
      <c r="B2023" s="111"/>
      <c r="C2023" s="111"/>
      <c r="D2023" s="111"/>
      <c r="E2023" s="91"/>
      <c r="F2023" s="111"/>
      <c r="G2023" s="111"/>
      <c r="H2023" s="111"/>
      <c r="I2023" s="111"/>
      <c r="J2023" s="111"/>
      <c r="K2023" s="92"/>
      <c r="L2023" s="111"/>
      <c r="M2023" s="111"/>
      <c r="N2023" s="111"/>
      <c r="O2023" s="112"/>
      <c r="P2023" s="111"/>
      <c r="Q2023" s="111"/>
      <c r="R2023" s="111"/>
      <c r="S2023" s="111"/>
      <c r="T2023" s="111"/>
      <c r="U2023" s="111"/>
      <c r="V2023" s="111"/>
      <c r="W2023" s="111"/>
      <c r="X2023" s="111"/>
      <c r="Y2023" s="111"/>
      <c r="Z2023" s="111"/>
      <c r="AA2023" s="111"/>
      <c r="AB2023" s="111"/>
      <c r="AC2023" s="111"/>
      <c r="AD2023" s="111"/>
      <c r="AE2023" s="111"/>
      <c r="AF2023" s="111"/>
      <c r="AG2023" s="111"/>
      <c r="AH2023" s="111"/>
    </row>
    <row r="2024">
      <c r="A2024" s="89"/>
      <c r="B2024" s="111"/>
      <c r="C2024" s="111"/>
      <c r="D2024" s="111"/>
      <c r="E2024" s="91"/>
      <c r="F2024" s="111"/>
      <c r="G2024" s="111"/>
      <c r="H2024" s="111"/>
      <c r="I2024" s="111"/>
      <c r="J2024" s="111"/>
      <c r="K2024" s="92"/>
      <c r="L2024" s="111"/>
      <c r="M2024" s="111"/>
      <c r="N2024" s="111"/>
      <c r="O2024" s="112"/>
      <c r="P2024" s="111"/>
      <c r="Q2024" s="111"/>
      <c r="R2024" s="111"/>
      <c r="S2024" s="111"/>
      <c r="T2024" s="111"/>
      <c r="U2024" s="111"/>
      <c r="V2024" s="111"/>
      <c r="W2024" s="111"/>
      <c r="X2024" s="111"/>
      <c r="Y2024" s="111"/>
      <c r="Z2024" s="111"/>
      <c r="AA2024" s="111"/>
      <c r="AB2024" s="111"/>
      <c r="AC2024" s="111"/>
      <c r="AD2024" s="111"/>
      <c r="AE2024" s="111"/>
      <c r="AF2024" s="111"/>
      <c r="AG2024" s="111"/>
      <c r="AH2024" s="111"/>
    </row>
    <row r="2025">
      <c r="A2025" s="89"/>
      <c r="B2025" s="111"/>
      <c r="C2025" s="111"/>
      <c r="D2025" s="111"/>
      <c r="E2025" s="91"/>
      <c r="F2025" s="111"/>
      <c r="G2025" s="111"/>
      <c r="H2025" s="111"/>
      <c r="I2025" s="111"/>
      <c r="J2025" s="111"/>
      <c r="K2025" s="92"/>
      <c r="L2025" s="111"/>
      <c r="M2025" s="111"/>
      <c r="N2025" s="111"/>
      <c r="O2025" s="112"/>
      <c r="P2025" s="111"/>
      <c r="Q2025" s="111"/>
      <c r="R2025" s="111"/>
      <c r="S2025" s="111"/>
      <c r="T2025" s="111"/>
      <c r="U2025" s="111"/>
      <c r="V2025" s="111"/>
      <c r="W2025" s="111"/>
      <c r="X2025" s="111"/>
      <c r="Y2025" s="111"/>
      <c r="Z2025" s="111"/>
      <c r="AA2025" s="111"/>
      <c r="AB2025" s="111"/>
      <c r="AC2025" s="111"/>
      <c r="AD2025" s="111"/>
      <c r="AE2025" s="111"/>
      <c r="AF2025" s="111"/>
      <c r="AG2025" s="111"/>
      <c r="AH2025" s="111"/>
    </row>
    <row r="2026">
      <c r="A2026" s="89"/>
      <c r="B2026" s="111"/>
      <c r="C2026" s="111"/>
      <c r="D2026" s="111"/>
      <c r="E2026" s="91"/>
      <c r="F2026" s="111"/>
      <c r="G2026" s="111"/>
      <c r="H2026" s="111"/>
      <c r="I2026" s="111"/>
      <c r="J2026" s="111"/>
      <c r="K2026" s="92"/>
      <c r="L2026" s="111"/>
      <c r="M2026" s="111"/>
      <c r="N2026" s="111"/>
      <c r="O2026" s="112"/>
      <c r="P2026" s="111"/>
      <c r="Q2026" s="111"/>
      <c r="R2026" s="111"/>
      <c r="S2026" s="111"/>
      <c r="T2026" s="111"/>
      <c r="U2026" s="111"/>
      <c r="V2026" s="111"/>
      <c r="W2026" s="111"/>
      <c r="X2026" s="111"/>
      <c r="Y2026" s="111"/>
      <c r="Z2026" s="111"/>
      <c r="AA2026" s="111"/>
      <c r="AB2026" s="111"/>
      <c r="AC2026" s="111"/>
      <c r="AD2026" s="111"/>
      <c r="AE2026" s="111"/>
      <c r="AF2026" s="111"/>
      <c r="AG2026" s="111"/>
      <c r="AH2026" s="111"/>
    </row>
    <row r="2027">
      <c r="A2027" s="89"/>
      <c r="B2027" s="111"/>
      <c r="C2027" s="111"/>
      <c r="D2027" s="111"/>
      <c r="E2027" s="91"/>
      <c r="F2027" s="111"/>
      <c r="G2027" s="111"/>
      <c r="H2027" s="111"/>
      <c r="I2027" s="111"/>
      <c r="J2027" s="111"/>
      <c r="K2027" s="92"/>
      <c r="L2027" s="111"/>
      <c r="M2027" s="111"/>
      <c r="N2027" s="111"/>
      <c r="O2027" s="112"/>
      <c r="P2027" s="111"/>
      <c r="Q2027" s="111"/>
      <c r="R2027" s="111"/>
      <c r="S2027" s="111"/>
      <c r="T2027" s="111"/>
      <c r="U2027" s="111"/>
      <c r="V2027" s="111"/>
      <c r="W2027" s="111"/>
      <c r="X2027" s="111"/>
      <c r="Y2027" s="111"/>
      <c r="Z2027" s="111"/>
      <c r="AA2027" s="111"/>
      <c r="AB2027" s="111"/>
      <c r="AC2027" s="111"/>
      <c r="AD2027" s="111"/>
      <c r="AE2027" s="111"/>
      <c r="AF2027" s="111"/>
      <c r="AG2027" s="111"/>
      <c r="AH2027" s="111"/>
    </row>
    <row r="2028">
      <c r="A2028" s="89"/>
      <c r="B2028" s="111"/>
      <c r="C2028" s="111"/>
      <c r="D2028" s="111"/>
      <c r="E2028" s="91"/>
      <c r="F2028" s="111"/>
      <c r="G2028" s="111"/>
      <c r="H2028" s="111"/>
      <c r="I2028" s="111"/>
      <c r="J2028" s="111"/>
      <c r="K2028" s="92"/>
      <c r="L2028" s="111"/>
      <c r="M2028" s="111"/>
      <c r="N2028" s="111"/>
      <c r="O2028" s="112"/>
      <c r="P2028" s="111"/>
      <c r="Q2028" s="111"/>
      <c r="R2028" s="111"/>
      <c r="S2028" s="111"/>
      <c r="T2028" s="111"/>
      <c r="U2028" s="111"/>
      <c r="V2028" s="111"/>
      <c r="W2028" s="111"/>
      <c r="X2028" s="111"/>
      <c r="Y2028" s="111"/>
      <c r="Z2028" s="111"/>
      <c r="AA2028" s="111"/>
      <c r="AB2028" s="111"/>
      <c r="AC2028" s="111"/>
      <c r="AD2028" s="111"/>
      <c r="AE2028" s="111"/>
      <c r="AF2028" s="111"/>
      <c r="AG2028" s="111"/>
      <c r="AH2028" s="111"/>
    </row>
    <row r="2029">
      <c r="A2029" s="89"/>
      <c r="B2029" s="111"/>
      <c r="C2029" s="111"/>
      <c r="D2029" s="111"/>
      <c r="E2029" s="91"/>
      <c r="F2029" s="111"/>
      <c r="G2029" s="111"/>
      <c r="H2029" s="111"/>
      <c r="I2029" s="111"/>
      <c r="J2029" s="111"/>
      <c r="K2029" s="92"/>
      <c r="L2029" s="111"/>
      <c r="M2029" s="111"/>
      <c r="N2029" s="111"/>
      <c r="O2029" s="112"/>
      <c r="P2029" s="111"/>
      <c r="Q2029" s="111"/>
      <c r="R2029" s="111"/>
      <c r="S2029" s="111"/>
      <c r="T2029" s="111"/>
      <c r="U2029" s="111"/>
      <c r="V2029" s="111"/>
      <c r="W2029" s="111"/>
      <c r="X2029" s="111"/>
      <c r="Y2029" s="111"/>
      <c r="Z2029" s="111"/>
      <c r="AA2029" s="111"/>
      <c r="AB2029" s="111"/>
      <c r="AC2029" s="111"/>
      <c r="AD2029" s="111"/>
      <c r="AE2029" s="111"/>
      <c r="AF2029" s="111"/>
      <c r="AG2029" s="111"/>
      <c r="AH2029" s="111"/>
    </row>
    <row r="2030">
      <c r="A2030" s="89"/>
      <c r="B2030" s="111"/>
      <c r="C2030" s="111"/>
      <c r="D2030" s="111"/>
      <c r="E2030" s="91"/>
      <c r="F2030" s="111"/>
      <c r="G2030" s="111"/>
      <c r="H2030" s="111"/>
      <c r="I2030" s="111"/>
      <c r="J2030" s="111"/>
      <c r="K2030" s="92"/>
      <c r="L2030" s="111"/>
      <c r="M2030" s="111"/>
      <c r="N2030" s="111"/>
      <c r="O2030" s="112"/>
      <c r="P2030" s="111"/>
      <c r="Q2030" s="111"/>
      <c r="R2030" s="111"/>
      <c r="S2030" s="111"/>
      <c r="T2030" s="111"/>
      <c r="U2030" s="111"/>
      <c r="V2030" s="111"/>
      <c r="W2030" s="111"/>
      <c r="X2030" s="111"/>
      <c r="Y2030" s="111"/>
      <c r="Z2030" s="111"/>
      <c r="AA2030" s="111"/>
      <c r="AB2030" s="111"/>
      <c r="AC2030" s="111"/>
      <c r="AD2030" s="111"/>
      <c r="AE2030" s="111"/>
      <c r="AF2030" s="111"/>
      <c r="AG2030" s="111"/>
      <c r="AH2030" s="111"/>
    </row>
    <row r="2031">
      <c r="A2031" s="89"/>
      <c r="B2031" s="111"/>
      <c r="C2031" s="111"/>
      <c r="D2031" s="111"/>
      <c r="E2031" s="91"/>
      <c r="F2031" s="111"/>
      <c r="G2031" s="111"/>
      <c r="H2031" s="111"/>
      <c r="I2031" s="111"/>
      <c r="J2031" s="111"/>
      <c r="K2031" s="92"/>
      <c r="L2031" s="111"/>
      <c r="M2031" s="111"/>
      <c r="N2031" s="111"/>
      <c r="O2031" s="112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  <c r="AH2031" s="111"/>
    </row>
    <row r="2032">
      <c r="A2032" s="89"/>
      <c r="B2032" s="111"/>
      <c r="C2032" s="111"/>
      <c r="D2032" s="111"/>
      <c r="E2032" s="91"/>
      <c r="F2032" s="111"/>
      <c r="G2032" s="111"/>
      <c r="H2032" s="111"/>
      <c r="I2032" s="111"/>
      <c r="J2032" s="111"/>
      <c r="K2032" s="92"/>
      <c r="L2032" s="111"/>
      <c r="M2032" s="111"/>
      <c r="N2032" s="111"/>
      <c r="O2032" s="112"/>
      <c r="P2032" s="111"/>
      <c r="Q2032" s="111"/>
      <c r="R2032" s="111"/>
      <c r="S2032" s="111"/>
      <c r="T2032" s="111"/>
      <c r="U2032" s="111"/>
      <c r="V2032" s="111"/>
      <c r="W2032" s="111"/>
      <c r="X2032" s="111"/>
      <c r="Y2032" s="111"/>
      <c r="Z2032" s="111"/>
      <c r="AA2032" s="111"/>
      <c r="AB2032" s="111"/>
      <c r="AC2032" s="111"/>
      <c r="AD2032" s="111"/>
      <c r="AE2032" s="111"/>
      <c r="AF2032" s="111"/>
      <c r="AG2032" s="111"/>
      <c r="AH2032" s="111"/>
    </row>
    <row r="2033">
      <c r="A2033" s="89"/>
      <c r="B2033" s="111"/>
      <c r="C2033" s="111"/>
      <c r="D2033" s="111"/>
      <c r="E2033" s="91"/>
      <c r="F2033" s="111"/>
      <c r="G2033" s="111"/>
      <c r="H2033" s="111"/>
      <c r="I2033" s="111"/>
      <c r="J2033" s="111"/>
      <c r="K2033" s="92"/>
      <c r="L2033" s="111"/>
      <c r="M2033" s="111"/>
      <c r="N2033" s="111"/>
      <c r="O2033" s="112"/>
      <c r="P2033" s="111"/>
      <c r="Q2033" s="111"/>
      <c r="R2033" s="111"/>
      <c r="S2033" s="111"/>
      <c r="T2033" s="111"/>
      <c r="U2033" s="111"/>
      <c r="V2033" s="111"/>
      <c r="W2033" s="111"/>
      <c r="X2033" s="111"/>
      <c r="Y2033" s="111"/>
      <c r="Z2033" s="111"/>
      <c r="AA2033" s="111"/>
      <c r="AB2033" s="111"/>
      <c r="AC2033" s="111"/>
      <c r="AD2033" s="111"/>
      <c r="AE2033" s="111"/>
      <c r="AF2033" s="111"/>
      <c r="AG2033" s="111"/>
      <c r="AH2033" s="111"/>
    </row>
    <row r="2034">
      <c r="A2034" s="89"/>
      <c r="B2034" s="111"/>
      <c r="C2034" s="111"/>
      <c r="D2034" s="111"/>
      <c r="E2034" s="91"/>
      <c r="F2034" s="111"/>
      <c r="G2034" s="111"/>
      <c r="H2034" s="111"/>
      <c r="I2034" s="111"/>
      <c r="J2034" s="111"/>
      <c r="K2034" s="92"/>
      <c r="L2034" s="111"/>
      <c r="M2034" s="111"/>
      <c r="N2034" s="111"/>
      <c r="O2034" s="112"/>
      <c r="P2034" s="111"/>
      <c r="Q2034" s="111"/>
      <c r="R2034" s="111"/>
      <c r="S2034" s="111"/>
      <c r="T2034" s="111"/>
      <c r="U2034" s="111"/>
      <c r="V2034" s="111"/>
      <c r="W2034" s="111"/>
      <c r="X2034" s="111"/>
      <c r="Y2034" s="111"/>
      <c r="Z2034" s="111"/>
      <c r="AA2034" s="111"/>
      <c r="AB2034" s="111"/>
      <c r="AC2034" s="111"/>
      <c r="AD2034" s="111"/>
      <c r="AE2034" s="111"/>
      <c r="AF2034" s="111"/>
      <c r="AG2034" s="111"/>
      <c r="AH2034" s="111"/>
    </row>
    <row r="2035">
      <c r="A2035" s="89"/>
      <c r="B2035" s="111"/>
      <c r="C2035" s="111"/>
      <c r="D2035" s="111"/>
      <c r="E2035" s="91"/>
      <c r="F2035" s="111"/>
      <c r="G2035" s="111"/>
      <c r="H2035" s="111"/>
      <c r="I2035" s="111"/>
      <c r="J2035" s="111"/>
      <c r="K2035" s="92"/>
      <c r="L2035" s="111"/>
      <c r="M2035" s="111"/>
      <c r="N2035" s="111"/>
      <c r="O2035" s="112"/>
      <c r="P2035" s="111"/>
      <c r="Q2035" s="111"/>
      <c r="R2035" s="111"/>
      <c r="S2035" s="111"/>
      <c r="T2035" s="111"/>
      <c r="U2035" s="111"/>
      <c r="V2035" s="111"/>
      <c r="W2035" s="111"/>
      <c r="X2035" s="111"/>
      <c r="Y2035" s="111"/>
      <c r="Z2035" s="111"/>
      <c r="AA2035" s="111"/>
      <c r="AB2035" s="111"/>
      <c r="AC2035" s="111"/>
      <c r="AD2035" s="111"/>
      <c r="AE2035" s="111"/>
      <c r="AF2035" s="111"/>
      <c r="AG2035" s="111"/>
      <c r="AH2035" s="111"/>
    </row>
    <row r="2036">
      <c r="A2036" s="89"/>
      <c r="B2036" s="111"/>
      <c r="C2036" s="111"/>
      <c r="D2036" s="111"/>
      <c r="E2036" s="91"/>
      <c r="F2036" s="111"/>
      <c r="G2036" s="111"/>
      <c r="H2036" s="111"/>
      <c r="I2036" s="111"/>
      <c r="J2036" s="111"/>
      <c r="K2036" s="92"/>
      <c r="L2036" s="111"/>
      <c r="M2036" s="111"/>
      <c r="N2036" s="111"/>
      <c r="O2036" s="112"/>
      <c r="P2036" s="111"/>
      <c r="Q2036" s="111"/>
      <c r="R2036" s="111"/>
      <c r="S2036" s="111"/>
      <c r="T2036" s="111"/>
      <c r="U2036" s="111"/>
      <c r="V2036" s="111"/>
      <c r="W2036" s="111"/>
      <c r="X2036" s="111"/>
      <c r="Y2036" s="111"/>
      <c r="Z2036" s="111"/>
      <c r="AA2036" s="111"/>
      <c r="AB2036" s="111"/>
      <c r="AC2036" s="111"/>
      <c r="AD2036" s="111"/>
      <c r="AE2036" s="111"/>
      <c r="AF2036" s="111"/>
      <c r="AG2036" s="111"/>
      <c r="AH2036" s="111"/>
    </row>
    <row r="2037">
      <c r="A2037" s="89"/>
      <c r="B2037" s="111"/>
      <c r="C2037" s="111"/>
      <c r="D2037" s="111"/>
      <c r="E2037" s="91"/>
      <c r="F2037" s="111"/>
      <c r="G2037" s="111"/>
      <c r="H2037" s="111"/>
      <c r="I2037" s="111"/>
      <c r="J2037" s="111"/>
      <c r="K2037" s="92"/>
      <c r="L2037" s="111"/>
      <c r="M2037" s="111"/>
      <c r="N2037" s="111"/>
      <c r="O2037" s="112"/>
      <c r="P2037" s="111"/>
      <c r="Q2037" s="111"/>
      <c r="R2037" s="111"/>
      <c r="S2037" s="111"/>
      <c r="T2037" s="111"/>
      <c r="U2037" s="111"/>
      <c r="V2037" s="111"/>
      <c r="W2037" s="111"/>
      <c r="X2037" s="111"/>
      <c r="Y2037" s="111"/>
      <c r="Z2037" s="111"/>
      <c r="AA2037" s="111"/>
      <c r="AB2037" s="111"/>
      <c r="AC2037" s="111"/>
      <c r="AD2037" s="111"/>
      <c r="AE2037" s="111"/>
      <c r="AF2037" s="111"/>
      <c r="AG2037" s="111"/>
      <c r="AH2037" s="111"/>
    </row>
    <row r="2038">
      <c r="A2038" s="89"/>
      <c r="B2038" s="111"/>
      <c r="C2038" s="111"/>
      <c r="D2038" s="111"/>
      <c r="E2038" s="91"/>
      <c r="F2038" s="111"/>
      <c r="G2038" s="111"/>
      <c r="H2038" s="111"/>
      <c r="I2038" s="111"/>
      <c r="J2038" s="111"/>
      <c r="K2038" s="92"/>
      <c r="L2038" s="111"/>
      <c r="M2038" s="111"/>
      <c r="N2038" s="111"/>
      <c r="O2038" s="112"/>
      <c r="P2038" s="111"/>
      <c r="Q2038" s="111"/>
      <c r="R2038" s="111"/>
      <c r="S2038" s="111"/>
      <c r="T2038" s="111"/>
      <c r="U2038" s="111"/>
      <c r="V2038" s="111"/>
      <c r="W2038" s="111"/>
      <c r="X2038" s="111"/>
      <c r="Y2038" s="111"/>
      <c r="Z2038" s="111"/>
      <c r="AA2038" s="111"/>
      <c r="AB2038" s="111"/>
      <c r="AC2038" s="111"/>
      <c r="AD2038" s="111"/>
      <c r="AE2038" s="111"/>
      <c r="AF2038" s="111"/>
      <c r="AG2038" s="111"/>
      <c r="AH2038" s="111"/>
    </row>
    <row r="2039">
      <c r="A2039" s="89"/>
      <c r="B2039" s="111"/>
      <c r="C2039" s="111"/>
      <c r="D2039" s="111"/>
      <c r="E2039" s="91"/>
      <c r="F2039" s="111"/>
      <c r="G2039" s="111"/>
      <c r="H2039" s="111"/>
      <c r="I2039" s="111"/>
      <c r="J2039" s="111"/>
      <c r="K2039" s="92"/>
      <c r="L2039" s="111"/>
      <c r="M2039" s="111"/>
      <c r="N2039" s="111"/>
      <c r="O2039" s="112"/>
      <c r="P2039" s="111"/>
      <c r="Q2039" s="111"/>
      <c r="R2039" s="111"/>
      <c r="S2039" s="111"/>
      <c r="T2039" s="111"/>
      <c r="U2039" s="111"/>
      <c r="V2039" s="111"/>
      <c r="W2039" s="111"/>
      <c r="X2039" s="111"/>
      <c r="Y2039" s="111"/>
      <c r="Z2039" s="111"/>
      <c r="AA2039" s="111"/>
      <c r="AB2039" s="111"/>
      <c r="AC2039" s="111"/>
      <c r="AD2039" s="111"/>
      <c r="AE2039" s="111"/>
      <c r="AF2039" s="111"/>
      <c r="AG2039" s="111"/>
      <c r="AH2039" s="111"/>
    </row>
    <row r="2040">
      <c r="A2040" s="89"/>
      <c r="B2040" s="111"/>
      <c r="C2040" s="111"/>
      <c r="D2040" s="111"/>
      <c r="E2040" s="91"/>
      <c r="F2040" s="111"/>
      <c r="G2040" s="111"/>
      <c r="H2040" s="111"/>
      <c r="I2040" s="111"/>
      <c r="J2040" s="111"/>
      <c r="K2040" s="92"/>
      <c r="L2040" s="111"/>
      <c r="M2040" s="111"/>
      <c r="N2040" s="111"/>
      <c r="O2040" s="112"/>
      <c r="P2040" s="111"/>
      <c r="Q2040" s="111"/>
      <c r="R2040" s="111"/>
      <c r="S2040" s="111"/>
      <c r="T2040" s="111"/>
      <c r="U2040" s="111"/>
      <c r="V2040" s="111"/>
      <c r="W2040" s="111"/>
      <c r="X2040" s="111"/>
      <c r="Y2040" s="111"/>
      <c r="Z2040" s="111"/>
      <c r="AA2040" s="111"/>
      <c r="AB2040" s="111"/>
      <c r="AC2040" s="111"/>
      <c r="AD2040" s="111"/>
      <c r="AE2040" s="111"/>
      <c r="AF2040" s="111"/>
      <c r="AG2040" s="111"/>
      <c r="AH2040" s="111"/>
    </row>
    <row r="2041">
      <c r="A2041" s="89"/>
      <c r="B2041" s="111"/>
      <c r="C2041" s="111"/>
      <c r="D2041" s="111"/>
      <c r="E2041" s="91"/>
      <c r="F2041" s="111"/>
      <c r="G2041" s="111"/>
      <c r="H2041" s="111"/>
      <c r="I2041" s="111"/>
      <c r="J2041" s="111"/>
      <c r="K2041" s="92"/>
      <c r="L2041" s="111"/>
      <c r="M2041" s="111"/>
      <c r="N2041" s="111"/>
      <c r="O2041" s="112"/>
      <c r="P2041" s="111"/>
      <c r="Q2041" s="111"/>
      <c r="R2041" s="111"/>
      <c r="S2041" s="111"/>
      <c r="T2041" s="111"/>
      <c r="U2041" s="111"/>
      <c r="V2041" s="111"/>
      <c r="W2041" s="111"/>
      <c r="X2041" s="111"/>
      <c r="Y2041" s="111"/>
      <c r="Z2041" s="111"/>
      <c r="AA2041" s="111"/>
      <c r="AB2041" s="111"/>
      <c r="AC2041" s="111"/>
      <c r="AD2041" s="111"/>
      <c r="AE2041" s="111"/>
      <c r="AF2041" s="111"/>
      <c r="AG2041" s="111"/>
      <c r="AH2041" s="111"/>
    </row>
    <row r="2042">
      <c r="A2042" s="89"/>
      <c r="B2042" s="111"/>
      <c r="C2042" s="111"/>
      <c r="D2042" s="111"/>
      <c r="E2042" s="91"/>
      <c r="F2042" s="111"/>
      <c r="G2042" s="111"/>
      <c r="H2042" s="111"/>
      <c r="I2042" s="111"/>
      <c r="J2042" s="111"/>
      <c r="K2042" s="92"/>
      <c r="L2042" s="111"/>
      <c r="M2042" s="111"/>
      <c r="N2042" s="111"/>
      <c r="O2042" s="112"/>
      <c r="P2042" s="111"/>
      <c r="Q2042" s="111"/>
      <c r="R2042" s="111"/>
      <c r="S2042" s="111"/>
      <c r="T2042" s="111"/>
      <c r="U2042" s="111"/>
      <c r="V2042" s="111"/>
      <c r="W2042" s="111"/>
      <c r="X2042" s="111"/>
      <c r="Y2042" s="111"/>
      <c r="Z2042" s="111"/>
      <c r="AA2042" s="111"/>
      <c r="AB2042" s="111"/>
      <c r="AC2042" s="111"/>
      <c r="AD2042" s="111"/>
      <c r="AE2042" s="111"/>
      <c r="AF2042" s="111"/>
      <c r="AG2042" s="111"/>
      <c r="AH2042" s="111"/>
    </row>
    <row r="2043">
      <c r="A2043" s="89"/>
      <c r="B2043" s="111"/>
      <c r="C2043" s="111"/>
      <c r="D2043" s="111"/>
      <c r="E2043" s="91"/>
      <c r="F2043" s="111"/>
      <c r="G2043" s="111"/>
      <c r="H2043" s="111"/>
      <c r="I2043" s="111"/>
      <c r="J2043" s="111"/>
      <c r="K2043" s="92"/>
      <c r="L2043" s="111"/>
      <c r="M2043" s="111"/>
      <c r="N2043" s="111"/>
      <c r="O2043" s="112"/>
      <c r="P2043" s="111"/>
      <c r="Q2043" s="111"/>
      <c r="R2043" s="111"/>
      <c r="S2043" s="111"/>
      <c r="T2043" s="111"/>
      <c r="U2043" s="111"/>
      <c r="V2043" s="111"/>
      <c r="W2043" s="111"/>
      <c r="X2043" s="111"/>
      <c r="Y2043" s="111"/>
      <c r="Z2043" s="111"/>
      <c r="AA2043" s="111"/>
      <c r="AB2043" s="111"/>
      <c r="AC2043" s="111"/>
      <c r="AD2043" s="111"/>
      <c r="AE2043" s="111"/>
      <c r="AF2043" s="111"/>
      <c r="AG2043" s="111"/>
      <c r="AH2043" s="111"/>
    </row>
    <row r="2044">
      <c r="A2044" s="89"/>
      <c r="B2044" s="111"/>
      <c r="C2044" s="111"/>
      <c r="D2044" s="111"/>
      <c r="E2044" s="91"/>
      <c r="F2044" s="111"/>
      <c r="G2044" s="111"/>
      <c r="H2044" s="111"/>
      <c r="I2044" s="111"/>
      <c r="J2044" s="111"/>
      <c r="K2044" s="92"/>
      <c r="L2044" s="111"/>
      <c r="M2044" s="111"/>
      <c r="N2044" s="111"/>
      <c r="O2044" s="112"/>
      <c r="P2044" s="111"/>
      <c r="Q2044" s="111"/>
      <c r="R2044" s="111"/>
      <c r="S2044" s="111"/>
      <c r="T2044" s="111"/>
      <c r="U2044" s="111"/>
      <c r="V2044" s="111"/>
      <c r="W2044" s="111"/>
      <c r="X2044" s="111"/>
      <c r="Y2044" s="111"/>
      <c r="Z2044" s="111"/>
      <c r="AA2044" s="111"/>
      <c r="AB2044" s="111"/>
      <c r="AC2044" s="111"/>
      <c r="AD2044" s="111"/>
      <c r="AE2044" s="111"/>
      <c r="AF2044" s="111"/>
      <c r="AG2044" s="111"/>
      <c r="AH2044" s="111"/>
    </row>
    <row r="2045">
      <c r="A2045" s="89"/>
      <c r="B2045" s="111"/>
      <c r="C2045" s="111"/>
      <c r="D2045" s="111"/>
      <c r="E2045" s="91"/>
      <c r="F2045" s="111"/>
      <c r="G2045" s="111"/>
      <c r="H2045" s="111"/>
      <c r="I2045" s="111"/>
      <c r="J2045" s="111"/>
      <c r="K2045" s="92"/>
      <c r="L2045" s="111"/>
      <c r="M2045" s="111"/>
      <c r="N2045" s="111"/>
      <c r="O2045" s="112"/>
      <c r="P2045" s="111"/>
      <c r="Q2045" s="111"/>
      <c r="R2045" s="111"/>
      <c r="S2045" s="111"/>
      <c r="T2045" s="111"/>
      <c r="U2045" s="111"/>
      <c r="V2045" s="111"/>
      <c r="W2045" s="111"/>
      <c r="X2045" s="111"/>
      <c r="Y2045" s="111"/>
      <c r="Z2045" s="111"/>
      <c r="AA2045" s="111"/>
      <c r="AB2045" s="111"/>
      <c r="AC2045" s="111"/>
      <c r="AD2045" s="111"/>
      <c r="AE2045" s="111"/>
      <c r="AF2045" s="111"/>
      <c r="AG2045" s="111"/>
      <c r="AH2045" s="111"/>
    </row>
    <row r="2046">
      <c r="A2046" s="89"/>
      <c r="B2046" s="111"/>
      <c r="C2046" s="111"/>
      <c r="D2046" s="111"/>
      <c r="E2046" s="91"/>
      <c r="F2046" s="111"/>
      <c r="G2046" s="111"/>
      <c r="H2046" s="111"/>
      <c r="I2046" s="111"/>
      <c r="J2046" s="111"/>
      <c r="K2046" s="92"/>
      <c r="L2046" s="111"/>
      <c r="M2046" s="111"/>
      <c r="N2046" s="111"/>
      <c r="O2046" s="112"/>
      <c r="P2046" s="111"/>
      <c r="Q2046" s="111"/>
      <c r="R2046" s="111"/>
      <c r="S2046" s="111"/>
      <c r="T2046" s="111"/>
      <c r="U2046" s="111"/>
      <c r="V2046" s="111"/>
      <c r="W2046" s="111"/>
      <c r="X2046" s="111"/>
      <c r="Y2046" s="111"/>
      <c r="Z2046" s="111"/>
      <c r="AA2046" s="111"/>
      <c r="AB2046" s="111"/>
      <c r="AC2046" s="111"/>
      <c r="AD2046" s="111"/>
      <c r="AE2046" s="111"/>
      <c r="AF2046" s="111"/>
      <c r="AG2046" s="111"/>
      <c r="AH2046" s="111"/>
    </row>
    <row r="2047">
      <c r="A2047" s="89"/>
      <c r="B2047" s="111"/>
      <c r="C2047" s="111"/>
      <c r="D2047" s="111"/>
      <c r="E2047" s="91"/>
      <c r="F2047" s="111"/>
      <c r="G2047" s="111"/>
      <c r="H2047" s="111"/>
      <c r="I2047" s="111"/>
      <c r="J2047" s="111"/>
      <c r="K2047" s="92"/>
      <c r="L2047" s="111"/>
      <c r="M2047" s="111"/>
      <c r="N2047" s="111"/>
      <c r="O2047" s="112"/>
      <c r="P2047" s="111"/>
      <c r="Q2047" s="111"/>
      <c r="R2047" s="111"/>
      <c r="S2047" s="111"/>
      <c r="T2047" s="111"/>
      <c r="U2047" s="111"/>
      <c r="V2047" s="111"/>
      <c r="W2047" s="111"/>
      <c r="X2047" s="111"/>
      <c r="Y2047" s="111"/>
      <c r="Z2047" s="111"/>
      <c r="AA2047" s="111"/>
      <c r="AB2047" s="111"/>
      <c r="AC2047" s="111"/>
      <c r="AD2047" s="111"/>
      <c r="AE2047" s="111"/>
      <c r="AF2047" s="111"/>
      <c r="AG2047" s="111"/>
      <c r="AH2047" s="111"/>
    </row>
    <row r="2048">
      <c r="A2048" s="89"/>
      <c r="B2048" s="111"/>
      <c r="C2048" s="111"/>
      <c r="D2048" s="111"/>
      <c r="E2048" s="91"/>
      <c r="F2048" s="111"/>
      <c r="G2048" s="111"/>
      <c r="H2048" s="111"/>
      <c r="I2048" s="111"/>
      <c r="J2048" s="111"/>
      <c r="K2048" s="92"/>
      <c r="L2048" s="111"/>
      <c r="M2048" s="111"/>
      <c r="N2048" s="111"/>
      <c r="O2048" s="112"/>
      <c r="P2048" s="111"/>
      <c r="Q2048" s="111"/>
      <c r="R2048" s="111"/>
      <c r="S2048" s="111"/>
      <c r="T2048" s="111"/>
      <c r="U2048" s="111"/>
      <c r="V2048" s="111"/>
      <c r="W2048" s="111"/>
      <c r="X2048" s="111"/>
      <c r="Y2048" s="111"/>
      <c r="Z2048" s="111"/>
      <c r="AA2048" s="111"/>
      <c r="AB2048" s="111"/>
      <c r="AC2048" s="111"/>
      <c r="AD2048" s="111"/>
      <c r="AE2048" s="111"/>
      <c r="AF2048" s="111"/>
      <c r="AG2048" s="111"/>
      <c r="AH2048" s="111"/>
    </row>
    <row r="2049">
      <c r="A2049" s="89"/>
      <c r="B2049" s="111"/>
      <c r="C2049" s="111"/>
      <c r="D2049" s="111"/>
      <c r="E2049" s="91"/>
      <c r="F2049" s="111"/>
      <c r="G2049" s="111"/>
      <c r="H2049" s="111"/>
      <c r="I2049" s="111"/>
      <c r="J2049" s="111"/>
      <c r="K2049" s="92"/>
      <c r="L2049" s="111"/>
      <c r="M2049" s="111"/>
      <c r="N2049" s="111"/>
      <c r="O2049" s="112"/>
      <c r="P2049" s="111"/>
      <c r="Q2049" s="111"/>
      <c r="R2049" s="111"/>
      <c r="S2049" s="111"/>
      <c r="T2049" s="111"/>
      <c r="U2049" s="111"/>
      <c r="V2049" s="111"/>
      <c r="W2049" s="111"/>
      <c r="X2049" s="111"/>
      <c r="Y2049" s="111"/>
      <c r="Z2049" s="111"/>
      <c r="AA2049" s="111"/>
      <c r="AB2049" s="111"/>
      <c r="AC2049" s="111"/>
      <c r="AD2049" s="111"/>
      <c r="AE2049" s="111"/>
      <c r="AF2049" s="111"/>
      <c r="AG2049" s="111"/>
      <c r="AH2049" s="111"/>
    </row>
    <row r="2050">
      <c r="A2050" s="89"/>
      <c r="B2050" s="111"/>
      <c r="C2050" s="111"/>
      <c r="D2050" s="111"/>
      <c r="E2050" s="91"/>
      <c r="F2050" s="111"/>
      <c r="G2050" s="111"/>
      <c r="H2050" s="111"/>
      <c r="I2050" s="111"/>
      <c r="J2050" s="111"/>
      <c r="K2050" s="92"/>
      <c r="L2050" s="111"/>
      <c r="M2050" s="111"/>
      <c r="N2050" s="111"/>
      <c r="O2050" s="112"/>
      <c r="P2050" s="111"/>
      <c r="Q2050" s="111"/>
      <c r="R2050" s="111"/>
      <c r="S2050" s="111"/>
      <c r="T2050" s="111"/>
      <c r="U2050" s="111"/>
      <c r="V2050" s="111"/>
      <c r="W2050" s="111"/>
      <c r="X2050" s="111"/>
      <c r="Y2050" s="111"/>
      <c r="Z2050" s="111"/>
      <c r="AA2050" s="111"/>
      <c r="AB2050" s="111"/>
      <c r="AC2050" s="111"/>
      <c r="AD2050" s="111"/>
      <c r="AE2050" s="111"/>
      <c r="AF2050" s="111"/>
      <c r="AG2050" s="111"/>
      <c r="AH2050" s="111"/>
    </row>
    <row r="2051">
      <c r="A2051" s="89"/>
      <c r="B2051" s="111"/>
      <c r="C2051" s="111"/>
      <c r="D2051" s="111"/>
      <c r="E2051" s="91"/>
      <c r="F2051" s="111"/>
      <c r="G2051" s="111"/>
      <c r="H2051" s="111"/>
      <c r="I2051" s="111"/>
      <c r="J2051" s="111"/>
      <c r="K2051" s="92"/>
      <c r="L2051" s="111"/>
      <c r="M2051" s="111"/>
      <c r="N2051" s="111"/>
      <c r="O2051" s="112"/>
      <c r="P2051" s="111"/>
      <c r="Q2051" s="111"/>
      <c r="R2051" s="111"/>
      <c r="S2051" s="111"/>
      <c r="T2051" s="111"/>
      <c r="U2051" s="111"/>
      <c r="V2051" s="111"/>
      <c r="W2051" s="111"/>
      <c r="X2051" s="111"/>
      <c r="Y2051" s="111"/>
      <c r="Z2051" s="111"/>
      <c r="AA2051" s="111"/>
      <c r="AB2051" s="111"/>
      <c r="AC2051" s="111"/>
      <c r="AD2051" s="111"/>
      <c r="AE2051" s="111"/>
      <c r="AF2051" s="111"/>
      <c r="AG2051" s="111"/>
      <c r="AH2051" s="111"/>
    </row>
    <row r="2052">
      <c r="A2052" s="89"/>
      <c r="B2052" s="111"/>
      <c r="C2052" s="111"/>
      <c r="D2052" s="111"/>
      <c r="E2052" s="91"/>
      <c r="F2052" s="111"/>
      <c r="G2052" s="111"/>
      <c r="H2052" s="111"/>
      <c r="I2052" s="111"/>
      <c r="J2052" s="111"/>
      <c r="K2052" s="92"/>
      <c r="L2052" s="111"/>
      <c r="M2052" s="111"/>
      <c r="N2052" s="111"/>
      <c r="O2052" s="112"/>
      <c r="P2052" s="111"/>
      <c r="Q2052" s="111"/>
      <c r="R2052" s="111"/>
      <c r="S2052" s="111"/>
      <c r="T2052" s="111"/>
      <c r="U2052" s="111"/>
      <c r="V2052" s="111"/>
      <c r="W2052" s="111"/>
      <c r="X2052" s="111"/>
      <c r="Y2052" s="111"/>
      <c r="Z2052" s="111"/>
      <c r="AA2052" s="111"/>
      <c r="AB2052" s="111"/>
      <c r="AC2052" s="111"/>
      <c r="AD2052" s="111"/>
      <c r="AE2052" s="111"/>
      <c r="AF2052" s="111"/>
      <c r="AG2052" s="111"/>
      <c r="AH2052" s="111"/>
    </row>
    <row r="2053">
      <c r="A2053" s="89"/>
      <c r="B2053" s="111"/>
      <c r="C2053" s="111"/>
      <c r="D2053" s="111"/>
      <c r="E2053" s="91"/>
      <c r="F2053" s="111"/>
      <c r="G2053" s="111"/>
      <c r="H2053" s="111"/>
      <c r="I2053" s="111"/>
      <c r="J2053" s="111"/>
      <c r="K2053" s="92"/>
      <c r="L2053" s="111"/>
      <c r="M2053" s="111"/>
      <c r="N2053" s="111"/>
      <c r="O2053" s="112"/>
      <c r="P2053" s="111"/>
      <c r="Q2053" s="111"/>
      <c r="R2053" s="111"/>
      <c r="S2053" s="111"/>
      <c r="T2053" s="111"/>
      <c r="U2053" s="111"/>
      <c r="V2053" s="111"/>
      <c r="W2053" s="111"/>
      <c r="X2053" s="111"/>
      <c r="Y2053" s="111"/>
      <c r="Z2053" s="111"/>
      <c r="AA2053" s="111"/>
      <c r="AB2053" s="111"/>
      <c r="AC2053" s="111"/>
      <c r="AD2053" s="111"/>
      <c r="AE2053" s="111"/>
      <c r="AF2053" s="111"/>
      <c r="AG2053" s="111"/>
      <c r="AH2053" s="111"/>
    </row>
    <row r="2054">
      <c r="A2054" s="89"/>
      <c r="B2054" s="111"/>
      <c r="C2054" s="111"/>
      <c r="D2054" s="111"/>
      <c r="E2054" s="91"/>
      <c r="F2054" s="111"/>
      <c r="G2054" s="111"/>
      <c r="H2054" s="111"/>
      <c r="I2054" s="111"/>
      <c r="J2054" s="111"/>
      <c r="K2054" s="92"/>
      <c r="L2054" s="111"/>
      <c r="M2054" s="111"/>
      <c r="N2054" s="111"/>
      <c r="O2054" s="112"/>
      <c r="P2054" s="111"/>
      <c r="Q2054" s="111"/>
      <c r="R2054" s="111"/>
      <c r="S2054" s="111"/>
      <c r="T2054" s="111"/>
      <c r="U2054" s="111"/>
      <c r="V2054" s="111"/>
      <c r="W2054" s="111"/>
      <c r="X2054" s="111"/>
      <c r="Y2054" s="111"/>
      <c r="Z2054" s="111"/>
      <c r="AA2054" s="111"/>
      <c r="AB2054" s="111"/>
      <c r="AC2054" s="111"/>
      <c r="AD2054" s="111"/>
      <c r="AE2054" s="111"/>
      <c r="AF2054" s="111"/>
      <c r="AG2054" s="111"/>
      <c r="AH2054" s="111"/>
    </row>
    <row r="2055">
      <c r="A2055" s="89"/>
      <c r="B2055" s="111"/>
      <c r="C2055" s="111"/>
      <c r="D2055" s="111"/>
      <c r="E2055" s="91"/>
      <c r="F2055" s="111"/>
      <c r="G2055" s="111"/>
      <c r="H2055" s="111"/>
      <c r="I2055" s="111"/>
      <c r="J2055" s="111"/>
      <c r="K2055" s="92"/>
      <c r="L2055" s="111"/>
      <c r="M2055" s="111"/>
      <c r="N2055" s="111"/>
      <c r="O2055" s="112"/>
      <c r="P2055" s="111"/>
      <c r="Q2055" s="111"/>
      <c r="R2055" s="111"/>
      <c r="S2055" s="111"/>
      <c r="T2055" s="111"/>
      <c r="U2055" s="111"/>
      <c r="V2055" s="111"/>
      <c r="W2055" s="111"/>
      <c r="X2055" s="111"/>
      <c r="Y2055" s="111"/>
      <c r="Z2055" s="111"/>
      <c r="AA2055" s="111"/>
      <c r="AB2055" s="111"/>
      <c r="AC2055" s="111"/>
      <c r="AD2055" s="111"/>
      <c r="AE2055" s="111"/>
      <c r="AF2055" s="111"/>
      <c r="AG2055" s="111"/>
      <c r="AH2055" s="111"/>
    </row>
    <row r="2056">
      <c r="A2056" s="89"/>
      <c r="B2056" s="111"/>
      <c r="C2056" s="111"/>
      <c r="D2056" s="111"/>
      <c r="E2056" s="91"/>
      <c r="F2056" s="111"/>
      <c r="G2056" s="111"/>
      <c r="H2056" s="111"/>
      <c r="I2056" s="111"/>
      <c r="J2056" s="111"/>
      <c r="K2056" s="92"/>
      <c r="L2056" s="111"/>
      <c r="M2056" s="111"/>
      <c r="N2056" s="111"/>
      <c r="O2056" s="112"/>
      <c r="P2056" s="111"/>
      <c r="Q2056" s="111"/>
      <c r="R2056" s="111"/>
      <c r="S2056" s="111"/>
      <c r="T2056" s="111"/>
      <c r="U2056" s="111"/>
      <c r="V2056" s="111"/>
      <c r="W2056" s="111"/>
      <c r="X2056" s="111"/>
      <c r="Y2056" s="111"/>
      <c r="Z2056" s="111"/>
      <c r="AA2056" s="111"/>
      <c r="AB2056" s="111"/>
      <c r="AC2056" s="111"/>
      <c r="AD2056" s="111"/>
      <c r="AE2056" s="111"/>
      <c r="AF2056" s="111"/>
      <c r="AG2056" s="111"/>
      <c r="AH2056" s="111"/>
    </row>
    <row r="2057">
      <c r="A2057" s="89"/>
      <c r="B2057" s="111"/>
      <c r="C2057" s="111"/>
      <c r="D2057" s="111"/>
      <c r="E2057" s="91"/>
      <c r="F2057" s="111"/>
      <c r="G2057" s="111"/>
      <c r="H2057" s="111"/>
      <c r="I2057" s="111"/>
      <c r="J2057" s="111"/>
      <c r="K2057" s="92"/>
      <c r="L2057" s="111"/>
      <c r="M2057" s="111"/>
      <c r="N2057" s="111"/>
      <c r="O2057" s="112"/>
      <c r="P2057" s="111"/>
      <c r="Q2057" s="111"/>
      <c r="R2057" s="111"/>
      <c r="S2057" s="111"/>
      <c r="T2057" s="111"/>
      <c r="U2057" s="111"/>
      <c r="V2057" s="111"/>
      <c r="W2057" s="111"/>
      <c r="X2057" s="111"/>
      <c r="Y2057" s="111"/>
      <c r="Z2057" s="111"/>
      <c r="AA2057" s="111"/>
      <c r="AB2057" s="111"/>
      <c r="AC2057" s="111"/>
      <c r="AD2057" s="111"/>
      <c r="AE2057" s="111"/>
      <c r="AF2057" s="111"/>
      <c r="AG2057" s="111"/>
      <c r="AH2057" s="111"/>
    </row>
    <row r="2058">
      <c r="A2058" s="89"/>
      <c r="B2058" s="111"/>
      <c r="C2058" s="111"/>
      <c r="D2058" s="111"/>
      <c r="E2058" s="91"/>
      <c r="F2058" s="111"/>
      <c r="G2058" s="111"/>
      <c r="H2058" s="111"/>
      <c r="I2058" s="111"/>
      <c r="J2058" s="111"/>
      <c r="K2058" s="92"/>
      <c r="L2058" s="111"/>
      <c r="M2058" s="111"/>
      <c r="N2058" s="111"/>
      <c r="O2058" s="112"/>
      <c r="P2058" s="111"/>
      <c r="Q2058" s="111"/>
      <c r="R2058" s="111"/>
      <c r="S2058" s="111"/>
      <c r="T2058" s="111"/>
      <c r="U2058" s="111"/>
      <c r="V2058" s="111"/>
      <c r="W2058" s="111"/>
      <c r="X2058" s="111"/>
      <c r="Y2058" s="111"/>
      <c r="Z2058" s="111"/>
      <c r="AA2058" s="111"/>
      <c r="AB2058" s="111"/>
      <c r="AC2058" s="111"/>
      <c r="AD2058" s="111"/>
      <c r="AE2058" s="111"/>
      <c r="AF2058" s="111"/>
      <c r="AG2058" s="111"/>
      <c r="AH2058" s="111"/>
    </row>
    <row r="2059">
      <c r="A2059" s="89"/>
      <c r="B2059" s="111"/>
      <c r="C2059" s="111"/>
      <c r="D2059" s="111"/>
      <c r="E2059" s="91"/>
      <c r="F2059" s="111"/>
      <c r="G2059" s="111"/>
      <c r="H2059" s="111"/>
      <c r="I2059" s="111"/>
      <c r="J2059" s="111"/>
      <c r="K2059" s="92"/>
      <c r="L2059" s="111"/>
      <c r="M2059" s="111"/>
      <c r="N2059" s="111"/>
      <c r="O2059" s="112"/>
      <c r="P2059" s="111"/>
      <c r="Q2059" s="111"/>
      <c r="R2059" s="111"/>
      <c r="S2059" s="111"/>
      <c r="T2059" s="111"/>
      <c r="U2059" s="111"/>
      <c r="V2059" s="111"/>
      <c r="W2059" s="111"/>
      <c r="X2059" s="111"/>
      <c r="Y2059" s="111"/>
      <c r="Z2059" s="111"/>
      <c r="AA2059" s="111"/>
      <c r="AB2059" s="111"/>
      <c r="AC2059" s="111"/>
      <c r="AD2059" s="111"/>
      <c r="AE2059" s="111"/>
      <c r="AF2059" s="111"/>
      <c r="AG2059" s="111"/>
      <c r="AH2059" s="111"/>
    </row>
    <row r="2060">
      <c r="A2060" s="89"/>
      <c r="B2060" s="111"/>
      <c r="C2060" s="111"/>
      <c r="D2060" s="111"/>
      <c r="E2060" s="91"/>
      <c r="F2060" s="111"/>
      <c r="G2060" s="111"/>
      <c r="H2060" s="111"/>
      <c r="I2060" s="111"/>
      <c r="J2060" s="111"/>
      <c r="K2060" s="92"/>
      <c r="L2060" s="111"/>
      <c r="M2060" s="111"/>
      <c r="N2060" s="111"/>
      <c r="O2060" s="112"/>
      <c r="P2060" s="111"/>
      <c r="Q2060" s="111"/>
      <c r="R2060" s="111"/>
      <c r="S2060" s="111"/>
      <c r="T2060" s="111"/>
      <c r="U2060" s="111"/>
      <c r="V2060" s="111"/>
      <c r="W2060" s="111"/>
      <c r="X2060" s="111"/>
      <c r="Y2060" s="111"/>
      <c r="Z2060" s="111"/>
      <c r="AA2060" s="111"/>
      <c r="AB2060" s="111"/>
      <c r="AC2060" s="111"/>
      <c r="AD2060" s="111"/>
      <c r="AE2060" s="111"/>
      <c r="AF2060" s="111"/>
      <c r="AG2060" s="111"/>
      <c r="AH2060" s="111"/>
    </row>
    <row r="2061">
      <c r="A2061" s="89"/>
      <c r="B2061" s="111"/>
      <c r="C2061" s="111"/>
      <c r="D2061" s="111"/>
      <c r="E2061" s="91"/>
      <c r="F2061" s="111"/>
      <c r="G2061" s="111"/>
      <c r="H2061" s="111"/>
      <c r="I2061" s="111"/>
      <c r="J2061" s="111"/>
      <c r="K2061" s="92"/>
      <c r="L2061" s="111"/>
      <c r="M2061" s="111"/>
      <c r="N2061" s="111"/>
      <c r="O2061" s="112"/>
      <c r="P2061" s="111"/>
      <c r="Q2061" s="111"/>
      <c r="R2061" s="111"/>
      <c r="S2061" s="111"/>
      <c r="T2061" s="111"/>
      <c r="U2061" s="111"/>
      <c r="V2061" s="111"/>
      <c r="W2061" s="111"/>
      <c r="X2061" s="111"/>
      <c r="Y2061" s="111"/>
      <c r="Z2061" s="111"/>
      <c r="AA2061" s="111"/>
      <c r="AB2061" s="111"/>
      <c r="AC2061" s="111"/>
      <c r="AD2061" s="111"/>
      <c r="AE2061" s="111"/>
      <c r="AF2061" s="111"/>
      <c r="AG2061" s="111"/>
      <c r="AH2061" s="111"/>
    </row>
    <row r="2062">
      <c r="A2062" s="89"/>
      <c r="B2062" s="111"/>
      <c r="C2062" s="111"/>
      <c r="D2062" s="111"/>
      <c r="E2062" s="91"/>
      <c r="F2062" s="111"/>
      <c r="G2062" s="111"/>
      <c r="H2062" s="111"/>
      <c r="I2062" s="111"/>
      <c r="J2062" s="111"/>
      <c r="K2062" s="92"/>
      <c r="L2062" s="111"/>
      <c r="M2062" s="111"/>
      <c r="N2062" s="111"/>
      <c r="O2062" s="112"/>
      <c r="P2062" s="111"/>
      <c r="Q2062" s="111"/>
      <c r="R2062" s="111"/>
      <c r="S2062" s="111"/>
      <c r="T2062" s="111"/>
      <c r="U2062" s="111"/>
      <c r="V2062" s="111"/>
      <c r="W2062" s="111"/>
      <c r="X2062" s="111"/>
      <c r="Y2062" s="111"/>
      <c r="Z2062" s="111"/>
      <c r="AA2062" s="111"/>
      <c r="AB2062" s="111"/>
      <c r="AC2062" s="111"/>
      <c r="AD2062" s="111"/>
      <c r="AE2062" s="111"/>
      <c r="AF2062" s="111"/>
      <c r="AG2062" s="111"/>
      <c r="AH2062" s="111"/>
    </row>
    <row r="2063">
      <c r="A2063" s="89"/>
      <c r="B2063" s="111"/>
      <c r="C2063" s="111"/>
      <c r="D2063" s="111"/>
      <c r="E2063" s="91"/>
      <c r="F2063" s="111"/>
      <c r="G2063" s="111"/>
      <c r="H2063" s="111"/>
      <c r="I2063" s="111"/>
      <c r="J2063" s="111"/>
      <c r="K2063" s="92"/>
      <c r="L2063" s="111"/>
      <c r="M2063" s="111"/>
      <c r="N2063" s="111"/>
      <c r="O2063" s="112"/>
      <c r="P2063" s="111"/>
      <c r="Q2063" s="111"/>
      <c r="R2063" s="111"/>
      <c r="S2063" s="111"/>
      <c r="T2063" s="111"/>
      <c r="U2063" s="111"/>
      <c r="V2063" s="111"/>
      <c r="W2063" s="111"/>
      <c r="X2063" s="111"/>
      <c r="Y2063" s="111"/>
      <c r="Z2063" s="111"/>
      <c r="AA2063" s="111"/>
      <c r="AB2063" s="111"/>
      <c r="AC2063" s="111"/>
      <c r="AD2063" s="111"/>
      <c r="AE2063" s="111"/>
      <c r="AF2063" s="111"/>
      <c r="AG2063" s="111"/>
      <c r="AH2063" s="111"/>
    </row>
    <row r="2064">
      <c r="A2064" s="89"/>
      <c r="B2064" s="111"/>
      <c r="C2064" s="111"/>
      <c r="D2064" s="111"/>
      <c r="E2064" s="91"/>
      <c r="F2064" s="111"/>
      <c r="G2064" s="111"/>
      <c r="H2064" s="111"/>
      <c r="I2064" s="111"/>
      <c r="J2064" s="111"/>
      <c r="K2064" s="92"/>
      <c r="L2064" s="111"/>
      <c r="M2064" s="111"/>
      <c r="N2064" s="111"/>
      <c r="O2064" s="112"/>
      <c r="P2064" s="111"/>
      <c r="Q2064" s="111"/>
      <c r="R2064" s="111"/>
      <c r="S2064" s="111"/>
      <c r="T2064" s="111"/>
      <c r="U2064" s="111"/>
      <c r="V2064" s="111"/>
      <c r="W2064" s="111"/>
      <c r="X2064" s="111"/>
      <c r="Y2064" s="111"/>
      <c r="Z2064" s="111"/>
      <c r="AA2064" s="111"/>
      <c r="AB2064" s="111"/>
      <c r="AC2064" s="111"/>
      <c r="AD2064" s="111"/>
      <c r="AE2064" s="111"/>
      <c r="AF2064" s="111"/>
      <c r="AG2064" s="111"/>
      <c r="AH2064" s="111"/>
    </row>
    <row r="2065">
      <c r="A2065" s="89"/>
      <c r="B2065" s="111"/>
      <c r="C2065" s="111"/>
      <c r="D2065" s="111"/>
      <c r="E2065" s="91"/>
      <c r="F2065" s="111"/>
      <c r="G2065" s="111"/>
      <c r="H2065" s="111"/>
      <c r="I2065" s="111"/>
      <c r="J2065" s="111"/>
      <c r="K2065" s="92"/>
      <c r="L2065" s="111"/>
      <c r="M2065" s="111"/>
      <c r="N2065" s="111"/>
      <c r="O2065" s="112"/>
      <c r="P2065" s="111"/>
      <c r="Q2065" s="111"/>
      <c r="R2065" s="111"/>
      <c r="S2065" s="111"/>
      <c r="T2065" s="111"/>
      <c r="U2065" s="111"/>
      <c r="V2065" s="111"/>
      <c r="W2065" s="111"/>
      <c r="X2065" s="111"/>
      <c r="Y2065" s="111"/>
      <c r="Z2065" s="111"/>
      <c r="AA2065" s="111"/>
      <c r="AB2065" s="111"/>
      <c r="AC2065" s="111"/>
      <c r="AD2065" s="111"/>
      <c r="AE2065" s="111"/>
      <c r="AF2065" s="111"/>
      <c r="AG2065" s="111"/>
      <c r="AH2065" s="111"/>
    </row>
    <row r="2066">
      <c r="A2066" s="89"/>
      <c r="B2066" s="111"/>
      <c r="C2066" s="111"/>
      <c r="D2066" s="111"/>
      <c r="E2066" s="91"/>
      <c r="F2066" s="111"/>
      <c r="G2066" s="111"/>
      <c r="H2066" s="111"/>
      <c r="I2066" s="111"/>
      <c r="J2066" s="111"/>
      <c r="K2066" s="92"/>
      <c r="L2066" s="111"/>
      <c r="M2066" s="111"/>
      <c r="N2066" s="111"/>
      <c r="O2066" s="112"/>
      <c r="P2066" s="111"/>
      <c r="Q2066" s="111"/>
      <c r="R2066" s="111"/>
      <c r="S2066" s="111"/>
      <c r="T2066" s="111"/>
      <c r="U2066" s="111"/>
      <c r="V2066" s="111"/>
      <c r="W2066" s="111"/>
      <c r="X2066" s="111"/>
      <c r="Y2066" s="111"/>
      <c r="Z2066" s="111"/>
      <c r="AA2066" s="111"/>
      <c r="AB2066" s="111"/>
      <c r="AC2066" s="111"/>
      <c r="AD2066" s="111"/>
      <c r="AE2066" s="111"/>
      <c r="AF2066" s="111"/>
      <c r="AG2066" s="111"/>
      <c r="AH2066" s="111"/>
    </row>
    <row r="2067">
      <c r="A2067" s="89"/>
      <c r="B2067" s="111"/>
      <c r="C2067" s="111"/>
      <c r="D2067" s="111"/>
      <c r="E2067" s="91"/>
      <c r="F2067" s="111"/>
      <c r="G2067" s="111"/>
      <c r="H2067" s="111"/>
      <c r="I2067" s="111"/>
      <c r="J2067" s="111"/>
      <c r="K2067" s="92"/>
      <c r="L2067" s="111"/>
      <c r="M2067" s="111"/>
      <c r="N2067" s="111"/>
      <c r="O2067" s="112"/>
      <c r="P2067" s="111"/>
      <c r="Q2067" s="111"/>
      <c r="R2067" s="111"/>
      <c r="S2067" s="111"/>
      <c r="T2067" s="111"/>
      <c r="U2067" s="111"/>
      <c r="V2067" s="111"/>
      <c r="W2067" s="111"/>
      <c r="X2067" s="111"/>
      <c r="Y2067" s="111"/>
      <c r="Z2067" s="111"/>
      <c r="AA2067" s="111"/>
      <c r="AB2067" s="111"/>
      <c r="AC2067" s="111"/>
      <c r="AD2067" s="111"/>
      <c r="AE2067" s="111"/>
      <c r="AF2067" s="111"/>
      <c r="AG2067" s="111"/>
      <c r="AH2067" s="111"/>
    </row>
    <row r="2068">
      <c r="A2068" s="89"/>
      <c r="B2068" s="111"/>
      <c r="C2068" s="111"/>
      <c r="D2068" s="111"/>
      <c r="E2068" s="91"/>
      <c r="F2068" s="111"/>
      <c r="G2068" s="111"/>
      <c r="H2068" s="111"/>
      <c r="I2068" s="111"/>
      <c r="J2068" s="111"/>
      <c r="K2068" s="92"/>
      <c r="L2068" s="111"/>
      <c r="M2068" s="111"/>
      <c r="N2068" s="111"/>
      <c r="O2068" s="112"/>
      <c r="P2068" s="111"/>
      <c r="Q2068" s="111"/>
      <c r="R2068" s="111"/>
      <c r="S2068" s="111"/>
      <c r="T2068" s="111"/>
      <c r="U2068" s="111"/>
      <c r="V2068" s="111"/>
      <c r="W2068" s="111"/>
      <c r="X2068" s="111"/>
      <c r="Y2068" s="111"/>
      <c r="Z2068" s="111"/>
      <c r="AA2068" s="111"/>
      <c r="AB2068" s="111"/>
      <c r="AC2068" s="111"/>
      <c r="AD2068" s="111"/>
      <c r="AE2068" s="111"/>
      <c r="AF2068" s="111"/>
      <c r="AG2068" s="111"/>
      <c r="AH2068" s="111"/>
    </row>
    <row r="2069">
      <c r="A2069" s="89"/>
      <c r="B2069" s="111"/>
      <c r="C2069" s="111"/>
      <c r="D2069" s="111"/>
      <c r="E2069" s="91"/>
      <c r="F2069" s="111"/>
      <c r="G2069" s="111"/>
      <c r="H2069" s="111"/>
      <c r="I2069" s="111"/>
      <c r="J2069" s="111"/>
      <c r="K2069" s="92"/>
      <c r="L2069" s="111"/>
      <c r="M2069" s="111"/>
      <c r="N2069" s="111"/>
      <c r="O2069" s="112"/>
      <c r="P2069" s="111"/>
      <c r="Q2069" s="111"/>
      <c r="R2069" s="111"/>
      <c r="S2069" s="111"/>
      <c r="T2069" s="111"/>
      <c r="U2069" s="111"/>
      <c r="V2069" s="111"/>
      <c r="W2069" s="111"/>
      <c r="X2069" s="111"/>
      <c r="Y2069" s="111"/>
      <c r="Z2069" s="111"/>
      <c r="AA2069" s="111"/>
      <c r="AB2069" s="111"/>
      <c r="AC2069" s="111"/>
      <c r="AD2069" s="111"/>
      <c r="AE2069" s="111"/>
      <c r="AF2069" s="111"/>
      <c r="AG2069" s="111"/>
      <c r="AH2069" s="111"/>
    </row>
    <row r="2070">
      <c r="A2070" s="89"/>
      <c r="B2070" s="111"/>
      <c r="C2070" s="111"/>
      <c r="D2070" s="111"/>
      <c r="E2070" s="91"/>
      <c r="F2070" s="111"/>
      <c r="G2070" s="111"/>
      <c r="H2070" s="111"/>
      <c r="I2070" s="111"/>
      <c r="J2070" s="111"/>
      <c r="K2070" s="92"/>
      <c r="L2070" s="111"/>
      <c r="M2070" s="111"/>
      <c r="N2070" s="111"/>
      <c r="O2070" s="112"/>
      <c r="P2070" s="111"/>
      <c r="Q2070" s="111"/>
      <c r="R2070" s="111"/>
      <c r="S2070" s="111"/>
      <c r="T2070" s="111"/>
      <c r="U2070" s="111"/>
      <c r="V2070" s="111"/>
      <c r="W2070" s="111"/>
      <c r="X2070" s="111"/>
      <c r="Y2070" s="111"/>
      <c r="Z2070" s="111"/>
      <c r="AA2070" s="111"/>
      <c r="AB2070" s="111"/>
      <c r="AC2070" s="111"/>
      <c r="AD2070" s="111"/>
      <c r="AE2070" s="111"/>
      <c r="AF2070" s="111"/>
      <c r="AG2070" s="111"/>
      <c r="AH2070" s="111"/>
    </row>
    <row r="2071">
      <c r="A2071" s="89"/>
      <c r="B2071" s="111"/>
      <c r="C2071" s="111"/>
      <c r="D2071" s="111"/>
      <c r="E2071" s="91"/>
      <c r="F2071" s="111"/>
      <c r="G2071" s="111"/>
      <c r="H2071" s="111"/>
      <c r="I2071" s="111"/>
      <c r="J2071" s="111"/>
      <c r="K2071" s="92"/>
      <c r="L2071" s="111"/>
      <c r="M2071" s="111"/>
      <c r="N2071" s="111"/>
      <c r="O2071" s="112"/>
      <c r="P2071" s="111"/>
      <c r="Q2071" s="111"/>
      <c r="R2071" s="111"/>
      <c r="S2071" s="111"/>
      <c r="T2071" s="111"/>
      <c r="U2071" s="111"/>
      <c r="V2071" s="111"/>
      <c r="W2071" s="111"/>
      <c r="X2071" s="111"/>
      <c r="Y2071" s="111"/>
      <c r="Z2071" s="111"/>
      <c r="AA2071" s="111"/>
      <c r="AB2071" s="111"/>
      <c r="AC2071" s="111"/>
      <c r="AD2071" s="111"/>
      <c r="AE2071" s="111"/>
      <c r="AF2071" s="111"/>
      <c r="AG2071" s="111"/>
      <c r="AH2071" s="111"/>
    </row>
    <row r="2072">
      <c r="A2072" s="89"/>
      <c r="B2072" s="111"/>
      <c r="C2072" s="111"/>
      <c r="D2072" s="111"/>
      <c r="E2072" s="91"/>
      <c r="F2072" s="111"/>
      <c r="G2072" s="111"/>
      <c r="H2072" s="111"/>
      <c r="I2072" s="111"/>
      <c r="J2072" s="111"/>
      <c r="K2072" s="92"/>
      <c r="L2072" s="111"/>
      <c r="M2072" s="111"/>
      <c r="N2072" s="111"/>
      <c r="O2072" s="112"/>
      <c r="P2072" s="111"/>
      <c r="Q2072" s="111"/>
      <c r="R2072" s="111"/>
      <c r="S2072" s="111"/>
      <c r="T2072" s="111"/>
      <c r="U2072" s="111"/>
      <c r="V2072" s="111"/>
      <c r="W2072" s="111"/>
      <c r="X2072" s="111"/>
      <c r="Y2072" s="111"/>
      <c r="Z2072" s="111"/>
      <c r="AA2072" s="111"/>
      <c r="AB2072" s="111"/>
      <c r="AC2072" s="111"/>
      <c r="AD2072" s="111"/>
      <c r="AE2072" s="111"/>
      <c r="AF2072" s="111"/>
      <c r="AG2072" s="111"/>
      <c r="AH2072" s="111"/>
    </row>
    <row r="2073">
      <c r="A2073" s="89"/>
      <c r="B2073" s="111"/>
      <c r="C2073" s="111"/>
      <c r="D2073" s="111"/>
      <c r="E2073" s="91"/>
      <c r="F2073" s="111"/>
      <c r="G2073" s="111"/>
      <c r="H2073" s="111"/>
      <c r="I2073" s="111"/>
      <c r="J2073" s="111"/>
      <c r="K2073" s="92"/>
      <c r="L2073" s="111"/>
      <c r="M2073" s="111"/>
      <c r="N2073" s="111"/>
      <c r="O2073" s="112"/>
      <c r="P2073" s="111"/>
      <c r="Q2073" s="111"/>
      <c r="R2073" s="111"/>
      <c r="S2073" s="111"/>
      <c r="T2073" s="111"/>
      <c r="U2073" s="111"/>
      <c r="V2073" s="111"/>
      <c r="W2073" s="111"/>
      <c r="X2073" s="111"/>
      <c r="Y2073" s="111"/>
      <c r="Z2073" s="111"/>
      <c r="AA2073" s="111"/>
      <c r="AB2073" s="111"/>
      <c r="AC2073" s="111"/>
      <c r="AD2073" s="111"/>
      <c r="AE2073" s="111"/>
      <c r="AF2073" s="111"/>
      <c r="AG2073" s="111"/>
      <c r="AH2073" s="111"/>
    </row>
    <row r="2074">
      <c r="A2074" s="89"/>
      <c r="B2074" s="111"/>
      <c r="C2074" s="111"/>
      <c r="D2074" s="111"/>
      <c r="E2074" s="91"/>
      <c r="F2074" s="111"/>
      <c r="G2074" s="111"/>
      <c r="H2074" s="111"/>
      <c r="I2074" s="111"/>
      <c r="J2074" s="111"/>
      <c r="K2074" s="92"/>
      <c r="L2074" s="111"/>
      <c r="M2074" s="111"/>
      <c r="N2074" s="111"/>
      <c r="O2074" s="112"/>
      <c r="P2074" s="111"/>
      <c r="Q2074" s="111"/>
      <c r="R2074" s="111"/>
      <c r="S2074" s="111"/>
      <c r="T2074" s="111"/>
      <c r="U2074" s="111"/>
      <c r="V2074" s="111"/>
      <c r="W2074" s="111"/>
      <c r="X2074" s="111"/>
      <c r="Y2074" s="111"/>
      <c r="Z2074" s="111"/>
      <c r="AA2074" s="111"/>
      <c r="AB2074" s="111"/>
      <c r="AC2074" s="111"/>
      <c r="AD2074" s="111"/>
      <c r="AE2074" s="111"/>
      <c r="AF2074" s="111"/>
      <c r="AG2074" s="111"/>
      <c r="AH2074" s="111"/>
    </row>
    <row r="2075">
      <c r="A2075" s="89"/>
      <c r="B2075" s="111"/>
      <c r="C2075" s="111"/>
      <c r="D2075" s="111"/>
      <c r="E2075" s="91"/>
      <c r="F2075" s="111"/>
      <c r="G2075" s="111"/>
      <c r="H2075" s="111"/>
      <c r="I2075" s="111"/>
      <c r="J2075" s="111"/>
      <c r="K2075" s="92"/>
      <c r="L2075" s="111"/>
      <c r="M2075" s="111"/>
      <c r="N2075" s="111"/>
      <c r="O2075" s="112"/>
      <c r="P2075" s="111"/>
      <c r="Q2075" s="111"/>
      <c r="R2075" s="111"/>
      <c r="S2075" s="111"/>
      <c r="T2075" s="111"/>
      <c r="U2075" s="111"/>
      <c r="V2075" s="111"/>
      <c r="W2075" s="111"/>
      <c r="X2075" s="111"/>
      <c r="Y2075" s="111"/>
      <c r="Z2075" s="111"/>
      <c r="AA2075" s="111"/>
      <c r="AB2075" s="111"/>
      <c r="AC2075" s="111"/>
      <c r="AD2075" s="111"/>
      <c r="AE2075" s="111"/>
      <c r="AF2075" s="111"/>
      <c r="AG2075" s="111"/>
      <c r="AH2075" s="111"/>
    </row>
    <row r="2076">
      <c r="A2076" s="89"/>
      <c r="B2076" s="111"/>
      <c r="C2076" s="111"/>
      <c r="D2076" s="111"/>
      <c r="E2076" s="91"/>
      <c r="F2076" s="111"/>
      <c r="G2076" s="111"/>
      <c r="H2076" s="111"/>
      <c r="I2076" s="111"/>
      <c r="J2076" s="111"/>
      <c r="K2076" s="92"/>
      <c r="L2076" s="111"/>
      <c r="M2076" s="111"/>
      <c r="N2076" s="111"/>
      <c r="O2076" s="112"/>
      <c r="P2076" s="111"/>
      <c r="Q2076" s="111"/>
      <c r="R2076" s="111"/>
      <c r="S2076" s="111"/>
      <c r="T2076" s="111"/>
      <c r="U2076" s="111"/>
      <c r="V2076" s="111"/>
      <c r="W2076" s="111"/>
      <c r="X2076" s="111"/>
      <c r="Y2076" s="111"/>
      <c r="Z2076" s="111"/>
      <c r="AA2076" s="111"/>
      <c r="AB2076" s="111"/>
      <c r="AC2076" s="111"/>
      <c r="AD2076" s="111"/>
      <c r="AE2076" s="111"/>
      <c r="AF2076" s="111"/>
      <c r="AG2076" s="111"/>
      <c r="AH2076" s="111"/>
    </row>
    <row r="2077">
      <c r="A2077" s="89"/>
      <c r="B2077" s="111"/>
      <c r="C2077" s="111"/>
      <c r="D2077" s="111"/>
      <c r="E2077" s="91"/>
      <c r="F2077" s="111"/>
      <c r="G2077" s="111"/>
      <c r="H2077" s="111"/>
      <c r="I2077" s="111"/>
      <c r="J2077" s="111"/>
      <c r="K2077" s="92"/>
      <c r="L2077" s="111"/>
      <c r="M2077" s="111"/>
      <c r="N2077" s="111"/>
      <c r="O2077" s="112"/>
      <c r="P2077" s="111"/>
      <c r="Q2077" s="111"/>
      <c r="R2077" s="111"/>
      <c r="S2077" s="111"/>
      <c r="T2077" s="111"/>
      <c r="U2077" s="111"/>
      <c r="V2077" s="111"/>
      <c r="W2077" s="111"/>
      <c r="X2077" s="111"/>
      <c r="Y2077" s="111"/>
      <c r="Z2077" s="111"/>
      <c r="AA2077" s="111"/>
      <c r="AB2077" s="111"/>
      <c r="AC2077" s="111"/>
      <c r="AD2077" s="111"/>
      <c r="AE2077" s="111"/>
      <c r="AF2077" s="111"/>
      <c r="AG2077" s="111"/>
      <c r="AH2077" s="111"/>
    </row>
    <row r="2078">
      <c r="A2078" s="89"/>
      <c r="B2078" s="111"/>
      <c r="C2078" s="111"/>
      <c r="D2078" s="111"/>
      <c r="E2078" s="91"/>
      <c r="F2078" s="111"/>
      <c r="G2078" s="111"/>
      <c r="H2078" s="111"/>
      <c r="I2078" s="111"/>
      <c r="J2078" s="111"/>
      <c r="K2078" s="92"/>
      <c r="L2078" s="111"/>
      <c r="M2078" s="111"/>
      <c r="N2078" s="111"/>
      <c r="O2078" s="112"/>
      <c r="P2078" s="111"/>
      <c r="Q2078" s="111"/>
      <c r="R2078" s="111"/>
      <c r="S2078" s="111"/>
      <c r="T2078" s="111"/>
      <c r="U2078" s="111"/>
      <c r="V2078" s="111"/>
      <c r="W2078" s="111"/>
      <c r="X2078" s="111"/>
      <c r="Y2078" s="111"/>
      <c r="Z2078" s="111"/>
      <c r="AA2078" s="111"/>
      <c r="AB2078" s="111"/>
      <c r="AC2078" s="111"/>
      <c r="AD2078" s="111"/>
      <c r="AE2078" s="111"/>
      <c r="AF2078" s="111"/>
      <c r="AG2078" s="111"/>
      <c r="AH2078" s="111"/>
    </row>
    <row r="2079">
      <c r="A2079" s="89"/>
      <c r="B2079" s="111"/>
      <c r="C2079" s="111"/>
      <c r="D2079" s="111"/>
      <c r="E2079" s="91"/>
      <c r="F2079" s="111"/>
      <c r="G2079" s="111"/>
      <c r="H2079" s="111"/>
      <c r="I2079" s="111"/>
      <c r="J2079" s="111"/>
      <c r="K2079" s="92"/>
      <c r="L2079" s="111"/>
      <c r="M2079" s="111"/>
      <c r="N2079" s="111"/>
      <c r="O2079" s="112"/>
      <c r="P2079" s="111"/>
      <c r="Q2079" s="111"/>
      <c r="R2079" s="111"/>
      <c r="S2079" s="111"/>
      <c r="T2079" s="111"/>
      <c r="U2079" s="111"/>
      <c r="V2079" s="111"/>
      <c r="W2079" s="111"/>
      <c r="X2079" s="111"/>
      <c r="Y2079" s="111"/>
      <c r="Z2079" s="111"/>
      <c r="AA2079" s="111"/>
      <c r="AB2079" s="111"/>
      <c r="AC2079" s="111"/>
      <c r="AD2079" s="111"/>
      <c r="AE2079" s="111"/>
      <c r="AF2079" s="111"/>
      <c r="AG2079" s="111"/>
      <c r="AH2079" s="111"/>
    </row>
    <row r="2080">
      <c r="A2080" s="89"/>
      <c r="B2080" s="111"/>
      <c r="C2080" s="111"/>
      <c r="D2080" s="111"/>
      <c r="E2080" s="91"/>
      <c r="F2080" s="111"/>
      <c r="G2080" s="111"/>
      <c r="H2080" s="111"/>
      <c r="I2080" s="111"/>
      <c r="J2080" s="111"/>
      <c r="K2080" s="92"/>
      <c r="L2080" s="111"/>
      <c r="M2080" s="111"/>
      <c r="N2080" s="111"/>
      <c r="O2080" s="112"/>
      <c r="P2080" s="111"/>
      <c r="Q2080" s="111"/>
      <c r="R2080" s="111"/>
      <c r="S2080" s="111"/>
      <c r="T2080" s="111"/>
      <c r="U2080" s="111"/>
      <c r="V2080" s="111"/>
      <c r="W2080" s="111"/>
      <c r="X2080" s="111"/>
      <c r="Y2080" s="111"/>
      <c r="Z2080" s="111"/>
      <c r="AA2080" s="111"/>
      <c r="AB2080" s="111"/>
      <c r="AC2080" s="111"/>
      <c r="AD2080" s="111"/>
      <c r="AE2080" s="111"/>
      <c r="AF2080" s="111"/>
      <c r="AG2080" s="111"/>
      <c r="AH2080" s="111"/>
    </row>
    <row r="2081">
      <c r="A2081" s="89"/>
      <c r="B2081" s="111"/>
      <c r="C2081" s="111"/>
      <c r="D2081" s="111"/>
      <c r="E2081" s="91"/>
      <c r="F2081" s="111"/>
      <c r="G2081" s="111"/>
      <c r="H2081" s="111"/>
      <c r="I2081" s="111"/>
      <c r="J2081" s="111"/>
      <c r="K2081" s="92"/>
      <c r="L2081" s="111"/>
      <c r="M2081" s="111"/>
      <c r="N2081" s="111"/>
      <c r="O2081" s="112"/>
      <c r="P2081" s="111"/>
      <c r="Q2081" s="111"/>
      <c r="R2081" s="111"/>
      <c r="S2081" s="111"/>
      <c r="T2081" s="111"/>
      <c r="U2081" s="111"/>
      <c r="V2081" s="111"/>
      <c r="W2081" s="111"/>
      <c r="X2081" s="111"/>
      <c r="Y2081" s="111"/>
      <c r="Z2081" s="111"/>
      <c r="AA2081" s="111"/>
      <c r="AB2081" s="111"/>
      <c r="AC2081" s="111"/>
      <c r="AD2081" s="111"/>
      <c r="AE2081" s="111"/>
      <c r="AF2081" s="111"/>
      <c r="AG2081" s="111"/>
      <c r="AH2081" s="111"/>
    </row>
    <row r="2082">
      <c r="A2082" s="89"/>
      <c r="B2082" s="111"/>
      <c r="C2082" s="111"/>
      <c r="D2082" s="111"/>
      <c r="E2082" s="91"/>
      <c r="F2082" s="111"/>
      <c r="G2082" s="111"/>
      <c r="H2082" s="111"/>
      <c r="I2082" s="111"/>
      <c r="J2082" s="111"/>
      <c r="K2082" s="92"/>
      <c r="L2082" s="111"/>
      <c r="M2082" s="111"/>
      <c r="N2082" s="111"/>
      <c r="O2082" s="112"/>
      <c r="P2082" s="111"/>
      <c r="Q2082" s="111"/>
      <c r="R2082" s="111"/>
      <c r="S2082" s="111"/>
      <c r="T2082" s="111"/>
      <c r="U2082" s="111"/>
      <c r="V2082" s="111"/>
      <c r="W2082" s="111"/>
      <c r="X2082" s="111"/>
      <c r="Y2082" s="111"/>
      <c r="Z2082" s="111"/>
      <c r="AA2082" s="111"/>
      <c r="AB2082" s="111"/>
      <c r="AC2082" s="111"/>
      <c r="AD2082" s="111"/>
      <c r="AE2082" s="111"/>
      <c r="AF2082" s="111"/>
      <c r="AG2082" s="111"/>
      <c r="AH2082" s="111"/>
    </row>
    <row r="2083">
      <c r="A2083" s="89"/>
      <c r="B2083" s="111"/>
      <c r="C2083" s="111"/>
      <c r="D2083" s="111"/>
      <c r="E2083" s="91"/>
      <c r="F2083" s="111"/>
      <c r="G2083" s="111"/>
      <c r="H2083" s="111"/>
      <c r="I2083" s="111"/>
      <c r="J2083" s="111"/>
      <c r="K2083" s="92"/>
      <c r="L2083" s="111"/>
      <c r="M2083" s="111"/>
      <c r="N2083" s="111"/>
      <c r="O2083" s="112"/>
      <c r="P2083" s="111"/>
      <c r="Q2083" s="111"/>
      <c r="R2083" s="111"/>
      <c r="S2083" s="111"/>
      <c r="T2083" s="111"/>
      <c r="U2083" s="111"/>
      <c r="V2083" s="111"/>
      <c r="W2083" s="111"/>
      <c r="X2083" s="111"/>
      <c r="Y2083" s="111"/>
      <c r="Z2083" s="111"/>
      <c r="AA2083" s="111"/>
      <c r="AB2083" s="111"/>
      <c r="AC2083" s="111"/>
      <c r="AD2083" s="111"/>
      <c r="AE2083" s="111"/>
      <c r="AF2083" s="111"/>
      <c r="AG2083" s="111"/>
      <c r="AH2083" s="111"/>
    </row>
    <row r="2084">
      <c r="A2084" s="89"/>
      <c r="B2084" s="111"/>
      <c r="C2084" s="111"/>
      <c r="D2084" s="111"/>
      <c r="E2084" s="91"/>
      <c r="F2084" s="111"/>
      <c r="G2084" s="111"/>
      <c r="H2084" s="111"/>
      <c r="I2084" s="111"/>
      <c r="J2084" s="111"/>
      <c r="K2084" s="92"/>
      <c r="L2084" s="111"/>
      <c r="M2084" s="111"/>
      <c r="N2084" s="111"/>
      <c r="O2084" s="112"/>
      <c r="P2084" s="111"/>
      <c r="Q2084" s="111"/>
      <c r="R2084" s="111"/>
      <c r="S2084" s="111"/>
      <c r="T2084" s="111"/>
      <c r="U2084" s="111"/>
      <c r="V2084" s="111"/>
      <c r="W2084" s="111"/>
      <c r="X2084" s="111"/>
      <c r="Y2084" s="111"/>
      <c r="Z2084" s="111"/>
      <c r="AA2084" s="111"/>
      <c r="AB2084" s="111"/>
      <c r="AC2084" s="111"/>
      <c r="AD2084" s="111"/>
      <c r="AE2084" s="111"/>
      <c r="AF2084" s="111"/>
      <c r="AG2084" s="111"/>
      <c r="AH2084" s="111"/>
    </row>
    <row r="2085">
      <c r="A2085" s="89"/>
      <c r="B2085" s="111"/>
      <c r="C2085" s="111"/>
      <c r="D2085" s="111"/>
      <c r="E2085" s="91"/>
      <c r="F2085" s="111"/>
      <c r="G2085" s="111"/>
      <c r="H2085" s="111"/>
      <c r="I2085" s="111"/>
      <c r="J2085" s="111"/>
      <c r="K2085" s="92"/>
      <c r="L2085" s="111"/>
      <c r="M2085" s="111"/>
      <c r="N2085" s="111"/>
      <c r="O2085" s="112"/>
      <c r="P2085" s="111"/>
      <c r="Q2085" s="111"/>
      <c r="R2085" s="111"/>
      <c r="S2085" s="111"/>
      <c r="T2085" s="111"/>
      <c r="U2085" s="111"/>
      <c r="V2085" s="111"/>
      <c r="W2085" s="111"/>
      <c r="X2085" s="111"/>
      <c r="Y2085" s="111"/>
      <c r="Z2085" s="111"/>
      <c r="AA2085" s="111"/>
      <c r="AB2085" s="111"/>
      <c r="AC2085" s="111"/>
      <c r="AD2085" s="111"/>
      <c r="AE2085" s="111"/>
      <c r="AF2085" s="111"/>
      <c r="AG2085" s="111"/>
      <c r="AH2085" s="111"/>
    </row>
    <row r="2086">
      <c r="A2086" s="89"/>
      <c r="B2086" s="111"/>
      <c r="C2086" s="111"/>
      <c r="D2086" s="111"/>
      <c r="E2086" s="91"/>
      <c r="F2086" s="111"/>
      <c r="G2086" s="111"/>
      <c r="H2086" s="111"/>
      <c r="I2086" s="111"/>
      <c r="J2086" s="111"/>
      <c r="K2086" s="92"/>
      <c r="L2086" s="111"/>
      <c r="M2086" s="111"/>
      <c r="N2086" s="111"/>
      <c r="O2086" s="112"/>
      <c r="P2086" s="111"/>
      <c r="Q2086" s="111"/>
      <c r="R2086" s="111"/>
      <c r="S2086" s="111"/>
      <c r="T2086" s="111"/>
      <c r="U2086" s="111"/>
      <c r="V2086" s="111"/>
      <c r="W2086" s="111"/>
      <c r="X2086" s="111"/>
      <c r="Y2086" s="111"/>
      <c r="Z2086" s="111"/>
      <c r="AA2086" s="111"/>
      <c r="AB2086" s="111"/>
      <c r="AC2086" s="111"/>
      <c r="AD2086" s="111"/>
      <c r="AE2086" s="111"/>
      <c r="AF2086" s="111"/>
      <c r="AG2086" s="111"/>
      <c r="AH2086" s="111"/>
    </row>
    <row r="2087">
      <c r="A2087" s="89"/>
      <c r="B2087" s="111"/>
      <c r="C2087" s="111"/>
      <c r="D2087" s="111"/>
      <c r="E2087" s="91"/>
      <c r="F2087" s="111"/>
      <c r="G2087" s="111"/>
      <c r="H2087" s="111"/>
      <c r="I2087" s="111"/>
      <c r="J2087" s="111"/>
      <c r="K2087" s="92"/>
      <c r="L2087" s="111"/>
      <c r="M2087" s="111"/>
      <c r="N2087" s="111"/>
      <c r="O2087" s="112"/>
      <c r="P2087" s="111"/>
      <c r="Q2087" s="111"/>
      <c r="R2087" s="111"/>
      <c r="S2087" s="111"/>
      <c r="T2087" s="111"/>
      <c r="U2087" s="111"/>
      <c r="V2087" s="111"/>
      <c r="W2087" s="111"/>
      <c r="X2087" s="111"/>
      <c r="Y2087" s="111"/>
      <c r="Z2087" s="111"/>
      <c r="AA2087" s="111"/>
      <c r="AB2087" s="111"/>
      <c r="AC2087" s="111"/>
      <c r="AD2087" s="111"/>
      <c r="AE2087" s="111"/>
      <c r="AF2087" s="111"/>
      <c r="AG2087" s="111"/>
      <c r="AH2087" s="111"/>
    </row>
    <row r="2088">
      <c r="A2088" s="89"/>
      <c r="B2088" s="111"/>
      <c r="C2088" s="111"/>
      <c r="D2088" s="111"/>
      <c r="E2088" s="91"/>
      <c r="F2088" s="111"/>
      <c r="G2088" s="111"/>
      <c r="H2088" s="111"/>
      <c r="I2088" s="111"/>
      <c r="J2088" s="111"/>
      <c r="K2088" s="92"/>
      <c r="L2088" s="111"/>
      <c r="M2088" s="111"/>
      <c r="N2088" s="111"/>
      <c r="O2088" s="112"/>
      <c r="P2088" s="111"/>
      <c r="Q2088" s="111"/>
      <c r="R2088" s="111"/>
      <c r="S2088" s="111"/>
      <c r="T2088" s="111"/>
      <c r="U2088" s="111"/>
      <c r="V2088" s="111"/>
      <c r="W2088" s="111"/>
      <c r="X2088" s="111"/>
      <c r="Y2088" s="111"/>
      <c r="Z2088" s="111"/>
      <c r="AA2088" s="111"/>
      <c r="AB2088" s="111"/>
      <c r="AC2088" s="111"/>
      <c r="AD2088" s="111"/>
      <c r="AE2088" s="111"/>
      <c r="AF2088" s="111"/>
      <c r="AG2088" s="111"/>
      <c r="AH2088" s="111"/>
    </row>
    <row r="2089">
      <c r="A2089" s="89"/>
      <c r="B2089" s="111"/>
      <c r="C2089" s="111"/>
      <c r="D2089" s="111"/>
      <c r="E2089" s="91"/>
      <c r="F2089" s="111"/>
      <c r="G2089" s="111"/>
      <c r="H2089" s="111"/>
      <c r="I2089" s="111"/>
      <c r="J2089" s="111"/>
      <c r="K2089" s="92"/>
      <c r="L2089" s="111"/>
      <c r="M2089" s="111"/>
      <c r="N2089" s="111"/>
      <c r="O2089" s="112"/>
      <c r="P2089" s="111"/>
      <c r="Q2089" s="111"/>
      <c r="R2089" s="111"/>
      <c r="S2089" s="111"/>
      <c r="T2089" s="111"/>
      <c r="U2089" s="111"/>
      <c r="V2089" s="111"/>
      <c r="W2089" s="111"/>
      <c r="X2089" s="111"/>
      <c r="Y2089" s="111"/>
      <c r="Z2089" s="111"/>
      <c r="AA2089" s="111"/>
      <c r="AB2089" s="111"/>
      <c r="AC2089" s="111"/>
      <c r="AD2089" s="111"/>
      <c r="AE2089" s="111"/>
      <c r="AF2089" s="111"/>
      <c r="AG2089" s="111"/>
      <c r="AH2089" s="111"/>
    </row>
    <row r="2090">
      <c r="A2090" s="89"/>
      <c r="B2090" s="111"/>
      <c r="C2090" s="111"/>
      <c r="D2090" s="111"/>
      <c r="E2090" s="91"/>
      <c r="F2090" s="111"/>
      <c r="G2090" s="111"/>
      <c r="H2090" s="111"/>
      <c r="I2090" s="111"/>
      <c r="J2090" s="111"/>
      <c r="K2090" s="92"/>
      <c r="L2090" s="111"/>
      <c r="M2090" s="111"/>
      <c r="N2090" s="111"/>
      <c r="O2090" s="112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  <c r="AG2090" s="111"/>
      <c r="AH2090" s="111"/>
    </row>
    <row r="2091">
      <c r="A2091" s="89"/>
      <c r="B2091" s="111"/>
      <c r="C2091" s="111"/>
      <c r="D2091" s="111"/>
      <c r="E2091" s="91"/>
      <c r="F2091" s="111"/>
      <c r="G2091" s="111"/>
      <c r="H2091" s="111"/>
      <c r="I2091" s="111"/>
      <c r="J2091" s="111"/>
      <c r="K2091" s="92"/>
      <c r="L2091" s="111"/>
      <c r="M2091" s="111"/>
      <c r="N2091" s="111"/>
      <c r="O2091" s="112"/>
      <c r="P2091" s="111"/>
      <c r="Q2091" s="111"/>
      <c r="R2091" s="111"/>
      <c r="S2091" s="111"/>
      <c r="T2091" s="111"/>
      <c r="U2091" s="111"/>
      <c r="V2091" s="111"/>
      <c r="W2091" s="111"/>
      <c r="X2091" s="111"/>
      <c r="Y2091" s="111"/>
      <c r="Z2091" s="111"/>
      <c r="AA2091" s="111"/>
      <c r="AB2091" s="111"/>
      <c r="AC2091" s="111"/>
      <c r="AD2091" s="111"/>
      <c r="AE2091" s="111"/>
      <c r="AF2091" s="111"/>
      <c r="AG2091" s="111"/>
      <c r="AH2091" s="111"/>
    </row>
    <row r="2092">
      <c r="A2092" s="89"/>
      <c r="B2092" s="111"/>
      <c r="C2092" s="111"/>
      <c r="D2092" s="111"/>
      <c r="E2092" s="91"/>
      <c r="F2092" s="111"/>
      <c r="G2092" s="111"/>
      <c r="H2092" s="111"/>
      <c r="I2092" s="111"/>
      <c r="J2092" s="111"/>
      <c r="K2092" s="92"/>
      <c r="L2092" s="111"/>
      <c r="M2092" s="111"/>
      <c r="N2092" s="111"/>
      <c r="O2092" s="112"/>
      <c r="P2092" s="111"/>
      <c r="Q2092" s="111"/>
      <c r="R2092" s="111"/>
      <c r="S2092" s="111"/>
      <c r="T2092" s="111"/>
      <c r="U2092" s="111"/>
      <c r="V2092" s="111"/>
      <c r="W2092" s="111"/>
      <c r="X2092" s="111"/>
      <c r="Y2092" s="111"/>
      <c r="Z2092" s="111"/>
      <c r="AA2092" s="111"/>
      <c r="AB2092" s="111"/>
      <c r="AC2092" s="111"/>
      <c r="AD2092" s="111"/>
      <c r="AE2092" s="111"/>
      <c r="AF2092" s="111"/>
      <c r="AG2092" s="111"/>
      <c r="AH2092" s="111"/>
    </row>
    <row r="2093">
      <c r="A2093" s="89"/>
      <c r="B2093" s="111"/>
      <c r="C2093" s="111"/>
      <c r="D2093" s="111"/>
      <c r="E2093" s="91"/>
      <c r="F2093" s="111"/>
      <c r="G2093" s="111"/>
      <c r="H2093" s="111"/>
      <c r="I2093" s="111"/>
      <c r="J2093" s="111"/>
      <c r="K2093" s="92"/>
      <c r="L2093" s="111"/>
      <c r="M2093" s="111"/>
      <c r="N2093" s="111"/>
      <c r="O2093" s="112"/>
      <c r="P2093" s="111"/>
      <c r="Q2093" s="111"/>
      <c r="R2093" s="111"/>
      <c r="S2093" s="111"/>
      <c r="T2093" s="111"/>
      <c r="U2093" s="111"/>
      <c r="V2093" s="111"/>
      <c r="W2093" s="111"/>
      <c r="X2093" s="111"/>
      <c r="Y2093" s="111"/>
      <c r="Z2093" s="111"/>
      <c r="AA2093" s="111"/>
      <c r="AB2093" s="111"/>
      <c r="AC2093" s="111"/>
      <c r="AD2093" s="111"/>
      <c r="AE2093" s="111"/>
      <c r="AF2093" s="111"/>
      <c r="AG2093" s="111"/>
      <c r="AH2093" s="111"/>
    </row>
    <row r="2094">
      <c r="A2094" s="89"/>
      <c r="B2094" s="111"/>
      <c r="C2094" s="111"/>
      <c r="D2094" s="111"/>
      <c r="E2094" s="91"/>
      <c r="F2094" s="111"/>
      <c r="G2094" s="111"/>
      <c r="H2094" s="111"/>
      <c r="I2094" s="111"/>
      <c r="J2094" s="111"/>
      <c r="K2094" s="92"/>
      <c r="L2094" s="111"/>
      <c r="M2094" s="111"/>
      <c r="N2094" s="111"/>
      <c r="O2094" s="112"/>
      <c r="P2094" s="111"/>
      <c r="Q2094" s="111"/>
      <c r="R2094" s="111"/>
      <c r="S2094" s="111"/>
      <c r="T2094" s="111"/>
      <c r="U2094" s="111"/>
      <c r="V2094" s="111"/>
      <c r="W2094" s="111"/>
      <c r="X2094" s="111"/>
      <c r="Y2094" s="111"/>
      <c r="Z2094" s="111"/>
      <c r="AA2094" s="111"/>
      <c r="AB2094" s="111"/>
      <c r="AC2094" s="111"/>
      <c r="AD2094" s="111"/>
      <c r="AE2094" s="111"/>
      <c r="AF2094" s="111"/>
      <c r="AG2094" s="111"/>
      <c r="AH2094" s="111"/>
    </row>
    <row r="2095">
      <c r="A2095" s="89"/>
      <c r="B2095" s="111"/>
      <c r="C2095" s="111"/>
      <c r="D2095" s="111"/>
      <c r="E2095" s="91"/>
      <c r="F2095" s="111"/>
      <c r="G2095" s="111"/>
      <c r="H2095" s="111"/>
      <c r="I2095" s="111"/>
      <c r="J2095" s="111"/>
      <c r="K2095" s="92"/>
      <c r="L2095" s="111"/>
      <c r="M2095" s="111"/>
      <c r="N2095" s="111"/>
      <c r="O2095" s="112"/>
      <c r="P2095" s="111"/>
      <c r="Q2095" s="111"/>
      <c r="R2095" s="111"/>
      <c r="S2095" s="111"/>
      <c r="T2095" s="111"/>
      <c r="U2095" s="111"/>
      <c r="V2095" s="111"/>
      <c r="W2095" s="111"/>
      <c r="X2095" s="111"/>
      <c r="Y2095" s="111"/>
      <c r="Z2095" s="111"/>
      <c r="AA2095" s="111"/>
      <c r="AB2095" s="111"/>
      <c r="AC2095" s="111"/>
      <c r="AD2095" s="111"/>
      <c r="AE2095" s="111"/>
      <c r="AF2095" s="111"/>
      <c r="AG2095" s="111"/>
      <c r="AH2095" s="111"/>
    </row>
    <row r="2096">
      <c r="A2096" s="89"/>
      <c r="B2096" s="111"/>
      <c r="C2096" s="111"/>
      <c r="D2096" s="111"/>
      <c r="E2096" s="91"/>
      <c r="F2096" s="111"/>
      <c r="G2096" s="111"/>
      <c r="H2096" s="111"/>
      <c r="I2096" s="111"/>
      <c r="J2096" s="111"/>
      <c r="K2096" s="92"/>
      <c r="L2096" s="111"/>
      <c r="M2096" s="111"/>
      <c r="N2096" s="111"/>
      <c r="O2096" s="112"/>
      <c r="P2096" s="111"/>
      <c r="Q2096" s="111"/>
      <c r="R2096" s="111"/>
      <c r="S2096" s="111"/>
      <c r="T2096" s="111"/>
      <c r="U2096" s="111"/>
      <c r="V2096" s="111"/>
      <c r="W2096" s="111"/>
      <c r="X2096" s="111"/>
      <c r="Y2096" s="111"/>
      <c r="Z2096" s="111"/>
      <c r="AA2096" s="111"/>
      <c r="AB2096" s="111"/>
      <c r="AC2096" s="111"/>
      <c r="AD2096" s="111"/>
      <c r="AE2096" s="111"/>
      <c r="AF2096" s="111"/>
      <c r="AG2096" s="111"/>
      <c r="AH2096" s="111"/>
    </row>
    <row r="2097">
      <c r="A2097" s="89"/>
      <c r="B2097" s="111"/>
      <c r="C2097" s="111"/>
      <c r="D2097" s="111"/>
      <c r="E2097" s="91"/>
      <c r="F2097" s="111"/>
      <c r="G2097" s="111"/>
      <c r="H2097" s="111"/>
      <c r="I2097" s="111"/>
      <c r="J2097" s="111"/>
      <c r="K2097" s="92"/>
      <c r="L2097" s="111"/>
      <c r="M2097" s="111"/>
      <c r="N2097" s="111"/>
      <c r="O2097" s="112"/>
      <c r="P2097" s="111"/>
      <c r="Q2097" s="111"/>
      <c r="R2097" s="111"/>
      <c r="S2097" s="111"/>
      <c r="T2097" s="111"/>
      <c r="U2097" s="111"/>
      <c r="V2097" s="111"/>
      <c r="W2097" s="111"/>
      <c r="X2097" s="111"/>
      <c r="Y2097" s="111"/>
      <c r="Z2097" s="111"/>
      <c r="AA2097" s="111"/>
      <c r="AB2097" s="111"/>
      <c r="AC2097" s="111"/>
      <c r="AD2097" s="111"/>
      <c r="AE2097" s="111"/>
      <c r="AF2097" s="111"/>
      <c r="AG2097" s="111"/>
      <c r="AH2097" s="111"/>
    </row>
    <row r="2098">
      <c r="A2098" s="89"/>
      <c r="B2098" s="111"/>
      <c r="C2098" s="111"/>
      <c r="D2098" s="111"/>
      <c r="E2098" s="91"/>
      <c r="F2098" s="111"/>
      <c r="G2098" s="111"/>
      <c r="H2098" s="111"/>
      <c r="I2098" s="111"/>
      <c r="J2098" s="111"/>
      <c r="K2098" s="92"/>
      <c r="L2098" s="111"/>
      <c r="M2098" s="111"/>
      <c r="N2098" s="111"/>
      <c r="O2098" s="112"/>
      <c r="P2098" s="111"/>
      <c r="Q2098" s="111"/>
      <c r="R2098" s="111"/>
      <c r="S2098" s="111"/>
      <c r="T2098" s="111"/>
      <c r="U2098" s="111"/>
      <c r="V2098" s="111"/>
      <c r="W2098" s="111"/>
      <c r="X2098" s="111"/>
      <c r="Y2098" s="111"/>
      <c r="Z2098" s="111"/>
      <c r="AA2098" s="111"/>
      <c r="AB2098" s="111"/>
      <c r="AC2098" s="111"/>
      <c r="AD2098" s="111"/>
      <c r="AE2098" s="111"/>
      <c r="AF2098" s="111"/>
      <c r="AG2098" s="111"/>
      <c r="AH2098" s="111"/>
    </row>
    <row r="2099">
      <c r="A2099" s="89"/>
      <c r="B2099" s="111"/>
      <c r="C2099" s="111"/>
      <c r="D2099" s="111"/>
      <c r="E2099" s="91"/>
      <c r="F2099" s="111"/>
      <c r="G2099" s="111"/>
      <c r="H2099" s="111"/>
      <c r="I2099" s="111"/>
      <c r="J2099" s="111"/>
      <c r="K2099" s="92"/>
      <c r="L2099" s="111"/>
      <c r="M2099" s="111"/>
      <c r="N2099" s="111"/>
      <c r="O2099" s="112"/>
      <c r="P2099" s="111"/>
      <c r="Q2099" s="111"/>
      <c r="R2099" s="111"/>
      <c r="S2099" s="111"/>
      <c r="T2099" s="111"/>
      <c r="U2099" s="111"/>
      <c r="V2099" s="111"/>
      <c r="W2099" s="111"/>
      <c r="X2099" s="111"/>
      <c r="Y2099" s="111"/>
      <c r="Z2099" s="111"/>
      <c r="AA2099" s="111"/>
      <c r="AB2099" s="111"/>
      <c r="AC2099" s="111"/>
      <c r="AD2099" s="111"/>
      <c r="AE2099" s="111"/>
      <c r="AF2099" s="111"/>
      <c r="AG2099" s="111"/>
      <c r="AH2099" s="111"/>
    </row>
    <row r="2100">
      <c r="A2100" s="89"/>
      <c r="B2100" s="111"/>
      <c r="C2100" s="111"/>
      <c r="D2100" s="111"/>
      <c r="E2100" s="91"/>
      <c r="F2100" s="111"/>
      <c r="G2100" s="111"/>
      <c r="H2100" s="111"/>
      <c r="I2100" s="111"/>
      <c r="J2100" s="111"/>
      <c r="K2100" s="92"/>
      <c r="L2100" s="111"/>
      <c r="M2100" s="111"/>
      <c r="N2100" s="111"/>
      <c r="O2100" s="112"/>
      <c r="P2100" s="111"/>
      <c r="Q2100" s="111"/>
      <c r="R2100" s="111"/>
      <c r="S2100" s="111"/>
      <c r="T2100" s="111"/>
      <c r="U2100" s="111"/>
      <c r="V2100" s="111"/>
      <c r="W2100" s="111"/>
      <c r="X2100" s="111"/>
      <c r="Y2100" s="111"/>
      <c r="Z2100" s="111"/>
      <c r="AA2100" s="111"/>
      <c r="AB2100" s="111"/>
      <c r="AC2100" s="111"/>
      <c r="AD2100" s="111"/>
      <c r="AE2100" s="111"/>
      <c r="AF2100" s="111"/>
      <c r="AG2100" s="111"/>
      <c r="AH2100" s="111"/>
    </row>
    <row r="2101">
      <c r="A2101" s="89"/>
      <c r="B2101" s="111"/>
      <c r="C2101" s="111"/>
      <c r="D2101" s="111"/>
      <c r="E2101" s="91"/>
      <c r="F2101" s="111"/>
      <c r="G2101" s="111"/>
      <c r="H2101" s="111"/>
      <c r="I2101" s="111"/>
      <c r="J2101" s="111"/>
      <c r="K2101" s="92"/>
      <c r="L2101" s="111"/>
      <c r="M2101" s="111"/>
      <c r="N2101" s="111"/>
      <c r="O2101" s="112"/>
      <c r="P2101" s="111"/>
      <c r="Q2101" s="111"/>
      <c r="R2101" s="111"/>
      <c r="S2101" s="111"/>
      <c r="T2101" s="111"/>
      <c r="U2101" s="111"/>
      <c r="V2101" s="111"/>
      <c r="W2101" s="111"/>
      <c r="X2101" s="111"/>
      <c r="Y2101" s="111"/>
      <c r="Z2101" s="111"/>
      <c r="AA2101" s="111"/>
      <c r="AB2101" s="111"/>
      <c r="AC2101" s="111"/>
      <c r="AD2101" s="111"/>
      <c r="AE2101" s="111"/>
      <c r="AF2101" s="111"/>
      <c r="AG2101" s="111"/>
      <c r="AH2101" s="111"/>
    </row>
    <row r="2102">
      <c r="A2102" s="89"/>
      <c r="B2102" s="111"/>
      <c r="C2102" s="111"/>
      <c r="D2102" s="111"/>
      <c r="E2102" s="91"/>
      <c r="F2102" s="111"/>
      <c r="G2102" s="111"/>
      <c r="H2102" s="111"/>
      <c r="I2102" s="111"/>
      <c r="J2102" s="111"/>
      <c r="K2102" s="92"/>
      <c r="L2102" s="111"/>
      <c r="M2102" s="111"/>
      <c r="N2102" s="111"/>
      <c r="O2102" s="112"/>
      <c r="P2102" s="111"/>
      <c r="Q2102" s="111"/>
      <c r="R2102" s="111"/>
      <c r="S2102" s="111"/>
      <c r="T2102" s="111"/>
      <c r="U2102" s="111"/>
      <c r="V2102" s="111"/>
      <c r="W2102" s="111"/>
      <c r="X2102" s="111"/>
      <c r="Y2102" s="111"/>
      <c r="Z2102" s="111"/>
      <c r="AA2102" s="111"/>
      <c r="AB2102" s="111"/>
      <c r="AC2102" s="111"/>
      <c r="AD2102" s="111"/>
      <c r="AE2102" s="111"/>
      <c r="AF2102" s="111"/>
      <c r="AG2102" s="111"/>
      <c r="AH2102" s="111"/>
    </row>
    <row r="2103">
      <c r="A2103" s="89"/>
      <c r="B2103" s="111"/>
      <c r="C2103" s="111"/>
      <c r="D2103" s="111"/>
      <c r="E2103" s="91"/>
      <c r="F2103" s="111"/>
      <c r="G2103" s="111"/>
      <c r="H2103" s="111"/>
      <c r="I2103" s="111"/>
      <c r="J2103" s="111"/>
      <c r="K2103" s="92"/>
      <c r="L2103" s="111"/>
      <c r="M2103" s="111"/>
      <c r="N2103" s="111"/>
      <c r="O2103" s="112"/>
      <c r="P2103" s="111"/>
      <c r="Q2103" s="111"/>
      <c r="R2103" s="111"/>
      <c r="S2103" s="111"/>
      <c r="T2103" s="111"/>
      <c r="U2103" s="111"/>
      <c r="V2103" s="111"/>
      <c r="W2103" s="111"/>
      <c r="X2103" s="111"/>
      <c r="Y2103" s="111"/>
      <c r="Z2103" s="111"/>
      <c r="AA2103" s="111"/>
      <c r="AB2103" s="111"/>
      <c r="AC2103" s="111"/>
      <c r="AD2103" s="111"/>
      <c r="AE2103" s="111"/>
      <c r="AF2103" s="111"/>
      <c r="AG2103" s="111"/>
      <c r="AH2103" s="111"/>
    </row>
    <row r="2104">
      <c r="A2104" s="89"/>
      <c r="B2104" s="111"/>
      <c r="C2104" s="111"/>
      <c r="D2104" s="111"/>
      <c r="E2104" s="91"/>
      <c r="F2104" s="111"/>
      <c r="G2104" s="111"/>
      <c r="H2104" s="111"/>
      <c r="I2104" s="111"/>
      <c r="J2104" s="111"/>
      <c r="K2104" s="92"/>
      <c r="L2104" s="111"/>
      <c r="M2104" s="111"/>
      <c r="N2104" s="111"/>
      <c r="O2104" s="112"/>
      <c r="P2104" s="111"/>
      <c r="Q2104" s="111"/>
      <c r="R2104" s="111"/>
      <c r="S2104" s="111"/>
      <c r="T2104" s="111"/>
      <c r="U2104" s="111"/>
      <c r="V2104" s="111"/>
      <c r="W2104" s="111"/>
      <c r="X2104" s="111"/>
      <c r="Y2104" s="111"/>
      <c r="Z2104" s="111"/>
      <c r="AA2104" s="111"/>
      <c r="AB2104" s="111"/>
      <c r="AC2104" s="111"/>
      <c r="AD2104" s="111"/>
      <c r="AE2104" s="111"/>
      <c r="AF2104" s="111"/>
      <c r="AG2104" s="111"/>
      <c r="AH2104" s="111"/>
    </row>
    <row r="2105">
      <c r="A2105" s="89"/>
      <c r="B2105" s="111"/>
      <c r="C2105" s="111"/>
      <c r="D2105" s="111"/>
      <c r="E2105" s="91"/>
      <c r="F2105" s="111"/>
      <c r="G2105" s="111"/>
      <c r="H2105" s="111"/>
      <c r="I2105" s="111"/>
      <c r="J2105" s="111"/>
      <c r="K2105" s="92"/>
      <c r="L2105" s="111"/>
      <c r="M2105" s="111"/>
      <c r="N2105" s="111"/>
      <c r="O2105" s="112"/>
      <c r="P2105" s="111"/>
      <c r="Q2105" s="111"/>
      <c r="R2105" s="111"/>
      <c r="S2105" s="111"/>
      <c r="T2105" s="111"/>
      <c r="U2105" s="111"/>
      <c r="V2105" s="111"/>
      <c r="W2105" s="111"/>
      <c r="X2105" s="111"/>
      <c r="Y2105" s="111"/>
      <c r="Z2105" s="111"/>
      <c r="AA2105" s="111"/>
      <c r="AB2105" s="111"/>
      <c r="AC2105" s="111"/>
      <c r="AD2105" s="111"/>
      <c r="AE2105" s="111"/>
      <c r="AF2105" s="111"/>
      <c r="AG2105" s="111"/>
      <c r="AH2105" s="111"/>
    </row>
    <row r="2106">
      <c r="A2106" s="89"/>
      <c r="B2106" s="111"/>
      <c r="C2106" s="111"/>
      <c r="D2106" s="111"/>
      <c r="E2106" s="91"/>
      <c r="F2106" s="111"/>
      <c r="G2106" s="111"/>
      <c r="H2106" s="111"/>
      <c r="I2106" s="111"/>
      <c r="J2106" s="111"/>
      <c r="K2106" s="92"/>
      <c r="L2106" s="111"/>
      <c r="M2106" s="111"/>
      <c r="N2106" s="111"/>
      <c r="O2106" s="112"/>
      <c r="P2106" s="111"/>
      <c r="Q2106" s="111"/>
      <c r="R2106" s="111"/>
      <c r="S2106" s="111"/>
      <c r="T2106" s="111"/>
      <c r="U2106" s="111"/>
      <c r="V2106" s="111"/>
      <c r="W2106" s="111"/>
      <c r="X2106" s="111"/>
      <c r="Y2106" s="111"/>
      <c r="Z2106" s="111"/>
      <c r="AA2106" s="111"/>
      <c r="AB2106" s="111"/>
      <c r="AC2106" s="111"/>
      <c r="AD2106" s="111"/>
      <c r="AE2106" s="111"/>
      <c r="AF2106" s="111"/>
      <c r="AG2106" s="111"/>
      <c r="AH2106" s="111"/>
    </row>
    <row r="2107">
      <c r="A2107" s="89"/>
      <c r="B2107" s="111"/>
      <c r="C2107" s="111"/>
      <c r="D2107" s="111"/>
      <c r="E2107" s="91"/>
      <c r="F2107" s="111"/>
      <c r="G2107" s="111"/>
      <c r="H2107" s="111"/>
      <c r="I2107" s="111"/>
      <c r="J2107" s="111"/>
      <c r="K2107" s="92"/>
      <c r="L2107" s="111"/>
      <c r="M2107" s="111"/>
      <c r="N2107" s="111"/>
      <c r="O2107" s="112"/>
      <c r="P2107" s="111"/>
      <c r="Q2107" s="111"/>
      <c r="R2107" s="111"/>
      <c r="S2107" s="111"/>
      <c r="T2107" s="111"/>
      <c r="U2107" s="111"/>
      <c r="V2107" s="111"/>
      <c r="W2107" s="111"/>
      <c r="X2107" s="111"/>
      <c r="Y2107" s="111"/>
      <c r="Z2107" s="111"/>
      <c r="AA2107" s="111"/>
      <c r="AB2107" s="111"/>
      <c r="AC2107" s="111"/>
      <c r="AD2107" s="111"/>
      <c r="AE2107" s="111"/>
      <c r="AF2107" s="111"/>
      <c r="AG2107" s="111"/>
      <c r="AH2107" s="111"/>
    </row>
    <row r="2108">
      <c r="A2108" s="89"/>
      <c r="B2108" s="111"/>
      <c r="C2108" s="111"/>
      <c r="D2108" s="111"/>
      <c r="E2108" s="91"/>
      <c r="F2108" s="111"/>
      <c r="G2108" s="111"/>
      <c r="H2108" s="111"/>
      <c r="I2108" s="111"/>
      <c r="J2108" s="111"/>
      <c r="K2108" s="92"/>
      <c r="L2108" s="111"/>
      <c r="M2108" s="111"/>
      <c r="N2108" s="111"/>
      <c r="O2108" s="112"/>
      <c r="P2108" s="111"/>
      <c r="Q2108" s="111"/>
      <c r="R2108" s="111"/>
      <c r="S2108" s="111"/>
      <c r="T2108" s="111"/>
      <c r="U2108" s="111"/>
      <c r="V2108" s="111"/>
      <c r="W2108" s="111"/>
      <c r="X2108" s="111"/>
      <c r="Y2108" s="111"/>
      <c r="Z2108" s="111"/>
      <c r="AA2108" s="111"/>
      <c r="AB2108" s="111"/>
      <c r="AC2108" s="111"/>
      <c r="AD2108" s="111"/>
      <c r="AE2108" s="111"/>
      <c r="AF2108" s="111"/>
      <c r="AG2108" s="111"/>
      <c r="AH2108" s="111"/>
    </row>
    <row r="2109">
      <c r="A2109" s="89"/>
      <c r="B2109" s="111"/>
      <c r="C2109" s="111"/>
      <c r="D2109" s="111"/>
      <c r="E2109" s="91"/>
      <c r="F2109" s="111"/>
      <c r="G2109" s="111"/>
      <c r="H2109" s="111"/>
      <c r="I2109" s="111"/>
      <c r="J2109" s="111"/>
      <c r="K2109" s="92"/>
      <c r="L2109" s="111"/>
      <c r="M2109" s="111"/>
      <c r="N2109" s="111"/>
      <c r="O2109" s="112"/>
      <c r="P2109" s="111"/>
      <c r="Q2109" s="111"/>
      <c r="R2109" s="111"/>
      <c r="S2109" s="111"/>
      <c r="T2109" s="111"/>
      <c r="U2109" s="111"/>
      <c r="V2109" s="111"/>
      <c r="W2109" s="111"/>
      <c r="X2109" s="111"/>
      <c r="Y2109" s="111"/>
      <c r="Z2109" s="111"/>
      <c r="AA2109" s="111"/>
      <c r="AB2109" s="111"/>
      <c r="AC2109" s="111"/>
      <c r="AD2109" s="111"/>
      <c r="AE2109" s="111"/>
      <c r="AF2109" s="111"/>
      <c r="AG2109" s="111"/>
      <c r="AH2109" s="111"/>
    </row>
    <row r="2110">
      <c r="A2110" s="89"/>
      <c r="B2110" s="111"/>
      <c r="C2110" s="111"/>
      <c r="D2110" s="111"/>
      <c r="E2110" s="91"/>
      <c r="F2110" s="111"/>
      <c r="G2110" s="111"/>
      <c r="H2110" s="111"/>
      <c r="I2110" s="111"/>
      <c r="J2110" s="111"/>
      <c r="K2110" s="92"/>
      <c r="L2110" s="111"/>
      <c r="M2110" s="111"/>
      <c r="N2110" s="111"/>
      <c r="O2110" s="112"/>
      <c r="P2110" s="111"/>
      <c r="Q2110" s="111"/>
      <c r="R2110" s="111"/>
      <c r="S2110" s="111"/>
      <c r="T2110" s="111"/>
      <c r="U2110" s="111"/>
      <c r="V2110" s="111"/>
      <c r="W2110" s="111"/>
      <c r="X2110" s="111"/>
      <c r="Y2110" s="111"/>
      <c r="Z2110" s="111"/>
      <c r="AA2110" s="111"/>
      <c r="AB2110" s="111"/>
      <c r="AC2110" s="111"/>
      <c r="AD2110" s="111"/>
      <c r="AE2110" s="111"/>
      <c r="AF2110" s="111"/>
      <c r="AG2110" s="111"/>
      <c r="AH2110" s="111"/>
    </row>
    <row r="2111">
      <c r="A2111" s="89"/>
      <c r="B2111" s="111"/>
      <c r="C2111" s="111"/>
      <c r="D2111" s="111"/>
      <c r="E2111" s="91"/>
      <c r="F2111" s="111"/>
      <c r="G2111" s="111"/>
      <c r="H2111" s="111"/>
      <c r="I2111" s="111"/>
      <c r="J2111" s="111"/>
      <c r="K2111" s="92"/>
      <c r="L2111" s="111"/>
      <c r="M2111" s="111"/>
      <c r="N2111" s="111"/>
      <c r="O2111" s="112"/>
      <c r="P2111" s="111"/>
      <c r="Q2111" s="111"/>
      <c r="R2111" s="111"/>
      <c r="S2111" s="111"/>
      <c r="T2111" s="111"/>
      <c r="U2111" s="111"/>
      <c r="V2111" s="111"/>
      <c r="W2111" s="111"/>
      <c r="X2111" s="111"/>
      <c r="Y2111" s="111"/>
      <c r="Z2111" s="111"/>
      <c r="AA2111" s="111"/>
      <c r="AB2111" s="111"/>
      <c r="AC2111" s="111"/>
      <c r="AD2111" s="111"/>
      <c r="AE2111" s="111"/>
      <c r="AF2111" s="111"/>
      <c r="AG2111" s="111"/>
      <c r="AH2111" s="111"/>
    </row>
    <row r="2112">
      <c r="A2112" s="89"/>
      <c r="B2112" s="111"/>
      <c r="C2112" s="111"/>
      <c r="D2112" s="111"/>
      <c r="E2112" s="91"/>
      <c r="F2112" s="111"/>
      <c r="G2112" s="111"/>
      <c r="H2112" s="111"/>
      <c r="I2112" s="111"/>
      <c r="J2112" s="111"/>
      <c r="K2112" s="92"/>
      <c r="L2112" s="111"/>
      <c r="M2112" s="111"/>
      <c r="N2112" s="111"/>
      <c r="O2112" s="112"/>
      <c r="P2112" s="111"/>
      <c r="Q2112" s="111"/>
      <c r="R2112" s="111"/>
      <c r="S2112" s="111"/>
      <c r="T2112" s="111"/>
      <c r="U2112" s="111"/>
      <c r="V2112" s="111"/>
      <c r="W2112" s="111"/>
      <c r="X2112" s="111"/>
      <c r="Y2112" s="111"/>
      <c r="Z2112" s="111"/>
      <c r="AA2112" s="111"/>
      <c r="AB2112" s="111"/>
      <c r="AC2112" s="111"/>
      <c r="AD2112" s="111"/>
      <c r="AE2112" s="111"/>
      <c r="AF2112" s="111"/>
      <c r="AG2112" s="111"/>
      <c r="AH2112" s="111"/>
    </row>
    <row r="2113">
      <c r="A2113" s="89"/>
      <c r="B2113" s="111"/>
      <c r="C2113" s="111"/>
      <c r="D2113" s="111"/>
      <c r="E2113" s="91"/>
      <c r="F2113" s="111"/>
      <c r="G2113" s="111"/>
      <c r="H2113" s="111"/>
      <c r="I2113" s="111"/>
      <c r="J2113" s="111"/>
      <c r="K2113" s="92"/>
      <c r="L2113" s="111"/>
      <c r="M2113" s="111"/>
      <c r="N2113" s="111"/>
      <c r="O2113" s="112"/>
      <c r="P2113" s="111"/>
      <c r="Q2113" s="111"/>
      <c r="R2113" s="111"/>
      <c r="S2113" s="111"/>
      <c r="T2113" s="111"/>
      <c r="U2113" s="111"/>
      <c r="V2113" s="111"/>
      <c r="W2113" s="111"/>
      <c r="X2113" s="111"/>
      <c r="Y2113" s="111"/>
      <c r="Z2113" s="111"/>
      <c r="AA2113" s="111"/>
      <c r="AB2113" s="111"/>
      <c r="AC2113" s="111"/>
      <c r="AD2113" s="111"/>
      <c r="AE2113" s="111"/>
      <c r="AF2113" s="111"/>
      <c r="AG2113" s="111"/>
      <c r="AH2113" s="111"/>
    </row>
    <row r="2114">
      <c r="A2114" s="89"/>
      <c r="B2114" s="111"/>
      <c r="C2114" s="111"/>
      <c r="D2114" s="111"/>
      <c r="E2114" s="91"/>
      <c r="F2114" s="111"/>
      <c r="G2114" s="111"/>
      <c r="H2114" s="111"/>
      <c r="I2114" s="111"/>
      <c r="J2114" s="111"/>
      <c r="K2114" s="92"/>
      <c r="L2114" s="111"/>
      <c r="M2114" s="111"/>
      <c r="N2114" s="111"/>
      <c r="O2114" s="112"/>
      <c r="P2114" s="111"/>
      <c r="Q2114" s="111"/>
      <c r="R2114" s="111"/>
      <c r="S2114" s="111"/>
      <c r="T2114" s="111"/>
      <c r="U2114" s="111"/>
      <c r="V2114" s="111"/>
      <c r="W2114" s="111"/>
      <c r="X2114" s="111"/>
      <c r="Y2114" s="111"/>
      <c r="Z2114" s="111"/>
      <c r="AA2114" s="111"/>
      <c r="AB2114" s="111"/>
      <c r="AC2114" s="111"/>
      <c r="AD2114" s="111"/>
      <c r="AE2114" s="111"/>
      <c r="AF2114" s="111"/>
      <c r="AG2114" s="111"/>
      <c r="AH2114" s="111"/>
    </row>
    <row r="2115">
      <c r="A2115" s="89"/>
      <c r="B2115" s="111"/>
      <c r="C2115" s="111"/>
      <c r="D2115" s="111"/>
      <c r="E2115" s="91"/>
      <c r="F2115" s="111"/>
      <c r="G2115" s="111"/>
      <c r="H2115" s="111"/>
      <c r="I2115" s="111"/>
      <c r="J2115" s="111"/>
      <c r="K2115" s="92"/>
      <c r="L2115" s="111"/>
      <c r="M2115" s="111"/>
      <c r="N2115" s="111"/>
      <c r="O2115" s="112"/>
      <c r="P2115" s="111"/>
      <c r="Q2115" s="111"/>
      <c r="R2115" s="111"/>
      <c r="S2115" s="111"/>
      <c r="T2115" s="111"/>
      <c r="U2115" s="111"/>
      <c r="V2115" s="111"/>
      <c r="W2115" s="111"/>
      <c r="X2115" s="111"/>
      <c r="Y2115" s="111"/>
      <c r="Z2115" s="111"/>
      <c r="AA2115" s="111"/>
      <c r="AB2115" s="111"/>
      <c r="AC2115" s="111"/>
      <c r="AD2115" s="111"/>
      <c r="AE2115" s="111"/>
      <c r="AF2115" s="111"/>
      <c r="AG2115" s="111"/>
      <c r="AH2115" s="111"/>
    </row>
    <row r="2116">
      <c r="A2116" s="89"/>
      <c r="B2116" s="111"/>
      <c r="C2116" s="111"/>
      <c r="D2116" s="111"/>
      <c r="E2116" s="91"/>
      <c r="F2116" s="111"/>
      <c r="G2116" s="111"/>
      <c r="H2116" s="111"/>
      <c r="I2116" s="111"/>
      <c r="J2116" s="111"/>
      <c r="K2116" s="92"/>
      <c r="L2116" s="111"/>
      <c r="M2116" s="111"/>
      <c r="N2116" s="111"/>
      <c r="O2116" s="112"/>
      <c r="P2116" s="111"/>
      <c r="Q2116" s="111"/>
      <c r="R2116" s="111"/>
      <c r="S2116" s="111"/>
      <c r="T2116" s="111"/>
      <c r="U2116" s="111"/>
      <c r="V2116" s="111"/>
      <c r="W2116" s="111"/>
      <c r="X2116" s="111"/>
      <c r="Y2116" s="111"/>
      <c r="Z2116" s="111"/>
      <c r="AA2116" s="111"/>
      <c r="AB2116" s="111"/>
      <c r="AC2116" s="111"/>
      <c r="AD2116" s="111"/>
      <c r="AE2116" s="111"/>
      <c r="AF2116" s="111"/>
      <c r="AG2116" s="111"/>
      <c r="AH2116" s="111"/>
    </row>
    <row r="2117">
      <c r="A2117" s="89"/>
      <c r="B2117" s="111"/>
      <c r="C2117" s="111"/>
      <c r="D2117" s="111"/>
      <c r="E2117" s="91"/>
      <c r="F2117" s="111"/>
      <c r="G2117" s="111"/>
      <c r="H2117" s="111"/>
      <c r="I2117" s="111"/>
      <c r="J2117" s="111"/>
      <c r="K2117" s="92"/>
      <c r="L2117" s="111"/>
      <c r="M2117" s="111"/>
      <c r="N2117" s="111"/>
      <c r="O2117" s="112"/>
      <c r="P2117" s="111"/>
      <c r="Q2117" s="111"/>
      <c r="R2117" s="111"/>
      <c r="S2117" s="111"/>
      <c r="T2117" s="111"/>
      <c r="U2117" s="111"/>
      <c r="V2117" s="111"/>
      <c r="W2117" s="111"/>
      <c r="X2117" s="111"/>
      <c r="Y2117" s="111"/>
      <c r="Z2117" s="111"/>
      <c r="AA2117" s="111"/>
      <c r="AB2117" s="111"/>
      <c r="AC2117" s="111"/>
      <c r="AD2117" s="111"/>
      <c r="AE2117" s="111"/>
      <c r="AF2117" s="111"/>
      <c r="AG2117" s="111"/>
      <c r="AH2117" s="111"/>
    </row>
    <row r="2118">
      <c r="A2118" s="89"/>
      <c r="B2118" s="111"/>
      <c r="C2118" s="111"/>
      <c r="D2118" s="111"/>
      <c r="E2118" s="91"/>
      <c r="F2118" s="111"/>
      <c r="G2118" s="111"/>
      <c r="H2118" s="111"/>
      <c r="I2118" s="111"/>
      <c r="J2118" s="111"/>
      <c r="K2118" s="92"/>
      <c r="L2118" s="111"/>
      <c r="M2118" s="111"/>
      <c r="N2118" s="111"/>
      <c r="O2118" s="112"/>
      <c r="P2118" s="111"/>
      <c r="Q2118" s="111"/>
      <c r="R2118" s="111"/>
      <c r="S2118" s="111"/>
      <c r="T2118" s="111"/>
      <c r="U2118" s="111"/>
      <c r="V2118" s="111"/>
      <c r="W2118" s="111"/>
      <c r="X2118" s="111"/>
      <c r="Y2118" s="111"/>
      <c r="Z2118" s="111"/>
      <c r="AA2118" s="111"/>
      <c r="AB2118" s="111"/>
      <c r="AC2118" s="111"/>
      <c r="AD2118" s="111"/>
      <c r="AE2118" s="111"/>
      <c r="AF2118" s="111"/>
      <c r="AG2118" s="111"/>
      <c r="AH2118" s="111"/>
    </row>
    <row r="2119">
      <c r="A2119" s="89"/>
      <c r="B2119" s="111"/>
      <c r="C2119" s="111"/>
      <c r="D2119" s="111"/>
      <c r="E2119" s="91"/>
      <c r="F2119" s="111"/>
      <c r="G2119" s="111"/>
      <c r="H2119" s="111"/>
      <c r="I2119" s="111"/>
      <c r="J2119" s="111"/>
      <c r="K2119" s="92"/>
      <c r="L2119" s="111"/>
      <c r="M2119" s="111"/>
      <c r="N2119" s="111"/>
      <c r="O2119" s="112"/>
      <c r="P2119" s="111"/>
      <c r="Q2119" s="111"/>
      <c r="R2119" s="111"/>
      <c r="S2119" s="111"/>
      <c r="T2119" s="111"/>
      <c r="U2119" s="111"/>
      <c r="V2119" s="111"/>
      <c r="W2119" s="111"/>
      <c r="X2119" s="111"/>
      <c r="Y2119" s="111"/>
      <c r="Z2119" s="111"/>
      <c r="AA2119" s="111"/>
      <c r="AB2119" s="111"/>
      <c r="AC2119" s="111"/>
      <c r="AD2119" s="111"/>
      <c r="AE2119" s="111"/>
      <c r="AF2119" s="111"/>
      <c r="AG2119" s="111"/>
      <c r="AH2119" s="111"/>
    </row>
    <row r="2120">
      <c r="A2120" s="89"/>
      <c r="B2120" s="111"/>
      <c r="C2120" s="111"/>
      <c r="D2120" s="111"/>
      <c r="E2120" s="91"/>
      <c r="F2120" s="111"/>
      <c r="G2120" s="111"/>
      <c r="H2120" s="111"/>
      <c r="I2120" s="111"/>
      <c r="J2120" s="111"/>
      <c r="K2120" s="92"/>
      <c r="L2120" s="111"/>
      <c r="M2120" s="111"/>
      <c r="N2120" s="111"/>
      <c r="O2120" s="112"/>
      <c r="P2120" s="111"/>
      <c r="Q2120" s="111"/>
      <c r="R2120" s="111"/>
      <c r="S2120" s="111"/>
      <c r="T2120" s="111"/>
      <c r="U2120" s="111"/>
      <c r="V2120" s="111"/>
      <c r="W2120" s="111"/>
      <c r="X2120" s="111"/>
      <c r="Y2120" s="111"/>
      <c r="Z2120" s="111"/>
      <c r="AA2120" s="111"/>
      <c r="AB2120" s="111"/>
      <c r="AC2120" s="111"/>
      <c r="AD2120" s="111"/>
      <c r="AE2120" s="111"/>
      <c r="AF2120" s="111"/>
      <c r="AG2120" s="111"/>
      <c r="AH2120" s="111"/>
    </row>
    <row r="2121">
      <c r="A2121" s="89"/>
      <c r="B2121" s="111"/>
      <c r="C2121" s="111"/>
      <c r="D2121" s="111"/>
      <c r="E2121" s="91"/>
      <c r="F2121" s="111"/>
      <c r="G2121" s="111"/>
      <c r="H2121" s="111"/>
      <c r="I2121" s="111"/>
      <c r="J2121" s="111"/>
      <c r="K2121" s="92"/>
      <c r="L2121" s="111"/>
      <c r="M2121" s="111"/>
      <c r="N2121" s="111"/>
      <c r="O2121" s="112"/>
      <c r="P2121" s="111"/>
      <c r="Q2121" s="111"/>
      <c r="R2121" s="111"/>
      <c r="S2121" s="111"/>
      <c r="T2121" s="111"/>
      <c r="U2121" s="111"/>
      <c r="V2121" s="111"/>
      <c r="W2121" s="111"/>
      <c r="X2121" s="111"/>
      <c r="Y2121" s="111"/>
      <c r="Z2121" s="111"/>
      <c r="AA2121" s="111"/>
      <c r="AB2121" s="111"/>
      <c r="AC2121" s="111"/>
      <c r="AD2121" s="111"/>
      <c r="AE2121" s="111"/>
      <c r="AF2121" s="111"/>
      <c r="AG2121" s="111"/>
      <c r="AH2121" s="111"/>
    </row>
    <row r="2122">
      <c r="A2122" s="89"/>
      <c r="B2122" s="111"/>
      <c r="C2122" s="111"/>
      <c r="D2122" s="111"/>
      <c r="E2122" s="91"/>
      <c r="F2122" s="111"/>
      <c r="G2122" s="111"/>
      <c r="H2122" s="111"/>
      <c r="I2122" s="111"/>
      <c r="J2122" s="111"/>
      <c r="K2122" s="92"/>
      <c r="L2122" s="111"/>
      <c r="M2122" s="111"/>
      <c r="N2122" s="111"/>
      <c r="O2122" s="112"/>
      <c r="P2122" s="111"/>
      <c r="Q2122" s="111"/>
      <c r="R2122" s="111"/>
      <c r="S2122" s="111"/>
      <c r="T2122" s="111"/>
      <c r="U2122" s="111"/>
      <c r="V2122" s="111"/>
      <c r="W2122" s="111"/>
      <c r="X2122" s="111"/>
      <c r="Y2122" s="111"/>
      <c r="Z2122" s="111"/>
      <c r="AA2122" s="111"/>
      <c r="AB2122" s="111"/>
      <c r="AC2122" s="111"/>
      <c r="AD2122" s="111"/>
      <c r="AE2122" s="111"/>
      <c r="AF2122" s="111"/>
      <c r="AG2122" s="111"/>
      <c r="AH2122" s="111"/>
    </row>
    <row r="2123">
      <c r="A2123" s="89"/>
      <c r="B2123" s="111"/>
      <c r="C2123" s="111"/>
      <c r="D2123" s="111"/>
      <c r="E2123" s="91"/>
      <c r="F2123" s="111"/>
      <c r="G2123" s="111"/>
      <c r="H2123" s="111"/>
      <c r="I2123" s="111"/>
      <c r="J2123" s="111"/>
      <c r="K2123" s="92"/>
      <c r="L2123" s="111"/>
      <c r="M2123" s="111"/>
      <c r="N2123" s="111"/>
      <c r="O2123" s="112"/>
      <c r="P2123" s="111"/>
      <c r="Q2123" s="111"/>
      <c r="R2123" s="111"/>
      <c r="S2123" s="111"/>
      <c r="T2123" s="111"/>
      <c r="U2123" s="111"/>
      <c r="V2123" s="111"/>
      <c r="W2123" s="111"/>
      <c r="X2123" s="111"/>
      <c r="Y2123" s="111"/>
      <c r="Z2123" s="111"/>
      <c r="AA2123" s="111"/>
      <c r="AB2123" s="111"/>
      <c r="AC2123" s="111"/>
      <c r="AD2123" s="111"/>
      <c r="AE2123" s="111"/>
      <c r="AF2123" s="111"/>
      <c r="AG2123" s="111"/>
      <c r="AH2123" s="111"/>
    </row>
    <row r="2124">
      <c r="A2124" s="89"/>
      <c r="B2124" s="111"/>
      <c r="C2124" s="111"/>
      <c r="D2124" s="111"/>
      <c r="E2124" s="91"/>
      <c r="F2124" s="111"/>
      <c r="G2124" s="111"/>
      <c r="H2124" s="111"/>
      <c r="I2124" s="111"/>
      <c r="J2124" s="111"/>
      <c r="K2124" s="92"/>
      <c r="L2124" s="111"/>
      <c r="M2124" s="111"/>
      <c r="N2124" s="111"/>
      <c r="O2124" s="112"/>
      <c r="P2124" s="111"/>
      <c r="Q2124" s="111"/>
      <c r="R2124" s="111"/>
      <c r="S2124" s="111"/>
      <c r="T2124" s="111"/>
      <c r="U2124" s="111"/>
      <c r="V2124" s="111"/>
      <c r="W2124" s="111"/>
      <c r="X2124" s="111"/>
      <c r="Y2124" s="111"/>
      <c r="Z2124" s="111"/>
      <c r="AA2124" s="111"/>
      <c r="AB2124" s="111"/>
      <c r="AC2124" s="111"/>
      <c r="AD2124" s="111"/>
      <c r="AE2124" s="111"/>
      <c r="AF2124" s="111"/>
      <c r="AG2124" s="111"/>
      <c r="AH2124" s="111"/>
    </row>
    <row r="2125">
      <c r="A2125" s="89"/>
      <c r="B2125" s="111"/>
      <c r="C2125" s="111"/>
      <c r="D2125" s="111"/>
      <c r="E2125" s="91"/>
      <c r="F2125" s="111"/>
      <c r="G2125" s="111"/>
      <c r="H2125" s="111"/>
      <c r="I2125" s="111"/>
      <c r="J2125" s="111"/>
      <c r="K2125" s="92"/>
      <c r="L2125" s="111"/>
      <c r="M2125" s="111"/>
      <c r="N2125" s="111"/>
      <c r="O2125" s="112"/>
      <c r="P2125" s="111"/>
      <c r="Q2125" s="111"/>
      <c r="R2125" s="111"/>
      <c r="S2125" s="111"/>
      <c r="T2125" s="111"/>
      <c r="U2125" s="111"/>
      <c r="V2125" s="111"/>
      <c r="W2125" s="111"/>
      <c r="X2125" s="111"/>
      <c r="Y2125" s="111"/>
      <c r="Z2125" s="111"/>
      <c r="AA2125" s="111"/>
      <c r="AB2125" s="111"/>
      <c r="AC2125" s="111"/>
      <c r="AD2125" s="111"/>
      <c r="AE2125" s="111"/>
      <c r="AF2125" s="111"/>
      <c r="AG2125" s="111"/>
      <c r="AH2125" s="111"/>
    </row>
    <row r="2126">
      <c r="A2126" s="89"/>
      <c r="B2126" s="111"/>
      <c r="C2126" s="111"/>
      <c r="D2126" s="111"/>
      <c r="E2126" s="91"/>
      <c r="F2126" s="111"/>
      <c r="G2126" s="111"/>
      <c r="H2126" s="111"/>
      <c r="I2126" s="111"/>
      <c r="J2126" s="111"/>
      <c r="K2126" s="92"/>
      <c r="L2126" s="111"/>
      <c r="M2126" s="111"/>
      <c r="N2126" s="111"/>
      <c r="O2126" s="112"/>
      <c r="P2126" s="111"/>
      <c r="Q2126" s="111"/>
      <c r="R2126" s="111"/>
      <c r="S2126" s="111"/>
      <c r="T2126" s="111"/>
      <c r="U2126" s="111"/>
      <c r="V2126" s="111"/>
      <c r="W2126" s="111"/>
      <c r="X2126" s="111"/>
      <c r="Y2126" s="111"/>
      <c r="Z2126" s="111"/>
      <c r="AA2126" s="111"/>
      <c r="AB2126" s="111"/>
      <c r="AC2126" s="111"/>
      <c r="AD2126" s="111"/>
      <c r="AE2126" s="111"/>
      <c r="AF2126" s="111"/>
      <c r="AG2126" s="111"/>
      <c r="AH2126" s="111"/>
    </row>
    <row r="2127">
      <c r="A2127" s="89"/>
      <c r="B2127" s="111"/>
      <c r="C2127" s="111"/>
      <c r="D2127" s="111"/>
      <c r="E2127" s="91"/>
      <c r="F2127" s="111"/>
      <c r="G2127" s="111"/>
      <c r="H2127" s="111"/>
      <c r="I2127" s="111"/>
      <c r="J2127" s="111"/>
      <c r="K2127" s="92"/>
      <c r="L2127" s="111"/>
      <c r="M2127" s="111"/>
      <c r="N2127" s="111"/>
      <c r="O2127" s="112"/>
      <c r="P2127" s="111"/>
      <c r="Q2127" s="111"/>
      <c r="R2127" s="111"/>
      <c r="S2127" s="111"/>
      <c r="T2127" s="111"/>
      <c r="U2127" s="111"/>
      <c r="V2127" s="111"/>
      <c r="W2127" s="111"/>
      <c r="X2127" s="111"/>
      <c r="Y2127" s="111"/>
      <c r="Z2127" s="111"/>
      <c r="AA2127" s="111"/>
      <c r="AB2127" s="111"/>
      <c r="AC2127" s="111"/>
      <c r="AD2127" s="111"/>
      <c r="AE2127" s="111"/>
      <c r="AF2127" s="111"/>
      <c r="AG2127" s="111"/>
      <c r="AH2127" s="111"/>
    </row>
    <row r="2128">
      <c r="A2128" s="89"/>
      <c r="B2128" s="111"/>
      <c r="C2128" s="111"/>
      <c r="D2128" s="111"/>
      <c r="E2128" s="91"/>
      <c r="F2128" s="111"/>
      <c r="G2128" s="111"/>
      <c r="H2128" s="111"/>
      <c r="I2128" s="111"/>
      <c r="J2128" s="111"/>
      <c r="K2128" s="92"/>
      <c r="L2128" s="111"/>
      <c r="M2128" s="111"/>
      <c r="N2128" s="111"/>
      <c r="O2128" s="112"/>
      <c r="P2128" s="111"/>
      <c r="Q2128" s="111"/>
      <c r="R2128" s="111"/>
      <c r="S2128" s="111"/>
      <c r="T2128" s="111"/>
      <c r="U2128" s="111"/>
      <c r="V2128" s="111"/>
      <c r="W2128" s="111"/>
      <c r="X2128" s="111"/>
      <c r="Y2128" s="111"/>
      <c r="Z2128" s="111"/>
      <c r="AA2128" s="111"/>
      <c r="AB2128" s="111"/>
      <c r="AC2128" s="111"/>
      <c r="AD2128" s="111"/>
      <c r="AE2128" s="111"/>
      <c r="AF2128" s="111"/>
      <c r="AG2128" s="111"/>
      <c r="AH2128" s="111"/>
    </row>
    <row r="2129">
      <c r="A2129" s="89"/>
      <c r="B2129" s="111"/>
      <c r="C2129" s="111"/>
      <c r="D2129" s="111"/>
      <c r="E2129" s="91"/>
      <c r="F2129" s="111"/>
      <c r="G2129" s="111"/>
      <c r="H2129" s="111"/>
      <c r="I2129" s="111"/>
      <c r="J2129" s="111"/>
      <c r="K2129" s="92"/>
      <c r="L2129" s="111"/>
      <c r="M2129" s="111"/>
      <c r="N2129" s="111"/>
      <c r="O2129" s="112"/>
      <c r="P2129" s="111"/>
      <c r="Q2129" s="111"/>
      <c r="R2129" s="111"/>
      <c r="S2129" s="111"/>
      <c r="T2129" s="111"/>
      <c r="U2129" s="111"/>
      <c r="V2129" s="111"/>
      <c r="W2129" s="111"/>
      <c r="X2129" s="111"/>
      <c r="Y2129" s="111"/>
      <c r="Z2129" s="111"/>
      <c r="AA2129" s="111"/>
      <c r="AB2129" s="111"/>
      <c r="AC2129" s="111"/>
      <c r="AD2129" s="111"/>
      <c r="AE2129" s="111"/>
      <c r="AF2129" s="111"/>
      <c r="AG2129" s="111"/>
      <c r="AH2129" s="111"/>
    </row>
    <row r="2130">
      <c r="A2130" s="89"/>
      <c r="B2130" s="111"/>
      <c r="C2130" s="111"/>
      <c r="D2130" s="111"/>
      <c r="E2130" s="91"/>
      <c r="F2130" s="111"/>
      <c r="G2130" s="111"/>
      <c r="H2130" s="111"/>
      <c r="I2130" s="111"/>
      <c r="J2130" s="111"/>
      <c r="K2130" s="92"/>
      <c r="L2130" s="111"/>
      <c r="M2130" s="111"/>
      <c r="N2130" s="111"/>
      <c r="O2130" s="112"/>
      <c r="P2130" s="111"/>
      <c r="Q2130" s="111"/>
      <c r="R2130" s="111"/>
      <c r="S2130" s="111"/>
      <c r="T2130" s="111"/>
      <c r="U2130" s="111"/>
      <c r="V2130" s="111"/>
      <c r="W2130" s="111"/>
      <c r="X2130" s="111"/>
      <c r="Y2130" s="111"/>
      <c r="Z2130" s="111"/>
      <c r="AA2130" s="111"/>
      <c r="AB2130" s="111"/>
      <c r="AC2130" s="111"/>
      <c r="AD2130" s="111"/>
      <c r="AE2130" s="111"/>
      <c r="AF2130" s="111"/>
      <c r="AG2130" s="111"/>
      <c r="AH2130" s="111"/>
    </row>
    <row r="2131">
      <c r="A2131" s="89"/>
      <c r="B2131" s="111"/>
      <c r="C2131" s="111"/>
      <c r="D2131" s="111"/>
      <c r="E2131" s="91"/>
      <c r="F2131" s="111"/>
      <c r="G2131" s="111"/>
      <c r="H2131" s="111"/>
      <c r="I2131" s="111"/>
      <c r="J2131" s="111"/>
      <c r="K2131" s="92"/>
      <c r="L2131" s="111"/>
      <c r="M2131" s="111"/>
      <c r="N2131" s="111"/>
      <c r="O2131" s="112"/>
      <c r="P2131" s="111"/>
      <c r="Q2131" s="111"/>
      <c r="R2131" s="111"/>
      <c r="S2131" s="111"/>
      <c r="T2131" s="111"/>
      <c r="U2131" s="111"/>
      <c r="V2131" s="111"/>
      <c r="W2131" s="111"/>
      <c r="X2131" s="111"/>
      <c r="Y2131" s="111"/>
      <c r="Z2131" s="111"/>
      <c r="AA2131" s="111"/>
      <c r="AB2131" s="111"/>
      <c r="AC2131" s="111"/>
      <c r="AD2131" s="111"/>
      <c r="AE2131" s="111"/>
      <c r="AF2131" s="111"/>
      <c r="AG2131" s="111"/>
      <c r="AH2131" s="111"/>
    </row>
    <row r="2132">
      <c r="A2132" s="89"/>
      <c r="B2132" s="111"/>
      <c r="C2132" s="111"/>
      <c r="D2132" s="111"/>
      <c r="E2132" s="91"/>
      <c r="F2132" s="111"/>
      <c r="G2132" s="111"/>
      <c r="H2132" s="111"/>
      <c r="I2132" s="111"/>
      <c r="J2132" s="111"/>
      <c r="K2132" s="92"/>
      <c r="L2132" s="111"/>
      <c r="M2132" s="111"/>
      <c r="N2132" s="111"/>
      <c r="O2132" s="112"/>
      <c r="P2132" s="111"/>
      <c r="Q2132" s="111"/>
      <c r="R2132" s="111"/>
      <c r="S2132" s="111"/>
      <c r="T2132" s="111"/>
      <c r="U2132" s="111"/>
      <c r="V2132" s="111"/>
      <c r="W2132" s="111"/>
      <c r="X2132" s="111"/>
      <c r="Y2132" s="111"/>
      <c r="Z2132" s="111"/>
      <c r="AA2132" s="111"/>
      <c r="AB2132" s="111"/>
      <c r="AC2132" s="111"/>
      <c r="AD2132" s="111"/>
      <c r="AE2132" s="111"/>
      <c r="AF2132" s="111"/>
      <c r="AG2132" s="111"/>
      <c r="AH2132" s="111"/>
    </row>
    <row r="2133">
      <c r="A2133" s="89"/>
      <c r="B2133" s="111"/>
      <c r="C2133" s="111"/>
      <c r="D2133" s="111"/>
      <c r="E2133" s="91"/>
      <c r="F2133" s="111"/>
      <c r="G2133" s="111"/>
      <c r="H2133" s="111"/>
      <c r="I2133" s="111"/>
      <c r="J2133" s="111"/>
      <c r="K2133" s="92"/>
      <c r="L2133" s="111"/>
      <c r="M2133" s="111"/>
      <c r="N2133" s="111"/>
      <c r="O2133" s="112"/>
      <c r="P2133" s="111"/>
      <c r="Q2133" s="111"/>
      <c r="R2133" s="111"/>
      <c r="S2133" s="111"/>
      <c r="T2133" s="111"/>
      <c r="U2133" s="111"/>
      <c r="V2133" s="111"/>
      <c r="W2133" s="111"/>
      <c r="X2133" s="111"/>
      <c r="Y2133" s="111"/>
      <c r="Z2133" s="111"/>
      <c r="AA2133" s="111"/>
      <c r="AB2133" s="111"/>
      <c r="AC2133" s="111"/>
      <c r="AD2133" s="111"/>
      <c r="AE2133" s="111"/>
      <c r="AF2133" s="111"/>
      <c r="AG2133" s="111"/>
      <c r="AH2133" s="111"/>
    </row>
    <row r="2134">
      <c r="A2134" s="89"/>
      <c r="B2134" s="111"/>
      <c r="C2134" s="111"/>
      <c r="D2134" s="111"/>
      <c r="E2134" s="91"/>
      <c r="F2134" s="111"/>
      <c r="G2134" s="111"/>
      <c r="H2134" s="111"/>
      <c r="I2134" s="111"/>
      <c r="J2134" s="111"/>
      <c r="K2134" s="92"/>
      <c r="L2134" s="111"/>
      <c r="M2134" s="111"/>
      <c r="N2134" s="111"/>
      <c r="O2134" s="112"/>
      <c r="P2134" s="111"/>
      <c r="Q2134" s="111"/>
      <c r="R2134" s="111"/>
      <c r="S2134" s="111"/>
      <c r="T2134" s="111"/>
      <c r="U2134" s="111"/>
      <c r="V2134" s="111"/>
      <c r="W2134" s="111"/>
      <c r="X2134" s="111"/>
      <c r="Y2134" s="111"/>
      <c r="Z2134" s="111"/>
      <c r="AA2134" s="111"/>
      <c r="AB2134" s="111"/>
      <c r="AC2134" s="111"/>
      <c r="AD2134" s="111"/>
      <c r="AE2134" s="111"/>
      <c r="AF2134" s="111"/>
      <c r="AG2134" s="111"/>
      <c r="AH2134" s="111"/>
    </row>
    <row r="2135">
      <c r="A2135" s="89"/>
      <c r="B2135" s="111"/>
      <c r="C2135" s="111"/>
      <c r="D2135" s="111"/>
      <c r="E2135" s="91"/>
      <c r="F2135" s="111"/>
      <c r="G2135" s="111"/>
      <c r="H2135" s="111"/>
      <c r="I2135" s="111"/>
      <c r="J2135" s="111"/>
      <c r="K2135" s="92"/>
      <c r="L2135" s="111"/>
      <c r="M2135" s="111"/>
      <c r="N2135" s="111"/>
      <c r="O2135" s="112"/>
      <c r="P2135" s="111"/>
      <c r="Q2135" s="111"/>
      <c r="R2135" s="111"/>
      <c r="S2135" s="111"/>
      <c r="T2135" s="111"/>
      <c r="U2135" s="111"/>
      <c r="V2135" s="111"/>
      <c r="W2135" s="111"/>
      <c r="X2135" s="111"/>
      <c r="Y2135" s="111"/>
      <c r="Z2135" s="111"/>
      <c r="AA2135" s="111"/>
      <c r="AB2135" s="111"/>
      <c r="AC2135" s="111"/>
      <c r="AD2135" s="111"/>
      <c r="AE2135" s="111"/>
      <c r="AF2135" s="111"/>
      <c r="AG2135" s="111"/>
      <c r="AH2135" s="111"/>
    </row>
    <row r="2136">
      <c r="A2136" s="89"/>
      <c r="B2136" s="111"/>
      <c r="C2136" s="111"/>
      <c r="D2136" s="111"/>
      <c r="E2136" s="91"/>
      <c r="F2136" s="111"/>
      <c r="G2136" s="111"/>
      <c r="H2136" s="111"/>
      <c r="I2136" s="111"/>
      <c r="J2136" s="111"/>
      <c r="K2136" s="92"/>
      <c r="L2136" s="111"/>
      <c r="M2136" s="111"/>
      <c r="N2136" s="111"/>
      <c r="O2136" s="112"/>
      <c r="P2136" s="111"/>
      <c r="Q2136" s="111"/>
      <c r="R2136" s="111"/>
      <c r="S2136" s="111"/>
      <c r="T2136" s="111"/>
      <c r="U2136" s="111"/>
      <c r="V2136" s="111"/>
      <c r="W2136" s="111"/>
      <c r="X2136" s="111"/>
      <c r="Y2136" s="111"/>
      <c r="Z2136" s="111"/>
      <c r="AA2136" s="111"/>
      <c r="AB2136" s="111"/>
      <c r="AC2136" s="111"/>
      <c r="AD2136" s="111"/>
      <c r="AE2136" s="111"/>
      <c r="AF2136" s="111"/>
      <c r="AG2136" s="111"/>
      <c r="AH2136" s="111"/>
    </row>
    <row r="2137">
      <c r="A2137" s="89"/>
      <c r="B2137" s="111"/>
      <c r="C2137" s="111"/>
      <c r="D2137" s="111"/>
      <c r="E2137" s="91"/>
      <c r="F2137" s="111"/>
      <c r="G2137" s="111"/>
      <c r="H2137" s="111"/>
      <c r="I2137" s="111"/>
      <c r="J2137" s="111"/>
      <c r="K2137" s="92"/>
      <c r="L2137" s="111"/>
      <c r="M2137" s="111"/>
      <c r="N2137" s="111"/>
      <c r="O2137" s="112"/>
      <c r="P2137" s="111"/>
      <c r="Q2137" s="111"/>
      <c r="R2137" s="111"/>
      <c r="S2137" s="111"/>
      <c r="T2137" s="111"/>
      <c r="U2137" s="111"/>
      <c r="V2137" s="111"/>
      <c r="W2137" s="111"/>
      <c r="X2137" s="111"/>
      <c r="Y2137" s="111"/>
      <c r="Z2137" s="111"/>
      <c r="AA2137" s="111"/>
      <c r="AB2137" s="111"/>
      <c r="AC2137" s="111"/>
      <c r="AD2137" s="111"/>
      <c r="AE2137" s="111"/>
      <c r="AF2137" s="111"/>
      <c r="AG2137" s="111"/>
      <c r="AH2137" s="111"/>
    </row>
    <row r="2138">
      <c r="A2138" s="89"/>
      <c r="B2138" s="111"/>
      <c r="C2138" s="111"/>
      <c r="D2138" s="111"/>
      <c r="E2138" s="91"/>
      <c r="F2138" s="111"/>
      <c r="G2138" s="111"/>
      <c r="H2138" s="111"/>
      <c r="I2138" s="111"/>
      <c r="J2138" s="111"/>
      <c r="K2138" s="92"/>
      <c r="L2138" s="111"/>
      <c r="M2138" s="111"/>
      <c r="N2138" s="111"/>
      <c r="O2138" s="112"/>
      <c r="P2138" s="111"/>
      <c r="Q2138" s="111"/>
      <c r="R2138" s="111"/>
      <c r="S2138" s="111"/>
      <c r="T2138" s="111"/>
      <c r="U2138" s="111"/>
      <c r="V2138" s="111"/>
      <c r="W2138" s="111"/>
      <c r="X2138" s="111"/>
      <c r="Y2138" s="111"/>
      <c r="Z2138" s="111"/>
      <c r="AA2138" s="111"/>
      <c r="AB2138" s="111"/>
      <c r="AC2138" s="111"/>
      <c r="AD2138" s="111"/>
      <c r="AE2138" s="111"/>
      <c r="AF2138" s="111"/>
      <c r="AG2138" s="111"/>
      <c r="AH2138" s="111"/>
    </row>
    <row r="2139">
      <c r="A2139" s="89"/>
      <c r="B2139" s="111"/>
      <c r="C2139" s="111"/>
      <c r="D2139" s="111"/>
      <c r="E2139" s="91"/>
      <c r="F2139" s="111"/>
      <c r="G2139" s="111"/>
      <c r="H2139" s="111"/>
      <c r="I2139" s="111"/>
      <c r="J2139" s="111"/>
      <c r="K2139" s="92"/>
      <c r="L2139" s="111"/>
      <c r="M2139" s="111"/>
      <c r="N2139" s="111"/>
      <c r="O2139" s="112"/>
      <c r="P2139" s="111"/>
      <c r="Q2139" s="111"/>
      <c r="R2139" s="111"/>
      <c r="S2139" s="111"/>
      <c r="T2139" s="111"/>
      <c r="U2139" s="111"/>
      <c r="V2139" s="111"/>
      <c r="W2139" s="111"/>
      <c r="X2139" s="111"/>
      <c r="Y2139" s="111"/>
      <c r="Z2139" s="111"/>
      <c r="AA2139" s="111"/>
      <c r="AB2139" s="111"/>
      <c r="AC2139" s="111"/>
      <c r="AD2139" s="111"/>
      <c r="AE2139" s="111"/>
      <c r="AF2139" s="111"/>
      <c r="AG2139" s="111"/>
      <c r="AH2139" s="111"/>
    </row>
    <row r="2140">
      <c r="A2140" s="89"/>
      <c r="B2140" s="111"/>
      <c r="C2140" s="111"/>
      <c r="D2140" s="111"/>
      <c r="E2140" s="91"/>
      <c r="F2140" s="111"/>
      <c r="G2140" s="111"/>
      <c r="H2140" s="111"/>
      <c r="I2140" s="111"/>
      <c r="J2140" s="111"/>
      <c r="K2140" s="92"/>
      <c r="L2140" s="111"/>
      <c r="M2140" s="111"/>
      <c r="N2140" s="111"/>
      <c r="O2140" s="112"/>
      <c r="P2140" s="111"/>
      <c r="Q2140" s="111"/>
      <c r="R2140" s="111"/>
      <c r="S2140" s="111"/>
      <c r="T2140" s="111"/>
      <c r="U2140" s="111"/>
      <c r="V2140" s="111"/>
      <c r="W2140" s="111"/>
      <c r="X2140" s="111"/>
      <c r="Y2140" s="111"/>
      <c r="Z2140" s="111"/>
      <c r="AA2140" s="111"/>
      <c r="AB2140" s="111"/>
      <c r="AC2140" s="111"/>
      <c r="AD2140" s="111"/>
      <c r="AE2140" s="111"/>
      <c r="AF2140" s="111"/>
      <c r="AG2140" s="111"/>
      <c r="AH2140" s="111"/>
    </row>
    <row r="2141">
      <c r="A2141" s="89"/>
      <c r="B2141" s="111"/>
      <c r="C2141" s="111"/>
      <c r="D2141" s="111"/>
      <c r="E2141" s="91"/>
      <c r="F2141" s="111"/>
      <c r="G2141" s="111"/>
      <c r="H2141" s="111"/>
      <c r="I2141" s="111"/>
      <c r="J2141" s="111"/>
      <c r="K2141" s="92"/>
      <c r="L2141" s="111"/>
      <c r="M2141" s="111"/>
      <c r="N2141" s="111"/>
      <c r="O2141" s="112"/>
      <c r="P2141" s="111"/>
      <c r="Q2141" s="111"/>
      <c r="R2141" s="111"/>
      <c r="S2141" s="111"/>
      <c r="T2141" s="111"/>
      <c r="U2141" s="111"/>
      <c r="V2141" s="111"/>
      <c r="W2141" s="111"/>
      <c r="X2141" s="111"/>
      <c r="Y2141" s="111"/>
      <c r="Z2141" s="111"/>
      <c r="AA2141" s="111"/>
      <c r="AB2141" s="111"/>
      <c r="AC2141" s="111"/>
      <c r="AD2141" s="111"/>
      <c r="AE2141" s="111"/>
      <c r="AF2141" s="111"/>
      <c r="AG2141" s="111"/>
      <c r="AH2141" s="111"/>
    </row>
    <row r="2142">
      <c r="A2142" s="89"/>
      <c r="B2142" s="111"/>
      <c r="C2142" s="111"/>
      <c r="D2142" s="111"/>
      <c r="E2142" s="91"/>
      <c r="F2142" s="111"/>
      <c r="G2142" s="111"/>
      <c r="H2142" s="111"/>
      <c r="I2142" s="111"/>
      <c r="J2142" s="111"/>
      <c r="K2142" s="92"/>
      <c r="L2142" s="111"/>
      <c r="M2142" s="111"/>
      <c r="N2142" s="111"/>
      <c r="O2142" s="112"/>
      <c r="P2142" s="111"/>
      <c r="Q2142" s="111"/>
      <c r="R2142" s="111"/>
      <c r="S2142" s="111"/>
      <c r="T2142" s="111"/>
      <c r="U2142" s="111"/>
      <c r="V2142" s="111"/>
      <c r="W2142" s="111"/>
      <c r="X2142" s="111"/>
      <c r="Y2142" s="111"/>
      <c r="Z2142" s="111"/>
      <c r="AA2142" s="111"/>
      <c r="AB2142" s="111"/>
      <c r="AC2142" s="111"/>
      <c r="AD2142" s="111"/>
      <c r="AE2142" s="111"/>
      <c r="AF2142" s="111"/>
      <c r="AG2142" s="111"/>
      <c r="AH2142" s="111"/>
    </row>
    <row r="2143">
      <c r="A2143" s="89"/>
      <c r="B2143" s="111"/>
      <c r="C2143" s="111"/>
      <c r="D2143" s="111"/>
      <c r="E2143" s="91"/>
      <c r="F2143" s="111"/>
      <c r="G2143" s="111"/>
      <c r="H2143" s="111"/>
      <c r="I2143" s="111"/>
      <c r="J2143" s="111"/>
      <c r="K2143" s="92"/>
      <c r="L2143" s="111"/>
      <c r="M2143" s="111"/>
      <c r="N2143" s="111"/>
      <c r="O2143" s="112"/>
      <c r="P2143" s="111"/>
      <c r="Q2143" s="111"/>
      <c r="R2143" s="111"/>
      <c r="S2143" s="111"/>
      <c r="T2143" s="111"/>
      <c r="U2143" s="111"/>
      <c r="V2143" s="111"/>
      <c r="W2143" s="111"/>
      <c r="X2143" s="111"/>
      <c r="Y2143" s="111"/>
      <c r="Z2143" s="111"/>
      <c r="AA2143" s="111"/>
      <c r="AB2143" s="111"/>
      <c r="AC2143" s="111"/>
      <c r="AD2143" s="111"/>
      <c r="AE2143" s="111"/>
      <c r="AF2143" s="111"/>
      <c r="AG2143" s="111"/>
      <c r="AH2143" s="111"/>
    </row>
    <row r="2144">
      <c r="A2144" s="89"/>
      <c r="B2144" s="111"/>
      <c r="C2144" s="111"/>
      <c r="D2144" s="111"/>
      <c r="E2144" s="91"/>
      <c r="F2144" s="111"/>
      <c r="G2144" s="111"/>
      <c r="H2144" s="111"/>
      <c r="I2144" s="111"/>
      <c r="J2144" s="111"/>
      <c r="K2144" s="92"/>
      <c r="L2144" s="111"/>
      <c r="M2144" s="111"/>
      <c r="N2144" s="111"/>
      <c r="O2144" s="112"/>
      <c r="P2144" s="111"/>
      <c r="Q2144" s="111"/>
      <c r="R2144" s="111"/>
      <c r="S2144" s="111"/>
      <c r="T2144" s="111"/>
      <c r="U2144" s="111"/>
      <c r="V2144" s="111"/>
      <c r="W2144" s="111"/>
      <c r="X2144" s="111"/>
      <c r="Y2144" s="111"/>
      <c r="Z2144" s="111"/>
      <c r="AA2144" s="111"/>
      <c r="AB2144" s="111"/>
      <c r="AC2144" s="111"/>
      <c r="AD2144" s="111"/>
      <c r="AE2144" s="111"/>
      <c r="AF2144" s="111"/>
      <c r="AG2144" s="111"/>
      <c r="AH2144" s="111"/>
    </row>
    <row r="2145">
      <c r="A2145" s="89"/>
      <c r="B2145" s="111"/>
      <c r="C2145" s="111"/>
      <c r="D2145" s="111"/>
      <c r="E2145" s="91"/>
      <c r="F2145" s="111"/>
      <c r="G2145" s="111"/>
      <c r="H2145" s="111"/>
      <c r="I2145" s="111"/>
      <c r="J2145" s="111"/>
      <c r="K2145" s="92"/>
      <c r="L2145" s="111"/>
      <c r="M2145" s="111"/>
      <c r="N2145" s="111"/>
      <c r="O2145" s="112"/>
      <c r="P2145" s="111"/>
      <c r="Q2145" s="111"/>
      <c r="R2145" s="111"/>
      <c r="S2145" s="111"/>
      <c r="T2145" s="111"/>
      <c r="U2145" s="111"/>
      <c r="V2145" s="111"/>
      <c r="W2145" s="111"/>
      <c r="X2145" s="111"/>
      <c r="Y2145" s="111"/>
      <c r="Z2145" s="111"/>
      <c r="AA2145" s="111"/>
      <c r="AB2145" s="111"/>
      <c r="AC2145" s="111"/>
      <c r="AD2145" s="111"/>
      <c r="AE2145" s="111"/>
      <c r="AF2145" s="111"/>
      <c r="AG2145" s="111"/>
      <c r="AH2145" s="111"/>
    </row>
    <row r="2146">
      <c r="A2146" s="89"/>
      <c r="B2146" s="111"/>
      <c r="C2146" s="111"/>
      <c r="D2146" s="111"/>
      <c r="E2146" s="91"/>
      <c r="F2146" s="111"/>
      <c r="G2146" s="111"/>
      <c r="H2146" s="111"/>
      <c r="I2146" s="111"/>
      <c r="J2146" s="111"/>
      <c r="K2146" s="92"/>
      <c r="L2146" s="111"/>
      <c r="M2146" s="111"/>
      <c r="N2146" s="111"/>
      <c r="O2146" s="112"/>
      <c r="P2146" s="111"/>
      <c r="Q2146" s="111"/>
      <c r="R2146" s="111"/>
      <c r="S2146" s="111"/>
      <c r="T2146" s="111"/>
      <c r="U2146" s="111"/>
      <c r="V2146" s="111"/>
      <c r="W2146" s="111"/>
      <c r="X2146" s="111"/>
      <c r="Y2146" s="111"/>
      <c r="Z2146" s="111"/>
      <c r="AA2146" s="111"/>
      <c r="AB2146" s="111"/>
      <c r="AC2146" s="111"/>
      <c r="AD2146" s="111"/>
      <c r="AE2146" s="111"/>
      <c r="AF2146" s="111"/>
      <c r="AG2146" s="111"/>
      <c r="AH2146" s="111"/>
    </row>
    <row r="2147">
      <c r="A2147" s="89"/>
      <c r="B2147" s="111"/>
      <c r="C2147" s="111"/>
      <c r="D2147" s="111"/>
      <c r="E2147" s="91"/>
      <c r="F2147" s="111"/>
      <c r="G2147" s="111"/>
      <c r="H2147" s="111"/>
      <c r="I2147" s="111"/>
      <c r="J2147" s="111"/>
      <c r="K2147" s="92"/>
      <c r="L2147" s="111"/>
      <c r="M2147" s="111"/>
      <c r="N2147" s="111"/>
      <c r="O2147" s="112"/>
      <c r="P2147" s="111"/>
      <c r="Q2147" s="111"/>
      <c r="R2147" s="111"/>
      <c r="S2147" s="111"/>
      <c r="T2147" s="111"/>
      <c r="U2147" s="111"/>
      <c r="V2147" s="111"/>
      <c r="W2147" s="111"/>
      <c r="X2147" s="111"/>
      <c r="Y2147" s="111"/>
      <c r="Z2147" s="111"/>
      <c r="AA2147" s="111"/>
      <c r="AB2147" s="111"/>
      <c r="AC2147" s="111"/>
      <c r="AD2147" s="111"/>
      <c r="AE2147" s="111"/>
      <c r="AF2147" s="111"/>
      <c r="AG2147" s="111"/>
      <c r="AH2147" s="111"/>
    </row>
    <row r="2148">
      <c r="A2148" s="89"/>
      <c r="B2148" s="111"/>
      <c r="C2148" s="111"/>
      <c r="D2148" s="111"/>
      <c r="E2148" s="91"/>
      <c r="F2148" s="111"/>
      <c r="G2148" s="111"/>
      <c r="H2148" s="111"/>
      <c r="I2148" s="111"/>
      <c r="J2148" s="111"/>
      <c r="K2148" s="92"/>
      <c r="L2148" s="111"/>
      <c r="M2148" s="111"/>
      <c r="N2148" s="111"/>
      <c r="O2148" s="112"/>
      <c r="P2148" s="111"/>
      <c r="Q2148" s="111"/>
      <c r="R2148" s="111"/>
      <c r="S2148" s="111"/>
      <c r="T2148" s="111"/>
      <c r="U2148" s="111"/>
      <c r="V2148" s="111"/>
      <c r="W2148" s="111"/>
      <c r="X2148" s="111"/>
      <c r="Y2148" s="111"/>
      <c r="Z2148" s="111"/>
      <c r="AA2148" s="111"/>
      <c r="AB2148" s="111"/>
      <c r="AC2148" s="111"/>
      <c r="AD2148" s="111"/>
      <c r="AE2148" s="111"/>
      <c r="AF2148" s="111"/>
      <c r="AG2148" s="111"/>
      <c r="AH2148" s="111"/>
    </row>
    <row r="2149">
      <c r="A2149" s="89"/>
      <c r="B2149" s="111"/>
      <c r="C2149" s="111"/>
      <c r="D2149" s="111"/>
      <c r="E2149" s="91"/>
      <c r="F2149" s="111"/>
      <c r="G2149" s="111"/>
      <c r="H2149" s="111"/>
      <c r="I2149" s="111"/>
      <c r="J2149" s="111"/>
      <c r="K2149" s="92"/>
      <c r="L2149" s="111"/>
      <c r="M2149" s="111"/>
      <c r="N2149" s="111"/>
      <c r="O2149" s="112"/>
      <c r="P2149" s="111"/>
      <c r="Q2149" s="111"/>
      <c r="R2149" s="111"/>
      <c r="S2149" s="111"/>
      <c r="T2149" s="111"/>
      <c r="U2149" s="111"/>
      <c r="V2149" s="111"/>
      <c r="W2149" s="111"/>
      <c r="X2149" s="111"/>
      <c r="Y2149" s="111"/>
      <c r="Z2149" s="111"/>
      <c r="AA2149" s="111"/>
      <c r="AB2149" s="111"/>
      <c r="AC2149" s="111"/>
      <c r="AD2149" s="111"/>
      <c r="AE2149" s="111"/>
      <c r="AF2149" s="111"/>
      <c r="AG2149" s="111"/>
      <c r="AH2149" s="111"/>
    </row>
    <row r="2150">
      <c r="A2150" s="89"/>
      <c r="B2150" s="111"/>
      <c r="C2150" s="111"/>
      <c r="D2150" s="111"/>
      <c r="E2150" s="91"/>
      <c r="F2150" s="111"/>
      <c r="G2150" s="111"/>
      <c r="H2150" s="111"/>
      <c r="I2150" s="111"/>
      <c r="J2150" s="111"/>
      <c r="K2150" s="92"/>
      <c r="L2150" s="111"/>
      <c r="M2150" s="111"/>
      <c r="N2150" s="111"/>
      <c r="O2150" s="112"/>
      <c r="P2150" s="111"/>
      <c r="Q2150" s="111"/>
      <c r="R2150" s="111"/>
      <c r="S2150" s="111"/>
      <c r="T2150" s="111"/>
      <c r="U2150" s="111"/>
      <c r="V2150" s="111"/>
      <c r="W2150" s="111"/>
      <c r="X2150" s="111"/>
      <c r="Y2150" s="111"/>
      <c r="Z2150" s="111"/>
      <c r="AA2150" s="111"/>
      <c r="AB2150" s="111"/>
      <c r="AC2150" s="111"/>
      <c r="AD2150" s="111"/>
      <c r="AE2150" s="111"/>
      <c r="AF2150" s="111"/>
      <c r="AG2150" s="111"/>
      <c r="AH2150" s="111"/>
    </row>
    <row r="2151">
      <c r="A2151" s="89"/>
      <c r="B2151" s="111"/>
      <c r="C2151" s="111"/>
      <c r="D2151" s="111"/>
      <c r="E2151" s="91"/>
      <c r="F2151" s="111"/>
      <c r="G2151" s="111"/>
      <c r="H2151" s="111"/>
      <c r="I2151" s="111"/>
      <c r="J2151" s="111"/>
      <c r="K2151" s="92"/>
      <c r="L2151" s="111"/>
      <c r="M2151" s="111"/>
      <c r="N2151" s="111"/>
      <c r="O2151" s="112"/>
      <c r="P2151" s="111"/>
      <c r="Q2151" s="111"/>
      <c r="R2151" s="111"/>
      <c r="S2151" s="111"/>
      <c r="T2151" s="111"/>
      <c r="U2151" s="111"/>
      <c r="V2151" s="111"/>
      <c r="W2151" s="111"/>
      <c r="X2151" s="111"/>
      <c r="Y2151" s="111"/>
      <c r="Z2151" s="111"/>
      <c r="AA2151" s="111"/>
      <c r="AB2151" s="111"/>
      <c r="AC2151" s="111"/>
      <c r="AD2151" s="111"/>
      <c r="AE2151" s="111"/>
      <c r="AF2151" s="111"/>
      <c r="AG2151" s="111"/>
      <c r="AH2151" s="111"/>
    </row>
    <row r="2152">
      <c r="A2152" s="89"/>
      <c r="B2152" s="111"/>
      <c r="C2152" s="111"/>
      <c r="D2152" s="111"/>
      <c r="E2152" s="91"/>
      <c r="F2152" s="111"/>
      <c r="G2152" s="111"/>
      <c r="H2152" s="111"/>
      <c r="I2152" s="111"/>
      <c r="J2152" s="111"/>
      <c r="K2152" s="92"/>
      <c r="L2152" s="111"/>
      <c r="M2152" s="111"/>
      <c r="N2152" s="111"/>
      <c r="O2152" s="112"/>
      <c r="P2152" s="111"/>
      <c r="Q2152" s="111"/>
      <c r="R2152" s="111"/>
      <c r="S2152" s="111"/>
      <c r="T2152" s="111"/>
      <c r="U2152" s="111"/>
      <c r="V2152" s="111"/>
      <c r="W2152" s="111"/>
      <c r="X2152" s="111"/>
      <c r="Y2152" s="111"/>
      <c r="Z2152" s="111"/>
      <c r="AA2152" s="111"/>
      <c r="AB2152" s="111"/>
      <c r="AC2152" s="111"/>
      <c r="AD2152" s="111"/>
      <c r="AE2152" s="111"/>
      <c r="AF2152" s="111"/>
      <c r="AG2152" s="111"/>
      <c r="AH2152" s="111"/>
    </row>
    <row r="2153">
      <c r="A2153" s="89"/>
      <c r="B2153" s="111"/>
      <c r="C2153" s="111"/>
      <c r="D2153" s="111"/>
      <c r="E2153" s="91"/>
      <c r="F2153" s="111"/>
      <c r="G2153" s="111"/>
      <c r="H2153" s="111"/>
      <c r="I2153" s="111"/>
      <c r="J2153" s="111"/>
      <c r="K2153" s="92"/>
      <c r="L2153" s="111"/>
      <c r="M2153" s="111"/>
      <c r="N2153" s="111"/>
      <c r="O2153" s="112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  <c r="AH2153" s="111"/>
    </row>
    <row r="2154">
      <c r="A2154" s="89"/>
      <c r="B2154" s="111"/>
      <c r="C2154" s="111"/>
      <c r="D2154" s="111"/>
      <c r="E2154" s="91"/>
      <c r="F2154" s="111"/>
      <c r="G2154" s="111"/>
      <c r="H2154" s="111"/>
      <c r="I2154" s="111"/>
      <c r="J2154" s="111"/>
      <c r="K2154" s="92"/>
      <c r="L2154" s="111"/>
      <c r="M2154" s="111"/>
      <c r="N2154" s="111"/>
      <c r="O2154" s="112"/>
      <c r="P2154" s="111"/>
      <c r="Q2154" s="111"/>
      <c r="R2154" s="111"/>
      <c r="S2154" s="111"/>
      <c r="T2154" s="111"/>
      <c r="U2154" s="111"/>
      <c r="V2154" s="111"/>
      <c r="W2154" s="111"/>
      <c r="X2154" s="111"/>
      <c r="Y2154" s="111"/>
      <c r="Z2154" s="111"/>
      <c r="AA2154" s="111"/>
      <c r="AB2154" s="111"/>
      <c r="AC2154" s="111"/>
      <c r="AD2154" s="111"/>
      <c r="AE2154" s="111"/>
      <c r="AF2154" s="111"/>
      <c r="AG2154" s="111"/>
      <c r="AH2154" s="111"/>
    </row>
    <row r="2155">
      <c r="A2155" s="89"/>
      <c r="B2155" s="111"/>
      <c r="C2155" s="111"/>
      <c r="D2155" s="111"/>
      <c r="E2155" s="91"/>
      <c r="F2155" s="111"/>
      <c r="G2155" s="111"/>
      <c r="H2155" s="111"/>
      <c r="I2155" s="111"/>
      <c r="J2155" s="111"/>
      <c r="K2155" s="92"/>
      <c r="L2155" s="111"/>
      <c r="M2155" s="111"/>
      <c r="N2155" s="111"/>
      <c r="O2155" s="112"/>
      <c r="P2155" s="111"/>
      <c r="Q2155" s="111"/>
      <c r="R2155" s="111"/>
      <c r="S2155" s="111"/>
      <c r="T2155" s="111"/>
      <c r="U2155" s="111"/>
      <c r="V2155" s="111"/>
      <c r="W2155" s="111"/>
      <c r="X2155" s="111"/>
      <c r="Y2155" s="111"/>
      <c r="Z2155" s="111"/>
      <c r="AA2155" s="111"/>
      <c r="AB2155" s="111"/>
      <c r="AC2155" s="111"/>
      <c r="AD2155" s="111"/>
      <c r="AE2155" s="111"/>
      <c r="AF2155" s="111"/>
      <c r="AG2155" s="111"/>
      <c r="AH2155" s="111"/>
    </row>
    <row r="2156">
      <c r="A2156" s="89"/>
      <c r="B2156" s="111"/>
      <c r="C2156" s="111"/>
      <c r="D2156" s="111"/>
      <c r="E2156" s="91"/>
      <c r="F2156" s="111"/>
      <c r="G2156" s="111"/>
      <c r="H2156" s="111"/>
      <c r="I2156" s="111"/>
      <c r="J2156" s="111"/>
      <c r="K2156" s="92"/>
      <c r="L2156" s="111"/>
      <c r="M2156" s="111"/>
      <c r="N2156" s="111"/>
      <c r="O2156" s="112"/>
      <c r="P2156" s="111"/>
      <c r="Q2156" s="111"/>
      <c r="R2156" s="111"/>
      <c r="S2156" s="111"/>
      <c r="T2156" s="111"/>
      <c r="U2156" s="111"/>
      <c r="V2156" s="111"/>
      <c r="W2156" s="111"/>
      <c r="X2156" s="111"/>
      <c r="Y2156" s="111"/>
      <c r="Z2156" s="111"/>
      <c r="AA2156" s="111"/>
      <c r="AB2156" s="111"/>
      <c r="AC2156" s="111"/>
      <c r="AD2156" s="111"/>
      <c r="AE2156" s="111"/>
      <c r="AF2156" s="111"/>
      <c r="AG2156" s="111"/>
      <c r="AH2156" s="111"/>
    </row>
    <row r="2157">
      <c r="A2157" s="89"/>
      <c r="B2157" s="111"/>
      <c r="C2157" s="111"/>
      <c r="D2157" s="111"/>
      <c r="E2157" s="91"/>
      <c r="F2157" s="111"/>
      <c r="G2157" s="111"/>
      <c r="H2157" s="111"/>
      <c r="I2157" s="111"/>
      <c r="J2157" s="111"/>
      <c r="K2157" s="92"/>
      <c r="L2157" s="111"/>
      <c r="M2157" s="111"/>
      <c r="N2157" s="111"/>
      <c r="O2157" s="112"/>
      <c r="P2157" s="111"/>
      <c r="Q2157" s="111"/>
      <c r="R2157" s="111"/>
      <c r="S2157" s="111"/>
      <c r="T2157" s="111"/>
      <c r="U2157" s="111"/>
      <c r="V2157" s="111"/>
      <c r="W2157" s="111"/>
      <c r="X2157" s="111"/>
      <c r="Y2157" s="111"/>
      <c r="Z2157" s="111"/>
      <c r="AA2157" s="111"/>
      <c r="AB2157" s="111"/>
      <c r="AC2157" s="111"/>
      <c r="AD2157" s="111"/>
      <c r="AE2157" s="111"/>
      <c r="AF2157" s="111"/>
      <c r="AG2157" s="111"/>
      <c r="AH2157" s="111"/>
    </row>
    <row r="2158">
      <c r="A2158" s="89"/>
      <c r="B2158" s="111"/>
      <c r="C2158" s="111"/>
      <c r="D2158" s="111"/>
      <c r="E2158" s="91"/>
      <c r="F2158" s="111"/>
      <c r="G2158" s="111"/>
      <c r="H2158" s="111"/>
      <c r="I2158" s="111"/>
      <c r="J2158" s="111"/>
      <c r="K2158" s="92"/>
      <c r="L2158" s="111"/>
      <c r="M2158" s="111"/>
      <c r="N2158" s="111"/>
      <c r="O2158" s="112"/>
      <c r="P2158" s="111"/>
      <c r="Q2158" s="111"/>
      <c r="R2158" s="111"/>
      <c r="S2158" s="111"/>
      <c r="T2158" s="111"/>
      <c r="U2158" s="111"/>
      <c r="V2158" s="111"/>
      <c r="W2158" s="111"/>
      <c r="X2158" s="111"/>
      <c r="Y2158" s="111"/>
      <c r="Z2158" s="111"/>
      <c r="AA2158" s="111"/>
      <c r="AB2158" s="111"/>
      <c r="AC2158" s="111"/>
      <c r="AD2158" s="111"/>
      <c r="AE2158" s="111"/>
      <c r="AF2158" s="111"/>
      <c r="AG2158" s="111"/>
      <c r="AH2158" s="111"/>
    </row>
    <row r="2159">
      <c r="A2159" s="89"/>
      <c r="B2159" s="111"/>
      <c r="C2159" s="111"/>
      <c r="D2159" s="111"/>
      <c r="E2159" s="91"/>
      <c r="F2159" s="111"/>
      <c r="G2159" s="111"/>
      <c r="H2159" s="111"/>
      <c r="I2159" s="111"/>
      <c r="J2159" s="111"/>
      <c r="K2159" s="92"/>
      <c r="L2159" s="111"/>
      <c r="M2159" s="111"/>
      <c r="N2159" s="111"/>
      <c r="O2159" s="112"/>
      <c r="P2159" s="111"/>
      <c r="Q2159" s="111"/>
      <c r="R2159" s="111"/>
      <c r="S2159" s="111"/>
      <c r="T2159" s="111"/>
      <c r="U2159" s="111"/>
      <c r="V2159" s="111"/>
      <c r="W2159" s="111"/>
      <c r="X2159" s="111"/>
      <c r="Y2159" s="111"/>
      <c r="Z2159" s="111"/>
      <c r="AA2159" s="111"/>
      <c r="AB2159" s="111"/>
      <c r="AC2159" s="111"/>
      <c r="AD2159" s="111"/>
      <c r="AE2159" s="111"/>
      <c r="AF2159" s="111"/>
      <c r="AG2159" s="111"/>
      <c r="AH2159" s="111"/>
    </row>
    <row r="2160">
      <c r="A2160" s="89"/>
      <c r="B2160" s="111"/>
      <c r="C2160" s="111"/>
      <c r="D2160" s="111"/>
      <c r="E2160" s="91"/>
      <c r="F2160" s="111"/>
      <c r="G2160" s="111"/>
      <c r="H2160" s="111"/>
      <c r="I2160" s="111"/>
      <c r="J2160" s="111"/>
      <c r="K2160" s="92"/>
      <c r="L2160" s="111"/>
      <c r="M2160" s="111"/>
      <c r="N2160" s="111"/>
      <c r="O2160" s="112"/>
      <c r="P2160" s="111"/>
      <c r="Q2160" s="111"/>
      <c r="R2160" s="111"/>
      <c r="S2160" s="111"/>
      <c r="T2160" s="111"/>
      <c r="U2160" s="111"/>
      <c r="V2160" s="111"/>
      <c r="W2160" s="111"/>
      <c r="X2160" s="111"/>
      <c r="Y2160" s="111"/>
      <c r="Z2160" s="111"/>
      <c r="AA2160" s="111"/>
      <c r="AB2160" s="111"/>
      <c r="AC2160" s="111"/>
      <c r="AD2160" s="111"/>
      <c r="AE2160" s="111"/>
      <c r="AF2160" s="111"/>
      <c r="AG2160" s="111"/>
      <c r="AH2160" s="111"/>
    </row>
    <row r="2161">
      <c r="A2161" s="89"/>
      <c r="B2161" s="111"/>
      <c r="C2161" s="111"/>
      <c r="D2161" s="111"/>
      <c r="E2161" s="91"/>
      <c r="F2161" s="111"/>
      <c r="G2161" s="111"/>
      <c r="H2161" s="111"/>
      <c r="I2161" s="111"/>
      <c r="J2161" s="111"/>
      <c r="K2161" s="92"/>
      <c r="L2161" s="111"/>
      <c r="M2161" s="111"/>
      <c r="N2161" s="111"/>
      <c r="O2161" s="112"/>
      <c r="P2161" s="111"/>
      <c r="Q2161" s="111"/>
      <c r="R2161" s="111"/>
      <c r="S2161" s="111"/>
      <c r="T2161" s="111"/>
      <c r="U2161" s="111"/>
      <c r="V2161" s="111"/>
      <c r="W2161" s="111"/>
      <c r="X2161" s="111"/>
      <c r="Y2161" s="111"/>
      <c r="Z2161" s="111"/>
      <c r="AA2161" s="111"/>
      <c r="AB2161" s="111"/>
      <c r="AC2161" s="111"/>
      <c r="AD2161" s="111"/>
      <c r="AE2161" s="111"/>
      <c r="AF2161" s="111"/>
      <c r="AG2161" s="111"/>
      <c r="AH2161" s="111"/>
    </row>
    <row r="2162">
      <c r="A2162" s="89"/>
      <c r="B2162" s="111"/>
      <c r="C2162" s="111"/>
      <c r="D2162" s="111"/>
      <c r="E2162" s="91"/>
      <c r="F2162" s="111"/>
      <c r="G2162" s="111"/>
      <c r="H2162" s="111"/>
      <c r="I2162" s="111"/>
      <c r="J2162" s="111"/>
      <c r="K2162" s="92"/>
      <c r="L2162" s="111"/>
      <c r="M2162" s="111"/>
      <c r="N2162" s="111"/>
      <c r="O2162" s="112"/>
      <c r="P2162" s="111"/>
      <c r="Q2162" s="111"/>
      <c r="R2162" s="111"/>
      <c r="S2162" s="111"/>
      <c r="T2162" s="111"/>
      <c r="U2162" s="111"/>
      <c r="V2162" s="111"/>
      <c r="W2162" s="111"/>
      <c r="X2162" s="111"/>
      <c r="Y2162" s="111"/>
      <c r="Z2162" s="111"/>
      <c r="AA2162" s="111"/>
      <c r="AB2162" s="111"/>
      <c r="AC2162" s="111"/>
      <c r="AD2162" s="111"/>
      <c r="AE2162" s="111"/>
      <c r="AF2162" s="111"/>
      <c r="AG2162" s="111"/>
      <c r="AH2162" s="111"/>
    </row>
    <row r="2163">
      <c r="A2163" s="89"/>
      <c r="B2163" s="111"/>
      <c r="C2163" s="111"/>
      <c r="D2163" s="111"/>
      <c r="E2163" s="91"/>
      <c r="F2163" s="111"/>
      <c r="G2163" s="111"/>
      <c r="H2163" s="111"/>
      <c r="I2163" s="111"/>
      <c r="J2163" s="111"/>
      <c r="K2163" s="92"/>
      <c r="L2163" s="111"/>
      <c r="M2163" s="111"/>
      <c r="N2163" s="111"/>
      <c r="O2163" s="112"/>
      <c r="P2163" s="111"/>
      <c r="Q2163" s="111"/>
      <c r="R2163" s="111"/>
      <c r="S2163" s="111"/>
      <c r="T2163" s="111"/>
      <c r="U2163" s="111"/>
      <c r="V2163" s="111"/>
      <c r="W2163" s="111"/>
      <c r="X2163" s="111"/>
      <c r="Y2163" s="111"/>
      <c r="Z2163" s="111"/>
      <c r="AA2163" s="111"/>
      <c r="AB2163" s="111"/>
      <c r="AC2163" s="111"/>
      <c r="AD2163" s="111"/>
      <c r="AE2163" s="111"/>
      <c r="AF2163" s="111"/>
      <c r="AG2163" s="111"/>
      <c r="AH2163" s="111"/>
    </row>
    <row r="2164">
      <c r="A2164" s="89"/>
      <c r="B2164" s="111"/>
      <c r="C2164" s="111"/>
      <c r="D2164" s="111"/>
      <c r="E2164" s="91"/>
      <c r="F2164" s="111"/>
      <c r="G2164" s="111"/>
      <c r="H2164" s="111"/>
      <c r="I2164" s="111"/>
      <c r="J2164" s="111"/>
      <c r="K2164" s="92"/>
      <c r="L2164" s="111"/>
      <c r="M2164" s="111"/>
      <c r="N2164" s="111"/>
      <c r="O2164" s="112"/>
      <c r="P2164" s="111"/>
      <c r="Q2164" s="111"/>
      <c r="R2164" s="111"/>
      <c r="S2164" s="111"/>
      <c r="T2164" s="111"/>
      <c r="U2164" s="111"/>
      <c r="V2164" s="111"/>
      <c r="W2164" s="111"/>
      <c r="X2164" s="111"/>
      <c r="Y2164" s="111"/>
      <c r="Z2164" s="111"/>
      <c r="AA2164" s="111"/>
      <c r="AB2164" s="111"/>
      <c r="AC2164" s="111"/>
      <c r="AD2164" s="111"/>
      <c r="AE2164" s="111"/>
      <c r="AF2164" s="111"/>
      <c r="AG2164" s="111"/>
      <c r="AH2164" s="111"/>
    </row>
    <row r="2165">
      <c r="A2165" s="89"/>
      <c r="B2165" s="111"/>
      <c r="C2165" s="111"/>
      <c r="D2165" s="111"/>
      <c r="E2165" s="91"/>
      <c r="F2165" s="111"/>
      <c r="G2165" s="111"/>
      <c r="H2165" s="111"/>
      <c r="I2165" s="111"/>
      <c r="J2165" s="111"/>
      <c r="K2165" s="92"/>
      <c r="L2165" s="111"/>
      <c r="M2165" s="111"/>
      <c r="N2165" s="111"/>
      <c r="O2165" s="112"/>
      <c r="P2165" s="111"/>
      <c r="Q2165" s="111"/>
      <c r="R2165" s="111"/>
      <c r="S2165" s="111"/>
      <c r="T2165" s="111"/>
      <c r="U2165" s="111"/>
      <c r="V2165" s="111"/>
      <c r="W2165" s="111"/>
      <c r="X2165" s="111"/>
      <c r="Y2165" s="111"/>
      <c r="Z2165" s="111"/>
      <c r="AA2165" s="111"/>
      <c r="AB2165" s="111"/>
      <c r="AC2165" s="111"/>
      <c r="AD2165" s="111"/>
      <c r="AE2165" s="111"/>
      <c r="AF2165" s="111"/>
      <c r="AG2165" s="111"/>
      <c r="AH2165" s="111"/>
    </row>
    <row r="2166">
      <c r="A2166" s="89"/>
      <c r="B2166" s="111"/>
      <c r="C2166" s="111"/>
      <c r="D2166" s="111"/>
      <c r="E2166" s="91"/>
      <c r="F2166" s="111"/>
      <c r="G2166" s="111"/>
      <c r="H2166" s="111"/>
      <c r="I2166" s="111"/>
      <c r="J2166" s="111"/>
      <c r="K2166" s="92"/>
      <c r="L2166" s="111"/>
      <c r="M2166" s="111"/>
      <c r="N2166" s="111"/>
      <c r="O2166" s="112"/>
      <c r="P2166" s="111"/>
      <c r="Q2166" s="111"/>
      <c r="R2166" s="111"/>
      <c r="S2166" s="111"/>
      <c r="T2166" s="111"/>
      <c r="U2166" s="111"/>
      <c r="V2166" s="111"/>
      <c r="W2166" s="111"/>
      <c r="X2166" s="111"/>
      <c r="Y2166" s="111"/>
      <c r="Z2166" s="111"/>
      <c r="AA2166" s="111"/>
      <c r="AB2166" s="111"/>
      <c r="AC2166" s="111"/>
      <c r="AD2166" s="111"/>
      <c r="AE2166" s="111"/>
      <c r="AF2166" s="111"/>
      <c r="AG2166" s="111"/>
      <c r="AH2166" s="111"/>
    </row>
    <row r="2167">
      <c r="A2167" s="89"/>
      <c r="B2167" s="111"/>
      <c r="C2167" s="111"/>
      <c r="D2167" s="111"/>
      <c r="E2167" s="91"/>
      <c r="F2167" s="111"/>
      <c r="G2167" s="111"/>
      <c r="H2167" s="111"/>
      <c r="I2167" s="111"/>
      <c r="J2167" s="111"/>
      <c r="K2167" s="92"/>
      <c r="L2167" s="111"/>
      <c r="M2167" s="111"/>
      <c r="N2167" s="111"/>
      <c r="O2167" s="112"/>
      <c r="P2167" s="111"/>
      <c r="Q2167" s="111"/>
      <c r="R2167" s="111"/>
      <c r="S2167" s="111"/>
      <c r="T2167" s="111"/>
      <c r="U2167" s="111"/>
      <c r="V2167" s="111"/>
      <c r="W2167" s="111"/>
      <c r="X2167" s="111"/>
      <c r="Y2167" s="111"/>
      <c r="Z2167" s="111"/>
      <c r="AA2167" s="111"/>
      <c r="AB2167" s="111"/>
      <c r="AC2167" s="111"/>
      <c r="AD2167" s="111"/>
      <c r="AE2167" s="111"/>
      <c r="AF2167" s="111"/>
      <c r="AG2167" s="111"/>
      <c r="AH2167" s="111"/>
    </row>
    <row r="2168">
      <c r="A2168" s="89"/>
      <c r="B2168" s="111"/>
      <c r="C2168" s="111"/>
      <c r="D2168" s="111"/>
      <c r="E2168" s="91"/>
      <c r="F2168" s="111"/>
      <c r="G2168" s="111"/>
      <c r="H2168" s="111"/>
      <c r="I2168" s="111"/>
      <c r="J2168" s="111"/>
      <c r="K2168" s="92"/>
      <c r="L2168" s="111"/>
      <c r="M2168" s="111"/>
      <c r="N2168" s="111"/>
      <c r="O2168" s="112"/>
      <c r="P2168" s="111"/>
      <c r="Q2168" s="111"/>
      <c r="R2168" s="111"/>
      <c r="S2168" s="111"/>
      <c r="T2168" s="111"/>
      <c r="U2168" s="111"/>
      <c r="V2168" s="111"/>
      <c r="W2168" s="111"/>
      <c r="X2168" s="111"/>
      <c r="Y2168" s="111"/>
      <c r="Z2168" s="111"/>
      <c r="AA2168" s="111"/>
      <c r="AB2168" s="111"/>
      <c r="AC2168" s="111"/>
      <c r="AD2168" s="111"/>
      <c r="AE2168" s="111"/>
      <c r="AF2168" s="111"/>
      <c r="AG2168" s="111"/>
      <c r="AH2168" s="111"/>
    </row>
    <row r="2169">
      <c r="A2169" s="89"/>
      <c r="B2169" s="111"/>
      <c r="C2169" s="111"/>
      <c r="D2169" s="111"/>
      <c r="E2169" s="91"/>
      <c r="F2169" s="111"/>
      <c r="G2169" s="111"/>
      <c r="H2169" s="111"/>
      <c r="I2169" s="111"/>
      <c r="J2169" s="111"/>
      <c r="K2169" s="92"/>
      <c r="L2169" s="111"/>
      <c r="M2169" s="111"/>
      <c r="N2169" s="111"/>
      <c r="O2169" s="112"/>
      <c r="P2169" s="111"/>
      <c r="Q2169" s="111"/>
      <c r="R2169" s="111"/>
      <c r="S2169" s="111"/>
      <c r="T2169" s="111"/>
      <c r="U2169" s="111"/>
      <c r="V2169" s="111"/>
      <c r="W2169" s="111"/>
      <c r="X2169" s="111"/>
      <c r="Y2169" s="111"/>
      <c r="Z2169" s="111"/>
      <c r="AA2169" s="111"/>
      <c r="AB2169" s="111"/>
      <c r="AC2169" s="111"/>
      <c r="AD2169" s="111"/>
      <c r="AE2169" s="111"/>
      <c r="AF2169" s="111"/>
      <c r="AG2169" s="111"/>
      <c r="AH2169" s="111"/>
    </row>
    <row r="2170">
      <c r="A2170" s="89"/>
      <c r="B2170" s="111"/>
      <c r="C2170" s="111"/>
      <c r="D2170" s="111"/>
      <c r="E2170" s="91"/>
      <c r="F2170" s="111"/>
      <c r="G2170" s="111"/>
      <c r="H2170" s="111"/>
      <c r="I2170" s="111"/>
      <c r="J2170" s="111"/>
      <c r="K2170" s="92"/>
      <c r="L2170" s="111"/>
      <c r="M2170" s="111"/>
      <c r="N2170" s="111"/>
      <c r="O2170" s="112"/>
      <c r="P2170" s="111"/>
      <c r="Q2170" s="111"/>
      <c r="R2170" s="111"/>
      <c r="S2170" s="111"/>
      <c r="T2170" s="111"/>
      <c r="U2170" s="111"/>
      <c r="V2170" s="111"/>
      <c r="W2170" s="111"/>
      <c r="X2170" s="111"/>
      <c r="Y2170" s="111"/>
      <c r="Z2170" s="111"/>
      <c r="AA2170" s="111"/>
      <c r="AB2170" s="111"/>
      <c r="AC2170" s="111"/>
      <c r="AD2170" s="111"/>
      <c r="AE2170" s="111"/>
      <c r="AF2170" s="111"/>
      <c r="AG2170" s="111"/>
      <c r="AH2170" s="111"/>
    </row>
    <row r="2171">
      <c r="A2171" s="89"/>
      <c r="B2171" s="111"/>
      <c r="C2171" s="111"/>
      <c r="D2171" s="111"/>
      <c r="E2171" s="91"/>
      <c r="F2171" s="111"/>
      <c r="G2171" s="111"/>
      <c r="H2171" s="111"/>
      <c r="I2171" s="111"/>
      <c r="J2171" s="111"/>
      <c r="K2171" s="92"/>
      <c r="L2171" s="111"/>
      <c r="M2171" s="111"/>
      <c r="N2171" s="111"/>
      <c r="O2171" s="112"/>
      <c r="P2171" s="111"/>
      <c r="Q2171" s="111"/>
      <c r="R2171" s="111"/>
      <c r="S2171" s="111"/>
      <c r="T2171" s="111"/>
      <c r="U2171" s="111"/>
      <c r="V2171" s="111"/>
      <c r="W2171" s="111"/>
      <c r="X2171" s="111"/>
      <c r="Y2171" s="111"/>
      <c r="Z2171" s="111"/>
      <c r="AA2171" s="111"/>
      <c r="AB2171" s="111"/>
      <c r="AC2171" s="111"/>
      <c r="AD2171" s="111"/>
      <c r="AE2171" s="111"/>
      <c r="AF2171" s="111"/>
      <c r="AG2171" s="111"/>
      <c r="AH2171" s="111"/>
    </row>
    <row r="2172">
      <c r="A2172" s="89"/>
      <c r="B2172" s="111"/>
      <c r="C2172" s="111"/>
      <c r="D2172" s="111"/>
      <c r="E2172" s="91"/>
      <c r="F2172" s="111"/>
      <c r="G2172" s="111"/>
      <c r="H2172" s="111"/>
      <c r="I2172" s="111"/>
      <c r="J2172" s="111"/>
      <c r="K2172" s="92"/>
      <c r="L2172" s="111"/>
      <c r="M2172" s="111"/>
      <c r="N2172" s="111"/>
      <c r="O2172" s="112"/>
      <c r="P2172" s="111"/>
      <c r="Q2172" s="111"/>
      <c r="R2172" s="111"/>
      <c r="S2172" s="111"/>
      <c r="T2172" s="111"/>
      <c r="U2172" s="111"/>
      <c r="V2172" s="111"/>
      <c r="W2172" s="111"/>
      <c r="X2172" s="111"/>
      <c r="Y2172" s="111"/>
      <c r="Z2172" s="111"/>
      <c r="AA2172" s="111"/>
      <c r="AB2172" s="111"/>
      <c r="AC2172" s="111"/>
      <c r="AD2172" s="111"/>
      <c r="AE2172" s="111"/>
      <c r="AF2172" s="111"/>
      <c r="AG2172" s="111"/>
      <c r="AH2172" s="111"/>
    </row>
    <row r="2173">
      <c r="A2173" s="89"/>
      <c r="B2173" s="111"/>
      <c r="C2173" s="111"/>
      <c r="D2173" s="111"/>
      <c r="E2173" s="91"/>
      <c r="F2173" s="111"/>
      <c r="G2173" s="111"/>
      <c r="H2173" s="111"/>
      <c r="I2173" s="111"/>
      <c r="J2173" s="111"/>
      <c r="K2173" s="92"/>
      <c r="L2173" s="111"/>
      <c r="M2173" s="111"/>
      <c r="N2173" s="111"/>
      <c r="O2173" s="112"/>
      <c r="P2173" s="111"/>
      <c r="Q2173" s="111"/>
      <c r="R2173" s="111"/>
      <c r="S2173" s="111"/>
      <c r="T2173" s="111"/>
      <c r="U2173" s="111"/>
      <c r="V2173" s="111"/>
      <c r="W2173" s="111"/>
      <c r="X2173" s="111"/>
      <c r="Y2173" s="111"/>
      <c r="Z2173" s="111"/>
      <c r="AA2173" s="111"/>
      <c r="AB2173" s="111"/>
      <c r="AC2173" s="111"/>
      <c r="AD2173" s="111"/>
      <c r="AE2173" s="111"/>
      <c r="AF2173" s="111"/>
      <c r="AG2173" s="111"/>
      <c r="AH2173" s="111"/>
    </row>
    <row r="2174">
      <c r="A2174" s="89"/>
      <c r="B2174" s="111"/>
      <c r="C2174" s="111"/>
      <c r="D2174" s="111"/>
      <c r="E2174" s="91"/>
      <c r="F2174" s="111"/>
      <c r="G2174" s="111"/>
      <c r="H2174" s="111"/>
      <c r="I2174" s="111"/>
      <c r="J2174" s="111"/>
      <c r="K2174" s="92"/>
      <c r="L2174" s="111"/>
      <c r="M2174" s="111"/>
      <c r="N2174" s="111"/>
      <c r="O2174" s="112"/>
      <c r="P2174" s="111"/>
      <c r="Q2174" s="111"/>
      <c r="R2174" s="111"/>
      <c r="S2174" s="111"/>
      <c r="T2174" s="111"/>
      <c r="U2174" s="111"/>
      <c r="V2174" s="111"/>
      <c r="W2174" s="111"/>
      <c r="X2174" s="111"/>
      <c r="Y2174" s="111"/>
      <c r="Z2174" s="111"/>
      <c r="AA2174" s="111"/>
      <c r="AB2174" s="111"/>
      <c r="AC2174" s="111"/>
      <c r="AD2174" s="111"/>
      <c r="AE2174" s="111"/>
      <c r="AF2174" s="111"/>
      <c r="AG2174" s="111"/>
      <c r="AH2174" s="111"/>
    </row>
    <row r="2175">
      <c r="A2175" s="89"/>
      <c r="B2175" s="111"/>
      <c r="C2175" s="111"/>
      <c r="D2175" s="111"/>
      <c r="E2175" s="91"/>
      <c r="F2175" s="111"/>
      <c r="G2175" s="111"/>
      <c r="H2175" s="111"/>
      <c r="I2175" s="111"/>
      <c r="J2175" s="111"/>
      <c r="K2175" s="92"/>
      <c r="L2175" s="111"/>
      <c r="M2175" s="111"/>
      <c r="N2175" s="111"/>
      <c r="O2175" s="112"/>
      <c r="P2175" s="111"/>
      <c r="Q2175" s="111"/>
      <c r="R2175" s="111"/>
      <c r="S2175" s="111"/>
      <c r="T2175" s="111"/>
      <c r="U2175" s="111"/>
      <c r="V2175" s="111"/>
      <c r="W2175" s="111"/>
      <c r="X2175" s="111"/>
      <c r="Y2175" s="111"/>
      <c r="Z2175" s="111"/>
      <c r="AA2175" s="111"/>
      <c r="AB2175" s="111"/>
      <c r="AC2175" s="111"/>
      <c r="AD2175" s="111"/>
      <c r="AE2175" s="111"/>
      <c r="AF2175" s="111"/>
      <c r="AG2175" s="111"/>
      <c r="AH2175" s="111"/>
    </row>
    <row r="2176">
      <c r="A2176" s="89"/>
      <c r="B2176" s="111"/>
      <c r="C2176" s="111"/>
      <c r="D2176" s="111"/>
      <c r="E2176" s="91"/>
      <c r="F2176" s="111"/>
      <c r="G2176" s="111"/>
      <c r="H2176" s="111"/>
      <c r="I2176" s="111"/>
      <c r="J2176" s="111"/>
      <c r="K2176" s="92"/>
      <c r="L2176" s="111"/>
      <c r="M2176" s="111"/>
      <c r="N2176" s="111"/>
      <c r="O2176" s="112"/>
      <c r="P2176" s="111"/>
      <c r="Q2176" s="111"/>
      <c r="R2176" s="111"/>
      <c r="S2176" s="111"/>
      <c r="T2176" s="111"/>
      <c r="U2176" s="111"/>
      <c r="V2176" s="111"/>
      <c r="W2176" s="111"/>
      <c r="X2176" s="111"/>
      <c r="Y2176" s="111"/>
      <c r="Z2176" s="111"/>
      <c r="AA2176" s="111"/>
      <c r="AB2176" s="111"/>
      <c r="AC2176" s="111"/>
      <c r="AD2176" s="111"/>
      <c r="AE2176" s="111"/>
      <c r="AF2176" s="111"/>
      <c r="AG2176" s="111"/>
      <c r="AH2176" s="111"/>
    </row>
    <row r="2177">
      <c r="A2177" s="89"/>
      <c r="B2177" s="111"/>
      <c r="C2177" s="111"/>
      <c r="D2177" s="111"/>
      <c r="E2177" s="91"/>
      <c r="F2177" s="111"/>
      <c r="G2177" s="111"/>
      <c r="H2177" s="111"/>
      <c r="I2177" s="111"/>
      <c r="J2177" s="111"/>
      <c r="K2177" s="92"/>
      <c r="L2177" s="111"/>
      <c r="M2177" s="111"/>
      <c r="N2177" s="111"/>
      <c r="O2177" s="112"/>
      <c r="P2177" s="111"/>
      <c r="Q2177" s="111"/>
      <c r="R2177" s="111"/>
      <c r="S2177" s="111"/>
      <c r="T2177" s="111"/>
      <c r="U2177" s="111"/>
      <c r="V2177" s="111"/>
      <c r="W2177" s="111"/>
      <c r="X2177" s="111"/>
      <c r="Y2177" s="111"/>
      <c r="Z2177" s="111"/>
      <c r="AA2177" s="111"/>
      <c r="AB2177" s="111"/>
      <c r="AC2177" s="111"/>
      <c r="AD2177" s="111"/>
      <c r="AE2177" s="111"/>
      <c r="AF2177" s="111"/>
      <c r="AG2177" s="111"/>
      <c r="AH2177" s="111"/>
    </row>
    <row r="2178">
      <c r="A2178" s="89"/>
      <c r="B2178" s="111"/>
      <c r="C2178" s="111"/>
      <c r="D2178" s="111"/>
      <c r="E2178" s="91"/>
      <c r="F2178" s="111"/>
      <c r="G2178" s="111"/>
      <c r="H2178" s="111"/>
      <c r="I2178" s="111"/>
      <c r="J2178" s="111"/>
      <c r="K2178" s="92"/>
      <c r="L2178" s="111"/>
      <c r="M2178" s="111"/>
      <c r="N2178" s="111"/>
      <c r="O2178" s="112"/>
      <c r="P2178" s="111"/>
      <c r="Q2178" s="111"/>
      <c r="R2178" s="111"/>
      <c r="S2178" s="111"/>
      <c r="T2178" s="111"/>
      <c r="U2178" s="111"/>
      <c r="V2178" s="111"/>
      <c r="W2178" s="111"/>
      <c r="X2178" s="111"/>
      <c r="Y2178" s="111"/>
      <c r="Z2178" s="111"/>
      <c r="AA2178" s="111"/>
      <c r="AB2178" s="111"/>
      <c r="AC2178" s="111"/>
      <c r="AD2178" s="111"/>
      <c r="AE2178" s="111"/>
      <c r="AF2178" s="111"/>
      <c r="AG2178" s="111"/>
      <c r="AH2178" s="111"/>
    </row>
    <row r="2179">
      <c r="A2179" s="89"/>
      <c r="B2179" s="111"/>
      <c r="C2179" s="111"/>
      <c r="D2179" s="111"/>
      <c r="E2179" s="91"/>
      <c r="F2179" s="111"/>
      <c r="G2179" s="111"/>
      <c r="H2179" s="111"/>
      <c r="I2179" s="111"/>
      <c r="J2179" s="111"/>
      <c r="K2179" s="92"/>
      <c r="L2179" s="111"/>
      <c r="M2179" s="111"/>
      <c r="N2179" s="111"/>
      <c r="O2179" s="112"/>
      <c r="P2179" s="111"/>
      <c r="Q2179" s="111"/>
      <c r="R2179" s="111"/>
      <c r="S2179" s="111"/>
      <c r="T2179" s="111"/>
      <c r="U2179" s="111"/>
      <c r="V2179" s="111"/>
      <c r="W2179" s="111"/>
      <c r="X2179" s="111"/>
      <c r="Y2179" s="111"/>
      <c r="Z2179" s="111"/>
      <c r="AA2179" s="111"/>
      <c r="AB2179" s="111"/>
      <c r="AC2179" s="111"/>
      <c r="AD2179" s="111"/>
      <c r="AE2179" s="111"/>
      <c r="AF2179" s="111"/>
      <c r="AG2179" s="111"/>
      <c r="AH2179" s="111"/>
    </row>
    <row r="2180">
      <c r="A2180" s="89"/>
      <c r="B2180" s="111"/>
      <c r="C2180" s="111"/>
      <c r="D2180" s="111"/>
      <c r="E2180" s="91"/>
      <c r="F2180" s="111"/>
      <c r="G2180" s="111"/>
      <c r="H2180" s="111"/>
      <c r="I2180" s="111"/>
      <c r="J2180" s="111"/>
      <c r="K2180" s="92"/>
      <c r="L2180" s="111"/>
      <c r="M2180" s="111"/>
      <c r="N2180" s="111"/>
      <c r="O2180" s="112"/>
      <c r="P2180" s="111"/>
      <c r="Q2180" s="111"/>
      <c r="R2180" s="111"/>
      <c r="S2180" s="111"/>
      <c r="T2180" s="111"/>
      <c r="U2180" s="111"/>
      <c r="V2180" s="111"/>
      <c r="W2180" s="111"/>
      <c r="X2180" s="111"/>
      <c r="Y2180" s="111"/>
      <c r="Z2180" s="111"/>
      <c r="AA2180" s="111"/>
      <c r="AB2180" s="111"/>
      <c r="AC2180" s="111"/>
      <c r="AD2180" s="111"/>
      <c r="AE2180" s="111"/>
      <c r="AF2180" s="111"/>
      <c r="AG2180" s="111"/>
      <c r="AH2180" s="111"/>
    </row>
    <row r="2181">
      <c r="A2181" s="89"/>
      <c r="B2181" s="111"/>
      <c r="C2181" s="111"/>
      <c r="D2181" s="111"/>
      <c r="E2181" s="91"/>
      <c r="F2181" s="111"/>
      <c r="G2181" s="111"/>
      <c r="H2181" s="111"/>
      <c r="I2181" s="111"/>
      <c r="J2181" s="111"/>
      <c r="K2181" s="92"/>
      <c r="L2181" s="111"/>
      <c r="M2181" s="111"/>
      <c r="N2181" s="111"/>
      <c r="O2181" s="112"/>
      <c r="P2181" s="111"/>
      <c r="Q2181" s="111"/>
      <c r="R2181" s="111"/>
      <c r="S2181" s="111"/>
      <c r="T2181" s="111"/>
      <c r="U2181" s="111"/>
      <c r="V2181" s="111"/>
      <c r="W2181" s="111"/>
      <c r="X2181" s="111"/>
      <c r="Y2181" s="111"/>
      <c r="Z2181" s="111"/>
      <c r="AA2181" s="111"/>
      <c r="AB2181" s="111"/>
      <c r="AC2181" s="111"/>
      <c r="AD2181" s="111"/>
      <c r="AE2181" s="111"/>
      <c r="AF2181" s="111"/>
      <c r="AG2181" s="111"/>
      <c r="AH2181" s="111"/>
    </row>
    <row r="2182">
      <c r="A2182" s="89"/>
      <c r="B2182" s="111"/>
      <c r="C2182" s="111"/>
      <c r="D2182" s="111"/>
      <c r="E2182" s="91"/>
      <c r="F2182" s="111"/>
      <c r="G2182" s="111"/>
      <c r="H2182" s="111"/>
      <c r="I2182" s="111"/>
      <c r="J2182" s="111"/>
      <c r="K2182" s="92"/>
      <c r="L2182" s="111"/>
      <c r="M2182" s="111"/>
      <c r="N2182" s="111"/>
      <c r="O2182" s="112"/>
      <c r="P2182" s="111"/>
      <c r="Q2182" s="111"/>
      <c r="R2182" s="111"/>
      <c r="S2182" s="111"/>
      <c r="T2182" s="111"/>
      <c r="U2182" s="111"/>
      <c r="V2182" s="111"/>
      <c r="W2182" s="111"/>
      <c r="X2182" s="111"/>
      <c r="Y2182" s="111"/>
      <c r="Z2182" s="111"/>
      <c r="AA2182" s="111"/>
      <c r="AB2182" s="111"/>
      <c r="AC2182" s="111"/>
      <c r="AD2182" s="111"/>
      <c r="AE2182" s="111"/>
      <c r="AF2182" s="111"/>
      <c r="AG2182" s="111"/>
      <c r="AH2182" s="111"/>
    </row>
    <row r="2183">
      <c r="A2183" s="89"/>
      <c r="B2183" s="111"/>
      <c r="C2183" s="111"/>
      <c r="D2183" s="111"/>
      <c r="E2183" s="91"/>
      <c r="F2183" s="111"/>
      <c r="G2183" s="111"/>
      <c r="H2183" s="111"/>
      <c r="I2183" s="111"/>
      <c r="J2183" s="111"/>
      <c r="K2183" s="92"/>
      <c r="L2183" s="111"/>
      <c r="M2183" s="111"/>
      <c r="N2183" s="111"/>
      <c r="O2183" s="112"/>
      <c r="P2183" s="111"/>
      <c r="Q2183" s="111"/>
      <c r="R2183" s="111"/>
      <c r="S2183" s="111"/>
      <c r="T2183" s="111"/>
      <c r="U2183" s="111"/>
      <c r="V2183" s="111"/>
      <c r="W2183" s="111"/>
      <c r="X2183" s="111"/>
      <c r="Y2183" s="111"/>
      <c r="Z2183" s="111"/>
      <c r="AA2183" s="111"/>
      <c r="AB2183" s="111"/>
      <c r="AC2183" s="111"/>
      <c r="AD2183" s="111"/>
      <c r="AE2183" s="111"/>
      <c r="AF2183" s="111"/>
      <c r="AG2183" s="111"/>
      <c r="AH2183" s="111"/>
    </row>
    <row r="2184">
      <c r="A2184" s="89"/>
      <c r="B2184" s="111"/>
      <c r="C2184" s="111"/>
      <c r="D2184" s="111"/>
      <c r="E2184" s="91"/>
      <c r="F2184" s="111"/>
      <c r="G2184" s="111"/>
      <c r="H2184" s="111"/>
      <c r="I2184" s="111"/>
      <c r="J2184" s="111"/>
      <c r="K2184" s="92"/>
      <c r="L2184" s="111"/>
      <c r="M2184" s="111"/>
      <c r="N2184" s="111"/>
      <c r="O2184" s="112"/>
      <c r="P2184" s="111"/>
      <c r="Q2184" s="111"/>
      <c r="R2184" s="111"/>
      <c r="S2184" s="111"/>
      <c r="T2184" s="111"/>
      <c r="U2184" s="111"/>
      <c r="V2184" s="111"/>
      <c r="W2184" s="111"/>
      <c r="X2184" s="111"/>
      <c r="Y2184" s="111"/>
      <c r="Z2184" s="111"/>
      <c r="AA2184" s="111"/>
      <c r="AB2184" s="111"/>
      <c r="AC2184" s="111"/>
      <c r="AD2184" s="111"/>
      <c r="AE2184" s="111"/>
      <c r="AF2184" s="111"/>
      <c r="AG2184" s="111"/>
      <c r="AH2184" s="111"/>
    </row>
    <row r="2185">
      <c r="A2185" s="89"/>
      <c r="B2185" s="111"/>
      <c r="C2185" s="111"/>
      <c r="D2185" s="111"/>
      <c r="E2185" s="91"/>
      <c r="F2185" s="111"/>
      <c r="G2185" s="111"/>
      <c r="H2185" s="111"/>
      <c r="I2185" s="111"/>
      <c r="J2185" s="111"/>
      <c r="K2185" s="92"/>
      <c r="L2185" s="111"/>
      <c r="M2185" s="111"/>
      <c r="N2185" s="111"/>
      <c r="O2185" s="112"/>
      <c r="P2185" s="111"/>
      <c r="Q2185" s="111"/>
      <c r="R2185" s="111"/>
      <c r="S2185" s="111"/>
      <c r="T2185" s="111"/>
      <c r="U2185" s="111"/>
      <c r="V2185" s="111"/>
      <c r="W2185" s="111"/>
      <c r="X2185" s="111"/>
      <c r="Y2185" s="111"/>
      <c r="Z2185" s="111"/>
      <c r="AA2185" s="111"/>
      <c r="AB2185" s="111"/>
      <c r="AC2185" s="111"/>
      <c r="AD2185" s="111"/>
      <c r="AE2185" s="111"/>
      <c r="AF2185" s="111"/>
      <c r="AG2185" s="111"/>
      <c r="AH2185" s="111"/>
    </row>
    <row r="2186">
      <c r="A2186" s="89"/>
      <c r="B2186" s="111"/>
      <c r="C2186" s="111"/>
      <c r="D2186" s="111"/>
      <c r="E2186" s="91"/>
      <c r="F2186" s="111"/>
      <c r="G2186" s="111"/>
      <c r="H2186" s="111"/>
      <c r="I2186" s="111"/>
      <c r="J2186" s="111"/>
      <c r="K2186" s="92"/>
      <c r="L2186" s="111"/>
      <c r="M2186" s="111"/>
      <c r="N2186" s="111"/>
      <c r="O2186" s="112"/>
      <c r="P2186" s="111"/>
      <c r="Q2186" s="111"/>
      <c r="R2186" s="111"/>
      <c r="S2186" s="111"/>
      <c r="T2186" s="111"/>
      <c r="U2186" s="111"/>
      <c r="V2186" s="111"/>
      <c r="W2186" s="111"/>
      <c r="X2186" s="111"/>
      <c r="Y2186" s="111"/>
      <c r="Z2186" s="111"/>
      <c r="AA2186" s="111"/>
      <c r="AB2186" s="111"/>
      <c r="AC2186" s="111"/>
      <c r="AD2186" s="111"/>
      <c r="AE2186" s="111"/>
      <c r="AF2186" s="111"/>
      <c r="AG2186" s="111"/>
      <c r="AH2186" s="111"/>
    </row>
    <row r="2187">
      <c r="A2187" s="89"/>
      <c r="B2187" s="111"/>
      <c r="C2187" s="111"/>
      <c r="D2187" s="111"/>
      <c r="E2187" s="91"/>
      <c r="F2187" s="111"/>
      <c r="G2187" s="111"/>
      <c r="H2187" s="111"/>
      <c r="I2187" s="111"/>
      <c r="J2187" s="111"/>
      <c r="K2187" s="92"/>
      <c r="L2187" s="111"/>
      <c r="M2187" s="111"/>
      <c r="N2187" s="111"/>
      <c r="O2187" s="112"/>
      <c r="P2187" s="111"/>
      <c r="Q2187" s="111"/>
      <c r="R2187" s="111"/>
      <c r="S2187" s="111"/>
      <c r="T2187" s="111"/>
      <c r="U2187" s="111"/>
      <c r="V2187" s="111"/>
      <c r="W2187" s="111"/>
      <c r="X2187" s="111"/>
      <c r="Y2187" s="111"/>
      <c r="Z2187" s="111"/>
      <c r="AA2187" s="111"/>
      <c r="AB2187" s="111"/>
      <c r="AC2187" s="111"/>
      <c r="AD2187" s="111"/>
      <c r="AE2187" s="111"/>
      <c r="AF2187" s="111"/>
      <c r="AG2187" s="111"/>
      <c r="AH2187" s="111"/>
    </row>
    <row r="2188">
      <c r="A2188" s="89"/>
      <c r="B2188" s="111"/>
      <c r="C2188" s="111"/>
      <c r="D2188" s="111"/>
      <c r="E2188" s="91"/>
      <c r="F2188" s="111"/>
      <c r="G2188" s="111"/>
      <c r="H2188" s="111"/>
      <c r="I2188" s="111"/>
      <c r="J2188" s="111"/>
      <c r="K2188" s="92"/>
      <c r="L2188" s="111"/>
      <c r="M2188" s="111"/>
      <c r="N2188" s="111"/>
      <c r="O2188" s="112"/>
      <c r="P2188" s="111"/>
      <c r="Q2188" s="111"/>
      <c r="R2188" s="111"/>
      <c r="S2188" s="111"/>
      <c r="T2188" s="111"/>
      <c r="U2188" s="111"/>
      <c r="V2188" s="111"/>
      <c r="W2188" s="111"/>
      <c r="X2188" s="111"/>
      <c r="Y2188" s="111"/>
      <c r="Z2188" s="111"/>
      <c r="AA2188" s="111"/>
      <c r="AB2188" s="111"/>
      <c r="AC2188" s="111"/>
      <c r="AD2188" s="111"/>
      <c r="AE2188" s="111"/>
      <c r="AF2188" s="111"/>
      <c r="AG2188" s="111"/>
      <c r="AH2188" s="111"/>
    </row>
    <row r="2189">
      <c r="A2189" s="89"/>
      <c r="B2189" s="111"/>
      <c r="C2189" s="111"/>
      <c r="D2189" s="111"/>
      <c r="E2189" s="91"/>
      <c r="F2189" s="111"/>
      <c r="G2189" s="111"/>
      <c r="H2189" s="111"/>
      <c r="I2189" s="111"/>
      <c r="J2189" s="111"/>
      <c r="K2189" s="92"/>
      <c r="L2189" s="111"/>
      <c r="M2189" s="111"/>
      <c r="N2189" s="111"/>
      <c r="O2189" s="112"/>
      <c r="P2189" s="111"/>
      <c r="Q2189" s="111"/>
      <c r="R2189" s="111"/>
      <c r="S2189" s="111"/>
      <c r="T2189" s="111"/>
      <c r="U2189" s="111"/>
      <c r="V2189" s="111"/>
      <c r="W2189" s="111"/>
      <c r="X2189" s="111"/>
      <c r="Y2189" s="111"/>
      <c r="Z2189" s="111"/>
      <c r="AA2189" s="111"/>
      <c r="AB2189" s="111"/>
      <c r="AC2189" s="111"/>
      <c r="AD2189" s="111"/>
      <c r="AE2189" s="111"/>
      <c r="AF2189" s="111"/>
      <c r="AG2189" s="111"/>
      <c r="AH2189" s="111"/>
    </row>
    <row r="2190">
      <c r="A2190" s="89"/>
      <c r="B2190" s="111"/>
      <c r="C2190" s="111"/>
      <c r="D2190" s="111"/>
      <c r="E2190" s="91"/>
      <c r="F2190" s="111"/>
      <c r="G2190" s="111"/>
      <c r="H2190" s="111"/>
      <c r="I2190" s="111"/>
      <c r="J2190" s="111"/>
      <c r="K2190" s="92"/>
      <c r="L2190" s="111"/>
      <c r="M2190" s="111"/>
      <c r="N2190" s="111"/>
      <c r="O2190" s="112"/>
      <c r="P2190" s="111"/>
      <c r="Q2190" s="111"/>
      <c r="R2190" s="111"/>
      <c r="S2190" s="111"/>
      <c r="T2190" s="111"/>
      <c r="U2190" s="111"/>
      <c r="V2190" s="111"/>
      <c r="W2190" s="111"/>
      <c r="X2190" s="111"/>
      <c r="Y2190" s="111"/>
      <c r="Z2190" s="111"/>
      <c r="AA2190" s="111"/>
      <c r="AB2190" s="111"/>
      <c r="AC2190" s="111"/>
      <c r="AD2190" s="111"/>
      <c r="AE2190" s="111"/>
      <c r="AF2190" s="111"/>
      <c r="AG2190" s="111"/>
      <c r="AH2190" s="111"/>
    </row>
    <row r="2191">
      <c r="A2191" s="89"/>
      <c r="B2191" s="111"/>
      <c r="C2191" s="111"/>
      <c r="D2191" s="111"/>
      <c r="E2191" s="91"/>
      <c r="F2191" s="111"/>
      <c r="G2191" s="111"/>
      <c r="H2191" s="111"/>
      <c r="I2191" s="111"/>
      <c r="J2191" s="111"/>
      <c r="K2191" s="92"/>
      <c r="L2191" s="111"/>
      <c r="M2191" s="111"/>
      <c r="N2191" s="111"/>
      <c r="O2191" s="112"/>
      <c r="P2191" s="111"/>
      <c r="Q2191" s="111"/>
      <c r="R2191" s="111"/>
      <c r="S2191" s="111"/>
      <c r="T2191" s="111"/>
      <c r="U2191" s="111"/>
      <c r="V2191" s="111"/>
      <c r="W2191" s="111"/>
      <c r="X2191" s="111"/>
      <c r="Y2191" s="111"/>
      <c r="Z2191" s="111"/>
      <c r="AA2191" s="111"/>
      <c r="AB2191" s="111"/>
      <c r="AC2191" s="111"/>
      <c r="AD2191" s="111"/>
      <c r="AE2191" s="111"/>
      <c r="AF2191" s="111"/>
      <c r="AG2191" s="111"/>
      <c r="AH2191" s="111"/>
    </row>
    <row r="2192">
      <c r="A2192" s="89"/>
      <c r="B2192" s="111"/>
      <c r="C2192" s="111"/>
      <c r="D2192" s="111"/>
      <c r="E2192" s="91"/>
      <c r="F2192" s="111"/>
      <c r="G2192" s="111"/>
      <c r="H2192" s="111"/>
      <c r="I2192" s="111"/>
      <c r="J2192" s="111"/>
      <c r="K2192" s="92"/>
      <c r="L2192" s="111"/>
      <c r="M2192" s="111"/>
      <c r="N2192" s="111"/>
      <c r="O2192" s="112"/>
      <c r="P2192" s="111"/>
      <c r="Q2192" s="111"/>
      <c r="R2192" s="111"/>
      <c r="S2192" s="111"/>
      <c r="T2192" s="111"/>
      <c r="U2192" s="111"/>
      <c r="V2192" s="111"/>
      <c r="W2192" s="111"/>
      <c r="X2192" s="111"/>
      <c r="Y2192" s="111"/>
      <c r="Z2192" s="111"/>
      <c r="AA2192" s="111"/>
      <c r="AB2192" s="111"/>
      <c r="AC2192" s="111"/>
      <c r="AD2192" s="111"/>
      <c r="AE2192" s="111"/>
      <c r="AF2192" s="111"/>
      <c r="AG2192" s="111"/>
      <c r="AH2192" s="111"/>
    </row>
    <row r="2193">
      <c r="A2193" s="89"/>
      <c r="B2193" s="111"/>
      <c r="C2193" s="111"/>
      <c r="D2193" s="111"/>
      <c r="E2193" s="91"/>
      <c r="F2193" s="111"/>
      <c r="G2193" s="111"/>
      <c r="H2193" s="111"/>
      <c r="I2193" s="111"/>
      <c r="J2193" s="111"/>
      <c r="K2193" s="92"/>
      <c r="L2193" s="111"/>
      <c r="M2193" s="111"/>
      <c r="N2193" s="111"/>
      <c r="O2193" s="112"/>
      <c r="P2193" s="111"/>
      <c r="Q2193" s="111"/>
      <c r="R2193" s="111"/>
      <c r="S2193" s="111"/>
      <c r="T2193" s="111"/>
      <c r="U2193" s="111"/>
      <c r="V2193" s="111"/>
      <c r="W2193" s="111"/>
      <c r="X2193" s="111"/>
      <c r="Y2193" s="111"/>
      <c r="Z2193" s="111"/>
      <c r="AA2193" s="111"/>
      <c r="AB2193" s="111"/>
      <c r="AC2193" s="111"/>
      <c r="AD2193" s="111"/>
      <c r="AE2193" s="111"/>
      <c r="AF2193" s="111"/>
      <c r="AG2193" s="111"/>
      <c r="AH2193" s="111"/>
    </row>
    <row r="2194">
      <c r="A2194" s="89"/>
      <c r="B2194" s="111"/>
      <c r="C2194" s="111"/>
      <c r="D2194" s="111"/>
      <c r="E2194" s="91"/>
      <c r="F2194" s="111"/>
      <c r="G2194" s="111"/>
      <c r="H2194" s="111"/>
      <c r="I2194" s="111"/>
      <c r="J2194" s="111"/>
      <c r="K2194" s="92"/>
      <c r="L2194" s="111"/>
      <c r="M2194" s="111"/>
      <c r="N2194" s="111"/>
      <c r="O2194" s="112"/>
      <c r="P2194" s="111"/>
      <c r="Q2194" s="111"/>
      <c r="R2194" s="111"/>
      <c r="S2194" s="111"/>
      <c r="T2194" s="111"/>
      <c r="U2194" s="111"/>
      <c r="V2194" s="111"/>
      <c r="W2194" s="111"/>
      <c r="X2194" s="111"/>
      <c r="Y2194" s="111"/>
      <c r="Z2194" s="111"/>
      <c r="AA2194" s="111"/>
      <c r="AB2194" s="111"/>
      <c r="AC2194" s="111"/>
      <c r="AD2194" s="111"/>
      <c r="AE2194" s="111"/>
      <c r="AF2194" s="111"/>
      <c r="AG2194" s="111"/>
      <c r="AH2194" s="111"/>
    </row>
    <row r="2195">
      <c r="A2195" s="89"/>
      <c r="B2195" s="111"/>
      <c r="C2195" s="111"/>
      <c r="D2195" s="111"/>
      <c r="E2195" s="91"/>
      <c r="F2195" s="111"/>
      <c r="G2195" s="111"/>
      <c r="H2195" s="111"/>
      <c r="I2195" s="111"/>
      <c r="J2195" s="111"/>
      <c r="K2195" s="92"/>
      <c r="L2195" s="111"/>
      <c r="M2195" s="111"/>
      <c r="N2195" s="111"/>
      <c r="O2195" s="112"/>
      <c r="P2195" s="111"/>
      <c r="Q2195" s="111"/>
      <c r="R2195" s="111"/>
      <c r="S2195" s="111"/>
      <c r="T2195" s="111"/>
      <c r="U2195" s="111"/>
      <c r="V2195" s="111"/>
      <c r="W2195" s="111"/>
      <c r="X2195" s="111"/>
      <c r="Y2195" s="111"/>
      <c r="Z2195" s="111"/>
      <c r="AA2195" s="111"/>
      <c r="AB2195" s="111"/>
      <c r="AC2195" s="111"/>
      <c r="AD2195" s="111"/>
      <c r="AE2195" s="111"/>
      <c r="AF2195" s="111"/>
      <c r="AG2195" s="111"/>
      <c r="AH2195" s="111"/>
    </row>
    <row r="2196">
      <c r="A2196" s="89"/>
      <c r="B2196" s="111"/>
      <c r="C2196" s="111"/>
      <c r="D2196" s="111"/>
      <c r="E2196" s="91"/>
      <c r="F2196" s="111"/>
      <c r="G2196" s="111"/>
      <c r="H2196" s="111"/>
      <c r="I2196" s="111"/>
      <c r="J2196" s="111"/>
      <c r="K2196" s="92"/>
      <c r="L2196" s="111"/>
      <c r="M2196" s="111"/>
      <c r="N2196" s="111"/>
      <c r="O2196" s="112"/>
      <c r="P2196" s="111"/>
      <c r="Q2196" s="111"/>
      <c r="R2196" s="111"/>
      <c r="S2196" s="111"/>
      <c r="T2196" s="111"/>
      <c r="U2196" s="111"/>
      <c r="V2196" s="111"/>
      <c r="W2196" s="111"/>
      <c r="X2196" s="111"/>
      <c r="Y2196" s="111"/>
      <c r="Z2196" s="111"/>
      <c r="AA2196" s="111"/>
      <c r="AB2196" s="111"/>
      <c r="AC2196" s="111"/>
      <c r="AD2196" s="111"/>
      <c r="AE2196" s="111"/>
      <c r="AF2196" s="111"/>
      <c r="AG2196" s="111"/>
      <c r="AH2196" s="111"/>
    </row>
    <row r="2197">
      <c r="A2197" s="89"/>
      <c r="B2197" s="111"/>
      <c r="C2197" s="111"/>
      <c r="D2197" s="111"/>
      <c r="E2197" s="91"/>
      <c r="F2197" s="111"/>
      <c r="G2197" s="111"/>
      <c r="H2197" s="111"/>
      <c r="I2197" s="111"/>
      <c r="J2197" s="111"/>
      <c r="K2197" s="92"/>
      <c r="L2197" s="111"/>
      <c r="M2197" s="111"/>
      <c r="N2197" s="111"/>
      <c r="O2197" s="112"/>
      <c r="P2197" s="111"/>
      <c r="Q2197" s="111"/>
      <c r="R2197" s="111"/>
      <c r="S2197" s="111"/>
      <c r="T2197" s="111"/>
      <c r="U2197" s="111"/>
      <c r="V2197" s="111"/>
      <c r="W2197" s="111"/>
      <c r="X2197" s="111"/>
      <c r="Y2197" s="111"/>
      <c r="Z2197" s="111"/>
      <c r="AA2197" s="111"/>
      <c r="AB2197" s="111"/>
      <c r="AC2197" s="111"/>
      <c r="AD2197" s="111"/>
      <c r="AE2197" s="111"/>
      <c r="AF2197" s="111"/>
      <c r="AG2197" s="111"/>
      <c r="AH2197" s="111"/>
    </row>
    <row r="2198">
      <c r="A2198" s="89"/>
      <c r="B2198" s="111"/>
      <c r="C2198" s="111"/>
      <c r="D2198" s="111"/>
      <c r="E2198" s="91"/>
      <c r="F2198" s="111"/>
      <c r="G2198" s="111"/>
      <c r="H2198" s="111"/>
      <c r="I2198" s="111"/>
      <c r="J2198" s="111"/>
      <c r="K2198" s="92"/>
      <c r="L2198" s="111"/>
      <c r="M2198" s="111"/>
      <c r="N2198" s="111"/>
      <c r="O2198" s="112"/>
      <c r="P2198" s="111"/>
      <c r="Q2198" s="111"/>
      <c r="R2198" s="111"/>
      <c r="S2198" s="111"/>
      <c r="T2198" s="111"/>
      <c r="U2198" s="111"/>
      <c r="V2198" s="111"/>
      <c r="W2198" s="111"/>
      <c r="X2198" s="111"/>
      <c r="Y2198" s="111"/>
      <c r="Z2198" s="111"/>
      <c r="AA2198" s="111"/>
      <c r="AB2198" s="111"/>
      <c r="AC2198" s="111"/>
      <c r="AD2198" s="111"/>
      <c r="AE2198" s="111"/>
      <c r="AF2198" s="111"/>
      <c r="AG2198" s="111"/>
      <c r="AH2198" s="111"/>
    </row>
    <row r="2199">
      <c r="A2199" s="89"/>
      <c r="B2199" s="111"/>
      <c r="C2199" s="111"/>
      <c r="D2199" s="111"/>
      <c r="E2199" s="91"/>
      <c r="F2199" s="111"/>
      <c r="G2199" s="111"/>
      <c r="H2199" s="111"/>
      <c r="I2199" s="111"/>
      <c r="J2199" s="111"/>
      <c r="K2199" s="92"/>
      <c r="L2199" s="111"/>
      <c r="M2199" s="111"/>
      <c r="N2199" s="111"/>
      <c r="O2199" s="112"/>
      <c r="P2199" s="111"/>
      <c r="Q2199" s="111"/>
      <c r="R2199" s="111"/>
      <c r="S2199" s="111"/>
      <c r="T2199" s="111"/>
      <c r="U2199" s="111"/>
      <c r="V2199" s="111"/>
      <c r="W2199" s="111"/>
      <c r="X2199" s="111"/>
      <c r="Y2199" s="111"/>
      <c r="Z2199" s="111"/>
      <c r="AA2199" s="111"/>
      <c r="AB2199" s="111"/>
      <c r="AC2199" s="111"/>
      <c r="AD2199" s="111"/>
      <c r="AE2199" s="111"/>
      <c r="AF2199" s="111"/>
      <c r="AG2199" s="111"/>
      <c r="AH2199" s="111"/>
    </row>
    <row r="2200">
      <c r="A2200" s="89"/>
      <c r="B2200" s="111"/>
      <c r="C2200" s="111"/>
      <c r="D2200" s="111"/>
      <c r="E2200" s="91"/>
      <c r="F2200" s="111"/>
      <c r="G2200" s="111"/>
      <c r="H2200" s="111"/>
      <c r="I2200" s="111"/>
      <c r="J2200" s="111"/>
      <c r="K2200" s="92"/>
      <c r="L2200" s="111"/>
      <c r="M2200" s="111"/>
      <c r="N2200" s="111"/>
      <c r="O2200" s="112"/>
      <c r="P2200" s="111"/>
      <c r="Q2200" s="111"/>
      <c r="R2200" s="111"/>
      <c r="S2200" s="111"/>
      <c r="T2200" s="111"/>
      <c r="U2200" s="111"/>
      <c r="V2200" s="111"/>
      <c r="W2200" s="111"/>
      <c r="X2200" s="111"/>
      <c r="Y2200" s="111"/>
      <c r="Z2200" s="111"/>
      <c r="AA2200" s="111"/>
      <c r="AB2200" s="111"/>
      <c r="AC2200" s="111"/>
      <c r="AD2200" s="111"/>
      <c r="AE2200" s="111"/>
      <c r="AF2200" s="111"/>
      <c r="AG2200" s="111"/>
      <c r="AH2200" s="111"/>
    </row>
    <row r="2201">
      <c r="A2201" s="89"/>
      <c r="B2201" s="111"/>
      <c r="C2201" s="111"/>
      <c r="D2201" s="111"/>
      <c r="E2201" s="91"/>
      <c r="F2201" s="111"/>
      <c r="G2201" s="111"/>
      <c r="H2201" s="111"/>
      <c r="I2201" s="111"/>
      <c r="J2201" s="111"/>
      <c r="K2201" s="92"/>
      <c r="L2201" s="111"/>
      <c r="M2201" s="111"/>
      <c r="N2201" s="111"/>
      <c r="O2201" s="112"/>
      <c r="P2201" s="111"/>
      <c r="Q2201" s="111"/>
      <c r="R2201" s="111"/>
      <c r="S2201" s="111"/>
      <c r="T2201" s="111"/>
      <c r="U2201" s="111"/>
      <c r="V2201" s="111"/>
      <c r="W2201" s="111"/>
      <c r="X2201" s="111"/>
      <c r="Y2201" s="111"/>
      <c r="Z2201" s="111"/>
      <c r="AA2201" s="111"/>
      <c r="AB2201" s="111"/>
      <c r="AC2201" s="111"/>
      <c r="AD2201" s="111"/>
      <c r="AE2201" s="111"/>
      <c r="AF2201" s="111"/>
      <c r="AG2201" s="111"/>
      <c r="AH2201" s="111"/>
    </row>
    <row r="2202">
      <c r="A2202" s="89"/>
      <c r="B2202" s="111"/>
      <c r="C2202" s="111"/>
      <c r="D2202" s="111"/>
      <c r="E2202" s="91"/>
      <c r="F2202" s="111"/>
      <c r="G2202" s="111"/>
      <c r="H2202" s="111"/>
      <c r="I2202" s="111"/>
      <c r="J2202" s="111"/>
      <c r="K2202" s="92"/>
      <c r="L2202" s="111"/>
      <c r="M2202" s="111"/>
      <c r="N2202" s="111"/>
      <c r="O2202" s="112"/>
      <c r="P2202" s="111"/>
      <c r="Q2202" s="111"/>
      <c r="R2202" s="111"/>
      <c r="S2202" s="111"/>
      <c r="T2202" s="111"/>
      <c r="U2202" s="111"/>
      <c r="V2202" s="111"/>
      <c r="W2202" s="111"/>
      <c r="X2202" s="111"/>
      <c r="Y2202" s="111"/>
      <c r="Z2202" s="111"/>
      <c r="AA2202" s="111"/>
      <c r="AB2202" s="111"/>
      <c r="AC2202" s="111"/>
      <c r="AD2202" s="111"/>
      <c r="AE2202" s="111"/>
      <c r="AF2202" s="111"/>
      <c r="AG2202" s="111"/>
      <c r="AH2202" s="111"/>
    </row>
    <row r="2203">
      <c r="A2203" s="89"/>
      <c r="B2203" s="111"/>
      <c r="C2203" s="111"/>
      <c r="D2203" s="111"/>
      <c r="E2203" s="91"/>
      <c r="F2203" s="111"/>
      <c r="G2203" s="111"/>
      <c r="H2203" s="111"/>
      <c r="I2203" s="111"/>
      <c r="J2203" s="111"/>
      <c r="K2203" s="92"/>
      <c r="L2203" s="111"/>
      <c r="M2203" s="111"/>
      <c r="N2203" s="111"/>
      <c r="O2203" s="112"/>
      <c r="P2203" s="111"/>
      <c r="Q2203" s="111"/>
      <c r="R2203" s="111"/>
      <c r="S2203" s="111"/>
      <c r="T2203" s="111"/>
      <c r="U2203" s="111"/>
      <c r="V2203" s="111"/>
      <c r="W2203" s="111"/>
      <c r="X2203" s="111"/>
      <c r="Y2203" s="111"/>
      <c r="Z2203" s="111"/>
      <c r="AA2203" s="111"/>
      <c r="AB2203" s="111"/>
      <c r="AC2203" s="111"/>
      <c r="AD2203" s="111"/>
      <c r="AE2203" s="111"/>
      <c r="AF2203" s="111"/>
      <c r="AG2203" s="111"/>
      <c r="AH2203" s="111"/>
    </row>
    <row r="2204">
      <c r="A2204" s="89"/>
      <c r="B2204" s="111"/>
      <c r="C2204" s="111"/>
      <c r="D2204" s="111"/>
      <c r="E2204" s="91"/>
      <c r="F2204" s="111"/>
      <c r="G2204" s="111"/>
      <c r="H2204" s="111"/>
      <c r="I2204" s="111"/>
      <c r="J2204" s="111"/>
      <c r="K2204" s="92"/>
      <c r="L2204" s="111"/>
      <c r="M2204" s="111"/>
      <c r="N2204" s="111"/>
      <c r="O2204" s="112"/>
      <c r="P2204" s="111"/>
      <c r="Q2204" s="111"/>
      <c r="R2204" s="111"/>
      <c r="S2204" s="111"/>
      <c r="T2204" s="111"/>
      <c r="U2204" s="111"/>
      <c r="V2204" s="111"/>
      <c r="W2204" s="111"/>
      <c r="X2204" s="111"/>
      <c r="Y2204" s="111"/>
      <c r="Z2204" s="111"/>
      <c r="AA2204" s="111"/>
      <c r="AB2204" s="111"/>
      <c r="AC2204" s="111"/>
      <c r="AD2204" s="111"/>
      <c r="AE2204" s="111"/>
      <c r="AF2204" s="111"/>
      <c r="AG2204" s="111"/>
      <c r="AH2204" s="111"/>
    </row>
    <row r="2205">
      <c r="A2205" s="89"/>
      <c r="B2205" s="111"/>
      <c r="C2205" s="111"/>
      <c r="D2205" s="111"/>
      <c r="E2205" s="91"/>
      <c r="F2205" s="111"/>
      <c r="G2205" s="111"/>
      <c r="H2205" s="111"/>
      <c r="I2205" s="111"/>
      <c r="J2205" s="111"/>
      <c r="K2205" s="92"/>
      <c r="L2205" s="111"/>
      <c r="M2205" s="111"/>
      <c r="N2205" s="111"/>
      <c r="O2205" s="112"/>
      <c r="P2205" s="111"/>
      <c r="Q2205" s="111"/>
      <c r="R2205" s="111"/>
      <c r="S2205" s="111"/>
      <c r="T2205" s="111"/>
      <c r="U2205" s="111"/>
      <c r="V2205" s="111"/>
      <c r="W2205" s="111"/>
      <c r="X2205" s="111"/>
      <c r="Y2205" s="111"/>
      <c r="Z2205" s="111"/>
      <c r="AA2205" s="111"/>
      <c r="AB2205" s="111"/>
      <c r="AC2205" s="111"/>
      <c r="AD2205" s="111"/>
      <c r="AE2205" s="111"/>
      <c r="AF2205" s="111"/>
      <c r="AG2205" s="111"/>
      <c r="AH2205" s="111"/>
    </row>
    <row r="2206">
      <c r="A2206" s="89"/>
      <c r="B2206" s="111"/>
      <c r="C2206" s="111"/>
      <c r="D2206" s="111"/>
      <c r="E2206" s="91"/>
      <c r="F2206" s="111"/>
      <c r="G2206" s="111"/>
      <c r="H2206" s="111"/>
      <c r="I2206" s="111"/>
      <c r="J2206" s="111"/>
      <c r="K2206" s="92"/>
      <c r="L2206" s="111"/>
      <c r="M2206" s="111"/>
      <c r="N2206" s="111"/>
      <c r="O2206" s="112"/>
      <c r="P2206" s="111"/>
      <c r="Q2206" s="111"/>
      <c r="R2206" s="111"/>
      <c r="S2206" s="111"/>
      <c r="T2206" s="111"/>
      <c r="U2206" s="111"/>
      <c r="V2206" s="111"/>
      <c r="W2206" s="111"/>
      <c r="X2206" s="111"/>
      <c r="Y2206" s="111"/>
      <c r="Z2206" s="111"/>
      <c r="AA2206" s="111"/>
      <c r="AB2206" s="111"/>
      <c r="AC2206" s="111"/>
      <c r="AD2206" s="111"/>
      <c r="AE2206" s="111"/>
      <c r="AF2206" s="111"/>
      <c r="AG2206" s="111"/>
      <c r="AH2206" s="111"/>
    </row>
    <row r="2207">
      <c r="A2207" s="89"/>
      <c r="B2207" s="111"/>
      <c r="C2207" s="111"/>
      <c r="D2207" s="111"/>
      <c r="E2207" s="91"/>
      <c r="F2207" s="111"/>
      <c r="G2207" s="111"/>
      <c r="H2207" s="111"/>
      <c r="I2207" s="111"/>
      <c r="J2207" s="111"/>
      <c r="K2207" s="92"/>
      <c r="L2207" s="111"/>
      <c r="M2207" s="111"/>
      <c r="N2207" s="111"/>
      <c r="O2207" s="112"/>
      <c r="P2207" s="111"/>
      <c r="Q2207" s="111"/>
      <c r="R2207" s="111"/>
      <c r="S2207" s="111"/>
      <c r="T2207" s="111"/>
      <c r="U2207" s="111"/>
      <c r="V2207" s="111"/>
      <c r="W2207" s="111"/>
      <c r="X2207" s="111"/>
      <c r="Y2207" s="111"/>
      <c r="Z2207" s="111"/>
      <c r="AA2207" s="111"/>
      <c r="AB2207" s="111"/>
      <c r="AC2207" s="111"/>
      <c r="AD2207" s="111"/>
      <c r="AE2207" s="111"/>
      <c r="AF2207" s="111"/>
      <c r="AG2207" s="111"/>
      <c r="AH2207" s="111"/>
    </row>
    <row r="2208">
      <c r="A2208" s="89"/>
      <c r="B2208" s="111"/>
      <c r="C2208" s="111"/>
      <c r="D2208" s="111"/>
      <c r="E2208" s="91"/>
      <c r="F2208" s="111"/>
      <c r="G2208" s="111"/>
      <c r="H2208" s="111"/>
      <c r="I2208" s="111"/>
      <c r="J2208" s="111"/>
      <c r="K2208" s="92"/>
      <c r="L2208" s="111"/>
      <c r="M2208" s="111"/>
      <c r="N2208" s="111"/>
      <c r="O2208" s="112"/>
      <c r="P2208" s="111"/>
      <c r="Q2208" s="111"/>
      <c r="R2208" s="111"/>
      <c r="S2208" s="111"/>
      <c r="T2208" s="111"/>
      <c r="U2208" s="111"/>
      <c r="V2208" s="111"/>
      <c r="W2208" s="111"/>
      <c r="X2208" s="111"/>
      <c r="Y2208" s="111"/>
      <c r="Z2208" s="111"/>
      <c r="AA2208" s="111"/>
      <c r="AB2208" s="111"/>
      <c r="AC2208" s="111"/>
      <c r="AD2208" s="111"/>
      <c r="AE2208" s="111"/>
      <c r="AF2208" s="111"/>
      <c r="AG2208" s="111"/>
      <c r="AH2208" s="111"/>
    </row>
    <row r="2209">
      <c r="A2209" s="89"/>
      <c r="B2209" s="111"/>
      <c r="C2209" s="111"/>
      <c r="D2209" s="111"/>
      <c r="E2209" s="91"/>
      <c r="F2209" s="111"/>
      <c r="G2209" s="111"/>
      <c r="H2209" s="111"/>
      <c r="I2209" s="111"/>
      <c r="J2209" s="111"/>
      <c r="K2209" s="92"/>
      <c r="L2209" s="111"/>
      <c r="M2209" s="111"/>
      <c r="N2209" s="111"/>
      <c r="O2209" s="112"/>
      <c r="P2209" s="111"/>
      <c r="Q2209" s="111"/>
      <c r="R2209" s="111"/>
      <c r="S2209" s="111"/>
      <c r="T2209" s="111"/>
      <c r="U2209" s="111"/>
      <c r="V2209" s="111"/>
      <c r="W2209" s="111"/>
      <c r="X2209" s="111"/>
      <c r="Y2209" s="111"/>
      <c r="Z2209" s="111"/>
      <c r="AA2209" s="111"/>
      <c r="AB2209" s="111"/>
      <c r="AC2209" s="111"/>
      <c r="AD2209" s="111"/>
      <c r="AE2209" s="111"/>
      <c r="AF2209" s="111"/>
      <c r="AG2209" s="111"/>
      <c r="AH2209" s="111"/>
    </row>
    <row r="2210">
      <c r="A2210" s="89"/>
      <c r="B2210" s="111"/>
      <c r="C2210" s="111"/>
      <c r="D2210" s="111"/>
      <c r="E2210" s="91"/>
      <c r="F2210" s="111"/>
      <c r="G2210" s="111"/>
      <c r="H2210" s="111"/>
      <c r="I2210" s="111"/>
      <c r="J2210" s="111"/>
      <c r="K2210" s="92"/>
      <c r="L2210" s="111"/>
      <c r="M2210" s="111"/>
      <c r="N2210" s="111"/>
      <c r="O2210" s="112"/>
      <c r="P2210" s="111"/>
      <c r="Q2210" s="111"/>
      <c r="R2210" s="111"/>
      <c r="S2210" s="111"/>
      <c r="T2210" s="111"/>
      <c r="U2210" s="111"/>
      <c r="V2210" s="111"/>
      <c r="W2210" s="111"/>
      <c r="X2210" s="111"/>
      <c r="Y2210" s="111"/>
      <c r="Z2210" s="111"/>
      <c r="AA2210" s="111"/>
      <c r="AB2210" s="111"/>
      <c r="AC2210" s="111"/>
      <c r="AD2210" s="111"/>
      <c r="AE2210" s="111"/>
      <c r="AF2210" s="111"/>
      <c r="AG2210" s="111"/>
      <c r="AH2210" s="111"/>
    </row>
    <row r="2211">
      <c r="A2211" s="89"/>
      <c r="B2211" s="111"/>
      <c r="C2211" s="111"/>
      <c r="D2211" s="111"/>
      <c r="E2211" s="91"/>
      <c r="F2211" s="111"/>
      <c r="G2211" s="111"/>
      <c r="H2211" s="111"/>
      <c r="I2211" s="111"/>
      <c r="J2211" s="111"/>
      <c r="K2211" s="92"/>
      <c r="L2211" s="111"/>
      <c r="M2211" s="111"/>
      <c r="N2211" s="111"/>
      <c r="O2211" s="112"/>
      <c r="P2211" s="111"/>
      <c r="Q2211" s="111"/>
      <c r="R2211" s="111"/>
      <c r="S2211" s="111"/>
      <c r="T2211" s="111"/>
      <c r="U2211" s="111"/>
      <c r="V2211" s="111"/>
      <c r="W2211" s="111"/>
      <c r="X2211" s="111"/>
      <c r="Y2211" s="111"/>
      <c r="Z2211" s="111"/>
      <c r="AA2211" s="111"/>
      <c r="AB2211" s="111"/>
      <c r="AC2211" s="111"/>
      <c r="AD2211" s="111"/>
      <c r="AE2211" s="111"/>
      <c r="AF2211" s="111"/>
      <c r="AG2211" s="111"/>
      <c r="AH2211" s="111"/>
    </row>
    <row r="2212">
      <c r="A2212" s="89"/>
      <c r="B2212" s="111"/>
      <c r="C2212" s="111"/>
      <c r="D2212" s="111"/>
      <c r="E2212" s="91"/>
      <c r="F2212" s="111"/>
      <c r="G2212" s="111"/>
      <c r="H2212" s="111"/>
      <c r="I2212" s="111"/>
      <c r="J2212" s="111"/>
      <c r="K2212" s="92"/>
      <c r="L2212" s="111"/>
      <c r="M2212" s="111"/>
      <c r="N2212" s="111"/>
      <c r="O2212" s="112"/>
      <c r="P2212" s="111"/>
      <c r="Q2212" s="111"/>
      <c r="R2212" s="111"/>
      <c r="S2212" s="111"/>
      <c r="T2212" s="111"/>
      <c r="U2212" s="111"/>
      <c r="V2212" s="111"/>
      <c r="W2212" s="111"/>
      <c r="X2212" s="111"/>
      <c r="Y2212" s="111"/>
      <c r="Z2212" s="111"/>
      <c r="AA2212" s="111"/>
      <c r="AB2212" s="111"/>
      <c r="AC2212" s="111"/>
      <c r="AD2212" s="111"/>
      <c r="AE2212" s="111"/>
      <c r="AF2212" s="111"/>
      <c r="AG2212" s="111"/>
      <c r="AH2212" s="111"/>
    </row>
    <row r="2213">
      <c r="A2213" s="89"/>
      <c r="B2213" s="111"/>
      <c r="C2213" s="111"/>
      <c r="D2213" s="111"/>
      <c r="E2213" s="91"/>
      <c r="F2213" s="111"/>
      <c r="G2213" s="111"/>
      <c r="H2213" s="111"/>
      <c r="I2213" s="111"/>
      <c r="J2213" s="111"/>
      <c r="K2213" s="92"/>
      <c r="L2213" s="111"/>
      <c r="M2213" s="111"/>
      <c r="N2213" s="111"/>
      <c r="O2213" s="112"/>
      <c r="P2213" s="111"/>
      <c r="Q2213" s="111"/>
      <c r="R2213" s="111"/>
      <c r="S2213" s="111"/>
      <c r="T2213" s="111"/>
      <c r="U2213" s="111"/>
      <c r="V2213" s="111"/>
      <c r="W2213" s="111"/>
      <c r="X2213" s="111"/>
      <c r="Y2213" s="111"/>
      <c r="Z2213" s="111"/>
      <c r="AA2213" s="111"/>
      <c r="AB2213" s="111"/>
      <c r="AC2213" s="111"/>
      <c r="AD2213" s="111"/>
      <c r="AE2213" s="111"/>
      <c r="AF2213" s="111"/>
      <c r="AG2213" s="111"/>
      <c r="AH2213" s="111"/>
    </row>
    <row r="2214">
      <c r="A2214" s="89"/>
      <c r="B2214" s="111"/>
      <c r="C2214" s="111"/>
      <c r="D2214" s="111"/>
      <c r="E2214" s="91"/>
      <c r="F2214" s="111"/>
      <c r="G2214" s="111"/>
      <c r="H2214" s="111"/>
      <c r="I2214" s="111"/>
      <c r="J2214" s="111"/>
      <c r="K2214" s="92"/>
      <c r="L2214" s="111"/>
      <c r="M2214" s="111"/>
      <c r="N2214" s="111"/>
      <c r="O2214" s="112"/>
      <c r="P2214" s="111"/>
      <c r="Q2214" s="111"/>
      <c r="R2214" s="111"/>
      <c r="S2214" s="111"/>
      <c r="T2214" s="111"/>
      <c r="U2214" s="111"/>
      <c r="V2214" s="111"/>
      <c r="W2214" s="111"/>
      <c r="X2214" s="111"/>
      <c r="Y2214" s="111"/>
      <c r="Z2214" s="111"/>
      <c r="AA2214" s="111"/>
      <c r="AB2214" s="111"/>
      <c r="AC2214" s="111"/>
      <c r="AD2214" s="111"/>
      <c r="AE2214" s="111"/>
      <c r="AF2214" s="111"/>
      <c r="AG2214" s="111"/>
      <c r="AH2214" s="111"/>
    </row>
    <row r="2215">
      <c r="A2215" s="89"/>
      <c r="B2215" s="111"/>
      <c r="C2215" s="111"/>
      <c r="D2215" s="111"/>
      <c r="E2215" s="91"/>
      <c r="F2215" s="111"/>
      <c r="G2215" s="111"/>
      <c r="H2215" s="111"/>
      <c r="I2215" s="111"/>
      <c r="J2215" s="111"/>
      <c r="K2215" s="92"/>
      <c r="L2215" s="111"/>
      <c r="M2215" s="111"/>
      <c r="N2215" s="111"/>
      <c r="O2215" s="112"/>
      <c r="P2215" s="111"/>
      <c r="Q2215" s="111"/>
      <c r="R2215" s="111"/>
      <c r="S2215" s="111"/>
      <c r="T2215" s="111"/>
      <c r="U2215" s="111"/>
      <c r="V2215" s="111"/>
      <c r="W2215" s="111"/>
      <c r="X2215" s="111"/>
      <c r="Y2215" s="111"/>
      <c r="Z2215" s="111"/>
      <c r="AA2215" s="111"/>
      <c r="AB2215" s="111"/>
      <c r="AC2215" s="111"/>
      <c r="AD2215" s="111"/>
      <c r="AE2215" s="111"/>
      <c r="AF2215" s="111"/>
      <c r="AG2215" s="111"/>
      <c r="AH2215" s="111"/>
    </row>
    <row r="2216">
      <c r="A2216" s="89"/>
      <c r="B2216" s="111"/>
      <c r="C2216" s="111"/>
      <c r="D2216" s="111"/>
      <c r="E2216" s="91"/>
      <c r="F2216" s="111"/>
      <c r="G2216" s="111"/>
      <c r="H2216" s="111"/>
      <c r="I2216" s="111"/>
      <c r="J2216" s="111"/>
      <c r="K2216" s="92"/>
      <c r="L2216" s="111"/>
      <c r="M2216" s="111"/>
      <c r="N2216" s="111"/>
      <c r="O2216" s="112"/>
      <c r="P2216" s="111"/>
      <c r="Q2216" s="111"/>
      <c r="R2216" s="111"/>
      <c r="S2216" s="111"/>
      <c r="T2216" s="111"/>
      <c r="U2216" s="111"/>
      <c r="V2216" s="111"/>
      <c r="W2216" s="111"/>
      <c r="X2216" s="111"/>
      <c r="Y2216" s="111"/>
      <c r="Z2216" s="111"/>
      <c r="AA2216" s="111"/>
      <c r="AB2216" s="111"/>
      <c r="AC2216" s="111"/>
      <c r="AD2216" s="111"/>
      <c r="AE2216" s="111"/>
      <c r="AF2216" s="111"/>
      <c r="AG2216" s="111"/>
      <c r="AH2216" s="111"/>
    </row>
    <row r="2217">
      <c r="A2217" s="89"/>
      <c r="B2217" s="111"/>
      <c r="C2217" s="111"/>
      <c r="D2217" s="111"/>
      <c r="E2217" s="91"/>
      <c r="F2217" s="111"/>
      <c r="G2217" s="111"/>
      <c r="H2217" s="111"/>
      <c r="I2217" s="111"/>
      <c r="J2217" s="111"/>
      <c r="K2217" s="92"/>
      <c r="L2217" s="111"/>
      <c r="M2217" s="111"/>
      <c r="N2217" s="111"/>
      <c r="O2217" s="112"/>
      <c r="P2217" s="111"/>
      <c r="Q2217" s="111"/>
      <c r="R2217" s="111"/>
      <c r="S2217" s="111"/>
      <c r="T2217" s="111"/>
      <c r="U2217" s="111"/>
      <c r="V2217" s="111"/>
      <c r="W2217" s="111"/>
      <c r="X2217" s="111"/>
      <c r="Y2217" s="111"/>
      <c r="Z2217" s="111"/>
      <c r="AA2217" s="111"/>
      <c r="AB2217" s="111"/>
      <c r="AC2217" s="111"/>
      <c r="AD2217" s="111"/>
      <c r="AE2217" s="111"/>
      <c r="AF2217" s="111"/>
      <c r="AG2217" s="111"/>
      <c r="AH2217" s="111"/>
    </row>
    <row r="2218">
      <c r="A2218" s="89"/>
      <c r="B2218" s="111"/>
      <c r="C2218" s="111"/>
      <c r="D2218" s="111"/>
      <c r="E2218" s="91"/>
      <c r="F2218" s="111"/>
      <c r="G2218" s="111"/>
      <c r="H2218" s="111"/>
      <c r="I2218" s="111"/>
      <c r="J2218" s="111"/>
      <c r="K2218" s="92"/>
      <c r="L2218" s="111"/>
      <c r="M2218" s="111"/>
      <c r="N2218" s="111"/>
      <c r="O2218" s="112"/>
      <c r="P2218" s="111"/>
      <c r="Q2218" s="111"/>
      <c r="R2218" s="111"/>
      <c r="S2218" s="111"/>
      <c r="T2218" s="111"/>
      <c r="U2218" s="111"/>
      <c r="V2218" s="111"/>
      <c r="W2218" s="111"/>
      <c r="X2218" s="111"/>
      <c r="Y2218" s="111"/>
      <c r="Z2218" s="111"/>
      <c r="AA2218" s="111"/>
      <c r="AB2218" s="111"/>
      <c r="AC2218" s="111"/>
      <c r="AD2218" s="111"/>
      <c r="AE2218" s="111"/>
      <c r="AF2218" s="111"/>
      <c r="AG2218" s="111"/>
      <c r="AH2218" s="111"/>
    </row>
    <row r="2219">
      <c r="A2219" s="89"/>
      <c r="B2219" s="111"/>
      <c r="C2219" s="111"/>
      <c r="D2219" s="111"/>
      <c r="E2219" s="91"/>
      <c r="F2219" s="111"/>
      <c r="G2219" s="111"/>
      <c r="H2219" s="111"/>
      <c r="I2219" s="111"/>
      <c r="J2219" s="111"/>
      <c r="K2219" s="92"/>
      <c r="L2219" s="111"/>
      <c r="M2219" s="111"/>
      <c r="N2219" s="111"/>
      <c r="O2219" s="112"/>
      <c r="P2219" s="111"/>
      <c r="Q2219" s="111"/>
      <c r="R2219" s="111"/>
      <c r="S2219" s="111"/>
      <c r="T2219" s="111"/>
      <c r="U2219" s="111"/>
      <c r="V2219" s="111"/>
      <c r="W2219" s="111"/>
      <c r="X2219" s="111"/>
      <c r="Y2219" s="111"/>
      <c r="Z2219" s="111"/>
      <c r="AA2219" s="111"/>
      <c r="AB2219" s="111"/>
      <c r="AC2219" s="111"/>
      <c r="AD2219" s="111"/>
      <c r="AE2219" s="111"/>
      <c r="AF2219" s="111"/>
      <c r="AG2219" s="111"/>
      <c r="AH2219" s="111"/>
    </row>
    <row r="2220">
      <c r="A2220" s="89"/>
      <c r="B2220" s="111"/>
      <c r="C2220" s="111"/>
      <c r="D2220" s="111"/>
      <c r="E2220" s="91"/>
      <c r="F2220" s="111"/>
      <c r="G2220" s="111"/>
      <c r="H2220" s="111"/>
      <c r="I2220" s="111"/>
      <c r="J2220" s="111"/>
      <c r="K2220" s="92"/>
      <c r="L2220" s="111"/>
      <c r="M2220" s="111"/>
      <c r="N2220" s="111"/>
      <c r="O2220" s="112"/>
      <c r="P2220" s="111"/>
      <c r="Q2220" s="111"/>
      <c r="R2220" s="111"/>
      <c r="S2220" s="111"/>
      <c r="T2220" s="111"/>
      <c r="U2220" s="111"/>
      <c r="V2220" s="111"/>
      <c r="W2220" s="111"/>
      <c r="X2220" s="111"/>
      <c r="Y2220" s="111"/>
      <c r="Z2220" s="111"/>
      <c r="AA2220" s="111"/>
      <c r="AB2220" s="111"/>
      <c r="AC2220" s="111"/>
      <c r="AD2220" s="111"/>
      <c r="AE2220" s="111"/>
      <c r="AF2220" s="111"/>
      <c r="AG2220" s="111"/>
      <c r="AH2220" s="111"/>
    </row>
    <row r="2221">
      <c r="A2221" s="89"/>
      <c r="B2221" s="111"/>
      <c r="C2221" s="111"/>
      <c r="D2221" s="111"/>
      <c r="E2221" s="91"/>
      <c r="F2221" s="111"/>
      <c r="G2221" s="111"/>
      <c r="H2221" s="111"/>
      <c r="I2221" s="111"/>
      <c r="J2221" s="111"/>
      <c r="K2221" s="92"/>
      <c r="L2221" s="111"/>
      <c r="M2221" s="111"/>
      <c r="N2221" s="111"/>
      <c r="O2221" s="112"/>
      <c r="P2221" s="111"/>
      <c r="Q2221" s="111"/>
      <c r="R2221" s="111"/>
      <c r="S2221" s="111"/>
      <c r="T2221" s="111"/>
      <c r="U2221" s="111"/>
      <c r="V2221" s="111"/>
      <c r="W2221" s="111"/>
      <c r="X2221" s="111"/>
      <c r="Y2221" s="111"/>
      <c r="Z2221" s="111"/>
      <c r="AA2221" s="111"/>
      <c r="AB2221" s="111"/>
      <c r="AC2221" s="111"/>
      <c r="AD2221" s="111"/>
      <c r="AE2221" s="111"/>
      <c r="AF2221" s="111"/>
      <c r="AG2221" s="111"/>
      <c r="AH2221" s="111"/>
    </row>
    <row r="2222">
      <c r="A2222" s="89"/>
      <c r="B2222" s="111"/>
      <c r="C2222" s="111"/>
      <c r="D2222" s="111"/>
      <c r="E2222" s="91"/>
      <c r="F2222" s="111"/>
      <c r="G2222" s="111"/>
      <c r="H2222" s="111"/>
      <c r="I2222" s="111"/>
      <c r="J2222" s="111"/>
      <c r="K2222" s="92"/>
      <c r="L2222" s="111"/>
      <c r="M2222" s="111"/>
      <c r="N2222" s="111"/>
      <c r="O2222" s="112"/>
      <c r="P2222" s="111"/>
      <c r="Q2222" s="111"/>
      <c r="R2222" s="111"/>
      <c r="S2222" s="111"/>
      <c r="T2222" s="111"/>
      <c r="U2222" s="111"/>
      <c r="V2222" s="111"/>
      <c r="W2222" s="111"/>
      <c r="X2222" s="111"/>
      <c r="Y2222" s="111"/>
      <c r="Z2222" s="111"/>
      <c r="AA2222" s="111"/>
      <c r="AB2222" s="111"/>
      <c r="AC2222" s="111"/>
      <c r="AD2222" s="111"/>
      <c r="AE2222" s="111"/>
      <c r="AF2222" s="111"/>
      <c r="AG2222" s="111"/>
      <c r="AH2222" s="111"/>
    </row>
    <row r="2223">
      <c r="A2223" s="89"/>
      <c r="B2223" s="111"/>
      <c r="C2223" s="111"/>
      <c r="D2223" s="111"/>
      <c r="E2223" s="91"/>
      <c r="F2223" s="111"/>
      <c r="G2223" s="111"/>
      <c r="H2223" s="111"/>
      <c r="I2223" s="111"/>
      <c r="J2223" s="111"/>
      <c r="K2223" s="92"/>
      <c r="L2223" s="111"/>
      <c r="M2223" s="111"/>
      <c r="N2223" s="111"/>
      <c r="O2223" s="112"/>
      <c r="P2223" s="111"/>
      <c r="Q2223" s="111"/>
      <c r="R2223" s="111"/>
      <c r="S2223" s="111"/>
      <c r="T2223" s="111"/>
      <c r="U2223" s="111"/>
      <c r="V2223" s="111"/>
      <c r="W2223" s="111"/>
      <c r="X2223" s="111"/>
      <c r="Y2223" s="111"/>
      <c r="Z2223" s="111"/>
      <c r="AA2223" s="111"/>
      <c r="AB2223" s="111"/>
      <c r="AC2223" s="111"/>
      <c r="AD2223" s="111"/>
      <c r="AE2223" s="111"/>
      <c r="AF2223" s="111"/>
      <c r="AG2223" s="111"/>
      <c r="AH2223" s="111"/>
    </row>
    <row r="2224">
      <c r="A2224" s="89"/>
      <c r="B2224" s="111"/>
      <c r="C2224" s="111"/>
      <c r="D2224" s="111"/>
      <c r="E2224" s="91"/>
      <c r="F2224" s="111"/>
      <c r="G2224" s="111"/>
      <c r="H2224" s="111"/>
      <c r="I2224" s="111"/>
      <c r="J2224" s="111"/>
      <c r="K2224" s="92"/>
      <c r="L2224" s="111"/>
      <c r="M2224" s="111"/>
      <c r="N2224" s="111"/>
      <c r="O2224" s="112"/>
      <c r="P2224" s="111"/>
      <c r="Q2224" s="111"/>
      <c r="R2224" s="111"/>
      <c r="S2224" s="111"/>
      <c r="T2224" s="111"/>
      <c r="U2224" s="111"/>
      <c r="V2224" s="111"/>
      <c r="W2224" s="111"/>
      <c r="X2224" s="111"/>
      <c r="Y2224" s="111"/>
      <c r="Z2224" s="111"/>
      <c r="AA2224" s="111"/>
      <c r="AB2224" s="111"/>
      <c r="AC2224" s="111"/>
      <c r="AD2224" s="111"/>
      <c r="AE2224" s="111"/>
      <c r="AF2224" s="111"/>
      <c r="AG2224" s="111"/>
      <c r="AH2224" s="111"/>
    </row>
    <row r="2225">
      <c r="A2225" s="89"/>
      <c r="B2225" s="111"/>
      <c r="C2225" s="111"/>
      <c r="D2225" s="111"/>
      <c r="E2225" s="91"/>
      <c r="F2225" s="111"/>
      <c r="G2225" s="111"/>
      <c r="H2225" s="111"/>
      <c r="I2225" s="111"/>
      <c r="J2225" s="111"/>
      <c r="K2225" s="92"/>
      <c r="L2225" s="111"/>
      <c r="M2225" s="111"/>
      <c r="N2225" s="111"/>
      <c r="O2225" s="112"/>
      <c r="P2225" s="111"/>
      <c r="Q2225" s="111"/>
      <c r="R2225" s="111"/>
      <c r="S2225" s="111"/>
      <c r="T2225" s="111"/>
      <c r="U2225" s="111"/>
      <c r="V2225" s="111"/>
      <c r="W2225" s="111"/>
      <c r="X2225" s="111"/>
      <c r="Y2225" s="111"/>
      <c r="Z2225" s="111"/>
      <c r="AA2225" s="111"/>
      <c r="AB2225" s="111"/>
      <c r="AC2225" s="111"/>
      <c r="AD2225" s="111"/>
      <c r="AE2225" s="111"/>
      <c r="AF2225" s="111"/>
      <c r="AG2225" s="111"/>
      <c r="AH2225" s="111"/>
    </row>
    <row r="2226">
      <c r="A2226" s="89"/>
      <c r="B2226" s="111"/>
      <c r="C2226" s="111"/>
      <c r="D2226" s="111"/>
      <c r="E2226" s="91"/>
      <c r="F2226" s="111"/>
      <c r="G2226" s="111"/>
      <c r="H2226" s="111"/>
      <c r="I2226" s="111"/>
      <c r="J2226" s="111"/>
      <c r="K2226" s="92"/>
      <c r="L2226" s="111"/>
      <c r="M2226" s="111"/>
      <c r="N2226" s="111"/>
      <c r="O2226" s="112"/>
      <c r="P2226" s="111"/>
      <c r="Q2226" s="111"/>
      <c r="R2226" s="111"/>
      <c r="S2226" s="111"/>
      <c r="T2226" s="111"/>
      <c r="U2226" s="111"/>
      <c r="V2226" s="111"/>
      <c r="W2226" s="111"/>
      <c r="X2226" s="111"/>
      <c r="Y2226" s="111"/>
      <c r="Z2226" s="111"/>
      <c r="AA2226" s="111"/>
      <c r="AB2226" s="111"/>
      <c r="AC2226" s="111"/>
      <c r="AD2226" s="111"/>
      <c r="AE2226" s="111"/>
      <c r="AF2226" s="111"/>
      <c r="AG2226" s="111"/>
      <c r="AH2226" s="111"/>
    </row>
    <row r="2227">
      <c r="A2227" s="89"/>
      <c r="B2227" s="111"/>
      <c r="C2227" s="111"/>
      <c r="D2227" s="111"/>
      <c r="E2227" s="91"/>
      <c r="F2227" s="111"/>
      <c r="G2227" s="111"/>
      <c r="H2227" s="111"/>
      <c r="I2227" s="111"/>
      <c r="J2227" s="111"/>
      <c r="K2227" s="92"/>
      <c r="L2227" s="111"/>
      <c r="M2227" s="111"/>
      <c r="N2227" s="111"/>
      <c r="O2227" s="112"/>
      <c r="P2227" s="111"/>
      <c r="Q2227" s="111"/>
      <c r="R2227" s="111"/>
      <c r="S2227" s="111"/>
      <c r="T2227" s="111"/>
      <c r="U2227" s="111"/>
      <c r="V2227" s="111"/>
      <c r="W2227" s="111"/>
      <c r="X2227" s="111"/>
      <c r="Y2227" s="111"/>
      <c r="Z2227" s="111"/>
      <c r="AA2227" s="111"/>
      <c r="AB2227" s="111"/>
      <c r="AC2227" s="111"/>
      <c r="AD2227" s="111"/>
      <c r="AE2227" s="111"/>
      <c r="AF2227" s="111"/>
      <c r="AG2227" s="111"/>
      <c r="AH2227" s="111"/>
    </row>
    <row r="2228">
      <c r="A2228" s="89"/>
      <c r="B2228" s="111"/>
      <c r="C2228" s="111"/>
      <c r="D2228" s="111"/>
      <c r="E2228" s="91"/>
      <c r="F2228" s="111"/>
      <c r="G2228" s="111"/>
      <c r="H2228" s="111"/>
      <c r="I2228" s="111"/>
      <c r="J2228" s="111"/>
      <c r="K2228" s="92"/>
      <c r="L2228" s="111"/>
      <c r="M2228" s="111"/>
      <c r="N2228" s="111"/>
      <c r="O2228" s="112"/>
      <c r="P2228" s="111"/>
      <c r="Q2228" s="111"/>
      <c r="R2228" s="111"/>
      <c r="S2228" s="111"/>
      <c r="T2228" s="111"/>
      <c r="U2228" s="111"/>
      <c r="V2228" s="111"/>
      <c r="W2228" s="111"/>
      <c r="X2228" s="111"/>
      <c r="Y2228" s="111"/>
      <c r="Z2228" s="111"/>
      <c r="AA2228" s="111"/>
      <c r="AB2228" s="111"/>
      <c r="AC2228" s="111"/>
      <c r="AD2228" s="111"/>
      <c r="AE2228" s="111"/>
      <c r="AF2228" s="111"/>
      <c r="AG2228" s="111"/>
      <c r="AH2228" s="111"/>
    </row>
    <row r="2229">
      <c r="A2229" s="89"/>
      <c r="B2229" s="111"/>
      <c r="C2229" s="111"/>
      <c r="D2229" s="111"/>
      <c r="E2229" s="91"/>
      <c r="F2229" s="111"/>
      <c r="G2229" s="111"/>
      <c r="H2229" s="111"/>
      <c r="I2229" s="111"/>
      <c r="J2229" s="111"/>
      <c r="K2229" s="92"/>
      <c r="L2229" s="111"/>
      <c r="M2229" s="111"/>
      <c r="N2229" s="111"/>
      <c r="O2229" s="112"/>
      <c r="P2229" s="111"/>
      <c r="Q2229" s="111"/>
      <c r="R2229" s="111"/>
      <c r="S2229" s="111"/>
      <c r="T2229" s="111"/>
      <c r="U2229" s="111"/>
      <c r="V2229" s="111"/>
      <c r="W2229" s="111"/>
      <c r="X2229" s="111"/>
      <c r="Y2229" s="111"/>
      <c r="Z2229" s="111"/>
      <c r="AA2229" s="111"/>
      <c r="AB2229" s="111"/>
      <c r="AC2229" s="111"/>
      <c r="AD2229" s="111"/>
      <c r="AE2229" s="111"/>
      <c r="AF2229" s="111"/>
      <c r="AG2229" s="111"/>
      <c r="AH2229" s="111"/>
    </row>
    <row r="2230">
      <c r="A2230" s="89"/>
      <c r="B2230" s="111"/>
      <c r="C2230" s="111"/>
      <c r="D2230" s="111"/>
      <c r="E2230" s="91"/>
      <c r="F2230" s="111"/>
      <c r="G2230" s="111"/>
      <c r="H2230" s="111"/>
      <c r="I2230" s="111"/>
      <c r="J2230" s="111"/>
      <c r="K2230" s="92"/>
      <c r="L2230" s="111"/>
      <c r="M2230" s="111"/>
      <c r="N2230" s="111"/>
      <c r="O2230" s="112"/>
      <c r="P2230" s="111"/>
      <c r="Q2230" s="111"/>
      <c r="R2230" s="111"/>
      <c r="S2230" s="111"/>
      <c r="T2230" s="111"/>
      <c r="U2230" s="111"/>
      <c r="V2230" s="111"/>
      <c r="W2230" s="111"/>
      <c r="X2230" s="111"/>
      <c r="Y2230" s="111"/>
      <c r="Z2230" s="111"/>
      <c r="AA2230" s="111"/>
      <c r="AB2230" s="111"/>
      <c r="AC2230" s="111"/>
      <c r="AD2230" s="111"/>
      <c r="AE2230" s="111"/>
      <c r="AF2230" s="111"/>
      <c r="AG2230" s="111"/>
      <c r="AH2230" s="111"/>
    </row>
    <row r="2231">
      <c r="A2231" s="89"/>
      <c r="B2231" s="111"/>
      <c r="C2231" s="111"/>
      <c r="D2231" s="111"/>
      <c r="E2231" s="91"/>
      <c r="F2231" s="111"/>
      <c r="G2231" s="111"/>
      <c r="H2231" s="111"/>
      <c r="I2231" s="111"/>
      <c r="J2231" s="111"/>
      <c r="K2231" s="92"/>
      <c r="L2231" s="111"/>
      <c r="M2231" s="111"/>
      <c r="N2231" s="111"/>
      <c r="O2231" s="112"/>
      <c r="P2231" s="111"/>
      <c r="Q2231" s="111"/>
      <c r="R2231" s="111"/>
      <c r="S2231" s="111"/>
      <c r="T2231" s="111"/>
      <c r="U2231" s="111"/>
      <c r="V2231" s="111"/>
      <c r="W2231" s="111"/>
      <c r="X2231" s="111"/>
      <c r="Y2231" s="111"/>
      <c r="Z2231" s="111"/>
      <c r="AA2231" s="111"/>
      <c r="AB2231" s="111"/>
      <c r="AC2231" s="111"/>
      <c r="AD2231" s="111"/>
      <c r="AE2231" s="111"/>
      <c r="AF2231" s="111"/>
      <c r="AG2231" s="111"/>
      <c r="AH2231" s="111"/>
    </row>
    <row r="2232">
      <c r="A2232" s="89"/>
      <c r="B2232" s="111"/>
      <c r="C2232" s="111"/>
      <c r="D2232" s="111"/>
      <c r="E2232" s="91"/>
      <c r="F2232" s="111"/>
      <c r="G2232" s="111"/>
      <c r="H2232" s="111"/>
      <c r="I2232" s="111"/>
      <c r="J2232" s="111"/>
      <c r="K2232" s="92"/>
      <c r="L2232" s="111"/>
      <c r="M2232" s="111"/>
      <c r="N2232" s="111"/>
      <c r="O2232" s="112"/>
      <c r="P2232" s="111"/>
      <c r="Q2232" s="111"/>
      <c r="R2232" s="111"/>
      <c r="S2232" s="111"/>
      <c r="T2232" s="111"/>
      <c r="U2232" s="111"/>
      <c r="V2232" s="111"/>
      <c r="W2232" s="111"/>
      <c r="X2232" s="111"/>
      <c r="Y2232" s="111"/>
      <c r="Z2232" s="111"/>
      <c r="AA2232" s="111"/>
      <c r="AB2232" s="111"/>
      <c r="AC2232" s="111"/>
      <c r="AD2232" s="111"/>
      <c r="AE2232" s="111"/>
      <c r="AF2232" s="111"/>
      <c r="AG2232" s="111"/>
      <c r="AH2232" s="111"/>
    </row>
    <row r="2233">
      <c r="A2233" s="89"/>
      <c r="B2233" s="111"/>
      <c r="C2233" s="111"/>
      <c r="D2233" s="111"/>
      <c r="E2233" s="91"/>
      <c r="F2233" s="111"/>
      <c r="G2233" s="111"/>
      <c r="H2233" s="111"/>
      <c r="I2233" s="111"/>
      <c r="J2233" s="111"/>
      <c r="K2233" s="92"/>
      <c r="L2233" s="111"/>
      <c r="M2233" s="111"/>
      <c r="N2233" s="111"/>
      <c r="O2233" s="112"/>
      <c r="P2233" s="111"/>
      <c r="Q2233" s="111"/>
      <c r="R2233" s="111"/>
      <c r="S2233" s="111"/>
      <c r="T2233" s="111"/>
      <c r="U2233" s="111"/>
      <c r="V2233" s="111"/>
      <c r="W2233" s="111"/>
      <c r="X2233" s="111"/>
      <c r="Y2233" s="111"/>
      <c r="Z2233" s="111"/>
      <c r="AA2233" s="111"/>
      <c r="AB2233" s="111"/>
      <c r="AC2233" s="111"/>
      <c r="AD2233" s="111"/>
      <c r="AE2233" s="111"/>
      <c r="AF2233" s="111"/>
      <c r="AG2233" s="111"/>
      <c r="AH2233" s="111"/>
    </row>
    <row r="2234">
      <c r="A2234" s="89"/>
      <c r="B2234" s="111"/>
      <c r="C2234" s="111"/>
      <c r="D2234" s="111"/>
      <c r="E2234" s="91"/>
      <c r="F2234" s="111"/>
      <c r="G2234" s="111"/>
      <c r="H2234" s="111"/>
      <c r="I2234" s="111"/>
      <c r="J2234" s="111"/>
      <c r="K2234" s="92"/>
      <c r="L2234" s="111"/>
      <c r="M2234" s="111"/>
      <c r="N2234" s="111"/>
      <c r="O2234" s="112"/>
      <c r="P2234" s="111"/>
      <c r="Q2234" s="111"/>
      <c r="R2234" s="111"/>
      <c r="S2234" s="111"/>
      <c r="T2234" s="111"/>
      <c r="U2234" s="111"/>
      <c r="V2234" s="111"/>
      <c r="W2234" s="111"/>
      <c r="X2234" s="111"/>
      <c r="Y2234" s="111"/>
      <c r="Z2234" s="111"/>
      <c r="AA2234" s="111"/>
      <c r="AB2234" s="111"/>
      <c r="AC2234" s="111"/>
      <c r="AD2234" s="111"/>
      <c r="AE2234" s="111"/>
      <c r="AF2234" s="111"/>
      <c r="AG2234" s="111"/>
      <c r="AH2234" s="111"/>
    </row>
    <row r="2235">
      <c r="A2235" s="89"/>
      <c r="B2235" s="111"/>
      <c r="C2235" s="111"/>
      <c r="D2235" s="111"/>
      <c r="E2235" s="91"/>
      <c r="F2235" s="111"/>
      <c r="G2235" s="111"/>
      <c r="H2235" s="111"/>
      <c r="I2235" s="111"/>
      <c r="J2235" s="111"/>
      <c r="K2235" s="92"/>
      <c r="L2235" s="111"/>
      <c r="M2235" s="111"/>
      <c r="N2235" s="111"/>
      <c r="O2235" s="112"/>
      <c r="P2235" s="111"/>
      <c r="Q2235" s="111"/>
      <c r="R2235" s="111"/>
      <c r="S2235" s="111"/>
      <c r="T2235" s="111"/>
      <c r="U2235" s="111"/>
      <c r="V2235" s="111"/>
      <c r="W2235" s="111"/>
      <c r="X2235" s="111"/>
      <c r="Y2235" s="111"/>
      <c r="Z2235" s="111"/>
      <c r="AA2235" s="111"/>
      <c r="AB2235" s="111"/>
      <c r="AC2235" s="111"/>
      <c r="AD2235" s="111"/>
      <c r="AE2235" s="111"/>
      <c r="AF2235" s="111"/>
      <c r="AG2235" s="111"/>
      <c r="AH2235" s="111"/>
    </row>
    <row r="2236">
      <c r="A2236" s="89"/>
      <c r="B2236" s="111"/>
      <c r="C2236" s="111"/>
      <c r="D2236" s="111"/>
      <c r="E2236" s="91"/>
      <c r="F2236" s="111"/>
      <c r="G2236" s="111"/>
      <c r="H2236" s="111"/>
      <c r="I2236" s="111"/>
      <c r="J2236" s="111"/>
      <c r="K2236" s="92"/>
      <c r="L2236" s="111"/>
      <c r="M2236" s="111"/>
      <c r="N2236" s="111"/>
      <c r="O2236" s="112"/>
      <c r="P2236" s="111"/>
      <c r="Q2236" s="111"/>
      <c r="R2236" s="111"/>
      <c r="S2236" s="111"/>
      <c r="T2236" s="111"/>
      <c r="U2236" s="111"/>
      <c r="V2236" s="111"/>
      <c r="W2236" s="111"/>
      <c r="X2236" s="111"/>
      <c r="Y2236" s="111"/>
      <c r="Z2236" s="111"/>
      <c r="AA2236" s="111"/>
      <c r="AB2236" s="111"/>
      <c r="AC2236" s="111"/>
      <c r="AD2236" s="111"/>
      <c r="AE2236" s="111"/>
      <c r="AF2236" s="111"/>
      <c r="AG2236" s="111"/>
      <c r="AH2236" s="111"/>
    </row>
    <row r="2237">
      <c r="A2237" s="89"/>
      <c r="B2237" s="111"/>
      <c r="C2237" s="111"/>
      <c r="D2237" s="111"/>
      <c r="E2237" s="91"/>
      <c r="F2237" s="111"/>
      <c r="G2237" s="111"/>
      <c r="H2237" s="111"/>
      <c r="I2237" s="111"/>
      <c r="J2237" s="111"/>
      <c r="K2237" s="92"/>
      <c r="L2237" s="111"/>
      <c r="M2237" s="111"/>
      <c r="N2237" s="111"/>
      <c r="O2237" s="112"/>
      <c r="P2237" s="111"/>
      <c r="Q2237" s="111"/>
      <c r="R2237" s="111"/>
      <c r="S2237" s="111"/>
      <c r="T2237" s="111"/>
      <c r="U2237" s="111"/>
      <c r="V2237" s="111"/>
      <c r="W2237" s="111"/>
      <c r="X2237" s="111"/>
      <c r="Y2237" s="111"/>
      <c r="Z2237" s="111"/>
      <c r="AA2237" s="111"/>
      <c r="AB2237" s="111"/>
      <c r="AC2237" s="111"/>
      <c r="AD2237" s="111"/>
      <c r="AE2237" s="111"/>
      <c r="AF2237" s="111"/>
      <c r="AG2237" s="111"/>
      <c r="AH2237" s="111"/>
    </row>
    <row r="2238">
      <c r="A2238" s="89"/>
      <c r="B2238" s="111"/>
      <c r="C2238" s="111"/>
      <c r="D2238" s="111"/>
      <c r="E2238" s="91"/>
      <c r="F2238" s="111"/>
      <c r="G2238" s="111"/>
      <c r="H2238" s="111"/>
      <c r="I2238" s="111"/>
      <c r="J2238" s="111"/>
      <c r="K2238" s="92"/>
      <c r="L2238" s="111"/>
      <c r="M2238" s="111"/>
      <c r="N2238" s="111"/>
      <c r="O2238" s="112"/>
      <c r="P2238" s="111"/>
      <c r="Q2238" s="111"/>
      <c r="R2238" s="111"/>
      <c r="S2238" s="111"/>
      <c r="T2238" s="111"/>
      <c r="U2238" s="111"/>
      <c r="V2238" s="111"/>
      <c r="W2238" s="111"/>
      <c r="X2238" s="111"/>
      <c r="Y2238" s="111"/>
      <c r="Z2238" s="111"/>
      <c r="AA2238" s="111"/>
      <c r="AB2238" s="111"/>
      <c r="AC2238" s="111"/>
      <c r="AD2238" s="111"/>
      <c r="AE2238" s="111"/>
      <c r="AF2238" s="111"/>
      <c r="AG2238" s="111"/>
      <c r="AH2238" s="111"/>
    </row>
    <row r="2239">
      <c r="A2239" s="89"/>
      <c r="B2239" s="111"/>
      <c r="C2239" s="111"/>
      <c r="D2239" s="111"/>
      <c r="E2239" s="91"/>
      <c r="F2239" s="111"/>
      <c r="G2239" s="111"/>
      <c r="H2239" s="111"/>
      <c r="I2239" s="111"/>
      <c r="J2239" s="111"/>
      <c r="K2239" s="92"/>
      <c r="L2239" s="111"/>
      <c r="M2239" s="111"/>
      <c r="N2239" s="111"/>
      <c r="O2239" s="112"/>
      <c r="P2239" s="111"/>
      <c r="Q2239" s="111"/>
      <c r="R2239" s="111"/>
      <c r="S2239" s="111"/>
      <c r="T2239" s="111"/>
      <c r="U2239" s="111"/>
      <c r="V2239" s="111"/>
      <c r="W2239" s="111"/>
      <c r="X2239" s="111"/>
      <c r="Y2239" s="111"/>
      <c r="Z2239" s="111"/>
      <c r="AA2239" s="111"/>
      <c r="AB2239" s="111"/>
      <c r="AC2239" s="111"/>
      <c r="AD2239" s="111"/>
      <c r="AE2239" s="111"/>
      <c r="AF2239" s="111"/>
      <c r="AG2239" s="111"/>
      <c r="AH2239" s="111"/>
    </row>
    <row r="2240">
      <c r="A2240" s="89"/>
      <c r="B2240" s="111"/>
      <c r="C2240" s="111"/>
      <c r="D2240" s="111"/>
      <c r="E2240" s="91"/>
      <c r="F2240" s="111"/>
      <c r="G2240" s="111"/>
      <c r="H2240" s="111"/>
      <c r="I2240" s="111"/>
      <c r="J2240" s="111"/>
      <c r="K2240" s="92"/>
      <c r="L2240" s="111"/>
      <c r="M2240" s="111"/>
      <c r="N2240" s="111"/>
      <c r="O2240" s="112"/>
      <c r="P2240" s="111"/>
      <c r="Q2240" s="111"/>
      <c r="R2240" s="111"/>
      <c r="S2240" s="111"/>
      <c r="T2240" s="111"/>
      <c r="U2240" s="111"/>
      <c r="V2240" s="111"/>
      <c r="W2240" s="111"/>
      <c r="X2240" s="111"/>
      <c r="Y2240" s="111"/>
      <c r="Z2240" s="111"/>
      <c r="AA2240" s="111"/>
      <c r="AB2240" s="111"/>
      <c r="AC2240" s="111"/>
      <c r="AD2240" s="111"/>
      <c r="AE2240" s="111"/>
      <c r="AF2240" s="111"/>
      <c r="AG2240" s="111"/>
      <c r="AH2240" s="111"/>
    </row>
    <row r="2241">
      <c r="A2241" s="89"/>
      <c r="B2241" s="111"/>
      <c r="C2241" s="111"/>
      <c r="D2241" s="111"/>
      <c r="E2241" s="91"/>
      <c r="F2241" s="111"/>
      <c r="G2241" s="111"/>
      <c r="H2241" s="111"/>
      <c r="I2241" s="111"/>
      <c r="J2241" s="111"/>
      <c r="K2241" s="92"/>
      <c r="L2241" s="111"/>
      <c r="M2241" s="111"/>
      <c r="N2241" s="111"/>
      <c r="O2241" s="112"/>
      <c r="P2241" s="111"/>
      <c r="Q2241" s="111"/>
      <c r="R2241" s="111"/>
      <c r="S2241" s="111"/>
      <c r="T2241" s="111"/>
      <c r="U2241" s="111"/>
      <c r="V2241" s="111"/>
      <c r="W2241" s="111"/>
      <c r="X2241" s="111"/>
      <c r="Y2241" s="111"/>
      <c r="Z2241" s="111"/>
      <c r="AA2241" s="111"/>
      <c r="AB2241" s="111"/>
      <c r="AC2241" s="111"/>
      <c r="AD2241" s="111"/>
      <c r="AE2241" s="111"/>
      <c r="AF2241" s="111"/>
      <c r="AG2241" s="111"/>
      <c r="AH2241" s="111"/>
    </row>
    <row r="2242">
      <c r="A2242" s="89"/>
      <c r="B2242" s="111"/>
      <c r="C2242" s="111"/>
      <c r="D2242" s="111"/>
      <c r="E2242" s="91"/>
      <c r="F2242" s="111"/>
      <c r="G2242" s="111"/>
      <c r="H2242" s="111"/>
      <c r="I2242" s="111"/>
      <c r="J2242" s="111"/>
      <c r="K2242" s="92"/>
      <c r="L2242" s="111"/>
      <c r="M2242" s="111"/>
      <c r="N2242" s="111"/>
      <c r="O2242" s="112"/>
      <c r="P2242" s="111"/>
      <c r="Q2242" s="111"/>
      <c r="R2242" s="111"/>
      <c r="S2242" s="111"/>
      <c r="T2242" s="111"/>
      <c r="U2242" s="111"/>
      <c r="V2242" s="111"/>
      <c r="W2242" s="111"/>
      <c r="X2242" s="111"/>
      <c r="Y2242" s="111"/>
      <c r="Z2242" s="111"/>
      <c r="AA2242" s="111"/>
      <c r="AB2242" s="111"/>
      <c r="AC2242" s="111"/>
      <c r="AD2242" s="111"/>
      <c r="AE2242" s="111"/>
      <c r="AF2242" s="111"/>
      <c r="AG2242" s="111"/>
      <c r="AH2242" s="111"/>
    </row>
    <row r="2243">
      <c r="A2243" s="89"/>
      <c r="B2243" s="111"/>
      <c r="C2243" s="111"/>
      <c r="D2243" s="111"/>
      <c r="E2243" s="91"/>
      <c r="F2243" s="111"/>
      <c r="G2243" s="111"/>
      <c r="H2243" s="111"/>
      <c r="I2243" s="111"/>
      <c r="J2243" s="111"/>
      <c r="K2243" s="92"/>
      <c r="L2243" s="111"/>
      <c r="M2243" s="111"/>
      <c r="N2243" s="111"/>
      <c r="O2243" s="112"/>
      <c r="P2243" s="111"/>
      <c r="Q2243" s="111"/>
      <c r="R2243" s="111"/>
      <c r="S2243" s="111"/>
      <c r="T2243" s="111"/>
      <c r="U2243" s="111"/>
      <c r="V2243" s="111"/>
      <c r="W2243" s="111"/>
      <c r="X2243" s="111"/>
      <c r="Y2243" s="111"/>
      <c r="Z2243" s="111"/>
      <c r="AA2243" s="111"/>
      <c r="AB2243" s="111"/>
      <c r="AC2243" s="111"/>
      <c r="AD2243" s="111"/>
      <c r="AE2243" s="111"/>
      <c r="AF2243" s="111"/>
      <c r="AG2243" s="111"/>
      <c r="AH2243" s="111"/>
    </row>
    <row r="2244">
      <c r="A2244" s="89"/>
      <c r="B2244" s="111"/>
      <c r="C2244" s="111"/>
      <c r="D2244" s="111"/>
      <c r="E2244" s="91"/>
      <c r="F2244" s="111"/>
      <c r="G2244" s="111"/>
      <c r="H2244" s="111"/>
      <c r="I2244" s="111"/>
      <c r="J2244" s="111"/>
      <c r="K2244" s="92"/>
      <c r="L2244" s="111"/>
      <c r="M2244" s="111"/>
      <c r="N2244" s="111"/>
      <c r="O2244" s="112"/>
      <c r="P2244" s="111"/>
      <c r="Q2244" s="111"/>
      <c r="R2244" s="111"/>
      <c r="S2244" s="111"/>
      <c r="T2244" s="111"/>
      <c r="U2244" s="111"/>
      <c r="V2244" s="111"/>
      <c r="W2244" s="111"/>
      <c r="X2244" s="111"/>
      <c r="Y2244" s="111"/>
      <c r="Z2244" s="111"/>
      <c r="AA2244" s="111"/>
      <c r="AB2244" s="111"/>
      <c r="AC2244" s="111"/>
      <c r="AD2244" s="111"/>
      <c r="AE2244" s="111"/>
      <c r="AF2244" s="111"/>
      <c r="AG2244" s="111"/>
      <c r="AH2244" s="111"/>
    </row>
    <row r="2245">
      <c r="A2245" s="89"/>
      <c r="B2245" s="111"/>
      <c r="C2245" s="111"/>
      <c r="D2245" s="111"/>
      <c r="E2245" s="91"/>
      <c r="F2245" s="111"/>
      <c r="G2245" s="111"/>
      <c r="H2245" s="111"/>
      <c r="I2245" s="111"/>
      <c r="J2245" s="111"/>
      <c r="K2245" s="92"/>
      <c r="L2245" s="111"/>
      <c r="M2245" s="111"/>
      <c r="N2245" s="111"/>
      <c r="O2245" s="112"/>
      <c r="P2245" s="111"/>
      <c r="Q2245" s="111"/>
      <c r="R2245" s="111"/>
      <c r="S2245" s="111"/>
      <c r="T2245" s="111"/>
      <c r="U2245" s="111"/>
      <c r="V2245" s="111"/>
      <c r="W2245" s="111"/>
      <c r="X2245" s="111"/>
      <c r="Y2245" s="111"/>
      <c r="Z2245" s="111"/>
      <c r="AA2245" s="111"/>
      <c r="AB2245" s="111"/>
      <c r="AC2245" s="111"/>
      <c r="AD2245" s="111"/>
      <c r="AE2245" s="111"/>
      <c r="AF2245" s="111"/>
      <c r="AG2245" s="111"/>
      <c r="AH2245" s="111"/>
    </row>
    <row r="2246">
      <c r="A2246" s="89"/>
      <c r="B2246" s="111"/>
      <c r="C2246" s="111"/>
      <c r="D2246" s="111"/>
      <c r="E2246" s="91"/>
      <c r="F2246" s="111"/>
      <c r="G2246" s="111"/>
      <c r="H2246" s="111"/>
      <c r="I2246" s="111"/>
      <c r="J2246" s="111"/>
      <c r="K2246" s="92"/>
      <c r="L2246" s="111"/>
      <c r="M2246" s="111"/>
      <c r="N2246" s="111"/>
      <c r="O2246" s="112"/>
      <c r="P2246" s="111"/>
      <c r="Q2246" s="111"/>
      <c r="R2246" s="111"/>
      <c r="S2246" s="111"/>
      <c r="T2246" s="111"/>
      <c r="U2246" s="111"/>
      <c r="V2246" s="111"/>
      <c r="W2246" s="111"/>
      <c r="X2246" s="111"/>
      <c r="Y2246" s="111"/>
      <c r="Z2246" s="111"/>
      <c r="AA2246" s="111"/>
      <c r="AB2246" s="111"/>
      <c r="AC2246" s="111"/>
      <c r="AD2246" s="111"/>
      <c r="AE2246" s="111"/>
      <c r="AF2246" s="111"/>
      <c r="AG2246" s="111"/>
      <c r="AH2246" s="111"/>
    </row>
    <row r="2247">
      <c r="A2247" s="89"/>
      <c r="B2247" s="111"/>
      <c r="C2247" s="111"/>
      <c r="D2247" s="111"/>
      <c r="E2247" s="91"/>
      <c r="F2247" s="111"/>
      <c r="G2247" s="111"/>
      <c r="H2247" s="111"/>
      <c r="I2247" s="111"/>
      <c r="J2247" s="111"/>
      <c r="K2247" s="92"/>
      <c r="L2247" s="111"/>
      <c r="M2247" s="111"/>
      <c r="N2247" s="111"/>
      <c r="O2247" s="112"/>
      <c r="P2247" s="111"/>
      <c r="Q2247" s="111"/>
      <c r="R2247" s="111"/>
      <c r="S2247" s="111"/>
      <c r="T2247" s="111"/>
      <c r="U2247" s="111"/>
      <c r="V2247" s="111"/>
      <c r="W2247" s="111"/>
      <c r="X2247" s="111"/>
      <c r="Y2247" s="111"/>
      <c r="Z2247" s="111"/>
      <c r="AA2247" s="111"/>
      <c r="AB2247" s="111"/>
      <c r="AC2247" s="111"/>
      <c r="AD2247" s="111"/>
      <c r="AE2247" s="111"/>
      <c r="AF2247" s="111"/>
      <c r="AG2247" s="111"/>
      <c r="AH2247" s="111"/>
    </row>
    <row r="2248">
      <c r="A2248" s="89"/>
      <c r="B2248" s="111"/>
      <c r="C2248" s="111"/>
      <c r="D2248" s="111"/>
      <c r="E2248" s="91"/>
      <c r="F2248" s="111"/>
      <c r="G2248" s="111"/>
      <c r="H2248" s="111"/>
      <c r="I2248" s="111"/>
      <c r="J2248" s="111"/>
      <c r="K2248" s="92"/>
      <c r="L2248" s="111"/>
      <c r="M2248" s="111"/>
      <c r="N2248" s="111"/>
      <c r="O2248" s="112"/>
      <c r="P2248" s="111"/>
      <c r="Q2248" s="111"/>
      <c r="R2248" s="111"/>
      <c r="S2248" s="111"/>
      <c r="T2248" s="111"/>
      <c r="U2248" s="111"/>
      <c r="V2248" s="111"/>
      <c r="W2248" s="111"/>
      <c r="X2248" s="111"/>
      <c r="Y2248" s="111"/>
      <c r="Z2248" s="111"/>
      <c r="AA2248" s="111"/>
      <c r="AB2248" s="111"/>
      <c r="AC2248" s="111"/>
      <c r="AD2248" s="111"/>
      <c r="AE2248" s="111"/>
      <c r="AF2248" s="111"/>
      <c r="AG2248" s="111"/>
      <c r="AH2248" s="111"/>
    </row>
    <row r="2249">
      <c r="A2249" s="89"/>
      <c r="B2249" s="111"/>
      <c r="C2249" s="111"/>
      <c r="D2249" s="111"/>
      <c r="E2249" s="91"/>
      <c r="F2249" s="111"/>
      <c r="G2249" s="111"/>
      <c r="H2249" s="111"/>
      <c r="I2249" s="111"/>
      <c r="J2249" s="111"/>
      <c r="K2249" s="92"/>
      <c r="L2249" s="111"/>
      <c r="M2249" s="111"/>
      <c r="N2249" s="111"/>
      <c r="O2249" s="112"/>
      <c r="P2249" s="111"/>
      <c r="Q2249" s="111"/>
      <c r="R2249" s="111"/>
      <c r="S2249" s="111"/>
      <c r="T2249" s="111"/>
      <c r="U2249" s="111"/>
      <c r="V2249" s="111"/>
      <c r="W2249" s="111"/>
      <c r="X2249" s="111"/>
      <c r="Y2249" s="111"/>
      <c r="Z2249" s="111"/>
      <c r="AA2249" s="111"/>
      <c r="AB2249" s="111"/>
      <c r="AC2249" s="111"/>
      <c r="AD2249" s="111"/>
      <c r="AE2249" s="111"/>
      <c r="AF2249" s="111"/>
      <c r="AG2249" s="111"/>
      <c r="AH2249" s="111"/>
    </row>
    <row r="2250">
      <c r="A2250" s="89"/>
      <c r="B2250" s="111"/>
      <c r="C2250" s="111"/>
      <c r="D2250" s="111"/>
      <c r="E2250" s="91"/>
      <c r="F2250" s="111"/>
      <c r="G2250" s="111"/>
      <c r="H2250" s="111"/>
      <c r="I2250" s="111"/>
      <c r="J2250" s="111"/>
      <c r="K2250" s="92"/>
      <c r="L2250" s="111"/>
      <c r="M2250" s="111"/>
      <c r="N2250" s="111"/>
      <c r="O2250" s="112"/>
      <c r="P2250" s="111"/>
      <c r="Q2250" s="111"/>
      <c r="R2250" s="111"/>
      <c r="S2250" s="111"/>
      <c r="T2250" s="111"/>
      <c r="U2250" s="111"/>
      <c r="V2250" s="111"/>
      <c r="W2250" s="111"/>
      <c r="X2250" s="111"/>
      <c r="Y2250" s="111"/>
      <c r="Z2250" s="111"/>
      <c r="AA2250" s="111"/>
      <c r="AB2250" s="111"/>
      <c r="AC2250" s="111"/>
      <c r="AD2250" s="111"/>
      <c r="AE2250" s="111"/>
      <c r="AF2250" s="111"/>
      <c r="AG2250" s="111"/>
      <c r="AH2250" s="111"/>
    </row>
    <row r="2251">
      <c r="A2251" s="89"/>
      <c r="B2251" s="111"/>
      <c r="C2251" s="111"/>
      <c r="D2251" s="111"/>
      <c r="E2251" s="91"/>
      <c r="F2251" s="111"/>
      <c r="G2251" s="111"/>
      <c r="H2251" s="111"/>
      <c r="I2251" s="111"/>
      <c r="J2251" s="111"/>
      <c r="K2251" s="92"/>
      <c r="L2251" s="111"/>
      <c r="M2251" s="111"/>
      <c r="N2251" s="111"/>
      <c r="O2251" s="112"/>
      <c r="P2251" s="111"/>
      <c r="Q2251" s="111"/>
      <c r="R2251" s="111"/>
      <c r="S2251" s="111"/>
      <c r="T2251" s="111"/>
      <c r="U2251" s="111"/>
      <c r="V2251" s="111"/>
      <c r="W2251" s="111"/>
      <c r="X2251" s="111"/>
      <c r="Y2251" s="111"/>
      <c r="Z2251" s="111"/>
      <c r="AA2251" s="111"/>
      <c r="AB2251" s="111"/>
      <c r="AC2251" s="111"/>
      <c r="AD2251" s="111"/>
      <c r="AE2251" s="111"/>
      <c r="AF2251" s="111"/>
      <c r="AG2251" s="111"/>
      <c r="AH2251" s="111"/>
    </row>
    <row r="2252">
      <c r="A2252" s="89"/>
      <c r="B2252" s="111"/>
      <c r="C2252" s="111"/>
      <c r="D2252" s="111"/>
      <c r="E2252" s="91"/>
      <c r="F2252" s="111"/>
      <c r="G2252" s="111"/>
      <c r="H2252" s="111"/>
      <c r="I2252" s="111"/>
      <c r="J2252" s="111"/>
      <c r="K2252" s="92"/>
      <c r="L2252" s="111"/>
      <c r="M2252" s="111"/>
      <c r="N2252" s="111"/>
      <c r="O2252" s="112"/>
      <c r="P2252" s="111"/>
      <c r="Q2252" s="111"/>
      <c r="R2252" s="111"/>
      <c r="S2252" s="111"/>
      <c r="T2252" s="111"/>
      <c r="U2252" s="111"/>
      <c r="V2252" s="111"/>
      <c r="W2252" s="111"/>
      <c r="X2252" s="111"/>
      <c r="Y2252" s="111"/>
      <c r="Z2252" s="111"/>
      <c r="AA2252" s="111"/>
      <c r="AB2252" s="111"/>
      <c r="AC2252" s="111"/>
      <c r="AD2252" s="111"/>
      <c r="AE2252" s="111"/>
      <c r="AF2252" s="111"/>
      <c r="AG2252" s="111"/>
      <c r="AH2252" s="111"/>
    </row>
    <row r="2253">
      <c r="A2253" s="89"/>
      <c r="B2253" s="111"/>
      <c r="C2253" s="111"/>
      <c r="D2253" s="111"/>
      <c r="E2253" s="91"/>
      <c r="F2253" s="111"/>
      <c r="G2253" s="111"/>
      <c r="H2253" s="111"/>
      <c r="I2253" s="111"/>
      <c r="J2253" s="111"/>
      <c r="K2253" s="92"/>
      <c r="L2253" s="111"/>
      <c r="M2253" s="111"/>
      <c r="N2253" s="111"/>
      <c r="O2253" s="112"/>
      <c r="P2253" s="111"/>
      <c r="Q2253" s="111"/>
      <c r="R2253" s="111"/>
      <c r="S2253" s="111"/>
      <c r="T2253" s="111"/>
      <c r="U2253" s="111"/>
      <c r="V2253" s="111"/>
      <c r="W2253" s="111"/>
      <c r="X2253" s="111"/>
      <c r="Y2253" s="111"/>
      <c r="Z2253" s="111"/>
      <c r="AA2253" s="111"/>
      <c r="AB2253" s="111"/>
      <c r="AC2253" s="111"/>
      <c r="AD2253" s="111"/>
      <c r="AE2253" s="111"/>
      <c r="AF2253" s="111"/>
      <c r="AG2253" s="111"/>
      <c r="AH2253" s="111"/>
    </row>
    <row r="2254">
      <c r="A2254" s="89"/>
      <c r="B2254" s="111"/>
      <c r="C2254" s="111"/>
      <c r="D2254" s="111"/>
      <c r="E2254" s="91"/>
      <c r="F2254" s="111"/>
      <c r="G2254" s="111"/>
      <c r="H2254" s="111"/>
      <c r="I2254" s="111"/>
      <c r="J2254" s="111"/>
      <c r="K2254" s="92"/>
      <c r="L2254" s="111"/>
      <c r="M2254" s="111"/>
      <c r="N2254" s="111"/>
      <c r="O2254" s="112"/>
      <c r="P2254" s="111"/>
      <c r="Q2254" s="111"/>
      <c r="R2254" s="111"/>
      <c r="S2254" s="111"/>
      <c r="T2254" s="111"/>
      <c r="U2254" s="111"/>
      <c r="V2254" s="111"/>
      <c r="W2254" s="111"/>
      <c r="X2254" s="111"/>
      <c r="Y2254" s="111"/>
      <c r="Z2254" s="111"/>
      <c r="AA2254" s="111"/>
      <c r="AB2254" s="111"/>
      <c r="AC2254" s="111"/>
      <c r="AD2254" s="111"/>
      <c r="AE2254" s="111"/>
      <c r="AF2254" s="111"/>
      <c r="AG2254" s="111"/>
      <c r="AH2254" s="111"/>
    </row>
    <row r="2255">
      <c r="A2255" s="89"/>
      <c r="B2255" s="111"/>
      <c r="C2255" s="111"/>
      <c r="D2255" s="111"/>
      <c r="E2255" s="91"/>
      <c r="F2255" s="111"/>
      <c r="G2255" s="111"/>
      <c r="H2255" s="111"/>
      <c r="I2255" s="111"/>
      <c r="J2255" s="111"/>
      <c r="K2255" s="92"/>
      <c r="L2255" s="111"/>
      <c r="M2255" s="111"/>
      <c r="N2255" s="111"/>
      <c r="O2255" s="112"/>
      <c r="P2255" s="111"/>
      <c r="Q2255" s="111"/>
      <c r="R2255" s="111"/>
      <c r="S2255" s="111"/>
      <c r="T2255" s="111"/>
      <c r="U2255" s="111"/>
      <c r="V2255" s="111"/>
      <c r="W2255" s="111"/>
      <c r="X2255" s="111"/>
      <c r="Y2255" s="111"/>
      <c r="Z2255" s="111"/>
      <c r="AA2255" s="111"/>
      <c r="AB2255" s="111"/>
      <c r="AC2255" s="111"/>
      <c r="AD2255" s="111"/>
      <c r="AE2255" s="111"/>
      <c r="AF2255" s="111"/>
      <c r="AG2255" s="111"/>
      <c r="AH2255" s="111"/>
    </row>
    <row r="2256">
      <c r="A2256" s="89"/>
      <c r="B2256" s="111"/>
      <c r="C2256" s="111"/>
      <c r="D2256" s="111"/>
      <c r="E2256" s="91"/>
      <c r="F2256" s="111"/>
      <c r="G2256" s="111"/>
      <c r="H2256" s="111"/>
      <c r="I2256" s="111"/>
      <c r="J2256" s="111"/>
      <c r="K2256" s="92"/>
      <c r="L2256" s="111"/>
      <c r="M2256" s="111"/>
      <c r="N2256" s="111"/>
      <c r="O2256" s="112"/>
      <c r="P2256" s="111"/>
      <c r="Q2256" s="111"/>
      <c r="R2256" s="111"/>
      <c r="S2256" s="111"/>
      <c r="T2256" s="111"/>
      <c r="U2256" s="111"/>
      <c r="V2256" s="111"/>
      <c r="W2256" s="111"/>
      <c r="X2256" s="111"/>
      <c r="Y2256" s="111"/>
      <c r="Z2256" s="111"/>
      <c r="AA2256" s="111"/>
      <c r="AB2256" s="111"/>
      <c r="AC2256" s="111"/>
      <c r="AD2256" s="111"/>
      <c r="AE2256" s="111"/>
      <c r="AF2256" s="111"/>
      <c r="AG2256" s="111"/>
      <c r="AH2256" s="111"/>
    </row>
    <row r="2257">
      <c r="A2257" s="89"/>
      <c r="B2257" s="111"/>
      <c r="C2257" s="111"/>
      <c r="D2257" s="111"/>
      <c r="E2257" s="91"/>
      <c r="F2257" s="111"/>
      <c r="G2257" s="111"/>
      <c r="H2257" s="111"/>
      <c r="I2257" s="111"/>
      <c r="J2257" s="111"/>
      <c r="K2257" s="92"/>
      <c r="L2257" s="111"/>
      <c r="M2257" s="111"/>
      <c r="N2257" s="111"/>
      <c r="O2257" s="112"/>
      <c r="P2257" s="111"/>
      <c r="Q2257" s="111"/>
      <c r="R2257" s="111"/>
      <c r="S2257" s="111"/>
      <c r="T2257" s="111"/>
      <c r="U2257" s="111"/>
      <c r="V2257" s="111"/>
      <c r="W2257" s="111"/>
      <c r="X2257" s="111"/>
      <c r="Y2257" s="111"/>
      <c r="Z2257" s="111"/>
      <c r="AA2257" s="111"/>
      <c r="AB2257" s="111"/>
      <c r="AC2257" s="111"/>
      <c r="AD2257" s="111"/>
      <c r="AE2257" s="111"/>
      <c r="AF2257" s="111"/>
      <c r="AG2257" s="111"/>
      <c r="AH2257" s="111"/>
    </row>
    <row r="2258">
      <c r="A2258" s="89"/>
      <c r="B2258" s="111"/>
      <c r="C2258" s="111"/>
      <c r="D2258" s="111"/>
      <c r="E2258" s="91"/>
      <c r="F2258" s="111"/>
      <c r="G2258" s="111"/>
      <c r="H2258" s="111"/>
      <c r="I2258" s="111"/>
      <c r="J2258" s="111"/>
      <c r="K2258" s="92"/>
      <c r="L2258" s="111"/>
      <c r="M2258" s="111"/>
      <c r="N2258" s="111"/>
      <c r="O2258" s="112"/>
      <c r="P2258" s="111"/>
      <c r="Q2258" s="111"/>
      <c r="R2258" s="111"/>
      <c r="S2258" s="111"/>
      <c r="T2258" s="111"/>
      <c r="U2258" s="111"/>
      <c r="V2258" s="111"/>
      <c r="W2258" s="111"/>
      <c r="X2258" s="111"/>
      <c r="Y2258" s="111"/>
      <c r="Z2258" s="111"/>
      <c r="AA2258" s="111"/>
      <c r="AB2258" s="111"/>
      <c r="AC2258" s="111"/>
      <c r="AD2258" s="111"/>
      <c r="AE2258" s="111"/>
      <c r="AF2258" s="111"/>
      <c r="AG2258" s="111"/>
      <c r="AH2258" s="111"/>
    </row>
    <row r="2259">
      <c r="A2259" s="89"/>
      <c r="B2259" s="111"/>
      <c r="C2259" s="111"/>
      <c r="D2259" s="111"/>
      <c r="E2259" s="91"/>
      <c r="F2259" s="111"/>
      <c r="G2259" s="111"/>
      <c r="H2259" s="111"/>
      <c r="I2259" s="111"/>
      <c r="J2259" s="111"/>
      <c r="K2259" s="92"/>
      <c r="L2259" s="111"/>
      <c r="M2259" s="111"/>
      <c r="N2259" s="111"/>
      <c r="O2259" s="112"/>
      <c r="P2259" s="111"/>
      <c r="Q2259" s="111"/>
      <c r="R2259" s="111"/>
      <c r="S2259" s="111"/>
      <c r="T2259" s="111"/>
      <c r="U2259" s="111"/>
      <c r="V2259" s="111"/>
      <c r="W2259" s="111"/>
      <c r="X2259" s="111"/>
      <c r="Y2259" s="111"/>
      <c r="Z2259" s="111"/>
      <c r="AA2259" s="111"/>
      <c r="AB2259" s="111"/>
      <c r="AC2259" s="111"/>
      <c r="AD2259" s="111"/>
      <c r="AE2259" s="111"/>
      <c r="AF2259" s="111"/>
      <c r="AG2259" s="111"/>
      <c r="AH2259" s="111"/>
    </row>
    <row r="2260">
      <c r="A2260" s="89"/>
      <c r="B2260" s="111"/>
      <c r="C2260" s="111"/>
      <c r="D2260" s="111"/>
      <c r="E2260" s="91"/>
      <c r="F2260" s="111"/>
      <c r="G2260" s="111"/>
      <c r="H2260" s="111"/>
      <c r="I2260" s="111"/>
      <c r="J2260" s="111"/>
      <c r="K2260" s="92"/>
      <c r="L2260" s="111"/>
      <c r="M2260" s="111"/>
      <c r="N2260" s="111"/>
      <c r="O2260" s="112"/>
      <c r="P2260" s="111"/>
      <c r="Q2260" s="111"/>
      <c r="R2260" s="111"/>
      <c r="S2260" s="111"/>
      <c r="T2260" s="111"/>
      <c r="U2260" s="111"/>
      <c r="V2260" s="111"/>
      <c r="W2260" s="111"/>
      <c r="X2260" s="111"/>
      <c r="Y2260" s="111"/>
      <c r="Z2260" s="111"/>
      <c r="AA2260" s="111"/>
      <c r="AB2260" s="111"/>
      <c r="AC2260" s="111"/>
      <c r="AD2260" s="111"/>
      <c r="AE2260" s="111"/>
      <c r="AF2260" s="111"/>
      <c r="AG2260" s="111"/>
      <c r="AH2260" s="111"/>
    </row>
    <row r="2261">
      <c r="A2261" s="89"/>
      <c r="B2261" s="111"/>
      <c r="C2261" s="111"/>
      <c r="D2261" s="111"/>
      <c r="E2261" s="91"/>
      <c r="F2261" s="111"/>
      <c r="G2261" s="111"/>
      <c r="H2261" s="111"/>
      <c r="I2261" s="111"/>
      <c r="J2261" s="111"/>
      <c r="K2261" s="92"/>
      <c r="L2261" s="111"/>
      <c r="M2261" s="111"/>
      <c r="N2261" s="111"/>
      <c r="O2261" s="112"/>
      <c r="P2261" s="111"/>
      <c r="Q2261" s="111"/>
      <c r="R2261" s="111"/>
      <c r="S2261" s="111"/>
      <c r="T2261" s="111"/>
      <c r="U2261" s="111"/>
      <c r="V2261" s="111"/>
      <c r="W2261" s="111"/>
      <c r="X2261" s="111"/>
      <c r="Y2261" s="111"/>
      <c r="Z2261" s="111"/>
      <c r="AA2261" s="111"/>
      <c r="AB2261" s="111"/>
      <c r="AC2261" s="111"/>
      <c r="AD2261" s="111"/>
      <c r="AE2261" s="111"/>
      <c r="AF2261" s="111"/>
      <c r="AG2261" s="111"/>
      <c r="AH2261" s="111"/>
    </row>
    <row r="2262">
      <c r="A2262" s="89"/>
      <c r="B2262" s="111"/>
      <c r="C2262" s="111"/>
      <c r="D2262" s="111"/>
      <c r="E2262" s="91"/>
      <c r="F2262" s="111"/>
      <c r="G2262" s="111"/>
      <c r="H2262" s="111"/>
      <c r="I2262" s="111"/>
      <c r="J2262" s="111"/>
      <c r="K2262" s="92"/>
      <c r="L2262" s="111"/>
      <c r="M2262" s="111"/>
      <c r="N2262" s="111"/>
      <c r="O2262" s="112"/>
      <c r="P2262" s="111"/>
      <c r="Q2262" s="111"/>
      <c r="R2262" s="111"/>
      <c r="S2262" s="111"/>
      <c r="T2262" s="111"/>
      <c r="U2262" s="111"/>
      <c r="V2262" s="111"/>
      <c r="W2262" s="111"/>
      <c r="X2262" s="111"/>
      <c r="Y2262" s="111"/>
      <c r="Z2262" s="111"/>
      <c r="AA2262" s="111"/>
      <c r="AB2262" s="111"/>
      <c r="AC2262" s="111"/>
      <c r="AD2262" s="111"/>
      <c r="AE2262" s="111"/>
      <c r="AF2262" s="111"/>
      <c r="AG2262" s="111"/>
      <c r="AH2262" s="111"/>
    </row>
    <row r="2263">
      <c r="A2263" s="89"/>
      <c r="B2263" s="111"/>
      <c r="C2263" s="111"/>
      <c r="D2263" s="111"/>
      <c r="E2263" s="91"/>
      <c r="F2263" s="111"/>
      <c r="G2263" s="111"/>
      <c r="H2263" s="111"/>
      <c r="I2263" s="111"/>
      <c r="J2263" s="111"/>
      <c r="K2263" s="92"/>
      <c r="L2263" s="111"/>
      <c r="M2263" s="111"/>
      <c r="N2263" s="111"/>
      <c r="O2263" s="112"/>
      <c r="P2263" s="111"/>
      <c r="Q2263" s="111"/>
      <c r="R2263" s="111"/>
      <c r="S2263" s="111"/>
      <c r="T2263" s="111"/>
      <c r="U2263" s="111"/>
      <c r="V2263" s="111"/>
      <c r="W2263" s="111"/>
      <c r="X2263" s="111"/>
      <c r="Y2263" s="111"/>
      <c r="Z2263" s="111"/>
      <c r="AA2263" s="111"/>
      <c r="AB2263" s="111"/>
      <c r="AC2263" s="111"/>
      <c r="AD2263" s="111"/>
      <c r="AE2263" s="111"/>
      <c r="AF2263" s="111"/>
      <c r="AG2263" s="111"/>
      <c r="AH2263" s="111"/>
    </row>
    <row r="2264">
      <c r="A2264" s="89"/>
      <c r="B2264" s="111"/>
      <c r="C2264" s="111"/>
      <c r="D2264" s="111"/>
      <c r="E2264" s="91"/>
      <c r="F2264" s="111"/>
      <c r="G2264" s="111"/>
      <c r="H2264" s="111"/>
      <c r="I2264" s="111"/>
      <c r="J2264" s="111"/>
      <c r="K2264" s="92"/>
      <c r="L2264" s="111"/>
      <c r="M2264" s="111"/>
      <c r="N2264" s="111"/>
      <c r="O2264" s="112"/>
      <c r="P2264" s="111"/>
      <c r="Q2264" s="111"/>
      <c r="R2264" s="111"/>
      <c r="S2264" s="111"/>
      <c r="T2264" s="111"/>
      <c r="U2264" s="111"/>
      <c r="V2264" s="111"/>
      <c r="W2264" s="111"/>
      <c r="X2264" s="111"/>
      <c r="Y2264" s="111"/>
      <c r="Z2264" s="111"/>
      <c r="AA2264" s="111"/>
      <c r="AB2264" s="111"/>
      <c r="AC2264" s="111"/>
      <c r="AD2264" s="111"/>
      <c r="AE2264" s="111"/>
      <c r="AF2264" s="111"/>
      <c r="AG2264" s="111"/>
      <c r="AH2264" s="111"/>
    </row>
    <row r="2265">
      <c r="A2265" s="89"/>
      <c r="B2265" s="111"/>
      <c r="C2265" s="111"/>
      <c r="D2265" s="111"/>
      <c r="E2265" s="91"/>
      <c r="F2265" s="111"/>
      <c r="G2265" s="111"/>
      <c r="H2265" s="111"/>
      <c r="I2265" s="111"/>
      <c r="J2265" s="111"/>
      <c r="K2265" s="92"/>
      <c r="L2265" s="111"/>
      <c r="M2265" s="111"/>
      <c r="N2265" s="111"/>
      <c r="O2265" s="112"/>
      <c r="P2265" s="111"/>
      <c r="Q2265" s="111"/>
      <c r="R2265" s="111"/>
      <c r="S2265" s="111"/>
      <c r="T2265" s="111"/>
      <c r="U2265" s="111"/>
      <c r="V2265" s="111"/>
      <c r="W2265" s="111"/>
      <c r="X2265" s="111"/>
      <c r="Y2265" s="111"/>
      <c r="Z2265" s="111"/>
      <c r="AA2265" s="111"/>
      <c r="AB2265" s="111"/>
      <c r="AC2265" s="111"/>
      <c r="AD2265" s="111"/>
      <c r="AE2265" s="111"/>
      <c r="AF2265" s="111"/>
      <c r="AG2265" s="111"/>
      <c r="AH2265" s="111"/>
    </row>
    <row r="2266">
      <c r="A2266" s="89"/>
      <c r="B2266" s="111"/>
      <c r="C2266" s="111"/>
      <c r="D2266" s="111"/>
      <c r="E2266" s="91"/>
      <c r="F2266" s="111"/>
      <c r="G2266" s="111"/>
      <c r="H2266" s="111"/>
      <c r="I2266" s="111"/>
      <c r="J2266" s="111"/>
      <c r="K2266" s="92"/>
      <c r="L2266" s="111"/>
      <c r="M2266" s="111"/>
      <c r="N2266" s="111"/>
      <c r="O2266" s="112"/>
      <c r="P2266" s="111"/>
      <c r="Q2266" s="111"/>
      <c r="R2266" s="111"/>
      <c r="S2266" s="111"/>
      <c r="T2266" s="111"/>
      <c r="U2266" s="111"/>
      <c r="V2266" s="111"/>
      <c r="W2266" s="111"/>
      <c r="X2266" s="111"/>
      <c r="Y2266" s="111"/>
      <c r="Z2266" s="111"/>
      <c r="AA2266" s="111"/>
      <c r="AB2266" s="111"/>
      <c r="AC2266" s="111"/>
      <c r="AD2266" s="111"/>
      <c r="AE2266" s="111"/>
      <c r="AF2266" s="111"/>
      <c r="AG2266" s="111"/>
      <c r="AH2266" s="111"/>
    </row>
    <row r="2267">
      <c r="A2267" s="89"/>
      <c r="B2267" s="111"/>
      <c r="C2267" s="111"/>
      <c r="D2267" s="111"/>
      <c r="E2267" s="91"/>
      <c r="F2267" s="111"/>
      <c r="G2267" s="111"/>
      <c r="H2267" s="111"/>
      <c r="I2267" s="111"/>
      <c r="J2267" s="111"/>
      <c r="K2267" s="92"/>
      <c r="L2267" s="111"/>
      <c r="M2267" s="111"/>
      <c r="N2267" s="111"/>
      <c r="O2267" s="112"/>
      <c r="P2267" s="111"/>
      <c r="Q2267" s="111"/>
      <c r="R2267" s="111"/>
      <c r="S2267" s="111"/>
      <c r="T2267" s="111"/>
      <c r="U2267" s="111"/>
      <c r="V2267" s="111"/>
      <c r="W2267" s="111"/>
      <c r="X2267" s="111"/>
      <c r="Y2267" s="111"/>
      <c r="Z2267" s="111"/>
      <c r="AA2267" s="111"/>
      <c r="AB2267" s="111"/>
      <c r="AC2267" s="111"/>
      <c r="AD2267" s="111"/>
      <c r="AE2267" s="111"/>
      <c r="AF2267" s="111"/>
      <c r="AG2267" s="111"/>
      <c r="AH2267" s="111"/>
    </row>
    <row r="2268">
      <c r="A2268" s="89"/>
      <c r="B2268" s="111"/>
      <c r="C2268" s="111"/>
      <c r="D2268" s="111"/>
      <c r="E2268" s="91"/>
      <c r="F2268" s="111"/>
      <c r="G2268" s="111"/>
      <c r="H2268" s="111"/>
      <c r="I2268" s="111"/>
      <c r="J2268" s="111"/>
      <c r="K2268" s="92"/>
      <c r="L2268" s="111"/>
      <c r="M2268" s="111"/>
      <c r="N2268" s="111"/>
      <c r="O2268" s="112"/>
      <c r="P2268" s="111"/>
      <c r="Q2268" s="111"/>
      <c r="R2268" s="111"/>
      <c r="S2268" s="111"/>
      <c r="T2268" s="111"/>
      <c r="U2268" s="111"/>
      <c r="V2268" s="111"/>
      <c r="W2268" s="111"/>
      <c r="X2268" s="111"/>
      <c r="Y2268" s="111"/>
      <c r="Z2268" s="111"/>
      <c r="AA2268" s="111"/>
      <c r="AB2268" s="111"/>
      <c r="AC2268" s="111"/>
      <c r="AD2268" s="111"/>
      <c r="AE2268" s="111"/>
      <c r="AF2268" s="111"/>
      <c r="AG2268" s="111"/>
      <c r="AH2268" s="111"/>
    </row>
    <row r="2269">
      <c r="A2269" s="89"/>
      <c r="B2269" s="111"/>
      <c r="C2269" s="111"/>
      <c r="D2269" s="111"/>
      <c r="E2269" s="91"/>
      <c r="F2269" s="111"/>
      <c r="G2269" s="111"/>
      <c r="H2269" s="111"/>
      <c r="I2269" s="111"/>
      <c r="J2269" s="111"/>
      <c r="K2269" s="92"/>
      <c r="L2269" s="111"/>
      <c r="M2269" s="111"/>
      <c r="N2269" s="111"/>
      <c r="O2269" s="112"/>
      <c r="P2269" s="111"/>
      <c r="Q2269" s="111"/>
      <c r="R2269" s="111"/>
      <c r="S2269" s="111"/>
      <c r="T2269" s="111"/>
      <c r="U2269" s="111"/>
      <c r="V2269" s="111"/>
      <c r="W2269" s="111"/>
      <c r="X2269" s="111"/>
      <c r="Y2269" s="111"/>
      <c r="Z2269" s="111"/>
      <c r="AA2269" s="111"/>
      <c r="AB2269" s="111"/>
      <c r="AC2269" s="111"/>
      <c r="AD2269" s="111"/>
      <c r="AE2269" s="111"/>
      <c r="AF2269" s="111"/>
      <c r="AG2269" s="111"/>
      <c r="AH2269" s="111"/>
    </row>
    <row r="2270">
      <c r="A2270" s="89"/>
      <c r="B2270" s="111"/>
      <c r="C2270" s="111"/>
      <c r="D2270" s="111"/>
      <c r="E2270" s="91"/>
      <c r="F2270" s="111"/>
      <c r="G2270" s="111"/>
      <c r="H2270" s="111"/>
      <c r="I2270" s="111"/>
      <c r="J2270" s="111"/>
      <c r="K2270" s="92"/>
      <c r="L2270" s="111"/>
      <c r="M2270" s="111"/>
      <c r="N2270" s="111"/>
      <c r="O2270" s="112"/>
      <c r="P2270" s="111"/>
      <c r="Q2270" s="111"/>
      <c r="R2270" s="111"/>
      <c r="S2270" s="111"/>
      <c r="T2270" s="111"/>
      <c r="U2270" s="111"/>
      <c r="V2270" s="111"/>
      <c r="W2270" s="111"/>
      <c r="X2270" s="111"/>
      <c r="Y2270" s="111"/>
      <c r="Z2270" s="111"/>
      <c r="AA2270" s="111"/>
      <c r="AB2270" s="111"/>
      <c r="AC2270" s="111"/>
      <c r="AD2270" s="111"/>
      <c r="AE2270" s="111"/>
      <c r="AF2270" s="111"/>
      <c r="AG2270" s="111"/>
      <c r="AH2270" s="111"/>
    </row>
    <row r="2271">
      <c r="A2271" s="89"/>
      <c r="B2271" s="111"/>
      <c r="C2271" s="111"/>
      <c r="D2271" s="111"/>
      <c r="E2271" s="91"/>
      <c r="F2271" s="111"/>
      <c r="G2271" s="111"/>
      <c r="H2271" s="111"/>
      <c r="I2271" s="111"/>
      <c r="J2271" s="111"/>
      <c r="K2271" s="92"/>
      <c r="L2271" s="111"/>
      <c r="M2271" s="111"/>
      <c r="N2271" s="111"/>
      <c r="O2271" s="112"/>
      <c r="P2271" s="111"/>
      <c r="Q2271" s="111"/>
      <c r="R2271" s="111"/>
      <c r="S2271" s="111"/>
      <c r="T2271" s="111"/>
      <c r="U2271" s="111"/>
      <c r="V2271" s="111"/>
      <c r="W2271" s="111"/>
      <c r="X2271" s="111"/>
      <c r="Y2271" s="111"/>
      <c r="Z2271" s="111"/>
      <c r="AA2271" s="111"/>
      <c r="AB2271" s="111"/>
      <c r="AC2271" s="111"/>
      <c r="AD2271" s="111"/>
      <c r="AE2271" s="111"/>
      <c r="AF2271" s="111"/>
      <c r="AG2271" s="111"/>
      <c r="AH2271" s="111"/>
    </row>
    <row r="2272">
      <c r="A2272" s="89"/>
      <c r="B2272" s="111"/>
      <c r="C2272" s="111"/>
      <c r="D2272" s="111"/>
      <c r="E2272" s="91"/>
      <c r="F2272" s="111"/>
      <c r="G2272" s="111"/>
      <c r="H2272" s="111"/>
      <c r="I2272" s="111"/>
      <c r="J2272" s="111"/>
      <c r="K2272" s="92"/>
      <c r="L2272" s="111"/>
      <c r="M2272" s="111"/>
      <c r="N2272" s="111"/>
      <c r="O2272" s="112"/>
      <c r="P2272" s="111"/>
      <c r="Q2272" s="111"/>
      <c r="R2272" s="111"/>
      <c r="S2272" s="111"/>
      <c r="T2272" s="111"/>
      <c r="U2272" s="111"/>
      <c r="V2272" s="111"/>
      <c r="W2272" s="111"/>
      <c r="X2272" s="111"/>
      <c r="Y2272" s="111"/>
      <c r="Z2272" s="111"/>
      <c r="AA2272" s="111"/>
      <c r="AB2272" s="111"/>
      <c r="AC2272" s="111"/>
      <c r="AD2272" s="111"/>
      <c r="AE2272" s="111"/>
      <c r="AF2272" s="111"/>
      <c r="AG2272" s="111"/>
      <c r="AH2272" s="111"/>
    </row>
    <row r="2273">
      <c r="A2273" s="89"/>
      <c r="B2273" s="111"/>
      <c r="C2273" s="111"/>
      <c r="D2273" s="111"/>
      <c r="E2273" s="91"/>
      <c r="F2273" s="111"/>
      <c r="G2273" s="111"/>
      <c r="H2273" s="111"/>
      <c r="I2273" s="111"/>
      <c r="J2273" s="111"/>
      <c r="K2273" s="92"/>
      <c r="L2273" s="111"/>
      <c r="M2273" s="111"/>
      <c r="N2273" s="111"/>
      <c r="O2273" s="112"/>
      <c r="P2273" s="111"/>
      <c r="Q2273" s="111"/>
      <c r="R2273" s="111"/>
      <c r="S2273" s="111"/>
      <c r="T2273" s="111"/>
      <c r="U2273" s="111"/>
      <c r="V2273" s="111"/>
      <c r="W2273" s="111"/>
      <c r="X2273" s="111"/>
      <c r="Y2273" s="111"/>
      <c r="Z2273" s="111"/>
      <c r="AA2273" s="111"/>
      <c r="AB2273" s="111"/>
      <c r="AC2273" s="111"/>
      <c r="AD2273" s="111"/>
      <c r="AE2273" s="111"/>
      <c r="AF2273" s="111"/>
      <c r="AG2273" s="111"/>
      <c r="AH2273" s="111"/>
    </row>
    <row r="2274">
      <c r="A2274" s="89"/>
      <c r="B2274" s="111"/>
      <c r="C2274" s="111"/>
      <c r="D2274" s="111"/>
      <c r="E2274" s="91"/>
      <c r="F2274" s="111"/>
      <c r="G2274" s="111"/>
      <c r="H2274" s="111"/>
      <c r="I2274" s="111"/>
      <c r="J2274" s="111"/>
      <c r="K2274" s="92"/>
      <c r="L2274" s="111"/>
      <c r="M2274" s="111"/>
      <c r="N2274" s="111"/>
      <c r="O2274" s="112"/>
      <c r="P2274" s="111"/>
      <c r="Q2274" s="111"/>
      <c r="R2274" s="111"/>
      <c r="S2274" s="111"/>
      <c r="T2274" s="111"/>
      <c r="U2274" s="111"/>
      <c r="V2274" s="111"/>
      <c r="W2274" s="111"/>
      <c r="X2274" s="111"/>
      <c r="Y2274" s="111"/>
      <c r="Z2274" s="111"/>
      <c r="AA2274" s="111"/>
      <c r="AB2274" s="111"/>
      <c r="AC2274" s="111"/>
      <c r="AD2274" s="111"/>
      <c r="AE2274" s="111"/>
      <c r="AF2274" s="111"/>
      <c r="AG2274" s="111"/>
      <c r="AH2274" s="111"/>
    </row>
    <row r="2275">
      <c r="A2275" s="89"/>
      <c r="B2275" s="111"/>
      <c r="C2275" s="111"/>
      <c r="D2275" s="111"/>
      <c r="E2275" s="91"/>
      <c r="F2275" s="111"/>
      <c r="G2275" s="111"/>
      <c r="H2275" s="111"/>
      <c r="I2275" s="111"/>
      <c r="J2275" s="111"/>
      <c r="K2275" s="92"/>
      <c r="L2275" s="111"/>
      <c r="M2275" s="111"/>
      <c r="N2275" s="111"/>
      <c r="O2275" s="112"/>
      <c r="P2275" s="111"/>
      <c r="Q2275" s="111"/>
      <c r="R2275" s="111"/>
      <c r="S2275" s="111"/>
      <c r="T2275" s="111"/>
      <c r="U2275" s="111"/>
      <c r="V2275" s="111"/>
      <c r="W2275" s="111"/>
      <c r="X2275" s="111"/>
      <c r="Y2275" s="111"/>
      <c r="Z2275" s="111"/>
      <c r="AA2275" s="111"/>
      <c r="AB2275" s="111"/>
      <c r="AC2275" s="111"/>
      <c r="AD2275" s="111"/>
      <c r="AE2275" s="111"/>
      <c r="AF2275" s="111"/>
      <c r="AG2275" s="111"/>
      <c r="AH2275" s="111"/>
    </row>
    <row r="2276">
      <c r="A2276" s="89"/>
      <c r="B2276" s="111"/>
      <c r="C2276" s="111"/>
      <c r="D2276" s="111"/>
      <c r="E2276" s="91"/>
      <c r="F2276" s="111"/>
      <c r="G2276" s="111"/>
      <c r="H2276" s="111"/>
      <c r="I2276" s="111"/>
      <c r="J2276" s="111"/>
      <c r="K2276" s="92"/>
      <c r="L2276" s="111"/>
      <c r="M2276" s="111"/>
      <c r="N2276" s="111"/>
      <c r="O2276" s="112"/>
      <c r="P2276" s="111"/>
      <c r="Q2276" s="111"/>
      <c r="R2276" s="111"/>
      <c r="S2276" s="111"/>
      <c r="T2276" s="111"/>
      <c r="U2276" s="111"/>
      <c r="V2276" s="111"/>
      <c r="W2276" s="111"/>
      <c r="X2276" s="111"/>
      <c r="Y2276" s="111"/>
      <c r="Z2276" s="111"/>
      <c r="AA2276" s="111"/>
      <c r="AB2276" s="111"/>
      <c r="AC2276" s="111"/>
      <c r="AD2276" s="111"/>
      <c r="AE2276" s="111"/>
      <c r="AF2276" s="111"/>
      <c r="AG2276" s="111"/>
      <c r="AH2276" s="111"/>
    </row>
    <row r="2277">
      <c r="A2277" s="89"/>
      <c r="B2277" s="111"/>
      <c r="C2277" s="111"/>
      <c r="D2277" s="111"/>
      <c r="E2277" s="91"/>
      <c r="F2277" s="111"/>
      <c r="G2277" s="111"/>
      <c r="H2277" s="111"/>
      <c r="I2277" s="111"/>
      <c r="J2277" s="111"/>
      <c r="K2277" s="92"/>
      <c r="L2277" s="111"/>
      <c r="M2277" s="111"/>
      <c r="N2277" s="111"/>
      <c r="O2277" s="112"/>
      <c r="P2277" s="111"/>
      <c r="Q2277" s="111"/>
      <c r="R2277" s="111"/>
      <c r="S2277" s="111"/>
      <c r="T2277" s="111"/>
      <c r="U2277" s="111"/>
      <c r="V2277" s="111"/>
      <c r="W2277" s="111"/>
      <c r="X2277" s="111"/>
      <c r="Y2277" s="111"/>
      <c r="Z2277" s="111"/>
      <c r="AA2277" s="111"/>
      <c r="AB2277" s="111"/>
      <c r="AC2277" s="111"/>
      <c r="AD2277" s="111"/>
      <c r="AE2277" s="111"/>
      <c r="AF2277" s="111"/>
      <c r="AG2277" s="111"/>
      <c r="AH2277" s="111"/>
    </row>
    <row r="2278">
      <c r="A2278" s="89"/>
      <c r="B2278" s="111"/>
      <c r="C2278" s="111"/>
      <c r="D2278" s="111"/>
      <c r="E2278" s="91"/>
      <c r="F2278" s="111"/>
      <c r="G2278" s="111"/>
      <c r="H2278" s="111"/>
      <c r="I2278" s="111"/>
      <c r="J2278" s="111"/>
      <c r="K2278" s="92"/>
      <c r="L2278" s="111"/>
      <c r="M2278" s="111"/>
      <c r="N2278" s="111"/>
      <c r="O2278" s="112"/>
      <c r="P2278" s="111"/>
      <c r="Q2278" s="111"/>
      <c r="R2278" s="111"/>
      <c r="S2278" s="111"/>
      <c r="T2278" s="111"/>
      <c r="U2278" s="111"/>
      <c r="V2278" s="111"/>
      <c r="W2278" s="111"/>
      <c r="X2278" s="111"/>
      <c r="Y2278" s="111"/>
      <c r="Z2278" s="111"/>
      <c r="AA2278" s="111"/>
      <c r="AB2278" s="111"/>
      <c r="AC2278" s="111"/>
      <c r="AD2278" s="111"/>
      <c r="AE2278" s="111"/>
      <c r="AF2278" s="111"/>
      <c r="AG2278" s="111"/>
      <c r="AH2278" s="111"/>
    </row>
    <row r="2279">
      <c r="A2279" s="89"/>
      <c r="B2279" s="111"/>
      <c r="C2279" s="111"/>
      <c r="D2279" s="111"/>
      <c r="E2279" s="91"/>
      <c r="F2279" s="111"/>
      <c r="G2279" s="111"/>
      <c r="H2279" s="111"/>
      <c r="I2279" s="111"/>
      <c r="J2279" s="111"/>
      <c r="K2279" s="92"/>
      <c r="L2279" s="111"/>
      <c r="M2279" s="111"/>
      <c r="N2279" s="111"/>
      <c r="O2279" s="112"/>
      <c r="P2279" s="111"/>
      <c r="Q2279" s="111"/>
      <c r="R2279" s="111"/>
      <c r="S2279" s="111"/>
      <c r="T2279" s="111"/>
      <c r="U2279" s="111"/>
      <c r="V2279" s="111"/>
      <c r="W2279" s="111"/>
      <c r="X2279" s="111"/>
      <c r="Y2279" s="111"/>
      <c r="Z2279" s="111"/>
      <c r="AA2279" s="111"/>
      <c r="AB2279" s="111"/>
      <c r="AC2279" s="111"/>
      <c r="AD2279" s="111"/>
      <c r="AE2279" s="111"/>
      <c r="AF2279" s="111"/>
      <c r="AG2279" s="111"/>
      <c r="AH2279" s="111"/>
    </row>
    <row r="2280">
      <c r="A2280" s="89"/>
      <c r="B2280" s="111"/>
      <c r="C2280" s="111"/>
      <c r="D2280" s="111"/>
      <c r="E2280" s="91"/>
      <c r="F2280" s="111"/>
      <c r="G2280" s="111"/>
      <c r="H2280" s="111"/>
      <c r="I2280" s="111"/>
      <c r="J2280" s="111"/>
      <c r="K2280" s="92"/>
      <c r="L2280" s="111"/>
      <c r="M2280" s="111"/>
      <c r="N2280" s="111"/>
      <c r="O2280" s="112"/>
      <c r="P2280" s="111"/>
      <c r="Q2280" s="111"/>
      <c r="R2280" s="111"/>
      <c r="S2280" s="111"/>
      <c r="T2280" s="111"/>
      <c r="U2280" s="111"/>
      <c r="V2280" s="111"/>
      <c r="W2280" s="111"/>
      <c r="X2280" s="111"/>
      <c r="Y2280" s="111"/>
      <c r="Z2280" s="111"/>
      <c r="AA2280" s="111"/>
      <c r="AB2280" s="111"/>
      <c r="AC2280" s="111"/>
      <c r="AD2280" s="111"/>
      <c r="AE2280" s="111"/>
      <c r="AF2280" s="111"/>
      <c r="AG2280" s="111"/>
      <c r="AH2280" s="111"/>
    </row>
    <row r="2281">
      <c r="A2281" s="89"/>
      <c r="B2281" s="111"/>
      <c r="C2281" s="111"/>
      <c r="D2281" s="111"/>
      <c r="E2281" s="91"/>
      <c r="F2281" s="111"/>
      <c r="G2281" s="111"/>
      <c r="H2281" s="111"/>
      <c r="I2281" s="111"/>
      <c r="J2281" s="111"/>
      <c r="K2281" s="92"/>
      <c r="L2281" s="111"/>
      <c r="M2281" s="111"/>
      <c r="N2281" s="111"/>
      <c r="O2281" s="112"/>
      <c r="P2281" s="111"/>
      <c r="Q2281" s="111"/>
      <c r="R2281" s="111"/>
      <c r="S2281" s="111"/>
      <c r="T2281" s="111"/>
      <c r="U2281" s="111"/>
      <c r="V2281" s="111"/>
      <c r="W2281" s="111"/>
      <c r="X2281" s="111"/>
      <c r="Y2281" s="111"/>
      <c r="Z2281" s="111"/>
      <c r="AA2281" s="111"/>
      <c r="AB2281" s="111"/>
      <c r="AC2281" s="111"/>
      <c r="AD2281" s="111"/>
      <c r="AE2281" s="111"/>
      <c r="AF2281" s="111"/>
      <c r="AG2281" s="111"/>
      <c r="AH2281" s="111"/>
    </row>
    <row r="2282">
      <c r="A2282" s="89"/>
      <c r="B2282" s="111"/>
      <c r="C2282" s="111"/>
      <c r="D2282" s="111"/>
      <c r="E2282" s="91"/>
      <c r="F2282" s="111"/>
      <c r="G2282" s="111"/>
      <c r="H2282" s="111"/>
      <c r="I2282" s="111"/>
      <c r="J2282" s="111"/>
      <c r="K2282" s="92"/>
      <c r="L2282" s="111"/>
      <c r="M2282" s="111"/>
      <c r="N2282" s="111"/>
      <c r="O2282" s="112"/>
      <c r="P2282" s="111"/>
      <c r="Q2282" s="111"/>
      <c r="R2282" s="111"/>
      <c r="S2282" s="111"/>
      <c r="T2282" s="111"/>
      <c r="U2282" s="111"/>
      <c r="V2282" s="111"/>
      <c r="W2282" s="111"/>
      <c r="X2282" s="111"/>
      <c r="Y2282" s="111"/>
      <c r="Z2282" s="111"/>
      <c r="AA2282" s="111"/>
      <c r="AB2282" s="111"/>
      <c r="AC2282" s="111"/>
      <c r="AD2282" s="111"/>
      <c r="AE2282" s="111"/>
      <c r="AF2282" s="111"/>
      <c r="AG2282" s="111"/>
      <c r="AH2282" s="111"/>
    </row>
    <row r="2283">
      <c r="A2283" s="89"/>
      <c r="B2283" s="111"/>
      <c r="C2283" s="111"/>
      <c r="D2283" s="111"/>
      <c r="E2283" s="91"/>
      <c r="F2283" s="111"/>
      <c r="G2283" s="111"/>
      <c r="H2283" s="111"/>
      <c r="I2283" s="111"/>
      <c r="J2283" s="111"/>
      <c r="K2283" s="92"/>
      <c r="L2283" s="111"/>
      <c r="M2283" s="111"/>
      <c r="N2283" s="111"/>
      <c r="O2283" s="112"/>
      <c r="P2283" s="111"/>
      <c r="Q2283" s="111"/>
      <c r="R2283" s="111"/>
      <c r="S2283" s="111"/>
      <c r="T2283" s="111"/>
      <c r="U2283" s="111"/>
      <c r="V2283" s="111"/>
      <c r="W2283" s="111"/>
      <c r="X2283" s="111"/>
      <c r="Y2283" s="111"/>
      <c r="Z2283" s="111"/>
      <c r="AA2283" s="111"/>
      <c r="AB2283" s="111"/>
      <c r="AC2283" s="111"/>
      <c r="AD2283" s="111"/>
      <c r="AE2283" s="111"/>
      <c r="AF2283" s="111"/>
      <c r="AG2283" s="111"/>
      <c r="AH2283" s="111"/>
    </row>
    <row r="2284">
      <c r="A2284" s="89"/>
      <c r="B2284" s="111"/>
      <c r="C2284" s="111"/>
      <c r="D2284" s="111"/>
      <c r="E2284" s="91"/>
      <c r="F2284" s="111"/>
      <c r="G2284" s="111"/>
      <c r="H2284" s="111"/>
      <c r="I2284" s="111"/>
      <c r="J2284" s="111"/>
      <c r="K2284" s="92"/>
      <c r="L2284" s="111"/>
      <c r="M2284" s="111"/>
      <c r="N2284" s="111"/>
      <c r="O2284" s="112"/>
      <c r="P2284" s="111"/>
      <c r="Q2284" s="111"/>
      <c r="R2284" s="111"/>
      <c r="S2284" s="111"/>
      <c r="T2284" s="111"/>
      <c r="U2284" s="111"/>
      <c r="V2284" s="111"/>
      <c r="W2284" s="111"/>
      <c r="X2284" s="111"/>
      <c r="Y2284" s="111"/>
      <c r="Z2284" s="111"/>
      <c r="AA2284" s="111"/>
      <c r="AB2284" s="111"/>
      <c r="AC2284" s="111"/>
      <c r="AD2284" s="111"/>
      <c r="AE2284" s="111"/>
      <c r="AF2284" s="111"/>
      <c r="AG2284" s="111"/>
      <c r="AH2284" s="111"/>
    </row>
    <row r="2285">
      <c r="A2285" s="89"/>
      <c r="B2285" s="111"/>
      <c r="C2285" s="111"/>
      <c r="D2285" s="111"/>
      <c r="E2285" s="91"/>
      <c r="F2285" s="111"/>
      <c r="G2285" s="111"/>
      <c r="H2285" s="111"/>
      <c r="I2285" s="111"/>
      <c r="J2285" s="111"/>
      <c r="K2285" s="92"/>
      <c r="L2285" s="111"/>
      <c r="M2285" s="111"/>
      <c r="N2285" s="111"/>
      <c r="O2285" s="112"/>
      <c r="P2285" s="111"/>
      <c r="Q2285" s="111"/>
      <c r="R2285" s="111"/>
      <c r="S2285" s="111"/>
      <c r="T2285" s="111"/>
      <c r="U2285" s="111"/>
      <c r="V2285" s="111"/>
      <c r="W2285" s="111"/>
      <c r="X2285" s="111"/>
      <c r="Y2285" s="111"/>
      <c r="Z2285" s="111"/>
      <c r="AA2285" s="111"/>
      <c r="AB2285" s="111"/>
      <c r="AC2285" s="111"/>
      <c r="AD2285" s="111"/>
      <c r="AE2285" s="111"/>
      <c r="AF2285" s="111"/>
      <c r="AG2285" s="111"/>
      <c r="AH2285" s="111"/>
    </row>
    <row r="2286">
      <c r="A2286" s="89"/>
      <c r="B2286" s="111"/>
      <c r="C2286" s="111"/>
      <c r="D2286" s="111"/>
      <c r="E2286" s="91"/>
      <c r="F2286" s="111"/>
      <c r="G2286" s="111"/>
      <c r="H2286" s="111"/>
      <c r="I2286" s="111"/>
      <c r="J2286" s="111"/>
      <c r="K2286" s="92"/>
      <c r="L2286" s="111"/>
      <c r="M2286" s="111"/>
      <c r="N2286" s="111"/>
      <c r="O2286" s="112"/>
      <c r="P2286" s="111"/>
      <c r="Q2286" s="111"/>
      <c r="R2286" s="111"/>
      <c r="S2286" s="111"/>
      <c r="T2286" s="111"/>
      <c r="U2286" s="111"/>
      <c r="V2286" s="111"/>
      <c r="W2286" s="111"/>
      <c r="X2286" s="111"/>
      <c r="Y2286" s="111"/>
      <c r="Z2286" s="111"/>
      <c r="AA2286" s="111"/>
      <c r="AB2286" s="111"/>
      <c r="AC2286" s="111"/>
      <c r="AD2286" s="111"/>
      <c r="AE2286" s="111"/>
      <c r="AF2286" s="111"/>
      <c r="AG2286" s="111"/>
      <c r="AH2286" s="111"/>
    </row>
    <row r="2287">
      <c r="A2287" s="89"/>
      <c r="B2287" s="111"/>
      <c r="C2287" s="111"/>
      <c r="D2287" s="111"/>
      <c r="E2287" s="91"/>
      <c r="F2287" s="111"/>
      <c r="G2287" s="111"/>
      <c r="H2287" s="111"/>
      <c r="I2287" s="111"/>
      <c r="J2287" s="111"/>
      <c r="K2287" s="92"/>
      <c r="L2287" s="111"/>
      <c r="M2287" s="111"/>
      <c r="N2287" s="111"/>
      <c r="O2287" s="112"/>
      <c r="P2287" s="111"/>
      <c r="Q2287" s="111"/>
      <c r="R2287" s="111"/>
      <c r="S2287" s="111"/>
      <c r="T2287" s="111"/>
      <c r="U2287" s="111"/>
      <c r="V2287" s="111"/>
      <c r="W2287" s="111"/>
      <c r="X2287" s="111"/>
      <c r="Y2287" s="111"/>
      <c r="Z2287" s="111"/>
      <c r="AA2287" s="111"/>
      <c r="AB2287" s="111"/>
      <c r="AC2287" s="111"/>
      <c r="AD2287" s="111"/>
      <c r="AE2287" s="111"/>
      <c r="AF2287" s="111"/>
      <c r="AG2287" s="111"/>
      <c r="AH2287" s="111"/>
    </row>
    <row r="2288">
      <c r="A2288" s="89"/>
      <c r="B2288" s="111"/>
      <c r="C2288" s="111"/>
      <c r="D2288" s="111"/>
      <c r="E2288" s="91"/>
      <c r="F2288" s="111"/>
      <c r="G2288" s="111"/>
      <c r="H2288" s="111"/>
      <c r="I2288" s="111"/>
      <c r="J2288" s="111"/>
      <c r="K2288" s="92"/>
      <c r="L2288" s="111"/>
      <c r="M2288" s="111"/>
      <c r="N2288" s="111"/>
      <c r="O2288" s="112"/>
      <c r="P2288" s="111"/>
      <c r="Q2288" s="111"/>
      <c r="R2288" s="111"/>
      <c r="S2288" s="111"/>
      <c r="T2288" s="111"/>
      <c r="U2288" s="111"/>
      <c r="V2288" s="111"/>
      <c r="W2288" s="111"/>
      <c r="X2288" s="111"/>
      <c r="Y2288" s="111"/>
      <c r="Z2288" s="111"/>
      <c r="AA2288" s="111"/>
      <c r="AB2288" s="111"/>
      <c r="AC2288" s="111"/>
      <c r="AD2288" s="111"/>
      <c r="AE2288" s="111"/>
      <c r="AF2288" s="111"/>
      <c r="AG2288" s="111"/>
      <c r="AH2288" s="111"/>
    </row>
    <row r="2289">
      <c r="A2289" s="89"/>
      <c r="B2289" s="111"/>
      <c r="C2289" s="111"/>
      <c r="D2289" s="111"/>
      <c r="E2289" s="91"/>
      <c r="F2289" s="111"/>
      <c r="G2289" s="111"/>
      <c r="H2289" s="111"/>
      <c r="I2289" s="111"/>
      <c r="J2289" s="111"/>
      <c r="K2289" s="92"/>
      <c r="L2289" s="111"/>
      <c r="M2289" s="111"/>
      <c r="N2289" s="111"/>
      <c r="O2289" s="112"/>
      <c r="P2289" s="111"/>
      <c r="Q2289" s="111"/>
      <c r="R2289" s="111"/>
      <c r="S2289" s="111"/>
      <c r="T2289" s="111"/>
      <c r="U2289" s="111"/>
      <c r="V2289" s="111"/>
      <c r="W2289" s="111"/>
      <c r="X2289" s="111"/>
      <c r="Y2289" s="111"/>
      <c r="Z2289" s="111"/>
      <c r="AA2289" s="111"/>
      <c r="AB2289" s="111"/>
      <c r="AC2289" s="111"/>
      <c r="AD2289" s="111"/>
      <c r="AE2289" s="111"/>
      <c r="AF2289" s="111"/>
      <c r="AG2289" s="111"/>
      <c r="AH2289" s="111"/>
    </row>
    <row r="2290">
      <c r="A2290" s="89"/>
      <c r="B2290" s="111"/>
      <c r="C2290" s="111"/>
      <c r="D2290" s="111"/>
      <c r="E2290" s="91"/>
      <c r="F2290" s="111"/>
      <c r="G2290" s="111"/>
      <c r="H2290" s="111"/>
      <c r="I2290" s="111"/>
      <c r="J2290" s="111"/>
      <c r="K2290" s="92"/>
      <c r="L2290" s="111"/>
      <c r="M2290" s="111"/>
      <c r="N2290" s="111"/>
      <c r="O2290" s="112"/>
      <c r="P2290" s="111"/>
      <c r="Q2290" s="111"/>
      <c r="R2290" s="111"/>
      <c r="S2290" s="111"/>
      <c r="T2290" s="111"/>
      <c r="U2290" s="111"/>
      <c r="V2290" s="111"/>
      <c r="W2290" s="111"/>
      <c r="X2290" s="111"/>
      <c r="Y2290" s="111"/>
      <c r="Z2290" s="111"/>
      <c r="AA2290" s="111"/>
      <c r="AB2290" s="111"/>
      <c r="AC2290" s="111"/>
      <c r="AD2290" s="111"/>
      <c r="AE2290" s="111"/>
      <c r="AF2290" s="111"/>
      <c r="AG2290" s="111"/>
      <c r="AH2290" s="111"/>
    </row>
    <row r="2291">
      <c r="A2291" s="89"/>
      <c r="B2291" s="111"/>
      <c r="C2291" s="111"/>
      <c r="D2291" s="111"/>
      <c r="E2291" s="91"/>
      <c r="F2291" s="111"/>
      <c r="G2291" s="111"/>
      <c r="H2291" s="111"/>
      <c r="I2291" s="111"/>
      <c r="J2291" s="111"/>
      <c r="K2291" s="92"/>
      <c r="L2291" s="111"/>
      <c r="M2291" s="111"/>
      <c r="N2291" s="111"/>
      <c r="O2291" s="112"/>
      <c r="P2291" s="111"/>
      <c r="Q2291" s="111"/>
      <c r="R2291" s="111"/>
      <c r="S2291" s="111"/>
      <c r="T2291" s="111"/>
      <c r="U2291" s="111"/>
      <c r="V2291" s="111"/>
      <c r="W2291" s="111"/>
      <c r="X2291" s="111"/>
      <c r="Y2291" s="111"/>
      <c r="Z2291" s="111"/>
      <c r="AA2291" s="111"/>
      <c r="AB2291" s="111"/>
      <c r="AC2291" s="111"/>
      <c r="AD2291" s="111"/>
      <c r="AE2291" s="111"/>
      <c r="AF2291" s="111"/>
      <c r="AG2291" s="111"/>
      <c r="AH2291" s="111"/>
    </row>
    <row r="2292">
      <c r="A2292" s="89"/>
      <c r="B2292" s="111"/>
      <c r="C2292" s="111"/>
      <c r="D2292" s="111"/>
      <c r="E2292" s="91"/>
      <c r="F2292" s="111"/>
      <c r="G2292" s="111"/>
      <c r="H2292" s="111"/>
      <c r="I2292" s="111"/>
      <c r="J2292" s="111"/>
      <c r="K2292" s="92"/>
      <c r="L2292" s="111"/>
      <c r="M2292" s="111"/>
      <c r="N2292" s="111"/>
      <c r="O2292" s="112"/>
      <c r="P2292" s="111"/>
      <c r="Q2292" s="111"/>
      <c r="R2292" s="111"/>
      <c r="S2292" s="111"/>
      <c r="T2292" s="111"/>
      <c r="U2292" s="111"/>
      <c r="V2292" s="111"/>
      <c r="W2292" s="111"/>
      <c r="X2292" s="111"/>
      <c r="Y2292" s="111"/>
      <c r="Z2292" s="111"/>
      <c r="AA2292" s="111"/>
      <c r="AB2292" s="111"/>
      <c r="AC2292" s="111"/>
      <c r="AD2292" s="111"/>
      <c r="AE2292" s="111"/>
      <c r="AF2292" s="111"/>
      <c r="AG2292" s="111"/>
      <c r="AH2292" s="111"/>
    </row>
    <row r="2293">
      <c r="A2293" s="89"/>
      <c r="B2293" s="111"/>
      <c r="C2293" s="111"/>
      <c r="D2293" s="111"/>
      <c r="E2293" s="91"/>
      <c r="F2293" s="111"/>
      <c r="G2293" s="111"/>
      <c r="H2293" s="111"/>
      <c r="I2293" s="111"/>
      <c r="J2293" s="111"/>
      <c r="K2293" s="92"/>
      <c r="L2293" s="111"/>
      <c r="M2293" s="111"/>
      <c r="N2293" s="111"/>
      <c r="O2293" s="112"/>
      <c r="P2293" s="111"/>
      <c r="Q2293" s="111"/>
      <c r="R2293" s="111"/>
      <c r="S2293" s="111"/>
      <c r="T2293" s="111"/>
      <c r="U2293" s="111"/>
      <c r="V2293" s="111"/>
      <c r="W2293" s="111"/>
      <c r="X2293" s="111"/>
      <c r="Y2293" s="111"/>
      <c r="Z2293" s="111"/>
      <c r="AA2293" s="111"/>
      <c r="AB2293" s="111"/>
      <c r="AC2293" s="111"/>
      <c r="AD2293" s="111"/>
      <c r="AE2293" s="111"/>
      <c r="AF2293" s="111"/>
      <c r="AG2293" s="111"/>
      <c r="AH2293" s="111"/>
    </row>
    <row r="2294">
      <c r="A2294" s="89"/>
      <c r="B2294" s="111"/>
      <c r="C2294" s="111"/>
      <c r="D2294" s="111"/>
      <c r="E2294" s="91"/>
      <c r="F2294" s="111"/>
      <c r="G2294" s="111"/>
      <c r="H2294" s="111"/>
      <c r="I2294" s="111"/>
      <c r="J2294" s="111"/>
      <c r="K2294" s="92"/>
      <c r="L2294" s="111"/>
      <c r="M2294" s="111"/>
      <c r="N2294" s="111"/>
      <c r="O2294" s="112"/>
      <c r="P2294" s="111"/>
      <c r="Q2294" s="111"/>
      <c r="R2294" s="111"/>
      <c r="S2294" s="111"/>
      <c r="T2294" s="111"/>
      <c r="U2294" s="111"/>
      <c r="V2294" s="111"/>
      <c r="W2294" s="111"/>
      <c r="X2294" s="111"/>
      <c r="Y2294" s="111"/>
      <c r="Z2294" s="111"/>
      <c r="AA2294" s="111"/>
      <c r="AB2294" s="111"/>
      <c r="AC2294" s="111"/>
      <c r="AD2294" s="111"/>
      <c r="AE2294" s="111"/>
      <c r="AF2294" s="111"/>
      <c r="AG2294" s="111"/>
      <c r="AH2294" s="111"/>
    </row>
    <row r="2295">
      <c r="A2295" s="89"/>
      <c r="B2295" s="111"/>
      <c r="C2295" s="111"/>
      <c r="D2295" s="111"/>
      <c r="E2295" s="91"/>
      <c r="F2295" s="111"/>
      <c r="G2295" s="111"/>
      <c r="H2295" s="111"/>
      <c r="I2295" s="111"/>
      <c r="J2295" s="111"/>
      <c r="K2295" s="92"/>
      <c r="L2295" s="111"/>
      <c r="M2295" s="111"/>
      <c r="N2295" s="111"/>
      <c r="O2295" s="112"/>
      <c r="P2295" s="111"/>
      <c r="Q2295" s="111"/>
      <c r="R2295" s="111"/>
      <c r="S2295" s="111"/>
      <c r="T2295" s="111"/>
      <c r="U2295" s="111"/>
      <c r="V2295" s="111"/>
      <c r="W2295" s="111"/>
      <c r="X2295" s="111"/>
      <c r="Y2295" s="111"/>
      <c r="Z2295" s="111"/>
      <c r="AA2295" s="111"/>
      <c r="AB2295" s="111"/>
      <c r="AC2295" s="111"/>
      <c r="AD2295" s="111"/>
      <c r="AE2295" s="111"/>
      <c r="AF2295" s="111"/>
      <c r="AG2295" s="111"/>
      <c r="AH2295" s="111"/>
    </row>
    <row r="2296">
      <c r="A2296" s="89"/>
      <c r="B2296" s="111"/>
      <c r="C2296" s="111"/>
      <c r="D2296" s="111"/>
      <c r="E2296" s="91"/>
      <c r="F2296" s="111"/>
      <c r="G2296" s="111"/>
      <c r="H2296" s="111"/>
      <c r="I2296" s="111"/>
      <c r="J2296" s="111"/>
      <c r="K2296" s="92"/>
      <c r="L2296" s="111"/>
      <c r="M2296" s="111"/>
      <c r="N2296" s="111"/>
      <c r="O2296" s="112"/>
      <c r="P2296" s="111"/>
      <c r="Q2296" s="111"/>
      <c r="R2296" s="111"/>
      <c r="S2296" s="111"/>
      <c r="T2296" s="111"/>
      <c r="U2296" s="111"/>
      <c r="V2296" s="111"/>
      <c r="W2296" s="111"/>
      <c r="X2296" s="111"/>
      <c r="Y2296" s="111"/>
      <c r="Z2296" s="111"/>
      <c r="AA2296" s="111"/>
      <c r="AB2296" s="111"/>
      <c r="AC2296" s="111"/>
      <c r="AD2296" s="111"/>
      <c r="AE2296" s="111"/>
      <c r="AF2296" s="111"/>
      <c r="AG2296" s="111"/>
      <c r="AH2296" s="111"/>
    </row>
    <row r="2297">
      <c r="A2297" s="89"/>
      <c r="B2297" s="111"/>
      <c r="C2297" s="111"/>
      <c r="D2297" s="111"/>
      <c r="E2297" s="91"/>
      <c r="F2297" s="111"/>
      <c r="G2297" s="111"/>
      <c r="H2297" s="111"/>
      <c r="I2297" s="111"/>
      <c r="J2297" s="111"/>
      <c r="K2297" s="92"/>
      <c r="L2297" s="111"/>
      <c r="M2297" s="111"/>
      <c r="N2297" s="111"/>
      <c r="O2297" s="112"/>
      <c r="P2297" s="111"/>
      <c r="Q2297" s="111"/>
      <c r="R2297" s="111"/>
      <c r="S2297" s="111"/>
      <c r="T2297" s="111"/>
      <c r="U2297" s="111"/>
      <c r="V2297" s="111"/>
      <c r="W2297" s="111"/>
      <c r="X2297" s="111"/>
      <c r="Y2297" s="111"/>
      <c r="Z2297" s="111"/>
      <c r="AA2297" s="111"/>
      <c r="AB2297" s="111"/>
      <c r="AC2297" s="111"/>
      <c r="AD2297" s="111"/>
      <c r="AE2297" s="111"/>
      <c r="AF2297" s="111"/>
      <c r="AG2297" s="111"/>
      <c r="AH2297" s="111"/>
    </row>
    <row r="2298">
      <c r="A2298" s="89"/>
      <c r="B2298" s="111"/>
      <c r="C2298" s="111"/>
      <c r="D2298" s="111"/>
      <c r="E2298" s="91"/>
      <c r="F2298" s="111"/>
      <c r="G2298" s="111"/>
      <c r="H2298" s="111"/>
      <c r="I2298" s="111"/>
      <c r="J2298" s="111"/>
      <c r="K2298" s="92"/>
      <c r="L2298" s="111"/>
      <c r="M2298" s="111"/>
      <c r="N2298" s="111"/>
      <c r="O2298" s="112"/>
      <c r="P2298" s="111"/>
      <c r="Q2298" s="111"/>
      <c r="R2298" s="111"/>
      <c r="S2298" s="111"/>
      <c r="T2298" s="111"/>
      <c r="U2298" s="111"/>
      <c r="V2298" s="111"/>
      <c r="W2298" s="111"/>
      <c r="X2298" s="111"/>
      <c r="Y2298" s="111"/>
      <c r="Z2298" s="111"/>
      <c r="AA2298" s="111"/>
      <c r="AB2298" s="111"/>
      <c r="AC2298" s="111"/>
      <c r="AD2298" s="111"/>
      <c r="AE2298" s="111"/>
      <c r="AF2298" s="111"/>
      <c r="AG2298" s="111"/>
      <c r="AH2298" s="111"/>
    </row>
    <row r="2299">
      <c r="A2299" s="89"/>
      <c r="B2299" s="111"/>
      <c r="C2299" s="111"/>
      <c r="D2299" s="111"/>
      <c r="E2299" s="91"/>
      <c r="F2299" s="111"/>
      <c r="G2299" s="111"/>
      <c r="H2299" s="111"/>
      <c r="I2299" s="111"/>
      <c r="J2299" s="111"/>
      <c r="K2299" s="92"/>
      <c r="L2299" s="111"/>
      <c r="M2299" s="111"/>
      <c r="N2299" s="111"/>
      <c r="O2299" s="112"/>
      <c r="P2299" s="111"/>
      <c r="Q2299" s="111"/>
      <c r="R2299" s="111"/>
      <c r="S2299" s="111"/>
      <c r="T2299" s="111"/>
      <c r="U2299" s="111"/>
      <c r="V2299" s="111"/>
      <c r="W2299" s="111"/>
      <c r="X2299" s="111"/>
      <c r="Y2299" s="111"/>
      <c r="Z2299" s="111"/>
      <c r="AA2299" s="111"/>
      <c r="AB2299" s="111"/>
      <c r="AC2299" s="111"/>
      <c r="AD2299" s="111"/>
      <c r="AE2299" s="111"/>
      <c r="AF2299" s="111"/>
      <c r="AG2299" s="111"/>
      <c r="AH2299" s="111"/>
    </row>
    <row r="2300">
      <c r="A2300" s="89"/>
      <c r="B2300" s="111"/>
      <c r="C2300" s="111"/>
      <c r="D2300" s="111"/>
      <c r="E2300" s="91"/>
      <c r="F2300" s="111"/>
      <c r="G2300" s="111"/>
      <c r="H2300" s="111"/>
      <c r="I2300" s="111"/>
      <c r="J2300" s="111"/>
      <c r="K2300" s="92"/>
      <c r="L2300" s="111"/>
      <c r="M2300" s="111"/>
      <c r="N2300" s="111"/>
      <c r="O2300" s="112"/>
      <c r="P2300" s="111"/>
      <c r="Q2300" s="111"/>
      <c r="R2300" s="111"/>
      <c r="S2300" s="111"/>
      <c r="T2300" s="111"/>
      <c r="U2300" s="111"/>
      <c r="V2300" s="111"/>
      <c r="W2300" s="111"/>
      <c r="X2300" s="111"/>
      <c r="Y2300" s="111"/>
      <c r="Z2300" s="111"/>
      <c r="AA2300" s="111"/>
      <c r="AB2300" s="111"/>
      <c r="AC2300" s="111"/>
      <c r="AD2300" s="111"/>
      <c r="AE2300" s="111"/>
      <c r="AF2300" s="111"/>
      <c r="AG2300" s="111"/>
      <c r="AH2300" s="111"/>
    </row>
    <row r="2301">
      <c r="A2301" s="89"/>
      <c r="B2301" s="111"/>
      <c r="C2301" s="111"/>
      <c r="D2301" s="111"/>
      <c r="E2301" s="91"/>
      <c r="F2301" s="111"/>
      <c r="G2301" s="111"/>
      <c r="H2301" s="111"/>
      <c r="I2301" s="111"/>
      <c r="J2301" s="111"/>
      <c r="K2301" s="92"/>
      <c r="L2301" s="111"/>
      <c r="M2301" s="111"/>
      <c r="N2301" s="111"/>
      <c r="O2301" s="112"/>
      <c r="P2301" s="111"/>
      <c r="Q2301" s="111"/>
      <c r="R2301" s="111"/>
      <c r="S2301" s="111"/>
      <c r="T2301" s="111"/>
      <c r="U2301" s="111"/>
      <c r="V2301" s="111"/>
      <c r="W2301" s="111"/>
      <c r="X2301" s="111"/>
      <c r="Y2301" s="111"/>
      <c r="Z2301" s="111"/>
      <c r="AA2301" s="111"/>
      <c r="AB2301" s="111"/>
      <c r="AC2301" s="111"/>
      <c r="AD2301" s="111"/>
      <c r="AE2301" s="111"/>
      <c r="AF2301" s="111"/>
      <c r="AG2301" s="111"/>
      <c r="AH2301" s="111"/>
    </row>
    <row r="2302">
      <c r="A2302" s="89"/>
      <c r="B2302" s="111"/>
      <c r="C2302" s="111"/>
      <c r="D2302" s="111"/>
      <c r="E2302" s="91"/>
      <c r="F2302" s="111"/>
      <c r="G2302" s="111"/>
      <c r="H2302" s="111"/>
      <c r="I2302" s="111"/>
      <c r="J2302" s="111"/>
      <c r="K2302" s="92"/>
      <c r="L2302" s="111"/>
      <c r="M2302" s="111"/>
      <c r="N2302" s="111"/>
      <c r="O2302" s="112"/>
      <c r="P2302" s="111"/>
      <c r="Q2302" s="111"/>
      <c r="R2302" s="111"/>
      <c r="S2302" s="111"/>
      <c r="T2302" s="111"/>
      <c r="U2302" s="111"/>
      <c r="V2302" s="111"/>
      <c r="W2302" s="111"/>
      <c r="X2302" s="111"/>
      <c r="Y2302" s="111"/>
      <c r="Z2302" s="111"/>
      <c r="AA2302" s="111"/>
      <c r="AB2302" s="111"/>
      <c r="AC2302" s="111"/>
      <c r="AD2302" s="111"/>
      <c r="AE2302" s="111"/>
      <c r="AF2302" s="111"/>
      <c r="AG2302" s="111"/>
      <c r="AH2302" s="111"/>
    </row>
    <row r="2303">
      <c r="A2303" s="89"/>
      <c r="B2303" s="111"/>
      <c r="C2303" s="111"/>
      <c r="D2303" s="111"/>
      <c r="E2303" s="91"/>
      <c r="F2303" s="111"/>
      <c r="G2303" s="111"/>
      <c r="H2303" s="111"/>
      <c r="I2303" s="111"/>
      <c r="J2303" s="111"/>
      <c r="K2303" s="92"/>
      <c r="L2303" s="111"/>
      <c r="M2303" s="111"/>
      <c r="N2303" s="111"/>
      <c r="O2303" s="112"/>
      <c r="P2303" s="111"/>
      <c r="Q2303" s="111"/>
      <c r="R2303" s="111"/>
      <c r="S2303" s="111"/>
      <c r="T2303" s="111"/>
      <c r="U2303" s="111"/>
      <c r="V2303" s="111"/>
      <c r="W2303" s="111"/>
      <c r="X2303" s="111"/>
      <c r="Y2303" s="111"/>
      <c r="Z2303" s="111"/>
      <c r="AA2303" s="111"/>
      <c r="AB2303" s="111"/>
      <c r="AC2303" s="111"/>
      <c r="AD2303" s="111"/>
      <c r="AE2303" s="111"/>
      <c r="AF2303" s="111"/>
      <c r="AG2303" s="111"/>
      <c r="AH2303" s="111"/>
    </row>
    <row r="2304">
      <c r="A2304" s="89"/>
      <c r="B2304" s="111"/>
      <c r="C2304" s="111"/>
      <c r="D2304" s="111"/>
      <c r="E2304" s="91"/>
      <c r="F2304" s="111"/>
      <c r="G2304" s="111"/>
      <c r="H2304" s="111"/>
      <c r="I2304" s="111"/>
      <c r="J2304" s="111"/>
      <c r="K2304" s="92"/>
      <c r="L2304" s="111"/>
      <c r="M2304" s="111"/>
      <c r="N2304" s="111"/>
      <c r="O2304" s="112"/>
      <c r="P2304" s="111"/>
      <c r="Q2304" s="111"/>
      <c r="R2304" s="111"/>
      <c r="S2304" s="111"/>
      <c r="T2304" s="111"/>
      <c r="U2304" s="111"/>
      <c r="V2304" s="111"/>
      <c r="W2304" s="111"/>
      <c r="X2304" s="111"/>
      <c r="Y2304" s="111"/>
      <c r="Z2304" s="111"/>
      <c r="AA2304" s="111"/>
      <c r="AB2304" s="111"/>
      <c r="AC2304" s="111"/>
      <c r="AD2304" s="111"/>
      <c r="AE2304" s="111"/>
      <c r="AF2304" s="111"/>
      <c r="AG2304" s="111"/>
      <c r="AH2304" s="111"/>
    </row>
    <row r="2305">
      <c r="A2305" s="89"/>
      <c r="B2305" s="111"/>
      <c r="C2305" s="111"/>
      <c r="D2305" s="111"/>
      <c r="E2305" s="91"/>
      <c r="F2305" s="111"/>
      <c r="G2305" s="111"/>
      <c r="H2305" s="111"/>
      <c r="I2305" s="111"/>
      <c r="J2305" s="111"/>
      <c r="K2305" s="92"/>
      <c r="L2305" s="111"/>
      <c r="M2305" s="111"/>
      <c r="N2305" s="111"/>
      <c r="O2305" s="112"/>
      <c r="P2305" s="111"/>
      <c r="Q2305" s="111"/>
      <c r="R2305" s="111"/>
      <c r="S2305" s="111"/>
      <c r="T2305" s="111"/>
      <c r="U2305" s="111"/>
      <c r="V2305" s="111"/>
      <c r="W2305" s="111"/>
      <c r="X2305" s="111"/>
      <c r="Y2305" s="111"/>
      <c r="Z2305" s="111"/>
      <c r="AA2305" s="111"/>
      <c r="AB2305" s="111"/>
      <c r="AC2305" s="111"/>
      <c r="AD2305" s="111"/>
      <c r="AE2305" s="111"/>
      <c r="AF2305" s="111"/>
      <c r="AG2305" s="111"/>
      <c r="AH2305" s="111"/>
    </row>
    <row r="2306">
      <c r="A2306" s="89"/>
      <c r="B2306" s="111"/>
      <c r="C2306" s="111"/>
      <c r="D2306" s="111"/>
      <c r="E2306" s="91"/>
      <c r="F2306" s="111"/>
      <c r="G2306" s="111"/>
      <c r="H2306" s="111"/>
      <c r="I2306" s="111"/>
      <c r="J2306" s="111"/>
      <c r="K2306" s="92"/>
      <c r="L2306" s="111"/>
      <c r="M2306" s="111"/>
      <c r="N2306" s="111"/>
      <c r="O2306" s="112"/>
      <c r="P2306" s="111"/>
      <c r="Q2306" s="111"/>
      <c r="R2306" s="111"/>
      <c r="S2306" s="111"/>
      <c r="T2306" s="111"/>
      <c r="U2306" s="111"/>
      <c r="V2306" s="111"/>
      <c r="W2306" s="111"/>
      <c r="X2306" s="111"/>
      <c r="Y2306" s="111"/>
      <c r="Z2306" s="111"/>
      <c r="AA2306" s="111"/>
      <c r="AB2306" s="111"/>
      <c r="AC2306" s="111"/>
      <c r="AD2306" s="111"/>
      <c r="AE2306" s="111"/>
      <c r="AF2306" s="111"/>
      <c r="AG2306" s="111"/>
      <c r="AH2306" s="111"/>
    </row>
    <row r="2307">
      <c r="A2307" s="89"/>
      <c r="B2307" s="111"/>
      <c r="C2307" s="111"/>
      <c r="D2307" s="111"/>
      <c r="E2307" s="91"/>
      <c r="F2307" s="111"/>
      <c r="G2307" s="111"/>
      <c r="H2307" s="111"/>
      <c r="I2307" s="111"/>
      <c r="J2307" s="111"/>
      <c r="K2307" s="92"/>
      <c r="L2307" s="111"/>
      <c r="M2307" s="111"/>
      <c r="N2307" s="111"/>
      <c r="O2307" s="112"/>
      <c r="P2307" s="111"/>
      <c r="Q2307" s="111"/>
      <c r="R2307" s="111"/>
      <c r="S2307" s="111"/>
      <c r="T2307" s="111"/>
      <c r="U2307" s="111"/>
      <c r="V2307" s="111"/>
      <c r="W2307" s="111"/>
      <c r="X2307" s="111"/>
      <c r="Y2307" s="111"/>
      <c r="Z2307" s="111"/>
      <c r="AA2307" s="111"/>
      <c r="AB2307" s="111"/>
      <c r="AC2307" s="111"/>
      <c r="AD2307" s="111"/>
      <c r="AE2307" s="111"/>
      <c r="AF2307" s="111"/>
      <c r="AG2307" s="111"/>
      <c r="AH2307" s="111"/>
    </row>
    <row r="2308">
      <c r="A2308" s="89"/>
      <c r="B2308" s="111"/>
      <c r="C2308" s="111"/>
      <c r="D2308" s="111"/>
      <c r="E2308" s="91"/>
      <c r="F2308" s="111"/>
      <c r="G2308" s="111"/>
      <c r="H2308" s="111"/>
      <c r="I2308" s="111"/>
      <c r="J2308" s="111"/>
      <c r="K2308" s="92"/>
      <c r="L2308" s="111"/>
      <c r="M2308" s="111"/>
      <c r="N2308" s="111"/>
      <c r="O2308" s="112"/>
      <c r="P2308" s="111"/>
      <c r="Q2308" s="111"/>
      <c r="R2308" s="111"/>
      <c r="S2308" s="111"/>
      <c r="T2308" s="111"/>
      <c r="U2308" s="111"/>
      <c r="V2308" s="111"/>
      <c r="W2308" s="111"/>
      <c r="X2308" s="111"/>
      <c r="Y2308" s="111"/>
      <c r="Z2308" s="111"/>
      <c r="AA2308" s="111"/>
      <c r="AB2308" s="111"/>
      <c r="AC2308" s="111"/>
      <c r="AD2308" s="111"/>
      <c r="AE2308" s="111"/>
      <c r="AF2308" s="111"/>
      <c r="AG2308" s="111"/>
      <c r="AH2308" s="111"/>
    </row>
    <row r="2309">
      <c r="A2309" s="89"/>
      <c r="B2309" s="111"/>
      <c r="C2309" s="111"/>
      <c r="D2309" s="111"/>
      <c r="E2309" s="91"/>
      <c r="F2309" s="111"/>
      <c r="G2309" s="111"/>
      <c r="H2309" s="111"/>
      <c r="I2309" s="111"/>
      <c r="J2309" s="111"/>
      <c r="K2309" s="92"/>
      <c r="L2309" s="111"/>
      <c r="M2309" s="111"/>
      <c r="N2309" s="111"/>
      <c r="O2309" s="112"/>
      <c r="P2309" s="111"/>
      <c r="Q2309" s="111"/>
      <c r="R2309" s="111"/>
      <c r="S2309" s="111"/>
      <c r="T2309" s="111"/>
      <c r="U2309" s="111"/>
      <c r="V2309" s="111"/>
      <c r="W2309" s="111"/>
      <c r="X2309" s="111"/>
      <c r="Y2309" s="111"/>
      <c r="Z2309" s="111"/>
      <c r="AA2309" s="111"/>
      <c r="AB2309" s="111"/>
      <c r="AC2309" s="111"/>
      <c r="AD2309" s="111"/>
      <c r="AE2309" s="111"/>
      <c r="AF2309" s="111"/>
      <c r="AG2309" s="111"/>
      <c r="AH2309" s="111"/>
    </row>
    <row r="2310">
      <c r="A2310" s="89"/>
      <c r="B2310" s="111"/>
      <c r="C2310" s="111"/>
      <c r="D2310" s="111"/>
      <c r="E2310" s="91"/>
      <c r="F2310" s="111"/>
      <c r="G2310" s="111"/>
      <c r="H2310" s="111"/>
      <c r="I2310" s="111"/>
      <c r="J2310" s="111"/>
      <c r="K2310" s="92"/>
      <c r="L2310" s="111"/>
      <c r="M2310" s="111"/>
      <c r="N2310" s="111"/>
      <c r="O2310" s="112"/>
      <c r="P2310" s="111"/>
      <c r="Q2310" s="111"/>
      <c r="R2310" s="111"/>
      <c r="S2310" s="111"/>
      <c r="T2310" s="111"/>
      <c r="U2310" s="111"/>
      <c r="V2310" s="111"/>
      <c r="W2310" s="111"/>
      <c r="X2310" s="111"/>
      <c r="Y2310" s="111"/>
      <c r="Z2310" s="111"/>
      <c r="AA2310" s="111"/>
      <c r="AB2310" s="111"/>
      <c r="AC2310" s="111"/>
      <c r="AD2310" s="111"/>
      <c r="AE2310" s="111"/>
      <c r="AF2310" s="111"/>
      <c r="AG2310" s="111"/>
      <c r="AH2310" s="111"/>
    </row>
    <row r="2311">
      <c r="A2311" s="89"/>
      <c r="B2311" s="111"/>
      <c r="C2311" s="111"/>
      <c r="D2311" s="111"/>
      <c r="E2311" s="91"/>
      <c r="F2311" s="111"/>
      <c r="G2311" s="111"/>
      <c r="H2311" s="111"/>
      <c r="I2311" s="111"/>
      <c r="J2311" s="111"/>
      <c r="K2311" s="92"/>
      <c r="L2311" s="111"/>
      <c r="M2311" s="111"/>
      <c r="N2311" s="111"/>
      <c r="O2311" s="112"/>
      <c r="P2311" s="111"/>
      <c r="Q2311" s="111"/>
      <c r="R2311" s="111"/>
      <c r="S2311" s="111"/>
      <c r="T2311" s="111"/>
      <c r="U2311" s="111"/>
      <c r="V2311" s="111"/>
      <c r="W2311" s="111"/>
      <c r="X2311" s="111"/>
      <c r="Y2311" s="111"/>
      <c r="Z2311" s="111"/>
      <c r="AA2311" s="111"/>
      <c r="AB2311" s="111"/>
      <c r="AC2311" s="111"/>
      <c r="AD2311" s="111"/>
      <c r="AE2311" s="111"/>
      <c r="AF2311" s="111"/>
      <c r="AG2311" s="111"/>
      <c r="AH2311" s="111"/>
    </row>
    <row r="2312">
      <c r="A2312" s="89"/>
      <c r="B2312" s="111"/>
      <c r="C2312" s="111"/>
      <c r="D2312" s="111"/>
      <c r="E2312" s="91"/>
      <c r="F2312" s="111"/>
      <c r="G2312" s="111"/>
      <c r="H2312" s="111"/>
      <c r="I2312" s="111"/>
      <c r="J2312" s="111"/>
      <c r="K2312" s="92"/>
      <c r="L2312" s="111"/>
      <c r="M2312" s="111"/>
      <c r="N2312" s="111"/>
      <c r="O2312" s="112"/>
      <c r="P2312" s="111"/>
      <c r="Q2312" s="111"/>
      <c r="R2312" s="111"/>
      <c r="S2312" s="111"/>
      <c r="T2312" s="111"/>
      <c r="U2312" s="111"/>
      <c r="V2312" s="111"/>
      <c r="W2312" s="111"/>
      <c r="X2312" s="111"/>
      <c r="Y2312" s="111"/>
      <c r="Z2312" s="111"/>
      <c r="AA2312" s="111"/>
      <c r="AB2312" s="111"/>
      <c r="AC2312" s="111"/>
      <c r="AD2312" s="111"/>
      <c r="AE2312" s="111"/>
      <c r="AF2312" s="111"/>
      <c r="AG2312" s="111"/>
      <c r="AH2312" s="111"/>
    </row>
    <row r="2313">
      <c r="A2313" s="89"/>
      <c r="B2313" s="111"/>
      <c r="C2313" s="111"/>
      <c r="D2313" s="111"/>
      <c r="E2313" s="91"/>
      <c r="F2313" s="111"/>
      <c r="G2313" s="111"/>
      <c r="H2313" s="111"/>
      <c r="I2313" s="111"/>
      <c r="J2313" s="111"/>
      <c r="K2313" s="92"/>
      <c r="L2313" s="111"/>
      <c r="M2313" s="111"/>
      <c r="N2313" s="111"/>
      <c r="O2313" s="112"/>
      <c r="P2313" s="111"/>
      <c r="Q2313" s="111"/>
      <c r="R2313" s="111"/>
      <c r="S2313" s="111"/>
      <c r="T2313" s="111"/>
      <c r="U2313" s="111"/>
      <c r="V2313" s="111"/>
      <c r="W2313" s="111"/>
      <c r="X2313" s="111"/>
      <c r="Y2313" s="111"/>
      <c r="Z2313" s="111"/>
      <c r="AA2313" s="111"/>
      <c r="AB2313" s="111"/>
      <c r="AC2313" s="111"/>
      <c r="AD2313" s="111"/>
      <c r="AE2313" s="111"/>
      <c r="AF2313" s="111"/>
      <c r="AG2313" s="111"/>
      <c r="AH2313" s="111"/>
    </row>
    <row r="2314">
      <c r="A2314" s="89"/>
      <c r="B2314" s="111"/>
      <c r="C2314" s="111"/>
      <c r="D2314" s="111"/>
      <c r="E2314" s="91"/>
      <c r="F2314" s="111"/>
      <c r="G2314" s="111"/>
      <c r="H2314" s="111"/>
      <c r="I2314" s="111"/>
      <c r="J2314" s="111"/>
      <c r="K2314" s="92"/>
      <c r="L2314" s="111"/>
      <c r="M2314" s="111"/>
      <c r="N2314" s="111"/>
      <c r="O2314" s="112"/>
      <c r="P2314" s="111"/>
      <c r="Q2314" s="111"/>
      <c r="R2314" s="111"/>
      <c r="S2314" s="111"/>
      <c r="T2314" s="111"/>
      <c r="U2314" s="111"/>
      <c r="V2314" s="111"/>
      <c r="W2314" s="111"/>
      <c r="X2314" s="111"/>
      <c r="Y2314" s="111"/>
      <c r="Z2314" s="111"/>
      <c r="AA2314" s="111"/>
      <c r="AB2314" s="111"/>
      <c r="AC2314" s="111"/>
      <c r="AD2314" s="111"/>
      <c r="AE2314" s="111"/>
      <c r="AF2314" s="111"/>
      <c r="AG2314" s="111"/>
      <c r="AH2314" s="111"/>
    </row>
    <row r="2315">
      <c r="A2315" s="89"/>
      <c r="B2315" s="111"/>
      <c r="C2315" s="111"/>
      <c r="D2315" s="111"/>
      <c r="E2315" s="91"/>
      <c r="F2315" s="111"/>
      <c r="G2315" s="111"/>
      <c r="H2315" s="111"/>
      <c r="I2315" s="111"/>
      <c r="J2315" s="111"/>
      <c r="K2315" s="92"/>
      <c r="L2315" s="111"/>
      <c r="M2315" s="111"/>
      <c r="N2315" s="111"/>
      <c r="O2315" s="112"/>
      <c r="P2315" s="111"/>
      <c r="Q2315" s="111"/>
      <c r="R2315" s="111"/>
      <c r="S2315" s="111"/>
      <c r="T2315" s="111"/>
      <c r="U2315" s="111"/>
      <c r="V2315" s="111"/>
      <c r="W2315" s="111"/>
      <c r="X2315" s="111"/>
      <c r="Y2315" s="111"/>
      <c r="Z2315" s="111"/>
      <c r="AA2315" s="111"/>
      <c r="AB2315" s="111"/>
      <c r="AC2315" s="111"/>
      <c r="AD2315" s="111"/>
      <c r="AE2315" s="111"/>
      <c r="AF2315" s="111"/>
      <c r="AG2315" s="111"/>
      <c r="AH2315" s="111"/>
    </row>
    <row r="2316">
      <c r="A2316" s="89"/>
      <c r="B2316" s="111"/>
      <c r="C2316" s="111"/>
      <c r="D2316" s="111"/>
      <c r="E2316" s="91"/>
      <c r="F2316" s="111"/>
      <c r="G2316" s="111"/>
      <c r="H2316" s="111"/>
      <c r="I2316" s="111"/>
      <c r="J2316" s="111"/>
      <c r="K2316" s="92"/>
      <c r="L2316" s="111"/>
      <c r="M2316" s="111"/>
      <c r="N2316" s="111"/>
      <c r="O2316" s="112"/>
      <c r="P2316" s="111"/>
      <c r="Q2316" s="111"/>
      <c r="R2316" s="111"/>
      <c r="S2316" s="111"/>
      <c r="T2316" s="111"/>
      <c r="U2316" s="111"/>
      <c r="V2316" s="111"/>
      <c r="W2316" s="111"/>
      <c r="X2316" s="111"/>
      <c r="Y2316" s="111"/>
      <c r="Z2316" s="111"/>
      <c r="AA2316" s="111"/>
      <c r="AB2316" s="111"/>
      <c r="AC2316" s="111"/>
      <c r="AD2316" s="111"/>
      <c r="AE2316" s="111"/>
      <c r="AF2316" s="111"/>
      <c r="AG2316" s="111"/>
      <c r="AH2316" s="111"/>
    </row>
    <row r="2317">
      <c r="A2317" s="89"/>
      <c r="B2317" s="111"/>
      <c r="C2317" s="111"/>
      <c r="D2317" s="111"/>
      <c r="E2317" s="91"/>
      <c r="F2317" s="111"/>
      <c r="G2317" s="111"/>
      <c r="H2317" s="111"/>
      <c r="I2317" s="111"/>
      <c r="J2317" s="111"/>
      <c r="K2317" s="92"/>
      <c r="L2317" s="111"/>
      <c r="M2317" s="111"/>
      <c r="N2317" s="111"/>
      <c r="O2317" s="112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  <c r="AH2317" s="111"/>
    </row>
    <row r="2318">
      <c r="A2318" s="89"/>
      <c r="B2318" s="111"/>
      <c r="C2318" s="111"/>
      <c r="D2318" s="111"/>
      <c r="E2318" s="91"/>
      <c r="F2318" s="111"/>
      <c r="G2318" s="111"/>
      <c r="H2318" s="111"/>
      <c r="I2318" s="111"/>
      <c r="J2318" s="111"/>
      <c r="K2318" s="92"/>
      <c r="L2318" s="111"/>
      <c r="M2318" s="111"/>
      <c r="N2318" s="111"/>
      <c r="O2318" s="112"/>
      <c r="P2318" s="111"/>
      <c r="Q2318" s="111"/>
      <c r="R2318" s="111"/>
      <c r="S2318" s="111"/>
      <c r="T2318" s="111"/>
      <c r="U2318" s="111"/>
      <c r="V2318" s="111"/>
      <c r="W2318" s="111"/>
      <c r="X2318" s="111"/>
      <c r="Y2318" s="111"/>
      <c r="Z2318" s="111"/>
      <c r="AA2318" s="111"/>
      <c r="AB2318" s="111"/>
      <c r="AC2318" s="111"/>
      <c r="AD2318" s="111"/>
      <c r="AE2318" s="111"/>
      <c r="AF2318" s="111"/>
      <c r="AG2318" s="111"/>
      <c r="AH2318" s="111"/>
    </row>
    <row r="2319">
      <c r="A2319" s="89"/>
      <c r="B2319" s="111"/>
      <c r="C2319" s="111"/>
      <c r="D2319" s="111"/>
      <c r="E2319" s="91"/>
      <c r="F2319" s="111"/>
      <c r="G2319" s="111"/>
      <c r="H2319" s="111"/>
      <c r="I2319" s="111"/>
      <c r="J2319" s="111"/>
      <c r="K2319" s="92"/>
      <c r="L2319" s="111"/>
      <c r="M2319" s="111"/>
      <c r="N2319" s="111"/>
      <c r="O2319" s="112"/>
      <c r="P2319" s="111"/>
      <c r="Q2319" s="111"/>
      <c r="R2319" s="111"/>
      <c r="S2319" s="111"/>
      <c r="T2319" s="111"/>
      <c r="U2319" s="111"/>
      <c r="V2319" s="111"/>
      <c r="W2319" s="111"/>
      <c r="X2319" s="111"/>
      <c r="Y2319" s="111"/>
      <c r="Z2319" s="111"/>
      <c r="AA2319" s="111"/>
      <c r="AB2319" s="111"/>
      <c r="AC2319" s="111"/>
      <c r="AD2319" s="111"/>
      <c r="AE2319" s="111"/>
      <c r="AF2319" s="111"/>
      <c r="AG2319" s="111"/>
      <c r="AH2319" s="111"/>
    </row>
    <row r="2320">
      <c r="A2320" s="89"/>
      <c r="B2320" s="111"/>
      <c r="C2320" s="111"/>
      <c r="D2320" s="111"/>
      <c r="E2320" s="91"/>
      <c r="F2320" s="111"/>
      <c r="G2320" s="111"/>
      <c r="H2320" s="111"/>
      <c r="I2320" s="111"/>
      <c r="J2320" s="111"/>
      <c r="K2320" s="92"/>
      <c r="L2320" s="111"/>
      <c r="M2320" s="111"/>
      <c r="N2320" s="111"/>
      <c r="O2320" s="112"/>
      <c r="P2320" s="111"/>
      <c r="Q2320" s="111"/>
      <c r="R2320" s="111"/>
      <c r="S2320" s="111"/>
      <c r="T2320" s="111"/>
      <c r="U2320" s="111"/>
      <c r="V2320" s="111"/>
      <c r="W2320" s="111"/>
      <c r="X2320" s="111"/>
      <c r="Y2320" s="111"/>
      <c r="Z2320" s="111"/>
      <c r="AA2320" s="111"/>
      <c r="AB2320" s="111"/>
      <c r="AC2320" s="111"/>
      <c r="AD2320" s="111"/>
      <c r="AE2320" s="111"/>
      <c r="AF2320" s="111"/>
      <c r="AG2320" s="111"/>
      <c r="AH2320" s="111"/>
    </row>
    <row r="2321">
      <c r="A2321" s="89"/>
      <c r="B2321" s="111"/>
      <c r="C2321" s="111"/>
      <c r="D2321" s="111"/>
      <c r="E2321" s="91"/>
      <c r="F2321" s="111"/>
      <c r="G2321" s="111"/>
      <c r="H2321" s="111"/>
      <c r="I2321" s="111"/>
      <c r="J2321" s="111"/>
      <c r="K2321" s="92"/>
      <c r="L2321" s="111"/>
      <c r="M2321" s="111"/>
      <c r="N2321" s="111"/>
      <c r="O2321" s="112"/>
      <c r="P2321" s="111"/>
      <c r="Q2321" s="111"/>
      <c r="R2321" s="111"/>
      <c r="S2321" s="111"/>
      <c r="T2321" s="111"/>
      <c r="U2321" s="111"/>
      <c r="V2321" s="111"/>
      <c r="W2321" s="111"/>
      <c r="X2321" s="111"/>
      <c r="Y2321" s="111"/>
      <c r="Z2321" s="111"/>
      <c r="AA2321" s="111"/>
      <c r="AB2321" s="111"/>
      <c r="AC2321" s="111"/>
      <c r="AD2321" s="111"/>
      <c r="AE2321" s="111"/>
      <c r="AF2321" s="111"/>
      <c r="AG2321" s="111"/>
      <c r="AH2321" s="111"/>
    </row>
    <row r="2322">
      <c r="A2322" s="89"/>
      <c r="B2322" s="111"/>
      <c r="C2322" s="111"/>
      <c r="D2322" s="111"/>
      <c r="E2322" s="91"/>
      <c r="F2322" s="111"/>
      <c r="G2322" s="111"/>
      <c r="H2322" s="111"/>
      <c r="I2322" s="111"/>
      <c r="J2322" s="111"/>
      <c r="K2322" s="92"/>
      <c r="L2322" s="111"/>
      <c r="M2322" s="111"/>
      <c r="N2322" s="111"/>
      <c r="O2322" s="112"/>
      <c r="P2322" s="111"/>
      <c r="Q2322" s="111"/>
      <c r="R2322" s="111"/>
      <c r="S2322" s="111"/>
      <c r="T2322" s="111"/>
      <c r="U2322" s="111"/>
      <c r="V2322" s="111"/>
      <c r="W2322" s="111"/>
      <c r="X2322" s="111"/>
      <c r="Y2322" s="111"/>
      <c r="Z2322" s="111"/>
      <c r="AA2322" s="111"/>
      <c r="AB2322" s="111"/>
      <c r="AC2322" s="111"/>
      <c r="AD2322" s="111"/>
      <c r="AE2322" s="111"/>
      <c r="AF2322" s="111"/>
      <c r="AG2322" s="111"/>
      <c r="AH2322" s="111"/>
    </row>
    <row r="2323">
      <c r="A2323" s="89"/>
      <c r="B2323" s="111"/>
      <c r="C2323" s="111"/>
      <c r="D2323" s="111"/>
      <c r="E2323" s="91"/>
      <c r="F2323" s="111"/>
      <c r="G2323" s="111"/>
      <c r="H2323" s="111"/>
      <c r="I2323" s="111"/>
      <c r="J2323" s="111"/>
      <c r="K2323" s="92"/>
      <c r="L2323" s="111"/>
      <c r="M2323" s="111"/>
      <c r="N2323" s="111"/>
      <c r="O2323" s="112"/>
      <c r="P2323" s="111"/>
      <c r="Q2323" s="111"/>
      <c r="R2323" s="111"/>
      <c r="S2323" s="111"/>
      <c r="T2323" s="111"/>
      <c r="U2323" s="111"/>
      <c r="V2323" s="111"/>
      <c r="W2323" s="111"/>
      <c r="X2323" s="111"/>
      <c r="Y2323" s="111"/>
      <c r="Z2323" s="111"/>
      <c r="AA2323" s="111"/>
      <c r="AB2323" s="111"/>
      <c r="AC2323" s="111"/>
      <c r="AD2323" s="111"/>
      <c r="AE2323" s="111"/>
      <c r="AF2323" s="111"/>
      <c r="AG2323" s="111"/>
      <c r="AH2323" s="111"/>
    </row>
    <row r="2324">
      <c r="A2324" s="89"/>
      <c r="B2324" s="111"/>
      <c r="C2324" s="111"/>
      <c r="D2324" s="111"/>
      <c r="E2324" s="91"/>
      <c r="F2324" s="111"/>
      <c r="G2324" s="111"/>
      <c r="H2324" s="111"/>
      <c r="I2324" s="111"/>
      <c r="J2324" s="111"/>
      <c r="K2324" s="92"/>
      <c r="L2324" s="111"/>
      <c r="M2324" s="111"/>
      <c r="N2324" s="111"/>
      <c r="O2324" s="112"/>
      <c r="P2324" s="111"/>
      <c r="Q2324" s="111"/>
      <c r="R2324" s="111"/>
      <c r="S2324" s="111"/>
      <c r="T2324" s="111"/>
      <c r="U2324" s="111"/>
      <c r="V2324" s="111"/>
      <c r="W2324" s="111"/>
      <c r="X2324" s="111"/>
      <c r="Y2324" s="111"/>
      <c r="Z2324" s="111"/>
      <c r="AA2324" s="111"/>
      <c r="AB2324" s="111"/>
      <c r="AC2324" s="111"/>
      <c r="AD2324" s="111"/>
      <c r="AE2324" s="111"/>
      <c r="AF2324" s="111"/>
      <c r="AG2324" s="111"/>
      <c r="AH2324" s="111"/>
    </row>
    <row r="2325">
      <c r="A2325" s="89"/>
      <c r="B2325" s="111"/>
      <c r="C2325" s="111"/>
      <c r="D2325" s="111"/>
      <c r="E2325" s="91"/>
      <c r="F2325" s="111"/>
      <c r="G2325" s="111"/>
      <c r="H2325" s="111"/>
      <c r="I2325" s="111"/>
      <c r="J2325" s="111"/>
      <c r="K2325" s="92"/>
      <c r="L2325" s="111"/>
      <c r="M2325" s="111"/>
      <c r="N2325" s="111"/>
      <c r="O2325" s="112"/>
      <c r="P2325" s="111"/>
      <c r="Q2325" s="111"/>
      <c r="R2325" s="111"/>
      <c r="S2325" s="111"/>
      <c r="T2325" s="111"/>
      <c r="U2325" s="111"/>
      <c r="V2325" s="111"/>
      <c r="W2325" s="111"/>
      <c r="X2325" s="111"/>
      <c r="Y2325" s="111"/>
      <c r="Z2325" s="111"/>
      <c r="AA2325" s="111"/>
      <c r="AB2325" s="111"/>
      <c r="AC2325" s="111"/>
      <c r="AD2325" s="111"/>
      <c r="AE2325" s="111"/>
      <c r="AF2325" s="111"/>
      <c r="AG2325" s="111"/>
      <c r="AH2325" s="111"/>
    </row>
    <row r="2326">
      <c r="A2326" s="89"/>
      <c r="B2326" s="111"/>
      <c r="C2326" s="111"/>
      <c r="D2326" s="111"/>
      <c r="E2326" s="91"/>
      <c r="F2326" s="111"/>
      <c r="G2326" s="111"/>
      <c r="H2326" s="111"/>
      <c r="I2326" s="111"/>
      <c r="J2326" s="111"/>
      <c r="K2326" s="92"/>
      <c r="L2326" s="111"/>
      <c r="M2326" s="111"/>
      <c r="N2326" s="111"/>
      <c r="O2326" s="112"/>
      <c r="P2326" s="111"/>
      <c r="Q2326" s="111"/>
      <c r="R2326" s="111"/>
      <c r="S2326" s="111"/>
      <c r="T2326" s="111"/>
      <c r="U2326" s="111"/>
      <c r="V2326" s="111"/>
      <c r="W2326" s="111"/>
      <c r="X2326" s="111"/>
      <c r="Y2326" s="111"/>
      <c r="Z2326" s="111"/>
      <c r="AA2326" s="111"/>
      <c r="AB2326" s="111"/>
      <c r="AC2326" s="111"/>
      <c r="AD2326" s="111"/>
      <c r="AE2326" s="111"/>
      <c r="AF2326" s="111"/>
      <c r="AG2326" s="111"/>
      <c r="AH2326" s="111"/>
    </row>
    <row r="2327">
      <c r="A2327" s="89"/>
      <c r="B2327" s="111"/>
      <c r="C2327" s="111"/>
      <c r="D2327" s="111"/>
      <c r="E2327" s="91"/>
      <c r="F2327" s="111"/>
      <c r="G2327" s="111"/>
      <c r="H2327" s="111"/>
      <c r="I2327" s="111"/>
      <c r="J2327" s="111"/>
      <c r="K2327" s="92"/>
      <c r="L2327" s="111"/>
      <c r="M2327" s="111"/>
      <c r="N2327" s="111"/>
      <c r="O2327" s="112"/>
      <c r="P2327" s="111"/>
      <c r="Q2327" s="111"/>
      <c r="R2327" s="111"/>
      <c r="S2327" s="111"/>
      <c r="T2327" s="111"/>
      <c r="U2327" s="111"/>
      <c r="V2327" s="111"/>
      <c r="W2327" s="111"/>
      <c r="X2327" s="111"/>
      <c r="Y2327" s="111"/>
      <c r="Z2327" s="111"/>
      <c r="AA2327" s="111"/>
      <c r="AB2327" s="111"/>
      <c r="AC2327" s="111"/>
      <c r="AD2327" s="111"/>
      <c r="AE2327" s="111"/>
      <c r="AF2327" s="111"/>
      <c r="AG2327" s="111"/>
      <c r="AH2327" s="111"/>
    </row>
    <row r="2328">
      <c r="A2328" s="89"/>
      <c r="B2328" s="111"/>
      <c r="C2328" s="111"/>
      <c r="D2328" s="111"/>
      <c r="E2328" s="91"/>
      <c r="F2328" s="111"/>
      <c r="G2328" s="111"/>
      <c r="H2328" s="111"/>
      <c r="I2328" s="111"/>
      <c r="J2328" s="111"/>
      <c r="K2328" s="92"/>
      <c r="L2328" s="111"/>
      <c r="M2328" s="111"/>
      <c r="N2328" s="111"/>
      <c r="O2328" s="112"/>
      <c r="P2328" s="111"/>
      <c r="Q2328" s="111"/>
      <c r="R2328" s="111"/>
      <c r="S2328" s="111"/>
      <c r="T2328" s="111"/>
      <c r="U2328" s="111"/>
      <c r="V2328" s="111"/>
      <c r="W2328" s="111"/>
      <c r="X2328" s="111"/>
      <c r="Y2328" s="111"/>
      <c r="Z2328" s="111"/>
      <c r="AA2328" s="111"/>
      <c r="AB2328" s="111"/>
      <c r="AC2328" s="111"/>
      <c r="AD2328" s="111"/>
      <c r="AE2328" s="111"/>
      <c r="AF2328" s="111"/>
      <c r="AG2328" s="111"/>
      <c r="AH2328" s="111"/>
    </row>
    <row r="2329">
      <c r="A2329" s="89"/>
      <c r="B2329" s="111"/>
      <c r="C2329" s="111"/>
      <c r="D2329" s="111"/>
      <c r="E2329" s="91"/>
      <c r="F2329" s="111"/>
      <c r="G2329" s="111"/>
      <c r="H2329" s="111"/>
      <c r="I2329" s="111"/>
      <c r="J2329" s="111"/>
      <c r="K2329" s="92"/>
      <c r="L2329" s="111"/>
      <c r="M2329" s="111"/>
      <c r="N2329" s="111"/>
      <c r="O2329" s="112"/>
      <c r="P2329" s="111"/>
      <c r="Q2329" s="111"/>
      <c r="R2329" s="111"/>
      <c r="S2329" s="111"/>
      <c r="T2329" s="111"/>
      <c r="U2329" s="111"/>
      <c r="V2329" s="111"/>
      <c r="W2329" s="111"/>
      <c r="X2329" s="111"/>
      <c r="Y2329" s="111"/>
      <c r="Z2329" s="111"/>
      <c r="AA2329" s="111"/>
      <c r="AB2329" s="111"/>
      <c r="AC2329" s="111"/>
      <c r="AD2329" s="111"/>
      <c r="AE2329" s="111"/>
      <c r="AF2329" s="111"/>
      <c r="AG2329" s="111"/>
      <c r="AH2329" s="111"/>
    </row>
    <row r="2330">
      <c r="A2330" s="89"/>
      <c r="B2330" s="111"/>
      <c r="C2330" s="111"/>
      <c r="D2330" s="111"/>
      <c r="E2330" s="91"/>
      <c r="F2330" s="111"/>
      <c r="G2330" s="111"/>
      <c r="H2330" s="111"/>
      <c r="I2330" s="111"/>
      <c r="J2330" s="111"/>
      <c r="K2330" s="92"/>
      <c r="L2330" s="111"/>
      <c r="M2330" s="111"/>
      <c r="N2330" s="111"/>
      <c r="O2330" s="112"/>
      <c r="P2330" s="111"/>
      <c r="Q2330" s="111"/>
      <c r="R2330" s="111"/>
      <c r="S2330" s="111"/>
      <c r="T2330" s="111"/>
      <c r="U2330" s="111"/>
      <c r="V2330" s="111"/>
      <c r="W2330" s="111"/>
      <c r="X2330" s="111"/>
      <c r="Y2330" s="111"/>
      <c r="Z2330" s="111"/>
      <c r="AA2330" s="111"/>
      <c r="AB2330" s="111"/>
      <c r="AC2330" s="111"/>
      <c r="AD2330" s="111"/>
      <c r="AE2330" s="111"/>
      <c r="AF2330" s="111"/>
      <c r="AG2330" s="111"/>
      <c r="AH2330" s="111"/>
    </row>
    <row r="2331">
      <c r="A2331" s="89"/>
      <c r="B2331" s="111"/>
      <c r="C2331" s="111"/>
      <c r="D2331" s="111"/>
      <c r="E2331" s="91"/>
      <c r="F2331" s="111"/>
      <c r="G2331" s="111"/>
      <c r="H2331" s="111"/>
      <c r="I2331" s="111"/>
      <c r="J2331" s="111"/>
      <c r="K2331" s="92"/>
      <c r="L2331" s="111"/>
      <c r="M2331" s="111"/>
      <c r="N2331" s="111"/>
      <c r="O2331" s="112"/>
      <c r="P2331" s="111"/>
      <c r="Q2331" s="111"/>
      <c r="R2331" s="111"/>
      <c r="S2331" s="111"/>
      <c r="T2331" s="111"/>
      <c r="U2331" s="111"/>
      <c r="V2331" s="111"/>
      <c r="W2331" s="111"/>
      <c r="X2331" s="111"/>
      <c r="Y2331" s="111"/>
      <c r="Z2331" s="111"/>
      <c r="AA2331" s="111"/>
      <c r="AB2331" s="111"/>
      <c r="AC2331" s="111"/>
      <c r="AD2331" s="111"/>
      <c r="AE2331" s="111"/>
      <c r="AF2331" s="111"/>
      <c r="AG2331" s="111"/>
      <c r="AH2331" s="111"/>
    </row>
    <row r="2332">
      <c r="A2332" s="89"/>
      <c r="B2332" s="111"/>
      <c r="C2332" s="111"/>
      <c r="D2332" s="111"/>
      <c r="E2332" s="91"/>
      <c r="F2332" s="111"/>
      <c r="G2332" s="111"/>
      <c r="H2332" s="111"/>
      <c r="I2332" s="111"/>
      <c r="J2332" s="111"/>
      <c r="K2332" s="92"/>
      <c r="L2332" s="111"/>
      <c r="M2332" s="111"/>
      <c r="N2332" s="111"/>
      <c r="O2332" s="112"/>
      <c r="P2332" s="111"/>
      <c r="Q2332" s="111"/>
      <c r="R2332" s="111"/>
      <c r="S2332" s="111"/>
      <c r="T2332" s="111"/>
      <c r="U2332" s="111"/>
      <c r="V2332" s="111"/>
      <c r="W2332" s="111"/>
      <c r="X2332" s="111"/>
      <c r="Y2332" s="111"/>
      <c r="Z2332" s="111"/>
      <c r="AA2332" s="111"/>
      <c r="AB2332" s="111"/>
      <c r="AC2332" s="111"/>
      <c r="AD2332" s="111"/>
      <c r="AE2332" s="111"/>
      <c r="AF2332" s="111"/>
      <c r="AG2332" s="111"/>
      <c r="AH2332" s="111"/>
    </row>
    <row r="2333">
      <c r="A2333" s="89"/>
      <c r="B2333" s="111"/>
      <c r="C2333" s="111"/>
      <c r="D2333" s="111"/>
      <c r="E2333" s="91"/>
      <c r="F2333" s="111"/>
      <c r="G2333" s="111"/>
      <c r="H2333" s="111"/>
      <c r="I2333" s="111"/>
      <c r="J2333" s="111"/>
      <c r="K2333" s="92"/>
      <c r="L2333" s="111"/>
      <c r="M2333" s="111"/>
      <c r="N2333" s="111"/>
      <c r="O2333" s="112"/>
      <c r="P2333" s="111"/>
      <c r="Q2333" s="111"/>
      <c r="R2333" s="111"/>
      <c r="S2333" s="111"/>
      <c r="T2333" s="111"/>
      <c r="U2333" s="111"/>
      <c r="V2333" s="111"/>
      <c r="W2333" s="111"/>
      <c r="X2333" s="111"/>
      <c r="Y2333" s="111"/>
      <c r="Z2333" s="111"/>
      <c r="AA2333" s="111"/>
      <c r="AB2333" s="111"/>
      <c r="AC2333" s="111"/>
      <c r="AD2333" s="111"/>
      <c r="AE2333" s="111"/>
      <c r="AF2333" s="111"/>
      <c r="AG2333" s="111"/>
      <c r="AH2333" s="111"/>
    </row>
    <row r="2334">
      <c r="A2334" s="89"/>
      <c r="B2334" s="111"/>
      <c r="C2334" s="111"/>
      <c r="D2334" s="111"/>
      <c r="E2334" s="91"/>
      <c r="F2334" s="111"/>
      <c r="G2334" s="111"/>
      <c r="H2334" s="111"/>
      <c r="I2334" s="111"/>
      <c r="J2334" s="111"/>
      <c r="K2334" s="92"/>
      <c r="L2334" s="111"/>
      <c r="M2334" s="111"/>
      <c r="N2334" s="111"/>
      <c r="O2334" s="112"/>
      <c r="P2334" s="111"/>
      <c r="Q2334" s="111"/>
      <c r="R2334" s="111"/>
      <c r="S2334" s="111"/>
      <c r="T2334" s="111"/>
      <c r="U2334" s="111"/>
      <c r="V2334" s="111"/>
      <c r="W2334" s="111"/>
      <c r="X2334" s="111"/>
      <c r="Y2334" s="111"/>
      <c r="Z2334" s="111"/>
      <c r="AA2334" s="111"/>
      <c r="AB2334" s="111"/>
      <c r="AC2334" s="111"/>
      <c r="AD2334" s="111"/>
      <c r="AE2334" s="111"/>
      <c r="AF2334" s="111"/>
      <c r="AG2334" s="111"/>
      <c r="AH2334" s="111"/>
    </row>
    <row r="2335">
      <c r="A2335" s="89"/>
      <c r="B2335" s="111"/>
      <c r="C2335" s="111"/>
      <c r="D2335" s="111"/>
      <c r="E2335" s="91"/>
      <c r="F2335" s="111"/>
      <c r="G2335" s="111"/>
      <c r="H2335" s="111"/>
      <c r="I2335" s="111"/>
      <c r="J2335" s="111"/>
      <c r="K2335" s="92"/>
      <c r="L2335" s="111"/>
      <c r="M2335" s="111"/>
      <c r="N2335" s="111"/>
      <c r="O2335" s="112"/>
      <c r="P2335" s="111"/>
      <c r="Q2335" s="111"/>
      <c r="R2335" s="111"/>
      <c r="S2335" s="111"/>
      <c r="T2335" s="111"/>
      <c r="U2335" s="111"/>
      <c r="V2335" s="111"/>
      <c r="W2335" s="111"/>
      <c r="X2335" s="111"/>
      <c r="Y2335" s="111"/>
      <c r="Z2335" s="111"/>
      <c r="AA2335" s="111"/>
      <c r="AB2335" s="111"/>
      <c r="AC2335" s="111"/>
      <c r="AD2335" s="111"/>
      <c r="AE2335" s="111"/>
      <c r="AF2335" s="111"/>
      <c r="AG2335" s="111"/>
      <c r="AH2335" s="111"/>
    </row>
    <row r="2336">
      <c r="A2336" s="89"/>
      <c r="B2336" s="111"/>
      <c r="C2336" s="111"/>
      <c r="D2336" s="111"/>
      <c r="E2336" s="91"/>
      <c r="F2336" s="111"/>
      <c r="G2336" s="111"/>
      <c r="H2336" s="111"/>
      <c r="I2336" s="111"/>
      <c r="J2336" s="111"/>
      <c r="K2336" s="92"/>
      <c r="L2336" s="111"/>
      <c r="M2336" s="111"/>
      <c r="N2336" s="111"/>
      <c r="O2336" s="112"/>
      <c r="P2336" s="111"/>
      <c r="Q2336" s="111"/>
      <c r="R2336" s="111"/>
      <c r="S2336" s="111"/>
      <c r="T2336" s="111"/>
      <c r="U2336" s="111"/>
      <c r="V2336" s="111"/>
      <c r="W2336" s="111"/>
      <c r="X2336" s="111"/>
      <c r="Y2336" s="111"/>
      <c r="Z2336" s="111"/>
      <c r="AA2336" s="111"/>
      <c r="AB2336" s="111"/>
      <c r="AC2336" s="111"/>
      <c r="AD2336" s="111"/>
      <c r="AE2336" s="111"/>
      <c r="AF2336" s="111"/>
      <c r="AG2336" s="111"/>
      <c r="AH2336" s="111"/>
    </row>
    <row r="2337">
      <c r="A2337" s="89"/>
      <c r="B2337" s="111"/>
      <c r="C2337" s="111"/>
      <c r="D2337" s="111"/>
      <c r="E2337" s="91"/>
      <c r="F2337" s="111"/>
      <c r="G2337" s="111"/>
      <c r="H2337" s="111"/>
      <c r="I2337" s="111"/>
      <c r="J2337" s="111"/>
      <c r="K2337" s="92"/>
      <c r="L2337" s="111"/>
      <c r="M2337" s="111"/>
      <c r="N2337" s="111"/>
      <c r="O2337" s="112"/>
      <c r="P2337" s="111"/>
      <c r="Q2337" s="111"/>
      <c r="R2337" s="111"/>
      <c r="S2337" s="111"/>
      <c r="T2337" s="111"/>
      <c r="U2337" s="111"/>
      <c r="V2337" s="111"/>
      <c r="W2337" s="111"/>
      <c r="X2337" s="111"/>
      <c r="Y2337" s="111"/>
      <c r="Z2337" s="111"/>
      <c r="AA2337" s="111"/>
      <c r="AB2337" s="111"/>
      <c r="AC2337" s="111"/>
      <c r="AD2337" s="111"/>
      <c r="AE2337" s="111"/>
      <c r="AF2337" s="111"/>
      <c r="AG2337" s="111"/>
      <c r="AH2337" s="111"/>
    </row>
    <row r="2338">
      <c r="A2338" s="89"/>
      <c r="B2338" s="111"/>
      <c r="C2338" s="111"/>
      <c r="D2338" s="111"/>
      <c r="E2338" s="91"/>
      <c r="F2338" s="111"/>
      <c r="G2338" s="111"/>
      <c r="H2338" s="111"/>
      <c r="I2338" s="111"/>
      <c r="J2338" s="111"/>
      <c r="K2338" s="92"/>
      <c r="L2338" s="111"/>
      <c r="M2338" s="111"/>
      <c r="N2338" s="111"/>
      <c r="O2338" s="112"/>
      <c r="P2338" s="111"/>
      <c r="Q2338" s="111"/>
      <c r="R2338" s="111"/>
      <c r="S2338" s="111"/>
      <c r="T2338" s="111"/>
      <c r="U2338" s="111"/>
      <c r="V2338" s="111"/>
      <c r="W2338" s="111"/>
      <c r="X2338" s="111"/>
      <c r="Y2338" s="111"/>
      <c r="Z2338" s="111"/>
      <c r="AA2338" s="111"/>
      <c r="AB2338" s="111"/>
      <c r="AC2338" s="111"/>
      <c r="AD2338" s="111"/>
      <c r="AE2338" s="111"/>
      <c r="AF2338" s="111"/>
      <c r="AG2338" s="111"/>
      <c r="AH2338" s="111"/>
    </row>
    <row r="2339">
      <c r="A2339" s="89"/>
      <c r="B2339" s="111"/>
      <c r="C2339" s="111"/>
      <c r="D2339" s="111"/>
      <c r="E2339" s="91"/>
      <c r="F2339" s="111"/>
      <c r="G2339" s="111"/>
      <c r="H2339" s="111"/>
      <c r="I2339" s="111"/>
      <c r="J2339" s="111"/>
      <c r="K2339" s="92"/>
      <c r="L2339" s="111"/>
      <c r="M2339" s="111"/>
      <c r="N2339" s="111"/>
      <c r="O2339" s="112"/>
      <c r="P2339" s="111"/>
      <c r="Q2339" s="111"/>
      <c r="R2339" s="111"/>
      <c r="S2339" s="111"/>
      <c r="T2339" s="111"/>
      <c r="U2339" s="111"/>
      <c r="V2339" s="111"/>
      <c r="W2339" s="111"/>
      <c r="X2339" s="111"/>
      <c r="Y2339" s="111"/>
      <c r="Z2339" s="111"/>
      <c r="AA2339" s="111"/>
      <c r="AB2339" s="111"/>
      <c r="AC2339" s="111"/>
      <c r="AD2339" s="111"/>
      <c r="AE2339" s="111"/>
      <c r="AF2339" s="111"/>
      <c r="AG2339" s="111"/>
      <c r="AH2339" s="111"/>
    </row>
    <row r="2340">
      <c r="A2340" s="89"/>
      <c r="B2340" s="111"/>
      <c r="C2340" s="111"/>
      <c r="D2340" s="111"/>
      <c r="E2340" s="91"/>
      <c r="F2340" s="111"/>
      <c r="G2340" s="111"/>
      <c r="H2340" s="111"/>
      <c r="I2340" s="111"/>
      <c r="J2340" s="111"/>
      <c r="K2340" s="92"/>
      <c r="L2340" s="111"/>
      <c r="M2340" s="111"/>
      <c r="N2340" s="111"/>
      <c r="O2340" s="112"/>
      <c r="P2340" s="111"/>
      <c r="Q2340" s="111"/>
      <c r="R2340" s="111"/>
      <c r="S2340" s="111"/>
      <c r="T2340" s="111"/>
      <c r="U2340" s="111"/>
      <c r="V2340" s="111"/>
      <c r="W2340" s="111"/>
      <c r="X2340" s="111"/>
      <c r="Y2340" s="111"/>
      <c r="Z2340" s="111"/>
      <c r="AA2340" s="111"/>
      <c r="AB2340" s="111"/>
      <c r="AC2340" s="111"/>
      <c r="AD2340" s="111"/>
      <c r="AE2340" s="111"/>
      <c r="AF2340" s="111"/>
      <c r="AG2340" s="111"/>
      <c r="AH2340" s="111"/>
    </row>
    <row r="2341">
      <c r="A2341" s="89"/>
      <c r="B2341" s="111"/>
      <c r="C2341" s="111"/>
      <c r="D2341" s="111"/>
      <c r="E2341" s="91"/>
      <c r="F2341" s="111"/>
      <c r="G2341" s="111"/>
      <c r="H2341" s="111"/>
      <c r="I2341" s="111"/>
      <c r="J2341" s="111"/>
      <c r="K2341" s="92"/>
      <c r="L2341" s="111"/>
      <c r="M2341" s="111"/>
      <c r="N2341" s="111"/>
      <c r="O2341" s="112"/>
      <c r="P2341" s="111"/>
      <c r="Q2341" s="111"/>
      <c r="R2341" s="111"/>
      <c r="S2341" s="111"/>
      <c r="T2341" s="111"/>
      <c r="U2341" s="111"/>
      <c r="V2341" s="111"/>
      <c r="W2341" s="111"/>
      <c r="X2341" s="111"/>
      <c r="Y2341" s="111"/>
      <c r="Z2341" s="111"/>
      <c r="AA2341" s="111"/>
      <c r="AB2341" s="111"/>
      <c r="AC2341" s="111"/>
      <c r="AD2341" s="111"/>
      <c r="AE2341" s="111"/>
      <c r="AF2341" s="111"/>
      <c r="AG2341" s="111"/>
      <c r="AH2341" s="111"/>
    </row>
    <row r="2342">
      <c r="A2342" s="89"/>
      <c r="B2342" s="111"/>
      <c r="C2342" s="111"/>
      <c r="D2342" s="111"/>
      <c r="E2342" s="91"/>
      <c r="F2342" s="111"/>
      <c r="G2342" s="111"/>
      <c r="H2342" s="111"/>
      <c r="I2342" s="111"/>
      <c r="J2342" s="111"/>
      <c r="K2342" s="92"/>
      <c r="L2342" s="111"/>
      <c r="M2342" s="111"/>
      <c r="N2342" s="111"/>
      <c r="O2342" s="112"/>
      <c r="P2342" s="111"/>
      <c r="Q2342" s="111"/>
      <c r="R2342" s="111"/>
      <c r="S2342" s="111"/>
      <c r="T2342" s="111"/>
      <c r="U2342" s="111"/>
      <c r="V2342" s="111"/>
      <c r="W2342" s="111"/>
      <c r="X2342" s="111"/>
      <c r="Y2342" s="111"/>
      <c r="Z2342" s="111"/>
      <c r="AA2342" s="111"/>
      <c r="AB2342" s="111"/>
      <c r="AC2342" s="111"/>
      <c r="AD2342" s="111"/>
      <c r="AE2342" s="111"/>
      <c r="AF2342" s="111"/>
      <c r="AG2342" s="111"/>
      <c r="AH2342" s="111"/>
    </row>
    <row r="2343">
      <c r="A2343" s="89"/>
      <c r="B2343" s="111"/>
      <c r="C2343" s="111"/>
      <c r="D2343" s="111"/>
      <c r="E2343" s="91"/>
      <c r="F2343" s="111"/>
      <c r="G2343" s="111"/>
      <c r="H2343" s="111"/>
      <c r="I2343" s="111"/>
      <c r="J2343" s="111"/>
      <c r="K2343" s="92"/>
      <c r="L2343" s="111"/>
      <c r="M2343" s="111"/>
      <c r="N2343" s="111"/>
      <c r="O2343" s="112"/>
      <c r="P2343" s="111"/>
      <c r="Q2343" s="111"/>
      <c r="R2343" s="111"/>
      <c r="S2343" s="111"/>
      <c r="T2343" s="111"/>
      <c r="U2343" s="111"/>
      <c r="V2343" s="111"/>
      <c r="W2343" s="111"/>
      <c r="X2343" s="111"/>
      <c r="Y2343" s="111"/>
      <c r="Z2343" s="111"/>
      <c r="AA2343" s="111"/>
      <c r="AB2343" s="111"/>
      <c r="AC2343" s="111"/>
      <c r="AD2343" s="111"/>
      <c r="AE2343" s="111"/>
      <c r="AF2343" s="111"/>
      <c r="AG2343" s="111"/>
      <c r="AH2343" s="111"/>
    </row>
    <row r="2344">
      <c r="A2344" s="89"/>
      <c r="B2344" s="111"/>
      <c r="C2344" s="111"/>
      <c r="D2344" s="111"/>
      <c r="E2344" s="91"/>
      <c r="F2344" s="111"/>
      <c r="G2344" s="111"/>
      <c r="H2344" s="111"/>
      <c r="I2344" s="111"/>
      <c r="J2344" s="111"/>
      <c r="K2344" s="92"/>
      <c r="L2344" s="111"/>
      <c r="M2344" s="111"/>
      <c r="N2344" s="111"/>
      <c r="O2344" s="112"/>
      <c r="P2344" s="111"/>
      <c r="Q2344" s="111"/>
      <c r="R2344" s="111"/>
      <c r="S2344" s="111"/>
      <c r="T2344" s="111"/>
      <c r="U2344" s="111"/>
      <c r="V2344" s="111"/>
      <c r="W2344" s="111"/>
      <c r="X2344" s="111"/>
      <c r="Y2344" s="111"/>
      <c r="Z2344" s="111"/>
      <c r="AA2344" s="111"/>
      <c r="AB2344" s="111"/>
      <c r="AC2344" s="111"/>
      <c r="AD2344" s="111"/>
      <c r="AE2344" s="111"/>
      <c r="AF2344" s="111"/>
      <c r="AG2344" s="111"/>
      <c r="AH2344" s="111"/>
    </row>
    <row r="2345">
      <c r="A2345" s="89"/>
      <c r="B2345" s="111"/>
      <c r="C2345" s="111"/>
      <c r="D2345" s="111"/>
      <c r="E2345" s="91"/>
      <c r="F2345" s="111"/>
      <c r="G2345" s="111"/>
      <c r="H2345" s="111"/>
      <c r="I2345" s="111"/>
      <c r="J2345" s="111"/>
      <c r="K2345" s="92"/>
      <c r="L2345" s="111"/>
      <c r="M2345" s="111"/>
      <c r="N2345" s="111"/>
      <c r="O2345" s="112"/>
      <c r="P2345" s="111"/>
      <c r="Q2345" s="111"/>
      <c r="R2345" s="111"/>
      <c r="S2345" s="111"/>
      <c r="T2345" s="111"/>
      <c r="U2345" s="111"/>
      <c r="V2345" s="111"/>
      <c r="W2345" s="111"/>
      <c r="X2345" s="111"/>
      <c r="Y2345" s="111"/>
      <c r="Z2345" s="111"/>
      <c r="AA2345" s="111"/>
      <c r="AB2345" s="111"/>
      <c r="AC2345" s="111"/>
      <c r="AD2345" s="111"/>
      <c r="AE2345" s="111"/>
      <c r="AF2345" s="111"/>
      <c r="AG2345" s="111"/>
      <c r="AH2345" s="111"/>
    </row>
    <row r="2346">
      <c r="A2346" s="89"/>
      <c r="B2346" s="111"/>
      <c r="C2346" s="111"/>
      <c r="D2346" s="111"/>
      <c r="E2346" s="91"/>
      <c r="F2346" s="111"/>
      <c r="G2346" s="111"/>
      <c r="H2346" s="111"/>
      <c r="I2346" s="111"/>
      <c r="J2346" s="111"/>
      <c r="K2346" s="92"/>
      <c r="L2346" s="111"/>
      <c r="M2346" s="111"/>
      <c r="N2346" s="111"/>
      <c r="O2346" s="112"/>
      <c r="P2346" s="111"/>
      <c r="Q2346" s="111"/>
      <c r="R2346" s="111"/>
      <c r="S2346" s="111"/>
      <c r="T2346" s="111"/>
      <c r="U2346" s="111"/>
      <c r="V2346" s="111"/>
      <c r="W2346" s="111"/>
      <c r="X2346" s="111"/>
      <c r="Y2346" s="111"/>
      <c r="Z2346" s="111"/>
      <c r="AA2346" s="111"/>
      <c r="AB2346" s="111"/>
      <c r="AC2346" s="111"/>
      <c r="AD2346" s="111"/>
      <c r="AE2346" s="111"/>
      <c r="AF2346" s="111"/>
      <c r="AG2346" s="111"/>
      <c r="AH2346" s="111"/>
    </row>
    <row r="2347">
      <c r="A2347" s="89"/>
      <c r="B2347" s="111"/>
      <c r="C2347" s="111"/>
      <c r="D2347" s="111"/>
      <c r="E2347" s="91"/>
      <c r="F2347" s="111"/>
      <c r="G2347" s="111"/>
      <c r="H2347" s="111"/>
      <c r="I2347" s="111"/>
      <c r="J2347" s="111"/>
      <c r="K2347" s="92"/>
      <c r="L2347" s="111"/>
      <c r="M2347" s="111"/>
      <c r="N2347" s="111"/>
      <c r="O2347" s="112"/>
      <c r="P2347" s="111"/>
      <c r="Q2347" s="111"/>
      <c r="R2347" s="111"/>
      <c r="S2347" s="111"/>
      <c r="T2347" s="111"/>
      <c r="U2347" s="111"/>
      <c r="V2347" s="111"/>
      <c r="W2347" s="111"/>
      <c r="X2347" s="111"/>
      <c r="Y2347" s="111"/>
      <c r="Z2347" s="111"/>
      <c r="AA2347" s="111"/>
      <c r="AB2347" s="111"/>
      <c r="AC2347" s="111"/>
      <c r="AD2347" s="111"/>
      <c r="AE2347" s="111"/>
      <c r="AF2347" s="111"/>
      <c r="AG2347" s="111"/>
      <c r="AH2347" s="111"/>
    </row>
    <row r="2348">
      <c r="A2348" s="89"/>
      <c r="B2348" s="111"/>
      <c r="C2348" s="111"/>
      <c r="D2348" s="111"/>
      <c r="E2348" s="91"/>
      <c r="F2348" s="111"/>
      <c r="G2348" s="111"/>
      <c r="H2348" s="111"/>
      <c r="I2348" s="111"/>
      <c r="J2348" s="111"/>
      <c r="K2348" s="92"/>
      <c r="L2348" s="111"/>
      <c r="M2348" s="111"/>
      <c r="N2348" s="111"/>
      <c r="O2348" s="112"/>
      <c r="P2348" s="111"/>
      <c r="Q2348" s="111"/>
      <c r="R2348" s="111"/>
      <c r="S2348" s="111"/>
      <c r="T2348" s="111"/>
      <c r="U2348" s="111"/>
      <c r="V2348" s="111"/>
      <c r="W2348" s="111"/>
      <c r="X2348" s="111"/>
      <c r="Y2348" s="111"/>
      <c r="Z2348" s="111"/>
      <c r="AA2348" s="111"/>
      <c r="AB2348" s="111"/>
      <c r="AC2348" s="111"/>
      <c r="AD2348" s="111"/>
      <c r="AE2348" s="111"/>
      <c r="AF2348" s="111"/>
      <c r="AG2348" s="111"/>
      <c r="AH2348" s="111"/>
    </row>
    <row r="2349">
      <c r="A2349" s="89"/>
      <c r="B2349" s="111"/>
      <c r="C2349" s="111"/>
      <c r="D2349" s="111"/>
      <c r="E2349" s="91"/>
      <c r="F2349" s="111"/>
      <c r="G2349" s="111"/>
      <c r="H2349" s="111"/>
      <c r="I2349" s="111"/>
      <c r="J2349" s="111"/>
      <c r="K2349" s="92"/>
      <c r="L2349" s="111"/>
      <c r="M2349" s="111"/>
      <c r="N2349" s="111"/>
      <c r="O2349" s="112"/>
      <c r="P2349" s="111"/>
      <c r="Q2349" s="111"/>
      <c r="R2349" s="111"/>
      <c r="S2349" s="111"/>
      <c r="T2349" s="111"/>
      <c r="U2349" s="111"/>
      <c r="V2349" s="111"/>
      <c r="W2349" s="111"/>
      <c r="X2349" s="111"/>
      <c r="Y2349" s="111"/>
      <c r="Z2349" s="111"/>
      <c r="AA2349" s="111"/>
      <c r="AB2349" s="111"/>
      <c r="AC2349" s="111"/>
      <c r="AD2349" s="111"/>
      <c r="AE2349" s="111"/>
      <c r="AF2349" s="111"/>
      <c r="AG2349" s="111"/>
      <c r="AH2349" s="111"/>
    </row>
    <row r="2350">
      <c r="A2350" s="89"/>
      <c r="B2350" s="111"/>
      <c r="C2350" s="111"/>
      <c r="D2350" s="111"/>
      <c r="E2350" s="91"/>
      <c r="F2350" s="111"/>
      <c r="G2350" s="111"/>
      <c r="H2350" s="111"/>
      <c r="I2350" s="111"/>
      <c r="J2350" s="111"/>
      <c r="K2350" s="92"/>
      <c r="L2350" s="111"/>
      <c r="M2350" s="111"/>
      <c r="N2350" s="111"/>
      <c r="O2350" s="112"/>
      <c r="P2350" s="111"/>
      <c r="Q2350" s="111"/>
      <c r="R2350" s="111"/>
      <c r="S2350" s="111"/>
      <c r="T2350" s="111"/>
      <c r="U2350" s="111"/>
      <c r="V2350" s="111"/>
      <c r="W2350" s="111"/>
      <c r="X2350" s="111"/>
      <c r="Y2350" s="111"/>
      <c r="Z2350" s="111"/>
      <c r="AA2350" s="111"/>
      <c r="AB2350" s="111"/>
      <c r="AC2350" s="111"/>
      <c r="AD2350" s="111"/>
      <c r="AE2350" s="111"/>
      <c r="AF2350" s="111"/>
      <c r="AG2350" s="111"/>
      <c r="AH2350" s="111"/>
    </row>
    <row r="2351">
      <c r="A2351" s="89"/>
      <c r="B2351" s="111"/>
      <c r="C2351" s="111"/>
      <c r="D2351" s="111"/>
      <c r="E2351" s="91"/>
      <c r="F2351" s="111"/>
      <c r="G2351" s="111"/>
      <c r="H2351" s="111"/>
      <c r="I2351" s="111"/>
      <c r="J2351" s="111"/>
      <c r="K2351" s="92"/>
      <c r="L2351" s="111"/>
      <c r="M2351" s="111"/>
      <c r="N2351" s="111"/>
      <c r="O2351" s="112"/>
      <c r="P2351" s="111"/>
      <c r="Q2351" s="111"/>
      <c r="R2351" s="111"/>
      <c r="S2351" s="111"/>
      <c r="T2351" s="111"/>
      <c r="U2351" s="111"/>
      <c r="V2351" s="111"/>
      <c r="W2351" s="111"/>
      <c r="X2351" s="111"/>
      <c r="Y2351" s="111"/>
      <c r="Z2351" s="111"/>
      <c r="AA2351" s="111"/>
      <c r="AB2351" s="111"/>
      <c r="AC2351" s="111"/>
      <c r="AD2351" s="111"/>
      <c r="AE2351" s="111"/>
      <c r="AF2351" s="111"/>
      <c r="AG2351" s="111"/>
      <c r="AH2351" s="111"/>
    </row>
    <row r="2352">
      <c r="A2352" s="89"/>
      <c r="B2352" s="111"/>
      <c r="C2352" s="111"/>
      <c r="D2352" s="111"/>
      <c r="E2352" s="91"/>
      <c r="F2352" s="111"/>
      <c r="G2352" s="111"/>
      <c r="H2352" s="111"/>
      <c r="I2352" s="111"/>
      <c r="J2352" s="111"/>
      <c r="K2352" s="92"/>
      <c r="L2352" s="111"/>
      <c r="M2352" s="111"/>
      <c r="N2352" s="111"/>
      <c r="O2352" s="112"/>
      <c r="P2352" s="111"/>
      <c r="Q2352" s="111"/>
      <c r="R2352" s="111"/>
      <c r="S2352" s="111"/>
      <c r="T2352" s="111"/>
      <c r="U2352" s="111"/>
      <c r="V2352" s="111"/>
      <c r="W2352" s="111"/>
      <c r="X2352" s="111"/>
      <c r="Y2352" s="111"/>
      <c r="Z2352" s="111"/>
      <c r="AA2352" s="111"/>
      <c r="AB2352" s="111"/>
      <c r="AC2352" s="111"/>
      <c r="AD2352" s="111"/>
      <c r="AE2352" s="111"/>
      <c r="AF2352" s="111"/>
      <c r="AG2352" s="111"/>
      <c r="AH2352" s="111"/>
    </row>
    <row r="2353">
      <c r="A2353" s="89"/>
      <c r="B2353" s="111"/>
      <c r="C2353" s="111"/>
      <c r="D2353" s="111"/>
      <c r="E2353" s="91"/>
      <c r="F2353" s="111"/>
      <c r="G2353" s="111"/>
      <c r="H2353" s="111"/>
      <c r="I2353" s="111"/>
      <c r="J2353" s="111"/>
      <c r="K2353" s="92"/>
      <c r="L2353" s="111"/>
      <c r="M2353" s="111"/>
      <c r="N2353" s="111"/>
      <c r="O2353" s="112"/>
      <c r="P2353" s="111"/>
      <c r="Q2353" s="111"/>
      <c r="R2353" s="111"/>
      <c r="S2353" s="111"/>
      <c r="T2353" s="111"/>
      <c r="U2353" s="111"/>
      <c r="V2353" s="111"/>
      <c r="W2353" s="111"/>
      <c r="X2353" s="111"/>
      <c r="Y2353" s="111"/>
      <c r="Z2353" s="111"/>
      <c r="AA2353" s="111"/>
      <c r="AB2353" s="111"/>
      <c r="AC2353" s="111"/>
      <c r="AD2353" s="111"/>
      <c r="AE2353" s="111"/>
      <c r="AF2353" s="111"/>
      <c r="AG2353" s="111"/>
      <c r="AH2353" s="111"/>
    </row>
    <row r="2354">
      <c r="A2354" s="89"/>
      <c r="B2354" s="111"/>
      <c r="C2354" s="111"/>
      <c r="D2354" s="111"/>
      <c r="E2354" s="91"/>
      <c r="F2354" s="111"/>
      <c r="G2354" s="111"/>
      <c r="H2354" s="111"/>
      <c r="I2354" s="111"/>
      <c r="J2354" s="111"/>
      <c r="K2354" s="92"/>
      <c r="L2354" s="111"/>
      <c r="M2354" s="111"/>
      <c r="N2354" s="111"/>
      <c r="O2354" s="112"/>
      <c r="P2354" s="111"/>
      <c r="Q2354" s="111"/>
      <c r="R2354" s="111"/>
      <c r="S2354" s="111"/>
      <c r="T2354" s="111"/>
      <c r="U2354" s="111"/>
      <c r="V2354" s="111"/>
      <c r="W2354" s="111"/>
      <c r="X2354" s="111"/>
      <c r="Y2354" s="111"/>
      <c r="Z2354" s="111"/>
      <c r="AA2354" s="111"/>
      <c r="AB2354" s="111"/>
      <c r="AC2354" s="111"/>
      <c r="AD2354" s="111"/>
      <c r="AE2354" s="111"/>
      <c r="AF2354" s="111"/>
      <c r="AG2354" s="111"/>
      <c r="AH2354" s="111"/>
    </row>
    <row r="2355">
      <c r="A2355" s="89"/>
      <c r="B2355" s="111"/>
      <c r="C2355" s="111"/>
      <c r="D2355" s="111"/>
      <c r="E2355" s="91"/>
      <c r="F2355" s="111"/>
      <c r="G2355" s="111"/>
      <c r="H2355" s="111"/>
      <c r="I2355" s="111"/>
      <c r="J2355" s="111"/>
      <c r="K2355" s="92"/>
      <c r="L2355" s="111"/>
      <c r="M2355" s="111"/>
      <c r="N2355" s="111"/>
      <c r="O2355" s="112"/>
      <c r="P2355" s="111"/>
      <c r="Q2355" s="111"/>
      <c r="R2355" s="111"/>
      <c r="S2355" s="111"/>
      <c r="T2355" s="111"/>
      <c r="U2355" s="111"/>
      <c r="V2355" s="111"/>
      <c r="W2355" s="111"/>
      <c r="X2355" s="111"/>
      <c r="Y2355" s="111"/>
      <c r="Z2355" s="111"/>
      <c r="AA2355" s="111"/>
      <c r="AB2355" s="111"/>
      <c r="AC2355" s="111"/>
      <c r="AD2355" s="111"/>
      <c r="AE2355" s="111"/>
      <c r="AF2355" s="111"/>
      <c r="AG2355" s="111"/>
      <c r="AH2355" s="111"/>
    </row>
    <row r="2356">
      <c r="A2356" s="89"/>
      <c r="B2356" s="111"/>
      <c r="C2356" s="111"/>
      <c r="D2356" s="111"/>
      <c r="E2356" s="91"/>
      <c r="F2356" s="111"/>
      <c r="G2356" s="111"/>
      <c r="H2356" s="111"/>
      <c r="I2356" s="111"/>
      <c r="J2356" s="111"/>
      <c r="K2356" s="92"/>
      <c r="L2356" s="111"/>
      <c r="M2356" s="111"/>
      <c r="N2356" s="111"/>
      <c r="O2356" s="112"/>
      <c r="P2356" s="111"/>
      <c r="Q2356" s="111"/>
      <c r="R2356" s="111"/>
      <c r="S2356" s="111"/>
      <c r="T2356" s="111"/>
      <c r="U2356" s="111"/>
      <c r="V2356" s="111"/>
      <c r="W2356" s="111"/>
      <c r="X2356" s="111"/>
      <c r="Y2356" s="111"/>
      <c r="Z2356" s="111"/>
      <c r="AA2356" s="111"/>
      <c r="AB2356" s="111"/>
      <c r="AC2356" s="111"/>
      <c r="AD2356" s="111"/>
      <c r="AE2356" s="111"/>
      <c r="AF2356" s="111"/>
      <c r="AG2356" s="111"/>
      <c r="AH2356" s="111"/>
    </row>
    <row r="2357">
      <c r="A2357" s="89"/>
      <c r="B2357" s="111"/>
      <c r="C2357" s="111"/>
      <c r="D2357" s="111"/>
      <c r="E2357" s="91"/>
      <c r="F2357" s="111"/>
      <c r="G2357" s="111"/>
      <c r="H2357" s="111"/>
      <c r="I2357" s="111"/>
      <c r="J2357" s="111"/>
      <c r="K2357" s="92"/>
      <c r="L2357" s="111"/>
      <c r="M2357" s="111"/>
      <c r="N2357" s="111"/>
      <c r="O2357" s="112"/>
      <c r="P2357" s="111"/>
      <c r="Q2357" s="111"/>
      <c r="R2357" s="111"/>
      <c r="S2357" s="111"/>
      <c r="T2357" s="111"/>
      <c r="U2357" s="111"/>
      <c r="V2357" s="111"/>
      <c r="W2357" s="111"/>
      <c r="X2357" s="111"/>
      <c r="Y2357" s="111"/>
      <c r="Z2357" s="111"/>
      <c r="AA2357" s="111"/>
      <c r="AB2357" s="111"/>
      <c r="AC2357" s="111"/>
      <c r="AD2357" s="111"/>
      <c r="AE2357" s="111"/>
      <c r="AF2357" s="111"/>
      <c r="AG2357" s="111"/>
      <c r="AH2357" s="111"/>
    </row>
    <row r="2358">
      <c r="A2358" s="89"/>
      <c r="B2358" s="111"/>
      <c r="C2358" s="111"/>
      <c r="D2358" s="111"/>
      <c r="E2358" s="91"/>
      <c r="F2358" s="111"/>
      <c r="G2358" s="111"/>
      <c r="H2358" s="111"/>
      <c r="I2358" s="111"/>
      <c r="J2358" s="111"/>
      <c r="K2358" s="92"/>
      <c r="L2358" s="111"/>
      <c r="M2358" s="111"/>
      <c r="N2358" s="111"/>
      <c r="O2358" s="112"/>
      <c r="P2358" s="111"/>
      <c r="Q2358" s="111"/>
      <c r="R2358" s="111"/>
      <c r="S2358" s="111"/>
      <c r="T2358" s="111"/>
      <c r="U2358" s="111"/>
      <c r="V2358" s="111"/>
      <c r="W2358" s="111"/>
      <c r="X2358" s="111"/>
      <c r="Y2358" s="111"/>
      <c r="Z2358" s="111"/>
      <c r="AA2358" s="111"/>
      <c r="AB2358" s="111"/>
      <c r="AC2358" s="111"/>
      <c r="AD2358" s="111"/>
      <c r="AE2358" s="111"/>
      <c r="AF2358" s="111"/>
      <c r="AG2358" s="111"/>
      <c r="AH2358" s="111"/>
    </row>
    <row r="2359">
      <c r="A2359" s="89"/>
      <c r="B2359" s="111"/>
      <c r="C2359" s="111"/>
      <c r="D2359" s="111"/>
      <c r="E2359" s="91"/>
      <c r="F2359" s="111"/>
      <c r="G2359" s="111"/>
      <c r="H2359" s="111"/>
      <c r="I2359" s="111"/>
      <c r="J2359" s="111"/>
      <c r="K2359" s="92"/>
      <c r="L2359" s="111"/>
      <c r="M2359" s="111"/>
      <c r="N2359" s="111"/>
      <c r="O2359" s="112"/>
      <c r="P2359" s="111"/>
      <c r="Q2359" s="111"/>
      <c r="R2359" s="111"/>
      <c r="S2359" s="111"/>
      <c r="T2359" s="111"/>
      <c r="U2359" s="111"/>
      <c r="V2359" s="111"/>
      <c r="W2359" s="111"/>
      <c r="X2359" s="111"/>
      <c r="Y2359" s="111"/>
      <c r="Z2359" s="111"/>
      <c r="AA2359" s="111"/>
      <c r="AB2359" s="111"/>
      <c r="AC2359" s="111"/>
      <c r="AD2359" s="111"/>
      <c r="AE2359" s="111"/>
      <c r="AF2359" s="111"/>
      <c r="AG2359" s="111"/>
      <c r="AH2359" s="111"/>
    </row>
    <row r="2360">
      <c r="A2360" s="89"/>
      <c r="B2360" s="111"/>
      <c r="C2360" s="111"/>
      <c r="D2360" s="111"/>
      <c r="E2360" s="91"/>
      <c r="F2360" s="111"/>
      <c r="G2360" s="111"/>
      <c r="H2360" s="111"/>
      <c r="I2360" s="111"/>
      <c r="J2360" s="111"/>
      <c r="K2360" s="92"/>
      <c r="L2360" s="111"/>
      <c r="M2360" s="111"/>
      <c r="N2360" s="111"/>
      <c r="O2360" s="112"/>
      <c r="P2360" s="111"/>
      <c r="Q2360" s="111"/>
      <c r="R2360" s="111"/>
      <c r="S2360" s="111"/>
      <c r="T2360" s="111"/>
      <c r="U2360" s="111"/>
      <c r="V2360" s="111"/>
      <c r="W2360" s="111"/>
      <c r="X2360" s="111"/>
      <c r="Y2360" s="111"/>
      <c r="Z2360" s="111"/>
      <c r="AA2360" s="111"/>
      <c r="AB2360" s="111"/>
      <c r="AC2360" s="111"/>
      <c r="AD2360" s="111"/>
      <c r="AE2360" s="111"/>
      <c r="AF2360" s="111"/>
      <c r="AG2360" s="111"/>
      <c r="AH2360" s="111"/>
    </row>
    <row r="2361">
      <c r="A2361" s="89"/>
      <c r="B2361" s="111"/>
      <c r="C2361" s="111"/>
      <c r="D2361" s="111"/>
      <c r="E2361" s="91"/>
      <c r="F2361" s="111"/>
      <c r="G2361" s="111"/>
      <c r="H2361" s="111"/>
      <c r="I2361" s="111"/>
      <c r="J2361" s="111"/>
      <c r="K2361" s="92"/>
      <c r="L2361" s="111"/>
      <c r="M2361" s="111"/>
      <c r="N2361" s="111"/>
      <c r="O2361" s="112"/>
      <c r="P2361" s="111"/>
      <c r="Q2361" s="111"/>
      <c r="R2361" s="111"/>
      <c r="S2361" s="111"/>
      <c r="T2361" s="111"/>
      <c r="U2361" s="111"/>
      <c r="V2361" s="111"/>
      <c r="W2361" s="111"/>
      <c r="X2361" s="111"/>
      <c r="Y2361" s="111"/>
      <c r="Z2361" s="111"/>
      <c r="AA2361" s="111"/>
      <c r="AB2361" s="111"/>
      <c r="AC2361" s="111"/>
      <c r="AD2361" s="111"/>
      <c r="AE2361" s="111"/>
      <c r="AF2361" s="111"/>
      <c r="AG2361" s="111"/>
      <c r="AH2361" s="111"/>
    </row>
    <row r="2362">
      <c r="A2362" s="89"/>
      <c r="B2362" s="111"/>
      <c r="C2362" s="111"/>
      <c r="D2362" s="111"/>
      <c r="E2362" s="91"/>
      <c r="F2362" s="111"/>
      <c r="G2362" s="111"/>
      <c r="H2362" s="111"/>
      <c r="I2362" s="111"/>
      <c r="J2362" s="111"/>
      <c r="K2362" s="92"/>
      <c r="L2362" s="111"/>
      <c r="M2362" s="111"/>
      <c r="N2362" s="111"/>
      <c r="O2362" s="112"/>
      <c r="P2362" s="111"/>
      <c r="Q2362" s="111"/>
      <c r="R2362" s="111"/>
      <c r="S2362" s="111"/>
      <c r="T2362" s="111"/>
      <c r="U2362" s="111"/>
      <c r="V2362" s="111"/>
      <c r="W2362" s="111"/>
      <c r="X2362" s="111"/>
      <c r="Y2362" s="111"/>
      <c r="Z2362" s="111"/>
      <c r="AA2362" s="111"/>
      <c r="AB2362" s="111"/>
      <c r="AC2362" s="111"/>
      <c r="AD2362" s="111"/>
      <c r="AE2362" s="111"/>
      <c r="AF2362" s="111"/>
      <c r="AG2362" s="111"/>
      <c r="AH2362" s="111"/>
    </row>
    <row r="2363">
      <c r="A2363" s="89"/>
      <c r="B2363" s="111"/>
      <c r="C2363" s="111"/>
      <c r="D2363" s="111"/>
      <c r="E2363" s="91"/>
      <c r="F2363" s="111"/>
      <c r="G2363" s="111"/>
      <c r="H2363" s="111"/>
      <c r="I2363" s="111"/>
      <c r="J2363" s="111"/>
      <c r="K2363" s="92"/>
      <c r="L2363" s="111"/>
      <c r="M2363" s="111"/>
      <c r="N2363" s="111"/>
      <c r="O2363" s="112"/>
      <c r="P2363" s="111"/>
      <c r="Q2363" s="111"/>
      <c r="R2363" s="111"/>
      <c r="S2363" s="111"/>
      <c r="T2363" s="111"/>
      <c r="U2363" s="111"/>
      <c r="V2363" s="111"/>
      <c r="W2363" s="111"/>
      <c r="X2363" s="111"/>
      <c r="Y2363" s="111"/>
      <c r="Z2363" s="111"/>
      <c r="AA2363" s="111"/>
      <c r="AB2363" s="111"/>
      <c r="AC2363" s="111"/>
      <c r="AD2363" s="111"/>
      <c r="AE2363" s="111"/>
      <c r="AF2363" s="111"/>
      <c r="AG2363" s="111"/>
      <c r="AH2363" s="111"/>
    </row>
    <row r="2364">
      <c r="A2364" s="89"/>
      <c r="B2364" s="111"/>
      <c r="C2364" s="111"/>
      <c r="D2364" s="111"/>
      <c r="E2364" s="91"/>
      <c r="F2364" s="111"/>
      <c r="G2364" s="111"/>
      <c r="H2364" s="111"/>
      <c r="I2364" s="111"/>
      <c r="J2364" s="111"/>
      <c r="K2364" s="92"/>
      <c r="L2364" s="111"/>
      <c r="M2364" s="111"/>
      <c r="N2364" s="111"/>
      <c r="O2364" s="112"/>
      <c r="P2364" s="111"/>
      <c r="Q2364" s="111"/>
      <c r="R2364" s="111"/>
      <c r="S2364" s="111"/>
      <c r="T2364" s="111"/>
      <c r="U2364" s="111"/>
      <c r="V2364" s="111"/>
      <c r="W2364" s="111"/>
      <c r="X2364" s="111"/>
      <c r="Y2364" s="111"/>
      <c r="Z2364" s="111"/>
      <c r="AA2364" s="111"/>
      <c r="AB2364" s="111"/>
      <c r="AC2364" s="111"/>
      <c r="AD2364" s="111"/>
      <c r="AE2364" s="111"/>
      <c r="AF2364" s="111"/>
      <c r="AG2364" s="111"/>
      <c r="AH2364" s="111"/>
    </row>
    <row r="2365">
      <c r="A2365" s="89"/>
      <c r="B2365" s="111"/>
      <c r="C2365" s="111"/>
      <c r="D2365" s="111"/>
      <c r="E2365" s="91"/>
      <c r="F2365" s="111"/>
      <c r="G2365" s="111"/>
      <c r="H2365" s="111"/>
      <c r="I2365" s="111"/>
      <c r="J2365" s="111"/>
      <c r="K2365" s="92"/>
      <c r="L2365" s="111"/>
      <c r="M2365" s="111"/>
      <c r="N2365" s="111"/>
      <c r="O2365" s="112"/>
      <c r="P2365" s="111"/>
      <c r="Q2365" s="111"/>
      <c r="R2365" s="111"/>
      <c r="S2365" s="111"/>
      <c r="T2365" s="111"/>
      <c r="U2365" s="111"/>
      <c r="V2365" s="111"/>
      <c r="W2365" s="111"/>
      <c r="X2365" s="111"/>
      <c r="Y2365" s="111"/>
      <c r="Z2365" s="111"/>
      <c r="AA2365" s="111"/>
      <c r="AB2365" s="111"/>
      <c r="AC2365" s="111"/>
      <c r="AD2365" s="111"/>
      <c r="AE2365" s="111"/>
      <c r="AF2365" s="111"/>
      <c r="AG2365" s="111"/>
      <c r="AH2365" s="111"/>
    </row>
    <row r="2366">
      <c r="A2366" s="89"/>
      <c r="B2366" s="111"/>
      <c r="C2366" s="111"/>
      <c r="D2366" s="111"/>
      <c r="E2366" s="91"/>
      <c r="F2366" s="111"/>
      <c r="G2366" s="111"/>
      <c r="H2366" s="111"/>
      <c r="I2366" s="111"/>
      <c r="J2366" s="111"/>
      <c r="K2366" s="92"/>
      <c r="L2366" s="111"/>
      <c r="M2366" s="111"/>
      <c r="N2366" s="111"/>
      <c r="O2366" s="112"/>
      <c r="P2366" s="111"/>
      <c r="Q2366" s="111"/>
      <c r="R2366" s="111"/>
      <c r="S2366" s="111"/>
      <c r="T2366" s="111"/>
      <c r="U2366" s="111"/>
      <c r="V2366" s="111"/>
      <c r="W2366" s="111"/>
      <c r="X2366" s="111"/>
      <c r="Y2366" s="111"/>
      <c r="Z2366" s="111"/>
      <c r="AA2366" s="111"/>
      <c r="AB2366" s="111"/>
      <c r="AC2366" s="111"/>
      <c r="AD2366" s="111"/>
      <c r="AE2366" s="111"/>
      <c r="AF2366" s="111"/>
      <c r="AG2366" s="111"/>
      <c r="AH2366" s="111"/>
    </row>
    <row r="2367">
      <c r="A2367" s="89"/>
      <c r="B2367" s="111"/>
      <c r="C2367" s="111"/>
      <c r="D2367" s="111"/>
      <c r="E2367" s="91"/>
      <c r="F2367" s="111"/>
      <c r="G2367" s="111"/>
      <c r="H2367" s="111"/>
      <c r="I2367" s="111"/>
      <c r="J2367" s="111"/>
      <c r="K2367" s="92"/>
      <c r="L2367" s="111"/>
      <c r="M2367" s="111"/>
      <c r="N2367" s="111"/>
      <c r="O2367" s="112"/>
      <c r="P2367" s="111"/>
      <c r="Q2367" s="111"/>
      <c r="R2367" s="111"/>
      <c r="S2367" s="111"/>
      <c r="T2367" s="111"/>
      <c r="U2367" s="111"/>
      <c r="V2367" s="111"/>
      <c r="W2367" s="111"/>
      <c r="X2367" s="111"/>
      <c r="Y2367" s="111"/>
      <c r="Z2367" s="111"/>
      <c r="AA2367" s="111"/>
      <c r="AB2367" s="111"/>
      <c r="AC2367" s="111"/>
      <c r="AD2367" s="111"/>
      <c r="AE2367" s="111"/>
      <c r="AF2367" s="111"/>
      <c r="AG2367" s="111"/>
      <c r="AH2367" s="111"/>
    </row>
    <row r="2368">
      <c r="A2368" s="89"/>
      <c r="B2368" s="111"/>
      <c r="C2368" s="111"/>
      <c r="D2368" s="111"/>
      <c r="E2368" s="91"/>
      <c r="F2368" s="111"/>
      <c r="G2368" s="111"/>
      <c r="H2368" s="111"/>
      <c r="I2368" s="111"/>
      <c r="J2368" s="111"/>
      <c r="K2368" s="92"/>
      <c r="L2368" s="111"/>
      <c r="M2368" s="111"/>
      <c r="N2368" s="111"/>
      <c r="O2368" s="112"/>
      <c r="P2368" s="111"/>
      <c r="Q2368" s="111"/>
      <c r="R2368" s="111"/>
      <c r="S2368" s="111"/>
      <c r="T2368" s="111"/>
      <c r="U2368" s="111"/>
      <c r="V2368" s="111"/>
      <c r="W2368" s="111"/>
      <c r="X2368" s="111"/>
      <c r="Y2368" s="111"/>
      <c r="Z2368" s="111"/>
      <c r="AA2368" s="111"/>
      <c r="AB2368" s="111"/>
      <c r="AC2368" s="111"/>
      <c r="AD2368" s="111"/>
      <c r="AE2368" s="111"/>
      <c r="AF2368" s="111"/>
      <c r="AG2368" s="111"/>
      <c r="AH2368" s="111"/>
    </row>
    <row r="2369">
      <c r="A2369" s="89"/>
      <c r="B2369" s="111"/>
      <c r="C2369" s="111"/>
      <c r="D2369" s="111"/>
      <c r="E2369" s="91"/>
      <c r="F2369" s="111"/>
      <c r="G2369" s="111"/>
      <c r="H2369" s="111"/>
      <c r="I2369" s="111"/>
      <c r="J2369" s="111"/>
      <c r="K2369" s="92"/>
      <c r="L2369" s="111"/>
      <c r="M2369" s="111"/>
      <c r="N2369" s="111"/>
      <c r="O2369" s="112"/>
      <c r="P2369" s="111"/>
      <c r="Q2369" s="111"/>
      <c r="R2369" s="111"/>
      <c r="S2369" s="111"/>
      <c r="T2369" s="111"/>
      <c r="U2369" s="111"/>
      <c r="V2369" s="111"/>
      <c r="W2369" s="111"/>
      <c r="X2369" s="111"/>
      <c r="Y2369" s="111"/>
      <c r="Z2369" s="111"/>
      <c r="AA2369" s="111"/>
      <c r="AB2369" s="111"/>
      <c r="AC2369" s="111"/>
      <c r="AD2369" s="111"/>
      <c r="AE2369" s="111"/>
      <c r="AF2369" s="111"/>
      <c r="AG2369" s="111"/>
      <c r="AH2369" s="111"/>
    </row>
    <row r="2370">
      <c r="A2370" s="89"/>
      <c r="B2370" s="111"/>
      <c r="C2370" s="111"/>
      <c r="D2370" s="111"/>
      <c r="E2370" s="91"/>
      <c r="F2370" s="111"/>
      <c r="G2370" s="111"/>
      <c r="H2370" s="111"/>
      <c r="I2370" s="111"/>
      <c r="J2370" s="111"/>
      <c r="K2370" s="92"/>
      <c r="L2370" s="111"/>
      <c r="M2370" s="111"/>
      <c r="N2370" s="111"/>
      <c r="O2370" s="112"/>
      <c r="P2370" s="111"/>
      <c r="Q2370" s="111"/>
      <c r="R2370" s="111"/>
      <c r="S2370" s="111"/>
      <c r="T2370" s="111"/>
      <c r="U2370" s="111"/>
      <c r="V2370" s="111"/>
      <c r="W2370" s="111"/>
      <c r="X2370" s="111"/>
      <c r="Y2370" s="111"/>
      <c r="Z2370" s="111"/>
      <c r="AA2370" s="111"/>
      <c r="AB2370" s="111"/>
      <c r="AC2370" s="111"/>
      <c r="AD2370" s="111"/>
      <c r="AE2370" s="111"/>
      <c r="AF2370" s="111"/>
      <c r="AG2370" s="111"/>
      <c r="AH2370" s="111"/>
    </row>
    <row r="2371">
      <c r="A2371" s="89"/>
      <c r="B2371" s="111"/>
      <c r="C2371" s="111"/>
      <c r="D2371" s="111"/>
      <c r="E2371" s="91"/>
      <c r="F2371" s="111"/>
      <c r="G2371" s="111"/>
      <c r="H2371" s="111"/>
      <c r="I2371" s="111"/>
      <c r="J2371" s="111"/>
      <c r="K2371" s="92"/>
      <c r="L2371" s="111"/>
      <c r="M2371" s="111"/>
      <c r="N2371" s="111"/>
      <c r="O2371" s="112"/>
      <c r="P2371" s="111"/>
      <c r="Q2371" s="111"/>
      <c r="R2371" s="111"/>
      <c r="S2371" s="111"/>
      <c r="T2371" s="111"/>
      <c r="U2371" s="111"/>
      <c r="V2371" s="111"/>
      <c r="W2371" s="111"/>
      <c r="X2371" s="111"/>
      <c r="Y2371" s="111"/>
      <c r="Z2371" s="111"/>
      <c r="AA2371" s="111"/>
      <c r="AB2371" s="111"/>
      <c r="AC2371" s="111"/>
      <c r="AD2371" s="111"/>
      <c r="AE2371" s="111"/>
      <c r="AF2371" s="111"/>
      <c r="AG2371" s="111"/>
      <c r="AH2371" s="111"/>
    </row>
    <row r="2372">
      <c r="A2372" s="89"/>
      <c r="B2372" s="111"/>
      <c r="C2372" s="111"/>
      <c r="D2372" s="111"/>
      <c r="E2372" s="91"/>
      <c r="F2372" s="111"/>
      <c r="G2372" s="111"/>
      <c r="H2372" s="111"/>
      <c r="I2372" s="111"/>
      <c r="J2372" s="111"/>
      <c r="K2372" s="92"/>
      <c r="L2372" s="111"/>
      <c r="M2372" s="111"/>
      <c r="N2372" s="111"/>
      <c r="O2372" s="112"/>
      <c r="P2372" s="111"/>
      <c r="Q2372" s="111"/>
      <c r="R2372" s="111"/>
      <c r="S2372" s="111"/>
      <c r="T2372" s="111"/>
      <c r="U2372" s="111"/>
      <c r="V2372" s="111"/>
      <c r="W2372" s="111"/>
      <c r="X2372" s="111"/>
      <c r="Y2372" s="111"/>
      <c r="Z2372" s="111"/>
      <c r="AA2372" s="111"/>
      <c r="AB2372" s="111"/>
      <c r="AC2372" s="111"/>
      <c r="AD2372" s="111"/>
      <c r="AE2372" s="111"/>
      <c r="AF2372" s="111"/>
      <c r="AG2372" s="111"/>
      <c r="AH2372" s="111"/>
    </row>
    <row r="2373">
      <c r="A2373" s="89"/>
      <c r="B2373" s="111"/>
      <c r="C2373" s="111"/>
      <c r="D2373" s="111"/>
      <c r="E2373" s="91"/>
      <c r="F2373" s="111"/>
      <c r="G2373" s="111"/>
      <c r="H2373" s="111"/>
      <c r="I2373" s="111"/>
      <c r="J2373" s="111"/>
      <c r="K2373" s="92"/>
      <c r="L2373" s="111"/>
      <c r="M2373" s="111"/>
      <c r="N2373" s="111"/>
      <c r="O2373" s="112"/>
      <c r="P2373" s="111"/>
      <c r="Q2373" s="111"/>
      <c r="R2373" s="111"/>
      <c r="S2373" s="111"/>
      <c r="T2373" s="111"/>
      <c r="U2373" s="111"/>
      <c r="V2373" s="111"/>
      <c r="W2373" s="111"/>
      <c r="X2373" s="111"/>
      <c r="Y2373" s="111"/>
      <c r="Z2373" s="111"/>
      <c r="AA2373" s="111"/>
      <c r="AB2373" s="111"/>
      <c r="AC2373" s="111"/>
      <c r="AD2373" s="111"/>
      <c r="AE2373" s="111"/>
      <c r="AF2373" s="111"/>
      <c r="AG2373" s="111"/>
      <c r="AH2373" s="111"/>
    </row>
    <row r="2374">
      <c r="A2374" s="89"/>
      <c r="B2374" s="111"/>
      <c r="C2374" s="111"/>
      <c r="D2374" s="111"/>
      <c r="E2374" s="91"/>
      <c r="F2374" s="111"/>
      <c r="G2374" s="111"/>
      <c r="H2374" s="111"/>
      <c r="I2374" s="111"/>
      <c r="J2374" s="111"/>
      <c r="K2374" s="92"/>
      <c r="L2374" s="111"/>
      <c r="M2374" s="111"/>
      <c r="N2374" s="111"/>
      <c r="O2374" s="112"/>
      <c r="P2374" s="111"/>
      <c r="Q2374" s="111"/>
      <c r="R2374" s="111"/>
      <c r="S2374" s="111"/>
      <c r="T2374" s="111"/>
      <c r="U2374" s="111"/>
      <c r="V2374" s="111"/>
      <c r="W2374" s="111"/>
      <c r="X2374" s="111"/>
      <c r="Y2374" s="111"/>
      <c r="Z2374" s="111"/>
      <c r="AA2374" s="111"/>
      <c r="AB2374" s="111"/>
      <c r="AC2374" s="111"/>
      <c r="AD2374" s="111"/>
      <c r="AE2374" s="111"/>
      <c r="AF2374" s="111"/>
      <c r="AG2374" s="111"/>
      <c r="AH2374" s="111"/>
    </row>
    <row r="2375">
      <c r="A2375" s="89"/>
      <c r="B2375" s="111"/>
      <c r="C2375" s="111"/>
      <c r="D2375" s="111"/>
      <c r="E2375" s="91"/>
      <c r="F2375" s="111"/>
      <c r="G2375" s="111"/>
      <c r="H2375" s="111"/>
      <c r="I2375" s="111"/>
      <c r="J2375" s="111"/>
      <c r="K2375" s="92"/>
      <c r="L2375" s="111"/>
      <c r="M2375" s="111"/>
      <c r="N2375" s="111"/>
      <c r="O2375" s="112"/>
      <c r="P2375" s="111"/>
      <c r="Q2375" s="111"/>
      <c r="R2375" s="111"/>
      <c r="S2375" s="111"/>
      <c r="T2375" s="111"/>
      <c r="U2375" s="111"/>
      <c r="V2375" s="111"/>
      <c r="W2375" s="111"/>
      <c r="X2375" s="111"/>
      <c r="Y2375" s="111"/>
      <c r="Z2375" s="111"/>
      <c r="AA2375" s="111"/>
      <c r="AB2375" s="111"/>
      <c r="AC2375" s="111"/>
      <c r="AD2375" s="111"/>
      <c r="AE2375" s="111"/>
      <c r="AF2375" s="111"/>
      <c r="AG2375" s="111"/>
      <c r="AH2375" s="111"/>
    </row>
    <row r="2376">
      <c r="A2376" s="89"/>
      <c r="B2376" s="111"/>
      <c r="C2376" s="111"/>
      <c r="D2376" s="111"/>
      <c r="E2376" s="91"/>
      <c r="F2376" s="111"/>
      <c r="G2376" s="111"/>
      <c r="H2376" s="111"/>
      <c r="I2376" s="111"/>
      <c r="J2376" s="111"/>
      <c r="K2376" s="92"/>
      <c r="L2376" s="111"/>
      <c r="M2376" s="111"/>
      <c r="N2376" s="111"/>
      <c r="O2376" s="112"/>
      <c r="P2376" s="111"/>
      <c r="Q2376" s="111"/>
      <c r="R2376" s="111"/>
      <c r="S2376" s="111"/>
      <c r="T2376" s="111"/>
      <c r="U2376" s="111"/>
      <c r="V2376" s="111"/>
      <c r="W2376" s="111"/>
      <c r="X2376" s="111"/>
      <c r="Y2376" s="111"/>
      <c r="Z2376" s="111"/>
      <c r="AA2376" s="111"/>
      <c r="AB2376" s="111"/>
      <c r="AC2376" s="111"/>
      <c r="AD2376" s="111"/>
      <c r="AE2376" s="111"/>
      <c r="AF2376" s="111"/>
      <c r="AG2376" s="111"/>
      <c r="AH2376" s="111"/>
    </row>
    <row r="2377">
      <c r="A2377" s="89"/>
      <c r="B2377" s="111"/>
      <c r="C2377" s="111"/>
      <c r="D2377" s="111"/>
      <c r="E2377" s="91"/>
      <c r="F2377" s="111"/>
      <c r="G2377" s="111"/>
      <c r="H2377" s="111"/>
      <c r="I2377" s="111"/>
      <c r="J2377" s="111"/>
      <c r="K2377" s="92"/>
      <c r="L2377" s="111"/>
      <c r="M2377" s="111"/>
      <c r="N2377" s="111"/>
      <c r="O2377" s="112"/>
      <c r="P2377" s="111"/>
      <c r="Q2377" s="111"/>
      <c r="R2377" s="111"/>
      <c r="S2377" s="111"/>
      <c r="T2377" s="111"/>
      <c r="U2377" s="111"/>
      <c r="V2377" s="111"/>
      <c r="W2377" s="111"/>
      <c r="X2377" s="111"/>
      <c r="Y2377" s="111"/>
      <c r="Z2377" s="111"/>
      <c r="AA2377" s="111"/>
      <c r="AB2377" s="111"/>
      <c r="AC2377" s="111"/>
      <c r="AD2377" s="111"/>
      <c r="AE2377" s="111"/>
      <c r="AF2377" s="111"/>
      <c r="AG2377" s="111"/>
      <c r="AH2377" s="111"/>
    </row>
    <row r="2378">
      <c r="A2378" s="89"/>
      <c r="B2378" s="111"/>
      <c r="C2378" s="111"/>
      <c r="D2378" s="111"/>
      <c r="E2378" s="91"/>
      <c r="F2378" s="111"/>
      <c r="G2378" s="111"/>
      <c r="H2378" s="111"/>
      <c r="I2378" s="111"/>
      <c r="J2378" s="111"/>
      <c r="K2378" s="92"/>
      <c r="L2378" s="111"/>
      <c r="M2378" s="111"/>
      <c r="N2378" s="111"/>
      <c r="O2378" s="112"/>
      <c r="P2378" s="111"/>
      <c r="Q2378" s="111"/>
      <c r="R2378" s="111"/>
      <c r="S2378" s="111"/>
      <c r="T2378" s="111"/>
      <c r="U2378" s="111"/>
      <c r="V2378" s="111"/>
      <c r="W2378" s="111"/>
      <c r="X2378" s="111"/>
      <c r="Y2378" s="111"/>
      <c r="Z2378" s="111"/>
      <c r="AA2378" s="111"/>
      <c r="AB2378" s="111"/>
      <c r="AC2378" s="111"/>
      <c r="AD2378" s="111"/>
      <c r="AE2378" s="111"/>
      <c r="AF2378" s="111"/>
      <c r="AG2378" s="111"/>
      <c r="AH2378" s="111"/>
    </row>
    <row r="2379">
      <c r="A2379" s="89"/>
      <c r="B2379" s="111"/>
      <c r="C2379" s="111"/>
      <c r="D2379" s="111"/>
      <c r="E2379" s="91"/>
      <c r="F2379" s="111"/>
      <c r="G2379" s="111"/>
      <c r="H2379" s="111"/>
      <c r="I2379" s="111"/>
      <c r="J2379" s="111"/>
      <c r="K2379" s="92"/>
      <c r="L2379" s="111"/>
      <c r="M2379" s="111"/>
      <c r="N2379" s="111"/>
      <c r="O2379" s="112"/>
      <c r="P2379" s="111"/>
      <c r="Q2379" s="111"/>
      <c r="R2379" s="111"/>
      <c r="S2379" s="111"/>
      <c r="T2379" s="111"/>
      <c r="U2379" s="111"/>
      <c r="V2379" s="111"/>
      <c r="W2379" s="111"/>
      <c r="X2379" s="111"/>
      <c r="Y2379" s="111"/>
      <c r="Z2379" s="111"/>
      <c r="AA2379" s="111"/>
      <c r="AB2379" s="111"/>
      <c r="AC2379" s="111"/>
      <c r="AD2379" s="111"/>
      <c r="AE2379" s="111"/>
      <c r="AF2379" s="111"/>
      <c r="AG2379" s="111"/>
      <c r="AH2379" s="111"/>
    </row>
    <row r="2380">
      <c r="A2380" s="89"/>
      <c r="B2380" s="111"/>
      <c r="C2380" s="111"/>
      <c r="D2380" s="111"/>
      <c r="E2380" s="91"/>
      <c r="F2380" s="111"/>
      <c r="G2380" s="111"/>
      <c r="H2380" s="111"/>
      <c r="I2380" s="111"/>
      <c r="J2380" s="111"/>
      <c r="K2380" s="92"/>
      <c r="L2380" s="111"/>
      <c r="M2380" s="111"/>
      <c r="N2380" s="111"/>
      <c r="O2380" s="112"/>
      <c r="P2380" s="111"/>
      <c r="Q2380" s="111"/>
      <c r="R2380" s="111"/>
      <c r="S2380" s="111"/>
      <c r="T2380" s="111"/>
      <c r="U2380" s="111"/>
      <c r="V2380" s="111"/>
      <c r="W2380" s="111"/>
      <c r="X2380" s="111"/>
      <c r="Y2380" s="111"/>
      <c r="Z2380" s="111"/>
      <c r="AA2380" s="111"/>
      <c r="AB2380" s="111"/>
      <c r="AC2380" s="111"/>
      <c r="AD2380" s="111"/>
      <c r="AE2380" s="111"/>
      <c r="AF2380" s="111"/>
      <c r="AG2380" s="111"/>
      <c r="AH2380" s="111"/>
    </row>
    <row r="2381">
      <c r="A2381" s="89"/>
      <c r="B2381" s="111"/>
      <c r="C2381" s="111"/>
      <c r="D2381" s="111"/>
      <c r="E2381" s="91"/>
      <c r="F2381" s="111"/>
      <c r="G2381" s="111"/>
      <c r="H2381" s="111"/>
      <c r="I2381" s="111"/>
      <c r="J2381" s="111"/>
      <c r="K2381" s="92"/>
      <c r="L2381" s="111"/>
      <c r="M2381" s="111"/>
      <c r="N2381" s="111"/>
      <c r="O2381" s="112"/>
      <c r="P2381" s="111"/>
      <c r="Q2381" s="111"/>
      <c r="R2381" s="111"/>
      <c r="S2381" s="111"/>
      <c r="T2381" s="111"/>
      <c r="U2381" s="111"/>
      <c r="V2381" s="111"/>
      <c r="W2381" s="111"/>
      <c r="X2381" s="111"/>
      <c r="Y2381" s="111"/>
      <c r="Z2381" s="111"/>
      <c r="AA2381" s="111"/>
      <c r="AB2381" s="111"/>
      <c r="AC2381" s="111"/>
      <c r="AD2381" s="111"/>
      <c r="AE2381" s="111"/>
      <c r="AF2381" s="111"/>
      <c r="AG2381" s="111"/>
      <c r="AH2381" s="111"/>
    </row>
    <row r="2382">
      <c r="A2382" s="89"/>
      <c r="B2382" s="111"/>
      <c r="C2382" s="111"/>
      <c r="D2382" s="111"/>
      <c r="E2382" s="91"/>
      <c r="F2382" s="111"/>
      <c r="G2382" s="111"/>
      <c r="H2382" s="111"/>
      <c r="I2382" s="111"/>
      <c r="J2382" s="111"/>
      <c r="K2382" s="92"/>
      <c r="L2382" s="111"/>
      <c r="M2382" s="111"/>
      <c r="N2382" s="111"/>
      <c r="O2382" s="112"/>
      <c r="P2382" s="111"/>
      <c r="Q2382" s="111"/>
      <c r="R2382" s="111"/>
      <c r="S2382" s="111"/>
      <c r="T2382" s="111"/>
      <c r="U2382" s="111"/>
      <c r="V2382" s="111"/>
      <c r="W2382" s="111"/>
      <c r="X2382" s="111"/>
      <c r="Y2382" s="111"/>
      <c r="Z2382" s="111"/>
      <c r="AA2382" s="111"/>
      <c r="AB2382" s="111"/>
      <c r="AC2382" s="111"/>
      <c r="AD2382" s="111"/>
      <c r="AE2382" s="111"/>
      <c r="AF2382" s="111"/>
      <c r="AG2382" s="111"/>
      <c r="AH2382" s="111"/>
    </row>
    <row r="2383">
      <c r="A2383" s="89"/>
      <c r="B2383" s="111"/>
      <c r="C2383" s="111"/>
      <c r="D2383" s="111"/>
      <c r="E2383" s="91"/>
      <c r="F2383" s="111"/>
      <c r="G2383" s="111"/>
      <c r="H2383" s="111"/>
      <c r="I2383" s="111"/>
      <c r="J2383" s="111"/>
      <c r="K2383" s="92"/>
      <c r="L2383" s="111"/>
      <c r="M2383" s="111"/>
      <c r="N2383" s="111"/>
      <c r="O2383" s="112"/>
      <c r="P2383" s="111"/>
      <c r="Q2383" s="111"/>
      <c r="R2383" s="111"/>
      <c r="S2383" s="111"/>
      <c r="T2383" s="111"/>
      <c r="U2383" s="111"/>
      <c r="V2383" s="111"/>
      <c r="W2383" s="111"/>
      <c r="X2383" s="111"/>
      <c r="Y2383" s="111"/>
      <c r="Z2383" s="111"/>
      <c r="AA2383" s="111"/>
      <c r="AB2383" s="111"/>
      <c r="AC2383" s="111"/>
      <c r="AD2383" s="111"/>
      <c r="AE2383" s="111"/>
      <c r="AF2383" s="111"/>
      <c r="AG2383" s="111"/>
      <c r="AH2383" s="111"/>
    </row>
    <row r="2384">
      <c r="A2384" s="89"/>
      <c r="B2384" s="111"/>
      <c r="C2384" s="111"/>
      <c r="D2384" s="111"/>
      <c r="E2384" s="91"/>
      <c r="F2384" s="111"/>
      <c r="G2384" s="111"/>
      <c r="H2384" s="111"/>
      <c r="I2384" s="111"/>
      <c r="J2384" s="111"/>
      <c r="K2384" s="92"/>
      <c r="L2384" s="111"/>
      <c r="M2384" s="111"/>
      <c r="N2384" s="111"/>
      <c r="O2384" s="112"/>
      <c r="P2384" s="111"/>
      <c r="Q2384" s="111"/>
      <c r="R2384" s="111"/>
      <c r="S2384" s="111"/>
      <c r="T2384" s="111"/>
      <c r="U2384" s="111"/>
      <c r="V2384" s="111"/>
      <c r="W2384" s="111"/>
      <c r="X2384" s="111"/>
      <c r="Y2384" s="111"/>
      <c r="Z2384" s="111"/>
      <c r="AA2384" s="111"/>
      <c r="AB2384" s="111"/>
      <c r="AC2384" s="111"/>
      <c r="AD2384" s="111"/>
      <c r="AE2384" s="111"/>
      <c r="AF2384" s="111"/>
      <c r="AG2384" s="111"/>
      <c r="AH2384" s="111"/>
    </row>
    <row r="2385">
      <c r="A2385" s="89"/>
      <c r="B2385" s="111"/>
      <c r="C2385" s="111"/>
      <c r="D2385" s="111"/>
      <c r="E2385" s="91"/>
      <c r="F2385" s="111"/>
      <c r="G2385" s="111"/>
      <c r="H2385" s="111"/>
      <c r="I2385" s="111"/>
      <c r="J2385" s="111"/>
      <c r="K2385" s="92"/>
      <c r="L2385" s="111"/>
      <c r="M2385" s="111"/>
      <c r="N2385" s="111"/>
      <c r="O2385" s="112"/>
      <c r="P2385" s="111"/>
      <c r="Q2385" s="111"/>
      <c r="R2385" s="111"/>
      <c r="S2385" s="111"/>
      <c r="T2385" s="111"/>
      <c r="U2385" s="111"/>
      <c r="V2385" s="111"/>
      <c r="W2385" s="111"/>
      <c r="X2385" s="111"/>
      <c r="Y2385" s="111"/>
      <c r="Z2385" s="111"/>
      <c r="AA2385" s="111"/>
      <c r="AB2385" s="111"/>
      <c r="AC2385" s="111"/>
      <c r="AD2385" s="111"/>
      <c r="AE2385" s="111"/>
      <c r="AF2385" s="111"/>
      <c r="AG2385" s="111"/>
      <c r="AH2385" s="111"/>
    </row>
    <row r="2386">
      <c r="A2386" s="89"/>
      <c r="B2386" s="111"/>
      <c r="C2386" s="111"/>
      <c r="D2386" s="111"/>
      <c r="E2386" s="91"/>
      <c r="F2386" s="111"/>
      <c r="G2386" s="111"/>
      <c r="H2386" s="111"/>
      <c r="I2386" s="111"/>
      <c r="J2386" s="111"/>
      <c r="K2386" s="92"/>
      <c r="L2386" s="111"/>
      <c r="M2386" s="111"/>
      <c r="N2386" s="111"/>
      <c r="O2386" s="112"/>
      <c r="P2386" s="111"/>
      <c r="Q2386" s="111"/>
      <c r="R2386" s="111"/>
      <c r="S2386" s="111"/>
      <c r="T2386" s="111"/>
      <c r="U2386" s="111"/>
      <c r="V2386" s="111"/>
      <c r="W2386" s="111"/>
      <c r="X2386" s="111"/>
      <c r="Y2386" s="111"/>
      <c r="Z2386" s="111"/>
      <c r="AA2386" s="111"/>
      <c r="AB2386" s="111"/>
      <c r="AC2386" s="111"/>
      <c r="AD2386" s="111"/>
      <c r="AE2386" s="111"/>
      <c r="AF2386" s="111"/>
      <c r="AG2386" s="111"/>
      <c r="AH2386" s="111"/>
    </row>
    <row r="2387">
      <c r="A2387" s="89"/>
      <c r="B2387" s="111"/>
      <c r="C2387" s="111"/>
      <c r="D2387" s="111"/>
      <c r="E2387" s="91"/>
      <c r="F2387" s="111"/>
      <c r="G2387" s="111"/>
      <c r="H2387" s="111"/>
      <c r="I2387" s="111"/>
      <c r="J2387" s="111"/>
      <c r="K2387" s="92"/>
      <c r="L2387" s="111"/>
      <c r="M2387" s="111"/>
      <c r="N2387" s="111"/>
      <c r="O2387" s="112"/>
      <c r="P2387" s="111"/>
      <c r="Q2387" s="111"/>
      <c r="R2387" s="111"/>
      <c r="S2387" s="111"/>
      <c r="T2387" s="111"/>
      <c r="U2387" s="111"/>
      <c r="V2387" s="111"/>
      <c r="W2387" s="111"/>
      <c r="X2387" s="111"/>
      <c r="Y2387" s="111"/>
      <c r="Z2387" s="111"/>
      <c r="AA2387" s="111"/>
      <c r="AB2387" s="111"/>
      <c r="AC2387" s="111"/>
      <c r="AD2387" s="111"/>
      <c r="AE2387" s="111"/>
      <c r="AF2387" s="111"/>
      <c r="AG2387" s="111"/>
      <c r="AH2387" s="111"/>
    </row>
    <row r="2388">
      <c r="A2388" s="89"/>
      <c r="B2388" s="111"/>
      <c r="C2388" s="111"/>
      <c r="D2388" s="111"/>
      <c r="E2388" s="91"/>
      <c r="F2388" s="111"/>
      <c r="G2388" s="111"/>
      <c r="H2388" s="111"/>
      <c r="I2388" s="111"/>
      <c r="J2388" s="111"/>
      <c r="K2388" s="92"/>
      <c r="L2388" s="111"/>
      <c r="M2388" s="111"/>
      <c r="N2388" s="111"/>
      <c r="O2388" s="112"/>
      <c r="P2388" s="111"/>
      <c r="Q2388" s="111"/>
      <c r="R2388" s="111"/>
      <c r="S2388" s="111"/>
      <c r="T2388" s="111"/>
      <c r="U2388" s="111"/>
      <c r="V2388" s="111"/>
      <c r="W2388" s="111"/>
      <c r="X2388" s="111"/>
      <c r="Y2388" s="111"/>
      <c r="Z2388" s="111"/>
      <c r="AA2388" s="111"/>
      <c r="AB2388" s="111"/>
      <c r="AC2388" s="111"/>
      <c r="AD2388" s="111"/>
      <c r="AE2388" s="111"/>
      <c r="AF2388" s="111"/>
      <c r="AG2388" s="111"/>
      <c r="AH2388" s="111"/>
    </row>
    <row r="2389">
      <c r="A2389" s="89"/>
      <c r="B2389" s="111"/>
      <c r="C2389" s="111"/>
      <c r="D2389" s="111"/>
      <c r="E2389" s="91"/>
      <c r="F2389" s="111"/>
      <c r="G2389" s="111"/>
      <c r="H2389" s="111"/>
      <c r="I2389" s="111"/>
      <c r="J2389" s="111"/>
      <c r="K2389" s="92"/>
      <c r="L2389" s="111"/>
      <c r="M2389" s="111"/>
      <c r="N2389" s="111"/>
      <c r="O2389" s="112"/>
      <c r="P2389" s="111"/>
      <c r="Q2389" s="111"/>
      <c r="R2389" s="111"/>
      <c r="S2389" s="111"/>
      <c r="T2389" s="111"/>
      <c r="U2389" s="111"/>
      <c r="V2389" s="111"/>
      <c r="W2389" s="111"/>
      <c r="X2389" s="111"/>
      <c r="Y2389" s="111"/>
      <c r="Z2389" s="111"/>
      <c r="AA2389" s="111"/>
      <c r="AB2389" s="111"/>
      <c r="AC2389" s="111"/>
      <c r="AD2389" s="111"/>
      <c r="AE2389" s="111"/>
      <c r="AF2389" s="111"/>
      <c r="AG2389" s="111"/>
      <c r="AH2389" s="111"/>
    </row>
    <row r="2390">
      <c r="A2390" s="89"/>
      <c r="B2390" s="111"/>
      <c r="C2390" s="111"/>
      <c r="D2390" s="111"/>
      <c r="E2390" s="91"/>
      <c r="F2390" s="111"/>
      <c r="G2390" s="111"/>
      <c r="H2390" s="111"/>
      <c r="I2390" s="111"/>
      <c r="J2390" s="111"/>
      <c r="K2390" s="92"/>
      <c r="L2390" s="111"/>
      <c r="M2390" s="111"/>
      <c r="N2390" s="111"/>
      <c r="O2390" s="112"/>
      <c r="P2390" s="111"/>
      <c r="Q2390" s="111"/>
      <c r="R2390" s="111"/>
      <c r="S2390" s="111"/>
      <c r="T2390" s="111"/>
      <c r="U2390" s="111"/>
      <c r="V2390" s="111"/>
      <c r="W2390" s="111"/>
      <c r="X2390" s="111"/>
      <c r="Y2390" s="111"/>
      <c r="Z2390" s="111"/>
      <c r="AA2390" s="111"/>
      <c r="AB2390" s="111"/>
      <c r="AC2390" s="111"/>
      <c r="AD2390" s="111"/>
      <c r="AE2390" s="111"/>
      <c r="AF2390" s="111"/>
      <c r="AG2390" s="111"/>
      <c r="AH2390" s="111"/>
    </row>
    <row r="2391">
      <c r="A2391" s="89"/>
      <c r="B2391" s="111"/>
      <c r="C2391" s="111"/>
      <c r="D2391" s="111"/>
      <c r="E2391" s="91"/>
      <c r="F2391" s="111"/>
      <c r="G2391" s="111"/>
      <c r="H2391" s="111"/>
      <c r="I2391" s="111"/>
      <c r="J2391" s="111"/>
      <c r="K2391" s="92"/>
      <c r="L2391" s="111"/>
      <c r="M2391" s="111"/>
      <c r="N2391" s="111"/>
      <c r="O2391" s="112"/>
      <c r="P2391" s="111"/>
      <c r="Q2391" s="111"/>
      <c r="R2391" s="111"/>
      <c r="S2391" s="111"/>
      <c r="T2391" s="111"/>
      <c r="U2391" s="111"/>
      <c r="V2391" s="111"/>
      <c r="W2391" s="111"/>
      <c r="X2391" s="111"/>
      <c r="Y2391" s="111"/>
      <c r="Z2391" s="111"/>
      <c r="AA2391" s="111"/>
      <c r="AB2391" s="111"/>
      <c r="AC2391" s="111"/>
      <c r="AD2391" s="111"/>
      <c r="AE2391" s="111"/>
      <c r="AF2391" s="111"/>
      <c r="AG2391" s="111"/>
      <c r="AH2391" s="111"/>
    </row>
    <row r="2392">
      <c r="A2392" s="89"/>
      <c r="B2392" s="111"/>
      <c r="C2392" s="111"/>
      <c r="D2392" s="111"/>
      <c r="E2392" s="91"/>
      <c r="F2392" s="111"/>
      <c r="G2392" s="111"/>
      <c r="H2392" s="111"/>
      <c r="I2392" s="111"/>
      <c r="J2392" s="111"/>
      <c r="K2392" s="92"/>
      <c r="L2392" s="111"/>
      <c r="M2392" s="111"/>
      <c r="N2392" s="111"/>
      <c r="O2392" s="112"/>
      <c r="P2392" s="111"/>
      <c r="Q2392" s="111"/>
      <c r="R2392" s="111"/>
      <c r="S2392" s="111"/>
      <c r="T2392" s="111"/>
      <c r="U2392" s="111"/>
      <c r="V2392" s="111"/>
      <c r="W2392" s="111"/>
      <c r="X2392" s="111"/>
      <c r="Y2392" s="111"/>
      <c r="Z2392" s="111"/>
      <c r="AA2392" s="111"/>
      <c r="AB2392" s="111"/>
      <c r="AC2392" s="111"/>
      <c r="AD2392" s="111"/>
      <c r="AE2392" s="111"/>
      <c r="AF2392" s="111"/>
      <c r="AG2392" s="111"/>
      <c r="AH2392" s="111"/>
    </row>
    <row r="2393">
      <c r="A2393" s="89"/>
      <c r="B2393" s="111"/>
      <c r="C2393" s="111"/>
      <c r="D2393" s="111"/>
      <c r="E2393" s="91"/>
      <c r="F2393" s="111"/>
      <c r="G2393" s="111"/>
      <c r="H2393" s="111"/>
      <c r="I2393" s="111"/>
      <c r="J2393" s="111"/>
      <c r="K2393" s="92"/>
      <c r="L2393" s="111"/>
      <c r="M2393" s="111"/>
      <c r="N2393" s="111"/>
      <c r="O2393" s="112"/>
      <c r="P2393" s="111"/>
      <c r="Q2393" s="111"/>
      <c r="R2393" s="111"/>
      <c r="S2393" s="111"/>
      <c r="T2393" s="111"/>
      <c r="U2393" s="111"/>
      <c r="V2393" s="111"/>
      <c r="W2393" s="111"/>
      <c r="X2393" s="111"/>
      <c r="Y2393" s="111"/>
      <c r="Z2393" s="111"/>
      <c r="AA2393" s="111"/>
      <c r="AB2393" s="111"/>
      <c r="AC2393" s="111"/>
      <c r="AD2393" s="111"/>
      <c r="AE2393" s="111"/>
      <c r="AF2393" s="111"/>
      <c r="AG2393" s="111"/>
      <c r="AH2393" s="111"/>
    </row>
    <row r="2394">
      <c r="A2394" s="89"/>
      <c r="B2394" s="111"/>
      <c r="C2394" s="111"/>
      <c r="D2394" s="111"/>
      <c r="E2394" s="91"/>
      <c r="F2394" s="111"/>
      <c r="G2394" s="111"/>
      <c r="H2394" s="111"/>
      <c r="I2394" s="111"/>
      <c r="J2394" s="111"/>
      <c r="K2394" s="92"/>
      <c r="L2394" s="111"/>
      <c r="M2394" s="111"/>
      <c r="N2394" s="111"/>
      <c r="O2394" s="112"/>
      <c r="P2394" s="111"/>
      <c r="Q2394" s="111"/>
      <c r="R2394" s="111"/>
      <c r="S2394" s="111"/>
      <c r="T2394" s="111"/>
      <c r="U2394" s="111"/>
      <c r="V2394" s="111"/>
      <c r="W2394" s="111"/>
      <c r="X2394" s="111"/>
      <c r="Y2394" s="111"/>
      <c r="Z2394" s="111"/>
      <c r="AA2394" s="111"/>
      <c r="AB2394" s="111"/>
      <c r="AC2394" s="111"/>
      <c r="AD2394" s="111"/>
      <c r="AE2394" s="111"/>
      <c r="AF2394" s="111"/>
      <c r="AG2394" s="111"/>
      <c r="AH2394" s="111"/>
    </row>
    <row r="2395">
      <c r="A2395" s="89"/>
      <c r="B2395" s="111"/>
      <c r="C2395" s="111"/>
      <c r="D2395" s="111"/>
      <c r="E2395" s="91"/>
      <c r="F2395" s="111"/>
      <c r="G2395" s="111"/>
      <c r="H2395" s="111"/>
      <c r="I2395" s="111"/>
      <c r="J2395" s="111"/>
      <c r="K2395" s="92"/>
      <c r="L2395" s="111"/>
      <c r="M2395" s="111"/>
      <c r="N2395" s="111"/>
      <c r="O2395" s="112"/>
      <c r="P2395" s="111"/>
      <c r="Q2395" s="111"/>
      <c r="R2395" s="111"/>
      <c r="S2395" s="111"/>
      <c r="T2395" s="111"/>
      <c r="U2395" s="111"/>
      <c r="V2395" s="111"/>
      <c r="W2395" s="111"/>
      <c r="X2395" s="111"/>
      <c r="Y2395" s="111"/>
      <c r="Z2395" s="111"/>
      <c r="AA2395" s="111"/>
      <c r="AB2395" s="111"/>
      <c r="AC2395" s="111"/>
      <c r="AD2395" s="111"/>
      <c r="AE2395" s="111"/>
      <c r="AF2395" s="111"/>
      <c r="AG2395" s="111"/>
      <c r="AH2395" s="111"/>
    </row>
    <row r="2396">
      <c r="A2396" s="89"/>
      <c r="B2396" s="111"/>
      <c r="C2396" s="111"/>
      <c r="D2396" s="111"/>
      <c r="E2396" s="91"/>
      <c r="F2396" s="111"/>
      <c r="G2396" s="111"/>
      <c r="H2396" s="111"/>
      <c r="I2396" s="111"/>
      <c r="J2396" s="111"/>
      <c r="K2396" s="92"/>
      <c r="L2396" s="111"/>
      <c r="M2396" s="111"/>
      <c r="N2396" s="111"/>
      <c r="O2396" s="112"/>
      <c r="P2396" s="111"/>
      <c r="Q2396" s="111"/>
      <c r="R2396" s="111"/>
      <c r="S2396" s="111"/>
      <c r="T2396" s="111"/>
      <c r="U2396" s="111"/>
      <c r="V2396" s="111"/>
      <c r="W2396" s="111"/>
      <c r="X2396" s="111"/>
      <c r="Y2396" s="111"/>
      <c r="Z2396" s="111"/>
      <c r="AA2396" s="111"/>
      <c r="AB2396" s="111"/>
      <c r="AC2396" s="111"/>
      <c r="AD2396" s="111"/>
      <c r="AE2396" s="111"/>
      <c r="AF2396" s="111"/>
      <c r="AG2396" s="111"/>
      <c r="AH2396" s="111"/>
    </row>
    <row r="2397">
      <c r="A2397" s="89"/>
      <c r="B2397" s="111"/>
      <c r="C2397" s="111"/>
      <c r="D2397" s="111"/>
      <c r="E2397" s="91"/>
      <c r="F2397" s="111"/>
      <c r="G2397" s="111"/>
      <c r="H2397" s="111"/>
      <c r="I2397" s="111"/>
      <c r="J2397" s="111"/>
      <c r="K2397" s="92"/>
      <c r="L2397" s="111"/>
      <c r="M2397" s="111"/>
      <c r="N2397" s="111"/>
      <c r="O2397" s="112"/>
      <c r="P2397" s="111"/>
      <c r="Q2397" s="111"/>
      <c r="R2397" s="111"/>
      <c r="S2397" s="111"/>
      <c r="T2397" s="111"/>
      <c r="U2397" s="111"/>
      <c r="V2397" s="111"/>
      <c r="W2397" s="111"/>
      <c r="X2397" s="111"/>
      <c r="Y2397" s="111"/>
      <c r="Z2397" s="111"/>
      <c r="AA2397" s="111"/>
      <c r="AB2397" s="111"/>
      <c r="AC2397" s="111"/>
      <c r="AD2397" s="111"/>
      <c r="AE2397" s="111"/>
      <c r="AF2397" s="111"/>
      <c r="AG2397" s="111"/>
      <c r="AH2397" s="111"/>
    </row>
    <row r="2398">
      <c r="A2398" s="89"/>
      <c r="B2398" s="111"/>
      <c r="C2398" s="111"/>
      <c r="D2398" s="111"/>
      <c r="E2398" s="91"/>
      <c r="F2398" s="111"/>
      <c r="G2398" s="111"/>
      <c r="H2398" s="111"/>
      <c r="I2398" s="111"/>
      <c r="J2398" s="111"/>
      <c r="K2398" s="92"/>
      <c r="L2398" s="111"/>
      <c r="M2398" s="111"/>
      <c r="N2398" s="111"/>
      <c r="O2398" s="112"/>
      <c r="P2398" s="111"/>
      <c r="Q2398" s="111"/>
      <c r="R2398" s="111"/>
      <c r="S2398" s="111"/>
      <c r="T2398" s="111"/>
      <c r="U2398" s="111"/>
      <c r="V2398" s="111"/>
      <c r="W2398" s="111"/>
      <c r="X2398" s="111"/>
      <c r="Y2398" s="111"/>
      <c r="Z2398" s="111"/>
      <c r="AA2398" s="111"/>
      <c r="AB2398" s="111"/>
      <c r="AC2398" s="111"/>
      <c r="AD2398" s="111"/>
      <c r="AE2398" s="111"/>
      <c r="AF2398" s="111"/>
      <c r="AG2398" s="111"/>
      <c r="AH2398" s="111"/>
    </row>
    <row r="2399">
      <c r="A2399" s="89"/>
      <c r="B2399" s="111"/>
      <c r="C2399" s="111"/>
      <c r="D2399" s="111"/>
      <c r="E2399" s="91"/>
      <c r="F2399" s="111"/>
      <c r="G2399" s="111"/>
      <c r="H2399" s="111"/>
      <c r="I2399" s="111"/>
      <c r="J2399" s="111"/>
      <c r="K2399" s="92"/>
      <c r="L2399" s="111"/>
      <c r="M2399" s="111"/>
      <c r="N2399" s="111"/>
      <c r="O2399" s="112"/>
      <c r="P2399" s="111"/>
      <c r="Q2399" s="111"/>
      <c r="R2399" s="111"/>
      <c r="S2399" s="111"/>
      <c r="T2399" s="111"/>
      <c r="U2399" s="111"/>
      <c r="V2399" s="111"/>
      <c r="W2399" s="111"/>
      <c r="X2399" s="111"/>
      <c r="Y2399" s="111"/>
      <c r="Z2399" s="111"/>
      <c r="AA2399" s="111"/>
      <c r="AB2399" s="111"/>
      <c r="AC2399" s="111"/>
      <c r="AD2399" s="111"/>
      <c r="AE2399" s="111"/>
      <c r="AF2399" s="111"/>
      <c r="AG2399" s="111"/>
      <c r="AH2399" s="111"/>
    </row>
    <row r="2400">
      <c r="A2400" s="89"/>
      <c r="B2400" s="111"/>
      <c r="C2400" s="111"/>
      <c r="D2400" s="111"/>
      <c r="E2400" s="91"/>
      <c r="F2400" s="111"/>
      <c r="G2400" s="111"/>
      <c r="H2400" s="111"/>
      <c r="I2400" s="111"/>
      <c r="J2400" s="111"/>
      <c r="K2400" s="92"/>
      <c r="L2400" s="111"/>
      <c r="M2400" s="111"/>
      <c r="N2400" s="111"/>
      <c r="O2400" s="112"/>
      <c r="P2400" s="111"/>
      <c r="Q2400" s="111"/>
      <c r="R2400" s="111"/>
      <c r="S2400" s="111"/>
      <c r="T2400" s="111"/>
      <c r="U2400" s="111"/>
      <c r="V2400" s="111"/>
      <c r="W2400" s="111"/>
      <c r="X2400" s="111"/>
      <c r="Y2400" s="111"/>
      <c r="Z2400" s="111"/>
      <c r="AA2400" s="111"/>
      <c r="AB2400" s="111"/>
      <c r="AC2400" s="111"/>
      <c r="AD2400" s="111"/>
      <c r="AE2400" s="111"/>
      <c r="AF2400" s="111"/>
      <c r="AG2400" s="111"/>
      <c r="AH2400" s="111"/>
    </row>
    <row r="2401">
      <c r="A2401" s="89"/>
      <c r="B2401" s="111"/>
      <c r="C2401" s="111"/>
      <c r="D2401" s="111"/>
      <c r="E2401" s="91"/>
      <c r="F2401" s="111"/>
      <c r="G2401" s="111"/>
      <c r="H2401" s="111"/>
      <c r="I2401" s="111"/>
      <c r="J2401" s="111"/>
      <c r="K2401" s="92"/>
      <c r="L2401" s="111"/>
      <c r="M2401" s="111"/>
      <c r="N2401" s="111"/>
      <c r="O2401" s="112"/>
      <c r="P2401" s="111"/>
      <c r="Q2401" s="111"/>
      <c r="R2401" s="111"/>
      <c r="S2401" s="111"/>
      <c r="T2401" s="111"/>
      <c r="U2401" s="111"/>
      <c r="V2401" s="111"/>
      <c r="W2401" s="111"/>
      <c r="X2401" s="111"/>
      <c r="Y2401" s="111"/>
      <c r="Z2401" s="111"/>
      <c r="AA2401" s="111"/>
      <c r="AB2401" s="111"/>
      <c r="AC2401" s="111"/>
      <c r="AD2401" s="111"/>
      <c r="AE2401" s="111"/>
      <c r="AF2401" s="111"/>
      <c r="AG2401" s="111"/>
      <c r="AH2401" s="111"/>
    </row>
    <row r="2402">
      <c r="A2402" s="89"/>
      <c r="B2402" s="111"/>
      <c r="C2402" s="111"/>
      <c r="D2402" s="111"/>
      <c r="E2402" s="91"/>
      <c r="F2402" s="111"/>
      <c r="G2402" s="111"/>
      <c r="H2402" s="111"/>
      <c r="I2402" s="111"/>
      <c r="J2402" s="111"/>
      <c r="K2402" s="92"/>
      <c r="L2402" s="111"/>
      <c r="M2402" s="111"/>
      <c r="N2402" s="111"/>
      <c r="O2402" s="112"/>
      <c r="P2402" s="111"/>
      <c r="Q2402" s="111"/>
      <c r="R2402" s="111"/>
      <c r="S2402" s="111"/>
      <c r="T2402" s="111"/>
      <c r="U2402" s="111"/>
      <c r="V2402" s="111"/>
      <c r="W2402" s="111"/>
      <c r="X2402" s="111"/>
      <c r="Y2402" s="111"/>
      <c r="Z2402" s="111"/>
      <c r="AA2402" s="111"/>
      <c r="AB2402" s="111"/>
      <c r="AC2402" s="111"/>
      <c r="AD2402" s="111"/>
      <c r="AE2402" s="111"/>
      <c r="AF2402" s="111"/>
      <c r="AG2402" s="111"/>
      <c r="AH2402" s="111"/>
    </row>
    <row r="2403">
      <c r="A2403" s="89"/>
      <c r="B2403" s="111"/>
      <c r="C2403" s="111"/>
      <c r="D2403" s="111"/>
      <c r="E2403" s="91"/>
      <c r="F2403" s="111"/>
      <c r="G2403" s="111"/>
      <c r="H2403" s="111"/>
      <c r="I2403" s="111"/>
      <c r="J2403" s="111"/>
      <c r="K2403" s="92"/>
      <c r="L2403" s="111"/>
      <c r="M2403" s="111"/>
      <c r="N2403" s="111"/>
      <c r="O2403" s="112"/>
      <c r="P2403" s="111"/>
      <c r="Q2403" s="111"/>
      <c r="R2403" s="111"/>
      <c r="S2403" s="111"/>
      <c r="T2403" s="111"/>
      <c r="U2403" s="111"/>
      <c r="V2403" s="111"/>
      <c r="W2403" s="111"/>
      <c r="X2403" s="111"/>
      <c r="Y2403" s="111"/>
      <c r="Z2403" s="111"/>
      <c r="AA2403" s="111"/>
      <c r="AB2403" s="111"/>
      <c r="AC2403" s="111"/>
      <c r="AD2403" s="111"/>
      <c r="AE2403" s="111"/>
      <c r="AF2403" s="111"/>
      <c r="AG2403" s="111"/>
      <c r="AH2403" s="111"/>
    </row>
    <row r="2404">
      <c r="A2404" s="89"/>
      <c r="B2404" s="111"/>
      <c r="C2404" s="111"/>
      <c r="D2404" s="111"/>
      <c r="E2404" s="91"/>
      <c r="F2404" s="111"/>
      <c r="G2404" s="111"/>
      <c r="H2404" s="111"/>
      <c r="I2404" s="111"/>
      <c r="J2404" s="111"/>
      <c r="K2404" s="92"/>
      <c r="L2404" s="111"/>
      <c r="M2404" s="111"/>
      <c r="N2404" s="111"/>
      <c r="O2404" s="112"/>
      <c r="P2404" s="111"/>
      <c r="Q2404" s="111"/>
      <c r="R2404" s="111"/>
      <c r="S2404" s="111"/>
      <c r="T2404" s="111"/>
      <c r="U2404" s="111"/>
      <c r="V2404" s="111"/>
      <c r="W2404" s="111"/>
      <c r="X2404" s="111"/>
      <c r="Y2404" s="111"/>
      <c r="Z2404" s="111"/>
      <c r="AA2404" s="111"/>
      <c r="AB2404" s="111"/>
      <c r="AC2404" s="111"/>
      <c r="AD2404" s="111"/>
      <c r="AE2404" s="111"/>
      <c r="AF2404" s="111"/>
      <c r="AG2404" s="111"/>
      <c r="AH2404" s="111"/>
    </row>
    <row r="2405">
      <c r="A2405" s="89"/>
      <c r="B2405" s="111"/>
      <c r="C2405" s="111"/>
      <c r="D2405" s="111"/>
      <c r="E2405" s="91"/>
      <c r="F2405" s="111"/>
      <c r="G2405" s="111"/>
      <c r="H2405" s="111"/>
      <c r="I2405" s="111"/>
      <c r="J2405" s="111"/>
      <c r="K2405" s="92"/>
      <c r="L2405" s="111"/>
      <c r="M2405" s="111"/>
      <c r="N2405" s="111"/>
      <c r="O2405" s="112"/>
      <c r="P2405" s="111"/>
      <c r="Q2405" s="111"/>
      <c r="R2405" s="111"/>
      <c r="S2405" s="111"/>
      <c r="T2405" s="111"/>
      <c r="U2405" s="111"/>
      <c r="V2405" s="111"/>
      <c r="W2405" s="111"/>
      <c r="X2405" s="111"/>
      <c r="Y2405" s="111"/>
      <c r="Z2405" s="111"/>
      <c r="AA2405" s="111"/>
      <c r="AB2405" s="111"/>
      <c r="AC2405" s="111"/>
      <c r="AD2405" s="111"/>
      <c r="AE2405" s="111"/>
      <c r="AF2405" s="111"/>
      <c r="AG2405" s="111"/>
      <c r="AH2405" s="111"/>
    </row>
    <row r="2406">
      <c r="A2406" s="89"/>
      <c r="B2406" s="111"/>
      <c r="C2406" s="111"/>
      <c r="D2406" s="111"/>
      <c r="E2406" s="91"/>
      <c r="F2406" s="111"/>
      <c r="G2406" s="111"/>
      <c r="H2406" s="111"/>
      <c r="I2406" s="111"/>
      <c r="J2406" s="111"/>
      <c r="K2406" s="92"/>
      <c r="L2406" s="111"/>
      <c r="M2406" s="111"/>
      <c r="N2406" s="111"/>
      <c r="O2406" s="112"/>
      <c r="P2406" s="111"/>
      <c r="Q2406" s="111"/>
      <c r="R2406" s="111"/>
      <c r="S2406" s="111"/>
      <c r="T2406" s="111"/>
      <c r="U2406" s="111"/>
      <c r="V2406" s="111"/>
      <c r="W2406" s="111"/>
      <c r="X2406" s="111"/>
      <c r="Y2406" s="111"/>
      <c r="Z2406" s="111"/>
      <c r="AA2406" s="111"/>
      <c r="AB2406" s="111"/>
      <c r="AC2406" s="111"/>
      <c r="AD2406" s="111"/>
      <c r="AE2406" s="111"/>
      <c r="AF2406" s="111"/>
      <c r="AG2406" s="111"/>
      <c r="AH2406" s="111"/>
    </row>
    <row r="2407">
      <c r="A2407" s="89"/>
      <c r="B2407" s="111"/>
      <c r="C2407" s="111"/>
      <c r="D2407" s="111"/>
      <c r="E2407" s="91"/>
      <c r="F2407" s="111"/>
      <c r="G2407" s="111"/>
      <c r="H2407" s="111"/>
      <c r="I2407" s="111"/>
      <c r="J2407" s="111"/>
      <c r="K2407" s="92"/>
      <c r="L2407" s="111"/>
      <c r="M2407" s="111"/>
      <c r="N2407" s="111"/>
      <c r="O2407" s="112"/>
      <c r="P2407" s="111"/>
      <c r="Q2407" s="111"/>
      <c r="R2407" s="111"/>
      <c r="S2407" s="111"/>
      <c r="T2407" s="111"/>
      <c r="U2407" s="111"/>
      <c r="V2407" s="111"/>
      <c r="W2407" s="111"/>
      <c r="X2407" s="111"/>
      <c r="Y2407" s="111"/>
      <c r="Z2407" s="111"/>
      <c r="AA2407" s="111"/>
      <c r="AB2407" s="111"/>
      <c r="AC2407" s="111"/>
      <c r="AD2407" s="111"/>
      <c r="AE2407" s="111"/>
      <c r="AF2407" s="111"/>
      <c r="AG2407" s="111"/>
      <c r="AH2407" s="111"/>
    </row>
    <row r="2408">
      <c r="A2408" s="89"/>
      <c r="B2408" s="111"/>
      <c r="C2408" s="111"/>
      <c r="D2408" s="111"/>
      <c r="E2408" s="91"/>
      <c r="F2408" s="111"/>
      <c r="G2408" s="111"/>
      <c r="H2408" s="111"/>
      <c r="I2408" s="111"/>
      <c r="J2408" s="111"/>
      <c r="K2408" s="92"/>
      <c r="L2408" s="111"/>
      <c r="M2408" s="111"/>
      <c r="N2408" s="111"/>
      <c r="O2408" s="112"/>
      <c r="P2408" s="111"/>
      <c r="Q2408" s="111"/>
      <c r="R2408" s="111"/>
      <c r="S2408" s="111"/>
      <c r="T2408" s="111"/>
      <c r="U2408" s="111"/>
      <c r="V2408" s="111"/>
      <c r="W2408" s="111"/>
      <c r="X2408" s="111"/>
      <c r="Y2408" s="111"/>
      <c r="Z2408" s="111"/>
      <c r="AA2408" s="111"/>
      <c r="AB2408" s="111"/>
      <c r="AC2408" s="111"/>
      <c r="AD2408" s="111"/>
      <c r="AE2408" s="111"/>
      <c r="AF2408" s="111"/>
      <c r="AG2408" s="111"/>
      <c r="AH2408" s="111"/>
    </row>
    <row r="2409">
      <c r="A2409" s="89"/>
      <c r="B2409" s="111"/>
      <c r="C2409" s="111"/>
      <c r="D2409" s="111"/>
      <c r="E2409" s="91"/>
      <c r="F2409" s="111"/>
      <c r="G2409" s="111"/>
      <c r="H2409" s="111"/>
      <c r="I2409" s="111"/>
      <c r="J2409" s="111"/>
      <c r="K2409" s="92"/>
      <c r="L2409" s="111"/>
      <c r="M2409" s="111"/>
      <c r="N2409" s="111"/>
      <c r="O2409" s="112"/>
      <c r="P2409" s="111"/>
      <c r="Q2409" s="111"/>
      <c r="R2409" s="111"/>
      <c r="S2409" s="111"/>
      <c r="T2409" s="111"/>
      <c r="U2409" s="111"/>
      <c r="V2409" s="111"/>
      <c r="W2409" s="111"/>
      <c r="X2409" s="111"/>
      <c r="Y2409" s="111"/>
      <c r="Z2409" s="111"/>
      <c r="AA2409" s="111"/>
      <c r="AB2409" s="111"/>
      <c r="AC2409" s="111"/>
      <c r="AD2409" s="111"/>
      <c r="AE2409" s="111"/>
      <c r="AF2409" s="111"/>
      <c r="AG2409" s="111"/>
      <c r="AH2409" s="111"/>
    </row>
    <row r="2410">
      <c r="A2410" s="89"/>
      <c r="B2410" s="111"/>
      <c r="C2410" s="111"/>
      <c r="D2410" s="111"/>
      <c r="E2410" s="91"/>
      <c r="F2410" s="111"/>
      <c r="G2410" s="111"/>
      <c r="H2410" s="111"/>
      <c r="I2410" s="111"/>
      <c r="J2410" s="111"/>
      <c r="K2410" s="92"/>
      <c r="L2410" s="111"/>
      <c r="M2410" s="111"/>
      <c r="N2410" s="111"/>
      <c r="O2410" s="112"/>
      <c r="P2410" s="111"/>
      <c r="Q2410" s="111"/>
      <c r="R2410" s="111"/>
      <c r="S2410" s="111"/>
      <c r="T2410" s="111"/>
      <c r="U2410" s="111"/>
      <c r="V2410" s="111"/>
      <c r="W2410" s="111"/>
      <c r="X2410" s="111"/>
      <c r="Y2410" s="111"/>
      <c r="Z2410" s="111"/>
      <c r="AA2410" s="111"/>
      <c r="AB2410" s="111"/>
      <c r="AC2410" s="111"/>
      <c r="AD2410" s="111"/>
      <c r="AE2410" s="111"/>
      <c r="AF2410" s="111"/>
      <c r="AG2410" s="111"/>
      <c r="AH2410" s="111"/>
    </row>
    <row r="2411">
      <c r="A2411" s="89"/>
      <c r="B2411" s="111"/>
      <c r="C2411" s="111"/>
      <c r="D2411" s="111"/>
      <c r="E2411" s="91"/>
      <c r="F2411" s="111"/>
      <c r="G2411" s="111"/>
      <c r="H2411" s="111"/>
      <c r="I2411" s="111"/>
      <c r="J2411" s="111"/>
      <c r="K2411" s="92"/>
      <c r="L2411" s="111"/>
      <c r="M2411" s="111"/>
      <c r="N2411" s="111"/>
      <c r="O2411" s="112"/>
      <c r="P2411" s="111"/>
      <c r="Q2411" s="111"/>
      <c r="R2411" s="111"/>
      <c r="S2411" s="111"/>
      <c r="T2411" s="111"/>
      <c r="U2411" s="111"/>
      <c r="V2411" s="111"/>
      <c r="W2411" s="111"/>
      <c r="X2411" s="111"/>
      <c r="Y2411" s="111"/>
      <c r="Z2411" s="111"/>
      <c r="AA2411" s="111"/>
      <c r="AB2411" s="111"/>
      <c r="AC2411" s="111"/>
      <c r="AD2411" s="111"/>
      <c r="AE2411" s="111"/>
      <c r="AF2411" s="111"/>
      <c r="AG2411" s="111"/>
      <c r="AH2411" s="111"/>
    </row>
    <row r="2412">
      <c r="A2412" s="89"/>
      <c r="B2412" s="111"/>
      <c r="C2412" s="111"/>
      <c r="D2412" s="111"/>
      <c r="E2412" s="91"/>
      <c r="F2412" s="111"/>
      <c r="G2412" s="111"/>
      <c r="H2412" s="111"/>
      <c r="I2412" s="111"/>
      <c r="J2412" s="111"/>
      <c r="K2412" s="92"/>
      <c r="L2412" s="111"/>
      <c r="M2412" s="111"/>
      <c r="N2412" s="111"/>
      <c r="O2412" s="112"/>
      <c r="P2412" s="111"/>
      <c r="Q2412" s="111"/>
      <c r="R2412" s="111"/>
      <c r="S2412" s="111"/>
      <c r="T2412" s="111"/>
      <c r="U2412" s="111"/>
      <c r="V2412" s="111"/>
      <c r="W2412" s="111"/>
      <c r="X2412" s="111"/>
      <c r="Y2412" s="111"/>
      <c r="Z2412" s="111"/>
      <c r="AA2412" s="111"/>
      <c r="AB2412" s="111"/>
      <c r="AC2412" s="111"/>
      <c r="AD2412" s="111"/>
      <c r="AE2412" s="111"/>
      <c r="AF2412" s="111"/>
      <c r="AG2412" s="111"/>
      <c r="AH2412" s="111"/>
    </row>
    <row r="2413">
      <c r="A2413" s="89"/>
      <c r="B2413" s="111"/>
      <c r="C2413" s="111"/>
      <c r="D2413" s="111"/>
      <c r="E2413" s="91"/>
      <c r="F2413" s="111"/>
      <c r="G2413" s="111"/>
      <c r="H2413" s="111"/>
      <c r="I2413" s="111"/>
      <c r="J2413" s="111"/>
      <c r="K2413" s="92"/>
      <c r="L2413" s="111"/>
      <c r="M2413" s="111"/>
      <c r="N2413" s="111"/>
      <c r="O2413" s="112"/>
      <c r="P2413" s="111"/>
      <c r="Q2413" s="111"/>
      <c r="R2413" s="111"/>
      <c r="S2413" s="111"/>
      <c r="T2413" s="111"/>
      <c r="U2413" s="111"/>
      <c r="V2413" s="111"/>
      <c r="W2413" s="111"/>
      <c r="X2413" s="111"/>
      <c r="Y2413" s="111"/>
      <c r="Z2413" s="111"/>
      <c r="AA2413" s="111"/>
      <c r="AB2413" s="111"/>
      <c r="AC2413" s="111"/>
      <c r="AD2413" s="111"/>
      <c r="AE2413" s="111"/>
      <c r="AF2413" s="111"/>
      <c r="AG2413" s="111"/>
      <c r="AH2413" s="111"/>
    </row>
    <row r="2414">
      <c r="A2414" s="89"/>
      <c r="B2414" s="111"/>
      <c r="C2414" s="111"/>
      <c r="D2414" s="111"/>
      <c r="E2414" s="91"/>
      <c r="F2414" s="111"/>
      <c r="G2414" s="111"/>
      <c r="H2414" s="111"/>
      <c r="I2414" s="111"/>
      <c r="J2414" s="111"/>
      <c r="K2414" s="92"/>
      <c r="L2414" s="111"/>
      <c r="M2414" s="111"/>
      <c r="N2414" s="111"/>
      <c r="O2414" s="112"/>
      <c r="P2414" s="111"/>
      <c r="Q2414" s="111"/>
      <c r="R2414" s="111"/>
      <c r="S2414" s="111"/>
      <c r="T2414" s="111"/>
      <c r="U2414" s="111"/>
      <c r="V2414" s="111"/>
      <c r="W2414" s="111"/>
      <c r="X2414" s="111"/>
      <c r="Y2414" s="111"/>
      <c r="Z2414" s="111"/>
      <c r="AA2414" s="111"/>
      <c r="AB2414" s="111"/>
      <c r="AC2414" s="111"/>
      <c r="AD2414" s="111"/>
      <c r="AE2414" s="111"/>
      <c r="AF2414" s="111"/>
      <c r="AG2414" s="111"/>
      <c r="AH2414" s="111"/>
    </row>
    <row r="2415">
      <c r="A2415" s="89"/>
      <c r="B2415" s="111"/>
      <c r="C2415" s="111"/>
      <c r="D2415" s="111"/>
      <c r="E2415" s="91"/>
      <c r="F2415" s="111"/>
      <c r="G2415" s="111"/>
      <c r="H2415" s="111"/>
      <c r="I2415" s="111"/>
      <c r="J2415" s="111"/>
      <c r="K2415" s="92"/>
      <c r="L2415" s="111"/>
      <c r="M2415" s="111"/>
      <c r="N2415" s="111"/>
      <c r="O2415" s="112"/>
      <c r="P2415" s="111"/>
      <c r="Q2415" s="111"/>
      <c r="R2415" s="111"/>
      <c r="S2415" s="111"/>
      <c r="T2415" s="111"/>
      <c r="U2415" s="111"/>
      <c r="V2415" s="111"/>
      <c r="W2415" s="111"/>
      <c r="X2415" s="111"/>
      <c r="Y2415" s="111"/>
      <c r="Z2415" s="111"/>
      <c r="AA2415" s="111"/>
      <c r="AB2415" s="111"/>
      <c r="AC2415" s="111"/>
      <c r="AD2415" s="111"/>
      <c r="AE2415" s="111"/>
      <c r="AF2415" s="111"/>
      <c r="AG2415" s="111"/>
      <c r="AH2415" s="111"/>
    </row>
    <row r="2416">
      <c r="A2416" s="89"/>
      <c r="B2416" s="111"/>
      <c r="C2416" s="111"/>
      <c r="D2416" s="111"/>
      <c r="E2416" s="91"/>
      <c r="F2416" s="111"/>
      <c r="G2416" s="111"/>
      <c r="H2416" s="111"/>
      <c r="I2416" s="111"/>
      <c r="J2416" s="111"/>
      <c r="K2416" s="92"/>
      <c r="L2416" s="111"/>
      <c r="M2416" s="111"/>
      <c r="N2416" s="111"/>
      <c r="O2416" s="112"/>
      <c r="P2416" s="111"/>
      <c r="Q2416" s="111"/>
      <c r="R2416" s="111"/>
      <c r="S2416" s="111"/>
      <c r="T2416" s="111"/>
      <c r="U2416" s="111"/>
      <c r="V2416" s="111"/>
      <c r="W2416" s="111"/>
      <c r="X2416" s="111"/>
      <c r="Y2416" s="111"/>
      <c r="Z2416" s="111"/>
      <c r="AA2416" s="111"/>
      <c r="AB2416" s="111"/>
      <c r="AC2416" s="111"/>
      <c r="AD2416" s="111"/>
      <c r="AE2416" s="111"/>
      <c r="AF2416" s="111"/>
      <c r="AG2416" s="111"/>
      <c r="AH2416" s="111"/>
    </row>
    <row r="2417">
      <c r="A2417" s="89"/>
      <c r="B2417" s="111"/>
      <c r="C2417" s="111"/>
      <c r="D2417" s="111"/>
      <c r="E2417" s="91"/>
      <c r="F2417" s="111"/>
      <c r="G2417" s="111"/>
      <c r="H2417" s="111"/>
      <c r="I2417" s="111"/>
      <c r="J2417" s="111"/>
      <c r="K2417" s="92"/>
      <c r="L2417" s="111"/>
      <c r="M2417" s="111"/>
      <c r="N2417" s="111"/>
      <c r="O2417" s="112"/>
      <c r="P2417" s="111"/>
      <c r="Q2417" s="111"/>
      <c r="R2417" s="111"/>
      <c r="S2417" s="111"/>
      <c r="T2417" s="111"/>
      <c r="U2417" s="111"/>
      <c r="V2417" s="111"/>
      <c r="W2417" s="111"/>
      <c r="X2417" s="111"/>
      <c r="Y2417" s="111"/>
      <c r="Z2417" s="111"/>
      <c r="AA2417" s="111"/>
      <c r="AB2417" s="111"/>
      <c r="AC2417" s="111"/>
      <c r="AD2417" s="111"/>
      <c r="AE2417" s="111"/>
      <c r="AF2417" s="111"/>
      <c r="AG2417" s="111"/>
      <c r="AH2417" s="111"/>
    </row>
    <row r="2418">
      <c r="A2418" s="89"/>
      <c r="B2418" s="111"/>
      <c r="C2418" s="111"/>
      <c r="D2418" s="111"/>
      <c r="E2418" s="91"/>
      <c r="F2418" s="111"/>
      <c r="G2418" s="111"/>
      <c r="H2418" s="111"/>
      <c r="I2418" s="111"/>
      <c r="J2418" s="111"/>
      <c r="K2418" s="92"/>
      <c r="L2418" s="111"/>
      <c r="M2418" s="111"/>
      <c r="N2418" s="111"/>
      <c r="O2418" s="112"/>
      <c r="P2418" s="111"/>
      <c r="Q2418" s="111"/>
      <c r="R2418" s="111"/>
      <c r="S2418" s="111"/>
      <c r="T2418" s="111"/>
      <c r="U2418" s="111"/>
      <c r="V2418" s="111"/>
      <c r="W2418" s="111"/>
      <c r="X2418" s="111"/>
      <c r="Y2418" s="111"/>
      <c r="Z2418" s="111"/>
      <c r="AA2418" s="111"/>
      <c r="AB2418" s="111"/>
      <c r="AC2418" s="111"/>
      <c r="AD2418" s="111"/>
      <c r="AE2418" s="111"/>
      <c r="AF2418" s="111"/>
      <c r="AG2418" s="111"/>
      <c r="AH2418" s="111"/>
    </row>
    <row r="2419">
      <c r="A2419" s="89"/>
      <c r="B2419" s="111"/>
      <c r="C2419" s="111"/>
      <c r="D2419" s="111"/>
      <c r="E2419" s="91"/>
      <c r="F2419" s="111"/>
      <c r="G2419" s="111"/>
      <c r="H2419" s="111"/>
      <c r="I2419" s="111"/>
      <c r="J2419" s="111"/>
      <c r="K2419" s="92"/>
      <c r="L2419" s="111"/>
      <c r="M2419" s="111"/>
      <c r="N2419" s="111"/>
      <c r="O2419" s="112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  <c r="AH2419" s="111"/>
    </row>
    <row r="2420">
      <c r="A2420" s="89"/>
      <c r="B2420" s="111"/>
      <c r="C2420" s="111"/>
      <c r="D2420" s="111"/>
      <c r="E2420" s="91"/>
      <c r="F2420" s="111"/>
      <c r="G2420" s="111"/>
      <c r="H2420" s="111"/>
      <c r="I2420" s="111"/>
      <c r="J2420" s="111"/>
      <c r="K2420" s="92"/>
      <c r="L2420" s="111"/>
      <c r="M2420" s="111"/>
      <c r="N2420" s="111"/>
      <c r="O2420" s="112"/>
      <c r="P2420" s="111"/>
      <c r="Q2420" s="111"/>
      <c r="R2420" s="111"/>
      <c r="S2420" s="111"/>
      <c r="T2420" s="111"/>
      <c r="U2420" s="111"/>
      <c r="V2420" s="111"/>
      <c r="W2420" s="111"/>
      <c r="X2420" s="111"/>
      <c r="Y2420" s="111"/>
      <c r="Z2420" s="111"/>
      <c r="AA2420" s="111"/>
      <c r="AB2420" s="111"/>
      <c r="AC2420" s="111"/>
      <c r="AD2420" s="111"/>
      <c r="AE2420" s="111"/>
      <c r="AF2420" s="111"/>
      <c r="AG2420" s="111"/>
      <c r="AH2420" s="111"/>
    </row>
    <row r="2421">
      <c r="A2421" s="89"/>
      <c r="B2421" s="111"/>
      <c r="C2421" s="111"/>
      <c r="D2421" s="111"/>
      <c r="E2421" s="91"/>
      <c r="F2421" s="111"/>
      <c r="G2421" s="111"/>
      <c r="H2421" s="111"/>
      <c r="I2421" s="111"/>
      <c r="J2421" s="111"/>
      <c r="K2421" s="92"/>
      <c r="L2421" s="111"/>
      <c r="M2421" s="111"/>
      <c r="N2421" s="111"/>
      <c r="O2421" s="112"/>
      <c r="P2421" s="111"/>
      <c r="Q2421" s="111"/>
      <c r="R2421" s="111"/>
      <c r="S2421" s="111"/>
      <c r="T2421" s="111"/>
      <c r="U2421" s="111"/>
      <c r="V2421" s="111"/>
      <c r="W2421" s="111"/>
      <c r="X2421" s="111"/>
      <c r="Y2421" s="111"/>
      <c r="Z2421" s="111"/>
      <c r="AA2421" s="111"/>
      <c r="AB2421" s="111"/>
      <c r="AC2421" s="111"/>
      <c r="AD2421" s="111"/>
      <c r="AE2421" s="111"/>
      <c r="AF2421" s="111"/>
      <c r="AG2421" s="111"/>
      <c r="AH2421" s="111"/>
    </row>
    <row r="2422">
      <c r="A2422" s="89"/>
      <c r="B2422" s="111"/>
      <c r="C2422" s="111"/>
      <c r="D2422" s="111"/>
      <c r="E2422" s="91"/>
      <c r="F2422" s="111"/>
      <c r="G2422" s="111"/>
      <c r="H2422" s="111"/>
      <c r="I2422" s="111"/>
      <c r="J2422" s="111"/>
      <c r="K2422" s="92"/>
      <c r="L2422" s="111"/>
      <c r="M2422" s="111"/>
      <c r="N2422" s="111"/>
      <c r="O2422" s="112"/>
      <c r="P2422" s="111"/>
      <c r="Q2422" s="111"/>
      <c r="R2422" s="111"/>
      <c r="S2422" s="111"/>
      <c r="T2422" s="111"/>
      <c r="U2422" s="111"/>
      <c r="V2422" s="111"/>
      <c r="W2422" s="111"/>
      <c r="X2422" s="111"/>
      <c r="Y2422" s="111"/>
      <c r="Z2422" s="111"/>
      <c r="AA2422" s="111"/>
      <c r="AB2422" s="111"/>
      <c r="AC2422" s="111"/>
      <c r="AD2422" s="111"/>
      <c r="AE2422" s="111"/>
      <c r="AF2422" s="111"/>
      <c r="AG2422" s="111"/>
      <c r="AH2422" s="111"/>
    </row>
    <row r="2423">
      <c r="A2423" s="89"/>
      <c r="B2423" s="111"/>
      <c r="C2423" s="111"/>
      <c r="D2423" s="111"/>
      <c r="E2423" s="91"/>
      <c r="F2423" s="111"/>
      <c r="G2423" s="111"/>
      <c r="H2423" s="111"/>
      <c r="I2423" s="111"/>
      <c r="J2423" s="111"/>
      <c r="K2423" s="92"/>
      <c r="L2423" s="111"/>
      <c r="M2423" s="111"/>
      <c r="N2423" s="111"/>
      <c r="O2423" s="112"/>
      <c r="P2423" s="111"/>
      <c r="Q2423" s="111"/>
      <c r="R2423" s="111"/>
      <c r="S2423" s="111"/>
      <c r="T2423" s="111"/>
      <c r="U2423" s="111"/>
      <c r="V2423" s="111"/>
      <c r="W2423" s="111"/>
      <c r="X2423" s="111"/>
      <c r="Y2423" s="111"/>
      <c r="Z2423" s="111"/>
      <c r="AA2423" s="111"/>
      <c r="AB2423" s="111"/>
      <c r="AC2423" s="111"/>
      <c r="AD2423" s="111"/>
      <c r="AE2423" s="111"/>
      <c r="AF2423" s="111"/>
      <c r="AG2423" s="111"/>
      <c r="AH2423" s="111"/>
    </row>
    <row r="2424">
      <c r="A2424" s="89"/>
      <c r="B2424" s="111"/>
      <c r="C2424" s="111"/>
      <c r="D2424" s="111"/>
      <c r="E2424" s="91"/>
      <c r="F2424" s="111"/>
      <c r="G2424" s="111"/>
      <c r="H2424" s="111"/>
      <c r="I2424" s="111"/>
      <c r="J2424" s="111"/>
      <c r="K2424" s="92"/>
      <c r="L2424" s="111"/>
      <c r="M2424" s="111"/>
      <c r="N2424" s="111"/>
      <c r="O2424" s="112"/>
      <c r="P2424" s="111"/>
      <c r="Q2424" s="111"/>
      <c r="R2424" s="111"/>
      <c r="S2424" s="111"/>
      <c r="T2424" s="111"/>
      <c r="U2424" s="111"/>
      <c r="V2424" s="111"/>
      <c r="W2424" s="111"/>
      <c r="X2424" s="111"/>
      <c r="Y2424" s="111"/>
      <c r="Z2424" s="111"/>
      <c r="AA2424" s="111"/>
      <c r="AB2424" s="111"/>
      <c r="AC2424" s="111"/>
      <c r="AD2424" s="111"/>
      <c r="AE2424" s="111"/>
      <c r="AF2424" s="111"/>
      <c r="AG2424" s="111"/>
      <c r="AH2424" s="111"/>
    </row>
    <row r="2425">
      <c r="A2425" s="89"/>
      <c r="B2425" s="111"/>
      <c r="C2425" s="111"/>
      <c r="D2425" s="111"/>
      <c r="E2425" s="91"/>
      <c r="F2425" s="111"/>
      <c r="G2425" s="111"/>
      <c r="H2425" s="111"/>
      <c r="I2425" s="111"/>
      <c r="J2425" s="111"/>
      <c r="K2425" s="92"/>
      <c r="L2425" s="111"/>
      <c r="M2425" s="111"/>
      <c r="N2425" s="111"/>
      <c r="O2425" s="112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  <c r="AG2425" s="111"/>
      <c r="AH2425" s="111"/>
    </row>
    <row r="2426">
      <c r="A2426" s="89"/>
      <c r="B2426" s="111"/>
      <c r="C2426" s="111"/>
      <c r="D2426" s="111"/>
      <c r="E2426" s="91"/>
      <c r="F2426" s="111"/>
      <c r="G2426" s="111"/>
      <c r="H2426" s="111"/>
      <c r="I2426" s="111"/>
      <c r="J2426" s="111"/>
      <c r="K2426" s="92"/>
      <c r="L2426" s="111"/>
      <c r="M2426" s="111"/>
      <c r="N2426" s="111"/>
      <c r="O2426" s="112"/>
      <c r="P2426" s="111"/>
      <c r="Q2426" s="111"/>
      <c r="R2426" s="111"/>
      <c r="S2426" s="111"/>
      <c r="T2426" s="111"/>
      <c r="U2426" s="111"/>
      <c r="V2426" s="111"/>
      <c r="W2426" s="111"/>
      <c r="X2426" s="111"/>
      <c r="Y2426" s="111"/>
      <c r="Z2426" s="111"/>
      <c r="AA2426" s="111"/>
      <c r="AB2426" s="111"/>
      <c r="AC2426" s="111"/>
      <c r="AD2426" s="111"/>
      <c r="AE2426" s="111"/>
      <c r="AF2426" s="111"/>
      <c r="AG2426" s="111"/>
      <c r="AH2426" s="111"/>
    </row>
    <row r="2427">
      <c r="A2427" s="89"/>
      <c r="B2427" s="111"/>
      <c r="C2427" s="111"/>
      <c r="D2427" s="111"/>
      <c r="E2427" s="91"/>
      <c r="F2427" s="111"/>
      <c r="G2427" s="111"/>
      <c r="H2427" s="111"/>
      <c r="I2427" s="111"/>
      <c r="J2427" s="111"/>
      <c r="K2427" s="92"/>
      <c r="L2427" s="111"/>
      <c r="M2427" s="111"/>
      <c r="N2427" s="111"/>
      <c r="O2427" s="112"/>
      <c r="P2427" s="111"/>
      <c r="Q2427" s="111"/>
      <c r="R2427" s="111"/>
      <c r="S2427" s="111"/>
      <c r="T2427" s="111"/>
      <c r="U2427" s="111"/>
      <c r="V2427" s="111"/>
      <c r="W2427" s="111"/>
      <c r="X2427" s="111"/>
      <c r="Y2427" s="111"/>
      <c r="Z2427" s="111"/>
      <c r="AA2427" s="111"/>
      <c r="AB2427" s="111"/>
      <c r="AC2427" s="111"/>
      <c r="AD2427" s="111"/>
      <c r="AE2427" s="111"/>
      <c r="AF2427" s="111"/>
      <c r="AG2427" s="111"/>
      <c r="AH2427" s="111"/>
    </row>
    <row r="2428">
      <c r="A2428" s="89"/>
      <c r="B2428" s="111"/>
      <c r="C2428" s="111"/>
      <c r="D2428" s="111"/>
      <c r="E2428" s="91"/>
      <c r="F2428" s="111"/>
      <c r="G2428" s="111"/>
      <c r="H2428" s="111"/>
      <c r="I2428" s="111"/>
      <c r="J2428" s="111"/>
      <c r="K2428" s="92"/>
      <c r="L2428" s="111"/>
      <c r="M2428" s="111"/>
      <c r="N2428" s="111"/>
      <c r="O2428" s="112"/>
      <c r="P2428" s="111"/>
      <c r="Q2428" s="111"/>
      <c r="R2428" s="111"/>
      <c r="S2428" s="111"/>
      <c r="T2428" s="111"/>
      <c r="U2428" s="111"/>
      <c r="V2428" s="111"/>
      <c r="W2428" s="111"/>
      <c r="X2428" s="111"/>
      <c r="Y2428" s="111"/>
      <c r="Z2428" s="111"/>
      <c r="AA2428" s="111"/>
      <c r="AB2428" s="111"/>
      <c r="AC2428" s="111"/>
      <c r="AD2428" s="111"/>
      <c r="AE2428" s="111"/>
      <c r="AF2428" s="111"/>
      <c r="AG2428" s="111"/>
      <c r="AH2428" s="111"/>
    </row>
    <row r="2429">
      <c r="A2429" s="89"/>
      <c r="B2429" s="111"/>
      <c r="C2429" s="111"/>
      <c r="D2429" s="111"/>
      <c r="E2429" s="91"/>
      <c r="F2429" s="111"/>
      <c r="G2429" s="111"/>
      <c r="H2429" s="111"/>
      <c r="I2429" s="111"/>
      <c r="J2429" s="111"/>
      <c r="K2429" s="92"/>
      <c r="L2429" s="111"/>
      <c r="M2429" s="111"/>
      <c r="N2429" s="111"/>
      <c r="O2429" s="112"/>
      <c r="P2429" s="111"/>
      <c r="Q2429" s="111"/>
      <c r="R2429" s="111"/>
      <c r="S2429" s="111"/>
      <c r="T2429" s="111"/>
      <c r="U2429" s="111"/>
      <c r="V2429" s="111"/>
      <c r="W2429" s="111"/>
      <c r="X2429" s="111"/>
      <c r="Y2429" s="111"/>
      <c r="Z2429" s="111"/>
      <c r="AA2429" s="111"/>
      <c r="AB2429" s="111"/>
      <c r="AC2429" s="111"/>
      <c r="AD2429" s="111"/>
      <c r="AE2429" s="111"/>
      <c r="AF2429" s="111"/>
      <c r="AG2429" s="111"/>
      <c r="AH2429" s="111"/>
    </row>
    <row r="2430">
      <c r="A2430" s="89"/>
      <c r="B2430" s="111"/>
      <c r="C2430" s="111"/>
      <c r="D2430" s="111"/>
      <c r="E2430" s="91"/>
      <c r="F2430" s="111"/>
      <c r="G2430" s="111"/>
      <c r="H2430" s="111"/>
      <c r="I2430" s="111"/>
      <c r="J2430" s="111"/>
      <c r="K2430" s="92"/>
      <c r="L2430" s="111"/>
      <c r="M2430" s="111"/>
      <c r="N2430" s="111"/>
      <c r="O2430" s="112"/>
      <c r="P2430" s="111"/>
      <c r="Q2430" s="111"/>
      <c r="R2430" s="111"/>
      <c r="S2430" s="111"/>
      <c r="T2430" s="111"/>
      <c r="U2430" s="111"/>
      <c r="V2430" s="111"/>
      <c r="W2430" s="111"/>
      <c r="X2430" s="111"/>
      <c r="Y2430" s="111"/>
      <c r="Z2430" s="111"/>
      <c r="AA2430" s="111"/>
      <c r="AB2430" s="111"/>
      <c r="AC2430" s="111"/>
      <c r="AD2430" s="111"/>
      <c r="AE2430" s="111"/>
      <c r="AF2430" s="111"/>
      <c r="AG2430" s="111"/>
      <c r="AH2430" s="111"/>
    </row>
    <row r="2431">
      <c r="A2431" s="89"/>
      <c r="B2431" s="111"/>
      <c r="C2431" s="111"/>
      <c r="D2431" s="111"/>
      <c r="E2431" s="91"/>
      <c r="F2431" s="111"/>
      <c r="G2431" s="111"/>
      <c r="H2431" s="111"/>
      <c r="I2431" s="111"/>
      <c r="J2431" s="111"/>
      <c r="K2431" s="92"/>
      <c r="L2431" s="111"/>
      <c r="M2431" s="111"/>
      <c r="N2431" s="111"/>
      <c r="O2431" s="112"/>
      <c r="P2431" s="111"/>
      <c r="Q2431" s="111"/>
      <c r="R2431" s="111"/>
      <c r="S2431" s="111"/>
      <c r="T2431" s="111"/>
      <c r="U2431" s="111"/>
      <c r="V2431" s="111"/>
      <c r="W2431" s="111"/>
      <c r="X2431" s="111"/>
      <c r="Y2431" s="111"/>
      <c r="Z2431" s="111"/>
      <c r="AA2431" s="111"/>
      <c r="AB2431" s="111"/>
      <c r="AC2431" s="111"/>
      <c r="AD2431" s="111"/>
      <c r="AE2431" s="111"/>
      <c r="AF2431" s="111"/>
      <c r="AG2431" s="111"/>
      <c r="AH2431" s="111"/>
    </row>
    <row r="2432">
      <c r="A2432" s="89"/>
      <c r="B2432" s="111"/>
      <c r="C2432" s="111"/>
      <c r="D2432" s="111"/>
      <c r="E2432" s="91"/>
      <c r="F2432" s="111"/>
      <c r="G2432" s="111"/>
      <c r="H2432" s="111"/>
      <c r="I2432" s="111"/>
      <c r="J2432" s="111"/>
      <c r="K2432" s="92"/>
      <c r="L2432" s="111"/>
      <c r="M2432" s="111"/>
      <c r="N2432" s="111"/>
      <c r="O2432" s="112"/>
      <c r="P2432" s="111"/>
      <c r="Q2432" s="111"/>
      <c r="R2432" s="111"/>
      <c r="S2432" s="111"/>
      <c r="T2432" s="111"/>
      <c r="U2432" s="111"/>
      <c r="V2432" s="111"/>
      <c r="W2432" s="111"/>
      <c r="X2432" s="111"/>
      <c r="Y2432" s="111"/>
      <c r="Z2432" s="111"/>
      <c r="AA2432" s="111"/>
      <c r="AB2432" s="111"/>
      <c r="AC2432" s="111"/>
      <c r="AD2432" s="111"/>
      <c r="AE2432" s="111"/>
      <c r="AF2432" s="111"/>
      <c r="AG2432" s="111"/>
      <c r="AH2432" s="111"/>
    </row>
    <row r="2433">
      <c r="A2433" s="89"/>
      <c r="B2433" s="111"/>
      <c r="C2433" s="111"/>
      <c r="D2433" s="111"/>
      <c r="E2433" s="91"/>
      <c r="F2433" s="111"/>
      <c r="G2433" s="111"/>
      <c r="H2433" s="111"/>
      <c r="I2433" s="111"/>
      <c r="J2433" s="111"/>
      <c r="K2433" s="92"/>
      <c r="L2433" s="111"/>
      <c r="M2433" s="111"/>
      <c r="N2433" s="111"/>
      <c r="O2433" s="112"/>
      <c r="P2433" s="111"/>
      <c r="Q2433" s="111"/>
      <c r="R2433" s="111"/>
      <c r="S2433" s="111"/>
      <c r="T2433" s="111"/>
      <c r="U2433" s="111"/>
      <c r="V2433" s="111"/>
      <c r="W2433" s="111"/>
      <c r="X2433" s="111"/>
      <c r="Y2433" s="111"/>
      <c r="Z2433" s="111"/>
      <c r="AA2433" s="111"/>
      <c r="AB2433" s="111"/>
      <c r="AC2433" s="111"/>
      <c r="AD2433" s="111"/>
      <c r="AE2433" s="111"/>
      <c r="AF2433" s="111"/>
      <c r="AG2433" s="111"/>
      <c r="AH2433" s="111"/>
    </row>
    <row r="2434">
      <c r="A2434" s="89"/>
      <c r="B2434" s="111"/>
      <c r="C2434" s="111"/>
      <c r="D2434" s="111"/>
      <c r="E2434" s="91"/>
      <c r="F2434" s="111"/>
      <c r="G2434" s="111"/>
      <c r="H2434" s="111"/>
      <c r="I2434" s="111"/>
      <c r="J2434" s="111"/>
      <c r="K2434" s="92"/>
      <c r="L2434" s="111"/>
      <c r="M2434" s="111"/>
      <c r="N2434" s="111"/>
      <c r="O2434" s="112"/>
      <c r="P2434" s="111"/>
      <c r="Q2434" s="111"/>
      <c r="R2434" s="111"/>
      <c r="S2434" s="111"/>
      <c r="T2434" s="111"/>
      <c r="U2434" s="111"/>
      <c r="V2434" s="111"/>
      <c r="W2434" s="111"/>
      <c r="X2434" s="111"/>
      <c r="Y2434" s="111"/>
      <c r="Z2434" s="111"/>
      <c r="AA2434" s="111"/>
      <c r="AB2434" s="111"/>
      <c r="AC2434" s="111"/>
      <c r="AD2434" s="111"/>
      <c r="AE2434" s="111"/>
      <c r="AF2434" s="111"/>
      <c r="AG2434" s="111"/>
      <c r="AH2434" s="111"/>
    </row>
    <row r="2435">
      <c r="A2435" s="89"/>
      <c r="B2435" s="111"/>
      <c r="C2435" s="111"/>
      <c r="D2435" s="111"/>
      <c r="E2435" s="91"/>
      <c r="F2435" s="111"/>
      <c r="G2435" s="111"/>
      <c r="H2435" s="111"/>
      <c r="I2435" s="111"/>
      <c r="J2435" s="111"/>
      <c r="K2435" s="92"/>
      <c r="L2435" s="111"/>
      <c r="M2435" s="111"/>
      <c r="N2435" s="111"/>
      <c r="O2435" s="112"/>
      <c r="P2435" s="111"/>
      <c r="Q2435" s="111"/>
      <c r="R2435" s="111"/>
      <c r="S2435" s="111"/>
      <c r="T2435" s="111"/>
      <c r="U2435" s="111"/>
      <c r="V2435" s="111"/>
      <c r="W2435" s="111"/>
      <c r="X2435" s="111"/>
      <c r="Y2435" s="111"/>
      <c r="Z2435" s="111"/>
      <c r="AA2435" s="111"/>
      <c r="AB2435" s="111"/>
      <c r="AC2435" s="111"/>
      <c r="AD2435" s="111"/>
      <c r="AE2435" s="111"/>
      <c r="AF2435" s="111"/>
      <c r="AG2435" s="111"/>
      <c r="AH2435" s="111"/>
    </row>
    <row r="2436">
      <c r="A2436" s="89"/>
      <c r="B2436" s="111"/>
      <c r="C2436" s="111"/>
      <c r="D2436" s="111"/>
      <c r="E2436" s="91"/>
      <c r="F2436" s="111"/>
      <c r="G2436" s="111"/>
      <c r="H2436" s="111"/>
      <c r="I2436" s="111"/>
      <c r="J2436" s="111"/>
      <c r="K2436" s="92"/>
      <c r="L2436" s="111"/>
      <c r="M2436" s="111"/>
      <c r="N2436" s="111"/>
      <c r="O2436" s="112"/>
      <c r="P2436" s="111"/>
      <c r="Q2436" s="111"/>
      <c r="R2436" s="111"/>
      <c r="S2436" s="111"/>
      <c r="T2436" s="111"/>
      <c r="U2436" s="111"/>
      <c r="V2436" s="111"/>
      <c r="W2436" s="111"/>
      <c r="X2436" s="111"/>
      <c r="Y2436" s="111"/>
      <c r="Z2436" s="111"/>
      <c r="AA2436" s="111"/>
      <c r="AB2436" s="111"/>
      <c r="AC2436" s="111"/>
      <c r="AD2436" s="111"/>
      <c r="AE2436" s="111"/>
      <c r="AF2436" s="111"/>
      <c r="AG2436" s="111"/>
      <c r="AH2436" s="111"/>
    </row>
    <row r="2437">
      <c r="A2437" s="89"/>
      <c r="B2437" s="111"/>
      <c r="C2437" s="111"/>
      <c r="D2437" s="111"/>
      <c r="E2437" s="91"/>
      <c r="F2437" s="111"/>
      <c r="G2437" s="111"/>
      <c r="H2437" s="111"/>
      <c r="I2437" s="111"/>
      <c r="J2437" s="111"/>
      <c r="K2437" s="92"/>
      <c r="L2437" s="111"/>
      <c r="M2437" s="111"/>
      <c r="N2437" s="111"/>
      <c r="O2437" s="112"/>
      <c r="P2437" s="111"/>
      <c r="Q2437" s="111"/>
      <c r="R2437" s="111"/>
      <c r="S2437" s="111"/>
      <c r="T2437" s="111"/>
      <c r="U2437" s="111"/>
      <c r="V2437" s="111"/>
      <c r="W2437" s="111"/>
      <c r="X2437" s="111"/>
      <c r="Y2437" s="111"/>
      <c r="Z2437" s="111"/>
      <c r="AA2437" s="111"/>
      <c r="AB2437" s="111"/>
      <c r="AC2437" s="111"/>
      <c r="AD2437" s="111"/>
      <c r="AE2437" s="111"/>
      <c r="AF2437" s="111"/>
      <c r="AG2437" s="111"/>
      <c r="AH2437" s="111"/>
    </row>
    <row r="2438">
      <c r="A2438" s="89"/>
      <c r="B2438" s="111"/>
      <c r="C2438" s="111"/>
      <c r="D2438" s="111"/>
      <c r="E2438" s="91"/>
      <c r="F2438" s="111"/>
      <c r="G2438" s="111"/>
      <c r="H2438" s="111"/>
      <c r="I2438" s="111"/>
      <c r="J2438" s="111"/>
      <c r="K2438" s="92"/>
      <c r="L2438" s="111"/>
      <c r="M2438" s="111"/>
      <c r="N2438" s="111"/>
      <c r="O2438" s="112"/>
      <c r="P2438" s="111"/>
      <c r="Q2438" s="111"/>
      <c r="R2438" s="111"/>
      <c r="S2438" s="111"/>
      <c r="T2438" s="111"/>
      <c r="U2438" s="111"/>
      <c r="V2438" s="111"/>
      <c r="W2438" s="111"/>
      <c r="X2438" s="111"/>
      <c r="Y2438" s="111"/>
      <c r="Z2438" s="111"/>
      <c r="AA2438" s="111"/>
      <c r="AB2438" s="111"/>
      <c r="AC2438" s="111"/>
      <c r="AD2438" s="111"/>
      <c r="AE2438" s="111"/>
      <c r="AF2438" s="111"/>
      <c r="AG2438" s="111"/>
      <c r="AH2438" s="111"/>
    </row>
    <row r="2439">
      <c r="A2439" s="89"/>
      <c r="B2439" s="111"/>
      <c r="C2439" s="111"/>
      <c r="D2439" s="111"/>
      <c r="E2439" s="91"/>
      <c r="F2439" s="111"/>
      <c r="G2439" s="111"/>
      <c r="H2439" s="111"/>
      <c r="I2439" s="111"/>
      <c r="J2439" s="111"/>
      <c r="K2439" s="92"/>
      <c r="L2439" s="111"/>
      <c r="M2439" s="111"/>
      <c r="N2439" s="111"/>
      <c r="O2439" s="112"/>
      <c r="P2439" s="111"/>
      <c r="Q2439" s="111"/>
      <c r="R2439" s="111"/>
      <c r="S2439" s="111"/>
      <c r="T2439" s="111"/>
      <c r="U2439" s="111"/>
      <c r="V2439" s="111"/>
      <c r="W2439" s="111"/>
      <c r="X2439" s="111"/>
      <c r="Y2439" s="111"/>
      <c r="Z2439" s="111"/>
      <c r="AA2439" s="111"/>
      <c r="AB2439" s="111"/>
      <c r="AC2439" s="111"/>
      <c r="AD2439" s="111"/>
      <c r="AE2439" s="111"/>
      <c r="AF2439" s="111"/>
      <c r="AG2439" s="111"/>
      <c r="AH2439" s="111"/>
    </row>
    <row r="2440">
      <c r="A2440" s="89"/>
      <c r="B2440" s="111"/>
      <c r="C2440" s="111"/>
      <c r="D2440" s="111"/>
      <c r="E2440" s="91"/>
      <c r="F2440" s="111"/>
      <c r="G2440" s="111"/>
      <c r="H2440" s="111"/>
      <c r="I2440" s="111"/>
      <c r="J2440" s="111"/>
      <c r="K2440" s="92"/>
      <c r="L2440" s="111"/>
      <c r="M2440" s="111"/>
      <c r="N2440" s="111"/>
      <c r="O2440" s="112"/>
      <c r="P2440" s="111"/>
      <c r="Q2440" s="111"/>
      <c r="R2440" s="111"/>
      <c r="S2440" s="111"/>
      <c r="T2440" s="111"/>
      <c r="U2440" s="111"/>
      <c r="V2440" s="111"/>
      <c r="W2440" s="111"/>
      <c r="X2440" s="111"/>
      <c r="Y2440" s="111"/>
      <c r="Z2440" s="111"/>
      <c r="AA2440" s="111"/>
      <c r="AB2440" s="111"/>
      <c r="AC2440" s="111"/>
      <c r="AD2440" s="111"/>
      <c r="AE2440" s="111"/>
      <c r="AF2440" s="111"/>
      <c r="AG2440" s="111"/>
      <c r="AH2440" s="111"/>
    </row>
    <row r="2441">
      <c r="A2441" s="89"/>
      <c r="B2441" s="111"/>
      <c r="C2441" s="111"/>
      <c r="D2441" s="111"/>
      <c r="E2441" s="91"/>
      <c r="F2441" s="111"/>
      <c r="G2441" s="111"/>
      <c r="H2441" s="111"/>
      <c r="I2441" s="111"/>
      <c r="J2441" s="111"/>
      <c r="K2441" s="92"/>
      <c r="L2441" s="111"/>
      <c r="M2441" s="111"/>
      <c r="N2441" s="111"/>
      <c r="O2441" s="112"/>
      <c r="P2441" s="111"/>
      <c r="Q2441" s="111"/>
      <c r="R2441" s="111"/>
      <c r="S2441" s="111"/>
      <c r="T2441" s="111"/>
      <c r="U2441" s="111"/>
      <c r="V2441" s="111"/>
      <c r="W2441" s="111"/>
      <c r="X2441" s="111"/>
      <c r="Y2441" s="111"/>
      <c r="Z2441" s="111"/>
      <c r="AA2441" s="111"/>
      <c r="AB2441" s="111"/>
      <c r="AC2441" s="111"/>
      <c r="AD2441" s="111"/>
      <c r="AE2441" s="111"/>
      <c r="AF2441" s="111"/>
      <c r="AG2441" s="111"/>
      <c r="AH2441" s="111"/>
    </row>
    <row r="2442">
      <c r="A2442" s="89"/>
      <c r="B2442" s="111"/>
      <c r="C2442" s="111"/>
      <c r="D2442" s="111"/>
      <c r="E2442" s="91"/>
      <c r="F2442" s="111"/>
      <c r="G2442" s="111"/>
      <c r="H2442" s="111"/>
      <c r="I2442" s="111"/>
      <c r="J2442" s="111"/>
      <c r="K2442" s="92"/>
      <c r="L2442" s="111"/>
      <c r="M2442" s="111"/>
      <c r="N2442" s="111"/>
      <c r="O2442" s="112"/>
      <c r="P2442" s="111"/>
      <c r="Q2442" s="111"/>
      <c r="R2442" s="111"/>
      <c r="S2442" s="111"/>
      <c r="T2442" s="111"/>
      <c r="U2442" s="111"/>
      <c r="V2442" s="111"/>
      <c r="W2442" s="111"/>
      <c r="X2442" s="111"/>
      <c r="Y2442" s="111"/>
      <c r="Z2442" s="111"/>
      <c r="AA2442" s="111"/>
      <c r="AB2442" s="111"/>
      <c r="AC2442" s="111"/>
      <c r="AD2442" s="111"/>
      <c r="AE2442" s="111"/>
      <c r="AF2442" s="111"/>
      <c r="AG2442" s="111"/>
      <c r="AH2442" s="111"/>
    </row>
    <row r="2443">
      <c r="A2443" s="89"/>
      <c r="B2443" s="111"/>
      <c r="C2443" s="111"/>
      <c r="D2443" s="111"/>
      <c r="E2443" s="91"/>
      <c r="F2443" s="111"/>
      <c r="G2443" s="111"/>
      <c r="H2443" s="111"/>
      <c r="I2443" s="111"/>
      <c r="J2443" s="111"/>
      <c r="K2443" s="92"/>
      <c r="L2443" s="111"/>
      <c r="M2443" s="111"/>
      <c r="N2443" s="111"/>
      <c r="O2443" s="112"/>
      <c r="P2443" s="111"/>
      <c r="Q2443" s="111"/>
      <c r="R2443" s="111"/>
      <c r="S2443" s="111"/>
      <c r="T2443" s="111"/>
      <c r="U2443" s="111"/>
      <c r="V2443" s="111"/>
      <c r="W2443" s="111"/>
      <c r="X2443" s="111"/>
      <c r="Y2443" s="111"/>
      <c r="Z2443" s="111"/>
      <c r="AA2443" s="111"/>
      <c r="AB2443" s="111"/>
      <c r="AC2443" s="111"/>
      <c r="AD2443" s="111"/>
      <c r="AE2443" s="111"/>
      <c r="AF2443" s="111"/>
      <c r="AG2443" s="111"/>
      <c r="AH2443" s="111"/>
    </row>
    <row r="2444">
      <c r="A2444" s="89"/>
      <c r="B2444" s="111"/>
      <c r="C2444" s="111"/>
      <c r="D2444" s="111"/>
      <c r="E2444" s="91"/>
      <c r="F2444" s="111"/>
      <c r="G2444" s="111"/>
      <c r="H2444" s="111"/>
      <c r="I2444" s="111"/>
      <c r="J2444" s="111"/>
      <c r="K2444" s="92"/>
      <c r="L2444" s="111"/>
      <c r="M2444" s="111"/>
      <c r="N2444" s="111"/>
      <c r="O2444" s="112"/>
      <c r="P2444" s="111"/>
      <c r="Q2444" s="111"/>
      <c r="R2444" s="111"/>
      <c r="S2444" s="111"/>
      <c r="T2444" s="111"/>
      <c r="U2444" s="111"/>
      <c r="V2444" s="111"/>
      <c r="W2444" s="111"/>
      <c r="X2444" s="111"/>
      <c r="Y2444" s="111"/>
      <c r="Z2444" s="111"/>
      <c r="AA2444" s="111"/>
      <c r="AB2444" s="111"/>
      <c r="AC2444" s="111"/>
      <c r="AD2444" s="111"/>
      <c r="AE2444" s="111"/>
      <c r="AF2444" s="111"/>
      <c r="AG2444" s="111"/>
      <c r="AH2444" s="111"/>
    </row>
    <row r="2445">
      <c r="A2445" s="89"/>
      <c r="B2445" s="111"/>
      <c r="C2445" s="111"/>
      <c r="D2445" s="111"/>
      <c r="E2445" s="91"/>
      <c r="F2445" s="111"/>
      <c r="G2445" s="111"/>
      <c r="H2445" s="111"/>
      <c r="I2445" s="111"/>
      <c r="J2445" s="111"/>
      <c r="K2445" s="92"/>
      <c r="L2445" s="111"/>
      <c r="M2445" s="111"/>
      <c r="N2445" s="111"/>
      <c r="O2445" s="112"/>
      <c r="P2445" s="111"/>
      <c r="Q2445" s="111"/>
      <c r="R2445" s="111"/>
      <c r="S2445" s="111"/>
      <c r="T2445" s="111"/>
      <c r="U2445" s="111"/>
      <c r="V2445" s="111"/>
      <c r="W2445" s="111"/>
      <c r="X2445" s="111"/>
      <c r="Y2445" s="111"/>
      <c r="Z2445" s="111"/>
      <c r="AA2445" s="111"/>
      <c r="AB2445" s="111"/>
      <c r="AC2445" s="111"/>
      <c r="AD2445" s="111"/>
      <c r="AE2445" s="111"/>
      <c r="AF2445" s="111"/>
      <c r="AG2445" s="111"/>
      <c r="AH2445" s="111"/>
    </row>
    <row r="2446">
      <c r="A2446" s="89"/>
      <c r="B2446" s="111"/>
      <c r="C2446" s="111"/>
      <c r="D2446" s="111"/>
      <c r="E2446" s="91"/>
      <c r="F2446" s="111"/>
      <c r="G2446" s="111"/>
      <c r="H2446" s="111"/>
      <c r="I2446" s="111"/>
      <c r="J2446" s="111"/>
      <c r="K2446" s="92"/>
      <c r="L2446" s="111"/>
      <c r="M2446" s="111"/>
      <c r="N2446" s="111"/>
      <c r="O2446" s="112"/>
      <c r="P2446" s="111"/>
      <c r="Q2446" s="111"/>
      <c r="R2446" s="111"/>
      <c r="S2446" s="111"/>
      <c r="T2446" s="111"/>
      <c r="U2446" s="111"/>
      <c r="V2446" s="111"/>
      <c r="W2446" s="111"/>
      <c r="X2446" s="111"/>
      <c r="Y2446" s="111"/>
      <c r="Z2446" s="111"/>
      <c r="AA2446" s="111"/>
      <c r="AB2446" s="111"/>
      <c r="AC2446" s="111"/>
      <c r="AD2446" s="111"/>
      <c r="AE2446" s="111"/>
      <c r="AF2446" s="111"/>
      <c r="AG2446" s="111"/>
      <c r="AH2446" s="111"/>
    </row>
    <row r="2447">
      <c r="A2447" s="89"/>
      <c r="B2447" s="111"/>
      <c r="C2447" s="111"/>
      <c r="D2447" s="111"/>
      <c r="E2447" s="91"/>
      <c r="F2447" s="111"/>
      <c r="G2447" s="111"/>
      <c r="H2447" s="111"/>
      <c r="I2447" s="111"/>
      <c r="J2447" s="111"/>
      <c r="K2447" s="92"/>
      <c r="L2447" s="111"/>
      <c r="M2447" s="111"/>
      <c r="N2447" s="111"/>
      <c r="O2447" s="112"/>
      <c r="P2447" s="111"/>
      <c r="Q2447" s="111"/>
      <c r="R2447" s="111"/>
      <c r="S2447" s="111"/>
      <c r="T2447" s="111"/>
      <c r="U2447" s="111"/>
      <c r="V2447" s="111"/>
      <c r="W2447" s="111"/>
      <c r="X2447" s="111"/>
      <c r="Y2447" s="111"/>
      <c r="Z2447" s="111"/>
      <c r="AA2447" s="111"/>
      <c r="AB2447" s="111"/>
      <c r="AC2447" s="111"/>
      <c r="AD2447" s="111"/>
      <c r="AE2447" s="111"/>
      <c r="AF2447" s="111"/>
      <c r="AG2447" s="111"/>
      <c r="AH2447" s="111"/>
    </row>
    <row r="2448">
      <c r="A2448" s="89"/>
      <c r="B2448" s="111"/>
      <c r="C2448" s="111"/>
      <c r="D2448" s="111"/>
      <c r="E2448" s="91"/>
      <c r="F2448" s="111"/>
      <c r="G2448" s="111"/>
      <c r="H2448" s="111"/>
      <c r="I2448" s="111"/>
      <c r="J2448" s="111"/>
      <c r="K2448" s="92"/>
      <c r="L2448" s="111"/>
      <c r="M2448" s="111"/>
      <c r="N2448" s="111"/>
      <c r="O2448" s="112"/>
      <c r="P2448" s="111"/>
      <c r="Q2448" s="111"/>
      <c r="R2448" s="111"/>
      <c r="S2448" s="111"/>
      <c r="T2448" s="111"/>
      <c r="U2448" s="111"/>
      <c r="V2448" s="111"/>
      <c r="W2448" s="111"/>
      <c r="X2448" s="111"/>
      <c r="Y2448" s="111"/>
      <c r="Z2448" s="111"/>
      <c r="AA2448" s="111"/>
      <c r="AB2448" s="111"/>
      <c r="AC2448" s="111"/>
      <c r="AD2448" s="111"/>
      <c r="AE2448" s="111"/>
      <c r="AF2448" s="111"/>
      <c r="AG2448" s="111"/>
      <c r="AH2448" s="111"/>
    </row>
    <row r="2449">
      <c r="A2449" s="89"/>
      <c r="B2449" s="111"/>
      <c r="C2449" s="111"/>
      <c r="D2449" s="111"/>
      <c r="E2449" s="91"/>
      <c r="F2449" s="111"/>
      <c r="G2449" s="111"/>
      <c r="H2449" s="111"/>
      <c r="I2449" s="111"/>
      <c r="J2449" s="111"/>
      <c r="K2449" s="92"/>
      <c r="L2449" s="111"/>
      <c r="M2449" s="111"/>
      <c r="N2449" s="111"/>
      <c r="O2449" s="112"/>
      <c r="P2449" s="111"/>
      <c r="Q2449" s="111"/>
      <c r="R2449" s="111"/>
      <c r="S2449" s="111"/>
      <c r="T2449" s="111"/>
      <c r="U2449" s="111"/>
      <c r="V2449" s="111"/>
      <c r="W2449" s="111"/>
      <c r="X2449" s="111"/>
      <c r="Y2449" s="111"/>
      <c r="Z2449" s="111"/>
      <c r="AA2449" s="111"/>
      <c r="AB2449" s="111"/>
      <c r="AC2449" s="111"/>
      <c r="AD2449" s="111"/>
      <c r="AE2449" s="111"/>
      <c r="AF2449" s="111"/>
      <c r="AG2449" s="111"/>
      <c r="AH2449" s="111"/>
    </row>
    <row r="2450">
      <c r="A2450" s="89"/>
      <c r="B2450" s="111"/>
      <c r="C2450" s="111"/>
      <c r="D2450" s="111"/>
      <c r="E2450" s="91"/>
      <c r="F2450" s="111"/>
      <c r="G2450" s="111"/>
      <c r="H2450" s="111"/>
      <c r="I2450" s="111"/>
      <c r="J2450" s="111"/>
      <c r="K2450" s="92"/>
      <c r="L2450" s="111"/>
      <c r="M2450" s="111"/>
      <c r="N2450" s="111"/>
      <c r="O2450" s="112"/>
      <c r="P2450" s="111"/>
      <c r="Q2450" s="111"/>
      <c r="R2450" s="111"/>
      <c r="S2450" s="111"/>
      <c r="T2450" s="111"/>
      <c r="U2450" s="111"/>
      <c r="V2450" s="111"/>
      <c r="W2450" s="111"/>
      <c r="X2450" s="111"/>
      <c r="Y2450" s="111"/>
      <c r="Z2450" s="111"/>
      <c r="AA2450" s="111"/>
      <c r="AB2450" s="111"/>
      <c r="AC2450" s="111"/>
      <c r="AD2450" s="111"/>
      <c r="AE2450" s="111"/>
      <c r="AF2450" s="111"/>
      <c r="AG2450" s="111"/>
      <c r="AH2450" s="111"/>
    </row>
    <row r="2451">
      <c r="A2451" s="89"/>
      <c r="B2451" s="111"/>
      <c r="C2451" s="111"/>
      <c r="D2451" s="111"/>
      <c r="E2451" s="91"/>
      <c r="F2451" s="111"/>
      <c r="G2451" s="111"/>
      <c r="H2451" s="111"/>
      <c r="I2451" s="111"/>
      <c r="J2451" s="111"/>
      <c r="K2451" s="92"/>
      <c r="L2451" s="111"/>
      <c r="M2451" s="111"/>
      <c r="N2451" s="111"/>
      <c r="O2451" s="112"/>
      <c r="P2451" s="111"/>
      <c r="Q2451" s="111"/>
      <c r="R2451" s="111"/>
      <c r="S2451" s="111"/>
      <c r="T2451" s="111"/>
      <c r="U2451" s="111"/>
      <c r="V2451" s="111"/>
      <c r="W2451" s="111"/>
      <c r="X2451" s="111"/>
      <c r="Y2451" s="111"/>
      <c r="Z2451" s="111"/>
      <c r="AA2451" s="111"/>
      <c r="AB2451" s="111"/>
      <c r="AC2451" s="111"/>
      <c r="AD2451" s="111"/>
      <c r="AE2451" s="111"/>
      <c r="AF2451" s="111"/>
      <c r="AG2451" s="111"/>
      <c r="AH2451" s="111"/>
    </row>
    <row r="2452">
      <c r="A2452" s="89"/>
      <c r="B2452" s="111"/>
      <c r="C2452" s="111"/>
      <c r="D2452" s="111"/>
      <c r="E2452" s="91"/>
      <c r="F2452" s="111"/>
      <c r="G2452" s="111"/>
      <c r="H2452" s="111"/>
      <c r="I2452" s="111"/>
      <c r="J2452" s="111"/>
      <c r="K2452" s="92"/>
      <c r="L2452" s="111"/>
      <c r="M2452" s="111"/>
      <c r="N2452" s="111"/>
      <c r="O2452" s="112"/>
      <c r="P2452" s="111"/>
      <c r="Q2452" s="111"/>
      <c r="R2452" s="111"/>
      <c r="S2452" s="111"/>
      <c r="T2452" s="111"/>
      <c r="U2452" s="111"/>
      <c r="V2452" s="111"/>
      <c r="W2452" s="111"/>
      <c r="X2452" s="111"/>
      <c r="Y2452" s="111"/>
      <c r="Z2452" s="111"/>
      <c r="AA2452" s="111"/>
      <c r="AB2452" s="111"/>
      <c r="AC2452" s="111"/>
      <c r="AD2452" s="111"/>
      <c r="AE2452" s="111"/>
      <c r="AF2452" s="111"/>
      <c r="AG2452" s="111"/>
      <c r="AH2452" s="111"/>
    </row>
    <row r="2453">
      <c r="A2453" s="89"/>
      <c r="B2453" s="111"/>
      <c r="C2453" s="111"/>
      <c r="D2453" s="111"/>
      <c r="E2453" s="91"/>
      <c r="F2453" s="111"/>
      <c r="G2453" s="111"/>
      <c r="H2453" s="111"/>
      <c r="I2453" s="111"/>
      <c r="J2453" s="111"/>
      <c r="K2453" s="92"/>
      <c r="L2453" s="111"/>
      <c r="M2453" s="111"/>
      <c r="N2453" s="111"/>
      <c r="O2453" s="112"/>
      <c r="P2453" s="111"/>
      <c r="Q2453" s="111"/>
      <c r="R2453" s="111"/>
      <c r="S2453" s="111"/>
      <c r="T2453" s="111"/>
      <c r="U2453" s="111"/>
      <c r="V2453" s="111"/>
      <c r="W2453" s="111"/>
      <c r="X2453" s="111"/>
      <c r="Y2453" s="111"/>
      <c r="Z2453" s="111"/>
      <c r="AA2453" s="111"/>
      <c r="AB2453" s="111"/>
      <c r="AC2453" s="111"/>
      <c r="AD2453" s="111"/>
      <c r="AE2453" s="111"/>
      <c r="AF2453" s="111"/>
      <c r="AG2453" s="111"/>
      <c r="AH2453" s="111"/>
    </row>
    <row r="2454">
      <c r="A2454" s="89"/>
      <c r="B2454" s="111"/>
      <c r="C2454" s="111"/>
      <c r="D2454" s="111"/>
      <c r="E2454" s="91"/>
      <c r="F2454" s="111"/>
      <c r="G2454" s="111"/>
      <c r="H2454" s="111"/>
      <c r="I2454" s="111"/>
      <c r="J2454" s="111"/>
      <c r="K2454" s="92"/>
      <c r="L2454" s="111"/>
      <c r="M2454" s="111"/>
      <c r="N2454" s="111"/>
      <c r="O2454" s="112"/>
      <c r="P2454" s="111"/>
      <c r="Q2454" s="111"/>
      <c r="R2454" s="111"/>
      <c r="S2454" s="111"/>
      <c r="T2454" s="111"/>
      <c r="U2454" s="111"/>
      <c r="V2454" s="111"/>
      <c r="W2454" s="111"/>
      <c r="X2454" s="111"/>
      <c r="Y2454" s="111"/>
      <c r="Z2454" s="111"/>
      <c r="AA2454" s="111"/>
      <c r="AB2454" s="111"/>
      <c r="AC2454" s="111"/>
      <c r="AD2454" s="111"/>
      <c r="AE2454" s="111"/>
      <c r="AF2454" s="111"/>
      <c r="AG2454" s="111"/>
      <c r="AH2454" s="111"/>
    </row>
    <row r="2455">
      <c r="A2455" s="89"/>
      <c r="B2455" s="111"/>
      <c r="C2455" s="111"/>
      <c r="D2455" s="111"/>
      <c r="E2455" s="91"/>
      <c r="F2455" s="111"/>
      <c r="G2455" s="111"/>
      <c r="H2455" s="111"/>
      <c r="I2455" s="111"/>
      <c r="J2455" s="111"/>
      <c r="K2455" s="92"/>
      <c r="L2455" s="111"/>
      <c r="M2455" s="111"/>
      <c r="N2455" s="111"/>
      <c r="O2455" s="112"/>
      <c r="P2455" s="111"/>
      <c r="Q2455" s="111"/>
      <c r="R2455" s="111"/>
      <c r="S2455" s="111"/>
      <c r="T2455" s="111"/>
      <c r="U2455" s="111"/>
      <c r="V2455" s="111"/>
      <c r="W2455" s="111"/>
      <c r="X2455" s="111"/>
      <c r="Y2455" s="111"/>
      <c r="Z2455" s="111"/>
      <c r="AA2455" s="111"/>
      <c r="AB2455" s="111"/>
      <c r="AC2455" s="111"/>
      <c r="AD2455" s="111"/>
      <c r="AE2455" s="111"/>
      <c r="AF2455" s="111"/>
      <c r="AG2455" s="111"/>
      <c r="AH2455" s="111"/>
    </row>
    <row r="2456">
      <c r="A2456" s="89"/>
      <c r="B2456" s="111"/>
      <c r="C2456" s="111"/>
      <c r="D2456" s="111"/>
      <c r="E2456" s="91"/>
      <c r="F2456" s="111"/>
      <c r="G2456" s="111"/>
      <c r="H2456" s="111"/>
      <c r="I2456" s="111"/>
      <c r="J2456" s="111"/>
      <c r="K2456" s="92"/>
      <c r="L2456" s="111"/>
      <c r="M2456" s="111"/>
      <c r="N2456" s="111"/>
      <c r="O2456" s="112"/>
      <c r="P2456" s="111"/>
      <c r="Q2456" s="111"/>
      <c r="R2456" s="111"/>
      <c r="S2456" s="111"/>
      <c r="T2456" s="111"/>
      <c r="U2456" s="111"/>
      <c r="V2456" s="111"/>
      <c r="W2456" s="111"/>
      <c r="X2456" s="111"/>
      <c r="Y2456" s="111"/>
      <c r="Z2456" s="111"/>
      <c r="AA2456" s="111"/>
      <c r="AB2456" s="111"/>
      <c r="AC2456" s="111"/>
      <c r="AD2456" s="111"/>
      <c r="AE2456" s="111"/>
      <c r="AF2456" s="111"/>
      <c r="AG2456" s="111"/>
      <c r="AH2456" s="111"/>
    </row>
    <row r="2457">
      <c r="A2457" s="89"/>
      <c r="B2457" s="111"/>
      <c r="C2457" s="111"/>
      <c r="D2457" s="111"/>
      <c r="E2457" s="91"/>
      <c r="F2457" s="111"/>
      <c r="G2457" s="111"/>
      <c r="H2457" s="111"/>
      <c r="I2457" s="111"/>
      <c r="J2457" s="111"/>
      <c r="K2457" s="92"/>
      <c r="L2457" s="111"/>
      <c r="M2457" s="111"/>
      <c r="N2457" s="111"/>
      <c r="O2457" s="112"/>
      <c r="P2457" s="111"/>
      <c r="Q2457" s="111"/>
      <c r="R2457" s="111"/>
      <c r="S2457" s="111"/>
      <c r="T2457" s="111"/>
      <c r="U2457" s="111"/>
      <c r="V2457" s="111"/>
      <c r="W2457" s="111"/>
      <c r="X2457" s="111"/>
      <c r="Y2457" s="111"/>
      <c r="Z2457" s="111"/>
      <c r="AA2457" s="111"/>
      <c r="AB2457" s="111"/>
      <c r="AC2457" s="111"/>
      <c r="AD2457" s="111"/>
      <c r="AE2457" s="111"/>
      <c r="AF2457" s="111"/>
      <c r="AG2457" s="111"/>
      <c r="AH2457" s="111"/>
    </row>
    <row r="2458">
      <c r="A2458" s="89"/>
      <c r="B2458" s="111"/>
      <c r="C2458" s="111"/>
      <c r="D2458" s="111"/>
      <c r="E2458" s="91"/>
      <c r="F2458" s="111"/>
      <c r="G2458" s="111"/>
      <c r="H2458" s="111"/>
      <c r="I2458" s="111"/>
      <c r="J2458" s="111"/>
      <c r="K2458" s="92"/>
      <c r="L2458" s="111"/>
      <c r="M2458" s="111"/>
      <c r="N2458" s="111"/>
      <c r="O2458" s="112"/>
      <c r="P2458" s="111"/>
      <c r="Q2458" s="111"/>
      <c r="R2458" s="111"/>
      <c r="S2458" s="111"/>
      <c r="T2458" s="111"/>
      <c r="U2458" s="111"/>
      <c r="V2458" s="111"/>
      <c r="W2458" s="111"/>
      <c r="X2458" s="111"/>
      <c r="Y2458" s="111"/>
      <c r="Z2458" s="111"/>
      <c r="AA2458" s="111"/>
      <c r="AB2458" s="111"/>
      <c r="AC2458" s="111"/>
      <c r="AD2458" s="111"/>
      <c r="AE2458" s="111"/>
      <c r="AF2458" s="111"/>
      <c r="AG2458" s="111"/>
      <c r="AH2458" s="111"/>
    </row>
    <row r="2459">
      <c r="A2459" s="89"/>
      <c r="B2459" s="111"/>
      <c r="C2459" s="111"/>
      <c r="D2459" s="111"/>
      <c r="E2459" s="91"/>
      <c r="F2459" s="111"/>
      <c r="G2459" s="111"/>
      <c r="H2459" s="111"/>
      <c r="I2459" s="111"/>
      <c r="J2459" s="111"/>
      <c r="K2459" s="92"/>
      <c r="L2459" s="111"/>
      <c r="M2459" s="111"/>
      <c r="N2459" s="111"/>
      <c r="O2459" s="112"/>
      <c r="P2459" s="111"/>
      <c r="Q2459" s="111"/>
      <c r="R2459" s="111"/>
      <c r="S2459" s="111"/>
      <c r="T2459" s="111"/>
      <c r="U2459" s="111"/>
      <c r="V2459" s="111"/>
      <c r="W2459" s="111"/>
      <c r="X2459" s="111"/>
      <c r="Y2459" s="111"/>
      <c r="Z2459" s="111"/>
      <c r="AA2459" s="111"/>
      <c r="AB2459" s="111"/>
      <c r="AC2459" s="111"/>
      <c r="AD2459" s="111"/>
      <c r="AE2459" s="111"/>
      <c r="AF2459" s="111"/>
      <c r="AG2459" s="111"/>
      <c r="AH2459" s="111"/>
    </row>
    <row r="2460">
      <c r="A2460" s="89"/>
      <c r="B2460" s="111"/>
      <c r="C2460" s="111"/>
      <c r="D2460" s="111"/>
      <c r="E2460" s="91"/>
      <c r="F2460" s="111"/>
      <c r="G2460" s="111"/>
      <c r="H2460" s="111"/>
      <c r="I2460" s="111"/>
      <c r="J2460" s="111"/>
      <c r="K2460" s="92"/>
      <c r="L2460" s="111"/>
      <c r="M2460" s="111"/>
      <c r="N2460" s="111"/>
      <c r="O2460" s="112"/>
      <c r="P2460" s="111"/>
      <c r="Q2460" s="111"/>
      <c r="R2460" s="111"/>
      <c r="S2460" s="111"/>
      <c r="T2460" s="111"/>
      <c r="U2460" s="111"/>
      <c r="V2460" s="111"/>
      <c r="W2460" s="111"/>
      <c r="X2460" s="111"/>
      <c r="Y2460" s="111"/>
      <c r="Z2460" s="111"/>
      <c r="AA2460" s="111"/>
      <c r="AB2460" s="111"/>
      <c r="AC2460" s="111"/>
      <c r="AD2460" s="111"/>
      <c r="AE2460" s="111"/>
      <c r="AF2460" s="111"/>
      <c r="AG2460" s="111"/>
      <c r="AH2460" s="111"/>
    </row>
    <row r="2461">
      <c r="A2461" s="89"/>
      <c r="B2461" s="111"/>
      <c r="C2461" s="111"/>
      <c r="D2461" s="111"/>
      <c r="E2461" s="91"/>
      <c r="F2461" s="111"/>
      <c r="G2461" s="111"/>
      <c r="H2461" s="111"/>
      <c r="I2461" s="111"/>
      <c r="J2461" s="111"/>
      <c r="K2461" s="92"/>
      <c r="L2461" s="111"/>
      <c r="M2461" s="111"/>
      <c r="N2461" s="111"/>
      <c r="O2461" s="112"/>
      <c r="P2461" s="111"/>
      <c r="Q2461" s="111"/>
      <c r="R2461" s="111"/>
      <c r="S2461" s="111"/>
      <c r="T2461" s="111"/>
      <c r="U2461" s="111"/>
      <c r="V2461" s="111"/>
      <c r="W2461" s="111"/>
      <c r="X2461" s="111"/>
      <c r="Y2461" s="111"/>
      <c r="Z2461" s="111"/>
      <c r="AA2461" s="111"/>
      <c r="AB2461" s="111"/>
      <c r="AC2461" s="111"/>
      <c r="AD2461" s="111"/>
      <c r="AE2461" s="111"/>
      <c r="AF2461" s="111"/>
      <c r="AG2461" s="111"/>
      <c r="AH2461" s="111"/>
    </row>
    <row r="2462">
      <c r="A2462" s="89"/>
      <c r="B2462" s="111"/>
      <c r="C2462" s="111"/>
      <c r="D2462" s="111"/>
      <c r="E2462" s="91"/>
      <c r="F2462" s="111"/>
      <c r="G2462" s="111"/>
      <c r="H2462" s="111"/>
      <c r="I2462" s="111"/>
      <c r="J2462" s="111"/>
      <c r="K2462" s="92"/>
      <c r="L2462" s="111"/>
      <c r="M2462" s="111"/>
      <c r="N2462" s="111"/>
      <c r="O2462" s="112"/>
      <c r="P2462" s="111"/>
      <c r="Q2462" s="111"/>
      <c r="R2462" s="111"/>
      <c r="S2462" s="111"/>
      <c r="T2462" s="111"/>
      <c r="U2462" s="111"/>
      <c r="V2462" s="111"/>
      <c r="W2462" s="111"/>
      <c r="X2462" s="111"/>
      <c r="Y2462" s="111"/>
      <c r="Z2462" s="111"/>
      <c r="AA2462" s="111"/>
      <c r="AB2462" s="111"/>
      <c r="AC2462" s="111"/>
      <c r="AD2462" s="111"/>
      <c r="AE2462" s="111"/>
      <c r="AF2462" s="111"/>
      <c r="AG2462" s="111"/>
      <c r="AH2462" s="111"/>
    </row>
    <row r="2463">
      <c r="A2463" s="89"/>
      <c r="B2463" s="111"/>
      <c r="C2463" s="111"/>
      <c r="D2463" s="111"/>
      <c r="E2463" s="91"/>
      <c r="F2463" s="111"/>
      <c r="G2463" s="111"/>
      <c r="H2463" s="111"/>
      <c r="I2463" s="111"/>
      <c r="J2463" s="111"/>
      <c r="K2463" s="92"/>
      <c r="L2463" s="111"/>
      <c r="M2463" s="111"/>
      <c r="N2463" s="111"/>
      <c r="O2463" s="112"/>
      <c r="P2463" s="111"/>
      <c r="Q2463" s="111"/>
      <c r="R2463" s="111"/>
      <c r="S2463" s="111"/>
      <c r="T2463" s="111"/>
      <c r="U2463" s="111"/>
      <c r="V2463" s="111"/>
      <c r="W2463" s="111"/>
      <c r="X2463" s="111"/>
      <c r="Y2463" s="111"/>
      <c r="Z2463" s="111"/>
      <c r="AA2463" s="111"/>
      <c r="AB2463" s="111"/>
      <c r="AC2463" s="111"/>
      <c r="AD2463" s="111"/>
      <c r="AE2463" s="111"/>
      <c r="AF2463" s="111"/>
      <c r="AG2463" s="111"/>
      <c r="AH2463" s="111"/>
    </row>
    <row r="2464">
      <c r="A2464" s="89"/>
      <c r="B2464" s="111"/>
      <c r="C2464" s="111"/>
      <c r="D2464" s="111"/>
      <c r="E2464" s="91"/>
      <c r="F2464" s="111"/>
      <c r="G2464" s="111"/>
      <c r="H2464" s="111"/>
      <c r="I2464" s="111"/>
      <c r="J2464" s="111"/>
      <c r="K2464" s="92"/>
      <c r="L2464" s="111"/>
      <c r="M2464" s="111"/>
      <c r="N2464" s="111"/>
      <c r="O2464" s="112"/>
      <c r="P2464" s="111"/>
      <c r="Q2464" s="111"/>
      <c r="R2464" s="111"/>
      <c r="S2464" s="111"/>
      <c r="T2464" s="111"/>
      <c r="U2464" s="111"/>
      <c r="V2464" s="111"/>
      <c r="W2464" s="111"/>
      <c r="X2464" s="111"/>
      <c r="Y2464" s="111"/>
      <c r="Z2464" s="111"/>
      <c r="AA2464" s="111"/>
      <c r="AB2464" s="111"/>
      <c r="AC2464" s="111"/>
      <c r="AD2464" s="111"/>
      <c r="AE2464" s="111"/>
      <c r="AF2464" s="111"/>
      <c r="AG2464" s="111"/>
      <c r="AH2464" s="111"/>
    </row>
    <row r="2465">
      <c r="A2465" s="89"/>
      <c r="B2465" s="111"/>
      <c r="C2465" s="111"/>
      <c r="D2465" s="111"/>
      <c r="E2465" s="91"/>
      <c r="F2465" s="111"/>
      <c r="G2465" s="111"/>
      <c r="H2465" s="111"/>
      <c r="I2465" s="111"/>
      <c r="J2465" s="111"/>
      <c r="K2465" s="92"/>
      <c r="L2465" s="111"/>
      <c r="M2465" s="111"/>
      <c r="N2465" s="111"/>
      <c r="O2465" s="112"/>
      <c r="P2465" s="111"/>
      <c r="Q2465" s="111"/>
      <c r="R2465" s="111"/>
      <c r="S2465" s="111"/>
      <c r="T2465" s="111"/>
      <c r="U2465" s="111"/>
      <c r="V2465" s="111"/>
      <c r="W2465" s="111"/>
      <c r="X2465" s="111"/>
      <c r="Y2465" s="111"/>
      <c r="Z2465" s="111"/>
      <c r="AA2465" s="111"/>
      <c r="AB2465" s="111"/>
      <c r="AC2465" s="111"/>
      <c r="AD2465" s="111"/>
      <c r="AE2465" s="111"/>
      <c r="AF2465" s="111"/>
      <c r="AG2465" s="111"/>
      <c r="AH2465" s="111"/>
    </row>
    <row r="2466">
      <c r="A2466" s="89"/>
      <c r="B2466" s="111"/>
      <c r="C2466" s="111"/>
      <c r="D2466" s="111"/>
      <c r="E2466" s="91"/>
      <c r="F2466" s="111"/>
      <c r="G2466" s="111"/>
      <c r="H2466" s="111"/>
      <c r="I2466" s="111"/>
      <c r="J2466" s="111"/>
      <c r="K2466" s="92"/>
      <c r="L2466" s="111"/>
      <c r="M2466" s="111"/>
      <c r="N2466" s="111"/>
      <c r="O2466" s="112"/>
      <c r="P2466" s="111"/>
      <c r="Q2466" s="111"/>
      <c r="R2466" s="111"/>
      <c r="S2466" s="111"/>
      <c r="T2466" s="111"/>
      <c r="U2466" s="111"/>
      <c r="V2466" s="111"/>
      <c r="W2466" s="111"/>
      <c r="X2466" s="111"/>
      <c r="Y2466" s="111"/>
      <c r="Z2466" s="111"/>
      <c r="AA2466" s="111"/>
      <c r="AB2466" s="111"/>
      <c r="AC2466" s="111"/>
      <c r="AD2466" s="111"/>
      <c r="AE2466" s="111"/>
      <c r="AF2466" s="111"/>
      <c r="AG2466" s="111"/>
      <c r="AH2466" s="111"/>
    </row>
    <row r="2467">
      <c r="A2467" s="89"/>
      <c r="B2467" s="111"/>
      <c r="C2467" s="111"/>
      <c r="D2467" s="111"/>
      <c r="E2467" s="91"/>
      <c r="F2467" s="111"/>
      <c r="G2467" s="111"/>
      <c r="H2467" s="111"/>
      <c r="I2467" s="111"/>
      <c r="J2467" s="111"/>
      <c r="K2467" s="92"/>
      <c r="L2467" s="111"/>
      <c r="M2467" s="111"/>
      <c r="N2467" s="111"/>
      <c r="O2467" s="112"/>
      <c r="P2467" s="111"/>
      <c r="Q2467" s="111"/>
      <c r="R2467" s="111"/>
      <c r="S2467" s="111"/>
      <c r="T2467" s="111"/>
      <c r="U2467" s="111"/>
      <c r="V2467" s="111"/>
      <c r="W2467" s="111"/>
      <c r="X2467" s="111"/>
      <c r="Y2467" s="111"/>
      <c r="Z2467" s="111"/>
      <c r="AA2467" s="111"/>
      <c r="AB2467" s="111"/>
      <c r="AC2467" s="111"/>
      <c r="AD2467" s="111"/>
      <c r="AE2467" s="111"/>
      <c r="AF2467" s="111"/>
      <c r="AG2467" s="111"/>
      <c r="AH2467" s="111"/>
    </row>
    <row r="2468">
      <c r="A2468" s="89"/>
      <c r="B2468" s="111"/>
      <c r="C2468" s="111"/>
      <c r="D2468" s="111"/>
      <c r="E2468" s="91"/>
      <c r="F2468" s="111"/>
      <c r="G2468" s="111"/>
      <c r="H2468" s="111"/>
      <c r="I2468" s="111"/>
      <c r="J2468" s="111"/>
      <c r="K2468" s="92"/>
      <c r="L2468" s="111"/>
      <c r="M2468" s="111"/>
      <c r="N2468" s="111"/>
      <c r="O2468" s="112"/>
      <c r="P2468" s="111"/>
      <c r="Q2468" s="111"/>
      <c r="R2468" s="111"/>
      <c r="S2468" s="111"/>
      <c r="T2468" s="111"/>
      <c r="U2468" s="111"/>
      <c r="V2468" s="111"/>
      <c r="W2468" s="111"/>
      <c r="X2468" s="111"/>
      <c r="Y2468" s="111"/>
      <c r="Z2468" s="111"/>
      <c r="AA2468" s="111"/>
      <c r="AB2468" s="111"/>
      <c r="AC2468" s="111"/>
      <c r="AD2468" s="111"/>
      <c r="AE2468" s="111"/>
      <c r="AF2468" s="111"/>
      <c r="AG2468" s="111"/>
      <c r="AH2468" s="111"/>
    </row>
    <row r="2469">
      <c r="A2469" s="89"/>
      <c r="B2469" s="111"/>
      <c r="C2469" s="111"/>
      <c r="D2469" s="111"/>
      <c r="E2469" s="91"/>
      <c r="F2469" s="111"/>
      <c r="G2469" s="111"/>
      <c r="H2469" s="111"/>
      <c r="I2469" s="111"/>
      <c r="J2469" s="111"/>
      <c r="K2469" s="92"/>
      <c r="L2469" s="111"/>
      <c r="M2469" s="111"/>
      <c r="N2469" s="111"/>
      <c r="O2469" s="112"/>
      <c r="P2469" s="111"/>
      <c r="Q2469" s="111"/>
      <c r="R2469" s="111"/>
      <c r="S2469" s="111"/>
      <c r="T2469" s="111"/>
      <c r="U2469" s="111"/>
      <c r="V2469" s="111"/>
      <c r="W2469" s="111"/>
      <c r="X2469" s="111"/>
      <c r="Y2469" s="111"/>
      <c r="Z2469" s="111"/>
      <c r="AA2469" s="111"/>
      <c r="AB2469" s="111"/>
      <c r="AC2469" s="111"/>
      <c r="AD2469" s="111"/>
      <c r="AE2469" s="111"/>
      <c r="AF2469" s="111"/>
      <c r="AG2469" s="111"/>
      <c r="AH2469" s="111"/>
    </row>
    <row r="2470">
      <c r="A2470" s="89"/>
      <c r="B2470" s="111"/>
      <c r="C2470" s="111"/>
      <c r="D2470" s="111"/>
      <c r="E2470" s="91"/>
      <c r="F2470" s="111"/>
      <c r="G2470" s="111"/>
      <c r="H2470" s="111"/>
      <c r="I2470" s="111"/>
      <c r="J2470" s="111"/>
      <c r="K2470" s="92"/>
      <c r="L2470" s="111"/>
      <c r="M2470" s="111"/>
      <c r="N2470" s="111"/>
      <c r="O2470" s="112"/>
      <c r="P2470" s="111"/>
      <c r="Q2470" s="111"/>
      <c r="R2470" s="111"/>
      <c r="S2470" s="111"/>
      <c r="T2470" s="111"/>
      <c r="U2470" s="111"/>
      <c r="V2470" s="111"/>
      <c r="W2470" s="111"/>
      <c r="X2470" s="111"/>
      <c r="Y2470" s="111"/>
      <c r="Z2470" s="111"/>
      <c r="AA2470" s="111"/>
      <c r="AB2470" s="111"/>
      <c r="AC2470" s="111"/>
      <c r="AD2470" s="111"/>
      <c r="AE2470" s="111"/>
      <c r="AF2470" s="111"/>
      <c r="AG2470" s="111"/>
      <c r="AH2470" s="111"/>
    </row>
    <row r="2471">
      <c r="A2471" s="89"/>
      <c r="B2471" s="111"/>
      <c r="C2471" s="111"/>
      <c r="D2471" s="111"/>
      <c r="E2471" s="91"/>
      <c r="F2471" s="111"/>
      <c r="G2471" s="111"/>
      <c r="H2471" s="111"/>
      <c r="I2471" s="111"/>
      <c r="J2471" s="111"/>
      <c r="K2471" s="92"/>
      <c r="L2471" s="111"/>
      <c r="M2471" s="111"/>
      <c r="N2471" s="111"/>
      <c r="O2471" s="112"/>
      <c r="P2471" s="111"/>
      <c r="Q2471" s="111"/>
      <c r="R2471" s="111"/>
      <c r="S2471" s="111"/>
      <c r="T2471" s="111"/>
      <c r="U2471" s="111"/>
      <c r="V2471" s="111"/>
      <c r="W2471" s="111"/>
      <c r="X2471" s="111"/>
      <c r="Y2471" s="111"/>
      <c r="Z2471" s="111"/>
      <c r="AA2471" s="111"/>
      <c r="AB2471" s="111"/>
      <c r="AC2471" s="111"/>
      <c r="AD2471" s="111"/>
      <c r="AE2471" s="111"/>
      <c r="AF2471" s="111"/>
      <c r="AG2471" s="111"/>
      <c r="AH2471" s="111"/>
    </row>
    <row r="2472">
      <c r="A2472" s="89"/>
      <c r="B2472" s="111"/>
      <c r="C2472" s="111"/>
      <c r="D2472" s="111"/>
      <c r="E2472" s="91"/>
      <c r="F2472" s="111"/>
      <c r="G2472" s="111"/>
      <c r="H2472" s="111"/>
      <c r="I2472" s="111"/>
      <c r="J2472" s="111"/>
      <c r="K2472" s="92"/>
      <c r="L2472" s="111"/>
      <c r="M2472" s="111"/>
      <c r="N2472" s="111"/>
      <c r="O2472" s="112"/>
      <c r="P2472" s="111"/>
      <c r="Q2472" s="111"/>
      <c r="R2472" s="111"/>
      <c r="S2472" s="111"/>
      <c r="T2472" s="111"/>
      <c r="U2472" s="111"/>
      <c r="V2472" s="111"/>
      <c r="W2472" s="111"/>
      <c r="X2472" s="111"/>
      <c r="Y2472" s="111"/>
      <c r="Z2472" s="111"/>
      <c r="AA2472" s="111"/>
      <c r="AB2472" s="111"/>
      <c r="AC2472" s="111"/>
      <c r="AD2472" s="111"/>
      <c r="AE2472" s="111"/>
      <c r="AF2472" s="111"/>
      <c r="AG2472" s="111"/>
      <c r="AH2472" s="111"/>
    </row>
    <row r="2473">
      <c r="A2473" s="89"/>
      <c r="B2473" s="111"/>
      <c r="C2473" s="111"/>
      <c r="D2473" s="111"/>
      <c r="E2473" s="91"/>
      <c r="F2473" s="111"/>
      <c r="G2473" s="111"/>
      <c r="H2473" s="111"/>
      <c r="I2473" s="111"/>
      <c r="J2473" s="111"/>
      <c r="K2473" s="92"/>
      <c r="L2473" s="111"/>
      <c r="M2473" s="111"/>
      <c r="N2473" s="111"/>
      <c r="O2473" s="112"/>
      <c r="P2473" s="111"/>
      <c r="Q2473" s="111"/>
      <c r="R2473" s="111"/>
      <c r="S2473" s="111"/>
      <c r="T2473" s="111"/>
      <c r="U2473" s="111"/>
      <c r="V2473" s="111"/>
      <c r="W2473" s="111"/>
      <c r="X2473" s="111"/>
      <c r="Y2473" s="111"/>
      <c r="Z2473" s="111"/>
      <c r="AA2473" s="111"/>
      <c r="AB2473" s="111"/>
      <c r="AC2473" s="111"/>
      <c r="AD2473" s="111"/>
      <c r="AE2473" s="111"/>
      <c r="AF2473" s="111"/>
      <c r="AG2473" s="111"/>
      <c r="AH2473" s="111"/>
    </row>
    <row r="2474">
      <c r="A2474" s="89"/>
      <c r="B2474" s="111"/>
      <c r="C2474" s="111"/>
      <c r="D2474" s="111"/>
      <c r="E2474" s="91"/>
      <c r="F2474" s="111"/>
      <c r="G2474" s="111"/>
      <c r="H2474" s="111"/>
      <c r="I2474" s="111"/>
      <c r="J2474" s="111"/>
      <c r="K2474" s="92"/>
      <c r="L2474" s="111"/>
      <c r="M2474" s="111"/>
      <c r="N2474" s="111"/>
      <c r="O2474" s="112"/>
      <c r="P2474" s="111"/>
      <c r="Q2474" s="111"/>
      <c r="R2474" s="111"/>
      <c r="S2474" s="111"/>
      <c r="T2474" s="111"/>
      <c r="U2474" s="111"/>
      <c r="V2474" s="111"/>
      <c r="W2474" s="111"/>
      <c r="X2474" s="111"/>
      <c r="Y2474" s="111"/>
      <c r="Z2474" s="111"/>
      <c r="AA2474" s="111"/>
      <c r="AB2474" s="111"/>
      <c r="AC2474" s="111"/>
      <c r="AD2474" s="111"/>
      <c r="AE2474" s="111"/>
      <c r="AF2474" s="111"/>
      <c r="AG2474" s="111"/>
      <c r="AH2474" s="111"/>
    </row>
    <row r="2475">
      <c r="A2475" s="89"/>
      <c r="B2475" s="111"/>
      <c r="C2475" s="111"/>
      <c r="D2475" s="111"/>
      <c r="E2475" s="91"/>
      <c r="F2475" s="111"/>
      <c r="G2475" s="111"/>
      <c r="H2475" s="111"/>
      <c r="I2475" s="111"/>
      <c r="J2475" s="111"/>
      <c r="K2475" s="92"/>
      <c r="L2475" s="111"/>
      <c r="M2475" s="111"/>
      <c r="N2475" s="111"/>
      <c r="O2475" s="112"/>
      <c r="P2475" s="111"/>
      <c r="Q2475" s="111"/>
      <c r="R2475" s="111"/>
      <c r="S2475" s="111"/>
      <c r="T2475" s="111"/>
      <c r="U2475" s="111"/>
      <c r="V2475" s="111"/>
      <c r="W2475" s="111"/>
      <c r="X2475" s="111"/>
      <c r="Y2475" s="111"/>
      <c r="Z2475" s="111"/>
      <c r="AA2475" s="111"/>
      <c r="AB2475" s="111"/>
      <c r="AC2475" s="111"/>
      <c r="AD2475" s="111"/>
      <c r="AE2475" s="111"/>
      <c r="AF2475" s="111"/>
      <c r="AG2475" s="111"/>
      <c r="AH2475" s="111"/>
    </row>
    <row r="2476">
      <c r="A2476" s="89"/>
      <c r="B2476" s="111"/>
      <c r="C2476" s="111"/>
      <c r="D2476" s="111"/>
      <c r="E2476" s="91"/>
      <c r="F2476" s="111"/>
      <c r="G2476" s="111"/>
      <c r="H2476" s="111"/>
      <c r="I2476" s="111"/>
      <c r="J2476" s="111"/>
      <c r="K2476" s="92"/>
      <c r="L2476" s="111"/>
      <c r="M2476" s="111"/>
      <c r="N2476" s="111"/>
      <c r="O2476" s="112"/>
      <c r="P2476" s="111"/>
      <c r="Q2476" s="111"/>
      <c r="R2476" s="111"/>
      <c r="S2476" s="111"/>
      <c r="T2476" s="111"/>
      <c r="U2476" s="111"/>
      <c r="V2476" s="111"/>
      <c r="W2476" s="111"/>
      <c r="X2476" s="111"/>
      <c r="Y2476" s="111"/>
      <c r="Z2476" s="111"/>
      <c r="AA2476" s="111"/>
      <c r="AB2476" s="111"/>
      <c r="AC2476" s="111"/>
      <c r="AD2476" s="111"/>
      <c r="AE2476" s="111"/>
      <c r="AF2476" s="111"/>
      <c r="AG2476" s="111"/>
      <c r="AH2476" s="111"/>
    </row>
    <row r="2477">
      <c r="A2477" s="89"/>
      <c r="B2477" s="111"/>
      <c r="C2477" s="111"/>
      <c r="D2477" s="111"/>
      <c r="E2477" s="91"/>
      <c r="F2477" s="111"/>
      <c r="G2477" s="111"/>
      <c r="H2477" s="111"/>
      <c r="I2477" s="111"/>
      <c r="J2477" s="111"/>
      <c r="K2477" s="92"/>
      <c r="L2477" s="111"/>
      <c r="M2477" s="111"/>
      <c r="N2477" s="111"/>
      <c r="O2477" s="112"/>
      <c r="P2477" s="111"/>
      <c r="Q2477" s="111"/>
      <c r="R2477" s="111"/>
      <c r="S2477" s="111"/>
      <c r="T2477" s="111"/>
      <c r="U2477" s="111"/>
      <c r="V2477" s="111"/>
      <c r="W2477" s="111"/>
      <c r="X2477" s="111"/>
      <c r="Y2477" s="111"/>
      <c r="Z2477" s="111"/>
      <c r="AA2477" s="111"/>
      <c r="AB2477" s="111"/>
      <c r="AC2477" s="111"/>
      <c r="AD2477" s="111"/>
      <c r="AE2477" s="111"/>
      <c r="AF2477" s="111"/>
      <c r="AG2477" s="111"/>
      <c r="AH2477" s="111"/>
    </row>
    <row r="2478">
      <c r="A2478" s="89"/>
      <c r="B2478" s="111"/>
      <c r="C2478" s="111"/>
      <c r="D2478" s="111"/>
      <c r="E2478" s="91"/>
      <c r="F2478" s="111"/>
      <c r="G2478" s="111"/>
      <c r="H2478" s="111"/>
      <c r="I2478" s="111"/>
      <c r="J2478" s="111"/>
      <c r="K2478" s="92"/>
      <c r="L2478" s="111"/>
      <c r="M2478" s="111"/>
      <c r="N2478" s="111"/>
      <c r="O2478" s="112"/>
      <c r="P2478" s="111"/>
      <c r="Q2478" s="111"/>
      <c r="R2478" s="111"/>
      <c r="S2478" s="111"/>
      <c r="T2478" s="111"/>
      <c r="U2478" s="111"/>
      <c r="V2478" s="111"/>
      <c r="W2478" s="111"/>
      <c r="X2478" s="111"/>
      <c r="Y2478" s="111"/>
      <c r="Z2478" s="111"/>
      <c r="AA2478" s="111"/>
      <c r="AB2478" s="111"/>
      <c r="AC2478" s="111"/>
      <c r="AD2478" s="111"/>
      <c r="AE2478" s="111"/>
      <c r="AF2478" s="111"/>
      <c r="AG2478" s="111"/>
      <c r="AH2478" s="111"/>
    </row>
    <row r="2479">
      <c r="A2479" s="89"/>
      <c r="B2479" s="111"/>
      <c r="C2479" s="111"/>
      <c r="D2479" s="111"/>
      <c r="E2479" s="91"/>
      <c r="F2479" s="111"/>
      <c r="G2479" s="111"/>
      <c r="H2479" s="111"/>
      <c r="I2479" s="111"/>
      <c r="J2479" s="111"/>
      <c r="K2479" s="92"/>
      <c r="L2479" s="111"/>
      <c r="M2479" s="111"/>
      <c r="N2479" s="111"/>
      <c r="O2479" s="112"/>
      <c r="P2479" s="111"/>
      <c r="Q2479" s="111"/>
      <c r="R2479" s="111"/>
      <c r="S2479" s="111"/>
      <c r="T2479" s="111"/>
      <c r="U2479" s="111"/>
      <c r="V2479" s="111"/>
      <c r="W2479" s="111"/>
      <c r="X2479" s="111"/>
      <c r="Y2479" s="111"/>
      <c r="Z2479" s="111"/>
      <c r="AA2479" s="111"/>
      <c r="AB2479" s="111"/>
      <c r="AC2479" s="111"/>
      <c r="AD2479" s="111"/>
      <c r="AE2479" s="111"/>
      <c r="AF2479" s="111"/>
      <c r="AG2479" s="111"/>
      <c r="AH2479" s="111"/>
    </row>
    <row r="2480">
      <c r="A2480" s="89"/>
      <c r="B2480" s="111"/>
      <c r="C2480" s="111"/>
      <c r="D2480" s="111"/>
      <c r="E2480" s="91"/>
      <c r="F2480" s="111"/>
      <c r="G2480" s="111"/>
      <c r="H2480" s="111"/>
      <c r="I2480" s="111"/>
      <c r="J2480" s="111"/>
      <c r="K2480" s="92"/>
      <c r="L2480" s="111"/>
      <c r="M2480" s="111"/>
      <c r="N2480" s="111"/>
      <c r="O2480" s="112"/>
      <c r="P2480" s="111"/>
      <c r="Q2480" s="111"/>
      <c r="R2480" s="111"/>
      <c r="S2480" s="111"/>
      <c r="T2480" s="111"/>
      <c r="U2480" s="111"/>
      <c r="V2480" s="111"/>
      <c r="W2480" s="111"/>
      <c r="X2480" s="111"/>
      <c r="Y2480" s="111"/>
      <c r="Z2480" s="111"/>
      <c r="AA2480" s="111"/>
      <c r="AB2480" s="111"/>
      <c r="AC2480" s="111"/>
      <c r="AD2480" s="111"/>
      <c r="AE2480" s="111"/>
      <c r="AF2480" s="111"/>
      <c r="AG2480" s="111"/>
      <c r="AH2480" s="111"/>
    </row>
    <row r="2481">
      <c r="A2481" s="89"/>
      <c r="B2481" s="111"/>
      <c r="C2481" s="111"/>
      <c r="D2481" s="111"/>
      <c r="E2481" s="91"/>
      <c r="F2481" s="111"/>
      <c r="G2481" s="111"/>
      <c r="H2481" s="111"/>
      <c r="I2481" s="111"/>
      <c r="J2481" s="111"/>
      <c r="K2481" s="92"/>
      <c r="L2481" s="111"/>
      <c r="M2481" s="111"/>
      <c r="N2481" s="111"/>
      <c r="O2481" s="112"/>
      <c r="P2481" s="111"/>
      <c r="Q2481" s="111"/>
      <c r="R2481" s="111"/>
      <c r="S2481" s="111"/>
      <c r="T2481" s="111"/>
      <c r="U2481" s="111"/>
      <c r="V2481" s="111"/>
      <c r="W2481" s="111"/>
      <c r="X2481" s="111"/>
      <c r="Y2481" s="111"/>
      <c r="Z2481" s="111"/>
      <c r="AA2481" s="111"/>
      <c r="AB2481" s="111"/>
      <c r="AC2481" s="111"/>
      <c r="AD2481" s="111"/>
      <c r="AE2481" s="111"/>
      <c r="AF2481" s="111"/>
      <c r="AG2481" s="111"/>
      <c r="AH2481" s="111"/>
    </row>
    <row r="2482">
      <c r="A2482" s="89"/>
      <c r="B2482" s="111"/>
      <c r="C2482" s="111"/>
      <c r="D2482" s="111"/>
      <c r="E2482" s="91"/>
      <c r="F2482" s="111"/>
      <c r="G2482" s="111"/>
      <c r="H2482" s="111"/>
      <c r="I2482" s="111"/>
      <c r="J2482" s="111"/>
      <c r="K2482" s="92"/>
      <c r="L2482" s="111"/>
      <c r="M2482" s="111"/>
      <c r="N2482" s="111"/>
      <c r="O2482" s="112"/>
      <c r="P2482" s="111"/>
      <c r="Q2482" s="111"/>
      <c r="R2482" s="111"/>
      <c r="S2482" s="111"/>
      <c r="T2482" s="111"/>
      <c r="U2482" s="111"/>
      <c r="V2482" s="111"/>
      <c r="W2482" s="111"/>
      <c r="X2482" s="111"/>
      <c r="Y2482" s="111"/>
      <c r="Z2482" s="111"/>
      <c r="AA2482" s="111"/>
      <c r="AB2482" s="111"/>
      <c r="AC2482" s="111"/>
      <c r="AD2482" s="111"/>
      <c r="AE2482" s="111"/>
      <c r="AF2482" s="111"/>
      <c r="AG2482" s="111"/>
      <c r="AH2482" s="111"/>
    </row>
    <row r="2483">
      <c r="A2483" s="89"/>
      <c r="B2483" s="111"/>
      <c r="C2483" s="111"/>
      <c r="D2483" s="111"/>
      <c r="E2483" s="91"/>
      <c r="F2483" s="111"/>
      <c r="G2483" s="111"/>
      <c r="H2483" s="111"/>
      <c r="I2483" s="111"/>
      <c r="J2483" s="111"/>
      <c r="K2483" s="92"/>
      <c r="L2483" s="111"/>
      <c r="M2483" s="111"/>
      <c r="N2483" s="111"/>
      <c r="O2483" s="112"/>
      <c r="P2483" s="111"/>
      <c r="Q2483" s="111"/>
      <c r="R2483" s="111"/>
      <c r="S2483" s="111"/>
      <c r="T2483" s="111"/>
      <c r="U2483" s="111"/>
      <c r="V2483" s="111"/>
      <c r="W2483" s="111"/>
      <c r="X2483" s="111"/>
      <c r="Y2483" s="111"/>
      <c r="Z2483" s="111"/>
      <c r="AA2483" s="111"/>
      <c r="AB2483" s="111"/>
      <c r="AC2483" s="111"/>
      <c r="AD2483" s="111"/>
      <c r="AE2483" s="111"/>
      <c r="AF2483" s="111"/>
      <c r="AG2483" s="111"/>
      <c r="AH2483" s="111"/>
    </row>
    <row r="2484">
      <c r="A2484" s="89"/>
      <c r="B2484" s="111"/>
      <c r="C2484" s="111"/>
      <c r="D2484" s="111"/>
      <c r="E2484" s="91"/>
      <c r="F2484" s="111"/>
      <c r="G2484" s="111"/>
      <c r="H2484" s="111"/>
      <c r="I2484" s="111"/>
      <c r="J2484" s="111"/>
      <c r="K2484" s="92"/>
      <c r="L2484" s="111"/>
      <c r="M2484" s="111"/>
      <c r="N2484" s="111"/>
      <c r="O2484" s="112"/>
      <c r="P2484" s="111"/>
      <c r="Q2484" s="111"/>
      <c r="R2484" s="111"/>
      <c r="S2484" s="111"/>
      <c r="T2484" s="111"/>
      <c r="U2484" s="111"/>
      <c r="V2484" s="111"/>
      <c r="W2484" s="111"/>
      <c r="X2484" s="111"/>
      <c r="Y2484" s="111"/>
      <c r="Z2484" s="111"/>
      <c r="AA2484" s="111"/>
      <c r="AB2484" s="111"/>
      <c r="AC2484" s="111"/>
      <c r="AD2484" s="111"/>
      <c r="AE2484" s="111"/>
      <c r="AF2484" s="111"/>
      <c r="AG2484" s="111"/>
      <c r="AH2484" s="111"/>
    </row>
    <row r="2485">
      <c r="A2485" s="89"/>
      <c r="B2485" s="111"/>
      <c r="C2485" s="111"/>
      <c r="D2485" s="111"/>
      <c r="E2485" s="91"/>
      <c r="F2485" s="111"/>
      <c r="G2485" s="111"/>
      <c r="H2485" s="111"/>
      <c r="I2485" s="111"/>
      <c r="J2485" s="111"/>
      <c r="K2485" s="92"/>
      <c r="L2485" s="111"/>
      <c r="M2485" s="111"/>
      <c r="N2485" s="111"/>
      <c r="O2485" s="112"/>
      <c r="P2485" s="111"/>
      <c r="Q2485" s="111"/>
      <c r="R2485" s="111"/>
      <c r="S2485" s="111"/>
      <c r="T2485" s="111"/>
      <c r="U2485" s="111"/>
      <c r="V2485" s="111"/>
      <c r="W2485" s="111"/>
      <c r="X2485" s="111"/>
      <c r="Y2485" s="111"/>
      <c r="Z2485" s="111"/>
      <c r="AA2485" s="111"/>
      <c r="AB2485" s="111"/>
      <c r="AC2485" s="111"/>
      <c r="AD2485" s="111"/>
      <c r="AE2485" s="111"/>
      <c r="AF2485" s="111"/>
      <c r="AG2485" s="111"/>
      <c r="AH2485" s="111"/>
    </row>
    <row r="2486">
      <c r="A2486" s="89"/>
      <c r="B2486" s="111"/>
      <c r="C2486" s="111"/>
      <c r="D2486" s="111"/>
      <c r="E2486" s="91"/>
      <c r="F2486" s="111"/>
      <c r="G2486" s="111"/>
      <c r="H2486" s="111"/>
      <c r="I2486" s="111"/>
      <c r="J2486" s="111"/>
      <c r="K2486" s="92"/>
      <c r="L2486" s="111"/>
      <c r="M2486" s="111"/>
      <c r="N2486" s="111"/>
      <c r="O2486" s="112"/>
      <c r="P2486" s="111"/>
      <c r="Q2486" s="111"/>
      <c r="R2486" s="111"/>
      <c r="S2486" s="111"/>
      <c r="T2486" s="111"/>
      <c r="U2486" s="111"/>
      <c r="V2486" s="111"/>
      <c r="W2486" s="111"/>
      <c r="X2486" s="111"/>
      <c r="Y2486" s="111"/>
      <c r="Z2486" s="111"/>
      <c r="AA2486" s="111"/>
      <c r="AB2486" s="111"/>
      <c r="AC2486" s="111"/>
      <c r="AD2486" s="111"/>
      <c r="AE2486" s="111"/>
      <c r="AF2486" s="111"/>
      <c r="AG2486" s="111"/>
      <c r="AH2486" s="111"/>
    </row>
    <row r="2487">
      <c r="A2487" s="89"/>
      <c r="B2487" s="111"/>
      <c r="C2487" s="111"/>
      <c r="D2487" s="111"/>
      <c r="E2487" s="91"/>
      <c r="F2487" s="111"/>
      <c r="G2487" s="111"/>
      <c r="H2487" s="111"/>
      <c r="I2487" s="111"/>
      <c r="J2487" s="111"/>
      <c r="K2487" s="92"/>
      <c r="L2487" s="111"/>
      <c r="M2487" s="111"/>
      <c r="N2487" s="111"/>
      <c r="O2487" s="112"/>
      <c r="P2487" s="111"/>
      <c r="Q2487" s="111"/>
      <c r="R2487" s="111"/>
      <c r="S2487" s="111"/>
      <c r="T2487" s="111"/>
      <c r="U2487" s="111"/>
      <c r="V2487" s="111"/>
      <c r="W2487" s="111"/>
      <c r="X2487" s="111"/>
      <c r="Y2487" s="111"/>
      <c r="Z2487" s="111"/>
      <c r="AA2487" s="111"/>
      <c r="AB2487" s="111"/>
      <c r="AC2487" s="111"/>
      <c r="AD2487" s="111"/>
      <c r="AE2487" s="111"/>
      <c r="AF2487" s="111"/>
      <c r="AG2487" s="111"/>
      <c r="AH2487" s="111"/>
    </row>
    <row r="2488">
      <c r="A2488" s="89"/>
      <c r="B2488" s="111"/>
      <c r="C2488" s="111"/>
      <c r="D2488" s="111"/>
      <c r="E2488" s="91"/>
      <c r="F2488" s="111"/>
      <c r="G2488" s="111"/>
      <c r="H2488" s="111"/>
      <c r="I2488" s="111"/>
      <c r="J2488" s="111"/>
      <c r="K2488" s="92"/>
      <c r="L2488" s="111"/>
      <c r="M2488" s="111"/>
      <c r="N2488" s="111"/>
      <c r="O2488" s="112"/>
      <c r="P2488" s="111"/>
      <c r="Q2488" s="111"/>
      <c r="R2488" s="111"/>
      <c r="S2488" s="111"/>
      <c r="T2488" s="111"/>
      <c r="U2488" s="111"/>
      <c r="V2488" s="111"/>
      <c r="W2488" s="111"/>
      <c r="X2488" s="111"/>
      <c r="Y2488" s="111"/>
      <c r="Z2488" s="111"/>
      <c r="AA2488" s="111"/>
      <c r="AB2488" s="111"/>
      <c r="AC2488" s="111"/>
      <c r="AD2488" s="111"/>
      <c r="AE2488" s="111"/>
      <c r="AF2488" s="111"/>
      <c r="AG2488" s="111"/>
      <c r="AH2488" s="111"/>
    </row>
    <row r="2489">
      <c r="A2489" s="89"/>
      <c r="B2489" s="111"/>
      <c r="C2489" s="111"/>
      <c r="D2489" s="111"/>
      <c r="E2489" s="91"/>
      <c r="F2489" s="111"/>
      <c r="G2489" s="111"/>
      <c r="H2489" s="111"/>
      <c r="I2489" s="111"/>
      <c r="J2489" s="111"/>
      <c r="K2489" s="92"/>
      <c r="L2489" s="111"/>
      <c r="M2489" s="111"/>
      <c r="N2489" s="111"/>
      <c r="O2489" s="112"/>
      <c r="P2489" s="111"/>
      <c r="Q2489" s="111"/>
      <c r="R2489" s="111"/>
      <c r="S2489" s="111"/>
      <c r="T2489" s="111"/>
      <c r="U2489" s="111"/>
      <c r="V2489" s="111"/>
      <c r="W2489" s="111"/>
      <c r="X2489" s="111"/>
      <c r="Y2489" s="111"/>
      <c r="Z2489" s="111"/>
      <c r="AA2489" s="111"/>
      <c r="AB2489" s="111"/>
      <c r="AC2489" s="111"/>
      <c r="AD2489" s="111"/>
      <c r="AE2489" s="111"/>
      <c r="AF2489" s="111"/>
      <c r="AG2489" s="111"/>
      <c r="AH2489" s="111"/>
    </row>
    <row r="2490">
      <c r="A2490" s="89"/>
      <c r="B2490" s="111"/>
      <c r="C2490" s="111"/>
      <c r="D2490" s="111"/>
      <c r="E2490" s="91"/>
      <c r="F2490" s="111"/>
      <c r="G2490" s="111"/>
      <c r="H2490" s="111"/>
      <c r="I2490" s="111"/>
      <c r="J2490" s="111"/>
      <c r="K2490" s="92"/>
      <c r="L2490" s="111"/>
      <c r="M2490" s="111"/>
      <c r="N2490" s="111"/>
      <c r="O2490" s="112"/>
      <c r="P2490" s="111"/>
      <c r="Q2490" s="111"/>
      <c r="R2490" s="111"/>
      <c r="S2490" s="111"/>
      <c r="T2490" s="111"/>
      <c r="U2490" s="111"/>
      <c r="V2490" s="111"/>
      <c r="W2490" s="111"/>
      <c r="X2490" s="111"/>
      <c r="Y2490" s="111"/>
      <c r="Z2490" s="111"/>
      <c r="AA2490" s="111"/>
      <c r="AB2490" s="111"/>
      <c r="AC2490" s="111"/>
      <c r="AD2490" s="111"/>
      <c r="AE2490" s="111"/>
      <c r="AF2490" s="111"/>
      <c r="AG2490" s="111"/>
      <c r="AH2490" s="111"/>
    </row>
    <row r="2491">
      <c r="A2491" s="89"/>
      <c r="B2491" s="111"/>
      <c r="C2491" s="111"/>
      <c r="D2491" s="111"/>
      <c r="E2491" s="91"/>
      <c r="F2491" s="111"/>
      <c r="G2491" s="111"/>
      <c r="H2491" s="111"/>
      <c r="I2491" s="111"/>
      <c r="J2491" s="111"/>
      <c r="K2491" s="92"/>
      <c r="L2491" s="111"/>
      <c r="M2491" s="111"/>
      <c r="N2491" s="111"/>
      <c r="O2491" s="112"/>
      <c r="P2491" s="111"/>
      <c r="Q2491" s="111"/>
      <c r="R2491" s="111"/>
      <c r="S2491" s="111"/>
      <c r="T2491" s="111"/>
      <c r="U2491" s="111"/>
      <c r="V2491" s="111"/>
      <c r="W2491" s="111"/>
      <c r="X2491" s="111"/>
      <c r="Y2491" s="111"/>
      <c r="Z2491" s="111"/>
      <c r="AA2491" s="111"/>
      <c r="AB2491" s="111"/>
      <c r="AC2491" s="111"/>
      <c r="AD2491" s="111"/>
      <c r="AE2491" s="111"/>
      <c r="AF2491" s="111"/>
      <c r="AG2491" s="111"/>
      <c r="AH2491" s="111"/>
    </row>
    <row r="2492">
      <c r="A2492" s="89"/>
      <c r="B2492" s="111"/>
      <c r="C2492" s="111"/>
      <c r="D2492" s="111"/>
      <c r="E2492" s="91"/>
      <c r="F2492" s="111"/>
      <c r="G2492" s="111"/>
      <c r="H2492" s="111"/>
      <c r="I2492" s="111"/>
      <c r="J2492" s="111"/>
      <c r="K2492" s="92"/>
      <c r="L2492" s="111"/>
      <c r="M2492" s="111"/>
      <c r="N2492" s="111"/>
      <c r="O2492" s="112"/>
      <c r="P2492" s="111"/>
      <c r="Q2492" s="111"/>
      <c r="R2492" s="111"/>
      <c r="S2492" s="111"/>
      <c r="T2492" s="111"/>
      <c r="U2492" s="111"/>
      <c r="V2492" s="111"/>
      <c r="W2492" s="111"/>
      <c r="X2492" s="111"/>
      <c r="Y2492" s="111"/>
      <c r="Z2492" s="111"/>
      <c r="AA2492" s="111"/>
      <c r="AB2492" s="111"/>
      <c r="AC2492" s="111"/>
      <c r="AD2492" s="111"/>
      <c r="AE2492" s="111"/>
      <c r="AF2492" s="111"/>
      <c r="AG2492" s="111"/>
      <c r="AH2492" s="111"/>
    </row>
    <row r="2493">
      <c r="A2493" s="89"/>
      <c r="B2493" s="111"/>
      <c r="C2493" s="111"/>
      <c r="D2493" s="111"/>
      <c r="E2493" s="91"/>
      <c r="F2493" s="111"/>
      <c r="G2493" s="111"/>
      <c r="H2493" s="111"/>
      <c r="I2493" s="111"/>
      <c r="J2493" s="111"/>
      <c r="K2493" s="92"/>
      <c r="L2493" s="111"/>
      <c r="M2493" s="111"/>
      <c r="N2493" s="111"/>
      <c r="O2493" s="112"/>
      <c r="P2493" s="111"/>
      <c r="Q2493" s="111"/>
      <c r="R2493" s="111"/>
      <c r="S2493" s="111"/>
      <c r="T2493" s="111"/>
      <c r="U2493" s="111"/>
      <c r="V2493" s="111"/>
      <c r="W2493" s="111"/>
      <c r="X2493" s="111"/>
      <c r="Y2493" s="111"/>
      <c r="Z2493" s="111"/>
      <c r="AA2493" s="111"/>
      <c r="AB2493" s="111"/>
      <c r="AC2493" s="111"/>
      <c r="AD2493" s="111"/>
      <c r="AE2493" s="111"/>
      <c r="AF2493" s="111"/>
      <c r="AG2493" s="111"/>
      <c r="AH2493" s="111"/>
    </row>
    <row r="2494">
      <c r="A2494" s="89"/>
      <c r="B2494" s="111"/>
      <c r="C2494" s="111"/>
      <c r="D2494" s="111"/>
      <c r="E2494" s="91"/>
      <c r="F2494" s="111"/>
      <c r="G2494" s="111"/>
      <c r="H2494" s="111"/>
      <c r="I2494" s="111"/>
      <c r="J2494" s="111"/>
      <c r="K2494" s="92"/>
      <c r="L2494" s="111"/>
      <c r="M2494" s="111"/>
      <c r="N2494" s="111"/>
      <c r="O2494" s="112"/>
      <c r="P2494" s="111"/>
      <c r="Q2494" s="111"/>
      <c r="R2494" s="111"/>
      <c r="S2494" s="111"/>
      <c r="T2494" s="111"/>
      <c r="U2494" s="111"/>
      <c r="V2494" s="111"/>
      <c r="W2494" s="111"/>
      <c r="X2494" s="111"/>
      <c r="Y2494" s="111"/>
      <c r="Z2494" s="111"/>
      <c r="AA2494" s="111"/>
      <c r="AB2494" s="111"/>
      <c r="AC2494" s="111"/>
      <c r="AD2494" s="111"/>
      <c r="AE2494" s="111"/>
      <c r="AF2494" s="111"/>
      <c r="AG2494" s="111"/>
      <c r="AH2494" s="111"/>
    </row>
    <row r="2495">
      <c r="A2495" s="89"/>
      <c r="B2495" s="111"/>
      <c r="C2495" s="111"/>
      <c r="D2495" s="111"/>
      <c r="E2495" s="91"/>
      <c r="F2495" s="111"/>
      <c r="G2495" s="111"/>
      <c r="H2495" s="111"/>
      <c r="I2495" s="111"/>
      <c r="J2495" s="111"/>
      <c r="K2495" s="92"/>
      <c r="L2495" s="111"/>
      <c r="M2495" s="111"/>
      <c r="N2495" s="111"/>
      <c r="O2495" s="112"/>
      <c r="P2495" s="111"/>
      <c r="Q2495" s="111"/>
      <c r="R2495" s="111"/>
      <c r="S2495" s="111"/>
      <c r="T2495" s="111"/>
      <c r="U2495" s="111"/>
      <c r="V2495" s="111"/>
      <c r="W2495" s="111"/>
      <c r="X2495" s="111"/>
      <c r="Y2495" s="111"/>
      <c r="Z2495" s="111"/>
      <c r="AA2495" s="111"/>
      <c r="AB2495" s="111"/>
      <c r="AC2495" s="111"/>
      <c r="AD2495" s="111"/>
      <c r="AE2495" s="111"/>
      <c r="AF2495" s="111"/>
      <c r="AG2495" s="111"/>
      <c r="AH2495" s="111"/>
    </row>
    <row r="2496">
      <c r="A2496" s="89"/>
      <c r="B2496" s="111"/>
      <c r="C2496" s="111"/>
      <c r="D2496" s="111"/>
      <c r="E2496" s="91"/>
      <c r="F2496" s="111"/>
      <c r="G2496" s="111"/>
      <c r="H2496" s="111"/>
      <c r="I2496" s="111"/>
      <c r="J2496" s="111"/>
      <c r="K2496" s="92"/>
      <c r="L2496" s="111"/>
      <c r="M2496" s="111"/>
      <c r="N2496" s="111"/>
      <c r="O2496" s="112"/>
      <c r="P2496" s="111"/>
      <c r="Q2496" s="111"/>
      <c r="R2496" s="111"/>
      <c r="S2496" s="111"/>
      <c r="T2496" s="111"/>
      <c r="U2496" s="111"/>
      <c r="V2496" s="111"/>
      <c r="W2496" s="111"/>
      <c r="X2496" s="111"/>
      <c r="Y2496" s="111"/>
      <c r="Z2496" s="111"/>
      <c r="AA2496" s="111"/>
      <c r="AB2496" s="111"/>
      <c r="AC2496" s="111"/>
      <c r="AD2496" s="111"/>
      <c r="AE2496" s="111"/>
      <c r="AF2496" s="111"/>
      <c r="AG2496" s="111"/>
      <c r="AH2496" s="111"/>
    </row>
    <row r="2497">
      <c r="A2497" s="89"/>
      <c r="B2497" s="111"/>
      <c r="C2497" s="111"/>
      <c r="D2497" s="111"/>
      <c r="E2497" s="91"/>
      <c r="F2497" s="111"/>
      <c r="G2497" s="111"/>
      <c r="H2497" s="111"/>
      <c r="I2497" s="111"/>
      <c r="J2497" s="111"/>
      <c r="K2497" s="92"/>
      <c r="L2497" s="111"/>
      <c r="M2497" s="111"/>
      <c r="N2497" s="111"/>
      <c r="O2497" s="112"/>
      <c r="P2497" s="111"/>
      <c r="Q2497" s="111"/>
      <c r="R2497" s="111"/>
      <c r="S2497" s="111"/>
      <c r="T2497" s="111"/>
      <c r="U2497" s="111"/>
      <c r="V2497" s="111"/>
      <c r="W2497" s="111"/>
      <c r="X2497" s="111"/>
      <c r="Y2497" s="111"/>
      <c r="Z2497" s="111"/>
      <c r="AA2497" s="111"/>
      <c r="AB2497" s="111"/>
      <c r="AC2497" s="111"/>
      <c r="AD2497" s="111"/>
      <c r="AE2497" s="111"/>
      <c r="AF2497" s="111"/>
      <c r="AG2497" s="111"/>
      <c r="AH2497" s="111"/>
    </row>
    <row r="2498">
      <c r="A2498" s="89"/>
      <c r="B2498" s="111"/>
      <c r="C2498" s="111"/>
      <c r="D2498" s="111"/>
      <c r="E2498" s="91"/>
      <c r="F2498" s="111"/>
      <c r="G2498" s="111"/>
      <c r="H2498" s="111"/>
      <c r="I2498" s="111"/>
      <c r="J2498" s="111"/>
      <c r="K2498" s="92"/>
      <c r="L2498" s="111"/>
      <c r="M2498" s="111"/>
      <c r="N2498" s="111"/>
      <c r="O2498" s="112"/>
      <c r="P2498" s="111"/>
      <c r="Q2498" s="111"/>
      <c r="R2498" s="111"/>
      <c r="S2498" s="111"/>
      <c r="T2498" s="111"/>
      <c r="U2498" s="111"/>
      <c r="V2498" s="111"/>
      <c r="W2498" s="111"/>
      <c r="X2498" s="111"/>
      <c r="Y2498" s="111"/>
      <c r="Z2498" s="111"/>
      <c r="AA2498" s="111"/>
      <c r="AB2498" s="111"/>
      <c r="AC2498" s="111"/>
      <c r="AD2498" s="111"/>
      <c r="AE2498" s="111"/>
      <c r="AF2498" s="111"/>
      <c r="AG2498" s="111"/>
      <c r="AH2498" s="111"/>
    </row>
    <row r="2499">
      <c r="A2499" s="89"/>
      <c r="B2499" s="111"/>
      <c r="C2499" s="111"/>
      <c r="D2499" s="111"/>
      <c r="E2499" s="91"/>
      <c r="F2499" s="111"/>
      <c r="G2499" s="111"/>
      <c r="H2499" s="111"/>
      <c r="I2499" s="111"/>
      <c r="J2499" s="111"/>
      <c r="K2499" s="92"/>
      <c r="L2499" s="111"/>
      <c r="M2499" s="111"/>
      <c r="N2499" s="111"/>
      <c r="O2499" s="112"/>
      <c r="P2499" s="111"/>
      <c r="Q2499" s="111"/>
      <c r="R2499" s="111"/>
      <c r="S2499" s="111"/>
      <c r="T2499" s="111"/>
      <c r="U2499" s="111"/>
      <c r="V2499" s="111"/>
      <c r="W2499" s="111"/>
      <c r="X2499" s="111"/>
      <c r="Y2499" s="111"/>
      <c r="Z2499" s="111"/>
      <c r="AA2499" s="111"/>
      <c r="AB2499" s="111"/>
      <c r="AC2499" s="111"/>
      <c r="AD2499" s="111"/>
      <c r="AE2499" s="111"/>
      <c r="AF2499" s="111"/>
      <c r="AG2499" s="111"/>
      <c r="AH2499" s="111"/>
    </row>
    <row r="2500">
      <c r="A2500" s="89"/>
      <c r="B2500" s="111"/>
      <c r="C2500" s="111"/>
      <c r="D2500" s="111"/>
      <c r="E2500" s="91"/>
      <c r="F2500" s="111"/>
      <c r="G2500" s="111"/>
      <c r="H2500" s="111"/>
      <c r="I2500" s="111"/>
      <c r="J2500" s="111"/>
      <c r="K2500" s="92"/>
      <c r="L2500" s="111"/>
      <c r="M2500" s="111"/>
      <c r="N2500" s="111"/>
      <c r="O2500" s="112"/>
      <c r="P2500" s="111"/>
      <c r="Q2500" s="111"/>
      <c r="R2500" s="111"/>
      <c r="S2500" s="111"/>
      <c r="T2500" s="111"/>
      <c r="U2500" s="111"/>
      <c r="V2500" s="111"/>
      <c r="W2500" s="111"/>
      <c r="X2500" s="111"/>
      <c r="Y2500" s="111"/>
      <c r="Z2500" s="111"/>
      <c r="AA2500" s="111"/>
      <c r="AB2500" s="111"/>
      <c r="AC2500" s="111"/>
      <c r="AD2500" s="111"/>
      <c r="AE2500" s="111"/>
      <c r="AF2500" s="111"/>
      <c r="AG2500" s="111"/>
      <c r="AH2500" s="111"/>
    </row>
    <row r="2501">
      <c r="A2501" s="89"/>
      <c r="B2501" s="111"/>
      <c r="C2501" s="111"/>
      <c r="D2501" s="111"/>
      <c r="E2501" s="91"/>
      <c r="F2501" s="111"/>
      <c r="G2501" s="111"/>
      <c r="H2501" s="111"/>
      <c r="I2501" s="111"/>
      <c r="J2501" s="111"/>
      <c r="K2501" s="92"/>
      <c r="L2501" s="111"/>
      <c r="M2501" s="111"/>
      <c r="N2501" s="111"/>
      <c r="O2501" s="112"/>
      <c r="P2501" s="111"/>
      <c r="Q2501" s="111"/>
      <c r="R2501" s="111"/>
      <c r="S2501" s="111"/>
      <c r="T2501" s="111"/>
      <c r="U2501" s="111"/>
      <c r="V2501" s="111"/>
      <c r="W2501" s="111"/>
      <c r="X2501" s="111"/>
      <c r="Y2501" s="111"/>
      <c r="Z2501" s="111"/>
      <c r="AA2501" s="111"/>
      <c r="AB2501" s="111"/>
      <c r="AC2501" s="111"/>
      <c r="AD2501" s="111"/>
      <c r="AE2501" s="111"/>
      <c r="AF2501" s="111"/>
      <c r="AG2501" s="111"/>
      <c r="AH2501" s="111"/>
    </row>
    <row r="2502">
      <c r="A2502" s="89"/>
      <c r="B2502" s="111"/>
      <c r="C2502" s="111"/>
      <c r="D2502" s="111"/>
      <c r="E2502" s="91"/>
      <c r="F2502" s="111"/>
      <c r="G2502" s="111"/>
      <c r="H2502" s="111"/>
      <c r="I2502" s="111"/>
      <c r="J2502" s="111"/>
      <c r="K2502" s="92"/>
      <c r="L2502" s="111"/>
      <c r="M2502" s="111"/>
      <c r="N2502" s="111"/>
      <c r="O2502" s="112"/>
      <c r="P2502" s="111"/>
      <c r="Q2502" s="111"/>
      <c r="R2502" s="111"/>
      <c r="S2502" s="111"/>
      <c r="T2502" s="111"/>
      <c r="U2502" s="111"/>
      <c r="V2502" s="111"/>
      <c r="W2502" s="111"/>
      <c r="X2502" s="111"/>
      <c r="Y2502" s="111"/>
      <c r="Z2502" s="111"/>
      <c r="AA2502" s="111"/>
      <c r="AB2502" s="111"/>
      <c r="AC2502" s="111"/>
      <c r="AD2502" s="111"/>
      <c r="AE2502" s="111"/>
      <c r="AF2502" s="111"/>
      <c r="AG2502" s="111"/>
      <c r="AH2502" s="111"/>
    </row>
    <row r="2503">
      <c r="A2503" s="89"/>
      <c r="B2503" s="111"/>
      <c r="C2503" s="111"/>
      <c r="D2503" s="111"/>
      <c r="E2503" s="91"/>
      <c r="F2503" s="111"/>
      <c r="G2503" s="111"/>
      <c r="H2503" s="111"/>
      <c r="I2503" s="111"/>
      <c r="J2503" s="111"/>
      <c r="K2503" s="92"/>
      <c r="L2503" s="111"/>
      <c r="M2503" s="111"/>
      <c r="N2503" s="111"/>
      <c r="O2503" s="112"/>
      <c r="P2503" s="111"/>
      <c r="Q2503" s="111"/>
      <c r="R2503" s="111"/>
      <c r="S2503" s="111"/>
      <c r="T2503" s="111"/>
      <c r="U2503" s="111"/>
      <c r="V2503" s="111"/>
      <c r="W2503" s="111"/>
      <c r="X2503" s="111"/>
      <c r="Y2503" s="111"/>
      <c r="Z2503" s="111"/>
      <c r="AA2503" s="111"/>
      <c r="AB2503" s="111"/>
      <c r="AC2503" s="111"/>
      <c r="AD2503" s="111"/>
      <c r="AE2503" s="111"/>
      <c r="AF2503" s="111"/>
      <c r="AG2503" s="111"/>
      <c r="AH2503" s="111"/>
    </row>
    <row r="2504">
      <c r="A2504" s="89"/>
      <c r="B2504" s="111"/>
      <c r="C2504" s="111"/>
      <c r="D2504" s="111"/>
      <c r="E2504" s="91"/>
      <c r="F2504" s="111"/>
      <c r="G2504" s="111"/>
      <c r="H2504" s="111"/>
      <c r="I2504" s="111"/>
      <c r="J2504" s="111"/>
      <c r="K2504" s="92"/>
      <c r="L2504" s="111"/>
      <c r="M2504" s="111"/>
      <c r="N2504" s="111"/>
      <c r="O2504" s="112"/>
      <c r="P2504" s="111"/>
      <c r="Q2504" s="111"/>
      <c r="R2504" s="111"/>
      <c r="S2504" s="111"/>
      <c r="T2504" s="111"/>
      <c r="U2504" s="111"/>
      <c r="V2504" s="111"/>
      <c r="W2504" s="111"/>
      <c r="X2504" s="111"/>
      <c r="Y2504" s="111"/>
      <c r="Z2504" s="111"/>
      <c r="AA2504" s="111"/>
      <c r="AB2504" s="111"/>
      <c r="AC2504" s="111"/>
      <c r="AD2504" s="111"/>
      <c r="AE2504" s="111"/>
      <c r="AF2504" s="111"/>
      <c r="AG2504" s="111"/>
      <c r="AH2504" s="111"/>
    </row>
    <row r="2505">
      <c r="A2505" s="89"/>
      <c r="B2505" s="111"/>
      <c r="C2505" s="111"/>
      <c r="D2505" s="111"/>
      <c r="E2505" s="91"/>
      <c r="F2505" s="111"/>
      <c r="G2505" s="111"/>
      <c r="H2505" s="111"/>
      <c r="I2505" s="111"/>
      <c r="J2505" s="111"/>
      <c r="K2505" s="92"/>
      <c r="L2505" s="111"/>
      <c r="M2505" s="111"/>
      <c r="N2505" s="111"/>
      <c r="O2505" s="112"/>
      <c r="P2505" s="111"/>
      <c r="Q2505" s="111"/>
      <c r="R2505" s="111"/>
      <c r="S2505" s="111"/>
      <c r="T2505" s="111"/>
      <c r="U2505" s="111"/>
      <c r="V2505" s="111"/>
      <c r="W2505" s="111"/>
      <c r="X2505" s="111"/>
      <c r="Y2505" s="111"/>
      <c r="Z2505" s="111"/>
      <c r="AA2505" s="111"/>
      <c r="AB2505" s="111"/>
      <c r="AC2505" s="111"/>
      <c r="AD2505" s="111"/>
      <c r="AE2505" s="111"/>
      <c r="AF2505" s="111"/>
      <c r="AG2505" s="111"/>
      <c r="AH2505" s="111"/>
    </row>
    <row r="2506">
      <c r="A2506" s="89"/>
      <c r="B2506" s="111"/>
      <c r="C2506" s="111"/>
      <c r="D2506" s="111"/>
      <c r="E2506" s="91"/>
      <c r="F2506" s="111"/>
      <c r="G2506" s="111"/>
      <c r="H2506" s="111"/>
      <c r="I2506" s="111"/>
      <c r="J2506" s="111"/>
      <c r="K2506" s="92"/>
      <c r="L2506" s="111"/>
      <c r="M2506" s="111"/>
      <c r="N2506" s="111"/>
      <c r="O2506" s="112"/>
      <c r="P2506" s="111"/>
      <c r="Q2506" s="111"/>
      <c r="R2506" s="111"/>
      <c r="S2506" s="111"/>
      <c r="T2506" s="111"/>
      <c r="U2506" s="111"/>
      <c r="V2506" s="111"/>
      <c r="W2506" s="111"/>
      <c r="X2506" s="111"/>
      <c r="Y2506" s="111"/>
      <c r="Z2506" s="111"/>
      <c r="AA2506" s="111"/>
      <c r="AB2506" s="111"/>
      <c r="AC2506" s="111"/>
      <c r="AD2506" s="111"/>
      <c r="AE2506" s="111"/>
      <c r="AF2506" s="111"/>
      <c r="AG2506" s="111"/>
      <c r="AH2506" s="111"/>
    </row>
    <row r="2507">
      <c r="A2507" s="89"/>
      <c r="B2507" s="111"/>
      <c r="C2507" s="111"/>
      <c r="D2507" s="111"/>
      <c r="E2507" s="91"/>
      <c r="F2507" s="111"/>
      <c r="G2507" s="111"/>
      <c r="H2507" s="111"/>
      <c r="I2507" s="111"/>
      <c r="J2507" s="111"/>
      <c r="K2507" s="92"/>
      <c r="L2507" s="111"/>
      <c r="M2507" s="111"/>
      <c r="N2507" s="111"/>
      <c r="O2507" s="112"/>
      <c r="P2507" s="111"/>
      <c r="Q2507" s="111"/>
      <c r="R2507" s="111"/>
      <c r="S2507" s="111"/>
      <c r="T2507" s="111"/>
      <c r="U2507" s="111"/>
      <c r="V2507" s="111"/>
      <c r="W2507" s="111"/>
      <c r="X2507" s="111"/>
      <c r="Y2507" s="111"/>
      <c r="Z2507" s="111"/>
      <c r="AA2507" s="111"/>
      <c r="AB2507" s="111"/>
      <c r="AC2507" s="111"/>
      <c r="AD2507" s="111"/>
      <c r="AE2507" s="111"/>
      <c r="AF2507" s="111"/>
      <c r="AG2507" s="111"/>
      <c r="AH2507" s="111"/>
    </row>
    <row r="2508">
      <c r="A2508" s="89"/>
      <c r="B2508" s="111"/>
      <c r="C2508" s="111"/>
      <c r="D2508" s="111"/>
      <c r="E2508" s="91"/>
      <c r="F2508" s="111"/>
      <c r="G2508" s="111"/>
      <c r="H2508" s="111"/>
      <c r="I2508" s="111"/>
      <c r="J2508" s="111"/>
      <c r="K2508" s="92"/>
      <c r="L2508" s="111"/>
      <c r="M2508" s="111"/>
      <c r="N2508" s="111"/>
      <c r="O2508" s="112"/>
      <c r="P2508" s="111"/>
      <c r="Q2508" s="111"/>
      <c r="R2508" s="111"/>
      <c r="S2508" s="111"/>
      <c r="T2508" s="111"/>
      <c r="U2508" s="111"/>
      <c r="V2508" s="111"/>
      <c r="W2508" s="111"/>
      <c r="X2508" s="111"/>
      <c r="Y2508" s="111"/>
      <c r="Z2508" s="111"/>
      <c r="AA2508" s="111"/>
      <c r="AB2508" s="111"/>
      <c r="AC2508" s="111"/>
      <c r="AD2508" s="111"/>
      <c r="AE2508" s="111"/>
      <c r="AF2508" s="111"/>
      <c r="AG2508" s="111"/>
      <c r="AH2508" s="111"/>
    </row>
    <row r="2509">
      <c r="A2509" s="89"/>
      <c r="B2509" s="111"/>
      <c r="C2509" s="111"/>
      <c r="D2509" s="111"/>
      <c r="E2509" s="91"/>
      <c r="F2509" s="111"/>
      <c r="G2509" s="111"/>
      <c r="H2509" s="111"/>
      <c r="I2509" s="111"/>
      <c r="J2509" s="111"/>
      <c r="K2509" s="92"/>
      <c r="L2509" s="111"/>
      <c r="M2509" s="111"/>
      <c r="N2509" s="111"/>
      <c r="O2509" s="112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  <c r="AH2509" s="111"/>
    </row>
    <row r="2510">
      <c r="A2510" s="89"/>
      <c r="B2510" s="111"/>
      <c r="C2510" s="111"/>
      <c r="D2510" s="111"/>
      <c r="E2510" s="91"/>
      <c r="F2510" s="111"/>
      <c r="G2510" s="111"/>
      <c r="H2510" s="111"/>
      <c r="I2510" s="111"/>
      <c r="J2510" s="111"/>
      <c r="K2510" s="92"/>
      <c r="L2510" s="111"/>
      <c r="M2510" s="111"/>
      <c r="N2510" s="111"/>
      <c r="O2510" s="112"/>
      <c r="P2510" s="111"/>
      <c r="Q2510" s="111"/>
      <c r="R2510" s="111"/>
      <c r="S2510" s="111"/>
      <c r="T2510" s="111"/>
      <c r="U2510" s="111"/>
      <c r="V2510" s="111"/>
      <c r="W2510" s="111"/>
      <c r="X2510" s="111"/>
      <c r="Y2510" s="111"/>
      <c r="Z2510" s="111"/>
      <c r="AA2510" s="111"/>
      <c r="AB2510" s="111"/>
      <c r="AC2510" s="111"/>
      <c r="AD2510" s="111"/>
      <c r="AE2510" s="111"/>
      <c r="AF2510" s="111"/>
      <c r="AG2510" s="111"/>
      <c r="AH2510" s="111"/>
    </row>
    <row r="2511">
      <c r="A2511" s="89"/>
      <c r="B2511" s="111"/>
      <c r="C2511" s="111"/>
      <c r="D2511" s="111"/>
      <c r="E2511" s="91"/>
      <c r="F2511" s="111"/>
      <c r="G2511" s="111"/>
      <c r="H2511" s="111"/>
      <c r="I2511" s="111"/>
      <c r="J2511" s="111"/>
      <c r="K2511" s="92"/>
      <c r="L2511" s="111"/>
      <c r="M2511" s="111"/>
      <c r="N2511" s="111"/>
      <c r="O2511" s="112"/>
      <c r="P2511" s="111"/>
      <c r="Q2511" s="111"/>
      <c r="R2511" s="111"/>
      <c r="S2511" s="111"/>
      <c r="T2511" s="111"/>
      <c r="U2511" s="111"/>
      <c r="V2511" s="111"/>
      <c r="W2511" s="111"/>
      <c r="X2511" s="111"/>
      <c r="Y2511" s="111"/>
      <c r="Z2511" s="111"/>
      <c r="AA2511" s="111"/>
      <c r="AB2511" s="111"/>
      <c r="AC2511" s="111"/>
      <c r="AD2511" s="111"/>
      <c r="AE2511" s="111"/>
      <c r="AF2511" s="111"/>
      <c r="AG2511" s="111"/>
      <c r="AH2511" s="111"/>
    </row>
    <row r="2512">
      <c r="A2512" s="89"/>
      <c r="B2512" s="111"/>
      <c r="C2512" s="111"/>
      <c r="D2512" s="111"/>
      <c r="E2512" s="91"/>
      <c r="F2512" s="111"/>
      <c r="G2512" s="111"/>
      <c r="H2512" s="111"/>
      <c r="I2512" s="111"/>
      <c r="J2512" s="111"/>
      <c r="K2512" s="92"/>
      <c r="L2512" s="111"/>
      <c r="M2512" s="111"/>
      <c r="N2512" s="111"/>
      <c r="O2512" s="112"/>
      <c r="P2512" s="111"/>
      <c r="Q2512" s="111"/>
      <c r="R2512" s="111"/>
      <c r="S2512" s="111"/>
      <c r="T2512" s="111"/>
      <c r="U2512" s="111"/>
      <c r="V2512" s="111"/>
      <c r="W2512" s="111"/>
      <c r="X2512" s="111"/>
      <c r="Y2512" s="111"/>
      <c r="Z2512" s="111"/>
      <c r="AA2512" s="111"/>
      <c r="AB2512" s="111"/>
      <c r="AC2512" s="111"/>
      <c r="AD2512" s="111"/>
      <c r="AE2512" s="111"/>
      <c r="AF2512" s="111"/>
      <c r="AG2512" s="111"/>
      <c r="AH2512" s="111"/>
    </row>
    <row r="2513">
      <c r="A2513" s="89"/>
      <c r="B2513" s="111"/>
      <c r="C2513" s="111"/>
      <c r="D2513" s="111"/>
      <c r="E2513" s="91"/>
      <c r="F2513" s="111"/>
      <c r="G2513" s="111"/>
      <c r="H2513" s="111"/>
      <c r="I2513" s="111"/>
      <c r="J2513" s="111"/>
      <c r="K2513" s="92"/>
      <c r="L2513" s="111"/>
      <c r="M2513" s="111"/>
      <c r="N2513" s="111"/>
      <c r="O2513" s="112"/>
      <c r="P2513" s="111"/>
      <c r="Q2513" s="111"/>
      <c r="R2513" s="111"/>
      <c r="S2513" s="111"/>
      <c r="T2513" s="111"/>
      <c r="U2513" s="111"/>
      <c r="V2513" s="111"/>
      <c r="W2513" s="111"/>
      <c r="X2513" s="111"/>
      <c r="Y2513" s="111"/>
      <c r="Z2513" s="111"/>
      <c r="AA2513" s="111"/>
      <c r="AB2513" s="111"/>
      <c r="AC2513" s="111"/>
      <c r="AD2513" s="111"/>
      <c r="AE2513" s="111"/>
      <c r="AF2513" s="111"/>
      <c r="AG2513" s="111"/>
      <c r="AH2513" s="111"/>
    </row>
    <row r="2514">
      <c r="A2514" s="89"/>
      <c r="B2514" s="111"/>
      <c r="C2514" s="111"/>
      <c r="D2514" s="111"/>
      <c r="E2514" s="91"/>
      <c r="F2514" s="111"/>
      <c r="G2514" s="111"/>
      <c r="H2514" s="111"/>
      <c r="I2514" s="111"/>
      <c r="J2514" s="111"/>
      <c r="K2514" s="92"/>
      <c r="L2514" s="111"/>
      <c r="M2514" s="111"/>
      <c r="N2514" s="111"/>
      <c r="O2514" s="112"/>
      <c r="P2514" s="111"/>
      <c r="Q2514" s="111"/>
      <c r="R2514" s="111"/>
      <c r="S2514" s="111"/>
      <c r="T2514" s="111"/>
      <c r="U2514" s="111"/>
      <c r="V2514" s="111"/>
      <c r="W2514" s="111"/>
      <c r="X2514" s="111"/>
      <c r="Y2514" s="111"/>
      <c r="Z2514" s="111"/>
      <c r="AA2514" s="111"/>
      <c r="AB2514" s="111"/>
      <c r="AC2514" s="111"/>
      <c r="AD2514" s="111"/>
      <c r="AE2514" s="111"/>
      <c r="AF2514" s="111"/>
      <c r="AG2514" s="111"/>
      <c r="AH2514" s="111"/>
    </row>
    <row r="2515">
      <c r="A2515" s="89"/>
      <c r="B2515" s="111"/>
      <c r="C2515" s="111"/>
      <c r="D2515" s="111"/>
      <c r="E2515" s="91"/>
      <c r="F2515" s="111"/>
      <c r="G2515" s="111"/>
      <c r="H2515" s="111"/>
      <c r="I2515" s="111"/>
      <c r="J2515" s="111"/>
      <c r="K2515" s="92"/>
      <c r="L2515" s="111"/>
      <c r="M2515" s="111"/>
      <c r="N2515" s="111"/>
      <c r="O2515" s="112"/>
      <c r="P2515" s="111"/>
      <c r="Q2515" s="111"/>
      <c r="R2515" s="111"/>
      <c r="S2515" s="111"/>
      <c r="T2515" s="111"/>
      <c r="U2515" s="111"/>
      <c r="V2515" s="111"/>
      <c r="W2515" s="111"/>
      <c r="X2515" s="111"/>
      <c r="Y2515" s="111"/>
      <c r="Z2515" s="111"/>
      <c r="AA2515" s="111"/>
      <c r="AB2515" s="111"/>
      <c r="AC2515" s="111"/>
      <c r="AD2515" s="111"/>
      <c r="AE2515" s="111"/>
      <c r="AF2515" s="111"/>
      <c r="AG2515" s="111"/>
      <c r="AH2515" s="111"/>
    </row>
    <row r="2516">
      <c r="A2516" s="89"/>
      <c r="B2516" s="111"/>
      <c r="C2516" s="111"/>
      <c r="D2516" s="111"/>
      <c r="E2516" s="91"/>
      <c r="F2516" s="111"/>
      <c r="G2516" s="111"/>
      <c r="H2516" s="111"/>
      <c r="I2516" s="111"/>
      <c r="J2516" s="111"/>
      <c r="K2516" s="92"/>
      <c r="L2516" s="111"/>
      <c r="M2516" s="111"/>
      <c r="N2516" s="111"/>
      <c r="O2516" s="112"/>
      <c r="P2516" s="111"/>
      <c r="Q2516" s="111"/>
      <c r="R2516" s="111"/>
      <c r="S2516" s="111"/>
      <c r="T2516" s="111"/>
      <c r="U2516" s="111"/>
      <c r="V2516" s="111"/>
      <c r="W2516" s="111"/>
      <c r="X2516" s="111"/>
      <c r="Y2516" s="111"/>
      <c r="Z2516" s="111"/>
      <c r="AA2516" s="111"/>
      <c r="AB2516" s="111"/>
      <c r="AC2516" s="111"/>
      <c r="AD2516" s="111"/>
      <c r="AE2516" s="111"/>
      <c r="AF2516" s="111"/>
      <c r="AG2516" s="111"/>
      <c r="AH2516" s="111"/>
    </row>
    <row r="2517">
      <c r="A2517" s="89"/>
      <c r="B2517" s="111"/>
      <c r="C2517" s="111"/>
      <c r="D2517" s="111"/>
      <c r="E2517" s="91"/>
      <c r="F2517" s="111"/>
      <c r="G2517" s="111"/>
      <c r="H2517" s="111"/>
      <c r="I2517" s="111"/>
      <c r="J2517" s="111"/>
      <c r="K2517" s="92"/>
      <c r="L2517" s="111"/>
      <c r="M2517" s="111"/>
      <c r="N2517" s="111"/>
      <c r="O2517" s="112"/>
      <c r="P2517" s="111"/>
      <c r="Q2517" s="111"/>
      <c r="R2517" s="111"/>
      <c r="S2517" s="111"/>
      <c r="T2517" s="111"/>
      <c r="U2517" s="111"/>
      <c r="V2517" s="111"/>
      <c r="W2517" s="111"/>
      <c r="X2517" s="111"/>
      <c r="Y2517" s="111"/>
      <c r="Z2517" s="111"/>
      <c r="AA2517" s="111"/>
      <c r="AB2517" s="111"/>
      <c r="AC2517" s="111"/>
      <c r="AD2517" s="111"/>
      <c r="AE2517" s="111"/>
      <c r="AF2517" s="111"/>
      <c r="AG2517" s="111"/>
      <c r="AH2517" s="111"/>
    </row>
    <row r="2518">
      <c r="A2518" s="89"/>
      <c r="B2518" s="111"/>
      <c r="C2518" s="111"/>
      <c r="D2518" s="111"/>
      <c r="E2518" s="91"/>
      <c r="F2518" s="111"/>
      <c r="G2518" s="111"/>
      <c r="H2518" s="111"/>
      <c r="I2518" s="111"/>
      <c r="J2518" s="111"/>
      <c r="K2518" s="92"/>
      <c r="L2518" s="111"/>
      <c r="M2518" s="111"/>
      <c r="N2518" s="111"/>
      <c r="O2518" s="112"/>
      <c r="P2518" s="111"/>
      <c r="Q2518" s="111"/>
      <c r="R2518" s="111"/>
      <c r="S2518" s="111"/>
      <c r="T2518" s="111"/>
      <c r="U2518" s="111"/>
      <c r="V2518" s="111"/>
      <c r="W2518" s="111"/>
      <c r="X2518" s="111"/>
      <c r="Y2518" s="111"/>
      <c r="Z2518" s="111"/>
      <c r="AA2518" s="111"/>
      <c r="AB2518" s="111"/>
      <c r="AC2518" s="111"/>
      <c r="AD2518" s="111"/>
      <c r="AE2518" s="111"/>
      <c r="AF2518" s="111"/>
      <c r="AG2518" s="111"/>
      <c r="AH2518" s="111"/>
    </row>
    <row r="2519">
      <c r="A2519" s="89"/>
      <c r="B2519" s="111"/>
      <c r="C2519" s="111"/>
      <c r="D2519" s="111"/>
      <c r="E2519" s="91"/>
      <c r="F2519" s="111"/>
      <c r="G2519" s="111"/>
      <c r="H2519" s="111"/>
      <c r="I2519" s="111"/>
      <c r="J2519" s="111"/>
      <c r="K2519" s="92"/>
      <c r="L2519" s="111"/>
      <c r="M2519" s="111"/>
      <c r="N2519" s="111"/>
      <c r="O2519" s="112"/>
      <c r="P2519" s="111"/>
      <c r="Q2519" s="111"/>
      <c r="R2519" s="111"/>
      <c r="S2519" s="111"/>
      <c r="T2519" s="111"/>
      <c r="U2519" s="111"/>
      <c r="V2519" s="111"/>
      <c r="W2519" s="111"/>
      <c r="X2519" s="111"/>
      <c r="Y2519" s="111"/>
      <c r="Z2519" s="111"/>
      <c r="AA2519" s="111"/>
      <c r="AB2519" s="111"/>
      <c r="AC2519" s="111"/>
      <c r="AD2519" s="111"/>
      <c r="AE2519" s="111"/>
      <c r="AF2519" s="111"/>
      <c r="AG2519" s="111"/>
      <c r="AH2519" s="111"/>
    </row>
    <row r="2520">
      <c r="A2520" s="89"/>
      <c r="B2520" s="111"/>
      <c r="C2520" s="111"/>
      <c r="D2520" s="111"/>
      <c r="E2520" s="91"/>
      <c r="F2520" s="111"/>
      <c r="G2520" s="111"/>
      <c r="H2520" s="111"/>
      <c r="I2520" s="111"/>
      <c r="J2520" s="111"/>
      <c r="K2520" s="92"/>
      <c r="L2520" s="111"/>
      <c r="M2520" s="111"/>
      <c r="N2520" s="111"/>
      <c r="O2520" s="112"/>
      <c r="P2520" s="111"/>
      <c r="Q2520" s="111"/>
      <c r="R2520" s="111"/>
      <c r="S2520" s="111"/>
      <c r="T2520" s="111"/>
      <c r="U2520" s="111"/>
      <c r="V2520" s="111"/>
      <c r="W2520" s="111"/>
      <c r="X2520" s="111"/>
      <c r="Y2520" s="111"/>
      <c r="Z2520" s="111"/>
      <c r="AA2520" s="111"/>
      <c r="AB2520" s="111"/>
      <c r="AC2520" s="111"/>
      <c r="AD2520" s="111"/>
      <c r="AE2520" s="111"/>
      <c r="AF2520" s="111"/>
      <c r="AG2520" s="111"/>
      <c r="AH2520" s="111"/>
    </row>
    <row r="2521">
      <c r="A2521" s="89"/>
      <c r="B2521" s="111"/>
      <c r="C2521" s="111"/>
      <c r="D2521" s="111"/>
      <c r="E2521" s="91"/>
      <c r="F2521" s="111"/>
      <c r="G2521" s="111"/>
      <c r="H2521" s="111"/>
      <c r="I2521" s="111"/>
      <c r="J2521" s="111"/>
      <c r="K2521" s="92"/>
      <c r="L2521" s="111"/>
      <c r="M2521" s="111"/>
      <c r="N2521" s="111"/>
      <c r="O2521" s="112"/>
      <c r="P2521" s="111"/>
      <c r="Q2521" s="111"/>
      <c r="R2521" s="111"/>
      <c r="S2521" s="111"/>
      <c r="T2521" s="111"/>
      <c r="U2521" s="111"/>
      <c r="V2521" s="111"/>
      <c r="W2521" s="111"/>
      <c r="X2521" s="111"/>
      <c r="Y2521" s="111"/>
      <c r="Z2521" s="111"/>
      <c r="AA2521" s="111"/>
      <c r="AB2521" s="111"/>
      <c r="AC2521" s="111"/>
      <c r="AD2521" s="111"/>
      <c r="AE2521" s="111"/>
      <c r="AF2521" s="111"/>
      <c r="AG2521" s="111"/>
      <c r="AH2521" s="111"/>
    </row>
    <row r="2522">
      <c r="A2522" s="89"/>
      <c r="B2522" s="111"/>
      <c r="C2522" s="111"/>
      <c r="D2522" s="111"/>
      <c r="E2522" s="91"/>
      <c r="F2522" s="111"/>
      <c r="G2522" s="111"/>
      <c r="H2522" s="111"/>
      <c r="I2522" s="111"/>
      <c r="J2522" s="111"/>
      <c r="K2522" s="92"/>
      <c r="L2522" s="111"/>
      <c r="M2522" s="111"/>
      <c r="N2522" s="111"/>
      <c r="O2522" s="112"/>
      <c r="P2522" s="111"/>
      <c r="Q2522" s="111"/>
      <c r="R2522" s="111"/>
      <c r="S2522" s="111"/>
      <c r="T2522" s="111"/>
      <c r="U2522" s="111"/>
      <c r="V2522" s="111"/>
      <c r="W2522" s="111"/>
      <c r="X2522" s="111"/>
      <c r="Y2522" s="111"/>
      <c r="Z2522" s="111"/>
      <c r="AA2522" s="111"/>
      <c r="AB2522" s="111"/>
      <c r="AC2522" s="111"/>
      <c r="AD2522" s="111"/>
      <c r="AE2522" s="111"/>
      <c r="AF2522" s="111"/>
      <c r="AG2522" s="111"/>
      <c r="AH2522" s="111"/>
    </row>
    <row r="2523">
      <c r="A2523" s="89"/>
      <c r="B2523" s="111"/>
      <c r="C2523" s="111"/>
      <c r="D2523" s="111"/>
      <c r="E2523" s="91"/>
      <c r="F2523" s="111"/>
      <c r="G2523" s="111"/>
      <c r="H2523" s="111"/>
      <c r="I2523" s="111"/>
      <c r="J2523" s="111"/>
      <c r="K2523" s="92"/>
      <c r="L2523" s="111"/>
      <c r="M2523" s="111"/>
      <c r="N2523" s="111"/>
      <c r="O2523" s="112"/>
      <c r="P2523" s="111"/>
      <c r="Q2523" s="111"/>
      <c r="R2523" s="111"/>
      <c r="S2523" s="111"/>
      <c r="T2523" s="111"/>
      <c r="U2523" s="111"/>
      <c r="V2523" s="111"/>
      <c r="W2523" s="111"/>
      <c r="X2523" s="111"/>
      <c r="Y2523" s="111"/>
      <c r="Z2523" s="111"/>
      <c r="AA2523" s="111"/>
      <c r="AB2523" s="111"/>
      <c r="AC2523" s="111"/>
      <c r="AD2523" s="111"/>
      <c r="AE2523" s="111"/>
      <c r="AF2523" s="111"/>
      <c r="AG2523" s="111"/>
      <c r="AH2523" s="111"/>
    </row>
    <row r="2524">
      <c r="A2524" s="89"/>
      <c r="B2524" s="111"/>
      <c r="C2524" s="111"/>
      <c r="D2524" s="111"/>
      <c r="E2524" s="91"/>
      <c r="F2524" s="111"/>
      <c r="G2524" s="111"/>
      <c r="H2524" s="111"/>
      <c r="I2524" s="111"/>
      <c r="J2524" s="111"/>
      <c r="K2524" s="92"/>
      <c r="L2524" s="111"/>
      <c r="M2524" s="111"/>
      <c r="N2524" s="111"/>
      <c r="O2524" s="112"/>
      <c r="P2524" s="111"/>
      <c r="Q2524" s="111"/>
      <c r="R2524" s="111"/>
      <c r="S2524" s="111"/>
      <c r="T2524" s="111"/>
      <c r="U2524" s="111"/>
      <c r="V2524" s="111"/>
      <c r="W2524" s="111"/>
      <c r="X2524" s="111"/>
      <c r="Y2524" s="111"/>
      <c r="Z2524" s="111"/>
      <c r="AA2524" s="111"/>
      <c r="AB2524" s="111"/>
      <c r="AC2524" s="111"/>
      <c r="AD2524" s="111"/>
      <c r="AE2524" s="111"/>
      <c r="AF2524" s="111"/>
      <c r="AG2524" s="111"/>
      <c r="AH2524" s="111"/>
    </row>
    <row r="2525">
      <c r="A2525" s="89"/>
      <c r="B2525" s="111"/>
      <c r="C2525" s="111"/>
      <c r="D2525" s="111"/>
      <c r="E2525" s="91"/>
      <c r="F2525" s="111"/>
      <c r="G2525" s="111"/>
      <c r="H2525" s="111"/>
      <c r="I2525" s="111"/>
      <c r="J2525" s="111"/>
      <c r="K2525" s="92"/>
      <c r="L2525" s="111"/>
      <c r="M2525" s="111"/>
      <c r="N2525" s="111"/>
      <c r="O2525" s="112"/>
      <c r="P2525" s="111"/>
      <c r="Q2525" s="111"/>
      <c r="R2525" s="111"/>
      <c r="S2525" s="111"/>
      <c r="T2525" s="111"/>
      <c r="U2525" s="111"/>
      <c r="V2525" s="111"/>
      <c r="W2525" s="111"/>
      <c r="X2525" s="111"/>
      <c r="Y2525" s="111"/>
      <c r="Z2525" s="111"/>
      <c r="AA2525" s="111"/>
      <c r="AB2525" s="111"/>
      <c r="AC2525" s="111"/>
      <c r="AD2525" s="111"/>
      <c r="AE2525" s="111"/>
      <c r="AF2525" s="111"/>
      <c r="AG2525" s="111"/>
      <c r="AH2525" s="111"/>
    </row>
    <row r="2526">
      <c r="A2526" s="89"/>
      <c r="B2526" s="111"/>
      <c r="C2526" s="111"/>
      <c r="D2526" s="111"/>
      <c r="E2526" s="91"/>
      <c r="F2526" s="111"/>
      <c r="G2526" s="111"/>
      <c r="H2526" s="111"/>
      <c r="I2526" s="111"/>
      <c r="J2526" s="111"/>
      <c r="K2526" s="92"/>
      <c r="L2526" s="111"/>
      <c r="M2526" s="111"/>
      <c r="N2526" s="111"/>
      <c r="O2526" s="112"/>
      <c r="P2526" s="111"/>
      <c r="Q2526" s="111"/>
      <c r="R2526" s="111"/>
      <c r="S2526" s="111"/>
      <c r="T2526" s="111"/>
      <c r="U2526" s="111"/>
      <c r="V2526" s="111"/>
      <c r="W2526" s="111"/>
      <c r="X2526" s="111"/>
      <c r="Y2526" s="111"/>
      <c r="Z2526" s="111"/>
      <c r="AA2526" s="111"/>
      <c r="AB2526" s="111"/>
      <c r="AC2526" s="111"/>
      <c r="AD2526" s="111"/>
      <c r="AE2526" s="111"/>
      <c r="AF2526" s="111"/>
      <c r="AG2526" s="111"/>
      <c r="AH2526" s="111"/>
    </row>
    <row r="2527">
      <c r="A2527" s="89"/>
      <c r="B2527" s="111"/>
      <c r="C2527" s="111"/>
      <c r="D2527" s="111"/>
      <c r="E2527" s="91"/>
      <c r="F2527" s="111"/>
      <c r="G2527" s="111"/>
      <c r="H2527" s="111"/>
      <c r="I2527" s="111"/>
      <c r="J2527" s="111"/>
      <c r="K2527" s="92"/>
      <c r="L2527" s="111"/>
      <c r="M2527" s="111"/>
      <c r="N2527" s="111"/>
      <c r="O2527" s="112"/>
      <c r="P2527" s="111"/>
      <c r="Q2527" s="111"/>
      <c r="R2527" s="111"/>
      <c r="S2527" s="111"/>
      <c r="T2527" s="111"/>
      <c r="U2527" s="111"/>
      <c r="V2527" s="111"/>
      <c r="W2527" s="111"/>
      <c r="X2527" s="111"/>
      <c r="Y2527" s="111"/>
      <c r="Z2527" s="111"/>
      <c r="AA2527" s="111"/>
      <c r="AB2527" s="111"/>
      <c r="AC2527" s="111"/>
      <c r="AD2527" s="111"/>
      <c r="AE2527" s="111"/>
      <c r="AF2527" s="111"/>
      <c r="AG2527" s="111"/>
      <c r="AH2527" s="111"/>
    </row>
    <row r="2528">
      <c r="A2528" s="89"/>
      <c r="B2528" s="111"/>
      <c r="C2528" s="111"/>
      <c r="D2528" s="111"/>
      <c r="E2528" s="91"/>
      <c r="F2528" s="111"/>
      <c r="G2528" s="111"/>
      <c r="H2528" s="111"/>
      <c r="I2528" s="111"/>
      <c r="J2528" s="111"/>
      <c r="K2528" s="92"/>
      <c r="L2528" s="111"/>
      <c r="M2528" s="111"/>
      <c r="N2528" s="111"/>
      <c r="O2528" s="112"/>
      <c r="P2528" s="111"/>
      <c r="Q2528" s="111"/>
      <c r="R2528" s="111"/>
      <c r="S2528" s="111"/>
      <c r="T2528" s="111"/>
      <c r="U2528" s="111"/>
      <c r="V2528" s="111"/>
      <c r="W2528" s="111"/>
      <c r="X2528" s="111"/>
      <c r="Y2528" s="111"/>
      <c r="Z2528" s="111"/>
      <c r="AA2528" s="111"/>
      <c r="AB2528" s="111"/>
      <c r="AC2528" s="111"/>
      <c r="AD2528" s="111"/>
      <c r="AE2528" s="111"/>
      <c r="AF2528" s="111"/>
      <c r="AG2528" s="111"/>
      <c r="AH2528" s="111"/>
    </row>
    <row r="2529">
      <c r="A2529" s="89"/>
      <c r="B2529" s="111"/>
      <c r="C2529" s="111"/>
      <c r="D2529" s="111"/>
      <c r="E2529" s="91"/>
      <c r="F2529" s="111"/>
      <c r="G2529" s="111"/>
      <c r="H2529" s="111"/>
      <c r="I2529" s="111"/>
      <c r="J2529" s="111"/>
      <c r="K2529" s="92"/>
      <c r="L2529" s="111"/>
      <c r="M2529" s="111"/>
      <c r="N2529" s="111"/>
      <c r="O2529" s="112"/>
      <c r="P2529" s="111"/>
      <c r="Q2529" s="111"/>
      <c r="R2529" s="111"/>
      <c r="S2529" s="111"/>
      <c r="T2529" s="111"/>
      <c r="U2529" s="111"/>
      <c r="V2529" s="111"/>
      <c r="W2529" s="111"/>
      <c r="X2529" s="111"/>
      <c r="Y2529" s="111"/>
      <c r="Z2529" s="111"/>
      <c r="AA2529" s="111"/>
      <c r="AB2529" s="111"/>
      <c r="AC2529" s="111"/>
      <c r="AD2529" s="111"/>
      <c r="AE2529" s="111"/>
      <c r="AF2529" s="111"/>
      <c r="AG2529" s="111"/>
      <c r="AH2529" s="111"/>
    </row>
    <row r="2530">
      <c r="A2530" s="89"/>
      <c r="B2530" s="111"/>
      <c r="C2530" s="111"/>
      <c r="D2530" s="111"/>
      <c r="E2530" s="91"/>
      <c r="F2530" s="111"/>
      <c r="G2530" s="111"/>
      <c r="H2530" s="111"/>
      <c r="I2530" s="111"/>
      <c r="J2530" s="111"/>
      <c r="K2530" s="92"/>
      <c r="L2530" s="111"/>
      <c r="M2530" s="111"/>
      <c r="N2530" s="111"/>
      <c r="O2530" s="112"/>
      <c r="P2530" s="111"/>
      <c r="Q2530" s="111"/>
      <c r="R2530" s="111"/>
      <c r="S2530" s="111"/>
      <c r="T2530" s="111"/>
      <c r="U2530" s="111"/>
      <c r="V2530" s="111"/>
      <c r="W2530" s="111"/>
      <c r="X2530" s="111"/>
      <c r="Y2530" s="111"/>
      <c r="Z2530" s="111"/>
      <c r="AA2530" s="111"/>
      <c r="AB2530" s="111"/>
      <c r="AC2530" s="111"/>
      <c r="AD2530" s="111"/>
      <c r="AE2530" s="111"/>
      <c r="AF2530" s="111"/>
      <c r="AG2530" s="111"/>
      <c r="AH2530" s="111"/>
    </row>
    <row r="2531">
      <c r="A2531" s="89"/>
      <c r="B2531" s="111"/>
      <c r="C2531" s="111"/>
      <c r="D2531" s="111"/>
      <c r="E2531" s="91"/>
      <c r="F2531" s="111"/>
      <c r="G2531" s="111"/>
      <c r="H2531" s="111"/>
      <c r="I2531" s="111"/>
      <c r="J2531" s="111"/>
      <c r="K2531" s="92"/>
      <c r="L2531" s="111"/>
      <c r="M2531" s="111"/>
      <c r="N2531" s="111"/>
      <c r="O2531" s="112"/>
      <c r="P2531" s="111"/>
      <c r="Q2531" s="111"/>
      <c r="R2531" s="111"/>
      <c r="S2531" s="111"/>
      <c r="T2531" s="111"/>
      <c r="U2531" s="111"/>
      <c r="V2531" s="111"/>
      <c r="W2531" s="111"/>
      <c r="X2531" s="111"/>
      <c r="Y2531" s="111"/>
      <c r="Z2531" s="111"/>
      <c r="AA2531" s="111"/>
      <c r="AB2531" s="111"/>
      <c r="AC2531" s="111"/>
      <c r="AD2531" s="111"/>
      <c r="AE2531" s="111"/>
      <c r="AF2531" s="111"/>
      <c r="AG2531" s="111"/>
      <c r="AH2531" s="111"/>
    </row>
    <row r="2532">
      <c r="A2532" s="89"/>
      <c r="B2532" s="111"/>
      <c r="C2532" s="111"/>
      <c r="D2532" s="111"/>
      <c r="E2532" s="91"/>
      <c r="F2532" s="111"/>
      <c r="G2532" s="111"/>
      <c r="H2532" s="111"/>
      <c r="I2532" s="111"/>
      <c r="J2532" s="111"/>
      <c r="K2532" s="92"/>
      <c r="L2532" s="111"/>
      <c r="M2532" s="111"/>
      <c r="N2532" s="111"/>
      <c r="O2532" s="112"/>
      <c r="P2532" s="111"/>
      <c r="Q2532" s="111"/>
      <c r="R2532" s="111"/>
      <c r="S2532" s="111"/>
      <c r="T2532" s="111"/>
      <c r="U2532" s="111"/>
      <c r="V2532" s="111"/>
      <c r="W2532" s="111"/>
      <c r="X2532" s="111"/>
      <c r="Y2532" s="111"/>
      <c r="Z2532" s="111"/>
      <c r="AA2532" s="111"/>
      <c r="AB2532" s="111"/>
      <c r="AC2532" s="111"/>
      <c r="AD2532" s="111"/>
      <c r="AE2532" s="111"/>
      <c r="AF2532" s="111"/>
      <c r="AG2532" s="111"/>
      <c r="AH2532" s="111"/>
    </row>
    <row r="2533">
      <c r="A2533" s="89"/>
      <c r="B2533" s="111"/>
      <c r="C2533" s="111"/>
      <c r="D2533" s="111"/>
      <c r="E2533" s="91"/>
      <c r="F2533" s="111"/>
      <c r="G2533" s="111"/>
      <c r="H2533" s="111"/>
      <c r="I2533" s="111"/>
      <c r="J2533" s="111"/>
      <c r="K2533" s="92"/>
      <c r="L2533" s="111"/>
      <c r="M2533" s="111"/>
      <c r="N2533" s="111"/>
      <c r="O2533" s="112"/>
      <c r="P2533" s="111"/>
      <c r="Q2533" s="111"/>
      <c r="R2533" s="111"/>
      <c r="S2533" s="111"/>
      <c r="T2533" s="111"/>
      <c r="U2533" s="111"/>
      <c r="V2533" s="111"/>
      <c r="W2533" s="111"/>
      <c r="X2533" s="111"/>
      <c r="Y2533" s="111"/>
      <c r="Z2533" s="111"/>
      <c r="AA2533" s="111"/>
      <c r="AB2533" s="111"/>
      <c r="AC2533" s="111"/>
      <c r="AD2533" s="111"/>
      <c r="AE2533" s="111"/>
      <c r="AF2533" s="111"/>
      <c r="AG2533" s="111"/>
      <c r="AH2533" s="111"/>
    </row>
    <row r="2534">
      <c r="A2534" s="89"/>
      <c r="B2534" s="111"/>
      <c r="C2534" s="111"/>
      <c r="D2534" s="111"/>
      <c r="E2534" s="91"/>
      <c r="F2534" s="111"/>
      <c r="G2534" s="111"/>
      <c r="H2534" s="111"/>
      <c r="I2534" s="111"/>
      <c r="J2534" s="111"/>
      <c r="K2534" s="92"/>
      <c r="L2534" s="111"/>
      <c r="M2534" s="111"/>
      <c r="N2534" s="111"/>
      <c r="O2534" s="112"/>
      <c r="P2534" s="111"/>
      <c r="Q2534" s="111"/>
      <c r="R2534" s="111"/>
      <c r="S2534" s="111"/>
      <c r="T2534" s="111"/>
      <c r="U2534" s="111"/>
      <c r="V2534" s="111"/>
      <c r="W2534" s="111"/>
      <c r="X2534" s="111"/>
      <c r="Y2534" s="111"/>
      <c r="Z2534" s="111"/>
      <c r="AA2534" s="111"/>
      <c r="AB2534" s="111"/>
      <c r="AC2534" s="111"/>
      <c r="AD2534" s="111"/>
      <c r="AE2534" s="111"/>
      <c r="AF2534" s="111"/>
      <c r="AG2534" s="111"/>
      <c r="AH2534" s="111"/>
    </row>
    <row r="2535">
      <c r="A2535" s="89"/>
      <c r="B2535" s="111"/>
      <c r="C2535" s="111"/>
      <c r="D2535" s="111"/>
      <c r="E2535" s="91"/>
      <c r="F2535" s="111"/>
      <c r="G2535" s="111"/>
      <c r="H2535" s="111"/>
      <c r="I2535" s="111"/>
      <c r="J2535" s="111"/>
      <c r="K2535" s="92"/>
      <c r="L2535" s="111"/>
      <c r="M2535" s="111"/>
      <c r="N2535" s="111"/>
      <c r="O2535" s="112"/>
      <c r="P2535" s="111"/>
      <c r="Q2535" s="111"/>
      <c r="R2535" s="111"/>
      <c r="S2535" s="111"/>
      <c r="T2535" s="111"/>
      <c r="U2535" s="111"/>
      <c r="V2535" s="111"/>
      <c r="W2535" s="111"/>
      <c r="X2535" s="111"/>
      <c r="Y2535" s="111"/>
      <c r="Z2535" s="111"/>
      <c r="AA2535" s="111"/>
      <c r="AB2535" s="111"/>
      <c r="AC2535" s="111"/>
      <c r="AD2535" s="111"/>
      <c r="AE2535" s="111"/>
      <c r="AF2535" s="111"/>
      <c r="AG2535" s="111"/>
      <c r="AH2535" s="111"/>
    </row>
    <row r="2536">
      <c r="A2536" s="89"/>
      <c r="B2536" s="111"/>
      <c r="C2536" s="111"/>
      <c r="D2536" s="111"/>
      <c r="E2536" s="91"/>
      <c r="F2536" s="111"/>
      <c r="G2536" s="111"/>
      <c r="H2536" s="111"/>
      <c r="I2536" s="111"/>
      <c r="J2536" s="111"/>
      <c r="K2536" s="92"/>
      <c r="L2536" s="111"/>
      <c r="M2536" s="111"/>
      <c r="N2536" s="111"/>
      <c r="O2536" s="112"/>
      <c r="P2536" s="111"/>
      <c r="Q2536" s="111"/>
      <c r="R2536" s="111"/>
      <c r="S2536" s="111"/>
      <c r="T2536" s="111"/>
      <c r="U2536" s="111"/>
      <c r="V2536" s="111"/>
      <c r="W2536" s="111"/>
      <c r="X2536" s="111"/>
      <c r="Y2536" s="111"/>
      <c r="Z2536" s="111"/>
      <c r="AA2536" s="111"/>
      <c r="AB2536" s="111"/>
      <c r="AC2536" s="111"/>
      <c r="AD2536" s="111"/>
      <c r="AE2536" s="111"/>
      <c r="AF2536" s="111"/>
      <c r="AG2536" s="111"/>
      <c r="AH2536" s="111"/>
    </row>
    <row r="2537">
      <c r="A2537" s="89"/>
      <c r="B2537" s="111"/>
      <c r="C2537" s="111"/>
      <c r="D2537" s="111"/>
      <c r="E2537" s="91"/>
      <c r="F2537" s="111"/>
      <c r="G2537" s="111"/>
      <c r="H2537" s="111"/>
      <c r="I2537" s="111"/>
      <c r="J2537" s="111"/>
      <c r="K2537" s="92"/>
      <c r="L2537" s="111"/>
      <c r="M2537" s="111"/>
      <c r="N2537" s="111"/>
      <c r="O2537" s="112"/>
      <c r="P2537" s="111"/>
      <c r="Q2537" s="111"/>
      <c r="R2537" s="111"/>
      <c r="S2537" s="111"/>
      <c r="T2537" s="111"/>
      <c r="U2537" s="111"/>
      <c r="V2537" s="111"/>
      <c r="W2537" s="111"/>
      <c r="X2537" s="111"/>
      <c r="Y2537" s="111"/>
      <c r="Z2537" s="111"/>
      <c r="AA2537" s="111"/>
      <c r="AB2537" s="111"/>
      <c r="AC2537" s="111"/>
      <c r="AD2537" s="111"/>
      <c r="AE2537" s="111"/>
      <c r="AF2537" s="111"/>
      <c r="AG2537" s="111"/>
      <c r="AH2537" s="111"/>
    </row>
    <row r="2538">
      <c r="A2538" s="89"/>
      <c r="B2538" s="111"/>
      <c r="C2538" s="111"/>
      <c r="D2538" s="111"/>
      <c r="E2538" s="91"/>
      <c r="F2538" s="111"/>
      <c r="G2538" s="111"/>
      <c r="H2538" s="111"/>
      <c r="I2538" s="111"/>
      <c r="J2538" s="111"/>
      <c r="K2538" s="92"/>
      <c r="L2538" s="111"/>
      <c r="M2538" s="111"/>
      <c r="N2538" s="111"/>
      <c r="O2538" s="112"/>
      <c r="P2538" s="111"/>
      <c r="Q2538" s="111"/>
      <c r="R2538" s="111"/>
      <c r="S2538" s="111"/>
      <c r="T2538" s="111"/>
      <c r="U2538" s="111"/>
      <c r="V2538" s="111"/>
      <c r="W2538" s="111"/>
      <c r="X2538" s="111"/>
      <c r="Y2538" s="111"/>
      <c r="Z2538" s="111"/>
      <c r="AA2538" s="111"/>
      <c r="AB2538" s="111"/>
      <c r="AC2538" s="111"/>
      <c r="AD2538" s="111"/>
      <c r="AE2538" s="111"/>
      <c r="AF2538" s="111"/>
      <c r="AG2538" s="111"/>
      <c r="AH2538" s="111"/>
    </row>
    <row r="2539">
      <c r="A2539" s="89"/>
      <c r="B2539" s="111"/>
      <c r="C2539" s="111"/>
      <c r="D2539" s="111"/>
      <c r="E2539" s="91"/>
      <c r="F2539" s="111"/>
      <c r="G2539" s="111"/>
      <c r="H2539" s="111"/>
      <c r="I2539" s="111"/>
      <c r="J2539" s="111"/>
      <c r="K2539" s="92"/>
      <c r="L2539" s="111"/>
      <c r="M2539" s="111"/>
      <c r="N2539" s="111"/>
      <c r="O2539" s="112"/>
      <c r="P2539" s="111"/>
      <c r="Q2539" s="111"/>
      <c r="R2539" s="111"/>
      <c r="S2539" s="111"/>
      <c r="T2539" s="111"/>
      <c r="U2539" s="111"/>
      <c r="V2539" s="111"/>
      <c r="W2539" s="111"/>
      <c r="X2539" s="111"/>
      <c r="Y2539" s="111"/>
      <c r="Z2539" s="111"/>
      <c r="AA2539" s="111"/>
      <c r="AB2539" s="111"/>
      <c r="AC2539" s="111"/>
      <c r="AD2539" s="111"/>
      <c r="AE2539" s="111"/>
      <c r="AF2539" s="111"/>
      <c r="AG2539" s="111"/>
      <c r="AH2539" s="111"/>
    </row>
    <row r="2540">
      <c r="A2540" s="89"/>
      <c r="B2540" s="111"/>
      <c r="C2540" s="111"/>
      <c r="D2540" s="111"/>
      <c r="E2540" s="91"/>
      <c r="F2540" s="111"/>
      <c r="G2540" s="111"/>
      <c r="H2540" s="111"/>
      <c r="I2540" s="111"/>
      <c r="J2540" s="111"/>
      <c r="K2540" s="92"/>
      <c r="L2540" s="111"/>
      <c r="M2540" s="111"/>
      <c r="N2540" s="111"/>
      <c r="O2540" s="112"/>
      <c r="P2540" s="111"/>
      <c r="Q2540" s="111"/>
      <c r="R2540" s="111"/>
      <c r="S2540" s="111"/>
      <c r="T2540" s="111"/>
      <c r="U2540" s="111"/>
      <c r="V2540" s="111"/>
      <c r="W2540" s="111"/>
      <c r="X2540" s="111"/>
      <c r="Y2540" s="111"/>
      <c r="Z2540" s="111"/>
      <c r="AA2540" s="111"/>
      <c r="AB2540" s="111"/>
      <c r="AC2540" s="111"/>
      <c r="AD2540" s="111"/>
      <c r="AE2540" s="111"/>
      <c r="AF2540" s="111"/>
      <c r="AG2540" s="111"/>
      <c r="AH2540" s="111"/>
    </row>
    <row r="2541">
      <c r="A2541" s="89"/>
      <c r="B2541" s="111"/>
      <c r="C2541" s="111"/>
      <c r="D2541" s="111"/>
      <c r="E2541" s="91"/>
      <c r="F2541" s="111"/>
      <c r="G2541" s="111"/>
      <c r="H2541" s="111"/>
      <c r="I2541" s="111"/>
      <c r="J2541" s="111"/>
      <c r="K2541" s="92"/>
      <c r="L2541" s="111"/>
      <c r="M2541" s="111"/>
      <c r="N2541" s="111"/>
      <c r="O2541" s="112"/>
      <c r="P2541" s="111"/>
      <c r="Q2541" s="111"/>
      <c r="R2541" s="111"/>
      <c r="S2541" s="111"/>
      <c r="T2541" s="111"/>
      <c r="U2541" s="111"/>
      <c r="V2541" s="111"/>
      <c r="W2541" s="111"/>
      <c r="X2541" s="111"/>
      <c r="Y2541" s="111"/>
      <c r="Z2541" s="111"/>
      <c r="AA2541" s="111"/>
      <c r="AB2541" s="111"/>
      <c r="AC2541" s="111"/>
      <c r="AD2541" s="111"/>
      <c r="AE2541" s="111"/>
      <c r="AF2541" s="111"/>
      <c r="AG2541" s="111"/>
      <c r="AH2541" s="111"/>
    </row>
    <row r="2542">
      <c r="A2542" s="89"/>
      <c r="B2542" s="111"/>
      <c r="C2542" s="111"/>
      <c r="D2542" s="111"/>
      <c r="E2542" s="91"/>
      <c r="F2542" s="111"/>
      <c r="G2542" s="111"/>
      <c r="H2542" s="111"/>
      <c r="I2542" s="111"/>
      <c r="J2542" s="111"/>
      <c r="K2542" s="92"/>
      <c r="L2542" s="111"/>
      <c r="M2542" s="111"/>
      <c r="N2542" s="111"/>
      <c r="O2542" s="112"/>
      <c r="P2542" s="111"/>
      <c r="Q2542" s="111"/>
      <c r="R2542" s="111"/>
      <c r="S2542" s="111"/>
      <c r="T2542" s="111"/>
      <c r="U2542" s="111"/>
      <c r="V2542" s="111"/>
      <c r="W2542" s="111"/>
      <c r="X2542" s="111"/>
      <c r="Y2542" s="111"/>
      <c r="Z2542" s="111"/>
      <c r="AA2542" s="111"/>
      <c r="AB2542" s="111"/>
      <c r="AC2542" s="111"/>
      <c r="AD2542" s="111"/>
      <c r="AE2542" s="111"/>
      <c r="AF2542" s="111"/>
      <c r="AG2542" s="111"/>
      <c r="AH2542" s="111"/>
    </row>
    <row r="2543">
      <c r="A2543" s="89"/>
      <c r="B2543" s="111"/>
      <c r="C2543" s="111"/>
      <c r="D2543" s="111"/>
      <c r="E2543" s="91"/>
      <c r="F2543" s="111"/>
      <c r="G2543" s="111"/>
      <c r="H2543" s="111"/>
      <c r="I2543" s="111"/>
      <c r="J2543" s="111"/>
      <c r="K2543" s="92"/>
      <c r="L2543" s="111"/>
      <c r="M2543" s="111"/>
      <c r="N2543" s="111"/>
      <c r="O2543" s="112"/>
      <c r="P2543" s="111"/>
      <c r="Q2543" s="111"/>
      <c r="R2543" s="111"/>
      <c r="S2543" s="111"/>
      <c r="T2543" s="111"/>
      <c r="U2543" s="111"/>
      <c r="V2543" s="111"/>
      <c r="W2543" s="111"/>
      <c r="X2543" s="111"/>
      <c r="Y2543" s="111"/>
      <c r="Z2543" s="111"/>
      <c r="AA2543" s="111"/>
      <c r="AB2543" s="111"/>
      <c r="AC2543" s="111"/>
      <c r="AD2543" s="111"/>
      <c r="AE2543" s="111"/>
      <c r="AF2543" s="111"/>
      <c r="AG2543" s="111"/>
      <c r="AH2543" s="111"/>
    </row>
    <row r="2544">
      <c r="A2544" s="89"/>
      <c r="B2544" s="111"/>
      <c r="C2544" s="111"/>
      <c r="D2544" s="111"/>
      <c r="E2544" s="91"/>
      <c r="F2544" s="111"/>
      <c r="G2544" s="111"/>
      <c r="H2544" s="111"/>
      <c r="I2544" s="111"/>
      <c r="J2544" s="111"/>
      <c r="K2544" s="92"/>
      <c r="L2544" s="111"/>
      <c r="M2544" s="111"/>
      <c r="N2544" s="111"/>
      <c r="O2544" s="112"/>
      <c r="P2544" s="111"/>
      <c r="Q2544" s="111"/>
      <c r="R2544" s="111"/>
      <c r="S2544" s="111"/>
      <c r="T2544" s="111"/>
      <c r="U2544" s="111"/>
      <c r="V2544" s="111"/>
      <c r="W2544" s="111"/>
      <c r="X2544" s="111"/>
      <c r="Y2544" s="111"/>
      <c r="Z2544" s="111"/>
      <c r="AA2544" s="111"/>
      <c r="AB2544" s="111"/>
      <c r="AC2544" s="111"/>
      <c r="AD2544" s="111"/>
      <c r="AE2544" s="111"/>
      <c r="AF2544" s="111"/>
      <c r="AG2544" s="111"/>
      <c r="AH2544" s="111"/>
    </row>
    <row r="2545">
      <c r="A2545" s="89"/>
      <c r="B2545" s="111"/>
      <c r="C2545" s="111"/>
      <c r="D2545" s="111"/>
      <c r="E2545" s="91"/>
      <c r="F2545" s="111"/>
      <c r="G2545" s="111"/>
      <c r="H2545" s="111"/>
      <c r="I2545" s="111"/>
      <c r="J2545" s="111"/>
      <c r="K2545" s="92"/>
      <c r="L2545" s="111"/>
      <c r="M2545" s="111"/>
      <c r="N2545" s="111"/>
      <c r="O2545" s="112"/>
      <c r="P2545" s="111"/>
      <c r="Q2545" s="111"/>
      <c r="R2545" s="111"/>
      <c r="S2545" s="111"/>
      <c r="T2545" s="111"/>
      <c r="U2545" s="111"/>
      <c r="V2545" s="111"/>
      <c r="W2545" s="111"/>
      <c r="X2545" s="111"/>
      <c r="Y2545" s="111"/>
      <c r="Z2545" s="111"/>
      <c r="AA2545" s="111"/>
      <c r="AB2545" s="111"/>
      <c r="AC2545" s="111"/>
      <c r="AD2545" s="111"/>
      <c r="AE2545" s="111"/>
      <c r="AF2545" s="111"/>
      <c r="AG2545" s="111"/>
      <c r="AH2545" s="111"/>
    </row>
    <row r="2546">
      <c r="A2546" s="89"/>
      <c r="B2546" s="111"/>
      <c r="C2546" s="111"/>
      <c r="D2546" s="111"/>
      <c r="E2546" s="91"/>
      <c r="F2546" s="111"/>
      <c r="G2546" s="111"/>
      <c r="H2546" s="111"/>
      <c r="I2546" s="111"/>
      <c r="J2546" s="111"/>
      <c r="K2546" s="92"/>
      <c r="L2546" s="111"/>
      <c r="M2546" s="111"/>
      <c r="N2546" s="111"/>
      <c r="O2546" s="112"/>
      <c r="P2546" s="111"/>
      <c r="Q2546" s="111"/>
      <c r="R2546" s="111"/>
      <c r="S2546" s="111"/>
      <c r="T2546" s="111"/>
      <c r="U2546" s="111"/>
      <c r="V2546" s="111"/>
      <c r="W2546" s="111"/>
      <c r="X2546" s="111"/>
      <c r="Y2546" s="111"/>
      <c r="Z2546" s="111"/>
      <c r="AA2546" s="111"/>
      <c r="AB2546" s="111"/>
      <c r="AC2546" s="111"/>
      <c r="AD2546" s="111"/>
      <c r="AE2546" s="111"/>
      <c r="AF2546" s="111"/>
      <c r="AG2546" s="111"/>
      <c r="AH2546" s="111"/>
    </row>
    <row r="2547">
      <c r="A2547" s="89"/>
      <c r="B2547" s="111"/>
      <c r="C2547" s="111"/>
      <c r="D2547" s="111"/>
      <c r="E2547" s="91"/>
      <c r="F2547" s="111"/>
      <c r="G2547" s="111"/>
      <c r="H2547" s="111"/>
      <c r="I2547" s="111"/>
      <c r="J2547" s="111"/>
      <c r="K2547" s="92"/>
      <c r="L2547" s="111"/>
      <c r="M2547" s="111"/>
      <c r="N2547" s="111"/>
      <c r="O2547" s="112"/>
      <c r="P2547" s="111"/>
      <c r="Q2547" s="111"/>
      <c r="R2547" s="111"/>
      <c r="S2547" s="111"/>
      <c r="T2547" s="111"/>
      <c r="U2547" s="111"/>
      <c r="V2547" s="111"/>
      <c r="W2547" s="111"/>
      <c r="X2547" s="111"/>
      <c r="Y2547" s="111"/>
      <c r="Z2547" s="111"/>
      <c r="AA2547" s="111"/>
      <c r="AB2547" s="111"/>
      <c r="AC2547" s="111"/>
      <c r="AD2547" s="111"/>
      <c r="AE2547" s="111"/>
      <c r="AF2547" s="111"/>
      <c r="AG2547" s="111"/>
      <c r="AH2547" s="111"/>
    </row>
    <row r="2548">
      <c r="A2548" s="89"/>
      <c r="B2548" s="111"/>
      <c r="C2548" s="111"/>
      <c r="D2548" s="111"/>
      <c r="E2548" s="91"/>
      <c r="F2548" s="111"/>
      <c r="G2548" s="111"/>
      <c r="H2548" s="111"/>
      <c r="I2548" s="111"/>
      <c r="J2548" s="111"/>
      <c r="K2548" s="92"/>
      <c r="L2548" s="111"/>
      <c r="M2548" s="111"/>
      <c r="N2548" s="111"/>
      <c r="O2548" s="112"/>
      <c r="P2548" s="111"/>
      <c r="Q2548" s="111"/>
      <c r="R2548" s="111"/>
      <c r="S2548" s="111"/>
      <c r="T2548" s="111"/>
      <c r="U2548" s="111"/>
      <c r="V2548" s="111"/>
      <c r="W2548" s="111"/>
      <c r="X2548" s="111"/>
      <c r="Y2548" s="111"/>
      <c r="Z2548" s="111"/>
      <c r="AA2548" s="111"/>
      <c r="AB2548" s="111"/>
      <c r="AC2548" s="111"/>
      <c r="AD2548" s="111"/>
      <c r="AE2548" s="111"/>
      <c r="AF2548" s="111"/>
      <c r="AG2548" s="111"/>
      <c r="AH2548" s="111"/>
    </row>
    <row r="2549">
      <c r="A2549" s="89"/>
      <c r="B2549" s="111"/>
      <c r="C2549" s="111"/>
      <c r="D2549" s="111"/>
      <c r="E2549" s="91"/>
      <c r="F2549" s="111"/>
      <c r="G2549" s="111"/>
      <c r="H2549" s="111"/>
      <c r="I2549" s="111"/>
      <c r="J2549" s="111"/>
      <c r="K2549" s="92"/>
      <c r="L2549" s="111"/>
      <c r="M2549" s="111"/>
      <c r="N2549" s="111"/>
      <c r="O2549" s="112"/>
      <c r="P2549" s="111"/>
      <c r="Q2549" s="111"/>
      <c r="R2549" s="111"/>
      <c r="S2549" s="111"/>
      <c r="T2549" s="111"/>
      <c r="U2549" s="111"/>
      <c r="V2549" s="111"/>
      <c r="W2549" s="111"/>
      <c r="X2549" s="111"/>
      <c r="Y2549" s="111"/>
      <c r="Z2549" s="111"/>
      <c r="AA2549" s="111"/>
      <c r="AB2549" s="111"/>
      <c r="AC2549" s="111"/>
      <c r="AD2549" s="111"/>
      <c r="AE2549" s="111"/>
      <c r="AF2549" s="111"/>
      <c r="AG2549" s="111"/>
      <c r="AH2549" s="111"/>
    </row>
    <row r="2550">
      <c r="A2550" s="89"/>
      <c r="B2550" s="111"/>
      <c r="C2550" s="111"/>
      <c r="D2550" s="111"/>
      <c r="E2550" s="91"/>
      <c r="F2550" s="111"/>
      <c r="G2550" s="111"/>
      <c r="H2550" s="111"/>
      <c r="I2550" s="111"/>
      <c r="J2550" s="111"/>
      <c r="K2550" s="92"/>
      <c r="L2550" s="111"/>
      <c r="M2550" s="111"/>
      <c r="N2550" s="111"/>
      <c r="O2550" s="112"/>
      <c r="P2550" s="111"/>
      <c r="Q2550" s="111"/>
      <c r="R2550" s="111"/>
      <c r="S2550" s="111"/>
      <c r="T2550" s="111"/>
      <c r="U2550" s="111"/>
      <c r="V2550" s="111"/>
      <c r="W2550" s="111"/>
      <c r="X2550" s="111"/>
      <c r="Y2550" s="111"/>
      <c r="Z2550" s="111"/>
      <c r="AA2550" s="111"/>
      <c r="AB2550" s="111"/>
      <c r="AC2550" s="111"/>
      <c r="AD2550" s="111"/>
      <c r="AE2550" s="111"/>
      <c r="AF2550" s="111"/>
      <c r="AG2550" s="111"/>
      <c r="AH2550" s="111"/>
    </row>
    <row r="2551">
      <c r="A2551" s="89"/>
      <c r="B2551" s="111"/>
      <c r="C2551" s="111"/>
      <c r="D2551" s="111"/>
      <c r="E2551" s="91"/>
      <c r="F2551" s="111"/>
      <c r="G2551" s="111"/>
      <c r="H2551" s="111"/>
      <c r="I2551" s="111"/>
      <c r="J2551" s="111"/>
      <c r="K2551" s="92"/>
      <c r="L2551" s="111"/>
      <c r="M2551" s="111"/>
      <c r="N2551" s="111"/>
      <c r="O2551" s="112"/>
      <c r="P2551" s="111"/>
      <c r="Q2551" s="111"/>
      <c r="R2551" s="111"/>
      <c r="S2551" s="111"/>
      <c r="T2551" s="111"/>
      <c r="U2551" s="111"/>
      <c r="V2551" s="111"/>
      <c r="W2551" s="111"/>
      <c r="X2551" s="111"/>
      <c r="Y2551" s="111"/>
      <c r="Z2551" s="111"/>
      <c r="AA2551" s="111"/>
      <c r="AB2551" s="111"/>
      <c r="AC2551" s="111"/>
      <c r="AD2551" s="111"/>
      <c r="AE2551" s="111"/>
      <c r="AF2551" s="111"/>
      <c r="AG2551" s="111"/>
      <c r="AH2551" s="111"/>
    </row>
    <row r="2552">
      <c r="A2552" s="89"/>
      <c r="B2552" s="111"/>
      <c r="C2552" s="111"/>
      <c r="D2552" s="111"/>
      <c r="E2552" s="91"/>
      <c r="F2552" s="111"/>
      <c r="G2552" s="111"/>
      <c r="H2552" s="111"/>
      <c r="I2552" s="111"/>
      <c r="J2552" s="111"/>
      <c r="K2552" s="92"/>
      <c r="L2552" s="111"/>
      <c r="M2552" s="111"/>
      <c r="N2552" s="111"/>
      <c r="O2552" s="112"/>
      <c r="P2552" s="111"/>
      <c r="Q2552" s="111"/>
      <c r="R2552" s="111"/>
      <c r="S2552" s="111"/>
      <c r="T2552" s="111"/>
      <c r="U2552" s="111"/>
      <c r="V2552" s="111"/>
      <c r="W2552" s="111"/>
      <c r="X2552" s="111"/>
      <c r="Y2552" s="111"/>
      <c r="Z2552" s="111"/>
      <c r="AA2552" s="111"/>
      <c r="AB2552" s="111"/>
      <c r="AC2552" s="111"/>
      <c r="AD2552" s="111"/>
      <c r="AE2552" s="111"/>
      <c r="AF2552" s="111"/>
      <c r="AG2552" s="111"/>
      <c r="AH2552" s="111"/>
    </row>
    <row r="2553">
      <c r="A2553" s="89"/>
      <c r="B2553" s="111"/>
      <c r="C2553" s="111"/>
      <c r="D2553" s="111"/>
      <c r="E2553" s="91"/>
      <c r="F2553" s="111"/>
      <c r="G2553" s="111"/>
      <c r="H2553" s="111"/>
      <c r="I2553" s="111"/>
      <c r="J2553" s="111"/>
      <c r="K2553" s="92"/>
      <c r="L2553" s="111"/>
      <c r="M2553" s="111"/>
      <c r="N2553" s="111"/>
      <c r="O2553" s="112"/>
      <c r="P2553" s="111"/>
      <c r="Q2553" s="111"/>
      <c r="R2553" s="111"/>
      <c r="S2553" s="111"/>
      <c r="T2553" s="111"/>
      <c r="U2553" s="111"/>
      <c r="V2553" s="111"/>
      <c r="W2553" s="111"/>
      <c r="X2553" s="111"/>
      <c r="Y2553" s="111"/>
      <c r="Z2553" s="111"/>
      <c r="AA2553" s="111"/>
      <c r="AB2553" s="111"/>
      <c r="AC2553" s="111"/>
      <c r="AD2553" s="111"/>
      <c r="AE2553" s="111"/>
      <c r="AF2553" s="111"/>
      <c r="AG2553" s="111"/>
      <c r="AH2553" s="111"/>
    </row>
    <row r="2554">
      <c r="A2554" s="89"/>
      <c r="B2554" s="111"/>
      <c r="C2554" s="111"/>
      <c r="D2554" s="111"/>
      <c r="E2554" s="91"/>
      <c r="F2554" s="111"/>
      <c r="G2554" s="111"/>
      <c r="H2554" s="111"/>
      <c r="I2554" s="111"/>
      <c r="J2554" s="111"/>
      <c r="K2554" s="92"/>
      <c r="L2554" s="111"/>
      <c r="M2554" s="111"/>
      <c r="N2554" s="111"/>
      <c r="O2554" s="112"/>
      <c r="P2554" s="111"/>
      <c r="Q2554" s="111"/>
      <c r="R2554" s="111"/>
      <c r="S2554" s="111"/>
      <c r="T2554" s="111"/>
      <c r="U2554" s="111"/>
      <c r="V2554" s="111"/>
      <c r="W2554" s="111"/>
      <c r="X2554" s="111"/>
      <c r="Y2554" s="111"/>
      <c r="Z2554" s="111"/>
      <c r="AA2554" s="111"/>
      <c r="AB2554" s="111"/>
      <c r="AC2554" s="111"/>
      <c r="AD2554" s="111"/>
      <c r="AE2554" s="111"/>
      <c r="AF2554" s="111"/>
      <c r="AG2554" s="111"/>
      <c r="AH2554" s="111"/>
    </row>
    <row r="2555">
      <c r="A2555" s="89"/>
      <c r="B2555" s="111"/>
      <c r="C2555" s="111"/>
      <c r="D2555" s="111"/>
      <c r="E2555" s="91"/>
      <c r="F2555" s="111"/>
      <c r="G2555" s="111"/>
      <c r="H2555" s="111"/>
      <c r="I2555" s="111"/>
      <c r="J2555" s="111"/>
      <c r="K2555" s="92"/>
      <c r="L2555" s="111"/>
      <c r="M2555" s="111"/>
      <c r="N2555" s="111"/>
      <c r="O2555" s="112"/>
      <c r="P2555" s="111"/>
      <c r="Q2555" s="111"/>
      <c r="R2555" s="111"/>
      <c r="S2555" s="111"/>
      <c r="T2555" s="111"/>
      <c r="U2555" s="111"/>
      <c r="V2555" s="111"/>
      <c r="W2555" s="111"/>
      <c r="X2555" s="111"/>
      <c r="Y2555" s="111"/>
      <c r="Z2555" s="111"/>
      <c r="AA2555" s="111"/>
      <c r="AB2555" s="111"/>
      <c r="AC2555" s="111"/>
      <c r="AD2555" s="111"/>
      <c r="AE2555" s="111"/>
      <c r="AF2555" s="111"/>
      <c r="AG2555" s="111"/>
      <c r="AH2555" s="111"/>
    </row>
    <row r="2556">
      <c r="A2556" s="89"/>
      <c r="B2556" s="111"/>
      <c r="C2556" s="111"/>
      <c r="D2556" s="111"/>
      <c r="E2556" s="91"/>
      <c r="F2556" s="111"/>
      <c r="G2556" s="111"/>
      <c r="H2556" s="111"/>
      <c r="I2556" s="111"/>
      <c r="J2556" s="111"/>
      <c r="K2556" s="92"/>
      <c r="L2556" s="111"/>
      <c r="M2556" s="111"/>
      <c r="N2556" s="111"/>
      <c r="O2556" s="112"/>
      <c r="P2556" s="111"/>
      <c r="Q2556" s="111"/>
      <c r="R2556" s="111"/>
      <c r="S2556" s="111"/>
      <c r="T2556" s="111"/>
      <c r="U2556" s="111"/>
      <c r="V2556" s="111"/>
      <c r="W2556" s="111"/>
      <c r="X2556" s="111"/>
      <c r="Y2556" s="111"/>
      <c r="Z2556" s="111"/>
      <c r="AA2556" s="111"/>
      <c r="AB2556" s="111"/>
      <c r="AC2556" s="111"/>
      <c r="AD2556" s="111"/>
      <c r="AE2556" s="111"/>
      <c r="AF2556" s="111"/>
      <c r="AG2556" s="111"/>
      <c r="AH2556" s="111"/>
    </row>
    <row r="2557">
      <c r="A2557" s="89"/>
      <c r="B2557" s="111"/>
      <c r="C2557" s="111"/>
      <c r="D2557" s="111"/>
      <c r="E2557" s="91"/>
      <c r="F2557" s="111"/>
      <c r="G2557" s="111"/>
      <c r="H2557" s="111"/>
      <c r="I2557" s="111"/>
      <c r="J2557" s="111"/>
      <c r="K2557" s="92"/>
      <c r="L2557" s="111"/>
      <c r="M2557" s="111"/>
      <c r="N2557" s="111"/>
      <c r="O2557" s="112"/>
      <c r="P2557" s="111"/>
      <c r="Q2557" s="111"/>
      <c r="R2557" s="111"/>
      <c r="S2557" s="111"/>
      <c r="T2557" s="111"/>
      <c r="U2557" s="111"/>
      <c r="V2557" s="111"/>
      <c r="W2557" s="111"/>
      <c r="X2557" s="111"/>
      <c r="Y2557" s="111"/>
      <c r="Z2557" s="111"/>
      <c r="AA2557" s="111"/>
      <c r="AB2557" s="111"/>
      <c r="AC2557" s="111"/>
      <c r="AD2557" s="111"/>
      <c r="AE2557" s="111"/>
      <c r="AF2557" s="111"/>
      <c r="AG2557" s="111"/>
      <c r="AH2557" s="111"/>
    </row>
    <row r="2558">
      <c r="A2558" s="89"/>
      <c r="B2558" s="111"/>
      <c r="C2558" s="111"/>
      <c r="D2558" s="111"/>
      <c r="E2558" s="91"/>
      <c r="F2558" s="111"/>
      <c r="G2558" s="111"/>
      <c r="H2558" s="111"/>
      <c r="I2558" s="111"/>
      <c r="J2558" s="111"/>
      <c r="K2558" s="92"/>
      <c r="L2558" s="111"/>
      <c r="M2558" s="111"/>
      <c r="N2558" s="111"/>
      <c r="O2558" s="112"/>
      <c r="P2558" s="111"/>
      <c r="Q2558" s="111"/>
      <c r="R2558" s="111"/>
      <c r="S2558" s="111"/>
      <c r="T2558" s="111"/>
      <c r="U2558" s="111"/>
      <c r="V2558" s="111"/>
      <c r="W2558" s="111"/>
      <c r="X2558" s="111"/>
      <c r="Y2558" s="111"/>
      <c r="Z2558" s="111"/>
      <c r="AA2558" s="111"/>
      <c r="AB2558" s="111"/>
      <c r="AC2558" s="111"/>
      <c r="AD2558" s="111"/>
      <c r="AE2558" s="111"/>
      <c r="AF2558" s="111"/>
      <c r="AG2558" s="111"/>
      <c r="AH2558" s="111"/>
    </row>
    <row r="2559">
      <c r="A2559" s="89"/>
      <c r="B2559" s="111"/>
      <c r="C2559" s="111"/>
      <c r="D2559" s="111"/>
      <c r="E2559" s="91"/>
      <c r="F2559" s="111"/>
      <c r="G2559" s="111"/>
      <c r="H2559" s="111"/>
      <c r="I2559" s="111"/>
      <c r="J2559" s="111"/>
      <c r="K2559" s="92"/>
      <c r="L2559" s="111"/>
      <c r="M2559" s="111"/>
      <c r="N2559" s="111"/>
      <c r="O2559" s="112"/>
      <c r="P2559" s="111"/>
      <c r="Q2559" s="111"/>
      <c r="R2559" s="111"/>
      <c r="S2559" s="111"/>
      <c r="T2559" s="111"/>
      <c r="U2559" s="111"/>
      <c r="V2559" s="111"/>
      <c r="W2559" s="111"/>
      <c r="X2559" s="111"/>
      <c r="Y2559" s="111"/>
      <c r="Z2559" s="111"/>
      <c r="AA2559" s="111"/>
      <c r="AB2559" s="111"/>
      <c r="AC2559" s="111"/>
      <c r="AD2559" s="111"/>
      <c r="AE2559" s="111"/>
      <c r="AF2559" s="111"/>
      <c r="AG2559" s="111"/>
      <c r="AH2559" s="111"/>
    </row>
    <row r="2560">
      <c r="A2560" s="89"/>
      <c r="B2560" s="111"/>
      <c r="C2560" s="111"/>
      <c r="D2560" s="111"/>
      <c r="E2560" s="91"/>
      <c r="F2560" s="111"/>
      <c r="G2560" s="111"/>
      <c r="H2560" s="111"/>
      <c r="I2560" s="111"/>
      <c r="J2560" s="111"/>
      <c r="K2560" s="92"/>
      <c r="L2560" s="111"/>
      <c r="M2560" s="111"/>
      <c r="N2560" s="111"/>
      <c r="O2560" s="112"/>
      <c r="P2560" s="111"/>
      <c r="Q2560" s="111"/>
      <c r="R2560" s="111"/>
      <c r="S2560" s="111"/>
      <c r="T2560" s="111"/>
      <c r="U2560" s="111"/>
      <c r="V2560" s="111"/>
      <c r="W2560" s="111"/>
      <c r="X2560" s="111"/>
      <c r="Y2560" s="111"/>
      <c r="Z2560" s="111"/>
      <c r="AA2560" s="111"/>
      <c r="AB2560" s="111"/>
      <c r="AC2560" s="111"/>
      <c r="AD2560" s="111"/>
      <c r="AE2560" s="111"/>
      <c r="AF2560" s="111"/>
      <c r="AG2560" s="111"/>
      <c r="AH2560" s="111"/>
    </row>
    <row r="2561">
      <c r="A2561" s="89"/>
      <c r="B2561" s="111"/>
      <c r="C2561" s="111"/>
      <c r="D2561" s="111"/>
      <c r="E2561" s="91"/>
      <c r="F2561" s="111"/>
      <c r="G2561" s="111"/>
      <c r="H2561" s="111"/>
      <c r="I2561" s="111"/>
      <c r="J2561" s="111"/>
      <c r="K2561" s="92"/>
      <c r="L2561" s="111"/>
      <c r="M2561" s="111"/>
      <c r="N2561" s="111"/>
      <c r="O2561" s="112"/>
      <c r="P2561" s="111"/>
      <c r="Q2561" s="111"/>
      <c r="R2561" s="111"/>
      <c r="S2561" s="111"/>
      <c r="T2561" s="111"/>
      <c r="U2561" s="111"/>
      <c r="V2561" s="111"/>
      <c r="W2561" s="111"/>
      <c r="X2561" s="111"/>
      <c r="Y2561" s="111"/>
      <c r="Z2561" s="111"/>
      <c r="AA2561" s="111"/>
      <c r="AB2561" s="111"/>
      <c r="AC2561" s="111"/>
      <c r="AD2561" s="111"/>
      <c r="AE2561" s="111"/>
      <c r="AF2561" s="111"/>
      <c r="AG2561" s="111"/>
      <c r="AH2561" s="111"/>
    </row>
    <row r="2562">
      <c r="A2562" s="89"/>
      <c r="B2562" s="111"/>
      <c r="C2562" s="111"/>
      <c r="D2562" s="111"/>
      <c r="E2562" s="91"/>
      <c r="F2562" s="111"/>
      <c r="G2562" s="111"/>
      <c r="H2562" s="111"/>
      <c r="I2562" s="111"/>
      <c r="J2562" s="111"/>
      <c r="K2562" s="92"/>
      <c r="L2562" s="111"/>
      <c r="M2562" s="111"/>
      <c r="N2562" s="111"/>
      <c r="O2562" s="112"/>
      <c r="P2562" s="111"/>
      <c r="Q2562" s="111"/>
      <c r="R2562" s="111"/>
      <c r="S2562" s="111"/>
      <c r="T2562" s="111"/>
      <c r="U2562" s="111"/>
      <c r="V2562" s="111"/>
      <c r="W2562" s="111"/>
      <c r="X2562" s="111"/>
      <c r="Y2562" s="111"/>
      <c r="Z2562" s="111"/>
      <c r="AA2562" s="111"/>
      <c r="AB2562" s="111"/>
      <c r="AC2562" s="111"/>
      <c r="AD2562" s="111"/>
      <c r="AE2562" s="111"/>
      <c r="AF2562" s="111"/>
      <c r="AG2562" s="111"/>
      <c r="AH2562" s="111"/>
    </row>
    <row r="2563">
      <c r="A2563" s="89"/>
      <c r="B2563" s="111"/>
      <c r="C2563" s="111"/>
      <c r="D2563" s="111"/>
      <c r="E2563" s="91"/>
      <c r="F2563" s="111"/>
      <c r="G2563" s="111"/>
      <c r="H2563" s="111"/>
      <c r="I2563" s="111"/>
      <c r="J2563" s="111"/>
      <c r="K2563" s="92"/>
      <c r="L2563" s="111"/>
      <c r="M2563" s="111"/>
      <c r="N2563" s="111"/>
      <c r="O2563" s="112"/>
      <c r="P2563" s="111"/>
      <c r="Q2563" s="111"/>
      <c r="R2563" s="111"/>
      <c r="S2563" s="111"/>
      <c r="T2563" s="111"/>
      <c r="U2563" s="111"/>
      <c r="V2563" s="111"/>
      <c r="W2563" s="111"/>
      <c r="X2563" s="111"/>
      <c r="Y2563" s="111"/>
      <c r="Z2563" s="111"/>
      <c r="AA2563" s="111"/>
      <c r="AB2563" s="111"/>
      <c r="AC2563" s="111"/>
      <c r="AD2563" s="111"/>
      <c r="AE2563" s="111"/>
      <c r="AF2563" s="111"/>
      <c r="AG2563" s="111"/>
      <c r="AH2563" s="111"/>
    </row>
    <row r="2564">
      <c r="A2564" s="89"/>
      <c r="B2564" s="111"/>
      <c r="C2564" s="111"/>
      <c r="D2564" s="111"/>
      <c r="E2564" s="91"/>
      <c r="F2564" s="111"/>
      <c r="G2564" s="111"/>
      <c r="H2564" s="111"/>
      <c r="I2564" s="111"/>
      <c r="J2564" s="111"/>
      <c r="K2564" s="92"/>
      <c r="L2564" s="111"/>
      <c r="M2564" s="111"/>
      <c r="N2564" s="111"/>
      <c r="O2564" s="112"/>
      <c r="P2564" s="111"/>
      <c r="Q2564" s="111"/>
      <c r="R2564" s="111"/>
      <c r="S2564" s="111"/>
      <c r="T2564" s="111"/>
      <c r="U2564" s="111"/>
      <c r="V2564" s="111"/>
      <c r="W2564" s="111"/>
      <c r="X2564" s="111"/>
      <c r="Y2564" s="111"/>
      <c r="Z2564" s="111"/>
      <c r="AA2564" s="111"/>
      <c r="AB2564" s="111"/>
      <c r="AC2564" s="111"/>
      <c r="AD2564" s="111"/>
      <c r="AE2564" s="111"/>
      <c r="AF2564" s="111"/>
      <c r="AG2564" s="111"/>
      <c r="AH2564" s="111"/>
    </row>
    <row r="2565">
      <c r="A2565" s="89"/>
      <c r="B2565" s="111"/>
      <c r="C2565" s="111"/>
      <c r="D2565" s="111"/>
      <c r="E2565" s="91"/>
      <c r="F2565" s="111"/>
      <c r="G2565" s="111"/>
      <c r="H2565" s="111"/>
      <c r="I2565" s="111"/>
      <c r="J2565" s="111"/>
      <c r="K2565" s="92"/>
      <c r="L2565" s="111"/>
      <c r="M2565" s="111"/>
      <c r="N2565" s="111"/>
      <c r="O2565" s="112"/>
      <c r="P2565" s="111"/>
      <c r="Q2565" s="111"/>
      <c r="R2565" s="111"/>
      <c r="S2565" s="111"/>
      <c r="T2565" s="111"/>
      <c r="U2565" s="111"/>
      <c r="V2565" s="111"/>
      <c r="W2565" s="111"/>
      <c r="X2565" s="111"/>
      <c r="Y2565" s="111"/>
      <c r="Z2565" s="111"/>
      <c r="AA2565" s="111"/>
      <c r="AB2565" s="111"/>
      <c r="AC2565" s="111"/>
      <c r="AD2565" s="111"/>
      <c r="AE2565" s="111"/>
      <c r="AF2565" s="111"/>
      <c r="AG2565" s="111"/>
      <c r="AH2565" s="111"/>
    </row>
    <row r="2566">
      <c r="A2566" s="89"/>
      <c r="B2566" s="111"/>
      <c r="C2566" s="111"/>
      <c r="D2566" s="111"/>
      <c r="E2566" s="91"/>
      <c r="F2566" s="111"/>
      <c r="G2566" s="111"/>
      <c r="H2566" s="111"/>
      <c r="I2566" s="111"/>
      <c r="J2566" s="111"/>
      <c r="K2566" s="92"/>
      <c r="L2566" s="111"/>
      <c r="M2566" s="111"/>
      <c r="N2566" s="111"/>
      <c r="O2566" s="112"/>
      <c r="P2566" s="111"/>
      <c r="Q2566" s="111"/>
      <c r="R2566" s="111"/>
      <c r="S2566" s="111"/>
      <c r="T2566" s="111"/>
      <c r="U2566" s="111"/>
      <c r="V2566" s="111"/>
      <c r="W2566" s="111"/>
      <c r="X2566" s="111"/>
      <c r="Y2566" s="111"/>
      <c r="Z2566" s="111"/>
      <c r="AA2566" s="111"/>
      <c r="AB2566" s="111"/>
      <c r="AC2566" s="111"/>
      <c r="AD2566" s="111"/>
      <c r="AE2566" s="111"/>
      <c r="AF2566" s="111"/>
      <c r="AG2566" s="111"/>
      <c r="AH2566" s="111"/>
    </row>
    <row r="2567">
      <c r="A2567" s="89"/>
      <c r="B2567" s="111"/>
      <c r="C2567" s="111"/>
      <c r="D2567" s="111"/>
      <c r="E2567" s="91"/>
      <c r="F2567" s="111"/>
      <c r="G2567" s="111"/>
      <c r="H2567" s="111"/>
      <c r="I2567" s="111"/>
      <c r="J2567" s="111"/>
      <c r="K2567" s="92"/>
      <c r="L2567" s="111"/>
      <c r="M2567" s="111"/>
      <c r="N2567" s="111"/>
      <c r="O2567" s="112"/>
      <c r="P2567" s="111"/>
      <c r="Q2567" s="111"/>
      <c r="R2567" s="111"/>
      <c r="S2567" s="111"/>
      <c r="T2567" s="111"/>
      <c r="U2567" s="111"/>
      <c r="V2567" s="111"/>
      <c r="W2567" s="111"/>
      <c r="X2567" s="111"/>
      <c r="Y2567" s="111"/>
      <c r="Z2567" s="111"/>
      <c r="AA2567" s="111"/>
      <c r="AB2567" s="111"/>
      <c r="AC2567" s="111"/>
      <c r="AD2567" s="111"/>
      <c r="AE2567" s="111"/>
      <c r="AF2567" s="111"/>
      <c r="AG2567" s="111"/>
      <c r="AH2567" s="111"/>
    </row>
    <row r="2568">
      <c r="A2568" s="89"/>
      <c r="B2568" s="111"/>
      <c r="C2568" s="111"/>
      <c r="D2568" s="111"/>
      <c r="E2568" s="91"/>
      <c r="F2568" s="111"/>
      <c r="G2568" s="111"/>
      <c r="H2568" s="111"/>
      <c r="I2568" s="111"/>
      <c r="J2568" s="111"/>
      <c r="K2568" s="92"/>
      <c r="L2568" s="111"/>
      <c r="M2568" s="111"/>
      <c r="N2568" s="111"/>
      <c r="O2568" s="112"/>
      <c r="P2568" s="111"/>
      <c r="Q2568" s="111"/>
      <c r="R2568" s="111"/>
      <c r="S2568" s="111"/>
      <c r="T2568" s="111"/>
      <c r="U2568" s="111"/>
      <c r="V2568" s="111"/>
      <c r="W2568" s="111"/>
      <c r="X2568" s="111"/>
      <c r="Y2568" s="111"/>
      <c r="Z2568" s="111"/>
      <c r="AA2568" s="111"/>
      <c r="AB2568" s="111"/>
      <c r="AC2568" s="111"/>
      <c r="AD2568" s="111"/>
      <c r="AE2568" s="111"/>
      <c r="AF2568" s="111"/>
      <c r="AG2568" s="111"/>
      <c r="AH2568" s="111"/>
    </row>
    <row r="2569">
      <c r="A2569" s="89"/>
      <c r="B2569" s="111"/>
      <c r="C2569" s="111"/>
      <c r="D2569" s="111"/>
      <c r="E2569" s="91"/>
      <c r="F2569" s="111"/>
      <c r="G2569" s="111"/>
      <c r="H2569" s="111"/>
      <c r="I2569" s="111"/>
      <c r="J2569" s="111"/>
      <c r="K2569" s="92"/>
      <c r="L2569" s="111"/>
      <c r="M2569" s="111"/>
      <c r="N2569" s="111"/>
      <c r="O2569" s="112"/>
      <c r="P2569" s="111"/>
      <c r="Q2569" s="111"/>
      <c r="R2569" s="111"/>
      <c r="S2569" s="111"/>
      <c r="T2569" s="111"/>
      <c r="U2569" s="111"/>
      <c r="V2569" s="111"/>
      <c r="W2569" s="111"/>
      <c r="X2569" s="111"/>
      <c r="Y2569" s="111"/>
      <c r="Z2569" s="111"/>
      <c r="AA2569" s="111"/>
      <c r="AB2569" s="111"/>
      <c r="AC2569" s="111"/>
      <c r="AD2569" s="111"/>
      <c r="AE2569" s="111"/>
      <c r="AF2569" s="111"/>
      <c r="AG2569" s="111"/>
      <c r="AH2569" s="111"/>
    </row>
    <row r="2570">
      <c r="A2570" s="89"/>
      <c r="B2570" s="111"/>
      <c r="C2570" s="111"/>
      <c r="D2570" s="111"/>
      <c r="E2570" s="91"/>
      <c r="F2570" s="111"/>
      <c r="G2570" s="111"/>
      <c r="H2570" s="111"/>
      <c r="I2570" s="111"/>
      <c r="J2570" s="111"/>
      <c r="K2570" s="92"/>
      <c r="L2570" s="111"/>
      <c r="M2570" s="111"/>
      <c r="N2570" s="111"/>
      <c r="O2570" s="112"/>
      <c r="P2570" s="111"/>
      <c r="Q2570" s="111"/>
      <c r="R2570" s="111"/>
      <c r="S2570" s="111"/>
      <c r="T2570" s="111"/>
      <c r="U2570" s="111"/>
      <c r="V2570" s="111"/>
      <c r="W2570" s="111"/>
      <c r="X2570" s="111"/>
      <c r="Y2570" s="111"/>
      <c r="Z2570" s="111"/>
      <c r="AA2570" s="111"/>
      <c r="AB2570" s="111"/>
      <c r="AC2570" s="111"/>
      <c r="AD2570" s="111"/>
      <c r="AE2570" s="111"/>
      <c r="AF2570" s="111"/>
      <c r="AG2570" s="111"/>
      <c r="AH2570" s="111"/>
    </row>
    <row r="2571">
      <c r="A2571" s="89"/>
      <c r="B2571" s="111"/>
      <c r="C2571" s="111"/>
      <c r="D2571" s="111"/>
      <c r="E2571" s="91"/>
      <c r="F2571" s="111"/>
      <c r="G2571" s="111"/>
      <c r="H2571" s="111"/>
      <c r="I2571" s="111"/>
      <c r="J2571" s="111"/>
      <c r="K2571" s="92"/>
      <c r="L2571" s="111"/>
      <c r="M2571" s="111"/>
      <c r="N2571" s="111"/>
      <c r="O2571" s="112"/>
      <c r="P2571" s="111"/>
      <c r="Q2571" s="111"/>
      <c r="R2571" s="111"/>
      <c r="S2571" s="111"/>
      <c r="T2571" s="111"/>
      <c r="U2571" s="111"/>
      <c r="V2571" s="111"/>
      <c r="W2571" s="111"/>
      <c r="X2571" s="111"/>
      <c r="Y2571" s="111"/>
      <c r="Z2571" s="111"/>
      <c r="AA2571" s="111"/>
      <c r="AB2571" s="111"/>
      <c r="AC2571" s="111"/>
      <c r="AD2571" s="111"/>
      <c r="AE2571" s="111"/>
      <c r="AF2571" s="111"/>
      <c r="AG2571" s="111"/>
      <c r="AH2571" s="111"/>
    </row>
    <row r="2572">
      <c r="A2572" s="89"/>
      <c r="B2572" s="111"/>
      <c r="C2572" s="111"/>
      <c r="D2572" s="111"/>
      <c r="E2572" s="91"/>
      <c r="F2572" s="111"/>
      <c r="G2572" s="111"/>
      <c r="H2572" s="111"/>
      <c r="I2572" s="111"/>
      <c r="J2572" s="111"/>
      <c r="K2572" s="92"/>
      <c r="L2572" s="111"/>
      <c r="M2572" s="111"/>
      <c r="N2572" s="111"/>
      <c r="O2572" s="112"/>
      <c r="P2572" s="111"/>
      <c r="Q2572" s="111"/>
      <c r="R2572" s="111"/>
      <c r="S2572" s="111"/>
      <c r="T2572" s="111"/>
      <c r="U2572" s="111"/>
      <c r="V2572" s="111"/>
      <c r="W2572" s="111"/>
      <c r="X2572" s="111"/>
      <c r="Y2572" s="111"/>
      <c r="Z2572" s="111"/>
      <c r="AA2572" s="111"/>
      <c r="AB2572" s="111"/>
      <c r="AC2572" s="111"/>
      <c r="AD2572" s="111"/>
      <c r="AE2572" s="111"/>
      <c r="AF2572" s="111"/>
      <c r="AG2572" s="111"/>
      <c r="AH2572" s="111"/>
    </row>
    <row r="2573">
      <c r="A2573" s="89"/>
      <c r="B2573" s="111"/>
      <c r="C2573" s="111"/>
      <c r="D2573" s="111"/>
      <c r="E2573" s="91"/>
      <c r="F2573" s="111"/>
      <c r="G2573" s="111"/>
      <c r="H2573" s="111"/>
      <c r="I2573" s="111"/>
      <c r="J2573" s="111"/>
      <c r="K2573" s="92"/>
      <c r="L2573" s="111"/>
      <c r="M2573" s="111"/>
      <c r="N2573" s="111"/>
      <c r="O2573" s="112"/>
      <c r="P2573" s="111"/>
      <c r="Q2573" s="111"/>
      <c r="R2573" s="111"/>
      <c r="S2573" s="111"/>
      <c r="T2573" s="111"/>
      <c r="U2573" s="111"/>
      <c r="V2573" s="111"/>
      <c r="W2573" s="111"/>
      <c r="X2573" s="111"/>
      <c r="Y2573" s="111"/>
      <c r="Z2573" s="111"/>
      <c r="AA2573" s="111"/>
      <c r="AB2573" s="111"/>
      <c r="AC2573" s="111"/>
      <c r="AD2573" s="111"/>
      <c r="AE2573" s="111"/>
      <c r="AF2573" s="111"/>
      <c r="AG2573" s="111"/>
      <c r="AH2573" s="111"/>
    </row>
    <row r="2574">
      <c r="A2574" s="89"/>
      <c r="B2574" s="111"/>
      <c r="C2574" s="111"/>
      <c r="D2574" s="111"/>
      <c r="E2574" s="91"/>
      <c r="F2574" s="111"/>
      <c r="G2574" s="111"/>
      <c r="H2574" s="111"/>
      <c r="I2574" s="111"/>
      <c r="J2574" s="111"/>
      <c r="K2574" s="92"/>
      <c r="L2574" s="111"/>
      <c r="M2574" s="111"/>
      <c r="N2574" s="111"/>
      <c r="O2574" s="112"/>
      <c r="P2574" s="111"/>
      <c r="Q2574" s="111"/>
      <c r="R2574" s="111"/>
      <c r="S2574" s="111"/>
      <c r="T2574" s="111"/>
      <c r="U2574" s="111"/>
      <c r="V2574" s="111"/>
      <c r="W2574" s="111"/>
      <c r="X2574" s="111"/>
      <c r="Y2574" s="111"/>
      <c r="Z2574" s="111"/>
      <c r="AA2574" s="111"/>
      <c r="AB2574" s="111"/>
      <c r="AC2574" s="111"/>
      <c r="AD2574" s="111"/>
      <c r="AE2574" s="111"/>
      <c r="AF2574" s="111"/>
      <c r="AG2574" s="111"/>
      <c r="AH2574" s="111"/>
    </row>
    <row r="2575">
      <c r="A2575" s="89"/>
      <c r="B2575" s="111"/>
      <c r="C2575" s="111"/>
      <c r="D2575" s="111"/>
      <c r="E2575" s="91"/>
      <c r="F2575" s="111"/>
      <c r="G2575" s="111"/>
      <c r="H2575" s="111"/>
      <c r="I2575" s="111"/>
      <c r="J2575" s="111"/>
      <c r="K2575" s="92"/>
      <c r="L2575" s="111"/>
      <c r="M2575" s="111"/>
      <c r="N2575" s="111"/>
      <c r="O2575" s="112"/>
      <c r="P2575" s="111"/>
      <c r="Q2575" s="111"/>
      <c r="R2575" s="111"/>
      <c r="S2575" s="111"/>
      <c r="T2575" s="111"/>
      <c r="U2575" s="111"/>
      <c r="V2575" s="111"/>
      <c r="W2575" s="111"/>
      <c r="X2575" s="111"/>
      <c r="Y2575" s="111"/>
      <c r="Z2575" s="111"/>
      <c r="AA2575" s="111"/>
      <c r="AB2575" s="111"/>
      <c r="AC2575" s="111"/>
      <c r="AD2575" s="111"/>
      <c r="AE2575" s="111"/>
      <c r="AF2575" s="111"/>
      <c r="AG2575" s="111"/>
      <c r="AH2575" s="111"/>
    </row>
    <row r="2576">
      <c r="A2576" s="89"/>
      <c r="B2576" s="111"/>
      <c r="C2576" s="111"/>
      <c r="D2576" s="111"/>
      <c r="E2576" s="91"/>
      <c r="F2576" s="111"/>
      <c r="G2576" s="111"/>
      <c r="H2576" s="111"/>
      <c r="I2576" s="111"/>
      <c r="J2576" s="111"/>
      <c r="K2576" s="92"/>
      <c r="L2576" s="111"/>
      <c r="M2576" s="111"/>
      <c r="N2576" s="111"/>
      <c r="O2576" s="112"/>
      <c r="P2576" s="111"/>
      <c r="Q2576" s="111"/>
      <c r="R2576" s="111"/>
      <c r="S2576" s="111"/>
      <c r="T2576" s="111"/>
      <c r="U2576" s="111"/>
      <c r="V2576" s="111"/>
      <c r="W2576" s="111"/>
      <c r="X2576" s="111"/>
      <c r="Y2576" s="111"/>
      <c r="Z2576" s="111"/>
      <c r="AA2576" s="111"/>
      <c r="AB2576" s="111"/>
      <c r="AC2576" s="111"/>
      <c r="AD2576" s="111"/>
      <c r="AE2576" s="111"/>
      <c r="AF2576" s="111"/>
      <c r="AG2576" s="111"/>
      <c r="AH2576" s="111"/>
    </row>
    <row r="2577">
      <c r="A2577" s="89"/>
      <c r="B2577" s="111"/>
      <c r="C2577" s="111"/>
      <c r="D2577" s="111"/>
      <c r="E2577" s="91"/>
      <c r="F2577" s="111"/>
      <c r="G2577" s="111"/>
      <c r="H2577" s="111"/>
      <c r="I2577" s="111"/>
      <c r="J2577" s="111"/>
      <c r="K2577" s="92"/>
      <c r="L2577" s="111"/>
      <c r="M2577" s="111"/>
      <c r="N2577" s="111"/>
      <c r="O2577" s="112"/>
      <c r="P2577" s="111"/>
      <c r="Q2577" s="111"/>
      <c r="R2577" s="111"/>
      <c r="S2577" s="111"/>
      <c r="T2577" s="111"/>
      <c r="U2577" s="111"/>
      <c r="V2577" s="111"/>
      <c r="W2577" s="111"/>
      <c r="X2577" s="111"/>
      <c r="Y2577" s="111"/>
      <c r="Z2577" s="111"/>
      <c r="AA2577" s="111"/>
      <c r="AB2577" s="111"/>
      <c r="AC2577" s="111"/>
      <c r="AD2577" s="111"/>
      <c r="AE2577" s="111"/>
      <c r="AF2577" s="111"/>
      <c r="AG2577" s="111"/>
      <c r="AH2577" s="111"/>
    </row>
    <row r="2578">
      <c r="A2578" s="89"/>
      <c r="B2578" s="111"/>
      <c r="C2578" s="111"/>
      <c r="D2578" s="111"/>
      <c r="E2578" s="91"/>
      <c r="F2578" s="111"/>
      <c r="G2578" s="111"/>
      <c r="H2578" s="111"/>
      <c r="I2578" s="111"/>
      <c r="J2578" s="111"/>
      <c r="K2578" s="92"/>
      <c r="L2578" s="111"/>
      <c r="M2578" s="111"/>
      <c r="N2578" s="111"/>
      <c r="O2578" s="112"/>
      <c r="P2578" s="111"/>
      <c r="Q2578" s="111"/>
      <c r="R2578" s="111"/>
      <c r="S2578" s="111"/>
      <c r="T2578" s="111"/>
      <c r="U2578" s="111"/>
      <c r="V2578" s="111"/>
      <c r="W2578" s="111"/>
      <c r="X2578" s="111"/>
      <c r="Y2578" s="111"/>
      <c r="Z2578" s="111"/>
      <c r="AA2578" s="111"/>
      <c r="AB2578" s="111"/>
      <c r="AC2578" s="111"/>
      <c r="AD2578" s="111"/>
      <c r="AE2578" s="111"/>
      <c r="AF2578" s="111"/>
      <c r="AG2578" s="111"/>
      <c r="AH2578" s="111"/>
    </row>
    <row r="2579">
      <c r="A2579" s="89"/>
      <c r="B2579" s="111"/>
      <c r="C2579" s="111"/>
      <c r="D2579" s="111"/>
      <c r="E2579" s="91"/>
      <c r="F2579" s="111"/>
      <c r="G2579" s="111"/>
      <c r="H2579" s="111"/>
      <c r="I2579" s="111"/>
      <c r="J2579" s="111"/>
      <c r="K2579" s="92"/>
      <c r="L2579" s="111"/>
      <c r="M2579" s="111"/>
      <c r="N2579" s="111"/>
      <c r="O2579" s="112"/>
      <c r="P2579" s="111"/>
      <c r="Q2579" s="111"/>
      <c r="R2579" s="111"/>
      <c r="S2579" s="111"/>
      <c r="T2579" s="111"/>
      <c r="U2579" s="111"/>
      <c r="V2579" s="111"/>
      <c r="W2579" s="111"/>
      <c r="X2579" s="111"/>
      <c r="Y2579" s="111"/>
      <c r="Z2579" s="111"/>
      <c r="AA2579" s="111"/>
      <c r="AB2579" s="111"/>
      <c r="AC2579" s="111"/>
      <c r="AD2579" s="111"/>
      <c r="AE2579" s="111"/>
      <c r="AF2579" s="111"/>
      <c r="AG2579" s="111"/>
      <c r="AH2579" s="111"/>
    </row>
    <row r="2580">
      <c r="A2580" s="89"/>
      <c r="B2580" s="111"/>
      <c r="C2580" s="111"/>
      <c r="D2580" s="111"/>
      <c r="E2580" s="91"/>
      <c r="F2580" s="111"/>
      <c r="G2580" s="111"/>
      <c r="H2580" s="111"/>
      <c r="I2580" s="111"/>
      <c r="J2580" s="111"/>
      <c r="K2580" s="92"/>
      <c r="L2580" s="111"/>
      <c r="M2580" s="111"/>
      <c r="N2580" s="111"/>
      <c r="O2580" s="112"/>
      <c r="P2580" s="111"/>
      <c r="Q2580" s="111"/>
      <c r="R2580" s="111"/>
      <c r="S2580" s="111"/>
      <c r="T2580" s="111"/>
      <c r="U2580" s="111"/>
      <c r="V2580" s="111"/>
      <c r="W2580" s="111"/>
      <c r="X2580" s="111"/>
      <c r="Y2580" s="111"/>
      <c r="Z2580" s="111"/>
      <c r="AA2580" s="111"/>
      <c r="AB2580" s="111"/>
      <c r="AC2580" s="111"/>
      <c r="AD2580" s="111"/>
      <c r="AE2580" s="111"/>
      <c r="AF2580" s="111"/>
      <c r="AG2580" s="111"/>
      <c r="AH2580" s="111"/>
    </row>
    <row r="2581">
      <c r="A2581" s="89"/>
      <c r="B2581" s="111"/>
      <c r="C2581" s="111"/>
      <c r="D2581" s="111"/>
      <c r="E2581" s="91"/>
      <c r="F2581" s="111"/>
      <c r="G2581" s="111"/>
      <c r="H2581" s="111"/>
      <c r="I2581" s="111"/>
      <c r="J2581" s="111"/>
      <c r="K2581" s="92"/>
      <c r="L2581" s="111"/>
      <c r="M2581" s="111"/>
      <c r="N2581" s="111"/>
      <c r="O2581" s="112"/>
      <c r="P2581" s="111"/>
      <c r="Q2581" s="111"/>
      <c r="R2581" s="111"/>
      <c r="S2581" s="111"/>
      <c r="T2581" s="111"/>
      <c r="U2581" s="111"/>
      <c r="V2581" s="111"/>
      <c r="W2581" s="111"/>
      <c r="X2581" s="111"/>
      <c r="Y2581" s="111"/>
      <c r="Z2581" s="111"/>
      <c r="AA2581" s="111"/>
      <c r="AB2581" s="111"/>
      <c r="AC2581" s="111"/>
      <c r="AD2581" s="111"/>
      <c r="AE2581" s="111"/>
      <c r="AF2581" s="111"/>
      <c r="AG2581" s="111"/>
      <c r="AH2581" s="111"/>
    </row>
    <row r="2582">
      <c r="A2582" s="89"/>
      <c r="B2582" s="111"/>
      <c r="C2582" s="111"/>
      <c r="D2582" s="111"/>
      <c r="E2582" s="91"/>
      <c r="F2582" s="111"/>
      <c r="G2582" s="111"/>
      <c r="H2582" s="111"/>
      <c r="I2582" s="111"/>
      <c r="J2582" s="111"/>
      <c r="K2582" s="92"/>
      <c r="L2582" s="111"/>
      <c r="M2582" s="111"/>
      <c r="N2582" s="111"/>
      <c r="O2582" s="112"/>
      <c r="P2582" s="111"/>
      <c r="Q2582" s="111"/>
      <c r="R2582" s="111"/>
      <c r="S2582" s="111"/>
      <c r="T2582" s="111"/>
      <c r="U2582" s="111"/>
      <c r="V2582" s="111"/>
      <c r="W2582" s="111"/>
      <c r="X2582" s="111"/>
      <c r="Y2582" s="111"/>
      <c r="Z2582" s="111"/>
      <c r="AA2582" s="111"/>
      <c r="AB2582" s="111"/>
      <c r="AC2582" s="111"/>
      <c r="AD2582" s="111"/>
      <c r="AE2582" s="111"/>
      <c r="AF2582" s="111"/>
      <c r="AG2582" s="111"/>
      <c r="AH2582" s="111"/>
    </row>
    <row r="2583">
      <c r="A2583" s="89"/>
      <c r="B2583" s="111"/>
      <c r="C2583" s="111"/>
      <c r="D2583" s="111"/>
      <c r="E2583" s="91"/>
      <c r="F2583" s="111"/>
      <c r="G2583" s="111"/>
      <c r="H2583" s="111"/>
      <c r="I2583" s="111"/>
      <c r="J2583" s="111"/>
      <c r="K2583" s="92"/>
      <c r="L2583" s="111"/>
      <c r="M2583" s="111"/>
      <c r="N2583" s="111"/>
      <c r="O2583" s="112"/>
      <c r="P2583" s="111"/>
      <c r="Q2583" s="111"/>
      <c r="R2583" s="111"/>
      <c r="S2583" s="111"/>
      <c r="T2583" s="111"/>
      <c r="U2583" s="111"/>
      <c r="V2583" s="111"/>
      <c r="W2583" s="111"/>
      <c r="X2583" s="111"/>
      <c r="Y2583" s="111"/>
      <c r="Z2583" s="111"/>
      <c r="AA2583" s="111"/>
      <c r="AB2583" s="111"/>
      <c r="AC2583" s="111"/>
      <c r="AD2583" s="111"/>
      <c r="AE2583" s="111"/>
      <c r="AF2583" s="111"/>
      <c r="AG2583" s="111"/>
      <c r="AH2583" s="111"/>
    </row>
    <row r="2584">
      <c r="A2584" s="89"/>
      <c r="B2584" s="111"/>
      <c r="C2584" s="111"/>
      <c r="D2584" s="111"/>
      <c r="E2584" s="91"/>
      <c r="F2584" s="111"/>
      <c r="G2584" s="111"/>
      <c r="H2584" s="111"/>
      <c r="I2584" s="111"/>
      <c r="J2584" s="111"/>
      <c r="K2584" s="92"/>
      <c r="L2584" s="111"/>
      <c r="M2584" s="111"/>
      <c r="N2584" s="111"/>
      <c r="O2584" s="112"/>
      <c r="P2584" s="111"/>
      <c r="Q2584" s="111"/>
      <c r="R2584" s="111"/>
      <c r="S2584" s="111"/>
      <c r="T2584" s="111"/>
      <c r="U2584" s="111"/>
      <c r="V2584" s="111"/>
      <c r="W2584" s="111"/>
      <c r="X2584" s="111"/>
      <c r="Y2584" s="111"/>
      <c r="Z2584" s="111"/>
      <c r="AA2584" s="111"/>
      <c r="AB2584" s="111"/>
      <c r="AC2584" s="111"/>
      <c r="AD2584" s="111"/>
      <c r="AE2584" s="111"/>
      <c r="AF2584" s="111"/>
      <c r="AG2584" s="111"/>
      <c r="AH2584" s="111"/>
    </row>
    <row r="2585">
      <c r="A2585" s="89"/>
      <c r="B2585" s="111"/>
      <c r="C2585" s="111"/>
      <c r="D2585" s="111"/>
      <c r="E2585" s="91"/>
      <c r="F2585" s="111"/>
      <c r="G2585" s="111"/>
      <c r="H2585" s="111"/>
      <c r="I2585" s="111"/>
      <c r="J2585" s="111"/>
      <c r="K2585" s="92"/>
      <c r="L2585" s="111"/>
      <c r="M2585" s="111"/>
      <c r="N2585" s="111"/>
      <c r="O2585" s="112"/>
      <c r="P2585" s="111"/>
      <c r="Q2585" s="111"/>
      <c r="R2585" s="111"/>
      <c r="S2585" s="111"/>
      <c r="T2585" s="111"/>
      <c r="U2585" s="111"/>
      <c r="V2585" s="111"/>
      <c r="W2585" s="111"/>
      <c r="X2585" s="111"/>
      <c r="Y2585" s="111"/>
      <c r="Z2585" s="111"/>
      <c r="AA2585" s="111"/>
      <c r="AB2585" s="111"/>
      <c r="AC2585" s="111"/>
      <c r="AD2585" s="111"/>
      <c r="AE2585" s="111"/>
      <c r="AF2585" s="111"/>
      <c r="AG2585" s="111"/>
      <c r="AH2585" s="111"/>
    </row>
    <row r="2586">
      <c r="A2586" s="89"/>
      <c r="B2586" s="111"/>
      <c r="C2586" s="111"/>
      <c r="D2586" s="111"/>
      <c r="E2586" s="91"/>
      <c r="F2586" s="111"/>
      <c r="G2586" s="111"/>
      <c r="H2586" s="111"/>
      <c r="I2586" s="111"/>
      <c r="J2586" s="111"/>
      <c r="K2586" s="92"/>
      <c r="L2586" s="111"/>
      <c r="M2586" s="111"/>
      <c r="N2586" s="111"/>
      <c r="O2586" s="112"/>
      <c r="P2586" s="111"/>
      <c r="Q2586" s="111"/>
      <c r="R2586" s="111"/>
      <c r="S2586" s="111"/>
      <c r="T2586" s="111"/>
      <c r="U2586" s="111"/>
      <c r="V2586" s="111"/>
      <c r="W2586" s="111"/>
      <c r="X2586" s="111"/>
      <c r="Y2586" s="111"/>
      <c r="Z2586" s="111"/>
      <c r="AA2586" s="111"/>
      <c r="AB2586" s="111"/>
      <c r="AC2586" s="111"/>
      <c r="AD2586" s="111"/>
      <c r="AE2586" s="111"/>
      <c r="AF2586" s="111"/>
      <c r="AG2586" s="111"/>
      <c r="AH2586" s="111"/>
    </row>
    <row r="2587">
      <c r="A2587" s="89"/>
      <c r="B2587" s="111"/>
      <c r="C2587" s="111"/>
      <c r="D2587" s="111"/>
      <c r="E2587" s="91"/>
      <c r="F2587" s="111"/>
      <c r="G2587" s="111"/>
      <c r="H2587" s="111"/>
      <c r="I2587" s="111"/>
      <c r="J2587" s="111"/>
      <c r="K2587" s="92"/>
      <c r="L2587" s="111"/>
      <c r="M2587" s="111"/>
      <c r="N2587" s="111"/>
      <c r="O2587" s="112"/>
      <c r="P2587" s="111"/>
      <c r="Q2587" s="111"/>
      <c r="R2587" s="111"/>
      <c r="S2587" s="111"/>
      <c r="T2587" s="111"/>
      <c r="U2587" s="111"/>
      <c r="V2587" s="111"/>
      <c r="W2587" s="111"/>
      <c r="X2587" s="111"/>
      <c r="Y2587" s="111"/>
      <c r="Z2587" s="111"/>
      <c r="AA2587" s="111"/>
      <c r="AB2587" s="111"/>
      <c r="AC2587" s="111"/>
      <c r="AD2587" s="111"/>
      <c r="AE2587" s="111"/>
      <c r="AF2587" s="111"/>
      <c r="AG2587" s="111"/>
      <c r="AH2587" s="111"/>
    </row>
    <row r="2588">
      <c r="A2588" s="89"/>
      <c r="B2588" s="111"/>
      <c r="C2588" s="111"/>
      <c r="D2588" s="111"/>
      <c r="E2588" s="91"/>
      <c r="F2588" s="111"/>
      <c r="G2588" s="111"/>
      <c r="H2588" s="111"/>
      <c r="I2588" s="111"/>
      <c r="J2588" s="111"/>
      <c r="K2588" s="92"/>
      <c r="L2588" s="111"/>
      <c r="M2588" s="111"/>
      <c r="N2588" s="111"/>
      <c r="O2588" s="112"/>
      <c r="P2588" s="111"/>
      <c r="Q2588" s="111"/>
      <c r="R2588" s="111"/>
      <c r="S2588" s="111"/>
      <c r="T2588" s="111"/>
      <c r="U2588" s="111"/>
      <c r="V2588" s="111"/>
      <c r="W2588" s="111"/>
      <c r="X2588" s="111"/>
      <c r="Y2588" s="111"/>
      <c r="Z2588" s="111"/>
      <c r="AA2588" s="111"/>
      <c r="AB2588" s="111"/>
      <c r="AC2588" s="111"/>
      <c r="AD2588" s="111"/>
      <c r="AE2588" s="111"/>
      <c r="AF2588" s="111"/>
      <c r="AG2588" s="111"/>
      <c r="AH2588" s="111"/>
    </row>
    <row r="2589">
      <c r="A2589" s="89"/>
      <c r="B2589" s="111"/>
      <c r="C2589" s="111"/>
      <c r="D2589" s="111"/>
      <c r="E2589" s="91"/>
      <c r="F2589" s="111"/>
      <c r="G2589" s="111"/>
      <c r="H2589" s="111"/>
      <c r="I2589" s="111"/>
      <c r="J2589" s="111"/>
      <c r="K2589" s="92"/>
      <c r="L2589" s="111"/>
      <c r="M2589" s="111"/>
      <c r="N2589" s="111"/>
      <c r="O2589" s="112"/>
      <c r="P2589" s="111"/>
      <c r="Q2589" s="111"/>
      <c r="R2589" s="111"/>
      <c r="S2589" s="111"/>
      <c r="T2589" s="111"/>
      <c r="U2589" s="111"/>
      <c r="V2589" s="111"/>
      <c r="W2589" s="111"/>
      <c r="X2589" s="111"/>
      <c r="Y2589" s="111"/>
      <c r="Z2589" s="111"/>
      <c r="AA2589" s="111"/>
      <c r="AB2589" s="111"/>
      <c r="AC2589" s="111"/>
      <c r="AD2589" s="111"/>
      <c r="AE2589" s="111"/>
      <c r="AF2589" s="111"/>
      <c r="AG2589" s="111"/>
      <c r="AH2589" s="111"/>
    </row>
    <row r="2590">
      <c r="A2590" s="89"/>
      <c r="B2590" s="111"/>
      <c r="C2590" s="111"/>
      <c r="D2590" s="111"/>
      <c r="E2590" s="91"/>
      <c r="F2590" s="111"/>
      <c r="G2590" s="111"/>
      <c r="H2590" s="111"/>
      <c r="I2590" s="111"/>
      <c r="J2590" s="111"/>
      <c r="K2590" s="92"/>
      <c r="L2590" s="111"/>
      <c r="M2590" s="111"/>
      <c r="N2590" s="111"/>
      <c r="O2590" s="112"/>
      <c r="P2590" s="111"/>
      <c r="Q2590" s="111"/>
      <c r="R2590" s="111"/>
      <c r="S2590" s="111"/>
      <c r="T2590" s="111"/>
      <c r="U2590" s="111"/>
      <c r="V2590" s="111"/>
      <c r="W2590" s="111"/>
      <c r="X2590" s="111"/>
      <c r="Y2590" s="111"/>
      <c r="Z2590" s="111"/>
      <c r="AA2590" s="111"/>
      <c r="AB2590" s="111"/>
      <c r="AC2590" s="111"/>
      <c r="AD2590" s="111"/>
      <c r="AE2590" s="111"/>
      <c r="AF2590" s="111"/>
      <c r="AG2590" s="111"/>
      <c r="AH2590" s="111"/>
    </row>
    <row r="2591">
      <c r="A2591" s="89"/>
      <c r="B2591" s="111"/>
      <c r="C2591" s="111"/>
      <c r="D2591" s="111"/>
      <c r="E2591" s="91"/>
      <c r="F2591" s="111"/>
      <c r="G2591" s="111"/>
      <c r="H2591" s="111"/>
      <c r="I2591" s="111"/>
      <c r="J2591" s="111"/>
      <c r="K2591" s="92"/>
      <c r="L2591" s="111"/>
      <c r="M2591" s="111"/>
      <c r="N2591" s="111"/>
      <c r="O2591" s="112"/>
      <c r="P2591" s="111"/>
      <c r="Q2591" s="111"/>
      <c r="R2591" s="111"/>
      <c r="S2591" s="111"/>
      <c r="T2591" s="111"/>
      <c r="U2591" s="111"/>
      <c r="V2591" s="111"/>
      <c r="W2591" s="111"/>
      <c r="X2591" s="111"/>
      <c r="Y2591" s="111"/>
      <c r="Z2591" s="111"/>
      <c r="AA2591" s="111"/>
      <c r="AB2591" s="111"/>
      <c r="AC2591" s="111"/>
      <c r="AD2591" s="111"/>
      <c r="AE2591" s="111"/>
      <c r="AF2591" s="111"/>
      <c r="AG2591" s="111"/>
      <c r="AH2591" s="111"/>
    </row>
    <row r="2592">
      <c r="A2592" s="89"/>
      <c r="B2592" s="111"/>
      <c r="C2592" s="111"/>
      <c r="D2592" s="111"/>
      <c r="E2592" s="91"/>
      <c r="F2592" s="111"/>
      <c r="G2592" s="111"/>
      <c r="H2592" s="111"/>
      <c r="I2592" s="111"/>
      <c r="J2592" s="111"/>
      <c r="K2592" s="92"/>
      <c r="L2592" s="111"/>
      <c r="M2592" s="111"/>
      <c r="N2592" s="111"/>
      <c r="O2592" s="112"/>
      <c r="P2592" s="111"/>
      <c r="Q2592" s="111"/>
      <c r="R2592" s="111"/>
      <c r="S2592" s="111"/>
      <c r="T2592" s="111"/>
      <c r="U2592" s="111"/>
      <c r="V2592" s="111"/>
      <c r="W2592" s="111"/>
      <c r="X2592" s="111"/>
      <c r="Y2592" s="111"/>
      <c r="Z2592" s="111"/>
      <c r="AA2592" s="111"/>
      <c r="AB2592" s="111"/>
      <c r="AC2592" s="111"/>
      <c r="AD2592" s="111"/>
      <c r="AE2592" s="111"/>
      <c r="AF2592" s="111"/>
      <c r="AG2592" s="111"/>
      <c r="AH2592" s="111"/>
    </row>
    <row r="2593">
      <c r="A2593" s="89"/>
      <c r="B2593" s="111"/>
      <c r="C2593" s="111"/>
      <c r="D2593" s="111"/>
      <c r="E2593" s="91"/>
      <c r="F2593" s="111"/>
      <c r="G2593" s="111"/>
      <c r="H2593" s="111"/>
      <c r="I2593" s="111"/>
      <c r="J2593" s="111"/>
      <c r="K2593" s="92"/>
      <c r="L2593" s="111"/>
      <c r="M2593" s="111"/>
      <c r="N2593" s="111"/>
      <c r="O2593" s="112"/>
      <c r="P2593" s="111"/>
      <c r="Q2593" s="111"/>
      <c r="R2593" s="111"/>
      <c r="S2593" s="111"/>
      <c r="T2593" s="111"/>
      <c r="U2593" s="111"/>
      <c r="V2593" s="111"/>
      <c r="W2593" s="111"/>
      <c r="X2593" s="111"/>
      <c r="Y2593" s="111"/>
      <c r="Z2593" s="111"/>
      <c r="AA2593" s="111"/>
      <c r="AB2593" s="111"/>
      <c r="AC2593" s="111"/>
      <c r="AD2593" s="111"/>
      <c r="AE2593" s="111"/>
      <c r="AF2593" s="111"/>
      <c r="AG2593" s="111"/>
      <c r="AH2593" s="111"/>
    </row>
    <row r="2594">
      <c r="A2594" s="89"/>
      <c r="B2594" s="111"/>
      <c r="C2594" s="111"/>
      <c r="D2594" s="111"/>
      <c r="E2594" s="91"/>
      <c r="F2594" s="111"/>
      <c r="G2594" s="111"/>
      <c r="H2594" s="111"/>
      <c r="I2594" s="111"/>
      <c r="J2594" s="111"/>
      <c r="K2594" s="92"/>
      <c r="L2594" s="111"/>
      <c r="M2594" s="111"/>
      <c r="N2594" s="111"/>
      <c r="O2594" s="112"/>
      <c r="P2594" s="111"/>
      <c r="Q2594" s="111"/>
      <c r="R2594" s="111"/>
      <c r="S2594" s="111"/>
      <c r="T2594" s="111"/>
      <c r="U2594" s="111"/>
      <c r="V2594" s="111"/>
      <c r="W2594" s="111"/>
      <c r="X2594" s="111"/>
      <c r="Y2594" s="111"/>
      <c r="Z2594" s="111"/>
      <c r="AA2594" s="111"/>
      <c r="AB2594" s="111"/>
      <c r="AC2594" s="111"/>
      <c r="AD2594" s="111"/>
      <c r="AE2594" s="111"/>
      <c r="AF2594" s="111"/>
      <c r="AG2594" s="111"/>
      <c r="AH2594" s="111"/>
    </row>
    <row r="2595">
      <c r="A2595" s="89"/>
      <c r="B2595" s="111"/>
      <c r="C2595" s="111"/>
      <c r="D2595" s="111"/>
      <c r="E2595" s="91"/>
      <c r="F2595" s="111"/>
      <c r="G2595" s="111"/>
      <c r="H2595" s="111"/>
      <c r="I2595" s="111"/>
      <c r="J2595" s="111"/>
      <c r="K2595" s="92"/>
      <c r="L2595" s="111"/>
      <c r="M2595" s="111"/>
      <c r="N2595" s="111"/>
      <c r="O2595" s="112"/>
      <c r="P2595" s="111"/>
      <c r="Q2595" s="111"/>
      <c r="R2595" s="111"/>
      <c r="S2595" s="111"/>
      <c r="T2595" s="111"/>
      <c r="U2595" s="111"/>
      <c r="V2595" s="111"/>
      <c r="W2595" s="111"/>
      <c r="X2595" s="111"/>
      <c r="Y2595" s="111"/>
      <c r="Z2595" s="111"/>
      <c r="AA2595" s="111"/>
      <c r="AB2595" s="111"/>
      <c r="AC2595" s="111"/>
      <c r="AD2595" s="111"/>
      <c r="AE2595" s="111"/>
      <c r="AF2595" s="111"/>
      <c r="AG2595" s="111"/>
      <c r="AH2595" s="111"/>
    </row>
    <row r="2596">
      <c r="A2596" s="89"/>
      <c r="B2596" s="111"/>
      <c r="C2596" s="111"/>
      <c r="D2596" s="111"/>
      <c r="E2596" s="91"/>
      <c r="F2596" s="111"/>
      <c r="G2596" s="111"/>
      <c r="H2596" s="111"/>
      <c r="I2596" s="111"/>
      <c r="J2596" s="111"/>
      <c r="K2596" s="92"/>
      <c r="L2596" s="111"/>
      <c r="M2596" s="111"/>
      <c r="N2596" s="111"/>
      <c r="O2596" s="112"/>
      <c r="P2596" s="111"/>
      <c r="Q2596" s="111"/>
      <c r="R2596" s="111"/>
      <c r="S2596" s="111"/>
      <c r="T2596" s="111"/>
      <c r="U2596" s="111"/>
      <c r="V2596" s="111"/>
      <c r="W2596" s="111"/>
      <c r="X2596" s="111"/>
      <c r="Y2596" s="111"/>
      <c r="Z2596" s="111"/>
      <c r="AA2596" s="111"/>
      <c r="AB2596" s="111"/>
      <c r="AC2596" s="111"/>
      <c r="AD2596" s="111"/>
      <c r="AE2596" s="111"/>
      <c r="AF2596" s="111"/>
      <c r="AG2596" s="111"/>
      <c r="AH2596" s="111"/>
    </row>
    <row r="2597">
      <c r="A2597" s="89"/>
      <c r="B2597" s="111"/>
      <c r="C2597" s="111"/>
      <c r="D2597" s="111"/>
      <c r="E2597" s="91"/>
      <c r="F2597" s="111"/>
      <c r="G2597" s="111"/>
      <c r="H2597" s="111"/>
      <c r="I2597" s="111"/>
      <c r="J2597" s="111"/>
      <c r="K2597" s="92"/>
      <c r="L2597" s="111"/>
      <c r="M2597" s="111"/>
      <c r="N2597" s="111"/>
      <c r="O2597" s="112"/>
      <c r="P2597" s="111"/>
      <c r="Q2597" s="111"/>
      <c r="R2597" s="111"/>
      <c r="S2597" s="111"/>
      <c r="T2597" s="111"/>
      <c r="U2597" s="111"/>
      <c r="V2597" s="111"/>
      <c r="W2597" s="111"/>
      <c r="X2597" s="111"/>
      <c r="Y2597" s="111"/>
      <c r="Z2597" s="111"/>
      <c r="AA2597" s="111"/>
      <c r="AB2597" s="111"/>
      <c r="AC2597" s="111"/>
      <c r="AD2597" s="111"/>
      <c r="AE2597" s="111"/>
      <c r="AF2597" s="111"/>
      <c r="AG2597" s="111"/>
      <c r="AH2597" s="111"/>
    </row>
    <row r="2598">
      <c r="A2598" s="89"/>
      <c r="B2598" s="111"/>
      <c r="C2598" s="111"/>
      <c r="D2598" s="111"/>
      <c r="E2598" s="91"/>
      <c r="F2598" s="111"/>
      <c r="G2598" s="111"/>
      <c r="H2598" s="111"/>
      <c r="I2598" s="111"/>
      <c r="J2598" s="111"/>
      <c r="K2598" s="92"/>
      <c r="L2598" s="111"/>
      <c r="M2598" s="111"/>
      <c r="N2598" s="111"/>
      <c r="O2598" s="112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  <c r="AH2598" s="111"/>
    </row>
    <row r="2599">
      <c r="A2599" s="89"/>
      <c r="B2599" s="111"/>
      <c r="C2599" s="111"/>
      <c r="D2599" s="111"/>
      <c r="E2599" s="91"/>
      <c r="F2599" s="111"/>
      <c r="G2599" s="111"/>
      <c r="H2599" s="111"/>
      <c r="I2599" s="111"/>
      <c r="J2599" s="111"/>
      <c r="K2599" s="92"/>
      <c r="L2599" s="111"/>
      <c r="M2599" s="111"/>
      <c r="N2599" s="111"/>
      <c r="O2599" s="112"/>
      <c r="P2599" s="111"/>
      <c r="Q2599" s="111"/>
      <c r="R2599" s="111"/>
      <c r="S2599" s="111"/>
      <c r="T2599" s="111"/>
      <c r="U2599" s="111"/>
      <c r="V2599" s="111"/>
      <c r="W2599" s="111"/>
      <c r="X2599" s="111"/>
      <c r="Y2599" s="111"/>
      <c r="Z2599" s="111"/>
      <c r="AA2599" s="111"/>
      <c r="AB2599" s="111"/>
      <c r="AC2599" s="111"/>
      <c r="AD2599" s="111"/>
      <c r="AE2599" s="111"/>
      <c r="AF2599" s="111"/>
      <c r="AG2599" s="111"/>
      <c r="AH2599" s="111"/>
    </row>
    <row r="2600">
      <c r="A2600" s="89"/>
      <c r="B2600" s="111"/>
      <c r="C2600" s="111"/>
      <c r="D2600" s="111"/>
      <c r="E2600" s="91"/>
      <c r="F2600" s="111"/>
      <c r="G2600" s="111"/>
      <c r="H2600" s="111"/>
      <c r="I2600" s="111"/>
      <c r="J2600" s="111"/>
      <c r="K2600" s="92"/>
      <c r="L2600" s="111"/>
      <c r="M2600" s="111"/>
      <c r="N2600" s="111"/>
      <c r="O2600" s="112"/>
      <c r="P2600" s="111"/>
      <c r="Q2600" s="111"/>
      <c r="R2600" s="111"/>
      <c r="S2600" s="111"/>
      <c r="T2600" s="111"/>
      <c r="U2600" s="111"/>
      <c r="V2600" s="111"/>
      <c r="W2600" s="111"/>
      <c r="X2600" s="111"/>
      <c r="Y2600" s="111"/>
      <c r="Z2600" s="111"/>
      <c r="AA2600" s="111"/>
      <c r="AB2600" s="111"/>
      <c r="AC2600" s="111"/>
      <c r="AD2600" s="111"/>
      <c r="AE2600" s="111"/>
      <c r="AF2600" s="111"/>
      <c r="AG2600" s="111"/>
      <c r="AH2600" s="111"/>
    </row>
    <row r="2601">
      <c r="A2601" s="89"/>
      <c r="B2601" s="111"/>
      <c r="C2601" s="111"/>
      <c r="D2601" s="111"/>
      <c r="E2601" s="91"/>
      <c r="F2601" s="111"/>
      <c r="G2601" s="111"/>
      <c r="H2601" s="111"/>
      <c r="I2601" s="111"/>
      <c r="J2601" s="111"/>
      <c r="K2601" s="92"/>
      <c r="L2601" s="111"/>
      <c r="M2601" s="111"/>
      <c r="N2601" s="111"/>
      <c r="O2601" s="112"/>
      <c r="P2601" s="111"/>
      <c r="Q2601" s="111"/>
      <c r="R2601" s="111"/>
      <c r="S2601" s="111"/>
      <c r="T2601" s="111"/>
      <c r="U2601" s="111"/>
      <c r="V2601" s="111"/>
      <c r="W2601" s="111"/>
      <c r="X2601" s="111"/>
      <c r="Y2601" s="111"/>
      <c r="Z2601" s="111"/>
      <c r="AA2601" s="111"/>
      <c r="AB2601" s="111"/>
      <c r="AC2601" s="111"/>
      <c r="AD2601" s="111"/>
      <c r="AE2601" s="111"/>
      <c r="AF2601" s="111"/>
      <c r="AG2601" s="111"/>
      <c r="AH2601" s="111"/>
    </row>
    <row r="2602">
      <c r="A2602" s="89"/>
      <c r="B2602" s="111"/>
      <c r="C2602" s="111"/>
      <c r="D2602" s="111"/>
      <c r="E2602" s="91"/>
      <c r="F2602" s="111"/>
      <c r="G2602" s="111"/>
      <c r="H2602" s="111"/>
      <c r="I2602" s="111"/>
      <c r="J2602" s="111"/>
      <c r="K2602" s="92"/>
      <c r="L2602" s="111"/>
      <c r="M2602" s="111"/>
      <c r="N2602" s="111"/>
      <c r="O2602" s="112"/>
      <c r="P2602" s="111"/>
      <c r="Q2602" s="111"/>
      <c r="R2602" s="111"/>
      <c r="S2602" s="111"/>
      <c r="T2602" s="111"/>
      <c r="U2602" s="111"/>
      <c r="V2602" s="111"/>
      <c r="W2602" s="111"/>
      <c r="X2602" s="111"/>
      <c r="Y2602" s="111"/>
      <c r="Z2602" s="111"/>
      <c r="AA2602" s="111"/>
      <c r="AB2602" s="111"/>
      <c r="AC2602" s="111"/>
      <c r="AD2602" s="111"/>
      <c r="AE2602" s="111"/>
      <c r="AF2602" s="111"/>
      <c r="AG2602" s="111"/>
      <c r="AH2602" s="111"/>
    </row>
    <row r="2603">
      <c r="A2603" s="89"/>
      <c r="B2603" s="111"/>
      <c r="C2603" s="111"/>
      <c r="D2603" s="111"/>
      <c r="E2603" s="91"/>
      <c r="F2603" s="111"/>
      <c r="G2603" s="111"/>
      <c r="H2603" s="111"/>
      <c r="I2603" s="111"/>
      <c r="J2603" s="111"/>
      <c r="K2603" s="92"/>
      <c r="L2603" s="111"/>
      <c r="M2603" s="111"/>
      <c r="N2603" s="111"/>
      <c r="O2603" s="112"/>
      <c r="P2603" s="111"/>
      <c r="Q2603" s="111"/>
      <c r="R2603" s="111"/>
      <c r="S2603" s="111"/>
      <c r="T2603" s="111"/>
      <c r="U2603" s="111"/>
      <c r="V2603" s="111"/>
      <c r="W2603" s="111"/>
      <c r="X2603" s="111"/>
      <c r="Y2603" s="111"/>
      <c r="Z2603" s="111"/>
      <c r="AA2603" s="111"/>
      <c r="AB2603" s="111"/>
      <c r="AC2603" s="111"/>
      <c r="AD2603" s="111"/>
      <c r="AE2603" s="111"/>
      <c r="AF2603" s="111"/>
      <c r="AG2603" s="111"/>
      <c r="AH2603" s="111"/>
    </row>
    <row r="2604">
      <c r="A2604" s="89"/>
      <c r="B2604" s="111"/>
      <c r="C2604" s="111"/>
      <c r="D2604" s="111"/>
      <c r="E2604" s="91"/>
      <c r="F2604" s="111"/>
      <c r="G2604" s="111"/>
      <c r="H2604" s="111"/>
      <c r="I2604" s="111"/>
      <c r="J2604" s="111"/>
      <c r="K2604" s="92"/>
      <c r="L2604" s="111"/>
      <c r="M2604" s="111"/>
      <c r="N2604" s="111"/>
      <c r="O2604" s="112"/>
      <c r="P2604" s="111"/>
      <c r="Q2604" s="111"/>
      <c r="R2604" s="111"/>
      <c r="S2604" s="111"/>
      <c r="T2604" s="111"/>
      <c r="U2604" s="111"/>
      <c r="V2604" s="111"/>
      <c r="W2604" s="111"/>
      <c r="X2604" s="111"/>
      <c r="Y2604" s="111"/>
      <c r="Z2604" s="111"/>
      <c r="AA2604" s="111"/>
      <c r="AB2604" s="111"/>
      <c r="AC2604" s="111"/>
      <c r="AD2604" s="111"/>
      <c r="AE2604" s="111"/>
      <c r="AF2604" s="111"/>
      <c r="AG2604" s="111"/>
      <c r="AH2604" s="111"/>
    </row>
    <row r="2605">
      <c r="A2605" s="89"/>
      <c r="B2605" s="111"/>
      <c r="C2605" s="111"/>
      <c r="D2605" s="111"/>
      <c r="E2605" s="91"/>
      <c r="F2605" s="111"/>
      <c r="G2605" s="111"/>
      <c r="H2605" s="111"/>
      <c r="I2605" s="111"/>
      <c r="J2605" s="111"/>
      <c r="K2605" s="92"/>
      <c r="L2605" s="111"/>
      <c r="M2605" s="111"/>
      <c r="N2605" s="111"/>
      <c r="O2605" s="112"/>
      <c r="P2605" s="111"/>
      <c r="Q2605" s="111"/>
      <c r="R2605" s="111"/>
      <c r="S2605" s="111"/>
      <c r="T2605" s="111"/>
      <c r="U2605" s="111"/>
      <c r="V2605" s="111"/>
      <c r="W2605" s="111"/>
      <c r="X2605" s="111"/>
      <c r="Y2605" s="111"/>
      <c r="Z2605" s="111"/>
      <c r="AA2605" s="111"/>
      <c r="AB2605" s="111"/>
      <c r="AC2605" s="111"/>
      <c r="AD2605" s="111"/>
      <c r="AE2605" s="111"/>
      <c r="AF2605" s="111"/>
      <c r="AG2605" s="111"/>
      <c r="AH2605" s="111"/>
    </row>
    <row r="2606">
      <c r="A2606" s="89"/>
      <c r="B2606" s="111"/>
      <c r="C2606" s="111"/>
      <c r="D2606" s="111"/>
      <c r="E2606" s="91"/>
      <c r="F2606" s="111"/>
      <c r="G2606" s="111"/>
      <c r="H2606" s="111"/>
      <c r="I2606" s="111"/>
      <c r="J2606" s="111"/>
      <c r="K2606" s="92"/>
      <c r="L2606" s="111"/>
      <c r="M2606" s="111"/>
      <c r="N2606" s="111"/>
      <c r="O2606" s="112"/>
      <c r="P2606" s="111"/>
      <c r="Q2606" s="111"/>
      <c r="R2606" s="111"/>
      <c r="S2606" s="111"/>
      <c r="T2606" s="111"/>
      <c r="U2606" s="111"/>
      <c r="V2606" s="111"/>
      <c r="W2606" s="111"/>
      <c r="X2606" s="111"/>
      <c r="Y2606" s="111"/>
      <c r="Z2606" s="111"/>
      <c r="AA2606" s="111"/>
      <c r="AB2606" s="111"/>
      <c r="AC2606" s="111"/>
      <c r="AD2606" s="111"/>
      <c r="AE2606" s="111"/>
      <c r="AF2606" s="111"/>
      <c r="AG2606" s="111"/>
      <c r="AH2606" s="111"/>
    </row>
    <row r="2607">
      <c r="A2607" s="89"/>
      <c r="B2607" s="111"/>
      <c r="C2607" s="111"/>
      <c r="D2607" s="111"/>
      <c r="E2607" s="91"/>
      <c r="F2607" s="111"/>
      <c r="G2607" s="111"/>
      <c r="H2607" s="111"/>
      <c r="I2607" s="111"/>
      <c r="J2607" s="111"/>
      <c r="K2607" s="92"/>
      <c r="L2607" s="111"/>
      <c r="M2607" s="111"/>
      <c r="N2607" s="111"/>
      <c r="O2607" s="112"/>
      <c r="P2607" s="111"/>
      <c r="Q2607" s="111"/>
      <c r="R2607" s="111"/>
      <c r="S2607" s="111"/>
      <c r="T2607" s="111"/>
      <c r="U2607" s="111"/>
      <c r="V2607" s="111"/>
      <c r="W2607" s="111"/>
      <c r="X2607" s="111"/>
      <c r="Y2607" s="111"/>
      <c r="Z2607" s="111"/>
      <c r="AA2607" s="111"/>
      <c r="AB2607" s="111"/>
      <c r="AC2607" s="111"/>
      <c r="AD2607" s="111"/>
      <c r="AE2607" s="111"/>
      <c r="AF2607" s="111"/>
      <c r="AG2607" s="111"/>
      <c r="AH2607" s="111"/>
    </row>
    <row r="2608">
      <c r="A2608" s="89"/>
      <c r="B2608" s="111"/>
      <c r="C2608" s="111"/>
      <c r="D2608" s="111"/>
      <c r="E2608" s="91"/>
      <c r="F2608" s="111"/>
      <c r="G2608" s="111"/>
      <c r="H2608" s="111"/>
      <c r="I2608" s="111"/>
      <c r="J2608" s="111"/>
      <c r="K2608" s="92"/>
      <c r="L2608" s="111"/>
      <c r="M2608" s="111"/>
      <c r="N2608" s="111"/>
      <c r="O2608" s="112"/>
      <c r="P2608" s="111"/>
      <c r="Q2608" s="111"/>
      <c r="R2608" s="111"/>
      <c r="S2608" s="111"/>
      <c r="T2608" s="111"/>
      <c r="U2608" s="111"/>
      <c r="V2608" s="111"/>
      <c r="W2608" s="111"/>
      <c r="X2608" s="111"/>
      <c r="Y2608" s="111"/>
      <c r="Z2608" s="111"/>
      <c r="AA2608" s="111"/>
      <c r="AB2608" s="111"/>
      <c r="AC2608" s="111"/>
      <c r="AD2608" s="111"/>
      <c r="AE2608" s="111"/>
      <c r="AF2608" s="111"/>
      <c r="AG2608" s="111"/>
      <c r="AH2608" s="111"/>
    </row>
    <row r="2609">
      <c r="A2609" s="89"/>
      <c r="B2609" s="111"/>
      <c r="C2609" s="111"/>
      <c r="D2609" s="111"/>
      <c r="E2609" s="91"/>
      <c r="F2609" s="111"/>
      <c r="G2609" s="111"/>
      <c r="H2609" s="111"/>
      <c r="I2609" s="111"/>
      <c r="J2609" s="111"/>
      <c r="K2609" s="92"/>
      <c r="L2609" s="111"/>
      <c r="M2609" s="111"/>
      <c r="N2609" s="111"/>
      <c r="O2609" s="112"/>
      <c r="P2609" s="111"/>
      <c r="Q2609" s="111"/>
      <c r="R2609" s="111"/>
      <c r="S2609" s="111"/>
      <c r="T2609" s="111"/>
      <c r="U2609" s="111"/>
      <c r="V2609" s="111"/>
      <c r="W2609" s="111"/>
      <c r="X2609" s="111"/>
      <c r="Y2609" s="111"/>
      <c r="Z2609" s="111"/>
      <c r="AA2609" s="111"/>
      <c r="AB2609" s="111"/>
      <c r="AC2609" s="111"/>
      <c r="AD2609" s="111"/>
      <c r="AE2609" s="111"/>
      <c r="AF2609" s="111"/>
      <c r="AG2609" s="111"/>
      <c r="AH2609" s="111"/>
    </row>
    <row r="2610">
      <c r="A2610" s="89"/>
      <c r="B2610" s="111"/>
      <c r="C2610" s="111"/>
      <c r="D2610" s="111"/>
      <c r="E2610" s="91"/>
      <c r="F2610" s="111"/>
      <c r="G2610" s="111"/>
      <c r="H2610" s="111"/>
      <c r="I2610" s="111"/>
      <c r="J2610" s="111"/>
      <c r="K2610" s="92"/>
      <c r="L2610" s="111"/>
      <c r="M2610" s="111"/>
      <c r="N2610" s="111"/>
      <c r="O2610" s="112"/>
      <c r="P2610" s="111"/>
      <c r="Q2610" s="111"/>
      <c r="R2610" s="111"/>
      <c r="S2610" s="111"/>
      <c r="T2610" s="111"/>
      <c r="U2610" s="111"/>
      <c r="V2610" s="111"/>
      <c r="W2610" s="111"/>
      <c r="X2610" s="111"/>
      <c r="Y2610" s="111"/>
      <c r="Z2610" s="111"/>
      <c r="AA2610" s="111"/>
      <c r="AB2610" s="111"/>
      <c r="AC2610" s="111"/>
      <c r="AD2610" s="111"/>
      <c r="AE2610" s="111"/>
      <c r="AF2610" s="111"/>
      <c r="AG2610" s="111"/>
      <c r="AH2610" s="111"/>
    </row>
    <row r="2611">
      <c r="A2611" s="89"/>
      <c r="B2611" s="111"/>
      <c r="C2611" s="111"/>
      <c r="D2611" s="111"/>
      <c r="E2611" s="91"/>
      <c r="F2611" s="111"/>
      <c r="G2611" s="111"/>
      <c r="H2611" s="111"/>
      <c r="I2611" s="111"/>
      <c r="J2611" s="111"/>
      <c r="K2611" s="92"/>
      <c r="L2611" s="111"/>
      <c r="M2611" s="111"/>
      <c r="N2611" s="111"/>
      <c r="O2611" s="112"/>
      <c r="P2611" s="111"/>
      <c r="Q2611" s="111"/>
      <c r="R2611" s="111"/>
      <c r="S2611" s="111"/>
      <c r="T2611" s="111"/>
      <c r="U2611" s="111"/>
      <c r="V2611" s="111"/>
      <c r="W2611" s="111"/>
      <c r="X2611" s="111"/>
      <c r="Y2611" s="111"/>
      <c r="Z2611" s="111"/>
      <c r="AA2611" s="111"/>
      <c r="AB2611" s="111"/>
      <c r="AC2611" s="111"/>
      <c r="AD2611" s="111"/>
      <c r="AE2611" s="111"/>
      <c r="AF2611" s="111"/>
      <c r="AG2611" s="111"/>
      <c r="AH2611" s="111"/>
    </row>
    <row r="2612">
      <c r="A2612" s="89"/>
      <c r="B2612" s="111"/>
      <c r="C2612" s="111"/>
      <c r="D2612" s="111"/>
      <c r="E2612" s="91"/>
      <c r="F2612" s="111"/>
      <c r="G2612" s="111"/>
      <c r="H2612" s="111"/>
      <c r="I2612" s="111"/>
      <c r="J2612" s="111"/>
      <c r="K2612" s="92"/>
      <c r="L2612" s="111"/>
      <c r="M2612" s="111"/>
      <c r="N2612" s="111"/>
      <c r="O2612" s="112"/>
      <c r="P2612" s="111"/>
      <c r="Q2612" s="111"/>
      <c r="R2612" s="111"/>
      <c r="S2612" s="111"/>
      <c r="T2612" s="111"/>
      <c r="U2612" s="111"/>
      <c r="V2612" s="111"/>
      <c r="W2612" s="111"/>
      <c r="X2612" s="111"/>
      <c r="Y2612" s="111"/>
      <c r="Z2612" s="111"/>
      <c r="AA2612" s="111"/>
      <c r="AB2612" s="111"/>
      <c r="AC2612" s="111"/>
      <c r="AD2612" s="111"/>
      <c r="AE2612" s="111"/>
      <c r="AF2612" s="111"/>
      <c r="AG2612" s="111"/>
      <c r="AH2612" s="111"/>
    </row>
    <row r="2613">
      <c r="A2613" s="89"/>
      <c r="B2613" s="111"/>
      <c r="C2613" s="111"/>
      <c r="D2613" s="111"/>
      <c r="E2613" s="91"/>
      <c r="F2613" s="111"/>
      <c r="G2613" s="111"/>
      <c r="H2613" s="111"/>
      <c r="I2613" s="111"/>
      <c r="J2613" s="111"/>
      <c r="K2613" s="92"/>
      <c r="L2613" s="111"/>
      <c r="M2613" s="111"/>
      <c r="N2613" s="111"/>
      <c r="O2613" s="112"/>
      <c r="P2613" s="111"/>
      <c r="Q2613" s="111"/>
      <c r="R2613" s="111"/>
      <c r="S2613" s="111"/>
      <c r="T2613" s="111"/>
      <c r="U2613" s="111"/>
      <c r="V2613" s="111"/>
      <c r="W2613" s="111"/>
      <c r="X2613" s="111"/>
      <c r="Y2613" s="111"/>
      <c r="Z2613" s="111"/>
      <c r="AA2613" s="111"/>
      <c r="AB2613" s="111"/>
      <c r="AC2613" s="111"/>
      <c r="AD2613" s="111"/>
      <c r="AE2613" s="111"/>
      <c r="AF2613" s="111"/>
      <c r="AG2613" s="111"/>
      <c r="AH2613" s="111"/>
    </row>
    <row r="2614">
      <c r="A2614" s="89"/>
      <c r="B2614" s="111"/>
      <c r="C2614" s="111"/>
      <c r="D2614" s="111"/>
      <c r="E2614" s="91"/>
      <c r="F2614" s="111"/>
      <c r="G2614" s="111"/>
      <c r="H2614" s="111"/>
      <c r="I2614" s="111"/>
      <c r="J2614" s="111"/>
      <c r="K2614" s="92"/>
      <c r="L2614" s="111"/>
      <c r="M2614" s="111"/>
      <c r="N2614" s="111"/>
      <c r="O2614" s="112"/>
      <c r="P2614" s="111"/>
      <c r="Q2614" s="111"/>
      <c r="R2614" s="111"/>
      <c r="S2614" s="111"/>
      <c r="T2614" s="111"/>
      <c r="U2614" s="111"/>
      <c r="V2614" s="111"/>
      <c r="W2614" s="111"/>
      <c r="X2614" s="111"/>
      <c r="Y2614" s="111"/>
      <c r="Z2614" s="111"/>
      <c r="AA2614" s="111"/>
      <c r="AB2614" s="111"/>
      <c r="AC2614" s="111"/>
      <c r="AD2614" s="111"/>
      <c r="AE2614" s="111"/>
      <c r="AF2614" s="111"/>
      <c r="AG2614" s="111"/>
      <c r="AH2614" s="111"/>
    </row>
    <row r="2615">
      <c r="A2615" s="89"/>
      <c r="B2615" s="111"/>
      <c r="C2615" s="111"/>
      <c r="D2615" s="111"/>
      <c r="E2615" s="91"/>
      <c r="F2615" s="111"/>
      <c r="G2615" s="111"/>
      <c r="H2615" s="111"/>
      <c r="I2615" s="111"/>
      <c r="J2615" s="111"/>
      <c r="K2615" s="92"/>
      <c r="L2615" s="111"/>
      <c r="M2615" s="111"/>
      <c r="N2615" s="111"/>
      <c r="O2615" s="112"/>
      <c r="P2615" s="111"/>
      <c r="Q2615" s="111"/>
      <c r="R2615" s="111"/>
      <c r="S2615" s="111"/>
      <c r="T2615" s="111"/>
      <c r="U2615" s="111"/>
      <c r="V2615" s="111"/>
      <c r="W2615" s="111"/>
      <c r="X2615" s="111"/>
      <c r="Y2615" s="111"/>
      <c r="Z2615" s="111"/>
      <c r="AA2615" s="111"/>
      <c r="AB2615" s="111"/>
      <c r="AC2615" s="111"/>
      <c r="AD2615" s="111"/>
      <c r="AE2615" s="111"/>
      <c r="AF2615" s="111"/>
      <c r="AG2615" s="111"/>
      <c r="AH2615" s="111"/>
    </row>
    <row r="2616">
      <c r="A2616" s="89"/>
      <c r="B2616" s="111"/>
      <c r="C2616" s="111"/>
      <c r="D2616" s="111"/>
      <c r="E2616" s="91"/>
      <c r="F2616" s="111"/>
      <c r="G2616" s="111"/>
      <c r="H2616" s="111"/>
      <c r="I2616" s="111"/>
      <c r="J2616" s="111"/>
      <c r="K2616" s="92"/>
      <c r="L2616" s="111"/>
      <c r="M2616" s="111"/>
      <c r="N2616" s="111"/>
      <c r="O2616" s="112"/>
      <c r="P2616" s="111"/>
      <c r="Q2616" s="111"/>
      <c r="R2616" s="111"/>
      <c r="S2616" s="111"/>
      <c r="T2616" s="111"/>
      <c r="U2616" s="111"/>
      <c r="V2616" s="111"/>
      <c r="W2616" s="111"/>
      <c r="X2616" s="111"/>
      <c r="Y2616" s="111"/>
      <c r="Z2616" s="111"/>
      <c r="AA2616" s="111"/>
      <c r="AB2616" s="111"/>
      <c r="AC2616" s="111"/>
      <c r="AD2616" s="111"/>
      <c r="AE2616" s="111"/>
      <c r="AF2616" s="111"/>
      <c r="AG2616" s="111"/>
      <c r="AH2616" s="111"/>
    </row>
    <row r="2617">
      <c r="A2617" s="89"/>
      <c r="B2617" s="111"/>
      <c r="C2617" s="111"/>
      <c r="D2617" s="111"/>
      <c r="E2617" s="91"/>
      <c r="F2617" s="111"/>
      <c r="G2617" s="111"/>
      <c r="H2617" s="111"/>
      <c r="I2617" s="111"/>
      <c r="J2617" s="111"/>
      <c r="K2617" s="92"/>
      <c r="L2617" s="111"/>
      <c r="M2617" s="111"/>
      <c r="N2617" s="111"/>
      <c r="O2617" s="112"/>
      <c r="P2617" s="111"/>
      <c r="Q2617" s="111"/>
      <c r="R2617" s="111"/>
      <c r="S2617" s="111"/>
      <c r="T2617" s="111"/>
      <c r="U2617" s="111"/>
      <c r="V2617" s="111"/>
      <c r="W2617" s="111"/>
      <c r="X2617" s="111"/>
      <c r="Y2617" s="111"/>
      <c r="Z2617" s="111"/>
      <c r="AA2617" s="111"/>
      <c r="AB2617" s="111"/>
      <c r="AC2617" s="111"/>
      <c r="AD2617" s="111"/>
      <c r="AE2617" s="111"/>
      <c r="AF2617" s="111"/>
      <c r="AG2617" s="111"/>
      <c r="AH2617" s="111"/>
    </row>
    <row r="2618">
      <c r="A2618" s="89"/>
      <c r="B2618" s="111"/>
      <c r="C2618" s="111"/>
      <c r="D2618" s="111"/>
      <c r="E2618" s="91"/>
      <c r="F2618" s="111"/>
      <c r="G2618" s="111"/>
      <c r="H2618" s="111"/>
      <c r="I2618" s="111"/>
      <c r="J2618" s="111"/>
      <c r="K2618" s="92"/>
      <c r="L2618" s="111"/>
      <c r="M2618" s="111"/>
      <c r="N2618" s="111"/>
      <c r="O2618" s="112"/>
      <c r="P2618" s="111"/>
      <c r="Q2618" s="111"/>
      <c r="R2618" s="111"/>
      <c r="S2618" s="111"/>
      <c r="T2618" s="111"/>
      <c r="U2618" s="111"/>
      <c r="V2618" s="111"/>
      <c r="W2618" s="111"/>
      <c r="X2618" s="111"/>
      <c r="Y2618" s="111"/>
      <c r="Z2618" s="111"/>
      <c r="AA2618" s="111"/>
      <c r="AB2618" s="111"/>
      <c r="AC2618" s="111"/>
      <c r="AD2618" s="111"/>
      <c r="AE2618" s="111"/>
      <c r="AF2618" s="111"/>
      <c r="AG2618" s="111"/>
      <c r="AH2618" s="111"/>
    </row>
    <row r="2619">
      <c r="A2619" s="89"/>
      <c r="B2619" s="111"/>
      <c r="C2619" s="111"/>
      <c r="D2619" s="111"/>
      <c r="E2619" s="91"/>
      <c r="F2619" s="111"/>
      <c r="G2619" s="111"/>
      <c r="H2619" s="111"/>
      <c r="I2619" s="111"/>
      <c r="J2619" s="111"/>
      <c r="K2619" s="92"/>
      <c r="L2619" s="111"/>
      <c r="M2619" s="111"/>
      <c r="N2619" s="111"/>
      <c r="O2619" s="112"/>
      <c r="P2619" s="111"/>
      <c r="Q2619" s="111"/>
      <c r="R2619" s="111"/>
      <c r="S2619" s="111"/>
      <c r="T2619" s="111"/>
      <c r="U2619" s="111"/>
      <c r="V2619" s="111"/>
      <c r="W2619" s="111"/>
      <c r="X2619" s="111"/>
      <c r="Y2619" s="111"/>
      <c r="Z2619" s="111"/>
      <c r="AA2619" s="111"/>
      <c r="AB2619" s="111"/>
      <c r="AC2619" s="111"/>
      <c r="AD2619" s="111"/>
      <c r="AE2619" s="111"/>
      <c r="AF2619" s="111"/>
      <c r="AG2619" s="111"/>
      <c r="AH2619" s="111"/>
    </row>
    <row r="2620">
      <c r="A2620" s="89"/>
      <c r="B2620" s="111"/>
      <c r="C2620" s="111"/>
      <c r="D2620" s="111"/>
      <c r="E2620" s="91"/>
      <c r="F2620" s="111"/>
      <c r="G2620" s="111"/>
      <c r="H2620" s="111"/>
      <c r="I2620" s="111"/>
      <c r="J2620" s="111"/>
      <c r="K2620" s="92"/>
      <c r="L2620" s="111"/>
      <c r="M2620" s="111"/>
      <c r="N2620" s="111"/>
      <c r="O2620" s="112"/>
      <c r="P2620" s="111"/>
      <c r="Q2620" s="111"/>
      <c r="R2620" s="111"/>
      <c r="S2620" s="111"/>
      <c r="T2620" s="111"/>
      <c r="U2620" s="111"/>
      <c r="V2620" s="111"/>
      <c r="W2620" s="111"/>
      <c r="X2620" s="111"/>
      <c r="Y2620" s="111"/>
      <c r="Z2620" s="111"/>
      <c r="AA2620" s="111"/>
      <c r="AB2620" s="111"/>
      <c r="AC2620" s="111"/>
      <c r="AD2620" s="111"/>
      <c r="AE2620" s="111"/>
      <c r="AF2620" s="111"/>
      <c r="AG2620" s="111"/>
      <c r="AH2620" s="111"/>
    </row>
    <row r="2621">
      <c r="A2621" s="89"/>
      <c r="B2621" s="111"/>
      <c r="C2621" s="111"/>
      <c r="D2621" s="111"/>
      <c r="E2621" s="91"/>
      <c r="F2621" s="111"/>
      <c r="G2621" s="111"/>
      <c r="H2621" s="111"/>
      <c r="I2621" s="111"/>
      <c r="J2621" s="111"/>
      <c r="K2621" s="92"/>
      <c r="L2621" s="111"/>
      <c r="M2621" s="111"/>
      <c r="N2621" s="111"/>
      <c r="O2621" s="112"/>
      <c r="P2621" s="111"/>
      <c r="Q2621" s="111"/>
      <c r="R2621" s="111"/>
      <c r="S2621" s="111"/>
      <c r="T2621" s="111"/>
      <c r="U2621" s="111"/>
      <c r="V2621" s="111"/>
      <c r="W2621" s="111"/>
      <c r="X2621" s="111"/>
      <c r="Y2621" s="111"/>
      <c r="Z2621" s="111"/>
      <c r="AA2621" s="111"/>
      <c r="AB2621" s="111"/>
      <c r="AC2621" s="111"/>
      <c r="AD2621" s="111"/>
      <c r="AE2621" s="111"/>
      <c r="AF2621" s="111"/>
      <c r="AG2621" s="111"/>
      <c r="AH2621" s="111"/>
    </row>
    <row r="2622">
      <c r="A2622" s="89"/>
      <c r="B2622" s="111"/>
      <c r="C2622" s="111"/>
      <c r="D2622" s="111"/>
      <c r="E2622" s="91"/>
      <c r="F2622" s="111"/>
      <c r="G2622" s="111"/>
      <c r="H2622" s="111"/>
      <c r="I2622" s="111"/>
      <c r="J2622" s="111"/>
      <c r="K2622" s="92"/>
      <c r="L2622" s="111"/>
      <c r="M2622" s="111"/>
      <c r="N2622" s="111"/>
      <c r="O2622" s="112"/>
      <c r="P2622" s="111"/>
      <c r="Q2622" s="111"/>
      <c r="R2622" s="111"/>
      <c r="S2622" s="111"/>
      <c r="T2622" s="111"/>
      <c r="U2622" s="111"/>
      <c r="V2622" s="111"/>
      <c r="W2622" s="111"/>
      <c r="X2622" s="111"/>
      <c r="Y2622" s="111"/>
      <c r="Z2622" s="111"/>
      <c r="AA2622" s="111"/>
      <c r="AB2622" s="111"/>
      <c r="AC2622" s="111"/>
      <c r="AD2622" s="111"/>
      <c r="AE2622" s="111"/>
      <c r="AF2622" s="111"/>
      <c r="AG2622" s="111"/>
      <c r="AH2622" s="111"/>
    </row>
    <row r="2623">
      <c r="A2623" s="89"/>
      <c r="B2623" s="111"/>
      <c r="C2623" s="111"/>
      <c r="D2623" s="111"/>
      <c r="E2623" s="91"/>
      <c r="F2623" s="111"/>
      <c r="G2623" s="111"/>
      <c r="H2623" s="111"/>
      <c r="I2623" s="111"/>
      <c r="J2623" s="111"/>
      <c r="K2623" s="92"/>
      <c r="L2623" s="111"/>
      <c r="M2623" s="111"/>
      <c r="N2623" s="111"/>
      <c r="O2623" s="112"/>
      <c r="P2623" s="111"/>
      <c r="Q2623" s="111"/>
      <c r="R2623" s="111"/>
      <c r="S2623" s="111"/>
      <c r="T2623" s="111"/>
      <c r="U2623" s="111"/>
      <c r="V2623" s="111"/>
      <c r="W2623" s="111"/>
      <c r="X2623" s="111"/>
      <c r="Y2623" s="111"/>
      <c r="Z2623" s="111"/>
      <c r="AA2623" s="111"/>
      <c r="AB2623" s="111"/>
      <c r="AC2623" s="111"/>
      <c r="AD2623" s="111"/>
      <c r="AE2623" s="111"/>
      <c r="AF2623" s="111"/>
      <c r="AG2623" s="111"/>
      <c r="AH2623" s="111"/>
    </row>
    <row r="2624">
      <c r="A2624" s="89"/>
      <c r="B2624" s="111"/>
      <c r="C2624" s="111"/>
      <c r="D2624" s="111"/>
      <c r="E2624" s="91"/>
      <c r="F2624" s="111"/>
      <c r="G2624" s="111"/>
      <c r="H2624" s="111"/>
      <c r="I2624" s="111"/>
      <c r="J2624" s="111"/>
      <c r="K2624" s="92"/>
      <c r="L2624" s="111"/>
      <c r="M2624" s="111"/>
      <c r="N2624" s="111"/>
      <c r="O2624" s="112"/>
      <c r="P2624" s="111"/>
      <c r="Q2624" s="111"/>
      <c r="R2624" s="111"/>
      <c r="S2624" s="111"/>
      <c r="T2624" s="111"/>
      <c r="U2624" s="111"/>
      <c r="V2624" s="111"/>
      <c r="W2624" s="111"/>
      <c r="X2624" s="111"/>
      <c r="Y2624" s="111"/>
      <c r="Z2624" s="111"/>
      <c r="AA2624" s="111"/>
      <c r="AB2624" s="111"/>
      <c r="AC2624" s="111"/>
      <c r="AD2624" s="111"/>
      <c r="AE2624" s="111"/>
      <c r="AF2624" s="111"/>
      <c r="AG2624" s="111"/>
      <c r="AH2624" s="111"/>
    </row>
    <row r="2625">
      <c r="A2625" s="89"/>
      <c r="B2625" s="111"/>
      <c r="C2625" s="111"/>
      <c r="D2625" s="111"/>
      <c r="E2625" s="91"/>
      <c r="F2625" s="111"/>
      <c r="G2625" s="111"/>
      <c r="H2625" s="111"/>
      <c r="I2625" s="111"/>
      <c r="J2625" s="111"/>
      <c r="K2625" s="92"/>
      <c r="L2625" s="111"/>
      <c r="M2625" s="111"/>
      <c r="N2625" s="111"/>
      <c r="O2625" s="112"/>
      <c r="P2625" s="111"/>
      <c r="Q2625" s="111"/>
      <c r="R2625" s="111"/>
      <c r="S2625" s="111"/>
      <c r="T2625" s="111"/>
      <c r="U2625" s="111"/>
      <c r="V2625" s="111"/>
      <c r="W2625" s="111"/>
      <c r="X2625" s="111"/>
      <c r="Y2625" s="111"/>
      <c r="Z2625" s="111"/>
      <c r="AA2625" s="111"/>
      <c r="AB2625" s="111"/>
      <c r="AC2625" s="111"/>
      <c r="AD2625" s="111"/>
      <c r="AE2625" s="111"/>
      <c r="AF2625" s="111"/>
      <c r="AG2625" s="111"/>
      <c r="AH2625" s="111"/>
    </row>
    <row r="2626">
      <c r="A2626" s="89"/>
      <c r="B2626" s="111"/>
      <c r="C2626" s="111"/>
      <c r="D2626" s="111"/>
      <c r="E2626" s="91"/>
      <c r="F2626" s="111"/>
      <c r="G2626" s="111"/>
      <c r="H2626" s="111"/>
      <c r="I2626" s="111"/>
      <c r="J2626" s="111"/>
      <c r="K2626" s="92"/>
      <c r="L2626" s="111"/>
      <c r="M2626" s="111"/>
      <c r="N2626" s="111"/>
      <c r="O2626" s="112"/>
      <c r="P2626" s="111"/>
      <c r="Q2626" s="111"/>
      <c r="R2626" s="111"/>
      <c r="S2626" s="111"/>
      <c r="T2626" s="111"/>
      <c r="U2626" s="111"/>
      <c r="V2626" s="111"/>
      <c r="W2626" s="111"/>
      <c r="X2626" s="111"/>
      <c r="Y2626" s="111"/>
      <c r="Z2626" s="111"/>
      <c r="AA2626" s="111"/>
      <c r="AB2626" s="111"/>
      <c r="AC2626" s="111"/>
      <c r="AD2626" s="111"/>
      <c r="AE2626" s="111"/>
      <c r="AF2626" s="111"/>
      <c r="AG2626" s="111"/>
      <c r="AH2626" s="111"/>
    </row>
    <row r="2627">
      <c r="A2627" s="89"/>
      <c r="B2627" s="111"/>
      <c r="C2627" s="111"/>
      <c r="D2627" s="111"/>
      <c r="E2627" s="91"/>
      <c r="F2627" s="111"/>
      <c r="G2627" s="111"/>
      <c r="H2627" s="111"/>
      <c r="I2627" s="111"/>
      <c r="J2627" s="111"/>
      <c r="K2627" s="92"/>
      <c r="L2627" s="111"/>
      <c r="M2627" s="111"/>
      <c r="N2627" s="111"/>
      <c r="O2627" s="112"/>
      <c r="P2627" s="111"/>
      <c r="Q2627" s="111"/>
      <c r="R2627" s="111"/>
      <c r="S2627" s="111"/>
      <c r="T2627" s="111"/>
      <c r="U2627" s="111"/>
      <c r="V2627" s="111"/>
      <c r="W2627" s="111"/>
      <c r="X2627" s="111"/>
      <c r="Y2627" s="111"/>
      <c r="Z2627" s="111"/>
      <c r="AA2627" s="111"/>
      <c r="AB2627" s="111"/>
      <c r="AC2627" s="111"/>
      <c r="AD2627" s="111"/>
      <c r="AE2627" s="111"/>
      <c r="AF2627" s="111"/>
      <c r="AG2627" s="111"/>
      <c r="AH2627" s="111"/>
    </row>
    <row r="2628">
      <c r="A2628" s="89"/>
      <c r="B2628" s="111"/>
      <c r="C2628" s="111"/>
      <c r="D2628" s="111"/>
      <c r="E2628" s="91"/>
      <c r="F2628" s="111"/>
      <c r="G2628" s="111"/>
      <c r="H2628" s="111"/>
      <c r="I2628" s="111"/>
      <c r="J2628" s="111"/>
      <c r="K2628" s="92"/>
      <c r="L2628" s="111"/>
      <c r="M2628" s="111"/>
      <c r="N2628" s="111"/>
      <c r="O2628" s="112"/>
      <c r="P2628" s="111"/>
      <c r="Q2628" s="111"/>
      <c r="R2628" s="111"/>
      <c r="S2628" s="111"/>
      <c r="T2628" s="111"/>
      <c r="U2628" s="111"/>
      <c r="V2628" s="111"/>
      <c r="W2628" s="111"/>
      <c r="X2628" s="111"/>
      <c r="Y2628" s="111"/>
      <c r="Z2628" s="111"/>
      <c r="AA2628" s="111"/>
      <c r="AB2628" s="111"/>
      <c r="AC2628" s="111"/>
      <c r="AD2628" s="111"/>
      <c r="AE2628" s="111"/>
      <c r="AF2628" s="111"/>
      <c r="AG2628" s="111"/>
      <c r="AH2628" s="111"/>
    </row>
    <row r="2629">
      <c r="A2629" s="89"/>
      <c r="B2629" s="111"/>
      <c r="C2629" s="111"/>
      <c r="D2629" s="111"/>
      <c r="E2629" s="91"/>
      <c r="F2629" s="111"/>
      <c r="G2629" s="111"/>
      <c r="H2629" s="111"/>
      <c r="I2629" s="111"/>
      <c r="J2629" s="111"/>
      <c r="K2629" s="92"/>
      <c r="L2629" s="111"/>
      <c r="M2629" s="111"/>
      <c r="N2629" s="111"/>
      <c r="O2629" s="112"/>
      <c r="P2629" s="111"/>
      <c r="Q2629" s="111"/>
      <c r="R2629" s="111"/>
      <c r="S2629" s="111"/>
      <c r="T2629" s="111"/>
      <c r="U2629" s="111"/>
      <c r="V2629" s="111"/>
      <c r="W2629" s="111"/>
      <c r="X2629" s="111"/>
      <c r="Y2629" s="111"/>
      <c r="Z2629" s="111"/>
      <c r="AA2629" s="111"/>
      <c r="AB2629" s="111"/>
      <c r="AC2629" s="111"/>
      <c r="AD2629" s="111"/>
      <c r="AE2629" s="111"/>
      <c r="AF2629" s="111"/>
      <c r="AG2629" s="111"/>
      <c r="AH2629" s="111"/>
    </row>
    <row r="2630">
      <c r="A2630" s="89"/>
      <c r="B2630" s="111"/>
      <c r="C2630" s="111"/>
      <c r="D2630" s="111"/>
      <c r="E2630" s="91"/>
      <c r="F2630" s="111"/>
      <c r="G2630" s="111"/>
      <c r="H2630" s="111"/>
      <c r="I2630" s="111"/>
      <c r="J2630" s="111"/>
      <c r="K2630" s="92"/>
      <c r="L2630" s="111"/>
      <c r="M2630" s="111"/>
      <c r="N2630" s="111"/>
      <c r="O2630" s="112"/>
      <c r="P2630" s="111"/>
      <c r="Q2630" s="111"/>
      <c r="R2630" s="111"/>
      <c r="S2630" s="111"/>
      <c r="T2630" s="111"/>
      <c r="U2630" s="111"/>
      <c r="V2630" s="111"/>
      <c r="W2630" s="111"/>
      <c r="X2630" s="111"/>
      <c r="Y2630" s="111"/>
      <c r="Z2630" s="111"/>
      <c r="AA2630" s="111"/>
      <c r="AB2630" s="111"/>
      <c r="AC2630" s="111"/>
      <c r="AD2630" s="111"/>
      <c r="AE2630" s="111"/>
      <c r="AF2630" s="111"/>
      <c r="AG2630" s="111"/>
      <c r="AH2630" s="111"/>
    </row>
    <row r="2631">
      <c r="A2631" s="89"/>
      <c r="B2631" s="111"/>
      <c r="C2631" s="111"/>
      <c r="D2631" s="111"/>
      <c r="E2631" s="91"/>
      <c r="F2631" s="111"/>
      <c r="G2631" s="111"/>
      <c r="H2631" s="111"/>
      <c r="I2631" s="111"/>
      <c r="J2631" s="111"/>
      <c r="K2631" s="92"/>
      <c r="L2631" s="111"/>
      <c r="M2631" s="111"/>
      <c r="N2631" s="111"/>
      <c r="O2631" s="112"/>
      <c r="P2631" s="111"/>
      <c r="Q2631" s="111"/>
      <c r="R2631" s="111"/>
      <c r="S2631" s="111"/>
      <c r="T2631" s="111"/>
      <c r="U2631" s="111"/>
      <c r="V2631" s="111"/>
      <c r="W2631" s="111"/>
      <c r="X2631" s="111"/>
      <c r="Y2631" s="111"/>
      <c r="Z2631" s="111"/>
      <c r="AA2631" s="111"/>
      <c r="AB2631" s="111"/>
      <c r="AC2631" s="111"/>
      <c r="AD2631" s="111"/>
      <c r="AE2631" s="111"/>
      <c r="AF2631" s="111"/>
      <c r="AG2631" s="111"/>
      <c r="AH2631" s="111"/>
    </row>
    <row r="2632">
      <c r="A2632" s="89"/>
      <c r="B2632" s="111"/>
      <c r="C2632" s="111"/>
      <c r="D2632" s="111"/>
      <c r="E2632" s="91"/>
      <c r="F2632" s="111"/>
      <c r="G2632" s="111"/>
      <c r="H2632" s="111"/>
      <c r="I2632" s="111"/>
      <c r="J2632" s="111"/>
      <c r="K2632" s="92"/>
      <c r="L2632" s="111"/>
      <c r="M2632" s="111"/>
      <c r="N2632" s="111"/>
      <c r="O2632" s="112"/>
      <c r="P2632" s="111"/>
      <c r="Q2632" s="111"/>
      <c r="R2632" s="111"/>
      <c r="S2632" s="111"/>
      <c r="T2632" s="111"/>
      <c r="U2632" s="111"/>
      <c r="V2632" s="111"/>
      <c r="W2632" s="111"/>
      <c r="X2632" s="111"/>
      <c r="Y2632" s="111"/>
      <c r="Z2632" s="111"/>
      <c r="AA2632" s="111"/>
      <c r="AB2632" s="111"/>
      <c r="AC2632" s="111"/>
      <c r="AD2632" s="111"/>
      <c r="AE2632" s="111"/>
      <c r="AF2632" s="111"/>
      <c r="AG2632" s="111"/>
      <c r="AH2632" s="111"/>
    </row>
    <row r="2633">
      <c r="A2633" s="89"/>
      <c r="B2633" s="111"/>
      <c r="C2633" s="111"/>
      <c r="D2633" s="111"/>
      <c r="E2633" s="91"/>
      <c r="F2633" s="111"/>
      <c r="G2633" s="111"/>
      <c r="H2633" s="111"/>
      <c r="I2633" s="111"/>
      <c r="J2633" s="111"/>
      <c r="K2633" s="92"/>
      <c r="L2633" s="111"/>
      <c r="M2633" s="111"/>
      <c r="N2633" s="111"/>
      <c r="O2633" s="112"/>
      <c r="P2633" s="111"/>
      <c r="Q2633" s="111"/>
      <c r="R2633" s="111"/>
      <c r="S2633" s="111"/>
      <c r="T2633" s="111"/>
      <c r="U2633" s="111"/>
      <c r="V2633" s="111"/>
      <c r="W2633" s="111"/>
      <c r="X2633" s="111"/>
      <c r="Y2633" s="111"/>
      <c r="Z2633" s="111"/>
      <c r="AA2633" s="111"/>
      <c r="AB2633" s="111"/>
      <c r="AC2633" s="111"/>
      <c r="AD2633" s="111"/>
      <c r="AE2633" s="111"/>
      <c r="AF2633" s="111"/>
      <c r="AG2633" s="111"/>
      <c r="AH2633" s="111"/>
    </row>
    <row r="2634">
      <c r="A2634" s="89"/>
      <c r="B2634" s="111"/>
      <c r="C2634" s="111"/>
      <c r="D2634" s="111"/>
      <c r="E2634" s="91"/>
      <c r="F2634" s="111"/>
      <c r="G2634" s="111"/>
      <c r="H2634" s="111"/>
      <c r="I2634" s="111"/>
      <c r="J2634" s="111"/>
      <c r="K2634" s="92"/>
      <c r="L2634" s="111"/>
      <c r="M2634" s="111"/>
      <c r="N2634" s="111"/>
      <c r="O2634" s="112"/>
      <c r="P2634" s="111"/>
      <c r="Q2634" s="111"/>
      <c r="R2634" s="111"/>
      <c r="S2634" s="111"/>
      <c r="T2634" s="111"/>
      <c r="U2634" s="111"/>
      <c r="V2634" s="111"/>
      <c r="W2634" s="111"/>
      <c r="X2634" s="111"/>
      <c r="Y2634" s="111"/>
      <c r="Z2634" s="111"/>
      <c r="AA2634" s="111"/>
      <c r="AB2634" s="111"/>
      <c r="AC2634" s="111"/>
      <c r="AD2634" s="111"/>
      <c r="AE2634" s="111"/>
      <c r="AF2634" s="111"/>
      <c r="AG2634" s="111"/>
      <c r="AH2634" s="111"/>
    </row>
    <row r="2635">
      <c r="A2635" s="89"/>
      <c r="B2635" s="111"/>
      <c r="C2635" s="111"/>
      <c r="D2635" s="111"/>
      <c r="E2635" s="91"/>
      <c r="F2635" s="111"/>
      <c r="G2635" s="111"/>
      <c r="H2635" s="111"/>
      <c r="I2635" s="111"/>
      <c r="J2635" s="111"/>
      <c r="K2635" s="92"/>
      <c r="L2635" s="111"/>
      <c r="M2635" s="111"/>
      <c r="N2635" s="111"/>
      <c r="O2635" s="112"/>
      <c r="P2635" s="111"/>
      <c r="Q2635" s="111"/>
      <c r="R2635" s="111"/>
      <c r="S2635" s="111"/>
      <c r="T2635" s="111"/>
      <c r="U2635" s="111"/>
      <c r="V2635" s="111"/>
      <c r="W2635" s="111"/>
      <c r="X2635" s="111"/>
      <c r="Y2635" s="111"/>
      <c r="Z2635" s="111"/>
      <c r="AA2635" s="111"/>
      <c r="AB2635" s="111"/>
      <c r="AC2635" s="111"/>
      <c r="AD2635" s="111"/>
      <c r="AE2635" s="111"/>
      <c r="AF2635" s="111"/>
      <c r="AG2635" s="111"/>
      <c r="AH2635" s="111"/>
    </row>
    <row r="2636">
      <c r="A2636" s="89"/>
      <c r="B2636" s="111"/>
      <c r="C2636" s="111"/>
      <c r="D2636" s="111"/>
      <c r="E2636" s="91"/>
      <c r="F2636" s="111"/>
      <c r="G2636" s="111"/>
      <c r="H2636" s="111"/>
      <c r="I2636" s="111"/>
      <c r="J2636" s="111"/>
      <c r="K2636" s="92"/>
      <c r="L2636" s="111"/>
      <c r="M2636" s="111"/>
      <c r="N2636" s="111"/>
      <c r="O2636" s="112"/>
      <c r="P2636" s="111"/>
      <c r="Q2636" s="111"/>
      <c r="R2636" s="111"/>
      <c r="S2636" s="111"/>
      <c r="T2636" s="111"/>
      <c r="U2636" s="111"/>
      <c r="V2636" s="111"/>
      <c r="W2636" s="111"/>
      <c r="X2636" s="111"/>
      <c r="Y2636" s="111"/>
      <c r="Z2636" s="111"/>
      <c r="AA2636" s="111"/>
      <c r="AB2636" s="111"/>
      <c r="AC2636" s="111"/>
      <c r="AD2636" s="111"/>
      <c r="AE2636" s="111"/>
      <c r="AF2636" s="111"/>
      <c r="AG2636" s="111"/>
      <c r="AH2636" s="111"/>
    </row>
    <row r="2637">
      <c r="A2637" s="89"/>
      <c r="B2637" s="111"/>
      <c r="C2637" s="111"/>
      <c r="D2637" s="111"/>
      <c r="E2637" s="91"/>
      <c r="F2637" s="111"/>
      <c r="G2637" s="111"/>
      <c r="H2637" s="111"/>
      <c r="I2637" s="111"/>
      <c r="J2637" s="111"/>
      <c r="K2637" s="92"/>
      <c r="L2637" s="111"/>
      <c r="M2637" s="111"/>
      <c r="N2637" s="111"/>
      <c r="O2637" s="112"/>
      <c r="P2637" s="111"/>
      <c r="Q2637" s="111"/>
      <c r="R2637" s="111"/>
      <c r="S2637" s="111"/>
      <c r="T2637" s="111"/>
      <c r="U2637" s="111"/>
      <c r="V2637" s="111"/>
      <c r="W2637" s="111"/>
      <c r="X2637" s="111"/>
      <c r="Y2637" s="111"/>
      <c r="Z2637" s="111"/>
      <c r="AA2637" s="111"/>
      <c r="AB2637" s="111"/>
      <c r="AC2637" s="111"/>
      <c r="AD2637" s="111"/>
      <c r="AE2637" s="111"/>
      <c r="AF2637" s="111"/>
      <c r="AG2637" s="111"/>
      <c r="AH2637" s="111"/>
    </row>
    <row r="2638">
      <c r="A2638" s="89"/>
      <c r="B2638" s="111"/>
      <c r="C2638" s="111"/>
      <c r="D2638" s="111"/>
      <c r="E2638" s="91"/>
      <c r="F2638" s="111"/>
      <c r="G2638" s="111"/>
      <c r="H2638" s="111"/>
      <c r="I2638" s="111"/>
      <c r="J2638" s="111"/>
      <c r="K2638" s="92"/>
      <c r="L2638" s="111"/>
      <c r="M2638" s="111"/>
      <c r="N2638" s="111"/>
      <c r="O2638" s="112"/>
      <c r="P2638" s="111"/>
      <c r="Q2638" s="111"/>
      <c r="R2638" s="111"/>
      <c r="S2638" s="111"/>
      <c r="T2638" s="111"/>
      <c r="U2638" s="111"/>
      <c r="V2638" s="111"/>
      <c r="W2638" s="111"/>
      <c r="X2638" s="111"/>
      <c r="Y2638" s="111"/>
      <c r="Z2638" s="111"/>
      <c r="AA2638" s="111"/>
      <c r="AB2638" s="111"/>
      <c r="AC2638" s="111"/>
      <c r="AD2638" s="111"/>
      <c r="AE2638" s="111"/>
      <c r="AF2638" s="111"/>
      <c r="AG2638" s="111"/>
      <c r="AH2638" s="111"/>
    </row>
  </sheetData>
  <mergeCells count="555">
    <mergeCell ref="A541:AH542"/>
    <mergeCell ref="A543:E543"/>
    <mergeCell ref="F543:K543"/>
    <mergeCell ref="L543:M543"/>
    <mergeCell ref="N543:AH543"/>
    <mergeCell ref="A559:AH560"/>
    <mergeCell ref="A561:E561"/>
    <mergeCell ref="N561:AH561"/>
    <mergeCell ref="A577:AH578"/>
    <mergeCell ref="A579:E579"/>
    <mergeCell ref="F579:K579"/>
    <mergeCell ref="L579:M579"/>
    <mergeCell ref="N579:AH579"/>
    <mergeCell ref="A595:AH596"/>
    <mergeCell ref="F471:K471"/>
    <mergeCell ref="L471:M471"/>
    <mergeCell ref="A451:AH452"/>
    <mergeCell ref="A453:E453"/>
    <mergeCell ref="F453:K453"/>
    <mergeCell ref="L453:M453"/>
    <mergeCell ref="N453:AH453"/>
    <mergeCell ref="A469:AH470"/>
    <mergeCell ref="A471:E471"/>
    <mergeCell ref="N471:AH471"/>
    <mergeCell ref="A487:AH488"/>
    <mergeCell ref="A489:E489"/>
    <mergeCell ref="F489:K489"/>
    <mergeCell ref="L489:M489"/>
    <mergeCell ref="N489:AH489"/>
    <mergeCell ref="A505:AH506"/>
    <mergeCell ref="L525:M525"/>
    <mergeCell ref="N525:AH525"/>
    <mergeCell ref="A507:E507"/>
    <mergeCell ref="F507:K507"/>
    <mergeCell ref="L507:M507"/>
    <mergeCell ref="N507:AH507"/>
    <mergeCell ref="A523:AH524"/>
    <mergeCell ref="A525:E525"/>
    <mergeCell ref="F525:K525"/>
    <mergeCell ref="F561:K561"/>
    <mergeCell ref="L561:M561"/>
    <mergeCell ref="F651:K651"/>
    <mergeCell ref="L651:M651"/>
    <mergeCell ref="A631:AH632"/>
    <mergeCell ref="A633:E633"/>
    <mergeCell ref="F633:K633"/>
    <mergeCell ref="L633:M633"/>
    <mergeCell ref="N633:AH633"/>
    <mergeCell ref="A649:AH650"/>
    <mergeCell ref="A651:E651"/>
    <mergeCell ref="N651:AH651"/>
    <mergeCell ref="A667:AH668"/>
    <mergeCell ref="A669:E669"/>
    <mergeCell ref="F669:K669"/>
    <mergeCell ref="L669:M669"/>
    <mergeCell ref="N669:AH669"/>
    <mergeCell ref="A685:AH686"/>
    <mergeCell ref="L705:M705"/>
    <mergeCell ref="N705:AH705"/>
    <mergeCell ref="A687:E687"/>
    <mergeCell ref="F687:K687"/>
    <mergeCell ref="L687:M687"/>
    <mergeCell ref="N687:AH687"/>
    <mergeCell ref="A703:AH704"/>
    <mergeCell ref="A705:E705"/>
    <mergeCell ref="F705:K705"/>
    <mergeCell ref="F741:K741"/>
    <mergeCell ref="L741:M741"/>
    <mergeCell ref="A721:AH722"/>
    <mergeCell ref="A723:E723"/>
    <mergeCell ref="F723:K723"/>
    <mergeCell ref="L723:M723"/>
    <mergeCell ref="N723:AH723"/>
    <mergeCell ref="A739:AH740"/>
    <mergeCell ref="A741:E741"/>
    <mergeCell ref="N741:AH741"/>
    <mergeCell ref="A757:AH758"/>
    <mergeCell ref="A759:E759"/>
    <mergeCell ref="F759:K759"/>
    <mergeCell ref="L759:M759"/>
    <mergeCell ref="N759:AH759"/>
    <mergeCell ref="A775:AH776"/>
    <mergeCell ref="L795:M795"/>
    <mergeCell ref="N795:AH795"/>
    <mergeCell ref="A777:E777"/>
    <mergeCell ref="F777:K777"/>
    <mergeCell ref="L777:M777"/>
    <mergeCell ref="N777:AH777"/>
    <mergeCell ref="A793:AH794"/>
    <mergeCell ref="A795:E795"/>
    <mergeCell ref="F795:K795"/>
    <mergeCell ref="F831:K831"/>
    <mergeCell ref="L831:M831"/>
    <mergeCell ref="A811:AH812"/>
    <mergeCell ref="A813:E813"/>
    <mergeCell ref="F813:K813"/>
    <mergeCell ref="L813:M813"/>
    <mergeCell ref="N813:AH813"/>
    <mergeCell ref="A829:AH830"/>
    <mergeCell ref="A831:E831"/>
    <mergeCell ref="N831:AH831"/>
    <mergeCell ref="A847:AH848"/>
    <mergeCell ref="A849:E849"/>
    <mergeCell ref="F849:K849"/>
    <mergeCell ref="L849:M849"/>
    <mergeCell ref="N849:AH849"/>
    <mergeCell ref="A865:AH866"/>
    <mergeCell ref="L885:M885"/>
    <mergeCell ref="N885:AH885"/>
    <mergeCell ref="A867:E867"/>
    <mergeCell ref="F867:K867"/>
    <mergeCell ref="L867:M867"/>
    <mergeCell ref="N867:AH867"/>
    <mergeCell ref="A883:AH884"/>
    <mergeCell ref="A885:E885"/>
    <mergeCell ref="F885:K885"/>
    <mergeCell ref="A91:AH92"/>
    <mergeCell ref="A93:E93"/>
    <mergeCell ref="F93:K93"/>
    <mergeCell ref="L93:M93"/>
    <mergeCell ref="N93:AH93"/>
    <mergeCell ref="A109:AH110"/>
    <mergeCell ref="A111:E111"/>
    <mergeCell ref="N111:AH111"/>
    <mergeCell ref="A127:AH128"/>
    <mergeCell ref="A129:E129"/>
    <mergeCell ref="F129:K129"/>
    <mergeCell ref="L129:M129"/>
    <mergeCell ref="N129:AH129"/>
    <mergeCell ref="A145:AH146"/>
    <mergeCell ref="L165:M165"/>
    <mergeCell ref="N165:AH165"/>
    <mergeCell ref="A147:E147"/>
    <mergeCell ref="F147:K147"/>
    <mergeCell ref="L147:M147"/>
    <mergeCell ref="N147:AH147"/>
    <mergeCell ref="A163:AH164"/>
    <mergeCell ref="A165:E165"/>
    <mergeCell ref="F165:K165"/>
    <mergeCell ref="F21:K21"/>
    <mergeCell ref="L21:M21"/>
    <mergeCell ref="A1:AH2"/>
    <mergeCell ref="A3:E3"/>
    <mergeCell ref="F3:K3"/>
    <mergeCell ref="L3:M3"/>
    <mergeCell ref="N3:AH3"/>
    <mergeCell ref="A19:AH20"/>
    <mergeCell ref="A21:E21"/>
    <mergeCell ref="N21:AH21"/>
    <mergeCell ref="A37:AH38"/>
    <mergeCell ref="A39:E39"/>
    <mergeCell ref="F39:K39"/>
    <mergeCell ref="L39:M39"/>
    <mergeCell ref="N39:AH39"/>
    <mergeCell ref="A55:AH56"/>
    <mergeCell ref="L75:M75"/>
    <mergeCell ref="N75:AH75"/>
    <mergeCell ref="A57:E57"/>
    <mergeCell ref="F57:K57"/>
    <mergeCell ref="L57:M57"/>
    <mergeCell ref="N57:AH57"/>
    <mergeCell ref="A73:AH74"/>
    <mergeCell ref="A75:E75"/>
    <mergeCell ref="F75:K75"/>
    <mergeCell ref="F111:K111"/>
    <mergeCell ref="L111:M111"/>
    <mergeCell ref="F201:K201"/>
    <mergeCell ref="L201:M201"/>
    <mergeCell ref="A181:AH182"/>
    <mergeCell ref="A183:E183"/>
    <mergeCell ref="F183:K183"/>
    <mergeCell ref="L183:M183"/>
    <mergeCell ref="N183:AH183"/>
    <mergeCell ref="A199:AH200"/>
    <mergeCell ref="A201:E201"/>
    <mergeCell ref="N201:AH201"/>
    <mergeCell ref="A217:AH218"/>
    <mergeCell ref="A219:E219"/>
    <mergeCell ref="F219:K219"/>
    <mergeCell ref="L219:M219"/>
    <mergeCell ref="N219:AH219"/>
    <mergeCell ref="A235:AH236"/>
    <mergeCell ref="L255:M255"/>
    <mergeCell ref="N255:AH255"/>
    <mergeCell ref="A237:E237"/>
    <mergeCell ref="F237:K237"/>
    <mergeCell ref="L237:M237"/>
    <mergeCell ref="N237:AH237"/>
    <mergeCell ref="A253:AH254"/>
    <mergeCell ref="A255:E255"/>
    <mergeCell ref="F255:K255"/>
    <mergeCell ref="F291:K291"/>
    <mergeCell ref="L291:M291"/>
    <mergeCell ref="A271:AH272"/>
    <mergeCell ref="A273:E273"/>
    <mergeCell ref="F273:K273"/>
    <mergeCell ref="L273:M273"/>
    <mergeCell ref="N273:AH273"/>
    <mergeCell ref="A289:AH290"/>
    <mergeCell ref="A291:E291"/>
    <mergeCell ref="N291:AH291"/>
    <mergeCell ref="A307:AH308"/>
    <mergeCell ref="A309:E309"/>
    <mergeCell ref="F309:K309"/>
    <mergeCell ref="L309:M309"/>
    <mergeCell ref="N309:AH309"/>
    <mergeCell ref="A325:AH326"/>
    <mergeCell ref="L345:M345"/>
    <mergeCell ref="N345:AH345"/>
    <mergeCell ref="A327:E327"/>
    <mergeCell ref="F327:K327"/>
    <mergeCell ref="L327:M327"/>
    <mergeCell ref="N327:AH327"/>
    <mergeCell ref="A343:AH344"/>
    <mergeCell ref="A345:E345"/>
    <mergeCell ref="F345:K345"/>
    <mergeCell ref="F381:K381"/>
    <mergeCell ref="L381:M381"/>
    <mergeCell ref="A361:AH362"/>
    <mergeCell ref="A363:E363"/>
    <mergeCell ref="F363:K363"/>
    <mergeCell ref="L363:M363"/>
    <mergeCell ref="N363:AH363"/>
    <mergeCell ref="A379:AH380"/>
    <mergeCell ref="A381:E381"/>
    <mergeCell ref="N381:AH381"/>
    <mergeCell ref="A397:AH398"/>
    <mergeCell ref="A399:E399"/>
    <mergeCell ref="F399:K399"/>
    <mergeCell ref="L399:M399"/>
    <mergeCell ref="N399:AH399"/>
    <mergeCell ref="A415:AH416"/>
    <mergeCell ref="L435:M435"/>
    <mergeCell ref="N435:AH435"/>
    <mergeCell ref="A417:E417"/>
    <mergeCell ref="F417:K417"/>
    <mergeCell ref="L417:M417"/>
    <mergeCell ref="N417:AH417"/>
    <mergeCell ref="A433:AH434"/>
    <mergeCell ref="A435:E435"/>
    <mergeCell ref="F435:K435"/>
    <mergeCell ref="L615:M615"/>
    <mergeCell ref="N615:AH615"/>
    <mergeCell ref="A597:E597"/>
    <mergeCell ref="F597:K597"/>
    <mergeCell ref="L597:M597"/>
    <mergeCell ref="N597:AH597"/>
    <mergeCell ref="A613:AH614"/>
    <mergeCell ref="A615:E615"/>
    <mergeCell ref="F615:K615"/>
    <mergeCell ref="L1065:M1065"/>
    <mergeCell ref="N1065:AH1065"/>
    <mergeCell ref="A1047:E1047"/>
    <mergeCell ref="F1047:K1047"/>
    <mergeCell ref="L1047:M1047"/>
    <mergeCell ref="N1047:AH1047"/>
    <mergeCell ref="A1063:AH1064"/>
    <mergeCell ref="A1065:E1065"/>
    <mergeCell ref="F1065:K1065"/>
    <mergeCell ref="F1371:K1371"/>
    <mergeCell ref="L1371:M1371"/>
    <mergeCell ref="A1351:AH1352"/>
    <mergeCell ref="A1353:E1353"/>
    <mergeCell ref="F1353:K1353"/>
    <mergeCell ref="L1353:M1353"/>
    <mergeCell ref="N1353:AH1353"/>
    <mergeCell ref="A1369:AH1370"/>
    <mergeCell ref="A1371:E1371"/>
    <mergeCell ref="N1371:AH1371"/>
    <mergeCell ref="A1387:AH1388"/>
    <mergeCell ref="A1389:E1389"/>
    <mergeCell ref="F1389:K1389"/>
    <mergeCell ref="L1389:M1389"/>
    <mergeCell ref="N1389:AH1389"/>
    <mergeCell ref="A1405:AH1406"/>
    <mergeCell ref="L1425:M1425"/>
    <mergeCell ref="N1425:AH1425"/>
    <mergeCell ref="A1407:E1407"/>
    <mergeCell ref="F1407:K1407"/>
    <mergeCell ref="L1407:M1407"/>
    <mergeCell ref="N1407:AH1407"/>
    <mergeCell ref="A1423:AH1424"/>
    <mergeCell ref="A1425:E1425"/>
    <mergeCell ref="F1425:K1425"/>
    <mergeCell ref="F1461:K1461"/>
    <mergeCell ref="L1461:M1461"/>
    <mergeCell ref="F1551:K1551"/>
    <mergeCell ref="L1551:M1551"/>
    <mergeCell ref="A1531:AH1532"/>
    <mergeCell ref="A1533:E1533"/>
    <mergeCell ref="F1533:K1533"/>
    <mergeCell ref="L1533:M1533"/>
    <mergeCell ref="N1533:AH1533"/>
    <mergeCell ref="A1549:AH1550"/>
    <mergeCell ref="A1551:E1551"/>
    <mergeCell ref="N1551:AH1551"/>
    <mergeCell ref="A1567:AH1568"/>
    <mergeCell ref="A1569:E1569"/>
    <mergeCell ref="F1569:K1569"/>
    <mergeCell ref="L1569:M1569"/>
    <mergeCell ref="N1569:AH1569"/>
    <mergeCell ref="A1585:AH1586"/>
    <mergeCell ref="L1605:M1605"/>
    <mergeCell ref="N1605:AH1605"/>
    <mergeCell ref="A1587:E1587"/>
    <mergeCell ref="F1587:K1587"/>
    <mergeCell ref="L1587:M1587"/>
    <mergeCell ref="N1587:AH1587"/>
    <mergeCell ref="A1603:AH1604"/>
    <mergeCell ref="A1605:E1605"/>
    <mergeCell ref="F1605:K1605"/>
    <mergeCell ref="F1641:K1641"/>
    <mergeCell ref="L1641:M1641"/>
    <mergeCell ref="A1621:AH1622"/>
    <mergeCell ref="A1623:E1623"/>
    <mergeCell ref="F1623:K1623"/>
    <mergeCell ref="L1623:M1623"/>
    <mergeCell ref="N1623:AH1623"/>
    <mergeCell ref="A1639:AH1640"/>
    <mergeCell ref="A1641:E1641"/>
    <mergeCell ref="N1641:AH1641"/>
    <mergeCell ref="A1657:AH1658"/>
    <mergeCell ref="A1659:E1659"/>
    <mergeCell ref="F1659:K1659"/>
    <mergeCell ref="L1659:M1659"/>
    <mergeCell ref="N1659:AH1659"/>
    <mergeCell ref="A1675:AH1676"/>
    <mergeCell ref="A1891:AH1892"/>
    <mergeCell ref="A1893:E1893"/>
    <mergeCell ref="F1893:K1893"/>
    <mergeCell ref="L1893:M1893"/>
    <mergeCell ref="N1893:AH1893"/>
    <mergeCell ref="A1909:AH1910"/>
    <mergeCell ref="A1911:E1911"/>
    <mergeCell ref="N1911:AH1911"/>
    <mergeCell ref="A1927:AH1928"/>
    <mergeCell ref="A1929:E1929"/>
    <mergeCell ref="F1929:K1929"/>
    <mergeCell ref="L1929:M1929"/>
    <mergeCell ref="N1929:AH1929"/>
    <mergeCell ref="A1945:AH1946"/>
    <mergeCell ref="L1965:M1965"/>
    <mergeCell ref="N1965:AH1965"/>
    <mergeCell ref="A1947:E1947"/>
    <mergeCell ref="F1947:K1947"/>
    <mergeCell ref="L1947:M1947"/>
    <mergeCell ref="N1947:AH1947"/>
    <mergeCell ref="A1963:AH1964"/>
    <mergeCell ref="A1965:E1965"/>
    <mergeCell ref="F1965:K1965"/>
    <mergeCell ref="F1821:K1821"/>
    <mergeCell ref="L1821:M1821"/>
    <mergeCell ref="A1801:AH1802"/>
    <mergeCell ref="A1803:E1803"/>
    <mergeCell ref="F1803:K1803"/>
    <mergeCell ref="L1803:M1803"/>
    <mergeCell ref="N1803:AH1803"/>
    <mergeCell ref="A1819:AH1820"/>
    <mergeCell ref="A1821:E1821"/>
    <mergeCell ref="N1821:AH1821"/>
    <mergeCell ref="A1837:AH1838"/>
    <mergeCell ref="A1839:E1839"/>
    <mergeCell ref="F1839:K1839"/>
    <mergeCell ref="L1839:M1839"/>
    <mergeCell ref="N1839:AH1839"/>
    <mergeCell ref="A1855:AH1856"/>
    <mergeCell ref="L1875:M1875"/>
    <mergeCell ref="N1875:AH1875"/>
    <mergeCell ref="A1857:E1857"/>
    <mergeCell ref="F1857:K1857"/>
    <mergeCell ref="L1857:M1857"/>
    <mergeCell ref="N1857:AH1857"/>
    <mergeCell ref="A1873:AH1874"/>
    <mergeCell ref="A1875:E1875"/>
    <mergeCell ref="F1875:K1875"/>
    <mergeCell ref="F1911:K1911"/>
    <mergeCell ref="L1911:M1911"/>
    <mergeCell ref="A1981:AH1982"/>
    <mergeCell ref="A1983:E1983"/>
    <mergeCell ref="F1983:K1983"/>
    <mergeCell ref="L1983:M1983"/>
    <mergeCell ref="N1983:AH1983"/>
    <mergeCell ref="A991:AH992"/>
    <mergeCell ref="A993:E993"/>
    <mergeCell ref="F993:K993"/>
    <mergeCell ref="L993:M993"/>
    <mergeCell ref="N993:AH993"/>
    <mergeCell ref="A1009:AH1010"/>
    <mergeCell ref="A1011:E1011"/>
    <mergeCell ref="N1011:AH1011"/>
    <mergeCell ref="A1027:AH1028"/>
    <mergeCell ref="A1029:E1029"/>
    <mergeCell ref="F1029:K1029"/>
    <mergeCell ref="L1029:M1029"/>
    <mergeCell ref="N1029:AH1029"/>
    <mergeCell ref="A1045:AH1046"/>
    <mergeCell ref="F921:K921"/>
    <mergeCell ref="L921:M921"/>
    <mergeCell ref="A901:AH902"/>
    <mergeCell ref="A903:E903"/>
    <mergeCell ref="F903:K903"/>
    <mergeCell ref="L903:M903"/>
    <mergeCell ref="N903:AH903"/>
    <mergeCell ref="A919:AH920"/>
    <mergeCell ref="A921:E921"/>
    <mergeCell ref="N921:AH921"/>
    <mergeCell ref="A937:AH938"/>
    <mergeCell ref="A939:E939"/>
    <mergeCell ref="F939:K939"/>
    <mergeCell ref="L939:M939"/>
    <mergeCell ref="N939:AH939"/>
    <mergeCell ref="A955:AH956"/>
    <mergeCell ref="L975:M975"/>
    <mergeCell ref="N975:AH975"/>
    <mergeCell ref="A957:E957"/>
    <mergeCell ref="F957:K957"/>
    <mergeCell ref="L957:M957"/>
    <mergeCell ref="N957:AH957"/>
    <mergeCell ref="A973:AH974"/>
    <mergeCell ref="A975:E975"/>
    <mergeCell ref="F975:K975"/>
    <mergeCell ref="F1011:K1011"/>
    <mergeCell ref="L1011:M1011"/>
    <mergeCell ref="F1101:K1101"/>
    <mergeCell ref="L1101:M1101"/>
    <mergeCell ref="A1081:AH1082"/>
    <mergeCell ref="A1083:E1083"/>
    <mergeCell ref="F1083:K1083"/>
    <mergeCell ref="L1083:M1083"/>
    <mergeCell ref="N1083:AH1083"/>
    <mergeCell ref="A1099:AH1100"/>
    <mergeCell ref="A1101:E1101"/>
    <mergeCell ref="N1101:AH1101"/>
    <mergeCell ref="A1117:AH1118"/>
    <mergeCell ref="A1119:E1119"/>
    <mergeCell ref="F1119:K1119"/>
    <mergeCell ref="L1119:M1119"/>
    <mergeCell ref="N1119:AH1119"/>
    <mergeCell ref="A1135:AH1136"/>
    <mergeCell ref="L1155:M1155"/>
    <mergeCell ref="N1155:AH1155"/>
    <mergeCell ref="A1137:E1137"/>
    <mergeCell ref="F1137:K1137"/>
    <mergeCell ref="L1137:M1137"/>
    <mergeCell ref="N1137:AH1137"/>
    <mergeCell ref="A1153:AH1154"/>
    <mergeCell ref="A1155:E1155"/>
    <mergeCell ref="F1155:K1155"/>
    <mergeCell ref="F1191:K1191"/>
    <mergeCell ref="L1191:M1191"/>
    <mergeCell ref="A1171:AH1172"/>
    <mergeCell ref="A1173:E1173"/>
    <mergeCell ref="F1173:K1173"/>
    <mergeCell ref="L1173:M1173"/>
    <mergeCell ref="N1173:AH1173"/>
    <mergeCell ref="A1189:AH1190"/>
    <mergeCell ref="A1191:E1191"/>
    <mergeCell ref="N1191:AH1191"/>
    <mergeCell ref="A1207:AH1208"/>
    <mergeCell ref="A1209:E1209"/>
    <mergeCell ref="F1209:K1209"/>
    <mergeCell ref="L1209:M1209"/>
    <mergeCell ref="N1209:AH1209"/>
    <mergeCell ref="A1225:AH1226"/>
    <mergeCell ref="L1245:M1245"/>
    <mergeCell ref="N1245:AH1245"/>
    <mergeCell ref="A1227:E1227"/>
    <mergeCell ref="F1227:K1227"/>
    <mergeCell ref="L1227:M1227"/>
    <mergeCell ref="N1227:AH1227"/>
    <mergeCell ref="A1243:AH1244"/>
    <mergeCell ref="A1245:E1245"/>
    <mergeCell ref="F1245:K1245"/>
    <mergeCell ref="F1281:K1281"/>
    <mergeCell ref="L1281:M1281"/>
    <mergeCell ref="A1261:AH1262"/>
    <mergeCell ref="A1263:E1263"/>
    <mergeCell ref="F1263:K1263"/>
    <mergeCell ref="L1263:M1263"/>
    <mergeCell ref="N1263:AH1263"/>
    <mergeCell ref="A1279:AH1280"/>
    <mergeCell ref="A1281:E1281"/>
    <mergeCell ref="N1281:AH1281"/>
    <mergeCell ref="A1297:AH1298"/>
    <mergeCell ref="A1299:E1299"/>
    <mergeCell ref="F1299:K1299"/>
    <mergeCell ref="L1299:M1299"/>
    <mergeCell ref="N1299:AH1299"/>
    <mergeCell ref="A1315:AH1316"/>
    <mergeCell ref="L1335:M1335"/>
    <mergeCell ref="N1335:AH1335"/>
    <mergeCell ref="A1317:E1317"/>
    <mergeCell ref="F1317:K1317"/>
    <mergeCell ref="L1317:M1317"/>
    <mergeCell ref="N1317:AH1317"/>
    <mergeCell ref="A1333:AH1334"/>
    <mergeCell ref="A1335:E1335"/>
    <mergeCell ref="F1335:K1335"/>
    <mergeCell ref="A1441:AH1442"/>
    <mergeCell ref="A1443:E1443"/>
    <mergeCell ref="F1443:K1443"/>
    <mergeCell ref="L1443:M1443"/>
    <mergeCell ref="N1443:AH1443"/>
    <mergeCell ref="A1459:AH1460"/>
    <mergeCell ref="A1461:E1461"/>
    <mergeCell ref="N1461:AH1461"/>
    <mergeCell ref="A1477:AH1478"/>
    <mergeCell ref="A1479:E1479"/>
    <mergeCell ref="F1479:K1479"/>
    <mergeCell ref="L1479:M1479"/>
    <mergeCell ref="N1479:AH1479"/>
    <mergeCell ref="A1495:AH1496"/>
    <mergeCell ref="L1515:M1515"/>
    <mergeCell ref="N1515:AH1515"/>
    <mergeCell ref="A1497:E1497"/>
    <mergeCell ref="F1497:K1497"/>
    <mergeCell ref="L1497:M1497"/>
    <mergeCell ref="N1497:AH1497"/>
    <mergeCell ref="A1513:AH1514"/>
    <mergeCell ref="A1515:E1515"/>
    <mergeCell ref="F1515:K1515"/>
    <mergeCell ref="L1695:M1695"/>
    <mergeCell ref="N1695:AH1695"/>
    <mergeCell ref="A1677:E1677"/>
    <mergeCell ref="F1677:K1677"/>
    <mergeCell ref="L1677:M1677"/>
    <mergeCell ref="N1677:AH1677"/>
    <mergeCell ref="A1693:AH1694"/>
    <mergeCell ref="A1695:E1695"/>
    <mergeCell ref="F1695:K1695"/>
    <mergeCell ref="F1731:K1731"/>
    <mergeCell ref="L1731:M1731"/>
    <mergeCell ref="A1711:AH1712"/>
    <mergeCell ref="A1713:E1713"/>
    <mergeCell ref="F1713:K1713"/>
    <mergeCell ref="L1713:M1713"/>
    <mergeCell ref="N1713:AH1713"/>
    <mergeCell ref="A1729:AH1730"/>
    <mergeCell ref="A1731:E1731"/>
    <mergeCell ref="N1731:AH1731"/>
    <mergeCell ref="A1747:AH1748"/>
    <mergeCell ref="A1749:E1749"/>
    <mergeCell ref="F1749:K1749"/>
    <mergeCell ref="L1749:M1749"/>
    <mergeCell ref="N1749:AH1749"/>
    <mergeCell ref="A1765:AH1766"/>
    <mergeCell ref="L1785:M1785"/>
    <mergeCell ref="N1785:AH1785"/>
    <mergeCell ref="A1767:E1767"/>
    <mergeCell ref="F1767:K1767"/>
    <mergeCell ref="L1767:M1767"/>
    <mergeCell ref="N1767:AH1767"/>
    <mergeCell ref="A1783:AH1784"/>
    <mergeCell ref="A1785:E1785"/>
    <mergeCell ref="F1785:K1785"/>
  </mergeCells>
  <hyperlinks>
    <hyperlink r:id="rId1" ref="A109"/>
    <hyperlink r:id="rId2" ref="A127"/>
    <hyperlink r:id="rId3" ref="A145"/>
    <hyperlink r:id="rId4" ref="A217"/>
    <hyperlink r:id="rId5" ref="A307"/>
    <hyperlink r:id="rId6" ref="A325"/>
    <hyperlink r:id="rId7" ref="A739"/>
    <hyperlink r:id="rId8" ref="A757"/>
    <hyperlink r:id="rId9" ref="A901"/>
    <hyperlink r:id="rId10" ref="A919"/>
    <hyperlink r:id="rId11" ref="A1135"/>
    <hyperlink r:id="rId12" ref="A1153"/>
    <hyperlink r:id="rId13" ref="A1315"/>
    <hyperlink r:id="rId14" ref="A1333"/>
    <hyperlink r:id="rId15" ref="A1423"/>
    <hyperlink r:id="rId16" ref="A1441"/>
    <hyperlink r:id="rId17" ref="A1495"/>
    <hyperlink r:id="rId18" ref="A1513"/>
    <hyperlink r:id="rId19" ref="A1639"/>
    <hyperlink r:id="rId20" ref="A1657"/>
    <hyperlink r:id="rId21" ref="A1711"/>
    <hyperlink r:id="rId22" ref="A1729"/>
    <hyperlink r:id="rId23" ref="A1891"/>
    <hyperlink r:id="rId24" ref="A1909"/>
  </hyperlinks>
  <drawing r:id="rId25"/>
</worksheet>
</file>