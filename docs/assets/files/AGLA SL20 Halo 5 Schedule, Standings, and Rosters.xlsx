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tandings" sheetId="2" r:id="rId5"/>
    <sheet state="visible" name="Rosters" sheetId="3" r:id="rId6"/>
  </sheets>
  <definedNames/>
  <calcPr/>
</workbook>
</file>

<file path=xl/sharedStrings.xml><?xml version="1.0" encoding="utf-8"?>
<sst xmlns="http://schemas.openxmlformats.org/spreadsheetml/2006/main" count="117" uniqueCount="107">
  <si>
    <t>AGLA SL20 Halo 5 Schedule</t>
  </si>
  <si>
    <t>SUN</t>
  </si>
  <si>
    <t>MON</t>
  </si>
  <si>
    <t>TUES</t>
  </si>
  <si>
    <t>WED</t>
  </si>
  <si>
    <t>THURS</t>
  </si>
  <si>
    <t>FRI</t>
  </si>
  <si>
    <t>SAT</t>
  </si>
  <si>
    <t xml:space="preserve">
9:30pm: Impulse (5) vs. High Voltage (1)</t>
  </si>
  <si>
    <t xml:space="preserve">8:30pm: Junkyard Dogs (5) vs. Behind Enemy Lines (1)
</t>
  </si>
  <si>
    <t>8:00pm: Legacy (5) vs. Behind Enemy Lines (1)
8:30pm: Power OUtage (3) vs. Legacy (5)</t>
  </si>
  <si>
    <t>9:00pm: Power Outage (5) vs. Oblivion (3)</t>
  </si>
  <si>
    <t>9:00pm: Lag Spike (4) vs. Endgame (5)
9:00pm: Oblivion (0) vs. High Voltage (5)
9:30pm: Endgame (0) vs. Junkyard Dogs (5)</t>
  </si>
  <si>
    <t xml:space="preserve">9:30pm: Impulse (5) vs. Oblivion (2)
10:00pm: Legacy (5) vs. Impulse (0)
</t>
  </si>
  <si>
    <t>7:30pm: Impulse (1) vs. Behind Enemy Lines (5)
9:30pm: High Voltage (1) vs. Junkyard Dogs (5)</t>
  </si>
  <si>
    <t>9:30pm: Lag Spike (2) vs. High Voltage (5)</t>
  </si>
  <si>
    <r>
      <rPr>
        <rFont val="Century Gothic"/>
        <color rgb="FF333F4F"/>
        <sz val="9.0"/>
      </rPr>
      <t xml:space="preserve">8:30pm: Power Outage (0) vs. High Voltage (5)
</t>
    </r>
    <r>
      <rPr>
        <rFont val="Century Gothic"/>
        <b/>
        <color rgb="FF000000"/>
        <sz val="9.0"/>
      </rPr>
      <t xml:space="preserve">9:30pm: </t>
    </r>
    <r>
      <rPr>
        <rFont val="Century Gothic"/>
        <b/>
        <color rgb="FFFF0000"/>
        <sz val="9.0"/>
      </rPr>
      <t>Lag Spike</t>
    </r>
    <r>
      <rPr>
        <rFont val="Century Gothic"/>
        <b/>
        <color rgb="FF000000"/>
        <sz val="9.0"/>
      </rPr>
      <t xml:space="preserve"> vs. Power Outage</t>
    </r>
    <r>
      <rPr>
        <rFont val="Century Gothic"/>
        <color rgb="FF000000"/>
        <sz val="9.0"/>
      </rPr>
      <t xml:space="preserve">
</t>
    </r>
    <r>
      <rPr>
        <rFont val="Century Gothic"/>
        <color rgb="FF333F4F"/>
        <sz val="9.0"/>
      </rPr>
      <t xml:space="preserve">
</t>
    </r>
  </si>
  <si>
    <t>9:00pm: Legacy (1) vs. Endgame (5)
9:30pm: Endgame (3) vs. Behind Enemy Lines (5)
9:30pm: Oblivion (1) vs. Junkyard Dogs (5)</t>
  </si>
  <si>
    <r>
      <rPr>
        <rFont val="Century Gothic"/>
        <color rgb="FF333F4F"/>
        <sz val="9.0"/>
      </rPr>
      <t xml:space="preserve">8:30pm: Legacy (5) vs Oblivion (0)
9:00pm: Legacy (3) vs. High Voltage (5)
</t>
    </r>
    <r>
      <rPr>
        <rFont val="Century Gothic"/>
        <b/>
        <color rgb="FF000000"/>
        <sz val="9.0"/>
      </rPr>
      <t xml:space="preserve">9:00pm: Impulse vs. </t>
    </r>
    <r>
      <rPr>
        <rFont val="Century Gothic"/>
        <b/>
        <color rgb="FFFF0000"/>
        <sz val="9.0"/>
      </rPr>
      <t>Lag Spike</t>
    </r>
  </si>
  <si>
    <r>
      <rPr>
        <rFont val="Century Gothic"/>
        <b/>
        <color rgb="FF000000"/>
        <sz val="9.0"/>
      </rPr>
      <t xml:space="preserve">9:00pm: </t>
    </r>
    <r>
      <rPr>
        <rFont val="Century Gothic"/>
        <b/>
        <color rgb="FFFF0000"/>
        <sz val="9.0"/>
      </rPr>
      <t>Impulse</t>
    </r>
    <r>
      <rPr>
        <rFont val="Century Gothic"/>
        <b/>
        <color rgb="FF000000"/>
        <sz val="9.0"/>
      </rPr>
      <t xml:space="preserve"> vs. Junkyard Dogs
</t>
    </r>
    <r>
      <rPr>
        <rFont val="Century Gothic"/>
        <color rgb="FF333F4F"/>
        <sz val="9.0"/>
      </rPr>
      <t xml:space="preserve">
9:00pm: Lag Spike (3) vs. Behind Enemy Lines (5)</t>
    </r>
  </si>
  <si>
    <t>9:30pm: Junkyard Dogs (5) vs. Legacy (1)</t>
  </si>
  <si>
    <t>8:30pm: Behind Enemy Lines (5) vs. Power Outage (3)</t>
  </si>
  <si>
    <r>
      <rPr>
        <rFont val="Century Gothic"/>
        <b/>
        <color rgb="FF000000"/>
        <sz val="9.0"/>
      </rPr>
      <t xml:space="preserve">9:00pm: </t>
    </r>
    <r>
      <rPr>
        <rFont val="Century Gothic"/>
        <b/>
        <color rgb="FFFF0000"/>
        <sz val="9.0"/>
      </rPr>
      <t>Power Outage</t>
    </r>
    <r>
      <rPr>
        <rFont val="Century Gothic"/>
        <b/>
        <color rgb="FF000000"/>
        <sz val="9.0"/>
      </rPr>
      <t xml:space="preserve"> vs. Endgame
</t>
    </r>
    <r>
      <rPr>
        <rFont val="Century Gothic"/>
        <color rgb="FF333F4F"/>
        <sz val="9.0"/>
      </rPr>
      <t xml:space="preserve">
9:30pm: Endgame (5) vs. Oblivion (1)</t>
    </r>
  </si>
  <si>
    <r>
      <rPr>
        <rFont val="Century Gothic"/>
        <b/>
        <color rgb="FF000000"/>
        <sz val="9.0"/>
      </rPr>
      <t xml:space="preserve">9:30pm: Oblivion vs. </t>
    </r>
    <r>
      <rPr>
        <rFont val="Century Gothic"/>
        <b/>
        <color rgb="FFFF0000"/>
        <sz val="9.0"/>
      </rPr>
      <t>Lag Spike</t>
    </r>
  </si>
  <si>
    <r>
      <rPr>
        <rFont val="Century Gothic"/>
        <b/>
        <color rgb="FF333F4F"/>
        <sz val="9.0"/>
      </rPr>
      <t>9:00pm: Power OUtage (5) vs. Impulse (1)</t>
    </r>
    <r>
      <rPr>
        <rFont val="Century Gothic"/>
        <color rgb="FF333F4F"/>
        <sz val="9.0"/>
      </rPr>
      <t xml:space="preserve">
</t>
    </r>
    <r>
      <rPr>
        <rFont val="Century Gothic"/>
        <b/>
        <color rgb="FF000000"/>
        <sz val="9.0"/>
      </rPr>
      <t xml:space="preserve">9:30pm: Junkyard Dogs vs. </t>
    </r>
    <r>
      <rPr>
        <rFont val="Century Gothic"/>
        <b/>
        <color rgb="FFFF0000"/>
        <sz val="9.0"/>
      </rPr>
      <t>Lag Spike</t>
    </r>
  </si>
  <si>
    <r>
      <rPr>
        <rFont val="Century Gothic"/>
        <color rgb="FF333F4F"/>
        <sz val="9.0"/>
      </rPr>
      <t xml:space="preserve">9:00pm: Power Outage (0) vs. Junkyard Dogs (5)
</t>
    </r>
    <r>
      <rPr>
        <rFont val="Century Gothic"/>
        <b/>
        <color rgb="FF000000"/>
        <sz val="9.0"/>
      </rPr>
      <t xml:space="preserve">9:30pm: </t>
    </r>
    <r>
      <rPr>
        <rFont val="Century Gothic"/>
        <b/>
        <color rgb="FFFF0000"/>
        <sz val="9.0"/>
      </rPr>
      <t>Lag Spike</t>
    </r>
    <r>
      <rPr>
        <rFont val="Century Gothic"/>
        <b/>
        <color rgb="FF000000"/>
        <sz val="9.0"/>
      </rPr>
      <t xml:space="preserve"> vs. Legacy</t>
    </r>
  </si>
  <si>
    <t>8:00pm: Behind Enemy Lines (1) vs. High Voltage (5)</t>
  </si>
  <si>
    <r>
      <rPr>
        <rFont val="Century Gothic"/>
        <b/>
        <color rgb="FF000000"/>
        <sz val="9.0"/>
      </rPr>
      <t xml:space="preserve">8:00pm: </t>
    </r>
    <r>
      <rPr>
        <rFont val="Century Gothic"/>
        <b/>
        <color rgb="FFFF0000"/>
        <sz val="9.0"/>
      </rPr>
      <t>Oblivion</t>
    </r>
    <r>
      <rPr>
        <rFont val="Century Gothic"/>
        <b/>
        <color rgb="FF000000"/>
        <sz val="9.0"/>
      </rPr>
      <t xml:space="preserve"> vs. Behind Enemy Lines</t>
    </r>
  </si>
  <si>
    <r>
      <rPr>
        <rFont val="Century Gothic"/>
        <color rgb="FF333F4F"/>
        <sz val="9.0"/>
      </rPr>
      <t xml:space="preserve">9:00pm: Impulse (0) vs. Endgame (5)
</t>
    </r>
    <r>
      <rPr>
        <rFont val="Century Gothic"/>
        <b/>
        <color rgb="FF000000"/>
        <sz val="9.0"/>
      </rPr>
      <t xml:space="preserve">9:30pm: </t>
    </r>
    <r>
      <rPr>
        <rFont val="Century Gothic"/>
        <b/>
        <color rgb="FFFF0000"/>
        <sz val="9.0"/>
      </rPr>
      <t xml:space="preserve">Endgame </t>
    </r>
    <r>
      <rPr>
        <rFont val="Century Gothic"/>
        <b/>
        <color rgb="FF000000"/>
        <sz val="9.0"/>
      </rPr>
      <t xml:space="preserve">vs. </t>
    </r>
    <r>
      <rPr>
        <rFont val="Century Gothic"/>
        <b/>
        <color rgb="FFFF0000"/>
        <sz val="9.0"/>
      </rPr>
      <t>High Voltage</t>
    </r>
  </si>
  <si>
    <t>N O T E S</t>
  </si>
  <si>
    <r>
      <rPr>
        <rFont val="Century Gothic"/>
        <color rgb="FF333F4F"/>
        <sz val="12.0"/>
      </rPr>
      <t xml:space="preserve">Games in </t>
    </r>
    <r>
      <rPr>
        <rFont val="Century Gothic"/>
        <b/>
        <color rgb="FF333F4F"/>
        <sz val="12.0"/>
      </rPr>
      <t>bold</t>
    </r>
    <r>
      <rPr>
        <rFont val="Century Gothic"/>
        <color rgb="FF333F4F"/>
        <sz val="12.0"/>
      </rPr>
      <t xml:space="preserve"> have not been reported
To quickly find your team's games simply hit Control+F and type in your team name. </t>
    </r>
  </si>
  <si>
    <t>AGLA Console Circuit: Halo 5 Series Standings</t>
  </si>
  <si>
    <t>Team</t>
  </si>
  <si>
    <t>Wins</t>
  </si>
  <si>
    <t>Losses</t>
  </si>
  <si>
    <t>Gaols For</t>
  </si>
  <si>
    <t>Goals Against</t>
  </si>
  <si>
    <t>Goal Efficiency</t>
  </si>
  <si>
    <t>Junkyard Dogs</t>
  </si>
  <si>
    <t>High Voltage</t>
  </si>
  <si>
    <t>Endgame</t>
  </si>
  <si>
    <t>Legacy</t>
  </si>
  <si>
    <t>Behind Enemy Lines</t>
  </si>
  <si>
    <t>Impulse</t>
  </si>
  <si>
    <t>Power Outage</t>
  </si>
  <si>
    <t>Oblivion</t>
  </si>
  <si>
    <t>Lag Spike</t>
  </si>
  <si>
    <t>Captain</t>
  </si>
  <si>
    <t>Player 1</t>
  </si>
  <si>
    <t>Player 2</t>
  </si>
  <si>
    <t>Player 3</t>
  </si>
  <si>
    <t>Player 4</t>
  </si>
  <si>
    <t>Player 5</t>
  </si>
  <si>
    <t>KindredDaedric</t>
  </si>
  <si>
    <t>Ace B S1lentND1</t>
  </si>
  <si>
    <t>Tariq TE</t>
  </si>
  <si>
    <t>FadedFLYS</t>
  </si>
  <si>
    <t>Scet</t>
  </si>
  <si>
    <t>Vickfan7</t>
  </si>
  <si>
    <t>Cavalier IV</t>
  </si>
  <si>
    <t>Ming Crusader</t>
  </si>
  <si>
    <t>Silva</t>
  </si>
  <si>
    <t>SnipezzzTTV</t>
  </si>
  <si>
    <t>El Diablo X230X</t>
  </si>
  <si>
    <t>Fireboy</t>
  </si>
  <si>
    <t>TcT Avenger</t>
  </si>
  <si>
    <t>Galvann</t>
  </si>
  <si>
    <t>xSeoulSnatch</t>
  </si>
  <si>
    <t>Mungo Pungo</t>
  </si>
  <si>
    <t>Nard0turko</t>
  </si>
  <si>
    <t>Grunt Padre</t>
  </si>
  <si>
    <t>Skiyttles</t>
  </si>
  <si>
    <t>KDSkill</t>
  </si>
  <si>
    <t>Innerimoral (Veli)</t>
  </si>
  <si>
    <t>Enfright (Weabs)</t>
  </si>
  <si>
    <t>oDhmon</t>
  </si>
  <si>
    <t>SIMQ</t>
  </si>
  <si>
    <t>Activehate</t>
  </si>
  <si>
    <t>Rage More Nerd</t>
  </si>
  <si>
    <t>Mr Above Nub</t>
  </si>
  <si>
    <t>Priest XYZ</t>
  </si>
  <si>
    <t>frenzh</t>
  </si>
  <si>
    <t>Revengeinthesky</t>
  </si>
  <si>
    <t>TcT Jbomb</t>
  </si>
  <si>
    <t>MysticalNovice</t>
  </si>
  <si>
    <t>KING RICKXL</t>
  </si>
  <si>
    <t>Havoc Puppies</t>
  </si>
  <si>
    <t>BigDaddyMayan</t>
  </si>
  <si>
    <t>RedHeadKing</t>
  </si>
  <si>
    <t>MsMeowlla</t>
  </si>
  <si>
    <t>Hide yo o kidz</t>
  </si>
  <si>
    <t>DCleak</t>
  </si>
  <si>
    <t>Its Rainin MenZ</t>
  </si>
  <si>
    <t>Psayi</t>
  </si>
  <si>
    <t>C Slick4</t>
  </si>
  <si>
    <t>Reyas</t>
  </si>
  <si>
    <t>BCN19</t>
  </si>
  <si>
    <t>Thumpinghawk</t>
  </si>
  <si>
    <t>Trespa5s</t>
  </si>
  <si>
    <t>redangela1</t>
  </si>
  <si>
    <t>Shifty X Team 5</t>
  </si>
  <si>
    <t>Stop Killing Me</t>
  </si>
  <si>
    <t>The Eastbrook</t>
  </si>
  <si>
    <t>Xz Amicable</t>
  </si>
  <si>
    <t>Kuuchsurk</t>
  </si>
  <si>
    <t>AsCrack2255</t>
  </si>
  <si>
    <t>Brumak97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</si>
</sst>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2.0"/>
      <color rgb="FF000000"/>
      <name val="Calibri"/>
    </font>
    <font>
      <b/>
      <sz val="12.0"/>
      <color rgb="FF000000"/>
      <name val="Arial"/>
    </font>
    <font>
      <b/>
      <sz val="24.0"/>
      <color rgb="FF333F4F"/>
      <name val="Century Gothic"/>
    </font>
    <font>
      <b/>
      <sz val="24.0"/>
      <color rgb="FFC55A11"/>
      <name val="Century Gothic"/>
    </font>
    <font>
      <b/>
      <sz val="12.0"/>
      <color rgb="FFFFFFFF"/>
      <name val="Century Gothic"/>
    </font>
    <font>
      <b/>
      <sz val="12.0"/>
      <color rgb="FFC55A11"/>
      <name val="Arial"/>
    </font>
    <font>
      <b/>
      <sz val="12.0"/>
      <color rgb="FF333F4F"/>
      <name val="Century Gothic"/>
    </font>
    <font>
      <b/>
      <sz val="9.0"/>
      <color rgb="FF333F4F"/>
      <name val="Century Gothic"/>
    </font>
    <font>
      <sz val="9.0"/>
      <color rgb="FF333F4F"/>
      <name val="Century Gothic"/>
    </font>
    <font>
      <b/>
      <sz val="9.0"/>
      <color rgb="FF000000"/>
      <name val="Century Gothic"/>
    </font>
    <font>
      <sz val="12.0"/>
      <color rgb="FF333F4F"/>
      <name val="Century Gothic"/>
    </font>
    <font>
      <sz val="18.0"/>
    </font>
    <font/>
    <font>
      <name val="Arial"/>
    </font>
    <font>
      <b/>
      <u/>
      <sz val="12.0"/>
      <name val="Arial"/>
    </font>
    <font>
      <b/>
      <name val="Arial"/>
    </font>
    <font>
      <b/>
      <sz val="12.0"/>
      <name val="Arial"/>
    </font>
    <font>
      <sz val="12.0"/>
      <name val="Arial"/>
    </font>
    <font>
      <sz val="12.0"/>
      <color rgb="FF000000"/>
      <name val="Arial"/>
    </font>
    <font>
      <b/>
      <strike/>
      <sz val="12.0"/>
      <color rgb="FFFF0000"/>
      <name val="Arial"/>
    </font>
    <font>
      <strike/>
      <sz val="12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6AA84F"/>
        <bgColor rgb="FF6AA84F"/>
      </patternFill>
    </fill>
  </fills>
  <borders count="1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 style="thin">
        <color rgb="FFBFBFBF"/>
      </top>
      <bottom/>
    </border>
    <border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/>
      <top style="thin">
        <color rgb="FFBFBFBF"/>
      </top>
      <bottom/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49" xfId="0" applyAlignment="1" applyFont="1" applyNumberFormat="1">
      <alignment horizontal="left" readingOrder="0" vertical="center"/>
    </xf>
    <xf borderId="0" fillId="0" fontId="3" numFmtId="49" xfId="0" applyAlignment="1" applyFont="1" applyNumberFormat="1">
      <alignment horizontal="center" vertical="center"/>
    </xf>
    <xf borderId="0" fillId="0" fontId="1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2" fillId="3" fontId="6" numFmtId="0" xfId="0" applyAlignment="1" applyBorder="1" applyFill="1" applyFont="1">
      <alignment horizontal="left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4" fontId="6" numFmtId="0" xfId="0" applyAlignment="1" applyBorder="1" applyFill="1" applyFont="1">
      <alignment horizontal="left" shrinkToFit="0" vertical="center" wrapText="1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9" fillId="0" fontId="8" numFmtId="0" xfId="0" applyAlignment="1" applyBorder="1" applyFont="1">
      <alignment horizontal="left" shrinkToFit="0" wrapText="1"/>
    </xf>
    <xf borderId="10" fillId="0" fontId="8" numFmtId="0" xfId="0" applyAlignment="1" applyBorder="1" applyFont="1">
      <alignment shrinkToFit="0" wrapText="1"/>
    </xf>
    <xf borderId="11" fillId="0" fontId="8" numFmtId="0" xfId="0" applyAlignment="1" applyBorder="1" applyFont="1">
      <alignment shrinkToFit="0" wrapText="1"/>
    </xf>
    <xf borderId="5" fillId="5" fontId="6" numFmtId="0" xfId="0" applyAlignment="1" applyBorder="1" applyFill="1" applyFont="1">
      <alignment horizontal="left" shrinkToFit="0" vertical="center" wrapText="1"/>
    </xf>
    <xf borderId="10" fillId="0" fontId="8" numFmtId="0" xfId="0" applyAlignment="1" applyBorder="1" applyFont="1">
      <alignment horizontal="left" shrinkToFit="0" wrapText="1"/>
    </xf>
    <xf borderId="10" fillId="5" fontId="8" numFmtId="0" xfId="0" applyAlignment="1" applyBorder="1" applyFont="1">
      <alignment readingOrder="0" shrinkToFit="0" vertical="center" wrapText="1"/>
    </xf>
    <xf borderId="10" fillId="5" fontId="8" numFmtId="0" xfId="0" applyAlignment="1" applyBorder="1" applyFont="1">
      <alignment horizontal="left" readingOrder="0" shrinkToFit="0" vertical="center" wrapText="1"/>
    </xf>
    <xf borderId="10" fillId="5" fontId="8" numFmtId="0" xfId="0" applyAlignment="1" applyBorder="1" applyFont="1">
      <alignment horizontal="left" readingOrder="0" shrinkToFit="0" vertical="center" wrapText="1"/>
    </xf>
    <xf borderId="10" fillId="5" fontId="8" numFmtId="0" xfId="0" applyAlignment="1" applyBorder="1" applyFont="1">
      <alignment readingOrder="0" shrinkToFit="0" vertical="top" wrapText="1"/>
    </xf>
    <xf borderId="10" fillId="5" fontId="8" numFmtId="0" xfId="0" applyAlignment="1" applyBorder="1" applyFont="1">
      <alignment shrinkToFit="0" vertical="center" wrapText="1"/>
    </xf>
    <xf borderId="10" fillId="5" fontId="7" numFmtId="0" xfId="0" applyAlignment="1" applyBorder="1" applyFont="1">
      <alignment readingOrder="0" shrinkToFit="0" vertical="center" wrapText="1"/>
    </xf>
    <xf borderId="2" fillId="5" fontId="6" numFmtId="0" xfId="0" applyAlignment="1" applyBorder="1" applyFont="1">
      <alignment horizontal="left" shrinkToFit="0" vertical="center" wrapText="1"/>
    </xf>
    <xf borderId="2" fillId="5" fontId="6" numFmtId="0" xfId="0" applyAlignment="1" applyBorder="1" applyFont="1">
      <alignment horizontal="left" readingOrder="0" shrinkToFit="0" vertical="center" wrapText="1"/>
    </xf>
    <xf borderId="10" fillId="5" fontId="9" numFmtId="0" xfId="0" applyAlignment="1" applyBorder="1" applyFont="1">
      <alignment readingOrder="0" shrinkToFit="0" vertical="center" wrapText="1"/>
    </xf>
    <xf borderId="7" fillId="5" fontId="8" numFmtId="0" xfId="0" applyAlignment="1" applyBorder="1" applyFont="1">
      <alignment readingOrder="0" shrinkToFit="0" vertical="center" wrapText="1"/>
    </xf>
    <xf borderId="7" fillId="5" fontId="9" numFmtId="0" xfId="0" applyAlignment="1" applyBorder="1" applyFont="1">
      <alignment readingOrder="0" shrinkToFit="0" vertical="center" wrapText="1"/>
    </xf>
    <xf borderId="3" fillId="6" fontId="6" numFmtId="0" xfId="0" applyAlignment="1" applyBorder="1" applyFill="1" applyFont="1">
      <alignment horizontal="left" shrinkToFit="0" vertical="center" wrapText="1"/>
    </xf>
    <xf borderId="12" fillId="6" fontId="6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8" fillId="6" fontId="10" numFmtId="0" xfId="0" applyAlignment="1" applyBorder="1" applyFont="1">
      <alignment horizontal="left" readingOrder="0" vertical="top"/>
    </xf>
    <xf borderId="13" fillId="6" fontId="8" numFmtId="0" xfId="0" applyAlignment="1" applyBorder="1" applyFont="1">
      <alignment horizontal="left" shrinkToFit="0" vertical="top" wrapText="1"/>
    </xf>
    <xf borderId="14" fillId="6" fontId="8" numFmtId="0" xfId="0" applyAlignment="1" applyBorder="1" applyFont="1">
      <alignment horizontal="left" shrinkToFit="0" vertical="top" wrapText="1"/>
    </xf>
    <xf borderId="15" fillId="0" fontId="11" numFmtId="0" xfId="0" applyAlignment="1" applyBorder="1" applyFont="1">
      <alignment readingOrder="0"/>
    </xf>
    <xf borderId="15" fillId="0" fontId="12" numFmtId="0" xfId="0" applyBorder="1" applyFont="1"/>
    <xf borderId="16" fillId="0" fontId="12" numFmtId="0" xfId="0" applyBorder="1" applyFont="1"/>
    <xf borderId="16" fillId="0" fontId="1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7" fontId="12" numFmtId="0" xfId="0" applyFill="1" applyFont="1"/>
    <xf borderId="16" fillId="0" fontId="13" numFmtId="0" xfId="0" applyAlignment="1" applyBorder="1" applyFont="1">
      <alignment readingOrder="0"/>
    </xf>
    <xf borderId="17" fillId="0" fontId="14" numFmtId="0" xfId="0" applyAlignment="1" applyBorder="1" applyFont="1">
      <alignment vertical="bottom"/>
    </xf>
    <xf borderId="17" fillId="0" fontId="15" numFmtId="0" xfId="0" applyAlignment="1" applyBorder="1" applyFont="1">
      <alignment vertical="bottom"/>
    </xf>
    <xf borderId="17" fillId="0" fontId="15" numFmtId="0" xfId="0" applyAlignment="1" applyBorder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16" fillId="0" fontId="19" numFmtId="0" xfId="0" applyAlignment="1" applyBorder="1" applyFont="1">
      <alignment vertical="bottom"/>
    </xf>
    <xf borderId="16" fillId="0" fontId="20" numFmtId="0" xfId="0" applyAlignment="1" applyBorder="1" applyFont="1">
      <alignment vertical="bottom"/>
    </xf>
    <xf borderId="16" fillId="0" fontId="20" numFmtId="0" xfId="0" applyAlignment="1" applyBorder="1" applyFont="1">
      <alignment readingOrder="0" vertical="bottom"/>
    </xf>
    <xf borderId="16" fillId="0" fontId="1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8" width="14.44"/>
    <col customWidth="1" min="9" max="26" width="10.56"/>
  </cols>
  <sheetData>
    <row r="1" ht="36.0" customHeight="1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/>
      <c r="B3" s="7"/>
      <c r="C3" s="8"/>
      <c r="D3" s="7"/>
      <c r="E3" s="9">
        <v>1.0</v>
      </c>
      <c r="F3" s="10">
        <f t="shared" ref="F3:H3" si="1">E3+1</f>
        <v>2</v>
      </c>
      <c r="G3" s="10">
        <f t="shared" si="1"/>
        <v>3</v>
      </c>
      <c r="H3" s="11">
        <f t="shared" si="1"/>
        <v>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90.0" customHeight="1">
      <c r="A4" s="4"/>
      <c r="B4" s="12"/>
      <c r="C4" s="13"/>
      <c r="D4" s="12"/>
      <c r="E4" s="14"/>
      <c r="F4" s="15"/>
      <c r="G4" s="15"/>
      <c r="H4" s="1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6"/>
      <c r="B5" s="10">
        <f>H3+1</f>
        <v>5</v>
      </c>
      <c r="C5" s="17">
        <f t="shared" ref="C5:H5" si="2">B5+1</f>
        <v>6</v>
      </c>
      <c r="D5" s="17">
        <f t="shared" si="2"/>
        <v>7</v>
      </c>
      <c r="E5" s="17">
        <f t="shared" si="2"/>
        <v>8</v>
      </c>
      <c r="F5" s="17">
        <f t="shared" si="2"/>
        <v>9</v>
      </c>
      <c r="G5" s="17">
        <f t="shared" si="2"/>
        <v>10</v>
      </c>
      <c r="H5" s="17">
        <f t="shared" si="2"/>
        <v>11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13.25" customHeight="1">
      <c r="A6" s="4"/>
      <c r="B6" s="18"/>
      <c r="C6" s="19" t="s">
        <v>8</v>
      </c>
      <c r="D6" s="19" t="s">
        <v>9</v>
      </c>
      <c r="E6" s="19"/>
      <c r="F6" s="20" t="s">
        <v>10</v>
      </c>
      <c r="G6" s="21" t="s">
        <v>11</v>
      </c>
      <c r="H6" s="22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6"/>
      <c r="B7" s="17">
        <f>H5+1</f>
        <v>12</v>
      </c>
      <c r="C7" s="17">
        <f t="shared" ref="C7:H7" si="3">B7+1</f>
        <v>13</v>
      </c>
      <c r="D7" s="17">
        <f t="shared" si="3"/>
        <v>14</v>
      </c>
      <c r="E7" s="17">
        <f t="shared" si="3"/>
        <v>15</v>
      </c>
      <c r="F7" s="17">
        <f t="shared" si="3"/>
        <v>16</v>
      </c>
      <c r="G7" s="17">
        <f t="shared" si="3"/>
        <v>17</v>
      </c>
      <c r="H7" s="17">
        <f t="shared" si="3"/>
        <v>18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90.0" customHeight="1">
      <c r="A8" s="4"/>
      <c r="B8" s="20" t="s">
        <v>13</v>
      </c>
      <c r="C8" s="19" t="s">
        <v>14</v>
      </c>
      <c r="D8" s="23"/>
      <c r="E8" s="19" t="s">
        <v>15</v>
      </c>
      <c r="F8" s="23"/>
      <c r="G8" s="22" t="s">
        <v>16</v>
      </c>
      <c r="H8" s="19" t="s">
        <v>17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6"/>
      <c r="B9" s="17">
        <f>H7+1</f>
        <v>19</v>
      </c>
      <c r="C9" s="17">
        <f t="shared" ref="C9:H9" si="4">B9+1</f>
        <v>20</v>
      </c>
      <c r="D9" s="17">
        <f t="shared" si="4"/>
        <v>21</v>
      </c>
      <c r="E9" s="17">
        <f t="shared" si="4"/>
        <v>22</v>
      </c>
      <c r="F9" s="17">
        <f t="shared" si="4"/>
        <v>23</v>
      </c>
      <c r="G9" s="17">
        <f t="shared" si="4"/>
        <v>24</v>
      </c>
      <c r="H9" s="17">
        <f t="shared" si="4"/>
        <v>25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90.0" customHeight="1">
      <c r="A10" s="4"/>
      <c r="B10" s="19" t="s">
        <v>18</v>
      </c>
      <c r="C10" s="19" t="s">
        <v>19</v>
      </c>
      <c r="D10" s="19" t="s">
        <v>20</v>
      </c>
      <c r="E10" s="20"/>
      <c r="F10" s="23"/>
      <c r="G10" s="24" t="s">
        <v>21</v>
      </c>
      <c r="H10" s="19" t="s">
        <v>22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6"/>
      <c r="B11" s="17">
        <f>H9+1</f>
        <v>26</v>
      </c>
      <c r="C11" s="25">
        <f t="shared" ref="C11:F11" si="5">B11+1</f>
        <v>27</v>
      </c>
      <c r="D11" s="25">
        <f t="shared" si="5"/>
        <v>28</v>
      </c>
      <c r="E11" s="25">
        <f t="shared" si="5"/>
        <v>29</v>
      </c>
      <c r="F11" s="25">
        <f t="shared" si="5"/>
        <v>30</v>
      </c>
      <c r="G11" s="26">
        <v>1.0</v>
      </c>
      <c r="H11" s="25">
        <f>G11+1</f>
        <v>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90.0" customHeight="1">
      <c r="A12" s="4"/>
      <c r="B12" s="27" t="s">
        <v>23</v>
      </c>
      <c r="C12" s="20" t="s">
        <v>24</v>
      </c>
      <c r="D12" s="28" t="s">
        <v>25</v>
      </c>
      <c r="E12" s="28" t="s">
        <v>26</v>
      </c>
      <c r="F12" s="28"/>
      <c r="G12" s="29" t="s">
        <v>27</v>
      </c>
      <c r="H12" s="28" t="s">
        <v>28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6"/>
      <c r="B13" s="30" t="s">
        <v>29</v>
      </c>
      <c r="C13" s="31"/>
      <c r="D13" s="31"/>
      <c r="E13" s="31"/>
      <c r="F13" s="31"/>
      <c r="G13" s="31"/>
      <c r="H13" s="3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90.0" customHeight="1">
      <c r="A14" s="4"/>
      <c r="B14" s="33" t="s">
        <v>30</v>
      </c>
      <c r="C14" s="34"/>
      <c r="D14" s="34"/>
      <c r="E14" s="34"/>
      <c r="F14" s="34"/>
      <c r="G14" s="34"/>
      <c r="H14" s="3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 verticalCentered="1"/>
  <pageMargins bottom="0.3" footer="0.0" header="0.0" left="0.3" right="0.3" top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33"/>
    <col customWidth="1" min="6" max="6" width="14.56"/>
  </cols>
  <sheetData>
    <row r="2">
      <c r="A2" s="36" t="s">
        <v>31</v>
      </c>
      <c r="B2" s="37"/>
      <c r="C2" s="37"/>
      <c r="D2" s="37"/>
      <c r="E2" s="37"/>
      <c r="F2" s="37"/>
    </row>
    <row r="3">
      <c r="A3" s="38"/>
      <c r="B3" s="38"/>
      <c r="C3" s="38"/>
      <c r="D3" s="38"/>
      <c r="E3" s="38"/>
      <c r="F3" s="38"/>
    </row>
    <row r="4">
      <c r="A4" s="39" t="s">
        <v>32</v>
      </c>
      <c r="B4" s="39" t="s">
        <v>33</v>
      </c>
      <c r="C4" s="39" t="s">
        <v>34</v>
      </c>
      <c r="D4" s="39" t="s">
        <v>35</v>
      </c>
      <c r="E4" s="39" t="s">
        <v>36</v>
      </c>
      <c r="F4" s="39" t="s">
        <v>37</v>
      </c>
    </row>
    <row r="5">
      <c r="A5" s="40" t="s">
        <v>38</v>
      </c>
      <c r="B5" s="41">
        <v>8.0</v>
      </c>
      <c r="C5" s="40">
        <v>0.0</v>
      </c>
      <c r="D5" s="41">
        <v>30.0</v>
      </c>
      <c r="E5" s="41">
        <v>4.0</v>
      </c>
      <c r="F5">
        <f t="shared" ref="F5:F8" si="1">D5/(sum(D5,E5))</f>
        <v>0.8823529412</v>
      </c>
    </row>
    <row r="6">
      <c r="A6" s="40" t="s">
        <v>39</v>
      </c>
      <c r="B6" s="41">
        <v>5.0</v>
      </c>
      <c r="C6" s="41">
        <v>3.0</v>
      </c>
      <c r="D6" s="41">
        <v>27.0</v>
      </c>
      <c r="E6" s="41">
        <v>16.0</v>
      </c>
      <c r="F6">
        <f t="shared" si="1"/>
        <v>0.6279069767</v>
      </c>
    </row>
    <row r="7">
      <c r="A7" s="40" t="s">
        <v>40</v>
      </c>
      <c r="B7" s="41">
        <v>5.0</v>
      </c>
      <c r="C7" s="41">
        <v>3.0</v>
      </c>
      <c r="D7" s="41">
        <v>23.0</v>
      </c>
      <c r="E7" s="41">
        <v>16.0</v>
      </c>
      <c r="F7">
        <f t="shared" si="1"/>
        <v>0.5897435897</v>
      </c>
    </row>
    <row r="8">
      <c r="A8" s="40" t="s">
        <v>41</v>
      </c>
      <c r="B8" s="41">
        <v>5.0</v>
      </c>
      <c r="C8" s="40">
        <v>3.0</v>
      </c>
      <c r="D8" s="41">
        <v>25.0</v>
      </c>
      <c r="E8" s="41">
        <v>19.0</v>
      </c>
      <c r="F8">
        <f t="shared" si="1"/>
        <v>0.5681818182</v>
      </c>
    </row>
    <row r="9" ht="5.25" customHeight="1">
      <c r="A9" s="42"/>
      <c r="B9" s="42"/>
      <c r="C9" s="42"/>
      <c r="D9" s="42"/>
      <c r="E9" s="42"/>
      <c r="F9" s="42"/>
    </row>
    <row r="10">
      <c r="A10" s="40" t="s">
        <v>42</v>
      </c>
      <c r="B10" s="41">
        <v>5.0</v>
      </c>
      <c r="C10" s="41">
        <v>3.0</v>
      </c>
      <c r="D10" s="41">
        <v>23.0</v>
      </c>
      <c r="E10" s="41">
        <v>25.0</v>
      </c>
      <c r="F10">
        <f t="shared" ref="F10:F14" si="2">D10/(sum(D10,E10))</f>
        <v>0.4791666667</v>
      </c>
    </row>
    <row r="11">
      <c r="A11" s="40" t="s">
        <v>43</v>
      </c>
      <c r="B11" s="41">
        <v>3.0</v>
      </c>
      <c r="C11" s="41">
        <v>5.0</v>
      </c>
      <c r="D11" s="41">
        <v>12.0</v>
      </c>
      <c r="E11" s="41">
        <v>23.0</v>
      </c>
      <c r="F11">
        <f t="shared" si="2"/>
        <v>0.3428571429</v>
      </c>
    </row>
    <row r="12">
      <c r="A12" s="40" t="s">
        <v>44</v>
      </c>
      <c r="B12" s="41">
        <v>3.0</v>
      </c>
      <c r="C12" s="41">
        <v>5.0</v>
      </c>
      <c r="D12" s="41">
        <v>16.0</v>
      </c>
      <c r="E12" s="41">
        <v>24.0</v>
      </c>
      <c r="F12">
        <f t="shared" si="2"/>
        <v>0.4</v>
      </c>
    </row>
    <row r="13">
      <c r="A13" s="40" t="s">
        <v>45</v>
      </c>
      <c r="B13" s="41">
        <v>1.0</v>
      </c>
      <c r="C13" s="41">
        <v>7.0</v>
      </c>
      <c r="D13" s="41">
        <v>7.0</v>
      </c>
      <c r="E13" s="41">
        <v>30.0</v>
      </c>
      <c r="F13">
        <f t="shared" si="2"/>
        <v>0.1891891892</v>
      </c>
    </row>
    <row r="14">
      <c r="A14" s="39" t="s">
        <v>46</v>
      </c>
      <c r="B14" s="39">
        <v>0.0</v>
      </c>
      <c r="C14" s="43">
        <v>8.0</v>
      </c>
      <c r="D14" s="43">
        <v>9.0</v>
      </c>
      <c r="E14" s="43">
        <v>15.0</v>
      </c>
      <c r="F14" s="38">
        <f t="shared" si="2"/>
        <v>0.375</v>
      </c>
    </row>
  </sheetData>
  <mergeCells count="2">
    <mergeCell ref="A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13.44"/>
    <col customWidth="1" min="3" max="3" width="15.67"/>
    <col customWidth="1" min="4" max="4" width="15.11"/>
    <col customWidth="1" min="5" max="5" width="14.33"/>
    <col customWidth="1" min="6" max="6" width="14.89"/>
    <col customWidth="1" min="7" max="7" width="14.0"/>
  </cols>
  <sheetData>
    <row r="1" ht="14.25" customHeight="1"/>
    <row r="2" ht="20.25" customHeight="1">
      <c r="A2" s="44" t="s">
        <v>32</v>
      </c>
      <c r="B2" s="45" t="s">
        <v>47</v>
      </c>
      <c r="C2" s="45" t="s">
        <v>48</v>
      </c>
      <c r="D2" s="45" t="s">
        <v>49</v>
      </c>
      <c r="E2" s="45" t="s">
        <v>50</v>
      </c>
      <c r="F2" s="45" t="s">
        <v>51</v>
      </c>
      <c r="G2" s="46" t="s">
        <v>52</v>
      </c>
    </row>
    <row r="3" ht="21.75" customHeight="1">
      <c r="A3" s="47" t="s">
        <v>45</v>
      </c>
      <c r="B3" s="48" t="s">
        <v>53</v>
      </c>
      <c r="C3" s="48" t="s">
        <v>54</v>
      </c>
      <c r="D3" s="48" t="s">
        <v>55</v>
      </c>
      <c r="E3" s="48" t="s">
        <v>56</v>
      </c>
      <c r="F3" s="48" t="s">
        <v>57</v>
      </c>
      <c r="G3" s="48" t="s">
        <v>58</v>
      </c>
    </row>
    <row r="4" ht="22.5" customHeight="1">
      <c r="A4" s="47" t="s">
        <v>39</v>
      </c>
      <c r="B4" s="48" t="s">
        <v>59</v>
      </c>
      <c r="C4" s="48" t="s">
        <v>60</v>
      </c>
      <c r="D4" s="48" t="s">
        <v>61</v>
      </c>
      <c r="E4" s="48" t="s">
        <v>62</v>
      </c>
      <c r="F4" s="48" t="s">
        <v>63</v>
      </c>
      <c r="G4" s="48" t="s">
        <v>64</v>
      </c>
    </row>
    <row r="5" ht="24.0" customHeight="1">
      <c r="A5" s="47" t="s">
        <v>40</v>
      </c>
      <c r="B5" s="48" t="s">
        <v>65</v>
      </c>
      <c r="C5" s="48" t="s">
        <v>66</v>
      </c>
      <c r="D5" s="48" t="s">
        <v>67</v>
      </c>
      <c r="E5" s="48" t="s">
        <v>68</v>
      </c>
      <c r="F5" s="48" t="s">
        <v>69</v>
      </c>
      <c r="G5" s="48" t="s">
        <v>70</v>
      </c>
    </row>
    <row r="6" ht="23.25" customHeight="1">
      <c r="A6" s="47" t="s">
        <v>38</v>
      </c>
      <c r="B6" s="48" t="s">
        <v>71</v>
      </c>
      <c r="C6" s="48" t="s">
        <v>72</v>
      </c>
      <c r="D6" s="49" t="s">
        <v>73</v>
      </c>
      <c r="E6" s="48" t="s">
        <v>74</v>
      </c>
      <c r="F6" s="48" t="s">
        <v>75</v>
      </c>
      <c r="G6" s="48" t="s">
        <v>76</v>
      </c>
    </row>
    <row r="7" ht="25.5" customHeight="1">
      <c r="A7" s="47" t="s">
        <v>44</v>
      </c>
      <c r="B7" s="48" t="s">
        <v>77</v>
      </c>
      <c r="C7" s="48" t="s">
        <v>78</v>
      </c>
      <c r="D7" s="48" t="s">
        <v>79</v>
      </c>
      <c r="E7" s="48" t="s">
        <v>80</v>
      </c>
      <c r="F7" s="48" t="s">
        <v>81</v>
      </c>
      <c r="G7" s="48" t="s">
        <v>82</v>
      </c>
    </row>
    <row r="8" ht="23.25" customHeight="1">
      <c r="A8" s="47" t="s">
        <v>42</v>
      </c>
      <c r="B8" s="48" t="s">
        <v>83</v>
      </c>
      <c r="C8" s="48" t="s">
        <v>84</v>
      </c>
      <c r="D8" s="48" t="s">
        <v>85</v>
      </c>
      <c r="E8" s="48" t="s">
        <v>86</v>
      </c>
      <c r="F8" s="48" t="s">
        <v>87</v>
      </c>
      <c r="G8" s="48" t="s">
        <v>88</v>
      </c>
    </row>
    <row r="9" ht="23.25" customHeight="1">
      <c r="A9" s="47" t="s">
        <v>43</v>
      </c>
      <c r="B9" s="48" t="s">
        <v>89</v>
      </c>
      <c r="C9" s="50" t="s">
        <v>90</v>
      </c>
      <c r="D9" s="48" t="s">
        <v>91</v>
      </c>
      <c r="E9" s="48" t="s">
        <v>92</v>
      </c>
      <c r="F9" s="48" t="s">
        <v>93</v>
      </c>
      <c r="G9" s="48" t="s">
        <v>94</v>
      </c>
    </row>
    <row r="10" ht="24.0" customHeight="1">
      <c r="A10" s="47" t="s">
        <v>41</v>
      </c>
      <c r="B10" s="48" t="s">
        <v>95</v>
      </c>
      <c r="C10" s="48" t="s">
        <v>96</v>
      </c>
      <c r="D10" s="48" t="s">
        <v>97</v>
      </c>
      <c r="E10" s="48" t="s">
        <v>98</v>
      </c>
      <c r="F10" s="48" t="s">
        <v>99</v>
      </c>
      <c r="G10" s="48" t="s">
        <v>100</v>
      </c>
    </row>
    <row r="11" ht="24.0" customHeight="1">
      <c r="A11" s="51" t="s">
        <v>46</v>
      </c>
      <c r="B11" s="52" t="s">
        <v>101</v>
      </c>
      <c r="C11" s="53" t="s">
        <v>102</v>
      </c>
      <c r="D11" s="54" t="s">
        <v>103</v>
      </c>
      <c r="E11" s="52" t="s">
        <v>104</v>
      </c>
      <c r="F11" s="52" t="s">
        <v>105</v>
      </c>
      <c r="G11" s="54" t="s">
        <v>106</v>
      </c>
    </row>
  </sheetData>
  <drawing r:id="rId1"/>
</worksheet>
</file>